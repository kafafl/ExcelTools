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Month End/"/>
    </mc:Choice>
  </mc:AlternateContent>
  <xr:revisionPtr revIDLastSave="2" documentId="8_{FC0322D9-1B9E-499A-8F98-FC934C432217}" xr6:coauthVersionLast="47" xr6:coauthVersionMax="47" xr10:uidLastSave="{19F458DB-03C1-4D66-A0C3-2A2BB3C062BE}"/>
  <bookViews>
    <workbookView xWindow="8770" yWindow="1510" windowWidth="28980" windowHeight="17910" tabRatio="663" xr2:uid="{162BCEDA-9F01-426C-9FCA-62344A351E61}"/>
  </bookViews>
  <sheets>
    <sheet name="Summary" sheetId="2" r:id="rId1"/>
    <sheet name="AMF" sheetId="1" r:id="rId2"/>
    <sheet name="AMF LMV" sheetId="7" r:id="rId3"/>
    <sheet name="AMF SMV" sheetId="8" r:id="rId4"/>
    <sheet name="HFRXEMN Index" sheetId="5" r:id="rId5"/>
    <sheet name="NBI Index" sheetId="4" r:id="rId6"/>
    <sheet name="SPXT Index" sheetId="3" r:id="rId7"/>
    <sheet name="XBI US Equity" sheetId="6" r:id="rId8"/>
    <sheet name="RGUSHSBT Index" sheetId="9" r:id="rId9"/>
  </sheets>
  <functionGroups builtInGroupCount="19"/>
  <definedNames>
    <definedName name="AMF_DayCount">Summary!$B$15</definedName>
    <definedName name="BegDate" localSheetId="1">AMF!$B$2</definedName>
    <definedName name="BegDate" localSheetId="2">'AMF LMV'!$B$2</definedName>
    <definedName name="BegDate" localSheetId="3">'AMF SMV'!$B$2</definedName>
    <definedName name="BegDate" localSheetId="4">'HFRXEMN Index'!$B$2</definedName>
    <definedName name="BegDate" localSheetId="5">'NBI Index'!$B$2</definedName>
    <definedName name="BegDate" localSheetId="8">'RGUSHSBT Index'!$B$2</definedName>
    <definedName name="BegDate" localSheetId="6">'SPXT Index'!$B$2</definedName>
    <definedName name="BegDate" localSheetId="7">'XBI US Equity'!$B$2</definedName>
    <definedName name="DailyReNetLog" localSheetId="4">'HFRXEMN Index'!$H$6:$H$1000</definedName>
    <definedName name="DailyRetNetLog" localSheetId="1">AMF!$H$6:$H$1000</definedName>
    <definedName name="DailyRetNetLog" localSheetId="2">'AMF LMV'!$H$6:$H$1000</definedName>
    <definedName name="DailyRetNetLog" localSheetId="3">'AMF SMV'!$H$6:$H$1000</definedName>
    <definedName name="DailyRetNetLog" localSheetId="5">'NBI Index'!$H$6:$H$1000</definedName>
    <definedName name="DailyRetNetLog" localSheetId="8">'RGUSHSBT Index'!$H$6:$H$1000</definedName>
    <definedName name="DailyRetNetLog" localSheetId="6">'SPXT Index'!$H$6:$H$1000</definedName>
    <definedName name="DailyRetNetLog" localSheetId="7">'XBI US Equity'!$H$6:$H$1000</definedName>
    <definedName name="DailyReturn" localSheetId="1">AMF!$D$6:$D$1000</definedName>
    <definedName name="DailyReturn" localSheetId="2">'AMF LMV'!$D$6:$D$1000</definedName>
    <definedName name="DailyReturn" localSheetId="3">'AMF SMV'!$D$6:$D$1000</definedName>
    <definedName name="DailyReturn" localSheetId="4">'HFRXEMN Index'!$D$6:$D$1000</definedName>
    <definedName name="DailyReturn" localSheetId="5">'NBI Index'!$D$6:$D$1000</definedName>
    <definedName name="DailyReturn" localSheetId="8">'RGUSHSBT Index'!$D$6:$D$1000</definedName>
    <definedName name="DailyReturn" localSheetId="6">'SPXT Index'!$D$6:$D$1000</definedName>
    <definedName name="DailyReturn" localSheetId="7">'XBI US Equity'!$D$6:$D$1000</definedName>
    <definedName name="DailyReturnNet" localSheetId="1">AMF!$E$6:$E$1000</definedName>
    <definedName name="DailyReturnNet" localSheetId="2">'AMF LMV'!$E$6:$E$1000</definedName>
    <definedName name="DailyReturnNet" localSheetId="3">'AMF SMV'!$E$6:$E$1000</definedName>
    <definedName name="DailyReturnNet" localSheetId="4">'HFRXEMN Index'!$E$6:$E$1000</definedName>
    <definedName name="DailyReturnNet" localSheetId="5">'NBI Index'!$E$6:$E$1000</definedName>
    <definedName name="DailyReturnNet" localSheetId="8">'RGUSHSBT Index'!$E$6:$E$1000</definedName>
    <definedName name="DailyReturnNet" localSheetId="6">'SPXT Index'!$E$6:$E$1000</definedName>
    <definedName name="DailyReturnNet" localSheetId="7">'XBI US Equity'!$E$6:$E$1000</definedName>
    <definedName name="DropSpot" localSheetId="2">'AMF LMV'!$B$6</definedName>
    <definedName name="DropSpot" localSheetId="3">'AMF SMV'!$B$6</definedName>
    <definedName name="DropSpot" localSheetId="4">'HFRXEMN Index'!$B$6</definedName>
    <definedName name="DropSpot" localSheetId="5">'NBI Index'!$B$6</definedName>
    <definedName name="DropSpot" localSheetId="8">'RGUSHSBT Index'!$B$6</definedName>
    <definedName name="DropSpot" localSheetId="6">'SPXT Index'!$B$6</definedName>
    <definedName name="DropSpot" localSheetId="7">'XBI US Equity'!$B$6</definedName>
    <definedName name="DropSpot">AMF!$B$6</definedName>
    <definedName name="EndDate" localSheetId="1">AMF!$B$3</definedName>
    <definedName name="EndDate" localSheetId="2">'AMF LMV'!$B$3</definedName>
    <definedName name="EndDate" localSheetId="3">'AMF SMV'!$B$3</definedName>
    <definedName name="EndDate" localSheetId="4">'HFRXEMN Index'!$B$3</definedName>
    <definedName name="EndDate" localSheetId="5">'NBI Index'!$B$3</definedName>
    <definedName name="EndDate" localSheetId="8">'RGUSHSBT Index'!$B$3</definedName>
    <definedName name="EndDate" localSheetId="6">'SPXT Index'!$B$3</definedName>
    <definedName name="EndDate" localSheetId="7">'XBI US Equity'!$B$3</definedName>
    <definedName name="Entity" localSheetId="1">AMF!$B$1</definedName>
    <definedName name="Entity" localSheetId="2">'AMF LMV'!$B$1</definedName>
    <definedName name="Entity" localSheetId="3">'AMF SMV'!$B$1</definedName>
    <definedName name="Entity" localSheetId="4">'HFRXEMN Index'!$B$1</definedName>
    <definedName name="Entity" localSheetId="5">'NBI Index'!$B$1</definedName>
    <definedName name="Entity" localSheetId="8">'RGUSHSBT Index'!$B$1</definedName>
    <definedName name="Entity" localSheetId="6">'SPXT Index'!$B$1</definedName>
    <definedName name="Entity" localSheetId="7">'XBI US Equity'!$B$1</definedName>
    <definedName name="EntityList" localSheetId="1">AMF!$AY$1:$AY$7</definedName>
    <definedName name="EntityList" localSheetId="2">'AMF LMV'!$AY$1:$AY$7</definedName>
    <definedName name="EntityList" localSheetId="3">'AMF SMV'!$AY$1:$AY$7</definedName>
    <definedName name="EntityList" localSheetId="4">'HFRXEMN Index'!$AY$1:$AY$5</definedName>
    <definedName name="EntityList" localSheetId="5">'NBI Index'!$AY$1:$AY$5</definedName>
    <definedName name="EntityList" localSheetId="8">'RGUSHSBT Index'!$AY$1:$AY$6</definedName>
    <definedName name="EntityList" localSheetId="6">'SPXT Index'!$AY$1:$AY$5</definedName>
    <definedName name="EntityList" localSheetId="7">'XBI US Equity'!$AY$1:$AY$5</definedName>
    <definedName name="HFRXEMN_DayCount">Summary!$F$15</definedName>
    <definedName name="NBI_DayCount">Summary!$I$15</definedName>
    <definedName name="RGUSHSBT_DayCount" localSheetId="0">Summary!$R$15</definedName>
    <definedName name="SPXT_DayCount">Summary!$L$15</definedName>
    <definedName name="XBI_DayCount" localSheetId="0">Summary!$O$15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" i="2" l="1"/>
  <c r="S13" i="2"/>
  <c r="S12" i="2"/>
  <c r="S11" i="2"/>
  <c r="S7" i="2"/>
  <c r="G23" i="2" s="1"/>
  <c r="S5" i="2"/>
  <c r="S4" i="2"/>
  <c r="D23" i="2" s="1"/>
  <c r="S9" i="2"/>
  <c r="L23" i="2" s="1"/>
  <c r="B3" i="9"/>
  <c r="B2" i="9"/>
  <c r="P5" i="2"/>
  <c r="P4" i="2"/>
  <c r="D22" i="2" s="1"/>
  <c r="P9" i="2"/>
  <c r="L22" i="2" s="1"/>
  <c r="M9" i="2"/>
  <c r="L25" i="2" s="1"/>
  <c r="J9" i="2"/>
  <c r="L21" i="2" s="1"/>
  <c r="G9" i="2"/>
  <c r="L24" i="2" s="1"/>
  <c r="D9" i="2"/>
  <c r="L20" i="2" s="1"/>
  <c r="C9" i="2"/>
  <c r="P14" i="2"/>
  <c r="P13" i="2"/>
  <c r="P12" i="2"/>
  <c r="P11" i="2"/>
  <c r="P7" i="2"/>
  <c r="G22" i="2" s="1"/>
  <c r="S6" i="2" l="1"/>
  <c r="I23" i="2" s="1"/>
  <c r="S10" i="2"/>
  <c r="J23" i="2" s="1"/>
  <c r="P6" i="2"/>
  <c r="I22" i="2" s="1"/>
  <c r="P10" i="2"/>
  <c r="J22" i="2" l="1"/>
  <c r="B3" i="8"/>
  <c r="B3" i="7"/>
  <c r="B3" i="6" l="1"/>
  <c r="B2" i="6"/>
  <c r="D4" i="2"/>
  <c r="D10" i="2" s="1"/>
  <c r="J20" i="2" s="1"/>
  <c r="B3" i="5" l="1"/>
  <c r="G7" i="2"/>
  <c r="M4" i="2"/>
  <c r="S8" i="2" s="1"/>
  <c r="F23" i="2" s="1"/>
  <c r="P8" i="2" l="1"/>
  <c r="M10" i="2"/>
  <c r="J25" i="2" s="1"/>
  <c r="M5" i="2"/>
  <c r="M6" i="2" s="1"/>
  <c r="G5" i="2"/>
  <c r="D5" i="2"/>
  <c r="F22" i="2" l="1"/>
  <c r="C5" i="2"/>
  <c r="B1" i="2" l="1"/>
  <c r="D20" i="2" l="1"/>
  <c r="D25" i="2"/>
  <c r="I15" i="2"/>
  <c r="J5" i="2" s="1"/>
  <c r="C4" i="2"/>
  <c r="C10" i="2" s="1"/>
  <c r="J4" i="2" l="1"/>
  <c r="G4" i="2"/>
  <c r="D24" i="2" l="1"/>
  <c r="G10" i="2"/>
  <c r="J24" i="2" s="1"/>
  <c r="D21" i="2"/>
  <c r="J10" i="2"/>
  <c r="J21" i="2" s="1"/>
  <c r="B3" i="3"/>
  <c r="B3" i="4"/>
  <c r="B2" i="4"/>
  <c r="B2" i="5"/>
  <c r="B2" i="3"/>
  <c r="J7" i="2"/>
  <c r="G21" i="2" s="1"/>
  <c r="M7" i="2"/>
  <c r="D7" i="2"/>
  <c r="G20" i="2" s="1"/>
  <c r="C7" i="2"/>
  <c r="C8" i="2" s="1"/>
  <c r="G14" i="2"/>
  <c r="G13" i="2"/>
  <c r="G12" i="2"/>
  <c r="G11" i="2"/>
  <c r="J14" i="2"/>
  <c r="J13" i="2"/>
  <c r="J12" i="2"/>
  <c r="J11" i="2"/>
  <c r="M14" i="2"/>
  <c r="M13" i="2"/>
  <c r="M12" i="2"/>
  <c r="M11" i="2"/>
  <c r="D14" i="2"/>
  <c r="D13" i="2"/>
  <c r="D12" i="2"/>
  <c r="D11" i="2"/>
  <c r="C11" i="2"/>
  <c r="C12" i="2"/>
  <c r="C13" i="2"/>
  <c r="C14" i="2"/>
  <c r="M8" i="2" l="1"/>
  <c r="F25" i="2" s="1"/>
  <c r="G25" i="2"/>
  <c r="G8" i="2"/>
  <c r="F24" i="2" s="1"/>
  <c r="G24" i="2"/>
  <c r="J8" i="2"/>
  <c r="F21" i="2" s="1"/>
  <c r="D8" i="2"/>
  <c r="F20" i="2" s="1"/>
  <c r="G6" i="2"/>
  <c r="J6" i="2"/>
  <c r="I25" i="2"/>
  <c r="D6" i="2"/>
  <c r="C6" i="2"/>
  <c r="I24" i="2" l="1"/>
  <c r="I20" i="2"/>
  <c r="I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tc={CCE76A77-8657-4845-B189-E59F121865AA}</author>
    <author>tc={EAEABE61-8E4E-4FF2-96A0-D33196D1E503}</author>
    <author>Lee Kafafian</author>
  </authors>
  <commentList>
    <comment ref="B6" authorId="0" shapeId="0" xr:uid="{CCE76A77-8657-4845-B189-E59F121865AA}">
      <text>
        <t>[Threaded comment]
Your version of Excel allows you to read this threaded comment; however, any edits to it will get removed if the file is opened in a newer version of Excel. Learn more: https://go.microsoft.com/fwlink/?linkid=870924
Comment:
    Geo Ret /Arith Std Dev</t>
      </text>
    </comment>
    <comment ref="F6" authorId="1" shapeId="0" xr:uid="{EAEABE61-8E4E-4FF2-96A0-D33196D1E503}">
      <text>
        <t>[Threaded comment]
Your version of Excel allows you to read this threaded comment; however, any edits to it will get removed if the file is opened in a newer version of Excel. Learn more: https://go.microsoft.com/fwlink/?linkid=870924
Comment:
    Geo Ret /Arith Std Dev</t>
      </text>
    </comment>
    <comment ref="I6" authorId="2" shapeId="0" xr:uid="{B75246AE-ACE0-46BF-BC56-44426059AE15}">
      <text>
        <r>
          <rPr>
            <b/>
            <sz val="9"/>
            <color indexed="81"/>
            <rFont val="Tahoma"/>
            <family val="2"/>
          </rPr>
          <t>Lee Kafafian:</t>
        </r>
        <r>
          <rPr>
            <sz val="9"/>
            <color indexed="81"/>
            <rFont val="Tahoma"/>
            <family val="2"/>
          </rPr>
          <t xml:space="preserve">
Geo Ret /Arith Std Dev</t>
        </r>
      </text>
    </comment>
  </commentList>
</comments>
</file>

<file path=xl/sharedStrings.xml><?xml version="1.0" encoding="utf-8"?>
<sst xmlns="http://schemas.openxmlformats.org/spreadsheetml/2006/main" count="4224" uniqueCount="43">
  <si>
    <t>BegDate</t>
  </si>
  <si>
    <t>EndDate</t>
  </si>
  <si>
    <t>AMF</t>
  </si>
  <si>
    <t>AsOfDate</t>
  </si>
  <si>
    <t>Entity</t>
  </si>
  <si>
    <t>DailyReturn</t>
  </si>
  <si>
    <t>DailyReturnNet</t>
  </si>
  <si>
    <t>PeriodReturn</t>
  </si>
  <si>
    <t>PeriodReturnNet</t>
  </si>
  <si>
    <t>SPXT Index</t>
  </si>
  <si>
    <t>NBI Index</t>
  </si>
  <si>
    <t>HFRXEMN Index</t>
  </si>
  <si>
    <t>Annualized Std Dev</t>
  </si>
  <si>
    <t>Annualized Return</t>
  </si>
  <si>
    <t>Info Ratio</t>
  </si>
  <si>
    <t>S&amp;P Correl</t>
  </si>
  <si>
    <t>S&amp;P Beta</t>
  </si>
  <si>
    <t>Kurtosis</t>
  </si>
  <si>
    <t>Skewness</t>
  </si>
  <si>
    <t>Max</t>
  </si>
  <si>
    <t>Min</t>
  </si>
  <si>
    <t>Gross</t>
  </si>
  <si>
    <t>Net</t>
  </si>
  <si>
    <t>HISTORICAL RISK STATISTICS (ITD)</t>
  </si>
  <si>
    <t>S&amp;P 500</t>
  </si>
  <si>
    <t>Allostery Master Fund LP</t>
  </si>
  <si>
    <t>NBI</t>
  </si>
  <si>
    <t>Annual Volatility</t>
  </si>
  <si>
    <t>S&amp;P 500 Beta</t>
  </si>
  <si>
    <t>S&amp;P 500 Corr</t>
  </si>
  <si>
    <t>Information Ratio</t>
  </si>
  <si>
    <t>HFRX Mkt Neutral</t>
  </si>
  <si>
    <t>DailyRetNetLog</t>
  </si>
  <si>
    <t>XBI US Equity</t>
  </si>
  <si>
    <t>AMF LMV</t>
  </si>
  <si>
    <t>AMF SMV</t>
  </si>
  <si>
    <t>XBI Index</t>
  </si>
  <si>
    <t>XBI Correl</t>
  </si>
  <si>
    <t>XBI Beta</t>
  </si>
  <si>
    <t>XBI Corr</t>
  </si>
  <si>
    <t>RGUSHSBT Index</t>
  </si>
  <si>
    <t>XBI</t>
  </si>
  <si>
    <t>RGUSHSBT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</si>
</sst>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\ %"/>
    <numFmt numFmtId="165" formatCode="[$-F800]dddd\,\ mmmm\ dd\,\ yyyy"/>
    <numFmt numFmtId="166" formatCode="0.0\ %"/>
    <numFmt numFmtId="167" formatCode="0.00\ %"/>
    <numFmt numFmtId="168" formatCode="[$-409]mmmm\-yyyy;@"/>
    <numFmt numFmtId="169" formatCode="0.00000\ %"/>
    <numFmt numFmtId="170" formatCode="0.00000000"/>
    <numFmt numFmtId="171" formatCode="#,##0.0000000000"/>
    <numFmt numFmtId="172" formatCode="0.00000000%"/>
    <numFmt numFmtId="173" formatCode="\+0.00;\-0.00;0.00"/>
    <numFmt numFmtId="174" formatCode="#,##0.000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0"/>
      <name val="Segoe UI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indexed="64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 indent="1"/>
    </xf>
    <xf numFmtId="0" fontId="0" fillId="0" borderId="0" xfId="0" applyAlignment="1">
      <alignment horizontal="left" indent="1"/>
    </xf>
    <xf numFmtId="14" fontId="0" fillId="0" borderId="2" xfId="0" applyNumberFormat="1" applyBorder="1" applyAlignment="1">
      <alignment horizontal="right" indent="1"/>
    </xf>
    <xf numFmtId="0" fontId="0" fillId="0" borderId="2" xfId="0" applyBorder="1" applyAlignment="1">
      <alignment horizontal="left" indent="1"/>
    </xf>
    <xf numFmtId="14" fontId="0" fillId="0" borderId="3" xfId="0" applyNumberFormat="1" applyBorder="1" applyAlignment="1">
      <alignment horizontal="right" indent="1"/>
    </xf>
    <xf numFmtId="0" fontId="0" fillId="0" borderId="3" xfId="0" applyBorder="1" applyAlignment="1">
      <alignment horizontal="left" indent="1"/>
    </xf>
    <xf numFmtId="164" fontId="0" fillId="0" borderId="2" xfId="0" applyNumberFormat="1" applyBorder="1" applyAlignment="1">
      <alignment horizontal="right" indent="1"/>
    </xf>
    <xf numFmtId="164" fontId="0" fillId="0" borderId="3" xfId="0" applyNumberFormat="1" applyBorder="1" applyAlignment="1">
      <alignment horizontal="right" indent="1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right" indent="1"/>
    </xf>
    <xf numFmtId="0" fontId="1" fillId="3" borderId="1" xfId="0" applyFont="1" applyFill="1" applyBorder="1" applyAlignment="1">
      <alignment horizontal="left" indent="1"/>
    </xf>
    <xf numFmtId="0" fontId="4" fillId="3" borderId="1" xfId="0" applyFont="1" applyFill="1" applyBorder="1" applyAlignment="1">
      <alignment horizontal="right" vertical="center" indent="1"/>
    </xf>
    <xf numFmtId="14" fontId="0" fillId="2" borderId="1" xfId="0" applyNumberFormat="1" applyFill="1" applyBorder="1" applyAlignment="1">
      <alignment horizontal="right" indent="1"/>
    </xf>
    <xf numFmtId="0" fontId="1" fillId="4" borderId="1" xfId="0" applyFont="1" applyFill="1" applyBorder="1" applyAlignment="1">
      <alignment horizontal="right" indent="1"/>
    </xf>
    <xf numFmtId="0" fontId="1" fillId="4" borderId="1" xfId="0" applyFont="1" applyFill="1" applyBorder="1" applyAlignment="1">
      <alignment horizontal="left" indent="1"/>
    </xf>
    <xf numFmtId="165" fontId="0" fillId="0" borderId="1" xfId="0" applyNumberFormat="1" applyBorder="1" applyAlignment="1">
      <alignment horizontal="left" indent="1"/>
    </xf>
    <xf numFmtId="0" fontId="0" fillId="5" borderId="1" xfId="0" applyFill="1" applyBorder="1" applyAlignment="1">
      <alignment horizontal="left" indent="1"/>
    </xf>
    <xf numFmtId="2" fontId="0" fillId="0" borderId="1" xfId="0" applyNumberFormat="1" applyBorder="1" applyAlignment="1">
      <alignment horizontal="right" indent="1"/>
    </xf>
    <xf numFmtId="167" fontId="0" fillId="0" borderId="1" xfId="0" applyNumberFormat="1" applyBorder="1" applyAlignment="1">
      <alignment horizontal="right" indent="1"/>
    </xf>
    <xf numFmtId="2" fontId="2" fillId="6" borderId="1" xfId="0" applyNumberFormat="1" applyFont="1" applyFill="1" applyBorder="1" applyAlignment="1">
      <alignment horizontal="right" indent="1"/>
    </xf>
    <xf numFmtId="167" fontId="2" fillId="6" borderId="1" xfId="0" applyNumberFormat="1" applyFont="1" applyFill="1" applyBorder="1" applyAlignment="1">
      <alignment horizontal="right" indent="1"/>
    </xf>
    <xf numFmtId="0" fontId="2" fillId="0" borderId="0" xfId="0" applyFont="1" applyAlignment="1">
      <alignment horizontal="left" indent="1"/>
    </xf>
    <xf numFmtId="168" fontId="2" fillId="0" borderId="0" xfId="0" applyNumberFormat="1" applyFont="1" applyAlignment="1">
      <alignment horizontal="left" indent="1"/>
    </xf>
    <xf numFmtId="10" fontId="0" fillId="0" borderId="0" xfId="0" applyNumberFormat="1" applyAlignment="1">
      <alignment horizontal="left" indent="1"/>
    </xf>
    <xf numFmtId="0" fontId="0" fillId="0" borderId="5" xfId="0" applyBorder="1" applyAlignment="1">
      <alignment horizontal="right" indent="1"/>
    </xf>
    <xf numFmtId="0" fontId="2" fillId="0" borderId="4" xfId="0" applyFont="1" applyBorder="1" applyAlignment="1">
      <alignment horizontal="right" indent="1"/>
    </xf>
    <xf numFmtId="0" fontId="2" fillId="0" borderId="4" xfId="0" applyFont="1" applyBorder="1"/>
    <xf numFmtId="0" fontId="0" fillId="0" borderId="5" xfId="0" applyBorder="1" applyAlignment="1">
      <alignment horizontal="left" indent="1"/>
    </xf>
    <xf numFmtId="166" fontId="0" fillId="0" borderId="5" xfId="0" applyNumberFormat="1" applyBorder="1" applyAlignment="1">
      <alignment horizontal="right" indent="1"/>
    </xf>
    <xf numFmtId="169" fontId="0" fillId="0" borderId="0" xfId="0" applyNumberFormat="1"/>
    <xf numFmtId="169" fontId="4" fillId="3" borderId="1" xfId="0" applyNumberFormat="1" applyFont="1" applyFill="1" applyBorder="1" applyAlignment="1">
      <alignment horizontal="right" vertical="center" indent="1"/>
    </xf>
    <xf numFmtId="169" fontId="0" fillId="0" borderId="2" xfId="0" applyNumberFormat="1" applyBorder="1" applyAlignment="1">
      <alignment horizontal="right" indent="1"/>
    </xf>
    <xf numFmtId="169" fontId="0" fillId="0" borderId="3" xfId="0" applyNumberFormat="1" applyBorder="1" applyAlignment="1">
      <alignment horizontal="right" indent="1"/>
    </xf>
    <xf numFmtId="165" fontId="6" fillId="0" borderId="1" xfId="0" applyNumberFormat="1" applyFont="1" applyBorder="1" applyAlignment="1">
      <alignment horizontal="left" indent="1"/>
    </xf>
    <xf numFmtId="167" fontId="6" fillId="0" borderId="1" xfId="0" applyNumberFormat="1" applyFont="1" applyBorder="1" applyAlignment="1">
      <alignment horizontal="right" indent="1"/>
    </xf>
    <xf numFmtId="0" fontId="6" fillId="0" borderId="0" xfId="0" applyFont="1"/>
    <xf numFmtId="166" fontId="6" fillId="0" borderId="1" xfId="0" applyNumberFormat="1" applyFont="1" applyBorder="1" applyAlignment="1">
      <alignment horizontal="right" indent="1"/>
    </xf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64" fontId="6" fillId="0" borderId="3" xfId="0" applyNumberFormat="1" applyFont="1" applyBorder="1" applyAlignment="1">
      <alignment horizontal="right" indent="1"/>
    </xf>
    <xf numFmtId="169" fontId="6" fillId="0" borderId="3" xfId="0" applyNumberFormat="1" applyFont="1" applyBorder="1" applyAlignment="1">
      <alignment horizontal="right" indent="1"/>
    </xf>
    <xf numFmtId="173" fontId="0" fillId="0" borderId="5" xfId="0" applyNumberFormat="1" applyBorder="1" applyAlignment="1">
      <alignment horizontal="right" indent="1"/>
    </xf>
    <xf numFmtId="174" fontId="0" fillId="0" borderId="0" xfId="0" applyNumberFormat="1"/>
    <xf numFmtId="2" fontId="2" fillId="7" borderId="1" xfId="0" applyNumberFormat="1" applyFont="1" applyFill="1" applyBorder="1" applyAlignment="1">
      <alignment horizontal="right" indent="1"/>
    </xf>
    <xf numFmtId="0" fontId="6" fillId="8" borderId="5" xfId="0" applyFont="1" applyFill="1" applyBorder="1" applyAlignment="1">
      <alignment horizontal="left" indent="1"/>
    </xf>
    <xf numFmtId="0" fontId="6" fillId="8" borderId="5" xfId="0" applyFont="1" applyFill="1" applyBorder="1" applyAlignment="1">
      <alignment horizontal="right" indent="1"/>
    </xf>
    <xf numFmtId="166" fontId="6" fillId="8" borderId="5" xfId="0" applyNumberFormat="1" applyFont="1" applyFill="1" applyBorder="1" applyAlignment="1">
      <alignment horizontal="right" indent="1"/>
    </xf>
    <xf numFmtId="173" fontId="6" fillId="8" borderId="5" xfId="0" applyNumberFormat="1" applyFont="1" applyFill="1" applyBorder="1" applyAlignment="1">
      <alignment horizontal="right" indent="1"/>
    </xf>
    <xf numFmtId="173" fontId="0" fillId="8" borderId="5" xfId="0" applyNumberFormat="1" applyFill="1" applyBorder="1" applyAlignment="1">
      <alignment horizontal="right" indent="1"/>
    </xf>
    <xf numFmtId="0" fontId="0" fillId="8" borderId="5" xfId="0" applyFill="1" applyBorder="1" applyAlignment="1">
      <alignment horizontal="right" indent="1"/>
    </xf>
  </cellXfs>
  <cellStyles count="1">
    <cellStyle name="Normal" xfId="0" builtinId="0"/>
  </cellStyles>
  <dxfs count="1"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ee Kafafian" id="{663011C4-DE31-417C-9251-D06805A9E8C8}" userId="S::Lee.Kafafian@allosteryinvest.com::96ea7a48-ff48-4736-932b-a090c4d1b5cf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9-08T01:52:37.59" personId="{663011C4-DE31-417C-9251-D06805A9E8C8}" id="{CCE76A77-8657-4845-B189-E59F121865AA}">
    <text>Geo Ret /Arith Std Dev</text>
  </threadedComment>
  <threadedComment ref="F6" dT="2023-09-08T01:52:13.18" personId="{663011C4-DE31-417C-9251-D06805A9E8C8}" id="{EAEABE61-8E4E-4FF2-96A0-D33196D1E503}">
    <text>Geo Ret /Arith Std Dev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2DBE-B9BD-47E3-B4EA-450D1C4EB286}">
  <sheetPr codeName="Sheet2"/>
  <dimension ref="B1:S43"/>
  <sheetViews>
    <sheetView showGridLines="0" tabSelected="1" zoomScale="91" zoomScaleNormal="91" workbookViewId="0">
      <selection activeCell="B1" sqref="B1"/>
    </sheetView>
  </sheetViews>
  <sheetFormatPr defaultRowHeight="14.5" x14ac:dyDescent="0.35"/>
  <cols>
    <col min="1" max="1" width="2.81640625" customWidth="1"/>
    <col min="2" max="2" width="20.7265625" style="3" customWidth="1"/>
    <col min="3" max="4" width="15.7265625" style="2" customWidth="1"/>
    <col min="5" max="5" width="3.26953125" customWidth="1"/>
    <col min="6" max="6" width="20.7265625" style="3" customWidth="1"/>
    <col min="7" max="7" width="20.7265625" style="2" customWidth="1"/>
    <col min="8" max="8" width="3.26953125" customWidth="1"/>
    <col min="9" max="9" width="18.7265625" style="3" customWidth="1"/>
    <col min="10" max="10" width="16.54296875" style="2" customWidth="1"/>
    <col min="11" max="11" width="3.26953125" customWidth="1"/>
    <col min="12" max="12" width="18.81640625" style="3" customWidth="1"/>
    <col min="13" max="13" width="15.7265625" style="2" customWidth="1"/>
    <col min="14" max="14" width="3.26953125" customWidth="1"/>
    <col min="15" max="15" width="18.81640625" style="3" customWidth="1"/>
    <col min="16" max="16" width="15.7265625" style="2" customWidth="1"/>
    <col min="17" max="17" width="3.26953125" customWidth="1"/>
    <col min="18" max="18" width="18.81640625" style="3" customWidth="1"/>
    <col min="19" max="19" width="15.7265625" style="2" customWidth="1"/>
  </cols>
  <sheetData>
    <row r="1" spans="2:19" x14ac:dyDescent="0.35">
      <c r="B1" s="25">
        <f>AMF!EndDate</f>
        <v>45657</v>
      </c>
    </row>
    <row r="3" spans="2:19" x14ac:dyDescent="0.35">
      <c r="B3" s="17" t="s">
        <v>2</v>
      </c>
      <c r="C3" s="16" t="s">
        <v>21</v>
      </c>
      <c r="D3" s="16" t="s">
        <v>22</v>
      </c>
      <c r="F3" s="17" t="s">
        <v>11</v>
      </c>
      <c r="G3" s="16" t="s">
        <v>21</v>
      </c>
      <c r="I3" s="17" t="s">
        <v>10</v>
      </c>
      <c r="J3" s="16" t="s">
        <v>21</v>
      </c>
      <c r="L3" s="17" t="s">
        <v>9</v>
      </c>
      <c r="M3" s="16" t="s">
        <v>21</v>
      </c>
      <c r="O3" s="17" t="s">
        <v>36</v>
      </c>
      <c r="P3" s="16" t="s">
        <v>21</v>
      </c>
      <c r="R3" s="17" t="s">
        <v>40</v>
      </c>
      <c r="S3" s="16" t="s">
        <v>21</v>
      </c>
    </row>
    <row r="4" spans="2:19" x14ac:dyDescent="0.35">
      <c r="B4" s="18" t="s">
        <v>12</v>
      </c>
      <c r="C4" s="21">
        <f>SQRT(AMF_DayCount)*STDEV(AMF!DailyReturn)</f>
        <v>0.19327604266317092</v>
      </c>
      <c r="D4" s="23">
        <f>SQRT(AMF_DayCount)*STDEV(AMF!DailyReturnNet)</f>
        <v>0.16542206424258954</v>
      </c>
      <c r="F4" s="18" t="s">
        <v>12</v>
      </c>
      <c r="G4" s="23">
        <f>SQRT(HFRXEMN_DayCount)*STDEV('HFRXEMN Index'!DailyReturn)</f>
        <v>2.0783945320921895E-2</v>
      </c>
      <c r="I4" s="18" t="s">
        <v>12</v>
      </c>
      <c r="J4" s="23">
        <f>SQRT(NBI_DayCount)*STDEV('NBI Index'!DailyReturn)</f>
        <v>0.17177660295485495</v>
      </c>
      <c r="L4" s="18" t="s">
        <v>12</v>
      </c>
      <c r="M4" s="23">
        <f>SQRT(SPXT_DayCount)*STDEV('SPXT Index'!DailyReturn)</f>
        <v>0.12878433693614291</v>
      </c>
      <c r="O4" s="18" t="s">
        <v>12</v>
      </c>
      <c r="P4" s="23">
        <f>SQRT(XBI_DayCount)*STDEV('XBI US Equity'!DailyReturn)</f>
        <v>0.26924514206071415</v>
      </c>
      <c r="R4" s="18" t="s">
        <v>12</v>
      </c>
      <c r="S4" s="23">
        <f>SQRT(RGUSHSBT_DayCount)*STDEV('RGUSHSBT Index'!DailyReturn)</f>
        <v>0.30520207172762071</v>
      </c>
    </row>
    <row r="5" spans="2:19" x14ac:dyDescent="0.35">
      <c r="B5" s="36" t="s">
        <v>13</v>
      </c>
      <c r="C5" s="37">
        <f>(EXP(AVERAGE(AMF!DailyReturn))^AMF_DayCount)-1</f>
        <v>9.7268688671254822E-2</v>
      </c>
      <c r="D5" s="37">
        <f>(EXP(AVERAGE(AMF!DailyRetNetLog))^AMF_DayCount)-1</f>
        <v>3.4752068744398068E-2</v>
      </c>
      <c r="E5" s="38"/>
      <c r="F5" s="36" t="s">
        <v>13</v>
      </c>
      <c r="G5" s="39">
        <f>(EXP(AVERAGE('HFRXEMN Index'!DailyReNetLog))^HFRXEMN_DayCount)-1</f>
        <v>5.886101397545751E-2</v>
      </c>
      <c r="H5" s="38"/>
      <c r="I5" s="36" t="s">
        <v>13</v>
      </c>
      <c r="J5" s="39">
        <f>(EXP(AVERAGE('NBI Index'!DailyRetNetLog))^NBI_DayCount)-1</f>
        <v>1.9050228613977538E-2</v>
      </c>
      <c r="K5" s="38"/>
      <c r="L5" s="36" t="s">
        <v>13</v>
      </c>
      <c r="M5" s="39">
        <f>(EXP(AVERAGE('SPXT Index'!DailyRetNetLog))^SPXT_DayCount)-1</f>
        <v>0.25654349332241089</v>
      </c>
      <c r="N5" s="38"/>
      <c r="O5" s="36" t="s">
        <v>13</v>
      </c>
      <c r="P5" s="39">
        <f>(EXP(AVERAGE('XBI US Equity'!DailyRetNetLog))^XBI_DayCount)-1</f>
        <v>4.1327019027237233E-2</v>
      </c>
      <c r="Q5" s="38"/>
      <c r="R5" s="36" t="s">
        <v>13</v>
      </c>
      <c r="S5" s="39">
        <f>(EXP(AVERAGE('RGUSHSBT Index'!DailyRetNetLog))^RGUSHSBT_DayCount)-1</f>
        <v>6.7962048367438799E-2</v>
      </c>
    </row>
    <row r="6" spans="2:19" x14ac:dyDescent="0.35">
      <c r="B6" s="18" t="s">
        <v>14</v>
      </c>
      <c r="C6" s="20">
        <f>C5/C4</f>
        <v>0.50326303938646166</v>
      </c>
      <c r="D6" s="22">
        <f>D5/D4</f>
        <v>0.21008121802563509</v>
      </c>
      <c r="F6" s="18" t="s">
        <v>14</v>
      </c>
      <c r="G6" s="22">
        <f>G5/G4</f>
        <v>2.8320423801445349</v>
      </c>
      <c r="I6" s="18" t="s">
        <v>14</v>
      </c>
      <c r="J6" s="22">
        <f>J5/J4</f>
        <v>0.11090118378335947</v>
      </c>
      <c r="L6" s="18" t="s">
        <v>14</v>
      </c>
      <c r="M6" s="22">
        <f>M5/M4</f>
        <v>1.9920395556302528</v>
      </c>
      <c r="O6" s="18" t="s">
        <v>14</v>
      </c>
      <c r="P6" s="22">
        <f>P5/P4</f>
        <v>0.15349216223896842</v>
      </c>
      <c r="R6" s="18" t="s">
        <v>14</v>
      </c>
      <c r="S6" s="22">
        <f>S5/S4</f>
        <v>0.22267885661042272</v>
      </c>
    </row>
    <row r="7" spans="2:19" x14ac:dyDescent="0.35">
      <c r="B7" s="18" t="s">
        <v>15</v>
      </c>
      <c r="C7" s="20">
        <f>CORREL(AMF!DailyReturn,'SPXT Index'!DailyReturn)</f>
        <v>1.1726687255214057E-3</v>
      </c>
      <c r="D7" s="22">
        <f>CORREL(AMF!DailyReturnNet,'SPXT Index'!DailyReturn)</f>
        <v>6.1488218077586287E-3</v>
      </c>
      <c r="F7" s="18" t="s">
        <v>15</v>
      </c>
      <c r="G7" s="22">
        <f>CORREL('HFRXEMN Index'!DailyReturn,'SPXT Index'!DailyReturn)</f>
        <v>0.26082559355810331</v>
      </c>
      <c r="I7" s="18" t="s">
        <v>15</v>
      </c>
      <c r="J7" s="22">
        <f>CORREL('SPXT Index'!DailyReturn,'NBI Index'!DailyReturn)</f>
        <v>0.59300771758909321</v>
      </c>
      <c r="L7" s="18" t="s">
        <v>15</v>
      </c>
      <c r="M7" s="22">
        <f>CORREL('SPXT Index'!DailyReturn,'SPXT Index'!DailyReturn)</f>
        <v>1.0000000000000002</v>
      </c>
      <c r="O7" s="18" t="s">
        <v>15</v>
      </c>
      <c r="P7" s="22">
        <f>CORREL('XBI US Equity'!DailyReturn, 'SPXT Index'!DailyReturn)</f>
        <v>0.53131562948941358</v>
      </c>
      <c r="R7" s="18" t="s">
        <v>15</v>
      </c>
      <c r="S7" s="22">
        <f>CORREL('RGUSHSBT Index'!DailyReturn, 'SPXT Index'!DailyReturn)</f>
        <v>0.54400596334673301</v>
      </c>
    </row>
    <row r="8" spans="2:19" x14ac:dyDescent="0.35">
      <c r="B8" s="18" t="s">
        <v>16</v>
      </c>
      <c r="C8" s="20">
        <f>C7*C4/(M4)</f>
        <v>1.7599094425281249E-3</v>
      </c>
      <c r="D8" s="22">
        <f>D7*D4/(M4)</f>
        <v>7.8980939786461191E-3</v>
      </c>
      <c r="F8" s="18" t="s">
        <v>16</v>
      </c>
      <c r="G8" s="22">
        <f>G7*G4/(M4)</f>
        <v>4.2093510777607888E-2</v>
      </c>
      <c r="I8" s="18" t="s">
        <v>16</v>
      </c>
      <c r="J8" s="22">
        <f>J7*J4/(M4)</f>
        <v>0.7909723626094034</v>
      </c>
      <c r="L8" s="18" t="s">
        <v>16</v>
      </c>
      <c r="M8" s="22">
        <f>M7*M4/(M4)</f>
        <v>1.0000000000000002</v>
      </c>
      <c r="O8" s="18" t="s">
        <v>16</v>
      </c>
      <c r="P8" s="22">
        <f>P7*P4/($M4)</f>
        <v>1.1108039653291661</v>
      </c>
      <c r="R8" s="18" t="s">
        <v>16</v>
      </c>
      <c r="S8" s="22">
        <f>S7*S4/($M4)</f>
        <v>1.28922313843126</v>
      </c>
    </row>
    <row r="9" spans="2:19" x14ac:dyDescent="0.35">
      <c r="B9" s="18" t="s">
        <v>37</v>
      </c>
      <c r="C9" s="20">
        <f>CORREL(AMF!DailyReturn,'XBI US Equity'!DailyReturn)</f>
        <v>0.16067669902086687</v>
      </c>
      <c r="D9" s="47">
        <f>CORREL(AMF!DailyReturnNet,'XBI US Equity'!DailyReturn)</f>
        <v>0.16849683764270743</v>
      </c>
      <c r="F9" s="18" t="s">
        <v>37</v>
      </c>
      <c r="G9" s="47">
        <f>CORREL('HFRXEMN Index'!DailyReturn,'XBI US Equity'!DailyReturn)</f>
        <v>6.2434566048273535E-2</v>
      </c>
      <c r="I9" s="18" t="s">
        <v>37</v>
      </c>
      <c r="J9" s="47">
        <f>CORREL('NBI Index'!DailyReturn,'XBI US Equity'!DailyReturn)</f>
        <v>0.89588432748602442</v>
      </c>
      <c r="L9" s="18" t="s">
        <v>37</v>
      </c>
      <c r="M9" s="47">
        <f>CORREL('SPXT Index'!DailyReturn,'XBI US Equity'!DailyReturn)</f>
        <v>0.53131562948941358</v>
      </c>
      <c r="O9" s="18" t="s">
        <v>37</v>
      </c>
      <c r="P9" s="47">
        <f>CORREL('XBI US Equity'!DailyReturn,'XBI US Equity'!DailyReturn)</f>
        <v>1.0000000000000002</v>
      </c>
      <c r="R9" s="18" t="s">
        <v>37</v>
      </c>
      <c r="S9" s="47">
        <f>CORREL('XBI US Equity'!DailyReturn,'XBI US Equity'!DailyReturn)</f>
        <v>1.0000000000000002</v>
      </c>
    </row>
    <row r="10" spans="2:19" x14ac:dyDescent="0.35">
      <c r="B10" s="18" t="s">
        <v>38</v>
      </c>
      <c r="C10" s="20">
        <f>C9*C4/$P4</f>
        <v>0.11534082396900487</v>
      </c>
      <c r="D10" s="47">
        <f>D9*D4/($P4)</f>
        <v>0.10352311090136515</v>
      </c>
      <c r="F10" s="18" t="s">
        <v>38</v>
      </c>
      <c r="G10" s="47">
        <f>G9*G4/($P4)</f>
        <v>4.8195358213378265E-3</v>
      </c>
      <c r="I10" s="18" t="s">
        <v>38</v>
      </c>
      <c r="J10" s="47">
        <f>J9*J4/($P4)</f>
        <v>0.57156821934912305</v>
      </c>
      <c r="L10" s="18" t="s">
        <v>38</v>
      </c>
      <c r="M10" s="47">
        <f>M9*M4/($P4)</f>
        <v>0.25413691970038887</v>
      </c>
      <c r="O10" s="18" t="s">
        <v>38</v>
      </c>
      <c r="P10" s="47">
        <f>P9*P4/($P4)</f>
        <v>1.0000000000000002</v>
      </c>
      <c r="R10" s="18" t="s">
        <v>38</v>
      </c>
      <c r="S10" s="47">
        <f>S9*S4/($P4)</f>
        <v>1.1335471808022386</v>
      </c>
    </row>
    <row r="11" spans="2:19" x14ac:dyDescent="0.35">
      <c r="B11" s="18" t="s">
        <v>17</v>
      </c>
      <c r="C11" s="20">
        <f>KURT(AMF!DailyReturn)</f>
        <v>2.7128195784999494</v>
      </c>
      <c r="D11" s="20">
        <f>KURT(AMF!DailyReturnNet)</f>
        <v>2.7750236180123378</v>
      </c>
      <c r="F11" s="18" t="s">
        <v>17</v>
      </c>
      <c r="G11" s="20">
        <f>KURT('HFRXEMN Index'!DailyReturn)</f>
        <v>0.95506754541014827</v>
      </c>
      <c r="I11" s="18" t="s">
        <v>17</v>
      </c>
      <c r="J11" s="20">
        <f>KURT('NBI Index'!DailyReturn)</f>
        <v>0.7742372668423072</v>
      </c>
      <c r="L11" s="18" t="s">
        <v>17</v>
      </c>
      <c r="M11" s="20">
        <f>KURT('SPXT Index'!DailyReturn)</f>
        <v>0.7133206374992378</v>
      </c>
      <c r="O11" s="18" t="s">
        <v>17</v>
      </c>
      <c r="P11" s="20">
        <f>KURT('XBI US Equity'!DailyReturn)</f>
        <v>0.45139482762697769</v>
      </c>
      <c r="R11" s="18" t="s">
        <v>17</v>
      </c>
      <c r="S11" s="20">
        <f>KURT('RGUSHSBT Index'!DailyReturn)</f>
        <v>0.48710381101250455</v>
      </c>
    </row>
    <row r="12" spans="2:19" x14ac:dyDescent="0.35">
      <c r="B12" s="18" t="s">
        <v>18</v>
      </c>
      <c r="C12" s="20">
        <f>SKEW(AMF!DailyReturn)</f>
        <v>-9.4694557618728032E-4</v>
      </c>
      <c r="D12" s="20">
        <f>SKEW(AMF!DailyReturnNet)</f>
        <v>-0.21905147164871033</v>
      </c>
      <c r="F12" s="18" t="s">
        <v>18</v>
      </c>
      <c r="G12" s="20">
        <f>SKEW('HFRXEMN Index'!DailyReturn)</f>
        <v>5.6131411144223757E-2</v>
      </c>
      <c r="I12" s="18" t="s">
        <v>18</v>
      </c>
      <c r="J12" s="20">
        <f>SKEW('NBI Index'!DailyReturn)</f>
        <v>-0.28768088202393921</v>
      </c>
      <c r="L12" s="18" t="s">
        <v>18</v>
      </c>
      <c r="M12" s="20">
        <f>SKEW('SPXT Index'!DailyReturn)</f>
        <v>-0.24920134714388084</v>
      </c>
      <c r="O12" s="18" t="s">
        <v>18</v>
      </c>
      <c r="P12" s="20">
        <f>SKEW('XBI US Equity'!DailyReturn)</f>
        <v>4.8795092494784011E-2</v>
      </c>
      <c r="R12" s="18" t="s">
        <v>18</v>
      </c>
      <c r="S12" s="20">
        <f>SKEW('RGUSHSBT Index'!DailyReturn)</f>
        <v>4.3352275504764844E-2</v>
      </c>
    </row>
    <row r="13" spans="2:19" x14ac:dyDescent="0.35">
      <c r="B13" s="18" t="s">
        <v>19</v>
      </c>
      <c r="C13" s="21">
        <f>MAX(AMF!DailyReturn)</f>
        <v>6.1789057438623299E-2</v>
      </c>
      <c r="D13" s="21">
        <f>MAX(AMF!DailyReturnNet)</f>
        <v>4.9431245950898643E-2</v>
      </c>
      <c r="F13" s="18" t="s">
        <v>19</v>
      </c>
      <c r="G13" s="21">
        <f>MAX('HFRXEMN Index'!DailyReturn)</f>
        <v>5.07846493898089E-3</v>
      </c>
      <c r="I13" s="18" t="s">
        <v>19</v>
      </c>
      <c r="J13" s="21">
        <f>MAX('NBI Index'!DailyReturn)</f>
        <v>4.0314260185317703E-2</v>
      </c>
      <c r="L13" s="18" t="s">
        <v>19</v>
      </c>
      <c r="M13" s="21">
        <f>MAX('SPXT Index'!DailyReturn)</f>
        <v>2.5300213513240299E-2</v>
      </c>
      <c r="O13" s="18" t="s">
        <v>19</v>
      </c>
      <c r="P13" s="21">
        <f>MAX('XBI US Equity'!DailyReturn)</f>
        <v>5.7016642695705701E-2</v>
      </c>
      <c r="R13" s="18" t="s">
        <v>19</v>
      </c>
      <c r="S13" s="21">
        <f>MAX('RGUSHSBT Index'!DailyReturn)</f>
        <v>6.6291394009611801E-2</v>
      </c>
    </row>
    <row r="14" spans="2:19" x14ac:dyDescent="0.35">
      <c r="B14" s="18" t="s">
        <v>20</v>
      </c>
      <c r="C14" s="21">
        <f>MIN(AMF!DailyReturn)</f>
        <v>-4.9979061311828402E-2</v>
      </c>
      <c r="D14" s="21">
        <f>MIN(AMF!DailyReturnNet)</f>
        <v>-4.9250549999999997E-2</v>
      </c>
      <c r="F14" s="18" t="s">
        <v>20</v>
      </c>
      <c r="G14" s="21">
        <f>MIN('HFRXEMN Index'!DailyReturn)</f>
        <v>-4.1625593115265699E-3</v>
      </c>
      <c r="I14" s="18" t="s">
        <v>20</v>
      </c>
      <c r="J14" s="21">
        <f>MIN('NBI Index'!DailyReturn)</f>
        <v>-4.4389251327030199E-2</v>
      </c>
      <c r="L14" s="18" t="s">
        <v>20</v>
      </c>
      <c r="M14" s="21">
        <f>MIN('SPXT Index'!DailyReturn)</f>
        <v>-2.99266957918209E-2</v>
      </c>
      <c r="O14" s="18" t="s">
        <v>20</v>
      </c>
      <c r="P14" s="21">
        <f>MIN('XBI US Equity'!DailyReturn)</f>
        <v>-5.2908415841584101E-2</v>
      </c>
      <c r="R14" s="18" t="s">
        <v>20</v>
      </c>
      <c r="S14" s="21">
        <f>MIN('RGUSHSBT Index'!DailyReturn)</f>
        <v>-6.0828881755836402E-2</v>
      </c>
    </row>
    <row r="15" spans="2:19" x14ac:dyDescent="0.35">
      <c r="B15" s="19">
        <v>252</v>
      </c>
      <c r="F15" s="19">
        <v>252</v>
      </c>
      <c r="I15" s="19">
        <f>L15</f>
        <v>252</v>
      </c>
      <c r="L15" s="19">
        <v>252</v>
      </c>
      <c r="O15" s="19">
        <v>252</v>
      </c>
      <c r="R15" s="19">
        <v>252</v>
      </c>
    </row>
    <row r="18" spans="2:12" x14ac:dyDescent="0.35">
      <c r="B18" s="24" t="s">
        <v>23</v>
      </c>
    </row>
    <row r="19" spans="2:12" x14ac:dyDescent="0.35">
      <c r="D19" s="28" t="s">
        <v>27</v>
      </c>
      <c r="E19" s="29"/>
      <c r="F19" s="28" t="s">
        <v>28</v>
      </c>
      <c r="G19" s="28" t="s">
        <v>29</v>
      </c>
      <c r="H19" s="28"/>
      <c r="I19" s="28" t="s">
        <v>30</v>
      </c>
      <c r="J19" s="28" t="s">
        <v>38</v>
      </c>
      <c r="K19" s="28"/>
      <c r="L19" s="28" t="s">
        <v>39</v>
      </c>
    </row>
    <row r="20" spans="2:12" x14ac:dyDescent="0.35">
      <c r="B20" s="30" t="s">
        <v>25</v>
      </c>
      <c r="C20" s="27"/>
      <c r="D20" s="31">
        <f>D4</f>
        <v>0.16542206424258954</v>
      </c>
      <c r="E20" s="27"/>
      <c r="F20" s="45">
        <f>D8</f>
        <v>7.8980939786461191E-3</v>
      </c>
      <c r="G20" s="45">
        <f>D7</f>
        <v>6.1488218077586287E-3</v>
      </c>
      <c r="H20" s="27"/>
      <c r="I20" s="45">
        <f>D6</f>
        <v>0.21008121802563509</v>
      </c>
      <c r="J20" s="52">
        <f>D10</f>
        <v>0.10352311090136515</v>
      </c>
      <c r="K20" s="53"/>
      <c r="L20" s="52">
        <f>D9</f>
        <v>0.16849683764270743</v>
      </c>
    </row>
    <row r="21" spans="2:12" x14ac:dyDescent="0.35">
      <c r="B21" s="30" t="s">
        <v>26</v>
      </c>
      <c r="C21" s="27"/>
      <c r="D21" s="31">
        <f>J4</f>
        <v>0.17177660295485495</v>
      </c>
      <c r="E21" s="27"/>
      <c r="F21" s="45">
        <f>J8</f>
        <v>0.7909723626094034</v>
      </c>
      <c r="G21" s="45">
        <f>J7</f>
        <v>0.59300771758909321</v>
      </c>
      <c r="H21" s="27"/>
      <c r="I21" s="45">
        <f>J6</f>
        <v>0.11090118378335947</v>
      </c>
      <c r="J21" s="52">
        <f>J10</f>
        <v>0.57156821934912305</v>
      </c>
      <c r="K21" s="53"/>
      <c r="L21" s="52">
        <f>J9</f>
        <v>0.89588432748602442</v>
      </c>
    </row>
    <row r="22" spans="2:12" x14ac:dyDescent="0.35">
      <c r="B22" s="30" t="s">
        <v>41</v>
      </c>
      <c r="C22" s="27"/>
      <c r="D22" s="31">
        <f>P4</f>
        <v>0.26924514206071415</v>
      </c>
      <c r="E22" s="27"/>
      <c r="F22" s="45">
        <f>P8</f>
        <v>1.1108039653291661</v>
      </c>
      <c r="G22" s="45">
        <f>P7</f>
        <v>0.53131562948941358</v>
      </c>
      <c r="H22" s="27"/>
      <c r="I22" s="45">
        <f>P6</f>
        <v>0.15349216223896842</v>
      </c>
      <c r="J22" s="51">
        <f>P10</f>
        <v>1.0000000000000002</v>
      </c>
      <c r="K22" s="49"/>
      <c r="L22" s="51">
        <f>P9</f>
        <v>1.0000000000000002</v>
      </c>
    </row>
    <row r="23" spans="2:12" x14ac:dyDescent="0.35">
      <c r="B23" s="30" t="s">
        <v>42</v>
      </c>
      <c r="C23" s="27"/>
      <c r="D23" s="31">
        <f>S4</f>
        <v>0.30520207172762071</v>
      </c>
      <c r="E23" s="27"/>
      <c r="F23" s="45">
        <f>S8</f>
        <v>1.28922313843126</v>
      </c>
      <c r="G23" s="45">
        <f>S7</f>
        <v>0.54400596334673301</v>
      </c>
      <c r="H23" s="27"/>
      <c r="I23" s="45">
        <f>S6</f>
        <v>0.22267885661042272</v>
      </c>
      <c r="J23" s="51">
        <f>S10</f>
        <v>1.1335471808022386</v>
      </c>
      <c r="K23" s="49"/>
      <c r="L23" s="51">
        <f>S9</f>
        <v>1.0000000000000002</v>
      </c>
    </row>
    <row r="24" spans="2:12" x14ac:dyDescent="0.35">
      <c r="B24" s="48" t="s">
        <v>31</v>
      </c>
      <c r="C24" s="49"/>
      <c r="D24" s="50">
        <f>G4</f>
        <v>2.0783945320921895E-2</v>
      </c>
      <c r="E24" s="49"/>
      <c r="F24" s="51">
        <f>G8</f>
        <v>4.2093510777607888E-2</v>
      </c>
      <c r="G24" s="51">
        <f>G7</f>
        <v>0.26082559355810331</v>
      </c>
      <c r="H24" s="49"/>
      <c r="I24" s="51">
        <f>G6</f>
        <v>2.8320423801445349</v>
      </c>
      <c r="J24" s="52">
        <f>G10</f>
        <v>4.8195358213378265E-3</v>
      </c>
      <c r="K24" s="53"/>
      <c r="L24" s="52">
        <f>G9</f>
        <v>6.2434566048273535E-2</v>
      </c>
    </row>
    <row r="25" spans="2:12" x14ac:dyDescent="0.35">
      <c r="B25" s="48" t="s">
        <v>24</v>
      </c>
      <c r="C25" s="49"/>
      <c r="D25" s="50">
        <f>M4</f>
        <v>0.12878433693614291</v>
      </c>
      <c r="E25" s="49"/>
      <c r="F25" s="51">
        <f>M8</f>
        <v>1.0000000000000002</v>
      </c>
      <c r="G25" s="51">
        <f>M7</f>
        <v>1.0000000000000002</v>
      </c>
      <c r="H25" s="49"/>
      <c r="I25" s="51">
        <f>M6</f>
        <v>1.9920395556302528</v>
      </c>
      <c r="J25" s="52">
        <f>M10</f>
        <v>0.25413691970038887</v>
      </c>
      <c r="K25" s="53"/>
      <c r="L25" s="52">
        <f>M9</f>
        <v>0.53131562948941358</v>
      </c>
    </row>
    <row r="28" spans="2:12" x14ac:dyDescent="0.35">
      <c r="B28" s="26"/>
    </row>
    <row r="33" spans="2:2" x14ac:dyDescent="0.35">
      <c r="B33" s="26"/>
    </row>
    <row r="38" spans="2:2" x14ac:dyDescent="0.35">
      <c r="B38" s="26"/>
    </row>
    <row r="43" spans="2:2" x14ac:dyDescent="0.35">
      <c r="B43" s="2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ED5F-D9A4-48D7-B690-FAED97961EB6}">
  <sheetPr codeName="Sheet1"/>
  <dimension ref="A1:AY1000"/>
  <sheetViews>
    <sheetView showGridLines="0" zoomScale="91" zoomScaleNormal="91" workbookViewId="0">
      <pane ySplit="5" topLeftCell="A460" activePane="bottomLeft" state="frozen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8" width="19.26953125" style="32" customWidth="1"/>
    <col min="9" max="9" width="15.26953125" style="40" customWidth="1"/>
    <col min="10" max="10" width="12.1796875" customWidth="1"/>
    <col min="11" max="11" width="18.7265625" style="41" customWidth="1"/>
  </cols>
  <sheetData>
    <row r="1" spans="1:51" x14ac:dyDescent="0.35">
      <c r="A1" s="10" t="s">
        <v>4</v>
      </c>
      <c r="B1" s="15" t="s">
        <v>2</v>
      </c>
      <c r="AY1" t="s">
        <v>2</v>
      </c>
    </row>
    <row r="2" spans="1:51" x14ac:dyDescent="0.35">
      <c r="A2" s="10" t="s">
        <v>0</v>
      </c>
      <c r="B2" s="15">
        <v>44931</v>
      </c>
      <c r="AY2" t="s">
        <v>34</v>
      </c>
    </row>
    <row r="3" spans="1:51" x14ac:dyDescent="0.35">
      <c r="A3" s="10" t="s">
        <v>1</v>
      </c>
      <c r="B3" s="15">
        <v>45657</v>
      </c>
      <c r="AY3" t="s">
        <v>35</v>
      </c>
    </row>
    <row r="4" spans="1:51" x14ac:dyDescent="0.35">
      <c r="AY4" t="s">
        <v>9</v>
      </c>
    </row>
    <row r="5" spans="1:51" ht="16" x14ac:dyDescent="0.35">
      <c r="B5" s="12" t="s">
        <v>3</v>
      </c>
      <c r="C5" s="13" t="s">
        <v>4</v>
      </c>
      <c r="D5" s="33" t="s">
        <v>5</v>
      </c>
      <c r="E5" s="33" t="s">
        <v>6</v>
      </c>
      <c r="F5" s="33" t="s">
        <v>7</v>
      </c>
      <c r="G5" s="33" t="s">
        <v>8</v>
      </c>
      <c r="H5" s="33" t="s">
        <v>32</v>
      </c>
      <c r="AY5" t="s">
        <v>10</v>
      </c>
    </row>
    <row r="6" spans="1:51" x14ac:dyDescent="0.35">
      <c r="B6" s="4">
        <v>44931</v>
      </c>
      <c r="C6" s="5" t="s">
        <v>2</v>
      </c>
      <c r="D6" s="34">
        <v>-2.08533189360982E-4</v>
      </c>
      <c r="E6" s="34">
        <v>-1.6682655148878562E-4</v>
      </c>
      <c r="F6" s="34">
        <v>-2.0853318936098209E-4</v>
      </c>
      <c r="G6" s="34">
        <v>-1.6682655148880787E-4</v>
      </c>
      <c r="H6" s="34">
        <v>-1.6684046858579774E-4</v>
      </c>
      <c r="AY6" t="s">
        <v>11</v>
      </c>
    </row>
    <row r="7" spans="1:51" x14ac:dyDescent="0.35">
      <c r="B7" s="6">
        <v>44932</v>
      </c>
      <c r="C7" s="7" t="s">
        <v>2</v>
      </c>
      <c r="D7" s="35">
        <v>-5.83394458494935E-3</v>
      </c>
      <c r="E7" s="35">
        <v>-4.6671556679594804E-3</v>
      </c>
      <c r="F7" s="35">
        <v>-6.0412612032394453E-3</v>
      </c>
      <c r="G7" s="35">
        <v>-4.8332036139629997E-3</v>
      </c>
      <c r="H7" s="35">
        <v>-4.6780808452298907E-3</v>
      </c>
      <c r="AY7" t="s">
        <v>33</v>
      </c>
    </row>
    <row r="8" spans="1:51" x14ac:dyDescent="0.35">
      <c r="B8" s="6">
        <v>44935</v>
      </c>
      <c r="C8" s="7" t="s">
        <v>2</v>
      </c>
      <c r="D8" s="35">
        <v>-6.6765329201082801E-3</v>
      </c>
      <c r="E8" s="35">
        <v>-5.3412263360866248E-3</v>
      </c>
      <c r="F8" s="35">
        <v>-1.2677459444045303E-2</v>
      </c>
      <c r="G8" s="35">
        <v>-1.0148614715619009E-2</v>
      </c>
      <c r="H8" s="35">
        <v>-5.3555416825639543E-3</v>
      </c>
    </row>
    <row r="9" spans="1:51" x14ac:dyDescent="0.35">
      <c r="B9" s="6">
        <v>44936</v>
      </c>
      <c r="C9" s="7" t="s">
        <v>2</v>
      </c>
      <c r="D9" s="35">
        <v>-3.6677926227079999E-4</v>
      </c>
      <c r="E9" s="35">
        <v>-2.9342340981664E-4</v>
      </c>
      <c r="F9" s="35">
        <v>-1.3039588877093777E-2</v>
      </c>
      <c r="G9" s="35">
        <v>-1.0439060284300861E-2</v>
      </c>
      <c r="H9" s="35">
        <v>-2.934664668881953E-4</v>
      </c>
    </row>
    <row r="10" spans="1:51" x14ac:dyDescent="0.35">
      <c r="B10" s="6">
        <v>44937</v>
      </c>
      <c r="C10" s="7" t="s">
        <v>2</v>
      </c>
      <c r="D10" s="35">
        <v>1.9381837583047901E-3</v>
      </c>
      <c r="E10" s="35">
        <v>1.5505470066438322E-3</v>
      </c>
      <c r="F10" s="35">
        <v>-1.1126678238165488E-2</v>
      </c>
      <c r="G10" s="35">
        <v>-8.9046995313328825E-3</v>
      </c>
      <c r="H10" s="35">
        <v>1.5493461497970791E-3</v>
      </c>
    </row>
    <row r="11" spans="1:51" x14ac:dyDescent="0.35">
      <c r="B11" s="6">
        <v>44938</v>
      </c>
      <c r="C11" s="7" t="s">
        <v>2</v>
      </c>
      <c r="D11" s="35">
        <v>1.81696308828092E-2</v>
      </c>
      <c r="E11" s="35">
        <v>1.4535704706247361E-2</v>
      </c>
      <c r="F11" s="35">
        <v>6.8407850081044774E-3</v>
      </c>
      <c r="G11" s="35">
        <v>5.501569092029035E-3</v>
      </c>
      <c r="H11" s="35">
        <v>1.4431074052051185E-2</v>
      </c>
    </row>
    <row r="12" spans="1:51" x14ac:dyDescent="0.35">
      <c r="B12" s="6">
        <v>44939</v>
      </c>
      <c r="C12" s="7" t="s">
        <v>2</v>
      </c>
      <c r="D12" s="35">
        <v>1.0997646607712601E-2</v>
      </c>
      <c r="E12" s="35">
        <v>8.7981172861700801E-3</v>
      </c>
      <c r="F12" s="35">
        <v>1.7913664151855579E-2</v>
      </c>
      <c r="G12" s="35">
        <v>1.4348089828328581E-2</v>
      </c>
      <c r="H12" s="35">
        <v>8.7596393763573685E-3</v>
      </c>
    </row>
    <row r="13" spans="1:51" x14ac:dyDescent="0.35">
      <c r="B13" s="6">
        <v>44943</v>
      </c>
      <c r="C13" s="7" t="s">
        <v>2</v>
      </c>
      <c r="D13" s="35">
        <v>-1.0992931334320444E-3</v>
      </c>
      <c r="E13" s="35">
        <v>-8.7945933491173633E-4</v>
      </c>
      <c r="F13" s="35">
        <v>1.679467865042672E-2</v>
      </c>
      <c r="G13" s="35">
        <v>1.3456011931879175E-2</v>
      </c>
      <c r="H13" s="35">
        <v>-8.7984628616117851E-4</v>
      </c>
    </row>
    <row r="14" spans="1:51" x14ac:dyDescent="0.35">
      <c r="B14" s="6">
        <v>44944</v>
      </c>
      <c r="C14" s="7" t="s">
        <v>2</v>
      </c>
      <c r="D14" s="35">
        <v>5.0621549930764996E-3</v>
      </c>
      <c r="E14" s="35">
        <v>4.0497239944611999E-3</v>
      </c>
      <c r="F14" s="35">
        <v>2.1941850909890537E-2</v>
      </c>
      <c r="G14" s="35">
        <v>1.7560229060730626E-2</v>
      </c>
      <c r="H14" s="35">
        <v>4.0415459340686598E-3</v>
      </c>
    </row>
    <row r="15" spans="1:51" x14ac:dyDescent="0.35">
      <c r="B15" s="6">
        <v>44945</v>
      </c>
      <c r="C15" s="7" t="s">
        <v>2</v>
      </c>
      <c r="D15" s="35">
        <v>2.25916047142682E-3</v>
      </c>
      <c r="E15" s="35">
        <v>1.8073283771414561E-3</v>
      </c>
      <c r="F15" s="35">
        <v>2.4250581543562966E-2</v>
      </c>
      <c r="G15" s="35">
        <v>1.939929453816247E-2</v>
      </c>
      <c r="H15" s="35">
        <v>1.8056971243871529E-3</v>
      </c>
    </row>
    <row r="16" spans="1:51" x14ac:dyDescent="0.35">
      <c r="B16" s="6">
        <v>44946</v>
      </c>
      <c r="C16" s="7" t="s">
        <v>2</v>
      </c>
      <c r="D16" s="35">
        <v>-5.5865353014905601E-3</v>
      </c>
      <c r="E16" s="35">
        <v>-4.4692282411924484E-3</v>
      </c>
      <c r="F16" s="35">
        <v>1.8528569512197723E-2</v>
      </c>
      <c r="G16" s="35">
        <v>1.4843366421960935E-2</v>
      </c>
      <c r="H16" s="35">
        <v>-4.4792450979497314E-3</v>
      </c>
    </row>
    <row r="17" spans="2:8" x14ac:dyDescent="0.35">
      <c r="B17" s="6">
        <v>44949</v>
      </c>
      <c r="C17" s="7" t="s">
        <v>2</v>
      </c>
      <c r="D17" s="35">
        <v>1.2652030345525299E-2</v>
      </c>
      <c r="E17" s="35">
        <v>1.012162427642024E-2</v>
      </c>
      <c r="F17" s="35">
        <v>3.1415023881450566E-2</v>
      </c>
      <c r="G17" s="35">
        <v>2.5115229676301309E-2</v>
      </c>
      <c r="H17" s="35">
        <v>1.0070743678916314E-2</v>
      </c>
    </row>
    <row r="18" spans="2:8" x14ac:dyDescent="0.35">
      <c r="B18" s="6">
        <v>44950</v>
      </c>
      <c r="C18" s="7" t="s">
        <v>2</v>
      </c>
      <c r="D18" s="35">
        <v>7.01855501999726E-3</v>
      </c>
      <c r="E18" s="35">
        <v>5.614844015997808E-3</v>
      </c>
      <c r="F18" s="35">
        <v>3.8654066975014389E-2</v>
      </c>
      <c r="G18" s="35">
        <v>3.0871091789357541E-2</v>
      </c>
      <c r="H18" s="35">
        <v>5.5991395373771154E-3</v>
      </c>
    </row>
    <row r="19" spans="2:8" x14ac:dyDescent="0.35">
      <c r="B19" s="6">
        <v>44951</v>
      </c>
      <c r="C19" s="7" t="s">
        <v>2</v>
      </c>
      <c r="D19" s="35">
        <v>7.02412992844748E-3</v>
      </c>
      <c r="E19" s="35">
        <v>5.6193039427579845E-3</v>
      </c>
      <c r="F19" s="35">
        <v>4.5949708092157371E-2</v>
      </c>
      <c r="G19" s="35">
        <v>3.666386977992464E-2</v>
      </c>
      <c r="H19" s="35">
        <v>5.6035745523301565E-3</v>
      </c>
    </row>
    <row r="20" spans="2:8" x14ac:dyDescent="0.35">
      <c r="B20" s="6">
        <v>44952</v>
      </c>
      <c r="C20" s="7" t="s">
        <v>2</v>
      </c>
      <c r="D20" s="35">
        <v>-6.0838685576926101E-3</v>
      </c>
      <c r="E20" s="35">
        <v>-4.8670948461540884E-3</v>
      </c>
      <c r="F20" s="35">
        <v>3.9586287550167798E-2</v>
      </c>
      <c r="G20" s="35">
        <v>3.1618328402124529E-2</v>
      </c>
      <c r="H20" s="35">
        <v>-4.8789777246850685E-3</v>
      </c>
    </row>
    <row r="21" spans="2:8" x14ac:dyDescent="0.35">
      <c r="B21" s="6">
        <v>44953</v>
      </c>
      <c r="C21" s="7" t="s">
        <v>2</v>
      </c>
      <c r="D21" s="35">
        <v>-6.9826579889212797E-3</v>
      </c>
      <c r="E21" s="35">
        <v>-5.5861263911370241E-3</v>
      </c>
      <c r="F21" s="35">
        <v>3.2327212054232612E-2</v>
      </c>
      <c r="G21" s="35">
        <v>2.585557803225691E-2</v>
      </c>
      <c r="H21" s="35">
        <v>-5.6017871443611198E-3</v>
      </c>
    </row>
    <row r="22" spans="2:8" x14ac:dyDescent="0.35">
      <c r="B22" s="6">
        <v>44956</v>
      </c>
      <c r="C22" s="7" t="s">
        <v>2</v>
      </c>
      <c r="D22" s="35">
        <v>-2.3417053180201401E-3</v>
      </c>
      <c r="E22" s="35">
        <v>-1.8733642544161121E-3</v>
      </c>
      <c r="F22" s="35">
        <v>2.9909805931828348E-2</v>
      </c>
      <c r="G22" s="35">
        <v>2.3933776862177902E-2</v>
      </c>
      <c r="H22" s="35">
        <v>-1.8751211958346803E-3</v>
      </c>
    </row>
    <row r="23" spans="2:8" x14ac:dyDescent="0.35">
      <c r="B23" s="6">
        <v>44957</v>
      </c>
      <c r="C23" s="7" t="s">
        <v>2</v>
      </c>
      <c r="D23" s="35">
        <v>9.6090787529803396E-3</v>
      </c>
      <c r="E23" s="35">
        <v>7.6872630023842722E-3</v>
      </c>
      <c r="F23" s="35">
        <v>3.9806290365493879E-2</v>
      </c>
      <c r="G23" s="35">
        <v>3.1805025101942164E-2</v>
      </c>
      <c r="H23" s="35">
        <v>7.6578665521981658E-3</v>
      </c>
    </row>
    <row r="24" spans="2:8" x14ac:dyDescent="0.35">
      <c r="B24" s="6">
        <v>44958</v>
      </c>
      <c r="C24" s="7" t="s">
        <v>2</v>
      </c>
      <c r="D24" s="35">
        <v>-8.2681862943888608E-3</v>
      </c>
      <c r="E24" s="35">
        <v>-6.6145490355110888E-3</v>
      </c>
      <c r="F24" s="35">
        <v>3.1208978246674679E-2</v>
      </c>
      <c r="G24" s="35">
        <v>2.4980100168318753E-2</v>
      </c>
      <c r="H24" s="35">
        <v>-6.6365221132481909E-3</v>
      </c>
    </row>
    <row r="25" spans="2:8" x14ac:dyDescent="0.35">
      <c r="B25" s="6">
        <v>44959</v>
      </c>
      <c r="C25" s="7" t="s">
        <v>2</v>
      </c>
      <c r="D25" s="35">
        <v>-1.10605171925307E-2</v>
      </c>
      <c r="E25" s="35">
        <v>-8.848413754024561E-3</v>
      </c>
      <c r="F25" s="35">
        <v>1.9803273613685279E-2</v>
      </c>
      <c r="G25" s="35">
        <v>1.5910652152387961E-2</v>
      </c>
      <c r="H25" s="35">
        <v>-8.8877934375973591E-3</v>
      </c>
    </row>
    <row r="26" spans="2:8" x14ac:dyDescent="0.35">
      <c r="B26" s="6">
        <v>44960</v>
      </c>
      <c r="C26" s="7" t="s">
        <v>2</v>
      </c>
      <c r="D26" s="35">
        <v>-4.7436510352085702E-3</v>
      </c>
      <c r="E26" s="35">
        <v>-3.7949208281668565E-3</v>
      </c>
      <c r="F26" s="35">
        <v>1.4965682759098708E-2</v>
      </c>
      <c r="G26" s="35">
        <v>1.2055351658978308E-2</v>
      </c>
      <c r="H26" s="35">
        <v>-3.8021398096425123E-3</v>
      </c>
    </row>
    <row r="27" spans="2:8" x14ac:dyDescent="0.35">
      <c r="B27" s="6">
        <v>44963</v>
      </c>
      <c r="C27" s="7" t="s">
        <v>2</v>
      </c>
      <c r="D27" s="35">
        <v>3.8037121397407302E-3</v>
      </c>
      <c r="E27" s="35">
        <v>3.0429697117925845E-3</v>
      </c>
      <c r="F27" s="35">
        <v>1.8826320048029643E-2</v>
      </c>
      <c r="G27" s="35">
        <v>1.5135005440734206E-2</v>
      </c>
      <c r="H27" s="35">
        <v>3.038349250368931E-3</v>
      </c>
    </row>
    <row r="28" spans="2:8" x14ac:dyDescent="0.35">
      <c r="B28" s="6">
        <v>44964</v>
      </c>
      <c r="C28" s="7" t="s">
        <v>2</v>
      </c>
      <c r="D28" s="35">
        <v>1.0037102974052499E-2</v>
      </c>
      <c r="E28" s="35">
        <v>8.0296823792420004E-3</v>
      </c>
      <c r="F28" s="35">
        <v>2.9052384735026582E-2</v>
      </c>
      <c r="G28" s="35">
        <v>2.3286217106473384E-2</v>
      </c>
      <c r="H28" s="35">
        <v>7.9976160204318636E-3</v>
      </c>
    </row>
    <row r="29" spans="2:8" x14ac:dyDescent="0.35">
      <c r="B29" s="6">
        <v>44965</v>
      </c>
      <c r="C29" s="7" t="s">
        <v>2</v>
      </c>
      <c r="D29" s="35">
        <v>4.9217991494476801E-3</v>
      </c>
      <c r="E29" s="35">
        <v>3.9374393195581439E-3</v>
      </c>
      <c r="F29" s="35">
        <v>3.4117173886952568E-2</v>
      </c>
      <c r="G29" s="35">
        <v>2.731534449287043E-2</v>
      </c>
      <c r="H29" s="35">
        <v>3.9297078933963128E-3</v>
      </c>
    </row>
    <row r="30" spans="2:8" x14ac:dyDescent="0.35">
      <c r="B30" s="6">
        <v>44966</v>
      </c>
      <c r="C30" s="7" t="s">
        <v>2</v>
      </c>
      <c r="D30" s="35">
        <v>3.5960804923649298E-3</v>
      </c>
      <c r="E30" s="35">
        <v>2.876864393891944E-3</v>
      </c>
      <c r="F30" s="35">
        <v>3.7835942482786988E-2</v>
      </c>
      <c r="G30" s="35">
        <v>3.0270791428740784E-2</v>
      </c>
      <c r="H30" s="35">
        <v>2.8727341390806416E-3</v>
      </c>
    </row>
    <row r="31" spans="2:8" x14ac:dyDescent="0.35">
      <c r="B31" s="6">
        <v>44967</v>
      </c>
      <c r="C31" s="7" t="s">
        <v>2</v>
      </c>
      <c r="D31" s="35">
        <v>1.38452101726716E-3</v>
      </c>
      <c r="E31" s="35">
        <v>1.1076168138137281E-3</v>
      </c>
      <c r="F31" s="35">
        <v>3.9272848157629658E-2</v>
      </c>
      <c r="G31" s="35">
        <v>3.1411936680108443E-2</v>
      </c>
      <c r="H31" s="35">
        <v>1.1070038588816911E-3</v>
      </c>
    </row>
    <row r="32" spans="2:8" x14ac:dyDescent="0.35">
      <c r="B32" s="6">
        <v>44970</v>
      </c>
      <c r="C32" s="7" t="s">
        <v>2</v>
      </c>
      <c r="D32" s="35">
        <v>-6.1049118752953798E-3</v>
      </c>
      <c r="E32" s="35">
        <v>-4.8839295002363042E-3</v>
      </c>
      <c r="F32" s="35">
        <v>3.2928179005240032E-2</v>
      </c>
      <c r="G32" s="35">
        <v>2.6374593495660514E-2</v>
      </c>
      <c r="H32" s="35">
        <v>-4.8958948584593206E-3</v>
      </c>
    </row>
    <row r="33" spans="2:8" x14ac:dyDescent="0.35">
      <c r="B33" s="6">
        <v>44971</v>
      </c>
      <c r="C33" s="7" t="s">
        <v>2</v>
      </c>
      <c r="D33" s="35">
        <v>7.1216673722844801E-3</v>
      </c>
      <c r="E33" s="35">
        <v>5.6973338978275846E-3</v>
      </c>
      <c r="F33" s="35">
        <v>4.0284349915574946E-2</v>
      </c>
      <c r="G33" s="35">
        <v>3.2222192259052429E-2</v>
      </c>
      <c r="H33" s="35">
        <v>5.6811654732631268E-3</v>
      </c>
    </row>
    <row r="34" spans="2:8" x14ac:dyDescent="0.35">
      <c r="B34" s="6">
        <v>44972</v>
      </c>
      <c r="C34" s="7" t="s">
        <v>2</v>
      </c>
      <c r="D34" s="35">
        <v>6.2903572269479302E-4</v>
      </c>
      <c r="E34" s="35">
        <v>5.0322857815583439E-4</v>
      </c>
      <c r="F34" s="35">
        <v>4.0938725933432174E-2</v>
      </c>
      <c r="G34" s="35">
        <v>3.2741635965203963E-2</v>
      </c>
      <c r="H34" s="35">
        <v>5.0310200111795063E-4</v>
      </c>
    </row>
    <row r="35" spans="2:8" x14ac:dyDescent="0.35">
      <c r="B35" s="6">
        <v>44973</v>
      </c>
      <c r="C35" s="7" t="s">
        <v>2</v>
      </c>
      <c r="D35" s="35">
        <v>1.40441599436019E-2</v>
      </c>
      <c r="E35" s="35">
        <v>1.1235327954881521E-2</v>
      </c>
      <c r="F35" s="35">
        <v>5.5557835891930418E-2</v>
      </c>
      <c r="G35" s="35">
        <v>4.4344826937933846E-2</v>
      </c>
      <c r="H35" s="35">
        <v>1.1172680464426953E-2</v>
      </c>
    </row>
    <row r="36" spans="2:8" x14ac:dyDescent="0.35">
      <c r="B36" s="6">
        <v>44974</v>
      </c>
      <c r="C36" s="7" t="s">
        <v>2</v>
      </c>
      <c r="D36" s="35">
        <v>6.8570535761485196E-3</v>
      </c>
      <c r="E36" s="35">
        <v>5.485642860918816E-3</v>
      </c>
      <c r="F36" s="35">
        <v>6.2795852525364682E-2</v>
      </c>
      <c r="G36" s="35">
        <v>5.0073729682163615E-2</v>
      </c>
      <c r="H36" s="35">
        <v>5.4706515218854064E-3</v>
      </c>
    </row>
    <row r="37" spans="2:8" x14ac:dyDescent="0.35">
      <c r="B37" s="6">
        <v>44978</v>
      </c>
      <c r="C37" s="7" t="s">
        <v>2</v>
      </c>
      <c r="D37" s="35">
        <v>4.0068426213593078E-3</v>
      </c>
      <c r="E37" s="35">
        <v>3.2057846504773835E-3</v>
      </c>
      <c r="F37" s="35">
        <v>6.7054308245067196E-2</v>
      </c>
      <c r="G37" s="35">
        <v>5.3440039926648142E-2</v>
      </c>
      <c r="H37" s="35">
        <v>3.2006570785364677E-3</v>
      </c>
    </row>
    <row r="38" spans="2:8" x14ac:dyDescent="0.35">
      <c r="B38" s="6">
        <v>44979</v>
      </c>
      <c r="C38" s="7" t="s">
        <v>2</v>
      </c>
      <c r="D38" s="35">
        <v>1.45036253837829E-2</v>
      </c>
      <c r="E38" s="35">
        <v>1.160290030702632E-2</v>
      </c>
      <c r="F38" s="35">
        <v>8.2530464196005182E-2</v>
      </c>
      <c r="G38" s="35">
        <v>6.5662999689346968E-2</v>
      </c>
      <c r="H38" s="35">
        <v>1.153610285881807E-2</v>
      </c>
    </row>
    <row r="39" spans="2:8" x14ac:dyDescent="0.35">
      <c r="B39" s="6">
        <v>44980</v>
      </c>
      <c r="C39" s="7" t="s">
        <v>2</v>
      </c>
      <c r="D39" s="35">
        <v>7.1901150157696004E-3</v>
      </c>
      <c r="E39" s="35">
        <v>5.7520920126156805E-3</v>
      </c>
      <c r="F39" s="35">
        <v>9.0313982741648813E-2</v>
      </c>
      <c r="G39" s="35">
        <v>7.1792791318000093E-2</v>
      </c>
      <c r="H39" s="35">
        <v>5.7356118979121559E-3</v>
      </c>
    </row>
    <row r="40" spans="2:8" x14ac:dyDescent="0.35">
      <c r="B40" s="6">
        <v>44981</v>
      </c>
      <c r="C40" s="7" t="s">
        <v>2</v>
      </c>
      <c r="D40" s="35">
        <v>-3.7419885814659001E-3</v>
      </c>
      <c r="E40" s="35">
        <v>-2.9935908651727203E-3</v>
      </c>
      <c r="F40" s="35">
        <v>8.6234040268016843E-2</v>
      </c>
      <c r="G40" s="35">
        <v>6.8584282208552505E-2</v>
      </c>
      <c r="H40" s="35">
        <v>-2.9980806208733646E-3</v>
      </c>
    </row>
    <row r="41" spans="2:8" x14ac:dyDescent="0.35">
      <c r="B41" s="6">
        <v>44984</v>
      </c>
      <c r="C41" s="7" t="s">
        <v>2</v>
      </c>
      <c r="D41" s="35">
        <v>-2.16314237645698E-3</v>
      </c>
      <c r="E41" s="35">
        <v>-1.7305139011655841E-3</v>
      </c>
      <c r="F41" s="35">
        <v>8.3884361384763073E-2</v>
      </c>
      <c r="G41" s="35">
        <v>6.6735082253623457E-2</v>
      </c>
      <c r="H41" s="35">
        <v>-1.7320129700360064E-3</v>
      </c>
    </row>
    <row r="42" spans="2:8" x14ac:dyDescent="0.35">
      <c r="B42" s="6">
        <v>44985</v>
      </c>
      <c r="C42" s="7" t="s">
        <v>2</v>
      </c>
      <c r="D42" s="35">
        <v>1.06341989579608E-2</v>
      </c>
      <c r="E42" s="35">
        <v>8.5073591663686401E-3</v>
      </c>
      <c r="F42" s="35">
        <v>9.5410603331151034E-2</v>
      </c>
      <c r="G42" s="35">
        <v>7.5810180733720811E-2</v>
      </c>
      <c r="H42" s="35">
        <v>8.4713755261783784E-3</v>
      </c>
    </row>
    <row r="43" spans="2:8" x14ac:dyDescent="0.35">
      <c r="B43" s="6">
        <v>44986</v>
      </c>
      <c r="C43" s="7" t="s">
        <v>2</v>
      </c>
      <c r="D43" s="35">
        <v>1.21638091097622E-2</v>
      </c>
      <c r="E43" s="35">
        <v>9.7310472878097617E-3</v>
      </c>
      <c r="F43" s="35">
        <v>0.10873496880688061</v>
      </c>
      <c r="G43" s="35">
        <v>8.6278940475147836E-2</v>
      </c>
      <c r="H43" s="35">
        <v>9.6840055776903858E-3</v>
      </c>
    </row>
    <row r="44" spans="2:8" x14ac:dyDescent="0.35">
      <c r="B44" s="6">
        <v>44987</v>
      </c>
      <c r="C44" s="7" t="s">
        <v>2</v>
      </c>
      <c r="D44" s="35">
        <v>5.0576176956040903E-3</v>
      </c>
      <c r="E44" s="35">
        <v>4.0460941564832726E-3</v>
      </c>
      <c r="F44" s="35">
        <v>0.11434252640485343</v>
      </c>
      <c r="G44" s="35">
        <v>9.067412734851521E-2</v>
      </c>
      <c r="H44" s="35">
        <v>4.0379307301076093E-3</v>
      </c>
    </row>
    <row r="45" spans="2:8" x14ac:dyDescent="0.35">
      <c r="B45" s="6">
        <v>44988</v>
      </c>
      <c r="C45" s="7" t="s">
        <v>2</v>
      </c>
      <c r="D45" s="35">
        <v>-1.56862350071326E-2</v>
      </c>
      <c r="E45" s="35">
        <v>-1.254898800570608E-2</v>
      </c>
      <c r="F45" s="35">
        <v>9.6862687657224944E-2</v>
      </c>
      <c r="G45" s="35">
        <v>7.6987270806284869E-2</v>
      </c>
      <c r="H45" s="35">
        <v>-1.2628391544427037E-2</v>
      </c>
    </row>
    <row r="46" spans="2:8" x14ac:dyDescent="0.35">
      <c r="B46" s="6">
        <v>44991</v>
      </c>
      <c r="C46" s="7" t="s">
        <v>2</v>
      </c>
      <c r="D46" s="35">
        <v>4.7329631152881501E-4</v>
      </c>
      <c r="E46" s="35">
        <v>3.7863704922305204E-4</v>
      </c>
      <c r="F46" s="35">
        <v>9.7381828721546659E-2</v>
      </c>
      <c r="G46" s="35">
        <v>7.7395058088553847E-2</v>
      </c>
      <c r="H46" s="35">
        <v>3.7856538430504312E-4</v>
      </c>
    </row>
    <row r="47" spans="2:8" x14ac:dyDescent="0.35">
      <c r="B47" s="6">
        <v>44992</v>
      </c>
      <c r="C47" s="7" t="s">
        <v>2</v>
      </c>
      <c r="D47" s="35">
        <v>8.2917228940835308E-3</v>
      </c>
      <c r="E47" s="35">
        <v>6.6333783152668253E-3</v>
      </c>
      <c r="F47" s="35">
        <v>0.10648101475430827</v>
      </c>
      <c r="G47" s="35">
        <v>8.454182710385405E-2</v>
      </c>
      <c r="H47" s="35">
        <v>6.6114742731719529E-3</v>
      </c>
    </row>
    <row r="48" spans="2:8" x14ac:dyDescent="0.35">
      <c r="B48" s="6">
        <v>44993</v>
      </c>
      <c r="C48" s="7" t="s">
        <v>2</v>
      </c>
      <c r="D48" s="35">
        <v>-7.5558524173062703E-3</v>
      </c>
      <c r="E48" s="35">
        <v>-6.0446819338450166E-3</v>
      </c>
      <c r="F48" s="35">
        <v>9.8120607504273538E-2</v>
      </c>
      <c r="G48" s="35">
        <v>7.7986116715060172E-2</v>
      </c>
      <c r="H48" s="35">
        <v>-6.0630249796256716E-3</v>
      </c>
    </row>
    <row r="49" spans="2:8" x14ac:dyDescent="0.35">
      <c r="B49" s="6">
        <v>44994</v>
      </c>
      <c r="C49" s="7" t="s">
        <v>2</v>
      </c>
      <c r="D49" s="35">
        <v>-1.1446522023248499E-3</v>
      </c>
      <c r="E49" s="35">
        <v>-9.1572176185987996E-4</v>
      </c>
      <c r="F49" s="35">
        <v>9.6863641332475492E-2</v>
      </c>
      <c r="G49" s="35">
        <v>7.6998981369001518E-2</v>
      </c>
      <c r="H49" s="35">
        <v>-9.1614129116670304E-4</v>
      </c>
    </row>
    <row r="50" spans="2:8" x14ac:dyDescent="0.35">
      <c r="B50" s="6">
        <v>44995</v>
      </c>
      <c r="C50" s="7" t="s">
        <v>2</v>
      </c>
      <c r="D50" s="35">
        <v>-2.3672155482089102E-2</v>
      </c>
      <c r="E50" s="35">
        <v>-1.8937724385671283E-2</v>
      </c>
      <c r="F50" s="35">
        <v>7.0898514672202761E-2</v>
      </c>
      <c r="G50" s="35">
        <v>5.6603071496186708E-2</v>
      </c>
      <c r="H50" s="35">
        <v>-1.9119339663736981E-2</v>
      </c>
    </row>
    <row r="51" spans="2:8" x14ac:dyDescent="0.35">
      <c r="B51" s="6">
        <v>44998</v>
      </c>
      <c r="C51" s="7" t="s">
        <v>2</v>
      </c>
      <c r="D51" s="35">
        <v>1.41030214268485E-2</v>
      </c>
      <c r="E51" s="35">
        <v>1.12824171414788E-2</v>
      </c>
      <c r="F51" s="35">
        <v>8.6001419370605126E-2</v>
      </c>
      <c r="G51" s="35">
        <v>6.8524108101774228E-2</v>
      </c>
      <c r="H51" s="35">
        <v>1.1219245382554177E-2</v>
      </c>
    </row>
    <row r="52" spans="2:8" x14ac:dyDescent="0.35">
      <c r="B52" s="6">
        <v>44999</v>
      </c>
      <c r="C52" s="7" t="s">
        <v>2</v>
      </c>
      <c r="D52" s="35">
        <v>-1.8286182303377099E-2</v>
      </c>
      <c r="E52" s="35">
        <v>-1.462894584270168E-2</v>
      </c>
      <c r="F52" s="35">
        <v>6.6142599434267924E-2</v>
      </c>
      <c r="G52" s="35">
        <v>5.2892726792732159E-2</v>
      </c>
      <c r="H52" s="35">
        <v>-1.4737004017238759E-2</v>
      </c>
    </row>
    <row r="53" spans="2:8" x14ac:dyDescent="0.35">
      <c r="B53" s="6">
        <v>45000</v>
      </c>
      <c r="C53" s="7" t="s">
        <v>2</v>
      </c>
      <c r="D53" s="35">
        <v>1.37576009789211E-2</v>
      </c>
      <c r="E53" s="35">
        <v>1.1006080783136881E-2</v>
      </c>
      <c r="F53" s="35">
        <v>8.0810163903914267E-2</v>
      </c>
      <c r="G53" s="35">
        <v>6.4480949199790194E-2</v>
      </c>
      <c r="H53" s="35">
        <v>1.0945954642538305E-2</v>
      </c>
    </row>
    <row r="54" spans="2:8" x14ac:dyDescent="0.35">
      <c r="B54" s="6">
        <v>45001</v>
      </c>
      <c r="C54" s="7" t="s">
        <v>2</v>
      </c>
      <c r="D54" s="35">
        <v>2.40456484495799E-3</v>
      </c>
      <c r="E54" s="35">
        <v>1.9236518759663921E-3</v>
      </c>
      <c r="F54" s="35">
        <v>8.3409042028110836E-2</v>
      </c>
      <c r="G54" s="35">
        <v>6.6528639974648973E-2</v>
      </c>
      <c r="H54" s="35">
        <v>1.9218040270623316E-3</v>
      </c>
    </row>
    <row r="55" spans="2:8" x14ac:dyDescent="0.35">
      <c r="B55" s="6">
        <v>45002</v>
      </c>
      <c r="C55" s="7" t="s">
        <v>2</v>
      </c>
      <c r="D55" s="35">
        <v>2.3158047536253199E-2</v>
      </c>
      <c r="E55" s="35">
        <v>1.852643802900256E-2</v>
      </c>
      <c r="F55" s="35">
        <v>0.1084986801246044</v>
      </c>
      <c r="G55" s="35">
        <v>8.6287616729295857E-2</v>
      </c>
      <c r="H55" s="35">
        <v>1.8356914157351779E-2</v>
      </c>
    </row>
    <row r="56" spans="2:8" x14ac:dyDescent="0.35">
      <c r="B56" s="6">
        <v>45005</v>
      </c>
      <c r="C56" s="7" t="s">
        <v>2</v>
      </c>
      <c r="D56" s="35">
        <v>-2.8484205897771599E-2</v>
      </c>
      <c r="E56" s="35">
        <v>-2.2787364718217282E-2</v>
      </c>
      <c r="F56" s="35">
        <v>7.6923975482527052E-2</v>
      </c>
      <c r="G56" s="35">
        <v>6.1533984618002302E-2</v>
      </c>
      <c r="H56" s="35">
        <v>-2.3051009594360329E-2</v>
      </c>
    </row>
    <row r="57" spans="2:8" x14ac:dyDescent="0.35">
      <c r="B57" s="6">
        <v>45006</v>
      </c>
      <c r="C57" s="7" t="s">
        <v>2</v>
      </c>
      <c r="D57" s="35">
        <v>-1.1514187657375099E-2</v>
      </c>
      <c r="E57" s="35">
        <v>-9.2113501259000804E-3</v>
      </c>
      <c r="F57" s="35">
        <v>6.4524070736094785E-2</v>
      </c>
      <c r="G57" s="35">
        <v>5.1755823415144064E-2</v>
      </c>
      <c r="H57" s="35">
        <v>-9.2540369492008327E-3</v>
      </c>
    </row>
    <row r="58" spans="2:8" x14ac:dyDescent="0.35">
      <c r="B58" s="6">
        <v>45007</v>
      </c>
      <c r="C58" s="7" t="s">
        <v>2</v>
      </c>
      <c r="D58" s="35">
        <v>-3.6313080168596198E-3</v>
      </c>
      <c r="E58" s="35">
        <v>-2.905046413487696E-3</v>
      </c>
      <c r="F58" s="35">
        <v>6.0658455943890743E-2</v>
      </c>
      <c r="G58" s="35">
        <v>4.8700423932467096E-2</v>
      </c>
      <c r="H58" s="35">
        <v>-2.9092742508477175E-3</v>
      </c>
    </row>
    <row r="59" spans="2:8" x14ac:dyDescent="0.35">
      <c r="B59" s="6">
        <v>45008</v>
      </c>
      <c r="C59" s="7" t="s">
        <v>2</v>
      </c>
      <c r="D59" s="35">
        <v>4.1679076150491498E-3</v>
      </c>
      <c r="E59" s="35">
        <v>3.33432609203932E-3</v>
      </c>
      <c r="F59" s="35">
        <v>6.5079182399385482E-2</v>
      </c>
      <c r="G59" s="35">
        <v>5.2197133118717876E-2</v>
      </c>
      <c r="H59" s="35">
        <v>3.3287795526894585E-3</v>
      </c>
    </row>
    <row r="60" spans="2:8" x14ac:dyDescent="0.35">
      <c r="B60" s="6">
        <v>45009</v>
      </c>
      <c r="C60" s="7" t="s">
        <v>2</v>
      </c>
      <c r="D60" s="35">
        <v>-9.0904572210242004E-3</v>
      </c>
      <c r="E60" s="35">
        <v>-7.2723657768193608E-3</v>
      </c>
      <c r="F60" s="35">
        <v>5.5397125654780499E-2</v>
      </c>
      <c r="G60" s="35">
        <v>4.4545170697357861E-2</v>
      </c>
      <c r="H60" s="35">
        <v>-7.2989383374482521E-3</v>
      </c>
    </row>
    <row r="61" spans="2:8" x14ac:dyDescent="0.35">
      <c r="B61" s="6">
        <v>45012</v>
      </c>
      <c r="C61" s="7" t="s">
        <v>2</v>
      </c>
      <c r="D61" s="35">
        <v>-3.9579432027333503E-3</v>
      </c>
      <c r="E61" s="35">
        <v>-3.1663545621866806E-3</v>
      </c>
      <c r="F61" s="35">
        <v>5.1219923775110754E-2</v>
      </c>
      <c r="G61" s="35">
        <v>4.1237770330710077E-2</v>
      </c>
      <c r="H61" s="35">
        <v>-3.1713780697335968E-3</v>
      </c>
    </row>
    <row r="62" spans="2:8" x14ac:dyDescent="0.35">
      <c r="B62" s="6">
        <v>45013</v>
      </c>
      <c r="C62" s="7" t="s">
        <v>2</v>
      </c>
      <c r="D62" s="35">
        <v>3.9996333903902199E-4</v>
      </c>
      <c r="E62" s="35">
        <v>3.1997067123121762E-4</v>
      </c>
      <c r="F62" s="35">
        <v>5.1640373205888102E-2</v>
      </c>
      <c r="G62" s="35">
        <v>4.1570935878993964E-2</v>
      </c>
      <c r="H62" s="35">
        <v>3.1991949153294878E-4</v>
      </c>
    </row>
    <row r="63" spans="2:8" x14ac:dyDescent="0.35">
      <c r="B63" s="6">
        <v>45014</v>
      </c>
      <c r="C63" s="7" t="s">
        <v>2</v>
      </c>
      <c r="D63" s="35">
        <v>1.27590938079476E-2</v>
      </c>
      <c r="E63" s="35">
        <v>1.0207275046358081E-2</v>
      </c>
      <c r="F63" s="35">
        <v>6.5058351379847057E-2</v>
      </c>
      <c r="G63" s="35">
        <v>5.220253690180332E-2</v>
      </c>
      <c r="H63" s="35">
        <v>1.0155532616022398E-2</v>
      </c>
    </row>
    <row r="64" spans="2:8" x14ac:dyDescent="0.35">
      <c r="B64" s="6">
        <v>45015</v>
      </c>
      <c r="C64" s="7" t="s">
        <v>2</v>
      </c>
      <c r="D64" s="35">
        <v>5.4910455280769996E-3</v>
      </c>
      <c r="E64" s="35">
        <v>4.3928364224616002E-3</v>
      </c>
      <c r="F64" s="35">
        <v>7.090663527733243E-2</v>
      </c>
      <c r="G64" s="35">
        <v>5.6824690529712063E-2</v>
      </c>
      <c r="H64" s="35">
        <v>4.3832160799822089E-3</v>
      </c>
    </row>
    <row r="65" spans="2:8" x14ac:dyDescent="0.35">
      <c r="B65" s="6">
        <v>45016</v>
      </c>
      <c r="C65" s="7" t="s">
        <v>2</v>
      </c>
      <c r="D65" s="35">
        <v>7.7386052018111303E-3</v>
      </c>
      <c r="E65" s="35">
        <v>6.1908841614489044E-3</v>
      </c>
      <c r="F65" s="35">
        <v>7.9193958935743547E-2</v>
      </c>
      <c r="G65" s="35">
        <v>6.33673697677406E-2</v>
      </c>
      <c r="H65" s="35">
        <v>6.1717993654362875E-3</v>
      </c>
    </row>
    <row r="66" spans="2:8" x14ac:dyDescent="0.35">
      <c r="B66" s="6">
        <v>45019</v>
      </c>
      <c r="C66" s="7" t="s">
        <v>2</v>
      </c>
      <c r="D66" s="35">
        <v>1.90396684981886E-4</v>
      </c>
      <c r="E66" s="35">
        <v>1.523173479855088E-4</v>
      </c>
      <c r="F66" s="35">
        <v>7.9399433887977322E-2</v>
      </c>
      <c r="G66" s="35">
        <v>6.3529339065438117E-2</v>
      </c>
      <c r="H66" s="35">
        <v>1.5230574887616446E-4</v>
      </c>
    </row>
    <row r="67" spans="2:8" x14ac:dyDescent="0.35">
      <c r="B67" s="6">
        <v>45020</v>
      </c>
      <c r="C67" s="7" t="s">
        <v>2</v>
      </c>
      <c r="D67" s="35">
        <v>-4.0383455778086903E-3</v>
      </c>
      <c r="E67" s="35">
        <v>-3.2306764622469526E-3</v>
      </c>
      <c r="F67" s="35">
        <v>7.5040445957446522E-2</v>
      </c>
      <c r="G67" s="35">
        <v>6.0093419862810249E-2</v>
      </c>
      <c r="H67" s="35">
        <v>-3.235906364568148E-3</v>
      </c>
    </row>
    <row r="68" spans="2:8" x14ac:dyDescent="0.35">
      <c r="B68" s="6">
        <v>45021</v>
      </c>
      <c r="C68" s="7" t="s">
        <v>2</v>
      </c>
      <c r="D68" s="35">
        <v>-1.08858046064841E-2</v>
      </c>
      <c r="E68" s="35">
        <v>-8.7086436851872805E-3</v>
      </c>
      <c r="F68" s="35">
        <v>6.3337765718686212E-2</v>
      </c>
      <c r="G68" s="35">
        <v>5.0861443996213396E-2</v>
      </c>
      <c r="H68" s="35">
        <v>-8.7467855265315336E-3</v>
      </c>
    </row>
    <row r="69" spans="2:8" x14ac:dyDescent="0.35">
      <c r="B69" s="6">
        <v>45022</v>
      </c>
      <c r="C69" s="7" t="s">
        <v>2</v>
      </c>
      <c r="D69" s="35">
        <v>-1.5037686959876499E-2</v>
      </c>
      <c r="E69" s="35">
        <v>-1.20301495679012E-2</v>
      </c>
      <c r="F69" s="35">
        <v>4.7347625265194093E-2</v>
      </c>
      <c r="G69" s="35">
        <v>3.8219423649798356E-2</v>
      </c>
      <c r="H69" s="35">
        <v>-1.2103097456869402E-2</v>
      </c>
    </row>
    <row r="70" spans="2:8" x14ac:dyDescent="0.35">
      <c r="B70" s="6">
        <v>45026</v>
      </c>
      <c r="C70" s="7" t="s">
        <v>2</v>
      </c>
      <c r="D70" s="35">
        <v>1.3829069057516019E-2</v>
      </c>
      <c r="E70" s="35">
        <v>1.1067850927885647E-2</v>
      </c>
      <c r="F70" s="35">
        <v>6.1831467902211834E-2</v>
      </c>
      <c r="G70" s="35">
        <v>4.9710281461189609E-2</v>
      </c>
      <c r="H70" s="35">
        <v>1.1007050474692845E-2</v>
      </c>
    </row>
    <row r="71" spans="2:8" x14ac:dyDescent="0.35">
      <c r="B71" s="6">
        <v>45027</v>
      </c>
      <c r="C71" s="7" t="s">
        <v>2</v>
      </c>
      <c r="D71" s="35">
        <v>-8.0746138241876205E-3</v>
      </c>
      <c r="E71" s="35">
        <v>-6.4596910593500969E-3</v>
      </c>
      <c r="F71" s="35">
        <v>5.325758885253129E-2</v>
      </c>
      <c r="G71" s="35">
        <v>4.2929477341126843E-2</v>
      </c>
      <c r="H71" s="35">
        <v>-6.4806451503545762E-3</v>
      </c>
    </row>
    <row r="72" spans="2:8" x14ac:dyDescent="0.35">
      <c r="B72" s="6">
        <v>45028</v>
      </c>
      <c r="C72" s="7" t="s">
        <v>2</v>
      </c>
      <c r="D72" s="35">
        <v>-9.5531578912066997E-5</v>
      </c>
      <c r="E72" s="35">
        <v>-7.6425263129653606E-5</v>
      </c>
      <c r="F72" s="35">
        <v>5.3156969492067052E-2</v>
      </c>
      <c r="G72" s="35">
        <v>4.2849771181395324E-2</v>
      </c>
      <c r="H72" s="35">
        <v>-7.642818368890196E-5</v>
      </c>
    </row>
    <row r="73" spans="2:8" x14ac:dyDescent="0.35">
      <c r="B73" s="6">
        <v>45029</v>
      </c>
      <c r="C73" s="7" t="s">
        <v>2</v>
      </c>
      <c r="D73" s="35">
        <v>-1.23811478415985E-2</v>
      </c>
      <c r="E73" s="35">
        <v>-9.904918273278801E-3</v>
      </c>
      <c r="F73" s="35">
        <v>4.0117677352375924E-2</v>
      </c>
      <c r="G73" s="35">
        <v>3.2520429426536213E-2</v>
      </c>
      <c r="H73" s="35">
        <v>-9.9542983170500185E-3</v>
      </c>
    </row>
    <row r="74" spans="2:8" x14ac:dyDescent="0.35">
      <c r="B74" s="6">
        <v>45030</v>
      </c>
      <c r="C74" s="7" t="s">
        <v>2</v>
      </c>
      <c r="D74" s="35">
        <v>1.0125925624192801E-2</v>
      </c>
      <c r="E74" s="35">
        <v>8.1007404993542406E-3</v>
      </c>
      <c r="F74" s="35">
        <v>5.0649831593654326E-2</v>
      </c>
      <c r="G74" s="35">
        <v>4.0884609485602352E-2</v>
      </c>
      <c r="H74" s="35">
        <v>8.0681056269923147E-3</v>
      </c>
    </row>
    <row r="75" spans="2:8" x14ac:dyDescent="0.35">
      <c r="B75" s="6">
        <v>45033</v>
      </c>
      <c r="C75" s="7" t="s">
        <v>2</v>
      </c>
      <c r="D75" s="35">
        <v>5.3937783040844999E-3</v>
      </c>
      <c r="E75" s="35">
        <v>4.3150226432675997E-3</v>
      </c>
      <c r="F75" s="35">
        <v>5.6316803860494202E-2</v>
      </c>
      <c r="G75" s="35">
        <v>4.5376050144561475E-2</v>
      </c>
      <c r="H75" s="35">
        <v>4.3057396277625696E-3</v>
      </c>
    </row>
    <row r="76" spans="2:8" x14ac:dyDescent="0.35">
      <c r="B76" s="6">
        <v>45034</v>
      </c>
      <c r="C76" s="7" t="s">
        <v>2</v>
      </c>
      <c r="D76" s="35">
        <v>1.2982620181034601E-2</v>
      </c>
      <c r="E76" s="35">
        <v>1.0386096144827682E-2</v>
      </c>
      <c r="F76" s="35">
        <v>7.0030563715859362E-2</v>
      </c>
      <c r="G76" s="35">
        <v>5.6233426308863077E-2</v>
      </c>
      <c r="H76" s="35">
        <v>1.0332531216023845E-2</v>
      </c>
    </row>
    <row r="77" spans="2:8" x14ac:dyDescent="0.35">
      <c r="B77" s="6">
        <v>45035</v>
      </c>
      <c r="C77" s="7" t="s">
        <v>2</v>
      </c>
      <c r="D77" s="35">
        <v>9.8772846886690004E-3</v>
      </c>
      <c r="E77" s="35">
        <v>7.9018277509352013E-3</v>
      </c>
      <c r="F77" s="35">
        <v>8.059956021925796E-2</v>
      </c>
      <c r="G77" s="35">
        <v>6.4579600908335921E-2</v>
      </c>
      <c r="H77" s="35">
        <v>7.8707718019296706E-3</v>
      </c>
    </row>
    <row r="78" spans="2:8" x14ac:dyDescent="0.35">
      <c r="B78" s="6">
        <v>45036</v>
      </c>
      <c r="C78" s="7" t="s">
        <v>2</v>
      </c>
      <c r="D78" s="35">
        <v>3.898712013511E-3</v>
      </c>
      <c r="E78" s="35">
        <v>3.1189696108088003E-3</v>
      </c>
      <c r="F78" s="35">
        <v>8.4812506706479551E-2</v>
      </c>
      <c r="G78" s="35">
        <v>6.7899992331855952E-2</v>
      </c>
      <c r="H78" s="35">
        <v>3.1141157152417475E-3</v>
      </c>
    </row>
    <row r="79" spans="2:8" x14ac:dyDescent="0.35">
      <c r="B79" s="6">
        <v>45037</v>
      </c>
      <c r="C79" s="7" t="s">
        <v>2</v>
      </c>
      <c r="D79" s="35">
        <v>1.16642143211232E-2</v>
      </c>
      <c r="E79" s="35">
        <v>9.3313714568985604E-3</v>
      </c>
      <c r="F79" s="35">
        <v>9.746599228293884E-2</v>
      </c>
      <c r="G79" s="35">
        <v>7.7864963839123558E-2</v>
      </c>
      <c r="H79" s="35">
        <v>9.2881031702946315E-3</v>
      </c>
    </row>
    <row r="80" spans="2:8" x14ac:dyDescent="0.35">
      <c r="B80" s="6">
        <v>45040</v>
      </c>
      <c r="C80" s="7" t="s">
        <v>2</v>
      </c>
      <c r="D80" s="35">
        <v>-3.1900494543094498E-3</v>
      </c>
      <c r="E80" s="35">
        <v>-2.5520395634475602E-3</v>
      </c>
      <c r="F80" s="35">
        <v>9.3965021493133571E-2</v>
      </c>
      <c r="G80" s="35">
        <v>7.5114209807352283E-2</v>
      </c>
      <c r="H80" s="35">
        <v>-2.5553015674382716E-3</v>
      </c>
    </row>
    <row r="81" spans="2:8" x14ac:dyDescent="0.35">
      <c r="B81" s="6">
        <v>45041</v>
      </c>
      <c r="C81" s="7" t="s">
        <v>2</v>
      </c>
      <c r="D81" s="35">
        <v>-4.3244446619688003E-3</v>
      </c>
      <c r="E81" s="35">
        <v>-3.4595557295750406E-3</v>
      </c>
      <c r="F81" s="35">
        <v>8.9234230295557104E-2</v>
      </c>
      <c r="G81" s="35">
        <v>7.1394792282865716E-2</v>
      </c>
      <c r="H81" s="35">
        <v>-3.4655538303362231E-3</v>
      </c>
    </row>
    <row r="82" spans="2:8" x14ac:dyDescent="0.35">
      <c r="B82" s="6">
        <v>45042</v>
      </c>
      <c r="C82" s="7" t="s">
        <v>2</v>
      </c>
      <c r="D82" s="35">
        <v>1.18036932522687E-2</v>
      </c>
      <c r="E82" s="35">
        <v>9.4429546018149606E-3</v>
      </c>
      <c r="F82" s="35">
        <v>0.10209121702983692</v>
      </c>
      <c r="G82" s="35">
        <v>8.1511924667013735E-2</v>
      </c>
      <c r="H82" s="35">
        <v>9.3986486072854068E-3</v>
      </c>
    </row>
    <row r="83" spans="2:8" x14ac:dyDescent="0.35">
      <c r="B83" s="6">
        <v>45043</v>
      </c>
      <c r="C83" s="7" t="s">
        <v>2</v>
      </c>
      <c r="D83" s="35">
        <v>-4.3721624093858696E-3</v>
      </c>
      <c r="E83" s="35">
        <v>-3.4977299275086959E-3</v>
      </c>
      <c r="F83" s="35">
        <v>9.727269523902482E-2</v>
      </c>
      <c r="G83" s="35">
        <v>7.7729088041148309E-2</v>
      </c>
      <c r="H83" s="35">
        <v>-3.5038612862313477E-3</v>
      </c>
    </row>
    <row r="84" spans="2:8" x14ac:dyDescent="0.35">
      <c r="B84" s="6">
        <v>45044</v>
      </c>
      <c r="C84" s="7" t="s">
        <v>2</v>
      </c>
      <c r="D84" s="35">
        <v>6.9509031212637903E-3</v>
      </c>
      <c r="E84" s="35">
        <v>5.5607224970110327E-3</v>
      </c>
      <c r="F84" s="35">
        <v>0.10489973144123921</v>
      </c>
      <c r="G84" s="35">
        <v>8.372204042670206E-2</v>
      </c>
      <c r="H84" s="35">
        <v>5.5453187572315505E-3</v>
      </c>
    </row>
    <row r="85" spans="2:8" x14ac:dyDescent="0.35">
      <c r="B85" s="6">
        <v>45047</v>
      </c>
      <c r="C85" s="7" t="s">
        <v>2</v>
      </c>
      <c r="D85" s="35">
        <v>9.1932459822823293E-3</v>
      </c>
      <c r="E85" s="35">
        <v>7.3545967858258642E-3</v>
      </c>
      <c r="F85" s="35">
        <v>0.11505734645813614</v>
      </c>
      <c r="G85" s="35">
        <v>9.1692379061953044E-2</v>
      </c>
      <c r="H85" s="35">
        <v>7.3276836153378646E-3</v>
      </c>
    </row>
    <row r="86" spans="2:8" x14ac:dyDescent="0.35">
      <c r="B86" s="6">
        <v>45048</v>
      </c>
      <c r="C86" s="7" t="s">
        <v>2</v>
      </c>
      <c r="D86" s="35">
        <v>-4.1786420829303901E-4</v>
      </c>
      <c r="E86" s="35">
        <v>-3.3429136663443122E-4</v>
      </c>
      <c r="F86" s="35">
        <v>0.11459140390285705</v>
      </c>
      <c r="G86" s="35">
        <v>9.1327435724612105E-2</v>
      </c>
      <c r="H86" s="35">
        <v>-3.3434725444889102E-4</v>
      </c>
    </row>
    <row r="87" spans="2:8" x14ac:dyDescent="0.35">
      <c r="B87" s="6">
        <v>45049</v>
      </c>
      <c r="C87" s="7" t="s">
        <v>2</v>
      </c>
      <c r="D87" s="35">
        <v>-9.6802146367350704E-3</v>
      </c>
      <c r="E87" s="35">
        <v>-7.7441717093880563E-3</v>
      </c>
      <c r="F87" s="35">
        <v>0.10380191988081755</v>
      </c>
      <c r="G87" s="35">
        <v>8.2876008671194601E-2</v>
      </c>
      <c r="H87" s="35">
        <v>-7.7743135235529637E-3</v>
      </c>
    </row>
    <row r="88" spans="2:8" x14ac:dyDescent="0.35">
      <c r="B88" s="6">
        <v>45050</v>
      </c>
      <c r="C88" s="7" t="s">
        <v>2</v>
      </c>
      <c r="D88" s="35">
        <v>-8.2285864600051305E-4</v>
      </c>
      <c r="E88" s="35">
        <v>-6.5828691680041044E-4</v>
      </c>
      <c r="F88" s="35">
        <v>0.10289364692757164</v>
      </c>
      <c r="G88" s="35">
        <v>8.2163165562169294E-2</v>
      </c>
      <c r="H88" s="35">
        <v>-6.5850368276746817E-4</v>
      </c>
    </row>
    <row r="89" spans="2:8" x14ac:dyDescent="0.35">
      <c r="B89" s="6">
        <v>45051</v>
      </c>
      <c r="C89" s="7" t="s">
        <v>2</v>
      </c>
      <c r="D89" s="35">
        <v>1.0458200200086599E-2</v>
      </c>
      <c r="E89" s="35">
        <v>8.3665601600692793E-3</v>
      </c>
      <c r="F89" s="35">
        <v>0.11442792948654379</v>
      </c>
      <c r="G89" s="35">
        <v>9.1217148789856317E-2</v>
      </c>
      <c r="H89" s="35">
        <v>8.3317544966445885E-3</v>
      </c>
    </row>
    <row r="90" spans="2:8" x14ac:dyDescent="0.35">
      <c r="B90" s="6">
        <v>45054</v>
      </c>
      <c r="C90" s="7" t="s">
        <v>2</v>
      </c>
      <c r="D90" s="35">
        <v>-8.4197803570452701E-3</v>
      </c>
      <c r="E90" s="35">
        <v>-6.7358242856362166E-3</v>
      </c>
      <c r="F90" s="35">
        <v>0.10504469109651038</v>
      </c>
      <c r="G90" s="35">
        <v>8.3866901818134831E-2</v>
      </c>
      <c r="H90" s="35">
        <v>-6.7586123385674473E-3</v>
      </c>
    </row>
    <row r="91" spans="2:8" x14ac:dyDescent="0.35">
      <c r="B91" s="6">
        <v>45055</v>
      </c>
      <c r="C91" s="7" t="s">
        <v>2</v>
      </c>
      <c r="D91" s="35">
        <v>-1.09402437589974E-2</v>
      </c>
      <c r="E91" s="35">
        <v>-8.7521950071979202E-3</v>
      </c>
      <c r="F91" s="35">
        <v>9.2955232811328559E-2</v>
      </c>
      <c r="G91" s="35">
        <v>7.4380687331575102E-2</v>
      </c>
      <c r="H91" s="35">
        <v>-8.790720418580672E-3</v>
      </c>
    </row>
    <row r="92" spans="2:8" x14ac:dyDescent="0.35">
      <c r="B92" s="6">
        <v>45056</v>
      </c>
      <c r="C92" s="7" t="s">
        <v>2</v>
      </c>
      <c r="D92" s="35">
        <v>9.83161607399974E-3</v>
      </c>
      <c r="E92" s="35">
        <v>7.8652928591997923E-3</v>
      </c>
      <c r="F92" s="35">
        <v>0.10370074904639859</v>
      </c>
      <c r="G92" s="35">
        <v>8.2831006079706393E-2</v>
      </c>
      <c r="H92" s="35">
        <v>7.8345226823106958E-3</v>
      </c>
    </row>
    <row r="93" spans="2:8" x14ac:dyDescent="0.35">
      <c r="B93" s="6">
        <v>45057</v>
      </c>
      <c r="C93" s="7" t="s">
        <v>2</v>
      </c>
      <c r="D93" s="35">
        <v>1.0041543897085101E-2</v>
      </c>
      <c r="E93" s="35">
        <v>8.0332351176680816E-3</v>
      </c>
      <c r="F93" s="35">
        <v>0.11478360856719383</v>
      </c>
      <c r="G93" s="35">
        <v>9.1529642144245749E-2</v>
      </c>
      <c r="H93" s="35">
        <v>8.0011404525269988E-3</v>
      </c>
    </row>
    <row r="94" spans="2:8" x14ac:dyDescent="0.35">
      <c r="B94" s="6">
        <v>45058</v>
      </c>
      <c r="C94" s="7" t="s">
        <v>2</v>
      </c>
      <c r="D94" s="35">
        <v>1.6704694495454999E-2</v>
      </c>
      <c r="E94" s="35">
        <v>1.3363755596364E-2</v>
      </c>
      <c r="F94" s="35">
        <v>0.1334057281768497</v>
      </c>
      <c r="G94" s="35">
        <v>0.10611657750804793</v>
      </c>
      <c r="H94" s="35">
        <v>1.3275248269466303E-2</v>
      </c>
    </row>
    <row r="95" spans="2:8" x14ac:dyDescent="0.35">
      <c r="B95" s="6">
        <v>45061</v>
      </c>
      <c r="C95" s="7" t="s">
        <v>2</v>
      </c>
      <c r="D95" s="35">
        <v>1.0350060878576699E-3</v>
      </c>
      <c r="E95" s="35">
        <v>8.2800487028613593E-4</v>
      </c>
      <c r="F95" s="35">
        <v>0.13457881000552541</v>
      </c>
      <c r="G95" s="35">
        <v>0.10703244742132889</v>
      </c>
      <c r="H95" s="35">
        <v>8.2766226336070808E-4</v>
      </c>
    </row>
    <row r="96" spans="2:8" x14ac:dyDescent="0.35">
      <c r="B96" s="6">
        <v>45062</v>
      </c>
      <c r="C96" s="7" t="s">
        <v>2</v>
      </c>
      <c r="D96" s="35">
        <v>2.6266715318122E-2</v>
      </c>
      <c r="E96" s="35">
        <v>2.1013372254497602E-2</v>
      </c>
      <c r="F96" s="35">
        <v>0.16438046861391409</v>
      </c>
      <c r="G96" s="35">
        <v>0.13029493233680078</v>
      </c>
      <c r="H96" s="35">
        <v>2.0795636309784871E-2</v>
      </c>
    </row>
    <row r="97" spans="2:8" x14ac:dyDescent="0.35">
      <c r="B97" s="6">
        <v>45063</v>
      </c>
      <c r="C97" s="7" t="s">
        <v>2</v>
      </c>
      <c r="D97" s="35">
        <v>3.5413712364429401E-3</v>
      </c>
      <c r="E97" s="35">
        <v>2.8330969891543524E-3</v>
      </c>
      <c r="F97" s="35">
        <v>0.16850397211373935</v>
      </c>
      <c r="G97" s="35">
        <v>0.13349716750646068</v>
      </c>
      <c r="H97" s="35">
        <v>2.8290913337028233E-3</v>
      </c>
    </row>
    <row r="98" spans="2:8" x14ac:dyDescent="0.35">
      <c r="B98" s="6">
        <v>45064</v>
      </c>
      <c r="C98" s="7" t="s">
        <v>2</v>
      </c>
      <c r="D98" s="35">
        <v>4.2340699883631804E-3</v>
      </c>
      <c r="E98" s="35">
        <v>3.3872559906905444E-3</v>
      </c>
      <c r="F98" s="35">
        <v>0.17345149971334939</v>
      </c>
      <c r="G98" s="35">
        <v>0.13733661257752749</v>
      </c>
      <c r="H98" s="35">
        <v>3.3815321608599179E-3</v>
      </c>
    </row>
    <row r="99" spans="2:8" x14ac:dyDescent="0.35">
      <c r="B99" s="6">
        <v>45065</v>
      </c>
      <c r="C99" s="7" t="s">
        <v>2</v>
      </c>
      <c r="D99" s="35">
        <v>1.62940884845741E-3</v>
      </c>
      <c r="E99" s="35">
        <v>1.3035270787659281E-3</v>
      </c>
      <c r="F99" s="35">
        <v>0.17536353197021803</v>
      </c>
      <c r="G99" s="35">
        <v>0.13881916164969432</v>
      </c>
      <c r="H99" s="35">
        <v>1.3026782249327118E-3</v>
      </c>
    </row>
    <row r="100" spans="2:8" x14ac:dyDescent="0.35">
      <c r="B100" s="6">
        <v>45068</v>
      </c>
      <c r="C100" s="7" t="s">
        <v>2</v>
      </c>
      <c r="D100" s="35">
        <v>4.2321691890561102E-3</v>
      </c>
      <c r="E100" s="35">
        <v>3.3857353512448882E-3</v>
      </c>
      <c r="F100" s="35">
        <v>0.18033786929616258</v>
      </c>
      <c r="G100" s="35">
        <v>0.14267490194396681</v>
      </c>
      <c r="H100" s="35">
        <v>3.3800166536729717E-3</v>
      </c>
    </row>
    <row r="101" spans="2:8" x14ac:dyDescent="0.35">
      <c r="B101" s="6">
        <v>45069</v>
      </c>
      <c r="C101" s="7" t="s">
        <v>2</v>
      </c>
      <c r="D101" s="35">
        <v>-1.84382523792426E-3</v>
      </c>
      <c r="E101" s="35">
        <v>-1.4750601903394081E-3</v>
      </c>
      <c r="F101" s="35">
        <v>0.17816153254347666</v>
      </c>
      <c r="G101" s="35">
        <v>0.1409893876856092</v>
      </c>
      <c r="H101" s="35">
        <v>-1.4761491626201215E-3</v>
      </c>
    </row>
    <row r="102" spans="2:8" x14ac:dyDescent="0.35">
      <c r="B102" s="6">
        <v>45070</v>
      </c>
      <c r="C102" s="7" t="s">
        <v>2</v>
      </c>
      <c r="D102" s="35">
        <v>1.56950000739795E-2</v>
      </c>
      <c r="E102" s="35">
        <v>1.25560000591836E-2</v>
      </c>
      <c r="F102" s="35">
        <v>0.19665277788390623</v>
      </c>
      <c r="G102" s="35">
        <v>0.15531565050491758</v>
      </c>
      <c r="H102" s="35">
        <v>1.2477827169515582E-2</v>
      </c>
    </row>
    <row r="103" spans="2:8" x14ac:dyDescent="0.35">
      <c r="B103" s="6">
        <v>45071</v>
      </c>
      <c r="C103" s="7" t="s">
        <v>2</v>
      </c>
      <c r="D103" s="35">
        <v>-8.5090353294020593E-3</v>
      </c>
      <c r="E103" s="35">
        <v>-6.8072282635216474E-3</v>
      </c>
      <c r="F103" s="35">
        <v>0.18647041711986501</v>
      </c>
      <c r="G103" s="35">
        <v>0.14745115315551161</v>
      </c>
      <c r="H103" s="35">
        <v>-6.8305031268453336E-3</v>
      </c>
    </row>
    <row r="104" spans="2:8" x14ac:dyDescent="0.35">
      <c r="B104" s="6">
        <v>45072</v>
      </c>
      <c r="C104" s="7" t="s">
        <v>2</v>
      </c>
      <c r="D104" s="35">
        <v>-5.94740678158501E-3</v>
      </c>
      <c r="E104" s="35">
        <v>-4.757925425268008E-3</v>
      </c>
      <c r="F104" s="35">
        <v>0.17941399491493626</v>
      </c>
      <c r="G104" s="35">
        <v>0.14199166613965986</v>
      </c>
      <c r="H104" s="35">
        <v>-4.76928038412617E-3</v>
      </c>
    </row>
    <row r="105" spans="2:8" x14ac:dyDescent="0.35">
      <c r="B105" s="6">
        <v>45076</v>
      </c>
      <c r="C105" s="7" t="s">
        <v>2</v>
      </c>
      <c r="D105" s="35">
        <v>-6.445901501969109E-4</v>
      </c>
      <c r="E105" s="35">
        <v>-5.1549797682859388E-4</v>
      </c>
      <c r="F105" s="35">
        <v>0.1786537562708097</v>
      </c>
      <c r="G105" s="35">
        <v>0.14140297174620975</v>
      </c>
      <c r="H105" s="35">
        <v>-5.1563089159080791E-4</v>
      </c>
    </row>
    <row r="106" spans="2:8" x14ac:dyDescent="0.35">
      <c r="B106" s="6">
        <v>45077</v>
      </c>
      <c r="C106" s="7" t="s">
        <v>2</v>
      </c>
      <c r="D106" s="35">
        <v>1.3012661546110599E-2</v>
      </c>
      <c r="E106" s="35">
        <v>1.041012923688848E-2</v>
      </c>
      <c r="F106" s="35">
        <v>0.19399117868121363</v>
      </c>
      <c r="G106" s="35">
        <v>0.15328512419345652</v>
      </c>
      <c r="H106" s="35">
        <v>1.0356316981020993E-2</v>
      </c>
    </row>
    <row r="107" spans="2:8" x14ac:dyDescent="0.35">
      <c r="B107" s="6">
        <v>45078</v>
      </c>
      <c r="C107" s="7" t="s">
        <v>2</v>
      </c>
      <c r="D107" s="35">
        <v>-4.7255480139601902E-3</v>
      </c>
      <c r="E107" s="35">
        <v>-3.7804384111681522E-3</v>
      </c>
      <c r="F107" s="35">
        <v>0.18834891603811066</v>
      </c>
      <c r="G107" s="35">
        <v>0.14892520081092675</v>
      </c>
      <c r="H107" s="35">
        <v>-3.7876023293255882E-3</v>
      </c>
    </row>
    <row r="108" spans="2:8" x14ac:dyDescent="0.35">
      <c r="B108" s="6">
        <v>45079</v>
      </c>
      <c r="C108" s="7" t="s">
        <v>2</v>
      </c>
      <c r="D108" s="35">
        <v>-5.9863155730160997E-3</v>
      </c>
      <c r="E108" s="35">
        <v>-4.7890524584128799E-3</v>
      </c>
      <c r="F108" s="35">
        <v>0.18123508441585501</v>
      </c>
      <c r="G108" s="35">
        <v>0.14342293775345061</v>
      </c>
      <c r="H108" s="35">
        <v>-4.8005567144907392E-3</v>
      </c>
    </row>
    <row r="109" spans="2:8" x14ac:dyDescent="0.35">
      <c r="B109" s="6">
        <v>45082</v>
      </c>
      <c r="C109" s="7" t="s">
        <v>2</v>
      </c>
      <c r="D109" s="35">
        <v>1.5655698644115899E-2</v>
      </c>
      <c r="E109" s="35">
        <v>1.252455891529272E-2</v>
      </c>
      <c r="F109" s="35">
        <v>0.19972814492532631</v>
      </c>
      <c r="G109" s="35">
        <v>0.15774380570244073</v>
      </c>
      <c r="H109" s="35">
        <v>1.2446775423199562E-2</v>
      </c>
    </row>
    <row r="110" spans="2:8" x14ac:dyDescent="0.35">
      <c r="B110" s="6">
        <v>45083</v>
      </c>
      <c r="C110" s="7" t="s">
        <v>2</v>
      </c>
      <c r="D110" s="35">
        <v>4.0882446600192203E-3</v>
      </c>
      <c r="E110" s="35">
        <v>3.2705957280153766E-3</v>
      </c>
      <c r="F110" s="35">
        <v>0.20463292710729197</v>
      </c>
      <c r="G110" s="35">
        <v>0.16153031764750758</v>
      </c>
      <c r="H110" s="35">
        <v>3.2652589629089111E-3</v>
      </c>
    </row>
    <row r="111" spans="2:8" x14ac:dyDescent="0.35">
      <c r="B111" s="6">
        <v>45084</v>
      </c>
      <c r="C111" s="7" t="s">
        <v>2</v>
      </c>
      <c r="D111" s="35">
        <v>-2.2426963491794499E-2</v>
      </c>
      <c r="E111" s="35">
        <v>-1.7941570793435599E-2</v>
      </c>
      <c r="F111" s="35">
        <v>0.17761666843004309</v>
      </c>
      <c r="G111" s="35">
        <v>0.14069063922471314</v>
      </c>
      <c r="H111" s="35">
        <v>-1.8104472187387768E-2</v>
      </c>
    </row>
    <row r="112" spans="2:8" x14ac:dyDescent="0.35">
      <c r="B112" s="6">
        <v>45085</v>
      </c>
      <c r="C112" s="7" t="s">
        <v>2</v>
      </c>
      <c r="D112" s="35">
        <v>-8.3615662482283703E-4</v>
      </c>
      <c r="E112" s="35">
        <v>-6.6892529985826963E-4</v>
      </c>
      <c r="F112" s="35">
        <v>0.17663199645123351</v>
      </c>
      <c r="G112" s="35">
        <v>0.13992760239682411</v>
      </c>
      <c r="H112" s="35">
        <v>-6.6914913020944301E-4</v>
      </c>
    </row>
    <row r="113" spans="2:8" x14ac:dyDescent="0.35">
      <c r="B113" s="6">
        <v>45086</v>
      </c>
      <c r="C113" s="7" t="s">
        <v>2</v>
      </c>
      <c r="D113" s="35">
        <v>6.32832560262497E-3</v>
      </c>
      <c r="E113" s="35">
        <v>5.0626604820999763E-3</v>
      </c>
      <c r="F113" s="35">
        <v>0.18407810683924364</v>
      </c>
      <c r="G113" s="35">
        <v>0.1456986688219335</v>
      </c>
      <c r="H113" s="35">
        <v>5.0498883058452534E-3</v>
      </c>
    </row>
    <row r="114" spans="2:8" x14ac:dyDescent="0.35">
      <c r="B114" s="6">
        <v>45089</v>
      </c>
      <c r="C114" s="7" t="s">
        <v>2</v>
      </c>
      <c r="D114" s="35">
        <v>-8.4774721328906299E-4</v>
      </c>
      <c r="E114" s="35">
        <v>-6.7819777063125039E-4</v>
      </c>
      <c r="F114" s="35">
        <v>0.18307430792385415</v>
      </c>
      <c r="G114" s="35">
        <v>0.14492165853892325</v>
      </c>
      <c r="H114" s="35">
        <v>-6.7842785077175741E-4</v>
      </c>
    </row>
    <row r="115" spans="2:8" x14ac:dyDescent="0.35">
      <c r="B115" s="6">
        <v>45090</v>
      </c>
      <c r="C115" s="7" t="s">
        <v>2</v>
      </c>
      <c r="D115" s="35">
        <v>-1.1058422790788201E-2</v>
      </c>
      <c r="E115" s="35">
        <v>-8.8467382326305605E-3</v>
      </c>
      <c r="F115" s="35">
        <v>0.16999137203391301</v>
      </c>
      <c r="G115" s="35">
        <v>0.13479283632896011</v>
      </c>
      <c r="H115" s="35">
        <v>-8.8861029595705895E-3</v>
      </c>
    </row>
    <row r="116" spans="2:8" x14ac:dyDescent="0.35">
      <c r="B116" s="6">
        <v>45091</v>
      </c>
      <c r="C116" s="7" t="s">
        <v>2</v>
      </c>
      <c r="D116" s="35">
        <v>-4.0299639483685201E-3</v>
      </c>
      <c r="E116" s="35">
        <v>-3.2239711586948164E-3</v>
      </c>
      <c r="F116" s="35">
        <v>0.16527634898471422</v>
      </c>
      <c r="G116" s="35">
        <v>0.13113429695354206</v>
      </c>
      <c r="H116" s="35">
        <v>-3.2291793507641204E-3</v>
      </c>
    </row>
    <row r="117" spans="2:8" x14ac:dyDescent="0.35">
      <c r="B117" s="6">
        <v>45092</v>
      </c>
      <c r="C117" s="7" t="s">
        <v>2</v>
      </c>
      <c r="D117" s="35">
        <v>4.0771784400210898E-3</v>
      </c>
      <c r="E117" s="35">
        <v>3.2617427520168722E-3</v>
      </c>
      <c r="F117" s="35">
        <v>0.17002738859146116</v>
      </c>
      <c r="G117" s="35">
        <v>0.13482376604818813</v>
      </c>
      <c r="H117" s="35">
        <v>3.2564348080933734E-3</v>
      </c>
    </row>
    <row r="118" spans="2:8" x14ac:dyDescent="0.35">
      <c r="B118" s="6">
        <v>45093</v>
      </c>
      <c r="C118" s="7" t="s">
        <v>2</v>
      </c>
      <c r="D118" s="35">
        <v>1.3017226387577E-2</v>
      </c>
      <c r="E118" s="35">
        <v>1.0413781110061601E-2</v>
      </c>
      <c r="F118" s="35">
        <v>0.18525789998842179</v>
      </c>
      <c r="G118" s="35">
        <v>0.1466415723463097</v>
      </c>
      <c r="H118" s="35">
        <v>1.0359931222869852E-2</v>
      </c>
    </row>
    <row r="119" spans="2:8" x14ac:dyDescent="0.35">
      <c r="B119" s="6">
        <v>45097</v>
      </c>
      <c r="C119" s="7" t="s">
        <v>2</v>
      </c>
      <c r="D119" s="35">
        <v>3.6764495452865864E-2</v>
      </c>
      <c r="E119" s="35">
        <v>2.9414997152565681E-2</v>
      </c>
      <c r="F119" s="35">
        <v>0.22883330866301943</v>
      </c>
      <c r="G119" s="35">
        <v>0.18037003093188986</v>
      </c>
      <c r="H119" s="35">
        <v>2.8990676959386018E-2</v>
      </c>
    </row>
    <row r="120" spans="2:8" x14ac:dyDescent="0.35">
      <c r="B120" s="6">
        <v>45098</v>
      </c>
      <c r="C120" s="7" t="s">
        <v>2</v>
      </c>
      <c r="D120" s="35">
        <v>-7.6941102620415903E-3</v>
      </c>
      <c r="E120" s="35">
        <v>-6.1552882096332726E-3</v>
      </c>
      <c r="F120" s="35">
        <v>0.21937852969249683</v>
      </c>
      <c r="G120" s="35">
        <v>0.17310451319749021</v>
      </c>
      <c r="H120" s="35">
        <v>-6.1743100930587635E-3</v>
      </c>
    </row>
    <row r="121" spans="2:8" x14ac:dyDescent="0.35">
      <c r="B121" s="6">
        <v>45099</v>
      </c>
      <c r="C121" s="7" t="s">
        <v>2</v>
      </c>
      <c r="D121" s="35">
        <v>5.1643142897757101E-3</v>
      </c>
      <c r="E121" s="35">
        <v>4.1314514318205684E-3</v>
      </c>
      <c r="F121" s="35">
        <v>0.22567578365803342</v>
      </c>
      <c r="G121" s="35">
        <v>0.17795113751821501</v>
      </c>
      <c r="H121" s="35">
        <v>4.1229404201881779E-3</v>
      </c>
    </row>
    <row r="122" spans="2:8" x14ac:dyDescent="0.35">
      <c r="B122" s="6">
        <v>45100</v>
      </c>
      <c r="C122" s="7" t="s">
        <v>2</v>
      </c>
      <c r="D122" s="35">
        <v>7.7450029035603897E-3</v>
      </c>
      <c r="E122" s="35">
        <v>6.1960023228483123E-3</v>
      </c>
      <c r="F122" s="35">
        <v>0.23516864616128852</v>
      </c>
      <c r="G122" s="35">
        <v>0.18524972550247965</v>
      </c>
      <c r="H122" s="35">
        <v>6.1768860229112999E-3</v>
      </c>
    </row>
    <row r="123" spans="2:8" x14ac:dyDescent="0.35">
      <c r="B123" s="6">
        <v>45103</v>
      </c>
      <c r="C123" s="7" t="s">
        <v>2</v>
      </c>
      <c r="D123" s="35">
        <v>-4.9979061311828402E-2</v>
      </c>
      <c r="E123" s="35">
        <v>-3.9983249049462724E-2</v>
      </c>
      <c r="F123" s="35">
        <v>0.17343607666434546</v>
      </c>
      <c r="G123" s="35">
        <v>0.13785959054190666</v>
      </c>
      <c r="H123" s="35">
        <v>-4.0804545765675854E-2</v>
      </c>
    </row>
    <row r="124" spans="2:8" x14ac:dyDescent="0.35">
      <c r="B124" s="6">
        <v>45104</v>
      </c>
      <c r="C124" s="7" t="s">
        <v>2</v>
      </c>
      <c r="D124" s="35">
        <v>-1.65664533075108E-2</v>
      </c>
      <c r="E124" s="35">
        <v>-1.3253162646008641E-2</v>
      </c>
      <c r="F124" s="35">
        <v>0.15399640269093684</v>
      </c>
      <c r="G124" s="35">
        <v>0.12277935232013393</v>
      </c>
      <c r="H124" s="35">
        <v>-1.3341769558082967E-2</v>
      </c>
    </row>
    <row r="125" spans="2:8" x14ac:dyDescent="0.35">
      <c r="B125" s="6">
        <v>45105</v>
      </c>
      <c r="C125" s="7" t="s">
        <v>2</v>
      </c>
      <c r="D125" s="35">
        <v>6.8255002866313098E-3</v>
      </c>
      <c r="E125" s="35">
        <v>5.4604002293050478E-3</v>
      </c>
      <c r="F125" s="35">
        <v>0.16187300546827532</v>
      </c>
      <c r="G125" s="35">
        <v>0.12891017695300167</v>
      </c>
      <c r="H125" s="35">
        <v>5.445546291735731E-3</v>
      </c>
    </row>
    <row r="126" spans="2:8" x14ac:dyDescent="0.35">
      <c r="B126" s="6">
        <v>45106</v>
      </c>
      <c r="C126" s="7" t="s">
        <v>2</v>
      </c>
      <c r="D126" s="35">
        <v>-4.8053870567501501E-3</v>
      </c>
      <c r="E126" s="35">
        <v>-3.8443096454001202E-3</v>
      </c>
      <c r="F126" s="35">
        <v>0.15628975596621064</v>
      </c>
      <c r="G126" s="35">
        <v>0.12457029667095076</v>
      </c>
      <c r="H126" s="35">
        <v>-3.8517179964837646E-3</v>
      </c>
    </row>
    <row r="127" spans="2:8" x14ac:dyDescent="0.35">
      <c r="B127" s="6">
        <v>45107</v>
      </c>
      <c r="C127" s="7" t="s">
        <v>2</v>
      </c>
      <c r="D127" s="35">
        <v>-3.11821155237757E-3</v>
      </c>
      <c r="E127" s="35">
        <v>-2.494569241902056E-3</v>
      </c>
      <c r="F127" s="35">
        <v>0.15268419989126092</v>
      </c>
      <c r="G127" s="35">
        <v>0.12176497819851884</v>
      </c>
      <c r="H127" s="35">
        <v>-2.4976858639185581E-3</v>
      </c>
    </row>
    <row r="128" spans="2:8" x14ac:dyDescent="0.35">
      <c r="B128" s="6">
        <v>45110</v>
      </c>
      <c r="C128" s="7" t="s">
        <v>2</v>
      </c>
      <c r="D128" s="35">
        <v>-9.7804121768716393E-3</v>
      </c>
      <c r="E128" s="35">
        <v>-7.8243297414973111E-3</v>
      </c>
      <c r="F128" s="35">
        <v>0.14141047330655687</v>
      </c>
      <c r="G128" s="35">
        <v>0.11298791911663009</v>
      </c>
      <c r="H128" s="35">
        <v>-7.8551004211722154E-3</v>
      </c>
    </row>
    <row r="129" spans="2:8" x14ac:dyDescent="0.35">
      <c r="B129" s="6">
        <v>45112</v>
      </c>
      <c r="C129" s="7" t="s">
        <v>2</v>
      </c>
      <c r="D129" s="35">
        <v>-1.1513434338014883E-2</v>
      </c>
      <c r="E129" s="35">
        <v>-9.2054313972250723E-3</v>
      </c>
      <c r="F129" s="35">
        <v>0.12826891876941926</v>
      </c>
      <c r="G129" s="35">
        <v>0.10274238518126166</v>
      </c>
      <c r="H129" s="35">
        <v>-9.2480632120194844E-3</v>
      </c>
    </row>
    <row r="130" spans="2:8" x14ac:dyDescent="0.35">
      <c r="B130" s="6">
        <v>45113</v>
      </c>
      <c r="C130" s="7" t="s">
        <v>2</v>
      </c>
      <c r="D130" s="35">
        <v>7.2815262605230302E-3</v>
      </c>
      <c r="E130" s="35">
        <v>5.8252210084184242E-3</v>
      </c>
      <c r="F130" s="35">
        <v>0.13648443853037073</v>
      </c>
      <c r="G130" s="35">
        <v>0.10916610329029308</v>
      </c>
      <c r="H130" s="35">
        <v>5.8083200114522563E-3</v>
      </c>
    </row>
    <row r="131" spans="2:8" x14ac:dyDescent="0.35">
      <c r="B131" s="6">
        <v>45114</v>
      </c>
      <c r="C131" s="7" t="s">
        <v>2</v>
      </c>
      <c r="D131" s="35">
        <v>7.7401140822774802E-3</v>
      </c>
      <c r="E131" s="35">
        <v>6.1920912658219845E-3</v>
      </c>
      <c r="F131" s="35">
        <v>0.14528095773732885</v>
      </c>
      <c r="G131" s="35">
        <v>0.11603416103082265</v>
      </c>
      <c r="H131" s="35">
        <v>6.1729990420265439E-3</v>
      </c>
    </row>
    <row r="132" spans="2:8" x14ac:dyDescent="0.35">
      <c r="B132" s="6">
        <v>45117</v>
      </c>
      <c r="C132" s="7" t="s">
        <v>2</v>
      </c>
      <c r="D132" s="35">
        <v>3.9319167772295903E-3</v>
      </c>
      <c r="E132" s="35">
        <v>3.1455334217836725E-3</v>
      </c>
      <c r="F132" s="35">
        <v>0.14978410714969792</v>
      </c>
      <c r="G132" s="35">
        <v>0.11954468378419736</v>
      </c>
      <c r="H132" s="35">
        <v>3.1405965814847352E-3</v>
      </c>
    </row>
    <row r="133" spans="2:8" x14ac:dyDescent="0.35">
      <c r="B133" s="6">
        <v>45118</v>
      </c>
      <c r="C133" s="7" t="s">
        <v>2</v>
      </c>
      <c r="D133" s="35">
        <v>-1.6048805621237099E-2</v>
      </c>
      <c r="E133" s="35">
        <v>-1.2839044496989679E-2</v>
      </c>
      <c r="F133" s="35">
        <v>0.13133144550766485</v>
      </c>
      <c r="G133" s="35">
        <v>0.10517079977272381</v>
      </c>
      <c r="H133" s="35">
        <v>-1.292217735971056E-2</v>
      </c>
    </row>
    <row r="134" spans="2:8" x14ac:dyDescent="0.35">
      <c r="B134" s="6">
        <v>45119</v>
      </c>
      <c r="C134" s="7" t="s">
        <v>2</v>
      </c>
      <c r="D134" s="35">
        <v>-4.13280517201831E-3</v>
      </c>
      <c r="E134" s="35">
        <v>-3.3062441376146483E-3</v>
      </c>
      <c r="F134" s="35">
        <v>0.12665587305840376</v>
      </c>
      <c r="G134" s="35">
        <v>0.10151683529491251</v>
      </c>
      <c r="H134" s="35">
        <v>-3.3117218398430507E-3</v>
      </c>
    </row>
    <row r="135" spans="2:8" x14ac:dyDescent="0.35">
      <c r="B135" s="6">
        <v>45120</v>
      </c>
      <c r="C135" s="7" t="s">
        <v>2</v>
      </c>
      <c r="D135" s="35">
        <v>-1.8098259792914699E-3</v>
      </c>
      <c r="E135" s="35">
        <v>-1.447860783433176E-3</v>
      </c>
      <c r="F135" s="35">
        <v>0.12461682198962132</v>
      </c>
      <c r="G135" s="35">
        <v>9.9921992266797544E-2</v>
      </c>
      <c r="H135" s="35">
        <v>-1.4489099466744328E-3</v>
      </c>
    </row>
    <row r="136" spans="2:8" x14ac:dyDescent="0.35">
      <c r="B136" s="6">
        <v>45121</v>
      </c>
      <c r="C136" s="7" t="s">
        <v>2</v>
      </c>
      <c r="D136" s="35">
        <v>-1.3357010300955E-3</v>
      </c>
      <c r="E136" s="35">
        <v>-1.0685608240764001E-3</v>
      </c>
      <c r="F136" s="35">
        <v>0.12311467014202715</v>
      </c>
      <c r="G136" s="35">
        <v>9.8746658716321267E-2</v>
      </c>
      <c r="H136" s="35">
        <v>-1.0691321422221221E-3</v>
      </c>
    </row>
    <row r="137" spans="2:8" x14ac:dyDescent="0.35">
      <c r="B137" s="6">
        <v>45124</v>
      </c>
      <c r="C137" s="7" t="s">
        <v>2</v>
      </c>
      <c r="D137" s="35">
        <v>-1.6274332658815401E-2</v>
      </c>
      <c r="E137" s="35">
        <v>-1.301946612705232E-2</v>
      </c>
      <c r="F137" s="35">
        <v>0.10483672838614</v>
      </c>
      <c r="G137" s="35">
        <v>8.4441563810952136E-2</v>
      </c>
      <c r="H137" s="35">
        <v>-1.3104962262956741E-2</v>
      </c>
    </row>
    <row r="138" spans="2:8" x14ac:dyDescent="0.35">
      <c r="B138" s="6">
        <v>45125</v>
      </c>
      <c r="C138" s="7" t="s">
        <v>2</v>
      </c>
      <c r="D138" s="35">
        <v>6.8504836181415595E-4</v>
      </c>
      <c r="E138" s="35">
        <v>5.4803868945132474E-4</v>
      </c>
      <c r="F138" s="35">
        <v>0.10559359497699305</v>
      </c>
      <c r="G138" s="35">
        <v>8.5035879744369769E-2</v>
      </c>
      <c r="H138" s="35">
        <v>5.4788857109345352E-4</v>
      </c>
    </row>
    <row r="139" spans="2:8" x14ac:dyDescent="0.35">
      <c r="B139" s="6">
        <v>45126</v>
      </c>
      <c r="C139" s="7" t="s">
        <v>2</v>
      </c>
      <c r="D139" s="35">
        <v>3.2475824838036301E-3</v>
      </c>
      <c r="E139" s="35">
        <v>2.5980659870429041E-3</v>
      </c>
      <c r="F139" s="35">
        <v>0.10918410137024592</v>
      </c>
      <c r="G139" s="35">
        <v>8.7854874558254803E-2</v>
      </c>
      <c r="H139" s="35">
        <v>2.5946968478419443E-3</v>
      </c>
    </row>
    <row r="140" spans="2:8" x14ac:dyDescent="0.35">
      <c r="B140" s="6">
        <v>45127</v>
      </c>
      <c r="C140" s="7" t="s">
        <v>2</v>
      </c>
      <c r="D140" s="35">
        <v>-2.6745423706768801E-3</v>
      </c>
      <c r="E140" s="35">
        <v>-2.139633896541504E-3</v>
      </c>
      <c r="F140" s="35">
        <v>0.10621754149425011</v>
      </c>
      <c r="G140" s="35">
        <v>8.5527263394131969E-2</v>
      </c>
      <c r="H140" s="35">
        <v>-2.1419261835006909E-3</v>
      </c>
    </row>
    <row r="141" spans="2:8" x14ac:dyDescent="0.35">
      <c r="B141" s="6">
        <v>45128</v>
      </c>
      <c r="C141" s="7" t="s">
        <v>2</v>
      </c>
      <c r="D141" s="35">
        <v>1.3198996208838999E-2</v>
      </c>
      <c r="E141" s="35">
        <v>1.0559196967071201E-2</v>
      </c>
      <c r="F141" s="35">
        <v>0.12081850263058391</v>
      </c>
      <c r="G141" s="35">
        <v>9.6989559581436513E-2</v>
      </c>
      <c r="H141" s="35">
        <v>1.0503838003255495E-2</v>
      </c>
    </row>
    <row r="142" spans="2:8" x14ac:dyDescent="0.35">
      <c r="B142" s="6">
        <v>45131</v>
      </c>
      <c r="C142" s="7" t="s">
        <v>2</v>
      </c>
      <c r="D142" s="35">
        <v>-1.7905357118156401E-3</v>
      </c>
      <c r="E142" s="35">
        <v>-1.4324285694525122E-3</v>
      </c>
      <c r="F142" s="35">
        <v>0.11881163707516018</v>
      </c>
      <c r="G142" s="35">
        <v>9.5418200395900987E-2</v>
      </c>
      <c r="H142" s="35">
        <v>-1.433455476019781E-3</v>
      </c>
    </row>
    <row r="143" spans="2:8" x14ac:dyDescent="0.35">
      <c r="B143" s="6">
        <v>45132</v>
      </c>
      <c r="C143" s="7" t="s">
        <v>2</v>
      </c>
      <c r="D143" s="35">
        <v>8.1293829449991008E-3</v>
      </c>
      <c r="E143" s="35">
        <v>6.5035063559992813E-3</v>
      </c>
      <c r="F143" s="35">
        <v>0.12790688531626548</v>
      </c>
      <c r="G143" s="35">
        <v>0.10254225962465302</v>
      </c>
      <c r="H143" s="35">
        <v>6.4824498035131219E-3</v>
      </c>
    </row>
    <row r="144" spans="2:8" x14ac:dyDescent="0.35">
      <c r="B144" s="6">
        <v>45133</v>
      </c>
      <c r="C144" s="7" t="s">
        <v>2</v>
      </c>
      <c r="D144" s="35">
        <v>-3.8586419296615697E-4</v>
      </c>
      <c r="E144" s="35">
        <v>-3.0869135437292558E-4</v>
      </c>
      <c r="F144" s="35">
        <v>0.12747166643622188</v>
      </c>
      <c r="G144" s="35">
        <v>0.10220191436127601</v>
      </c>
      <c r="H144" s="35">
        <v>-3.0873900935645304E-4</v>
      </c>
    </row>
    <row r="145" spans="2:8" x14ac:dyDescent="0.35">
      <c r="B145" s="6">
        <v>45134</v>
      </c>
      <c r="C145" s="7" t="s">
        <v>2</v>
      </c>
      <c r="D145" s="35">
        <v>6.1789057438623299E-2</v>
      </c>
      <c r="E145" s="35">
        <v>4.9431245950898643E-2</v>
      </c>
      <c r="F145" s="35">
        <v>0.19713707799406999</v>
      </c>
      <c r="G145" s="35">
        <v>0.15668512827761938</v>
      </c>
      <c r="H145" s="35">
        <v>4.8248346890002347E-2</v>
      </c>
    </row>
    <row r="146" spans="2:8" x14ac:dyDescent="0.35">
      <c r="B146" s="6">
        <v>45135</v>
      </c>
      <c r="C146" s="7" t="s">
        <v>2</v>
      </c>
      <c r="D146" s="35">
        <v>8.4055050900593304E-3</v>
      </c>
      <c r="E146" s="35">
        <v>6.724404072047465E-3</v>
      </c>
      <c r="F146" s="35">
        <v>0.20719961979664792</v>
      </c>
      <c r="G146" s="35">
        <v>0.16446314646428628</v>
      </c>
      <c r="H146" s="35">
        <v>6.7018961123890821E-3</v>
      </c>
    </row>
    <row r="147" spans="2:8" x14ac:dyDescent="0.35">
      <c r="B147" s="6">
        <v>45138</v>
      </c>
      <c r="C147" s="7" t="s">
        <v>2</v>
      </c>
      <c r="D147" s="35">
        <v>1.3848830737301299E-2</v>
      </c>
      <c r="E147" s="35">
        <v>1.107906458984104E-2</v>
      </c>
      <c r="F147" s="35">
        <v>0.22391792299734603</v>
      </c>
      <c r="G147" s="35">
        <v>0.1773643088764536</v>
      </c>
      <c r="H147" s="35">
        <v>1.1018141322612456E-2</v>
      </c>
    </row>
    <row r="148" spans="2:8" x14ac:dyDescent="0.35">
      <c r="B148" s="6">
        <v>45139</v>
      </c>
      <c r="C148" s="7" t="s">
        <v>2</v>
      </c>
      <c r="D148" s="35">
        <v>3.4045491422110198E-2</v>
      </c>
      <c r="E148" s="35">
        <v>2.7236393137688161E-2</v>
      </c>
      <c r="F148" s="35">
        <v>0.26558681014611918</v>
      </c>
      <c r="G148" s="35">
        <v>0.2094314660592953</v>
      </c>
      <c r="H148" s="35">
        <v>2.6872082782423482E-2</v>
      </c>
    </row>
    <row r="149" spans="2:8" x14ac:dyDescent="0.35">
      <c r="B149" s="6">
        <v>45140</v>
      </c>
      <c r="C149" s="7" t="s">
        <v>2</v>
      </c>
      <c r="D149" s="35">
        <v>3.5615982942318598E-3</v>
      </c>
      <c r="E149" s="35">
        <v>2.8492786353854879E-3</v>
      </c>
      <c r="F149" s="35">
        <v>0.270094321970338</v>
      </c>
      <c r="G149" s="35">
        <v>0.21287747329650109</v>
      </c>
      <c r="H149" s="35">
        <v>2.8452271350921095E-3</v>
      </c>
    </row>
    <row r="150" spans="2:8" x14ac:dyDescent="0.35">
      <c r="B150" s="6">
        <v>45141</v>
      </c>
      <c r="C150" s="7" t="s">
        <v>2</v>
      </c>
      <c r="D150" s="35">
        <v>1.2245605546588E-3</v>
      </c>
      <c r="E150" s="35">
        <v>9.7964844372703998E-4</v>
      </c>
      <c r="F150" s="35">
        <v>0.27164962937771908</v>
      </c>
      <c r="G150" s="35">
        <v>0.21406566682564754</v>
      </c>
      <c r="H150" s="35">
        <v>9.7916890135342298E-4</v>
      </c>
    </row>
    <row r="151" spans="2:8" x14ac:dyDescent="0.35">
      <c r="B151" s="6">
        <v>45142</v>
      </c>
      <c r="C151" s="7" t="s">
        <v>2</v>
      </c>
      <c r="D151" s="35">
        <v>-7.6031143199219997E-3</v>
      </c>
      <c r="E151" s="35">
        <v>-6.0824914559375999E-3</v>
      </c>
      <c r="F151" s="35">
        <v>0.26198113187067373</v>
      </c>
      <c r="G151" s="35">
        <v>0.20668112278023321</v>
      </c>
      <c r="H151" s="35">
        <v>-6.1010651616645595E-3</v>
      </c>
    </row>
    <row r="152" spans="2:8" x14ac:dyDescent="0.35">
      <c r="B152" s="6">
        <v>45145</v>
      </c>
      <c r="C152" s="7" t="s">
        <v>2</v>
      </c>
      <c r="D152" s="35">
        <v>2.6394567642171701E-3</v>
      </c>
      <c r="E152" s="35">
        <v>2.111565411373736E-3</v>
      </c>
      <c r="F152" s="35">
        <v>0.26531207650550415</v>
      </c>
      <c r="G152" s="35">
        <v>0.20922910890165358</v>
      </c>
      <c r="H152" s="35">
        <v>2.1093391904536737E-3</v>
      </c>
    </row>
    <row r="153" spans="2:8" x14ac:dyDescent="0.35">
      <c r="B153" s="6">
        <v>45146</v>
      </c>
      <c r="C153" s="7" t="s">
        <v>2</v>
      </c>
      <c r="D153" s="35">
        <v>2.32402933265941E-3</v>
      </c>
      <c r="E153" s="35">
        <v>1.8592234661275282E-3</v>
      </c>
      <c r="F153" s="35">
        <v>0.26825269888627101</v>
      </c>
      <c r="G153" s="35">
        <v>0.21147733603684782</v>
      </c>
      <c r="H153" s="35">
        <v>1.8574972494627827E-3</v>
      </c>
    </row>
    <row r="154" spans="2:8" x14ac:dyDescent="0.35">
      <c r="B154" s="6">
        <v>45147</v>
      </c>
      <c r="C154" s="7" t="s">
        <v>2</v>
      </c>
      <c r="D154" s="35">
        <v>-1.1777345535706901E-2</v>
      </c>
      <c r="E154" s="35">
        <v>-9.4218764285655208E-3</v>
      </c>
      <c r="F154" s="35">
        <v>0.25331604862489465</v>
      </c>
      <c r="G154" s="35">
        <v>0.20006294628070087</v>
      </c>
      <c r="H154" s="35">
        <v>-9.4665430901931368E-3</v>
      </c>
    </row>
    <row r="155" spans="2:8" x14ac:dyDescent="0.35">
      <c r="B155" s="6">
        <v>45148</v>
      </c>
      <c r="C155" s="7" t="s">
        <v>2</v>
      </c>
      <c r="D155" s="35">
        <v>9.06163902093504E-3</v>
      </c>
      <c r="E155" s="35">
        <v>7.2493112167480323E-3</v>
      </c>
      <c r="F155" s="35">
        <v>0.26467314623667804</v>
      </c>
      <c r="G155" s="35">
        <v>0.20876257605797721</v>
      </c>
      <c r="H155" s="35">
        <v>7.2231612635687732E-3</v>
      </c>
    </row>
    <row r="156" spans="2:8" x14ac:dyDescent="0.35">
      <c r="B156" s="6">
        <v>45149</v>
      </c>
      <c r="C156" s="7" t="s">
        <v>2</v>
      </c>
      <c r="D156" s="35">
        <v>3.5898174187956001E-3</v>
      </c>
      <c r="E156" s="35">
        <v>2.8718539350364803E-3</v>
      </c>
      <c r="F156" s="35">
        <v>0.26921309192612153</v>
      </c>
      <c r="G156" s="35">
        <v>0.21223396561855412</v>
      </c>
      <c r="H156" s="35">
        <v>2.8677380408061231E-3</v>
      </c>
    </row>
    <row r="157" spans="2:8" x14ac:dyDescent="0.35">
      <c r="B157" s="6">
        <v>45152</v>
      </c>
      <c r="C157" s="7" t="s">
        <v>2</v>
      </c>
      <c r="D157" s="35">
        <v>-3.67349009759876E-3</v>
      </c>
      <c r="E157" s="35">
        <v>-2.9387920780790081E-3</v>
      </c>
      <c r="F157" s="35">
        <v>0.26455065020118829</v>
      </c>
      <c r="G157" s="35">
        <v>0.20867146204361608</v>
      </c>
      <c r="H157" s="35">
        <v>-2.9431188065008225E-3</v>
      </c>
    </row>
    <row r="158" spans="2:8" x14ac:dyDescent="0.35">
      <c r="B158" s="6">
        <v>45153</v>
      </c>
      <c r="C158" s="7" t="s">
        <v>2</v>
      </c>
      <c r="D158" s="35">
        <v>6.1159734351743404E-3</v>
      </c>
      <c r="E158" s="35">
        <v>4.8927787481394727E-3</v>
      </c>
      <c r="F158" s="35">
        <v>0.27228460838525126</v>
      </c>
      <c r="G158" s="35">
        <v>0.21458522408658576</v>
      </c>
      <c r="H158" s="35">
        <v>4.8808480066929666E-3</v>
      </c>
    </row>
    <row r="159" spans="2:8" x14ac:dyDescent="0.35">
      <c r="B159" s="6">
        <v>45154</v>
      </c>
      <c r="C159" s="7" t="s">
        <v>2</v>
      </c>
      <c r="D159" s="35">
        <v>1.40670934416816E-2</v>
      </c>
      <c r="E159" s="35">
        <v>1.125367475334528E-2</v>
      </c>
      <c r="F159" s="35">
        <v>0.29018195485581977</v>
      </c>
      <c r="G159" s="35">
        <v>0.2282537711586754</v>
      </c>
      <c r="H159" s="35">
        <v>1.1190823256244098E-2</v>
      </c>
    </row>
    <row r="160" spans="2:8" x14ac:dyDescent="0.35">
      <c r="B160" s="6">
        <v>45155</v>
      </c>
      <c r="C160" s="7" t="s">
        <v>2</v>
      </c>
      <c r="D160" s="35">
        <v>-8.7551207432972102E-3</v>
      </c>
      <c r="E160" s="35">
        <v>-7.0040965946377683E-3</v>
      </c>
      <c r="F160" s="35">
        <v>0.27888625606023387</v>
      </c>
      <c r="G160" s="35">
        <v>0.21965096310275189</v>
      </c>
      <c r="H160" s="35">
        <v>-7.0287404184226285E-3</v>
      </c>
    </row>
    <row r="161" spans="2:8" x14ac:dyDescent="0.35">
      <c r="B161" s="6">
        <v>45156</v>
      </c>
      <c r="C161" s="7" t="s">
        <v>2</v>
      </c>
      <c r="D161" s="35">
        <v>2.7081719283672501E-4</v>
      </c>
      <c r="E161" s="35">
        <v>2.1665375426938003E-4</v>
      </c>
      <c r="F161" s="35">
        <v>0.27923260044605747</v>
      </c>
      <c r="G161" s="35">
        <v>0.21991520506280637</v>
      </c>
      <c r="H161" s="35">
        <v>2.1663028823403602E-4</v>
      </c>
    </row>
    <row r="162" spans="2:8" x14ac:dyDescent="0.35">
      <c r="B162" s="6">
        <v>45159</v>
      </c>
      <c r="C162" s="7" t="s">
        <v>2</v>
      </c>
      <c r="D162" s="35">
        <v>2.1056039443534398E-3</v>
      </c>
      <c r="E162" s="35">
        <v>1.684483155482752E-3</v>
      </c>
      <c r="F162" s="35">
        <v>0.28192615765530227</v>
      </c>
      <c r="G162" s="35">
        <v>0.22197013167685187</v>
      </c>
      <c r="H162" s="35">
        <v>1.683066004953134E-3</v>
      </c>
    </row>
    <row r="163" spans="2:8" x14ac:dyDescent="0.35">
      <c r="B163" s="6">
        <v>45160</v>
      </c>
      <c r="C163" s="7" t="s">
        <v>2</v>
      </c>
      <c r="D163" s="35">
        <v>-5.8142745778626496E-3</v>
      </c>
      <c r="E163" s="35">
        <v>-4.6514196622901198E-3</v>
      </c>
      <c r="F163" s="35">
        <v>0.27447268698614979</v>
      </c>
      <c r="G163" s="35">
        <v>0.2162862357796389</v>
      </c>
      <c r="H163" s="35">
        <v>-4.6622711777715873E-3</v>
      </c>
    </row>
    <row r="164" spans="2:8" x14ac:dyDescent="0.35">
      <c r="B164" s="6">
        <v>45161</v>
      </c>
      <c r="C164" s="7" t="s">
        <v>2</v>
      </c>
      <c r="D164" s="35">
        <v>-9.8929533366433099E-3</v>
      </c>
      <c r="E164" s="35">
        <v>-7.9143626693146483E-3</v>
      </c>
      <c r="F164" s="35">
        <v>0.26186438816496937</v>
      </c>
      <c r="G164" s="35">
        <v>0.20666010539998325</v>
      </c>
      <c r="H164" s="35">
        <v>-7.9458474689877764E-3</v>
      </c>
    </row>
    <row r="165" spans="2:8" x14ac:dyDescent="0.35">
      <c r="B165" s="6">
        <v>45162</v>
      </c>
      <c r="C165" s="7" t="s">
        <v>2</v>
      </c>
      <c r="D165" s="35">
        <v>1.7151293234975999E-3</v>
      </c>
      <c r="E165" s="35">
        <v>1.37210345879808E-3</v>
      </c>
      <c r="F165" s="35">
        <v>0.26402864877938836</v>
      </c>
      <c r="G165" s="35">
        <v>0.20831576790419626</v>
      </c>
      <c r="H165" s="35">
        <v>1.3711629850338763E-3</v>
      </c>
    </row>
    <row r="166" spans="2:8" x14ac:dyDescent="0.35">
      <c r="B166" s="6">
        <v>45163</v>
      </c>
      <c r="C166" s="7" t="s">
        <v>2</v>
      </c>
      <c r="D166" s="35">
        <v>4.0339491996510502E-4</v>
      </c>
      <c r="E166" s="35">
        <v>3.2271593597208402E-4</v>
      </c>
      <c r="F166" s="35">
        <v>0.26453855151499628</v>
      </c>
      <c r="G166" s="35">
        <v>0.20870571065818511</v>
      </c>
      <c r="H166" s="35">
        <v>3.2266387438476516E-4</v>
      </c>
    </row>
    <row r="167" spans="2:8" x14ac:dyDescent="0.35">
      <c r="B167" s="6">
        <v>45166</v>
      </c>
      <c r="C167" s="7" t="s">
        <v>2</v>
      </c>
      <c r="D167" s="35">
        <v>-8.6490128581662197E-3</v>
      </c>
      <c r="E167" s="35">
        <v>-6.9192102865329765E-3</v>
      </c>
      <c r="F167" s="35">
        <v>0.25360154132329615</v>
      </c>
      <c r="G167" s="35">
        <v>0.20034242167160787</v>
      </c>
      <c r="H167" s="35">
        <v>-6.9432590183834807E-3</v>
      </c>
    </row>
    <row r="168" spans="2:8" x14ac:dyDescent="0.35">
      <c r="B168" s="6">
        <v>45167</v>
      </c>
      <c r="C168" s="7" t="s">
        <v>2</v>
      </c>
      <c r="D168" s="35">
        <v>1.1275730661122601E-2</v>
      </c>
      <c r="E168" s="35">
        <v>9.0205845288980815E-3</v>
      </c>
      <c r="F168" s="35">
        <v>0.26773681465962595</v>
      </c>
      <c r="G168" s="35">
        <v>0.21117021194991881</v>
      </c>
      <c r="H168" s="35">
        <v>8.9801420839884204E-3</v>
      </c>
    </row>
    <row r="169" spans="2:8" x14ac:dyDescent="0.35">
      <c r="B169" s="6">
        <v>45168</v>
      </c>
      <c r="C169" s="7" t="s">
        <v>2</v>
      </c>
      <c r="D169" s="35">
        <v>-9.1389430666161103E-3</v>
      </c>
      <c r="E169" s="35">
        <v>-7.3111544532928887E-3</v>
      </c>
      <c r="F169" s="35">
        <v>0.2561510400869984</v>
      </c>
      <c r="G169" s="35">
        <v>0.20231515946112544</v>
      </c>
      <c r="H169" s="35">
        <v>-7.3380119291845177E-3</v>
      </c>
    </row>
    <row r="170" spans="2:8" x14ac:dyDescent="0.35">
      <c r="B170" s="6">
        <v>45169</v>
      </c>
      <c r="C170" s="7" t="s">
        <v>2</v>
      </c>
      <c r="D170" s="35">
        <v>2.06544120765906E-3</v>
      </c>
      <c r="E170" s="35">
        <v>1.652352966127248E-3</v>
      </c>
      <c r="F170" s="35">
        <v>0.25874554620823798</v>
      </c>
      <c r="G170" s="35">
        <v>0.20430180848108082</v>
      </c>
      <c r="H170" s="35">
        <v>1.650989332893823E-3</v>
      </c>
    </row>
    <row r="171" spans="2:8" x14ac:dyDescent="0.35">
      <c r="B171" s="6">
        <v>45170</v>
      </c>
      <c r="C171" s="7" t="s">
        <v>2</v>
      </c>
      <c r="D171" s="35">
        <v>-2.1272701304073699E-3</v>
      </c>
      <c r="E171" s="35">
        <v>-1.7018161043258961E-3</v>
      </c>
      <c r="F171" s="35">
        <v>0.25606785440600599</v>
      </c>
      <c r="G171" s="35">
        <v>0.20225230826893892</v>
      </c>
      <c r="H171" s="35">
        <v>-1.7032658383729577E-3</v>
      </c>
    </row>
    <row r="172" spans="2:8" x14ac:dyDescent="0.35">
      <c r="B172" s="6">
        <v>45174</v>
      </c>
      <c r="C172" s="7" t="s">
        <v>2</v>
      </c>
      <c r="D172" s="35">
        <v>4.4131747447724301E-3</v>
      </c>
      <c r="E172" s="35">
        <v>3.5298041730387197E-3</v>
      </c>
      <c r="F172" s="35">
        <v>0.26161110133879117</v>
      </c>
      <c r="G172" s="35">
        <v>0.2064960234837121</v>
      </c>
      <c r="H172" s="35">
        <v>3.5235890354737183E-3</v>
      </c>
    </row>
    <row r="173" spans="2:8" x14ac:dyDescent="0.35">
      <c r="B173" s="6">
        <v>45175</v>
      </c>
      <c r="C173" s="7" t="s">
        <v>2</v>
      </c>
      <c r="D173" s="35">
        <v>4.5505503889871103E-3</v>
      </c>
      <c r="E173" s="35">
        <v>3.6404403111896886E-3</v>
      </c>
      <c r="F173" s="35">
        <v>0.26735212622673887</v>
      </c>
      <c r="G173" s="35">
        <v>0.21088820024289223</v>
      </c>
      <c r="H173" s="35">
        <v>3.6338299465941935E-3</v>
      </c>
    </row>
    <row r="174" spans="2:8" x14ac:dyDescent="0.35">
      <c r="B174" s="6">
        <v>45176</v>
      </c>
      <c r="C174" s="7" t="s">
        <v>2</v>
      </c>
      <c r="D174" s="35">
        <v>-3.9694667962673104E-3</v>
      </c>
      <c r="E174" s="35">
        <v>-3.1755734370138484E-3</v>
      </c>
      <c r="F174" s="35">
        <v>0.26232141404250298</v>
      </c>
      <c r="G174" s="35">
        <v>0.20704293583900735</v>
      </c>
      <c r="H174" s="35">
        <v>-3.1806262702717071E-3</v>
      </c>
    </row>
    <row r="175" spans="2:8" x14ac:dyDescent="0.35">
      <c r="B175" s="6">
        <v>45177</v>
      </c>
      <c r="C175" s="7" t="s">
        <v>2</v>
      </c>
      <c r="D175" s="35">
        <v>-7.8502185595664704E-3</v>
      </c>
      <c r="E175" s="35">
        <v>-6.2801748476531763E-3</v>
      </c>
      <c r="F175" s="35">
        <v>0.25241191504984828</v>
      </c>
      <c r="G175" s="35">
        <v>0.19946249515331371</v>
      </c>
      <c r="H175" s="35">
        <v>-6.2999781011792572E-3</v>
      </c>
    </row>
    <row r="176" spans="2:8" x14ac:dyDescent="0.35">
      <c r="B176" s="6">
        <v>45180</v>
      </c>
      <c r="C176" s="7" t="s">
        <v>2</v>
      </c>
      <c r="D176" s="35">
        <v>-7.0462645632196601E-3</v>
      </c>
      <c r="E176" s="35">
        <v>-5.6370116505757286E-3</v>
      </c>
      <c r="F176" s="35">
        <v>0.24358708935427842</v>
      </c>
      <c r="G176" s="35">
        <v>0.1927011110937058</v>
      </c>
      <c r="H176" s="35">
        <v>-5.6529595613609316E-3</v>
      </c>
    </row>
    <row r="177" spans="2:8" x14ac:dyDescent="0.35">
      <c r="B177" s="6">
        <v>45181</v>
      </c>
      <c r="C177" s="7" t="s">
        <v>2</v>
      </c>
      <c r="D177" s="35">
        <v>-5.6224256356548503E-3</v>
      </c>
      <c r="E177" s="35">
        <v>-4.4979405085238807E-3</v>
      </c>
      <c r="F177" s="35">
        <v>0.23659511342292361</v>
      </c>
      <c r="G177" s="35">
        <v>0.18733641245155597</v>
      </c>
      <c r="H177" s="35">
        <v>-4.508086678945096E-3</v>
      </c>
    </row>
    <row r="178" spans="2:8" x14ac:dyDescent="0.35">
      <c r="B178" s="6">
        <v>45182</v>
      </c>
      <c r="C178" s="7" t="s">
        <v>2</v>
      </c>
      <c r="D178" s="35">
        <v>-1.00580707163694E-2</v>
      </c>
      <c r="E178" s="35">
        <v>-8.0464565730955211E-3</v>
      </c>
      <c r="F178" s="35">
        <v>0.22415735232459899</v>
      </c>
      <c r="G178" s="35">
        <v>0.1777825615711095</v>
      </c>
      <c r="H178" s="35">
        <v>-8.079004016758793E-3</v>
      </c>
    </row>
    <row r="179" spans="2:8" x14ac:dyDescent="0.35">
      <c r="B179" s="6">
        <v>45183</v>
      </c>
      <c r="C179" s="7" t="s">
        <v>2</v>
      </c>
      <c r="D179" s="35">
        <v>6.52825407995428E-3</v>
      </c>
      <c r="E179" s="35">
        <v>5.2226032639634242E-3</v>
      </c>
      <c r="F179" s="35">
        <v>0.23214896255441797</v>
      </c>
      <c r="G179" s="35">
        <v>0.18393365262141015</v>
      </c>
      <c r="H179" s="35">
        <v>5.2090127695076181E-3</v>
      </c>
    </row>
    <row r="180" spans="2:8" x14ac:dyDescent="0.35">
      <c r="B180" s="6">
        <v>45184</v>
      </c>
      <c r="C180" s="7" t="s">
        <v>2</v>
      </c>
      <c r="D180" s="35">
        <v>6.0090928643672398E-3</v>
      </c>
      <c r="E180" s="35">
        <v>4.807274291493792E-3</v>
      </c>
      <c r="F180" s="35">
        <v>0.23955306009314126</v>
      </c>
      <c r="G180" s="35">
        <v>0.1896251464324914</v>
      </c>
      <c r="H180" s="35">
        <v>4.7957562472854395E-3</v>
      </c>
    </row>
    <row r="181" spans="2:8" x14ac:dyDescent="0.35">
      <c r="B181" s="6">
        <v>45187</v>
      </c>
      <c r="C181" s="7" t="s">
        <v>2</v>
      </c>
      <c r="D181" s="35">
        <v>1.19683714788998E-2</v>
      </c>
      <c r="E181" s="35">
        <v>9.5746971831198405E-3</v>
      </c>
      <c r="F181" s="35">
        <v>0.25438849158414301</v>
      </c>
      <c r="G181" s="35">
        <v>0.20101544697100704</v>
      </c>
      <c r="H181" s="35">
        <v>9.529150271176753E-3</v>
      </c>
    </row>
    <row r="182" spans="2:8" x14ac:dyDescent="0.35">
      <c r="B182" s="6">
        <v>45188</v>
      </c>
      <c r="C182" s="7" t="s">
        <v>2</v>
      </c>
      <c r="D182" s="35">
        <v>-1.47628753871636E-2</v>
      </c>
      <c r="E182" s="35">
        <v>-1.1810300309730881E-2</v>
      </c>
      <c r="F182" s="35">
        <v>0.2358701105957941</v>
      </c>
      <c r="G182" s="35">
        <v>0.18683109386565389</v>
      </c>
      <c r="H182" s="35">
        <v>-1.1880595929537052E-2</v>
      </c>
    </row>
    <row r="183" spans="2:8" x14ac:dyDescent="0.35">
      <c r="B183" s="6">
        <v>45189</v>
      </c>
      <c r="C183" s="7" t="s">
        <v>2</v>
      </c>
      <c r="D183" s="35">
        <v>-1.58140717256228E-3</v>
      </c>
      <c r="E183" s="35">
        <v>-1.2651257380498241E-3</v>
      </c>
      <c r="F183" s="35">
        <v>0.23391569673854251</v>
      </c>
      <c r="G183" s="35">
        <v>0.18532960330208659</v>
      </c>
      <c r="H183" s="35">
        <v>-1.2659266852202138E-3</v>
      </c>
    </row>
    <row r="184" spans="2:8" x14ac:dyDescent="0.35">
      <c r="B184" s="6">
        <v>45190</v>
      </c>
      <c r="C184" s="7" t="s">
        <v>2</v>
      </c>
      <c r="D184" s="35">
        <v>-5.1526884033297202E-3</v>
      </c>
      <c r="E184" s="35">
        <v>-4.1221507226637767E-3</v>
      </c>
      <c r="F184" s="35">
        <v>0.22755771363727129</v>
      </c>
      <c r="G184" s="35">
        <v>0.18044349602124021</v>
      </c>
      <c r="H184" s="35">
        <v>-4.1306702064115046E-3</v>
      </c>
    </row>
    <row r="185" spans="2:8" x14ac:dyDescent="0.35">
      <c r="B185" s="6">
        <v>45191</v>
      </c>
      <c r="C185" s="7" t="s">
        <v>2</v>
      </c>
      <c r="D185" s="35">
        <v>7.8929500056663694E-3</v>
      </c>
      <c r="E185" s="35">
        <v>6.3143600045330959E-3</v>
      </c>
      <c r="F185" s="35">
        <v>0.23724676530008049</v>
      </c>
      <c r="G185" s="35">
        <v>0.18789724122012785</v>
      </c>
      <c r="H185" s="35">
        <v>6.2945079582183636E-3</v>
      </c>
    </row>
    <row r="186" spans="2:8" x14ac:dyDescent="0.35">
      <c r="B186" s="6">
        <v>45194</v>
      </c>
      <c r="C186" s="7" t="s">
        <v>2</v>
      </c>
      <c r="D186" s="35">
        <v>1.38357077674056E-2</v>
      </c>
      <c r="E186" s="35">
        <v>1.1068566213924481E-2</v>
      </c>
      <c r="F186" s="35">
        <v>0.25436494998094039</v>
      </c>
      <c r="G186" s="35">
        <v>0.20104556048991107</v>
      </c>
      <c r="H186" s="35">
        <v>1.1007757930463663E-2</v>
      </c>
    </row>
    <row r="187" spans="2:8" x14ac:dyDescent="0.35">
      <c r="B187" s="6">
        <v>45195</v>
      </c>
      <c r="C187" s="7" t="s">
        <v>2</v>
      </c>
      <c r="D187" s="35">
        <v>8.9755083163130002E-3</v>
      </c>
      <c r="E187" s="35">
        <v>7.1804066530504005E-3</v>
      </c>
      <c r="F187" s="35">
        <v>0.26562351302118592</v>
      </c>
      <c r="G187" s="35">
        <v>0.20966955602306947</v>
      </c>
      <c r="H187" s="35">
        <v>7.1547502754729288E-3</v>
      </c>
    </row>
    <row r="188" spans="2:8" x14ac:dyDescent="0.35">
      <c r="B188" s="6">
        <v>45196</v>
      </c>
      <c r="C188" s="7" t="s">
        <v>2</v>
      </c>
      <c r="D188" s="35">
        <v>-1.3816297670624001E-2</v>
      </c>
      <c r="E188" s="35">
        <v>-1.1053038136499202E-2</v>
      </c>
      <c r="F188" s="35">
        <v>0.24813728182634431</v>
      </c>
      <c r="G188" s="35">
        <v>0.19629903228778445</v>
      </c>
      <c r="H188" s="35">
        <v>-1.111457684245405E-2</v>
      </c>
    </row>
    <row r="189" spans="2:8" x14ac:dyDescent="0.35">
      <c r="B189" s="6">
        <v>45197</v>
      </c>
      <c r="C189" s="7" t="s">
        <v>2</v>
      </c>
      <c r="D189" s="35">
        <v>1.0953714475597299E-2</v>
      </c>
      <c r="E189" s="35">
        <v>8.762971580477839E-3</v>
      </c>
      <c r="F189" s="35">
        <v>0.26180902123781835</v>
      </c>
      <c r="G189" s="35">
        <v>0.20678216670947536</v>
      </c>
      <c r="H189" s="35">
        <v>8.7247995830151172E-3</v>
      </c>
    </row>
    <row r="190" spans="2:8" x14ac:dyDescent="0.35">
      <c r="B190" s="6">
        <v>45198</v>
      </c>
      <c r="C190" s="7" t="s">
        <v>2</v>
      </c>
      <c r="D190" s="35">
        <v>8.2445269187985098E-3</v>
      </c>
      <c r="E190" s="35">
        <v>6.5956215350388078E-3</v>
      </c>
      <c r="F190" s="35">
        <v>0.27221203967979646</v>
      </c>
      <c r="G190" s="35">
        <v>0.21474164515632532</v>
      </c>
      <c r="H190" s="35">
        <v>6.573965594094594E-3</v>
      </c>
    </row>
    <row r="191" spans="2:8" x14ac:dyDescent="0.35">
      <c r="B191" s="6">
        <v>45201</v>
      </c>
      <c r="C191" s="7" t="s">
        <v>2</v>
      </c>
      <c r="D191" s="35">
        <v>-1.1254529320529699E-2</v>
      </c>
      <c r="E191" s="35">
        <v>-9.0036234564237604E-3</v>
      </c>
      <c r="F191" s="35">
        <v>0.25789389197728929</v>
      </c>
      <c r="G191" s="35">
        <v>0.20380456878650088</v>
      </c>
      <c r="H191" s="35">
        <v>-9.0444010225306532E-3</v>
      </c>
    </row>
    <row r="192" spans="2:8" x14ac:dyDescent="0.35">
      <c r="B192" s="6">
        <v>45202</v>
      </c>
      <c r="C192" s="7" t="s">
        <v>2</v>
      </c>
      <c r="D192" s="35">
        <v>9.6001259886306905E-3</v>
      </c>
      <c r="E192" s="35">
        <v>7.6801007909045524E-3</v>
      </c>
      <c r="F192" s="35">
        <v>0.2699698318206003</v>
      </c>
      <c r="G192" s="35">
        <v>0.2130499092073328</v>
      </c>
      <c r="H192" s="35">
        <v>7.6507589532478467E-3</v>
      </c>
    </row>
    <row r="193" spans="2:8" x14ac:dyDescent="0.35">
      <c r="B193" s="6">
        <v>45203</v>
      </c>
      <c r="C193" s="7" t="s">
        <v>2</v>
      </c>
      <c r="D193" s="35">
        <v>-1.2126764476841901E-3</v>
      </c>
      <c r="E193" s="35">
        <v>-9.7014115814735209E-4</v>
      </c>
      <c r="F193" s="35">
        <v>0.26842976931628204</v>
      </c>
      <c r="G193" s="35">
        <v>0.21187307956352397</v>
      </c>
      <c r="H193" s="35">
        <v>-9.7061204965946668E-4</v>
      </c>
    </row>
    <row r="194" spans="2:8" x14ac:dyDescent="0.35">
      <c r="B194" s="6">
        <v>45204</v>
      </c>
      <c r="C194" s="7" t="s">
        <v>2</v>
      </c>
      <c r="D194" s="35">
        <v>-5.65398950420881E-3</v>
      </c>
      <c r="E194" s="35">
        <v>-4.5231916033670484E-3</v>
      </c>
      <c r="F194" s="35">
        <v>0.26125808071374168</v>
      </c>
      <c r="G194" s="35">
        <v>0.20639154542569571</v>
      </c>
      <c r="H194" s="35">
        <v>-4.5334521865872937E-3</v>
      </c>
    </row>
    <row r="195" spans="2:8" x14ac:dyDescent="0.35">
      <c r="B195" s="6">
        <v>45205</v>
      </c>
      <c r="C195" s="7" t="s">
        <v>2</v>
      </c>
      <c r="D195" s="35">
        <v>-7.9861025779850402E-3</v>
      </c>
      <c r="E195" s="35">
        <v>-6.3888820623880325E-3</v>
      </c>
      <c r="F195" s="35">
        <v>0.2511855443038491</v>
      </c>
      <c r="G195" s="35">
        <v>0.19868405212090878</v>
      </c>
      <c r="H195" s="35">
        <v>-6.4093783147886538E-3</v>
      </c>
    </row>
    <row r="196" spans="2:8" x14ac:dyDescent="0.35">
      <c r="B196" s="6">
        <v>45208</v>
      </c>
      <c r="C196" s="7" t="s">
        <v>2</v>
      </c>
      <c r="D196" s="35">
        <v>2.0723873986543402E-3</v>
      </c>
      <c r="E196" s="35">
        <v>1.6579099189234722E-3</v>
      </c>
      <c r="F196" s="35">
        <v>0.25377848545924286</v>
      </c>
      <c r="G196" s="35">
        <v>0.20067136230057558</v>
      </c>
      <c r="H196" s="35">
        <v>1.6565371034007947E-3</v>
      </c>
    </row>
    <row r="197" spans="2:8" x14ac:dyDescent="0.35">
      <c r="B197" s="6">
        <v>45209</v>
      </c>
      <c r="C197" s="7" t="s">
        <v>2</v>
      </c>
      <c r="D197" s="35">
        <v>-1.43351310734217E-2</v>
      </c>
      <c r="E197" s="35">
        <v>-1.1468104858737361E-2</v>
      </c>
      <c r="F197" s="35">
        <v>0.23580540653314852</v>
      </c>
      <c r="G197" s="35">
        <v>0.18690193721682946</v>
      </c>
      <c r="H197" s="35">
        <v>-1.1534370689415749E-2</v>
      </c>
    </row>
    <row r="198" spans="2:8" x14ac:dyDescent="0.35">
      <c r="B198" s="6">
        <v>45210</v>
      </c>
      <c r="C198" s="7" t="s">
        <v>2</v>
      </c>
      <c r="D198" s="35">
        <v>9.52311014073004E-4</v>
      </c>
      <c r="E198" s="35">
        <v>7.618488112584032E-4</v>
      </c>
      <c r="F198" s="35">
        <v>0.23698227763304103</v>
      </c>
      <c r="G198" s="35">
        <v>0.18780617704677849</v>
      </c>
      <c r="H198" s="35">
        <v>7.6155875176443322E-4</v>
      </c>
    </row>
    <row r="199" spans="2:8" x14ac:dyDescent="0.35">
      <c r="B199" s="6">
        <v>45211</v>
      </c>
      <c r="C199" s="7" t="s">
        <v>2</v>
      </c>
      <c r="D199" s="35">
        <v>5.5833514407204196E-3</v>
      </c>
      <c r="E199" s="35">
        <v>4.4666811525763362E-3</v>
      </c>
      <c r="F199" s="35">
        <v>0.24388878441500905</v>
      </c>
      <c r="G199" s="35">
        <v>0.19311172851070713</v>
      </c>
      <c r="H199" s="35">
        <v>4.4567351384349743E-3</v>
      </c>
    </row>
    <row r="200" spans="2:8" x14ac:dyDescent="0.35">
      <c r="B200" s="6">
        <v>45212</v>
      </c>
      <c r="C200" s="7" t="s">
        <v>2</v>
      </c>
      <c r="D200" s="35">
        <v>2.8301163476658299E-3</v>
      </c>
      <c r="E200" s="35">
        <v>2.264093078132664E-3</v>
      </c>
      <c r="F200" s="35">
        <v>0.24740913439846013</v>
      </c>
      <c r="G200" s="35">
        <v>0.19581304451666703</v>
      </c>
      <c r="H200" s="35">
        <v>2.2615338815109853E-3</v>
      </c>
    </row>
    <row r="201" spans="2:8" x14ac:dyDescent="0.35">
      <c r="B201" s="6">
        <v>45215</v>
      </c>
      <c r="C201" s="7" t="s">
        <v>2</v>
      </c>
      <c r="D201" s="35">
        <v>-1.1403512012531199E-2</v>
      </c>
      <c r="E201" s="35">
        <v>-9.1228096100249602E-3</v>
      </c>
      <c r="F201" s="35">
        <v>0.23318428934980617</v>
      </c>
      <c r="G201" s="35">
        <v>0.18490386978235707</v>
      </c>
      <c r="H201" s="35">
        <v>-9.1646772659130949E-3</v>
      </c>
    </row>
    <row r="202" spans="2:8" x14ac:dyDescent="0.35">
      <c r="B202" s="6">
        <v>45216</v>
      </c>
      <c r="C202" s="7" t="s">
        <v>2</v>
      </c>
      <c r="D202" s="35">
        <v>4.1486089701081603E-3</v>
      </c>
      <c r="E202" s="35">
        <v>3.3188871760865286E-3</v>
      </c>
      <c r="F202" s="35">
        <v>0.23830028875439924</v>
      </c>
      <c r="G202" s="35">
        <v>0.18883643204067302</v>
      </c>
      <c r="H202" s="35">
        <v>3.3133918256512099E-3</v>
      </c>
    </row>
    <row r="203" spans="2:8" x14ac:dyDescent="0.35">
      <c r="B203" s="6">
        <v>45217</v>
      </c>
      <c r="C203" s="7" t="s">
        <v>2</v>
      </c>
      <c r="D203" s="35">
        <v>5.8077410775747599E-3</v>
      </c>
      <c r="E203" s="35">
        <v>4.6461928620598085E-3</v>
      </c>
      <c r="F203" s="35">
        <v>0.24549201620777095</v>
      </c>
      <c r="G203" s="35">
        <v>0.19435999538537696</v>
      </c>
      <c r="H203" s="35">
        <v>4.6354326245571674E-3</v>
      </c>
    </row>
    <row r="204" spans="2:8" x14ac:dyDescent="0.35">
      <c r="B204" s="6">
        <v>45218</v>
      </c>
      <c r="C204" s="7" t="s">
        <v>2</v>
      </c>
      <c r="D204" s="35">
        <v>-4.1048989303740201E-3</v>
      </c>
      <c r="E204" s="35">
        <v>-3.2839191442992164E-3</v>
      </c>
      <c r="F204" s="35">
        <v>0.24037939736265024</v>
      </c>
      <c r="G204" s="35">
        <v>0.19043781373134583</v>
      </c>
      <c r="H204" s="35">
        <v>-3.2893230406547957E-3</v>
      </c>
    </row>
    <row r="205" spans="2:8" x14ac:dyDescent="0.35">
      <c r="B205" s="6">
        <v>45219</v>
      </c>
      <c r="C205" s="7" t="s">
        <v>2</v>
      </c>
      <c r="D205" s="35">
        <v>-2.0585809134931E-2</v>
      </c>
      <c r="E205" s="35">
        <v>-1.6468647307944801E-2</v>
      </c>
      <c r="F205" s="35">
        <v>0.21484518383364204</v>
      </c>
      <c r="G205" s="35">
        <v>0.1708329132349633</v>
      </c>
      <c r="H205" s="35">
        <v>-1.6605762970690399E-2</v>
      </c>
    </row>
    <row r="206" spans="2:8" x14ac:dyDescent="0.35">
      <c r="B206" s="6">
        <v>45222</v>
      </c>
      <c r="C206" s="7" t="s">
        <v>2</v>
      </c>
      <c r="D206" s="35">
        <v>-1.3471085132311E-2</v>
      </c>
      <c r="E206" s="35">
        <v>-1.07768681058488E-2</v>
      </c>
      <c r="F206" s="35">
        <v>0.19847990093964096</v>
      </c>
      <c r="G206" s="35">
        <v>0.15821500135504341</v>
      </c>
      <c r="H206" s="35">
        <v>-1.0835359162117945E-2</v>
      </c>
    </row>
    <row r="207" spans="2:8" x14ac:dyDescent="0.35">
      <c r="B207" s="6">
        <v>45223</v>
      </c>
      <c r="C207" s="7" t="s">
        <v>2</v>
      </c>
      <c r="D207" s="35">
        <v>-5.5547760983365403E-3</v>
      </c>
      <c r="E207" s="35">
        <v>-4.4438208786692322E-3</v>
      </c>
      <c r="F207" s="35">
        <v>0.19182261343156459</v>
      </c>
      <c r="G207" s="35">
        <v>0.1530681013500339</v>
      </c>
      <c r="H207" s="35">
        <v>-4.4537240000254458E-3</v>
      </c>
    </row>
    <row r="208" spans="2:8" x14ac:dyDescent="0.35">
      <c r="B208" s="6">
        <v>45224</v>
      </c>
      <c r="C208" s="7" t="s">
        <v>2</v>
      </c>
      <c r="D208" s="35">
        <v>1.16704371829051E-2</v>
      </c>
      <c r="E208" s="35">
        <v>9.3363497463240797E-3</v>
      </c>
      <c r="F208" s="35">
        <v>0.2057317043747835</v>
      </c>
      <c r="G208" s="35">
        <v>0.16383354842556774</v>
      </c>
      <c r="H208" s="35">
        <v>9.2930354227632322E-3</v>
      </c>
    </row>
    <row r="209" spans="2:8" x14ac:dyDescent="0.35">
      <c r="B209" s="6">
        <v>45225</v>
      </c>
      <c r="C209" s="7" t="s">
        <v>2</v>
      </c>
      <c r="D209" s="35">
        <v>-8.9347513576233401E-3</v>
      </c>
      <c r="E209" s="35">
        <v>-7.1478010860986721E-3</v>
      </c>
      <c r="F209" s="35">
        <v>0.1949587913921913</v>
      </c>
      <c r="G209" s="35">
        <v>0.15551469772409332</v>
      </c>
      <c r="H209" s="35">
        <v>-7.173469002188888E-3</v>
      </c>
    </row>
    <row r="210" spans="2:8" x14ac:dyDescent="0.35">
      <c r="B210" s="6">
        <v>45226</v>
      </c>
      <c r="C210" s="7" t="s">
        <v>2</v>
      </c>
      <c r="D210" s="35">
        <v>1.53305245732334E-2</v>
      </c>
      <c r="E210" s="35">
        <v>1.226441965858672E-2</v>
      </c>
      <c r="F210" s="35">
        <v>0.21327813650763061</v>
      </c>
      <c r="G210" s="35">
        <v>0.16968641489864678</v>
      </c>
      <c r="H210" s="35">
        <v>1.2189820984104959E-2</v>
      </c>
    </row>
    <row r="211" spans="2:8" x14ac:dyDescent="0.35">
      <c r="B211" s="6">
        <v>45229</v>
      </c>
      <c r="C211" s="7" t="s">
        <v>2</v>
      </c>
      <c r="D211" s="35">
        <v>-6.3394190864415299E-3</v>
      </c>
      <c r="E211" s="35">
        <v>-5.0715352691532243E-3</v>
      </c>
      <c r="F211" s="35">
        <v>0.2055866579318919</v>
      </c>
      <c r="G211" s="35">
        <v>0.1637543089916389</v>
      </c>
      <c r="H211" s="35">
        <v>-5.0844391509627948E-3</v>
      </c>
    </row>
    <row r="212" spans="2:8" x14ac:dyDescent="0.35">
      <c r="B212" s="6">
        <v>45230</v>
      </c>
      <c r="C212" s="7" t="s">
        <v>2</v>
      </c>
      <c r="D212" s="35">
        <v>4.9835157327593497E-3</v>
      </c>
      <c r="E212" s="35">
        <v>3.9868125862074803E-3</v>
      </c>
      <c r="F212" s="35">
        <v>0.21159471800890017</v>
      </c>
      <c r="G212" s="35">
        <v>0.16839397931798006</v>
      </c>
      <c r="H212" s="35">
        <v>3.9788863089788955E-3</v>
      </c>
    </row>
    <row r="213" spans="2:8" x14ac:dyDescent="0.35">
      <c r="B213" s="6">
        <v>45231</v>
      </c>
      <c r="C213" s="7" t="s">
        <v>2</v>
      </c>
      <c r="D213" s="35">
        <v>1.29592314952265E-2</v>
      </c>
      <c r="E213" s="35">
        <v>1.0367385196181201E-2</v>
      </c>
      <c r="F213" s="35">
        <v>0.22729605443797118</v>
      </c>
      <c r="G213" s="35">
        <v>0.1805071697624685</v>
      </c>
      <c r="H213" s="35">
        <v>1.0314012431996226E-2</v>
      </c>
    </row>
    <row r="214" spans="2:8" x14ac:dyDescent="0.35">
      <c r="B214" s="6">
        <v>45232</v>
      </c>
      <c r="C214" s="7" t="s">
        <v>2</v>
      </c>
      <c r="D214" s="35">
        <v>2.6630004787527198E-2</v>
      </c>
      <c r="E214" s="35">
        <v>2.1304003830021762E-2</v>
      </c>
      <c r="F214" s="35">
        <v>0.2599789542433677</v>
      </c>
      <c r="G214" s="35">
        <v>0.20565669902845629</v>
      </c>
      <c r="H214" s="35">
        <v>2.1080245921287315E-2</v>
      </c>
    </row>
    <row r="215" spans="2:8" x14ac:dyDescent="0.35">
      <c r="B215" s="6">
        <v>45233</v>
      </c>
      <c r="C215" s="7" t="s">
        <v>2</v>
      </c>
      <c r="D215" s="35">
        <v>1.62218414136459E-2</v>
      </c>
      <c r="E215" s="35">
        <v>1.297747313091672E-2</v>
      </c>
      <c r="F215" s="35">
        <v>0.28041813302363505</v>
      </c>
      <c r="G215" s="35">
        <v>0.22130307644520775</v>
      </c>
      <c r="H215" s="35">
        <v>1.2893987241313567E-2</v>
      </c>
    </row>
    <row r="216" spans="2:8" x14ac:dyDescent="0.35">
      <c r="B216" s="6">
        <v>45236</v>
      </c>
      <c r="C216" s="7" t="s">
        <v>2</v>
      </c>
      <c r="D216" s="35">
        <v>-2.4769516861696501E-2</v>
      </c>
      <c r="E216" s="35">
        <v>-1.9815613489357203E-2</v>
      </c>
      <c r="F216" s="35">
        <v>0.24870279448768429</v>
      </c>
      <c r="G216" s="35">
        <v>0.19710220672900669</v>
      </c>
      <c r="H216" s="35">
        <v>-2.0014575514760994E-2</v>
      </c>
    </row>
    <row r="217" spans="2:8" x14ac:dyDescent="0.35">
      <c r="B217" s="6">
        <v>45237</v>
      </c>
      <c r="C217" s="7" t="s">
        <v>2</v>
      </c>
      <c r="D217" s="35">
        <v>-2.8008513840883199E-2</v>
      </c>
      <c r="E217" s="35">
        <v>-2.2406811072706562E-2</v>
      </c>
      <c r="F217" s="35">
        <v>0.21372848498512642</v>
      </c>
      <c r="G217" s="35">
        <v>0.17027896374810969</v>
      </c>
      <c r="H217" s="35">
        <v>-2.2661657725642444E-2</v>
      </c>
    </row>
    <row r="218" spans="2:8" x14ac:dyDescent="0.35">
      <c r="B218" s="6">
        <v>45238</v>
      </c>
      <c r="C218" s="7" t="s">
        <v>2</v>
      </c>
      <c r="D218" s="35">
        <v>8.6396614161741193E-3</v>
      </c>
      <c r="E218" s="35">
        <v>6.911729132939296E-3</v>
      </c>
      <c r="F218" s="35">
        <v>0.22421468814656387</v>
      </c>
      <c r="G218" s="35">
        <v>0.17836761495551356</v>
      </c>
      <c r="H218" s="35">
        <v>6.8879526281051852E-3</v>
      </c>
    </row>
    <row r="219" spans="2:8" x14ac:dyDescent="0.35">
      <c r="B219" s="6">
        <v>45239</v>
      </c>
      <c r="C219" s="7" t="s">
        <v>2</v>
      </c>
      <c r="D219" s="35">
        <v>5.1689783666351002E-3</v>
      </c>
      <c r="E219" s="35">
        <v>4.1351826933080805E-3</v>
      </c>
      <c r="F219" s="35">
        <v>0.2305426273857103</v>
      </c>
      <c r="G219" s="35">
        <v>0.18324038032323231</v>
      </c>
      <c r="H219" s="35">
        <v>4.1266563226726016E-3</v>
      </c>
    </row>
    <row r="220" spans="2:8" x14ac:dyDescent="0.35">
      <c r="B220" s="6">
        <v>45240</v>
      </c>
      <c r="C220" s="7" t="s">
        <v>2</v>
      </c>
      <c r="D220" s="35">
        <v>-1.04935295819302E-2</v>
      </c>
      <c r="E220" s="35">
        <v>-8.3948236655441606E-3</v>
      </c>
      <c r="F220" s="35">
        <v>0.21762989192341231</v>
      </c>
      <c r="G220" s="35">
        <v>0.1733072859764675</v>
      </c>
      <c r="H220" s="35">
        <v>-8.4302586507252284E-3</v>
      </c>
    </row>
    <row r="221" spans="2:8" x14ac:dyDescent="0.35">
      <c r="B221" s="6">
        <v>45243</v>
      </c>
      <c r="C221" s="7" t="s">
        <v>2</v>
      </c>
      <c r="D221" s="35">
        <v>-3.3435665409253801E-3</v>
      </c>
      <c r="E221" s="35">
        <v>-2.6748532327403041E-3</v>
      </c>
      <c r="F221" s="35">
        <v>0.21355866535754653</v>
      </c>
      <c r="G221" s="35">
        <v>0.17016886118957553</v>
      </c>
      <c r="H221" s="35">
        <v>-2.6784370448561731E-3</v>
      </c>
    </row>
    <row r="222" spans="2:8" x14ac:dyDescent="0.35">
      <c r="B222" s="6">
        <v>45244</v>
      </c>
      <c r="C222" s="7" t="s">
        <v>2</v>
      </c>
      <c r="D222" s="35">
        <v>-5.9106573469129798E-3</v>
      </c>
      <c r="E222" s="35">
        <v>-4.7285258775303842E-3</v>
      </c>
      <c r="F222" s="35">
        <v>0.2063857359162411</v>
      </c>
      <c r="G222" s="35">
        <v>0.16463568744836032</v>
      </c>
      <c r="H222" s="35">
        <v>-4.739740723108541E-3</v>
      </c>
    </row>
    <row r="223" spans="2:8" x14ac:dyDescent="0.35">
      <c r="B223" s="6">
        <v>45245</v>
      </c>
      <c r="C223" s="7" t="s">
        <v>2</v>
      </c>
      <c r="D223" s="35">
        <v>1.4779457423552699E-2</v>
      </c>
      <c r="E223" s="35">
        <v>1.182356593884216E-2</v>
      </c>
      <c r="F223" s="35">
        <v>0.22421546253659641</v>
      </c>
      <c r="G223" s="35">
        <v>0.17840583429363477</v>
      </c>
      <c r="H223" s="35">
        <v>1.1754213708282229E-2</v>
      </c>
    </row>
    <row r="224" spans="2:8" x14ac:dyDescent="0.35">
      <c r="B224" s="6">
        <v>45246</v>
      </c>
      <c r="C224" s="7" t="s">
        <v>2</v>
      </c>
      <c r="D224" s="35">
        <v>9.8345544609095299E-3</v>
      </c>
      <c r="E224" s="35">
        <v>7.8676435687276246E-3</v>
      </c>
      <c r="F224" s="35">
        <v>0.23625507617480013</v>
      </c>
      <c r="G224" s="35">
        <v>0.18767711137716625</v>
      </c>
      <c r="H224" s="35">
        <v>7.8368550443864843E-3</v>
      </c>
    </row>
    <row r="225" spans="2:8" x14ac:dyDescent="0.35">
      <c r="B225" s="6">
        <v>45247</v>
      </c>
      <c r="C225" s="7" t="s">
        <v>2</v>
      </c>
      <c r="D225" s="35">
        <v>7.0890469615905198E-3</v>
      </c>
      <c r="E225" s="35">
        <v>5.6712375692724165E-3</v>
      </c>
      <c r="F225" s="35">
        <v>0.24501894646630795</v>
      </c>
      <c r="G225" s="35">
        <v>0.19441271043137331</v>
      </c>
      <c r="H225" s="35">
        <v>5.6552166452592725E-3</v>
      </c>
    </row>
    <row r="226" spans="2:8" x14ac:dyDescent="0.35">
      <c r="B226" s="6">
        <v>45250</v>
      </c>
      <c r="C226" s="7" t="s">
        <v>2</v>
      </c>
      <c r="D226" s="35">
        <v>-1.57002162864806E-3</v>
      </c>
      <c r="E226" s="35">
        <v>-1.256017302918448E-3</v>
      </c>
      <c r="F226" s="35">
        <v>0.24306423979227931</v>
      </c>
      <c r="G226" s="35">
        <v>0.19291250740024579</v>
      </c>
      <c r="H226" s="35">
        <v>-1.2568067537629317E-3</v>
      </c>
    </row>
    <row r="227" spans="2:8" x14ac:dyDescent="0.35">
      <c r="B227" s="6">
        <v>45251</v>
      </c>
      <c r="C227" s="7" t="s">
        <v>2</v>
      </c>
      <c r="D227" s="35">
        <v>-3.6832502056569601E-3</v>
      </c>
      <c r="E227" s="35">
        <v>-2.9466001645255683E-3</v>
      </c>
      <c r="F227" s="35">
        <v>0.23848572317541961</v>
      </c>
      <c r="G227" s="35">
        <v>0.18939747120967576</v>
      </c>
      <c r="H227" s="35">
        <v>-2.9509499375864482E-3</v>
      </c>
    </row>
    <row r="228" spans="2:8" x14ac:dyDescent="0.35">
      <c r="B228" s="6">
        <v>45252</v>
      </c>
      <c r="C228" s="7" t="s">
        <v>2</v>
      </c>
      <c r="D228" s="35">
        <v>-6.8269343986240303E-3</v>
      </c>
      <c r="E228" s="35">
        <v>-5.4615475188992246E-3</v>
      </c>
      <c r="F228" s="35">
        <v>0.23003066238966863</v>
      </c>
      <c r="G228" s="35">
        <v>0.18290152040180541</v>
      </c>
      <c r="H228" s="35">
        <v>-5.4765162962201437E-3</v>
      </c>
    </row>
    <row r="229" spans="2:8" x14ac:dyDescent="0.35">
      <c r="B229" s="6">
        <v>45254</v>
      </c>
      <c r="C229" s="7" t="s">
        <v>2</v>
      </c>
      <c r="D229" s="35">
        <v>1.1132842736966131E-2</v>
      </c>
      <c r="E229" s="35">
        <v>8.906501100371722E-3</v>
      </c>
      <c r="F229" s="35">
        <v>0.24372440031569909</v>
      </c>
      <c r="G229" s="35">
        <v>0.19343703409489543</v>
      </c>
      <c r="H229" s="35">
        <v>8.8670721624236129E-3</v>
      </c>
    </row>
    <row r="230" spans="2:8" x14ac:dyDescent="0.35">
      <c r="B230" s="6">
        <v>45257</v>
      </c>
      <c r="C230" s="7" t="s">
        <v>2</v>
      </c>
      <c r="D230" s="35">
        <v>-5.8400276545633701E-4</v>
      </c>
      <c r="E230" s="35">
        <v>-4.6720221236506965E-4</v>
      </c>
      <c r="F230" s="35">
        <v>0.24299806182644912</v>
      </c>
      <c r="G230" s="35">
        <v>0.1928794576722479</v>
      </c>
      <c r="H230" s="35">
        <v>-4.6731138532391209E-4</v>
      </c>
    </row>
    <row r="231" spans="2:8" x14ac:dyDescent="0.35">
      <c r="B231" s="6">
        <v>45258</v>
      </c>
      <c r="C231" s="7" t="s">
        <v>2</v>
      </c>
      <c r="D231" s="35">
        <v>-1.1743434911999501E-2</v>
      </c>
      <c r="E231" s="35">
        <v>-9.3947479295996006E-3</v>
      </c>
      <c r="F231" s="35">
        <v>0.22840099499164879</v>
      </c>
      <c r="G231" s="35">
        <v>0.18167265585701964</v>
      </c>
      <c r="H231" s="35">
        <v>-9.4391569337160079E-3</v>
      </c>
    </row>
    <row r="232" spans="2:8" x14ac:dyDescent="0.35">
      <c r="B232" s="6">
        <v>45259</v>
      </c>
      <c r="C232" s="7" t="s">
        <v>2</v>
      </c>
      <c r="D232" s="35">
        <v>1.4207619596958499E-2</v>
      </c>
      <c r="E232" s="35">
        <v>1.1366095677566801E-2</v>
      </c>
      <c r="F232" s="35">
        <v>0.24585364904101548</v>
      </c>
      <c r="G232" s="35">
        <v>0.19510366032305493</v>
      </c>
      <c r="H232" s="35">
        <v>1.1301986932166426E-2</v>
      </c>
    </row>
    <row r="233" spans="2:8" x14ac:dyDescent="0.35">
      <c r="B233" s="6">
        <v>45260</v>
      </c>
      <c r="C233" s="7" t="s">
        <v>2</v>
      </c>
      <c r="D233" s="35">
        <v>5.8024669058458498E-3</v>
      </c>
      <c r="E233" s="35">
        <v>4.6419735246766803E-3</v>
      </c>
      <c r="F233" s="35">
        <v>0.25308267360910319</v>
      </c>
      <c r="G233" s="35">
        <v>0.20065129987351882</v>
      </c>
      <c r="H233" s="35">
        <v>4.6312327915480154E-3</v>
      </c>
    </row>
    <row r="234" spans="2:8" x14ac:dyDescent="0.35">
      <c r="B234" s="6">
        <v>45261</v>
      </c>
      <c r="C234" s="7" t="s">
        <v>2</v>
      </c>
      <c r="D234" s="35">
        <v>1.8153582978906801E-2</v>
      </c>
      <c r="E234" s="35">
        <v>1.4522866383125442E-2</v>
      </c>
      <c r="F234" s="35">
        <v>0.2758306139038964</v>
      </c>
      <c r="G234" s="35">
        <v>0.2180881982743077</v>
      </c>
      <c r="H234" s="35">
        <v>1.4418419589232784E-2</v>
      </c>
    </row>
    <row r="235" spans="2:8" x14ac:dyDescent="0.35">
      <c r="B235" s="6">
        <v>45264</v>
      </c>
      <c r="C235" s="7" t="s">
        <v>2</v>
      </c>
      <c r="D235" s="35">
        <v>-5.6663087046110398E-3</v>
      </c>
      <c r="E235" s="35">
        <v>-4.5330469636888316E-3</v>
      </c>
      <c r="F235" s="35">
        <v>0.26860136379072341</v>
      </c>
      <c r="G235" s="35">
        <v>0.21256654726561508</v>
      </c>
      <c r="H235" s="35">
        <v>-4.5433523761484679E-3</v>
      </c>
    </row>
    <row r="236" spans="2:8" x14ac:dyDescent="0.35">
      <c r="B236" s="6">
        <v>45265</v>
      </c>
      <c r="C236" s="7" t="s">
        <v>2</v>
      </c>
      <c r="D236" s="35">
        <v>1.3614813341035601E-2</v>
      </c>
      <c r="E236" s="35">
        <v>1.0891850672828482E-2</v>
      </c>
      <c r="F236" s="35">
        <v>0.2858731345629173</v>
      </c>
      <c r="G236" s="35">
        <v>0.2257736410292992</v>
      </c>
      <c r="H236" s="35">
        <v>1.0832961688093952E-2</v>
      </c>
    </row>
    <row r="237" spans="2:8" x14ac:dyDescent="0.35">
      <c r="B237" s="6">
        <v>45266</v>
      </c>
      <c r="C237" s="7" t="s">
        <v>2</v>
      </c>
      <c r="D237" s="35">
        <v>5.5907360113849303E-4</v>
      </c>
      <c r="E237" s="35">
        <v>4.4725888091079447E-4</v>
      </c>
      <c r="F237" s="35">
        <v>0.2865920322868647</v>
      </c>
      <c r="G237" s="35">
        <v>0.22632187917623581</v>
      </c>
      <c r="H237" s="35">
        <v>4.471588904708151E-4</v>
      </c>
    </row>
    <row r="238" spans="2:8" x14ac:dyDescent="0.35">
      <c r="B238" s="6">
        <v>45267</v>
      </c>
      <c r="C238" s="7" t="s">
        <v>2</v>
      </c>
      <c r="D238" s="35">
        <v>1.3608883554250301E-3</v>
      </c>
      <c r="E238" s="35">
        <v>1.0887106843400242E-3</v>
      </c>
      <c r="F238" s="35">
        <v>0.28834294040178654</v>
      </c>
      <c r="G238" s="35">
        <v>0.22765698890853492</v>
      </c>
      <c r="H238" s="35">
        <v>1.0881184686583093E-3</v>
      </c>
    </row>
    <row r="239" spans="2:8" x14ac:dyDescent="0.35">
      <c r="B239" s="6">
        <v>45268</v>
      </c>
      <c r="C239" s="7" t="s">
        <v>2</v>
      </c>
      <c r="D239" s="35">
        <v>-1.01508632082155E-2</v>
      </c>
      <c r="E239" s="35">
        <v>-8.1206905665724E-3</v>
      </c>
      <c r="F239" s="35">
        <v>0.27526514744849795</v>
      </c>
      <c r="G239" s="35">
        <v>0.21768756637971864</v>
      </c>
      <c r="H239" s="35">
        <v>-8.1538429765072949E-3</v>
      </c>
    </row>
    <row r="240" spans="2:8" x14ac:dyDescent="0.35">
      <c r="B240" s="6">
        <v>45271</v>
      </c>
      <c r="C240" s="7" t="s">
        <v>2</v>
      </c>
      <c r="D240" s="35">
        <v>-7.6489961597180399E-3</v>
      </c>
      <c r="E240" s="35">
        <v>-6.1191969277744323E-3</v>
      </c>
      <c r="F240" s="35">
        <v>0.26551064923304213</v>
      </c>
      <c r="G240" s="35">
        <v>0.21023629636453878</v>
      </c>
      <c r="H240" s="35">
        <v>-6.1379959424449184E-3</v>
      </c>
    </row>
    <row r="241" spans="2:8" x14ac:dyDescent="0.35">
      <c r="B241" s="6">
        <v>45272</v>
      </c>
      <c r="C241" s="7" t="s">
        <v>2</v>
      </c>
      <c r="D241" s="35">
        <v>-4.5405634399159301E-3</v>
      </c>
      <c r="E241" s="35">
        <v>-3.6324507519327441E-3</v>
      </c>
      <c r="F241" s="35">
        <v>0.25976451784631038</v>
      </c>
      <c r="G241" s="35">
        <v>0.20584017261979315</v>
      </c>
      <c r="H241" s="35">
        <v>-3.6390641211813592E-3</v>
      </c>
    </row>
    <row r="242" spans="2:8" x14ac:dyDescent="0.35">
      <c r="B242" s="6">
        <v>45273</v>
      </c>
      <c r="C242" s="7" t="s">
        <v>2</v>
      </c>
      <c r="D242" s="35">
        <v>1.02411630518848E-2</v>
      </c>
      <c r="E242" s="35">
        <v>8.19293044150784E-3</v>
      </c>
      <c r="F242" s="35">
        <v>0.27266597168055351</v>
      </c>
      <c r="G242" s="35">
        <v>0.21571953727764281</v>
      </c>
      <c r="H242" s="35">
        <v>8.1595505822053774E-3</v>
      </c>
    </row>
    <row r="243" spans="2:8" x14ac:dyDescent="0.35">
      <c r="B243" s="6">
        <v>45274</v>
      </c>
      <c r="C243" s="7" t="s">
        <v>2</v>
      </c>
      <c r="D243" s="35">
        <v>2.0507995661980202E-3</v>
      </c>
      <c r="E243" s="35">
        <v>1.6406396529584162E-3</v>
      </c>
      <c r="F243" s="35">
        <v>0.27527595450319087</v>
      </c>
      <c r="G243" s="35">
        <v>0.21771409495737681</v>
      </c>
      <c r="H243" s="35">
        <v>1.6392952739498468E-3</v>
      </c>
    </row>
    <row r="244" spans="2:8" x14ac:dyDescent="0.35">
      <c r="B244" s="6">
        <v>45275</v>
      </c>
      <c r="C244" s="7" t="s">
        <v>2</v>
      </c>
      <c r="D244" s="35">
        <v>1.2038845669475299E-2</v>
      </c>
      <c r="E244" s="35">
        <v>9.6310765355802404E-3</v>
      </c>
      <c r="F244" s="35">
        <v>0.29062880490544751</v>
      </c>
      <c r="G244" s="35">
        <v>0.22944199260436626</v>
      </c>
      <c r="H244" s="35">
        <v>9.5849933687043604E-3</v>
      </c>
    </row>
    <row r="245" spans="2:8" x14ac:dyDescent="0.35">
      <c r="B245" s="6">
        <v>45278</v>
      </c>
      <c r="C245" s="7" t="s">
        <v>2</v>
      </c>
      <c r="D245" s="35">
        <v>-3.17707916195276E-3</v>
      </c>
      <c r="E245" s="35">
        <v>-2.5416633295622082E-3</v>
      </c>
      <c r="F245" s="35">
        <v>0.28652837502356632</v>
      </c>
      <c r="G245" s="35">
        <v>0.2263171649759399</v>
      </c>
      <c r="H245" s="35">
        <v>-2.544898839349764E-3</v>
      </c>
    </row>
    <row r="246" spans="2:8" x14ac:dyDescent="0.35">
      <c r="B246" s="6">
        <v>45279</v>
      </c>
      <c r="C246" s="7" t="s">
        <v>2</v>
      </c>
      <c r="D246" s="35">
        <v>1.8858582705477699E-2</v>
      </c>
      <c r="E246" s="35">
        <v>1.508686616438216E-2</v>
      </c>
      <c r="F246" s="35">
        <v>0.31079047678689209</v>
      </c>
      <c r="G246" s="35">
        <v>0.24481844791901652</v>
      </c>
      <c r="H246" s="35">
        <v>1.4974191259746309E-2</v>
      </c>
    </row>
    <row r="247" spans="2:8" x14ac:dyDescent="0.35">
      <c r="B247" s="6">
        <v>45280</v>
      </c>
      <c r="C247" s="7" t="s">
        <v>2</v>
      </c>
      <c r="D247" s="35">
        <v>-1.17759863503697E-3</v>
      </c>
      <c r="E247" s="35">
        <v>-9.4207890802957607E-4</v>
      </c>
      <c r="F247" s="35">
        <v>0.30924689171060837</v>
      </c>
      <c r="G247" s="35">
        <v>0.24364573071490603</v>
      </c>
      <c r="H247" s="35">
        <v>-9.425229432634206E-4</v>
      </c>
    </row>
    <row r="248" spans="2:8" x14ac:dyDescent="0.35">
      <c r="B248" s="6">
        <v>45281</v>
      </c>
      <c r="C248" s="7" t="s">
        <v>2</v>
      </c>
      <c r="D248" s="35">
        <v>2.0916116349830999E-2</v>
      </c>
      <c r="E248" s="35">
        <v>1.6732893079864801E-2</v>
      </c>
      <c r="F248" s="35">
        <v>0.33663125202828215</v>
      </c>
      <c r="G248" s="35">
        <v>0.2644555217561888</v>
      </c>
      <c r="H248" s="35">
        <v>1.6594440563938211E-2</v>
      </c>
    </row>
    <row r="249" spans="2:8" x14ac:dyDescent="0.35">
      <c r="B249" s="6">
        <v>45282</v>
      </c>
      <c r="C249" s="7" t="s">
        <v>2</v>
      </c>
      <c r="D249" s="35">
        <v>2.0320946290001401E-2</v>
      </c>
      <c r="E249" s="35">
        <v>1.6256757032001121E-2</v>
      </c>
      <c r="F249" s="35">
        <v>0.36379286391028609</v>
      </c>
      <c r="G249" s="35">
        <v>0.28501146795115129</v>
      </c>
      <c r="H249" s="35">
        <v>1.6126030843757862E-2</v>
      </c>
    </row>
    <row r="250" spans="2:8" x14ac:dyDescent="0.35">
      <c r="B250" s="6">
        <v>45286</v>
      </c>
      <c r="C250" s="7" t="s">
        <v>2</v>
      </c>
      <c r="D250" s="35">
        <v>2.7761971111742945E-2</v>
      </c>
      <c r="E250" s="35">
        <v>2.2208049575840771E-2</v>
      </c>
      <c r="F250" s="35">
        <v>0.40165444200056455</v>
      </c>
      <c r="G250" s="35">
        <v>0.31354906633693447</v>
      </c>
      <c r="H250" s="35">
        <v>2.1965042077288388E-2</v>
      </c>
    </row>
    <row r="251" spans="2:8" x14ac:dyDescent="0.35">
      <c r="B251" s="6">
        <v>45287</v>
      </c>
      <c r="C251" s="7" t="s">
        <v>2</v>
      </c>
      <c r="D251" s="35">
        <v>2.2093207136299101E-2</v>
      </c>
      <c r="E251" s="35">
        <v>1.7674565709039282E-2</v>
      </c>
      <c r="F251" s="35">
        <v>0.43262148392119681</v>
      </c>
      <c r="G251" s="35">
        <v>0.33676547562195402</v>
      </c>
      <c r="H251" s="35">
        <v>1.7520186969711679E-2</v>
      </c>
    </row>
    <row r="252" spans="2:8" x14ac:dyDescent="0.35">
      <c r="B252" s="6">
        <v>45288</v>
      </c>
      <c r="C252" s="7" t="s">
        <v>2</v>
      </c>
      <c r="D252" s="35">
        <v>1.11878850865121E-3</v>
      </c>
      <c r="E252" s="35">
        <v>8.9503080692096809E-4</v>
      </c>
      <c r="F252" s="35">
        <v>0.43422428437465466</v>
      </c>
      <c r="G252" s="35">
        <v>0.337961921904264</v>
      </c>
      <c r="H252" s="35">
        <v>8.9463050568503236E-4</v>
      </c>
    </row>
    <row r="253" spans="2:8" x14ac:dyDescent="0.35">
      <c r="B253" s="6">
        <v>45289</v>
      </c>
      <c r="C253" s="7" t="s">
        <v>2</v>
      </c>
      <c r="D253" s="35">
        <v>-1.2466998275475399E-2</v>
      </c>
      <c r="E253" s="35">
        <v>-9.9735986203803202E-3</v>
      </c>
      <c r="F253" s="35">
        <v>0.41634381269471099</v>
      </c>
      <c r="G253" s="35">
        <v>0.32461762672583827</v>
      </c>
      <c r="H253" s="35">
        <v>-1.0023668148865893E-2</v>
      </c>
    </row>
    <row r="254" spans="2:8" x14ac:dyDescent="0.35">
      <c r="B254" s="6">
        <v>45293</v>
      </c>
      <c r="C254" s="7" t="s">
        <v>2</v>
      </c>
      <c r="D254" s="35">
        <v>3.5565076784720429E-3</v>
      </c>
      <c r="E254" s="35">
        <v>2.9685096307774383E-3</v>
      </c>
      <c r="F254" s="35">
        <v>0.42138105033991602</v>
      </c>
      <c r="G254" s="35">
        <v>0.32854976690787141</v>
      </c>
      <c r="H254" s="35">
        <v>2.9641123062475617E-3</v>
      </c>
    </row>
    <row r="255" spans="2:8" x14ac:dyDescent="0.35">
      <c r="B255" s="6">
        <v>45294</v>
      </c>
      <c r="C255" s="7" t="s">
        <v>2</v>
      </c>
      <c r="D255" s="35">
        <v>-2.7365168000000002E-4</v>
      </c>
      <c r="E255" s="35">
        <v>-2.1892134400000002E-4</v>
      </c>
      <c r="F255" s="35">
        <v>0.42099208702757029</v>
      </c>
      <c r="G255" s="35">
        <v>0.32825891900732906</v>
      </c>
      <c r="H255" s="35">
        <v>-2.1894531077541938E-4</v>
      </c>
    </row>
    <row r="256" spans="2:8" x14ac:dyDescent="0.35">
      <c r="B256" s="6">
        <v>45295</v>
      </c>
      <c r="C256" s="7" t="s">
        <v>2</v>
      </c>
      <c r="D256" s="35">
        <v>1.9616432E-2</v>
      </c>
      <c r="E256" s="35">
        <v>1.56931456E-2</v>
      </c>
      <c r="F256" s="35">
        <v>0.44886688167528477</v>
      </c>
      <c r="G256" s="35">
        <v>0.34910347961780963</v>
      </c>
      <c r="H256" s="35">
        <v>1.5571281491202264E-2</v>
      </c>
    </row>
    <row r="257" spans="2:8" x14ac:dyDescent="0.35">
      <c r="B257" s="6">
        <v>45296</v>
      </c>
      <c r="C257" s="7" t="s">
        <v>2</v>
      </c>
      <c r="D257" s="35">
        <v>6.1433427000000002E-3</v>
      </c>
      <c r="E257" s="35">
        <v>4.9146741600000002E-3</v>
      </c>
      <c r="F257" s="35">
        <v>0.45776776745609626</v>
      </c>
      <c r="G257" s="35">
        <v>0.35573388362825331</v>
      </c>
      <c r="H257" s="35">
        <v>4.9026365733834407E-3</v>
      </c>
    </row>
    <row r="258" spans="2:8" x14ac:dyDescent="0.35">
      <c r="B258" s="6">
        <v>45299</v>
      </c>
      <c r="C258" s="7" t="s">
        <v>2</v>
      </c>
      <c r="D258" s="35">
        <v>5.1137429999999998E-2</v>
      </c>
      <c r="E258" s="35">
        <v>4.0909944000000004E-2</v>
      </c>
      <c r="F258" s="35">
        <v>0.53231426462063869</v>
      </c>
      <c r="G258" s="35">
        <v>0.41119688088638773</v>
      </c>
      <c r="H258" s="35">
        <v>4.0095276764861076E-2</v>
      </c>
    </row>
    <row r="259" spans="2:8" x14ac:dyDescent="0.35">
      <c r="B259" s="6">
        <v>45300</v>
      </c>
      <c r="C259" s="7" t="s">
        <v>2</v>
      </c>
      <c r="D259" s="35">
        <v>7.4847806000000001E-3</v>
      </c>
      <c r="E259" s="35">
        <v>5.9878244800000008E-3</v>
      </c>
      <c r="F259" s="35">
        <v>0.54378330070157443</v>
      </c>
      <c r="G259" s="35">
        <v>0.41964688011585882</v>
      </c>
      <c r="H259" s="35">
        <v>5.9699687017222688E-3</v>
      </c>
    </row>
    <row r="260" spans="2:8" x14ac:dyDescent="0.35">
      <c r="B260" s="6">
        <v>45301</v>
      </c>
      <c r="C260" s="7" t="s">
        <v>2</v>
      </c>
      <c r="D260" s="35">
        <v>-4.7226483E-3</v>
      </c>
      <c r="E260" s="35">
        <v>-3.7781186400000001E-3</v>
      </c>
      <c r="F260" s="35">
        <v>0.53649255512094762</v>
      </c>
      <c r="G260" s="35">
        <v>0.41428328577587537</v>
      </c>
      <c r="H260" s="35">
        <v>-3.7852737578372084E-3</v>
      </c>
    </row>
    <row r="261" spans="2:8" x14ac:dyDescent="0.35">
      <c r="B261" s="6">
        <v>45302</v>
      </c>
      <c r="C261" s="7" t="s">
        <v>2</v>
      </c>
      <c r="D261" s="35">
        <v>-1.2068517500000001E-2</v>
      </c>
      <c r="E261" s="35">
        <v>-9.6548140000000011E-3</v>
      </c>
      <c r="F261" s="35">
        <v>0.51794936783085066</v>
      </c>
      <c r="G261" s="35">
        <v>0.40062864370840034</v>
      </c>
      <c r="H261" s="35">
        <v>-9.7017238984381006E-3</v>
      </c>
    </row>
    <row r="262" spans="2:8" x14ac:dyDescent="0.35">
      <c r="B262" s="6">
        <v>45303</v>
      </c>
      <c r="C262" s="7" t="s">
        <v>2</v>
      </c>
      <c r="D262" s="35">
        <v>1.5503825000000001E-2</v>
      </c>
      <c r="E262" s="35">
        <v>1.240306E-2</v>
      </c>
      <c r="F262" s="35">
        <v>0.54148338918856065</v>
      </c>
      <c r="G262" s="35">
        <v>0.41800072481403427</v>
      </c>
      <c r="H262" s="35">
        <v>1.232677220500694E-2</v>
      </c>
    </row>
    <row r="263" spans="2:8" x14ac:dyDescent="0.35">
      <c r="B263" s="6">
        <v>45307</v>
      </c>
      <c r="C263" s="7" t="s">
        <v>2</v>
      </c>
      <c r="D263" s="35">
        <v>5.740969789118866E-3</v>
      </c>
      <c r="E263" s="35">
        <v>4.5933265530360146E-3</v>
      </c>
      <c r="F263" s="35">
        <v>0.5503329987563208</v>
      </c>
      <c r="G263" s="35">
        <v>0.4245140651955468</v>
      </c>
      <c r="H263" s="35">
        <v>4.5828094220717007E-3</v>
      </c>
    </row>
    <row r="264" spans="2:8" x14ac:dyDescent="0.35">
      <c r="B264" s="6">
        <v>45308</v>
      </c>
      <c r="C264" s="7" t="s">
        <v>2</v>
      </c>
      <c r="D264" s="35">
        <v>2.8412301000000001E-2</v>
      </c>
      <c r="E264" s="35">
        <v>2.2729840800000001E-2</v>
      </c>
      <c r="F264" s="35">
        <v>0.59438152656721788</v>
      </c>
      <c r="G264" s="35">
        <v>0.45689304311480239</v>
      </c>
      <c r="H264" s="35">
        <v>2.247536685335054E-2</v>
      </c>
    </row>
    <row r="265" spans="2:8" x14ac:dyDescent="0.35">
      <c r="B265" s="6">
        <v>45309</v>
      </c>
      <c r="C265" s="7" t="s">
        <v>2</v>
      </c>
      <c r="D265" s="35">
        <v>-9.9751270000000003E-3</v>
      </c>
      <c r="E265" s="35">
        <v>-7.9801016000000009E-3</v>
      </c>
      <c r="F265" s="35">
        <v>0.57847736835325603</v>
      </c>
      <c r="G265" s="35">
        <v>0.44526688861041319</v>
      </c>
      <c r="H265" s="35">
        <v>-8.0121130274729349E-3</v>
      </c>
    </row>
    <row r="266" spans="2:8" x14ac:dyDescent="0.35">
      <c r="B266" s="6">
        <v>45310</v>
      </c>
      <c r="C266" s="7" t="s">
        <v>2</v>
      </c>
      <c r="D266" s="35">
        <v>1.3166621999999999E-2</v>
      </c>
      <c r="E266" s="35">
        <v>1.05332976E-2</v>
      </c>
      <c r="F266" s="35">
        <v>0.59926058319791808</v>
      </c>
      <c r="G266" s="35">
        <v>0.46049031485957292</v>
      </c>
      <c r="H266" s="35">
        <v>1.0478208926761231E-2</v>
      </c>
    </row>
    <row r="267" spans="2:8" x14ac:dyDescent="0.35">
      <c r="B267" s="6">
        <v>45313</v>
      </c>
      <c r="C267" s="7" t="s">
        <v>2</v>
      </c>
      <c r="D267" s="35">
        <v>1.6772913E-2</v>
      </c>
      <c r="E267" s="35">
        <v>1.3418330400000001E-2</v>
      </c>
      <c r="F267" s="35">
        <v>0.62608484182422619</v>
      </c>
      <c r="G267" s="35">
        <v>0.48008765645035867</v>
      </c>
      <c r="H267" s="35">
        <v>1.332910191661099E-2</v>
      </c>
    </row>
    <row r="268" spans="2:8" x14ac:dyDescent="0.35">
      <c r="B268" s="6">
        <v>45314</v>
      </c>
      <c r="C268" s="7" t="s">
        <v>2</v>
      </c>
      <c r="D268" s="35">
        <v>1.0084193E-2</v>
      </c>
      <c r="E268" s="35">
        <v>8.0673544000000007E-3</v>
      </c>
      <c r="F268" s="35">
        <v>0.642482595203556</v>
      </c>
      <c r="G268" s="35">
        <v>0.49202804811800926</v>
      </c>
      <c r="H268" s="35">
        <v>8.0349872581006229E-3</v>
      </c>
    </row>
    <row r="269" spans="2:8" x14ac:dyDescent="0.35">
      <c r="B269" s="6">
        <v>45315</v>
      </c>
      <c r="C269" s="7" t="s">
        <v>2</v>
      </c>
      <c r="D269" s="35">
        <v>-1.8794319E-2</v>
      </c>
      <c r="E269" s="35">
        <v>-1.5035455200000001E-2</v>
      </c>
      <c r="F269" s="35">
        <v>0.61161325335735262</v>
      </c>
      <c r="G269" s="35">
        <v>0.46959472724338736</v>
      </c>
      <c r="H269" s="35">
        <v>-1.5149633584791898E-2</v>
      </c>
    </row>
    <row r="270" spans="2:8" x14ac:dyDescent="0.35">
      <c r="B270" s="6">
        <v>45316</v>
      </c>
      <c r="C270" s="7" t="s">
        <v>2</v>
      </c>
      <c r="D270" s="35">
        <v>1.8511526E-2</v>
      </c>
      <c r="E270" s="35">
        <v>1.4809220800000002E-2</v>
      </c>
      <c r="F270" s="35">
        <v>0.64144667399882183</v>
      </c>
      <c r="G270" s="35">
        <v>0.49135828004565041</v>
      </c>
      <c r="H270" s="35">
        <v>1.4700635024137357E-2</v>
      </c>
    </row>
    <row r="271" spans="2:8" x14ac:dyDescent="0.35">
      <c r="B271" s="6">
        <v>45317</v>
      </c>
      <c r="C271" s="7" t="s">
        <v>2</v>
      </c>
      <c r="D271" s="35">
        <v>8.0606229999999994E-3</v>
      </c>
      <c r="E271" s="35">
        <v>6.4484983999999997E-3</v>
      </c>
      <c r="F271" s="35">
        <v>0.65467775681253015</v>
      </c>
      <c r="G271" s="35">
        <v>0.50097530152835157</v>
      </c>
      <c r="H271" s="35">
        <v>6.4277957870407408E-3</v>
      </c>
    </row>
    <row r="272" spans="2:8" x14ac:dyDescent="0.35">
      <c r="B272" s="6">
        <v>45320</v>
      </c>
      <c r="C272" s="7" t="s">
        <v>2</v>
      </c>
      <c r="D272" s="35">
        <v>1.5665788E-3</v>
      </c>
      <c r="E272" s="35">
        <v>1.25326304E-3</v>
      </c>
      <c r="F272" s="35">
        <v>0.65726993990718441</v>
      </c>
      <c r="G272" s="35">
        <v>0.50285641839770978</v>
      </c>
      <c r="H272" s="35">
        <v>1.2524783614135929E-3</v>
      </c>
    </row>
    <row r="273" spans="2:8" x14ac:dyDescent="0.35">
      <c r="B273" s="6">
        <v>45321</v>
      </c>
      <c r="C273" s="7" t="s">
        <v>2</v>
      </c>
      <c r="D273" s="35">
        <v>2.1573792000000001E-3</v>
      </c>
      <c r="E273" s="35">
        <v>1.7259033600000003E-3</v>
      </c>
      <c r="F273" s="35">
        <v>0.66084529960432548</v>
      </c>
      <c r="G273" s="35">
        <v>0.50545020333981983</v>
      </c>
      <c r="H273" s="35">
        <v>1.7244157002545377E-3</v>
      </c>
    </row>
    <row r="274" spans="2:8" x14ac:dyDescent="0.35">
      <c r="B274" s="6">
        <v>45322</v>
      </c>
      <c r="C274" s="7" t="s">
        <v>2</v>
      </c>
      <c r="D274" s="35">
        <v>-1.8376368E-3</v>
      </c>
      <c r="E274" s="35">
        <v>-1.47010944E-3</v>
      </c>
      <c r="F274" s="35">
        <v>0.65779326916266556</v>
      </c>
      <c r="G274" s="35">
        <v>0.50323702678443993</v>
      </c>
      <c r="H274" s="35">
        <v>-1.4711911111294235E-3</v>
      </c>
    </row>
    <row r="275" spans="2:8" x14ac:dyDescent="0.35">
      <c r="B275" s="6">
        <v>45323</v>
      </c>
      <c r="C275" s="7" t="s">
        <v>2</v>
      </c>
      <c r="D275" s="35">
        <v>1.2788582E-2</v>
      </c>
      <c r="E275" s="35">
        <v>1.02308656E-2</v>
      </c>
      <c r="F275" s="35">
        <v>0.67899409432440039</v>
      </c>
      <c r="G275" s="35">
        <v>0.51861644277041519</v>
      </c>
      <c r="H275" s="35">
        <v>1.0178884534765745E-2</v>
      </c>
    </row>
    <row r="276" spans="2:8" x14ac:dyDescent="0.35">
      <c r="B276" s="6">
        <v>45324</v>
      </c>
      <c r="C276" s="7" t="s">
        <v>2</v>
      </c>
      <c r="D276" s="35">
        <v>5.3783640000000001E-3</v>
      </c>
      <c r="E276" s="35">
        <v>4.3026912E-3</v>
      </c>
      <c r="F276" s="35">
        <v>0.6880243357175273</v>
      </c>
      <c r="G276" s="35">
        <v>0.52515058037489859</v>
      </c>
      <c r="H276" s="35">
        <v>4.2934610909531124E-3</v>
      </c>
    </row>
    <row r="277" spans="2:8" x14ac:dyDescent="0.35">
      <c r="B277" s="6">
        <v>45327</v>
      </c>
      <c r="C277" s="7" t="s">
        <v>2</v>
      </c>
      <c r="D277" s="35">
        <v>-1.0935323E-2</v>
      </c>
      <c r="E277" s="35">
        <v>-8.7482584000000002E-3</v>
      </c>
      <c r="F277" s="35">
        <v>0.66956524437459564</v>
      </c>
      <c r="G277" s="35">
        <v>0.51180816899886894</v>
      </c>
      <c r="H277" s="35">
        <v>-8.786749061104545E-3</v>
      </c>
    </row>
    <row r="278" spans="2:8" x14ac:dyDescent="0.35">
      <c r="B278" s="6">
        <v>45328</v>
      </c>
      <c r="C278" s="7" t="s">
        <v>2</v>
      </c>
      <c r="D278" s="35">
        <v>-1.03532E-2</v>
      </c>
      <c r="E278" s="35">
        <v>-8.2825599999999996E-3</v>
      </c>
      <c r="F278" s="35">
        <v>0.65227990148653658</v>
      </c>
      <c r="G278" s="35">
        <v>0.4992865271306457</v>
      </c>
      <c r="H278" s="35">
        <v>-8.3170509811919223E-3</v>
      </c>
    </row>
    <row r="279" spans="2:8" x14ac:dyDescent="0.35">
      <c r="B279" s="6">
        <v>45329</v>
      </c>
      <c r="C279" s="7" t="s">
        <v>2</v>
      </c>
      <c r="D279" s="35">
        <v>6.6307340000000001E-3</v>
      </c>
      <c r="E279" s="35">
        <v>5.3045872000000004E-3</v>
      </c>
      <c r="F279" s="35">
        <v>0.66323573000684011</v>
      </c>
      <c r="G279" s="35">
        <v>0.50723962325159522</v>
      </c>
      <c r="H279" s="35">
        <v>5.2905674348418825E-3</v>
      </c>
    </row>
    <row r="280" spans="2:8" x14ac:dyDescent="0.35">
      <c r="B280" s="6">
        <v>45330</v>
      </c>
      <c r="C280" s="7" t="s">
        <v>2</v>
      </c>
      <c r="D280" s="35">
        <v>7.9108630000000006E-3</v>
      </c>
      <c r="E280" s="35">
        <v>6.3286904000000007E-3</v>
      </c>
      <c r="F280" s="35">
        <v>0.67639336000362915</v>
      </c>
      <c r="G280" s="35">
        <v>0.51677847618576722</v>
      </c>
      <c r="H280" s="35">
        <v>6.3087483327987498E-3</v>
      </c>
    </row>
    <row r="281" spans="2:8" x14ac:dyDescent="0.35">
      <c r="B281" s="6">
        <v>45331</v>
      </c>
      <c r="C281" s="7" t="s">
        <v>2</v>
      </c>
      <c r="D281" s="35">
        <v>-7.4090249999999994E-5</v>
      </c>
      <c r="E281" s="35">
        <v>-5.9272199999999998E-5</v>
      </c>
      <c r="F281" s="35">
        <v>0.67626915560048806</v>
      </c>
      <c r="G281" s="35">
        <v>0.5166885733885711</v>
      </c>
      <c r="H281" s="35">
        <v>-5.9273956666276728E-5</v>
      </c>
    </row>
    <row r="282" spans="2:8" x14ac:dyDescent="0.35">
      <c r="B282" s="6">
        <v>45334</v>
      </c>
      <c r="C282" s="7" t="s">
        <v>2</v>
      </c>
      <c r="D282" s="35">
        <v>-6.7558399999999999E-3</v>
      </c>
      <c r="E282" s="35">
        <v>-5.4046720000000001E-3</v>
      </c>
      <c r="F282" s="35">
        <v>0.66494454938831615</v>
      </c>
      <c r="G282" s="35">
        <v>0.50849136912325776</v>
      </c>
      <c r="H282" s="35">
        <v>-5.4193300783067803E-3</v>
      </c>
    </row>
    <row r="283" spans="2:8" x14ac:dyDescent="0.35">
      <c r="B283" s="6">
        <v>45335</v>
      </c>
      <c r="C283" s="7" t="s">
        <v>2</v>
      </c>
      <c r="D283" s="35">
        <v>1.2691127E-2</v>
      </c>
      <c r="E283" s="35">
        <v>1.01529016E-2</v>
      </c>
      <c r="F283" s="35">
        <v>0.68607457211256118</v>
      </c>
      <c r="G283" s="35">
        <v>0.52380693355841546</v>
      </c>
      <c r="H283" s="35">
        <v>1.010170711797537E-2</v>
      </c>
    </row>
    <row r="284" spans="2:8" x14ac:dyDescent="0.35">
      <c r="B284" s="6">
        <v>45336</v>
      </c>
      <c r="C284" s="7" t="s">
        <v>2</v>
      </c>
      <c r="D284" s="35">
        <v>-1.694967E-2</v>
      </c>
      <c r="E284" s="35">
        <v>-1.3559736000000001E-2</v>
      </c>
      <c r="F284" s="35">
        <v>0.65749616451986204</v>
      </c>
      <c r="G284" s="35">
        <v>0.50314451382439374</v>
      </c>
      <c r="H284" s="35">
        <v>-1.3652508824772801E-2</v>
      </c>
    </row>
    <row r="285" spans="2:8" x14ac:dyDescent="0.35">
      <c r="B285" s="6">
        <v>45337</v>
      </c>
      <c r="C285" s="7" t="s">
        <v>2</v>
      </c>
      <c r="D285" s="35">
        <v>7.20581E-3</v>
      </c>
      <c r="E285" s="35">
        <v>5.7646480000000007E-3</v>
      </c>
      <c r="F285" s="35">
        <v>0.66943976695712104</v>
      </c>
      <c r="G285" s="35">
        <v>0.51180961283972248</v>
      </c>
      <c r="H285" s="35">
        <v>5.7480959972334867E-3</v>
      </c>
    </row>
    <row r="286" spans="2:8" x14ac:dyDescent="0.35">
      <c r="B286" s="6">
        <v>45338</v>
      </c>
      <c r="C286" s="7" t="s">
        <v>2</v>
      </c>
      <c r="D286" s="35">
        <v>2.0742475999999999E-2</v>
      </c>
      <c r="E286" s="35">
        <v>1.6593980800000002E-2</v>
      </c>
      <c r="F286" s="35">
        <v>0.70406808125667464</v>
      </c>
      <c r="G286" s="35">
        <v>0.53689655252844015</v>
      </c>
      <c r="H286" s="35">
        <v>1.6457805100289626E-2</v>
      </c>
    </row>
    <row r="287" spans="2:8" x14ac:dyDescent="0.35">
      <c r="B287" s="6">
        <v>45342</v>
      </c>
      <c r="C287" s="7" t="s">
        <v>2</v>
      </c>
      <c r="D287" s="35">
        <v>-2.5904532156686644E-2</v>
      </c>
      <c r="E287" s="35">
        <v>-2.072549379307953E-2</v>
      </c>
      <c r="F287" s="35">
        <v>0.6599249948485777</v>
      </c>
      <c r="G287" s="35">
        <v>0.50504361256840657</v>
      </c>
      <c r="H287" s="35">
        <v>-2.0943281263578833E-2</v>
      </c>
    </row>
    <row r="288" spans="2:8" x14ac:dyDescent="0.35">
      <c r="B288" s="6">
        <v>45343</v>
      </c>
      <c r="C288" s="7" t="s">
        <v>2</v>
      </c>
      <c r="D288" s="35">
        <v>-1.09952865E-2</v>
      </c>
      <c r="E288" s="35">
        <v>-8.7962292000000001E-3</v>
      </c>
      <c r="F288" s="35">
        <v>0.64167364396170656</v>
      </c>
      <c r="G288" s="35">
        <v>0.49180490399625887</v>
      </c>
      <c r="H288" s="35">
        <v>-8.8351443967973516E-3</v>
      </c>
    </row>
    <row r="289" spans="2:8" x14ac:dyDescent="0.35">
      <c r="B289" s="6">
        <v>45344</v>
      </c>
      <c r="C289" s="7" t="s">
        <v>2</v>
      </c>
      <c r="D289" s="35">
        <v>2.7989320000000001E-3</v>
      </c>
      <c r="E289" s="35">
        <v>2.2391456000000003E-3</v>
      </c>
      <c r="F289" s="35">
        <v>0.64626857685734751</v>
      </c>
      <c r="G289" s="35">
        <v>0.49514527238310047</v>
      </c>
      <c r="H289" s="35">
        <v>2.2366424494069579E-3</v>
      </c>
    </row>
    <row r="290" spans="2:8" x14ac:dyDescent="0.35">
      <c r="B290" s="6">
        <v>45345</v>
      </c>
      <c r="C290" s="7" t="s">
        <v>2</v>
      </c>
      <c r="D290" s="35">
        <v>2.1975214E-2</v>
      </c>
      <c r="E290" s="35">
        <v>1.7580171200000001E-2</v>
      </c>
      <c r="F290" s="35">
        <v>0.68244568113526327</v>
      </c>
      <c r="G290" s="35">
        <v>0.52143018224046611</v>
      </c>
      <c r="H290" s="35">
        <v>1.7427427564812522E-2</v>
      </c>
    </row>
    <row r="291" spans="2:8" x14ac:dyDescent="0.35">
      <c r="B291" s="6">
        <v>45348</v>
      </c>
      <c r="C291" s="7" t="s">
        <v>2</v>
      </c>
      <c r="D291" s="35">
        <v>4.2344816000000002E-3</v>
      </c>
      <c r="E291" s="35">
        <v>3.3875852800000004E-3</v>
      </c>
      <c r="F291" s="35">
        <v>0.68956996641502988</v>
      </c>
      <c r="G291" s="35">
        <v>0.52658415673037173</v>
      </c>
      <c r="H291" s="35">
        <v>3.3818603384938258E-3</v>
      </c>
    </row>
    <row r="292" spans="2:8" x14ac:dyDescent="0.35">
      <c r="B292" s="6">
        <v>45349</v>
      </c>
      <c r="C292" s="7" t="s">
        <v>2</v>
      </c>
      <c r="D292" s="35">
        <v>1.1063833E-2</v>
      </c>
      <c r="E292" s="35">
        <v>8.8510664000000013E-3</v>
      </c>
      <c r="F292" s="35">
        <v>0.70826308636526125</v>
      </c>
      <c r="G292" s="35">
        <v>0.54009605446678033</v>
      </c>
      <c r="H292" s="35">
        <v>8.8121253231417899E-3</v>
      </c>
    </row>
    <row r="293" spans="2:8" x14ac:dyDescent="0.35">
      <c r="B293" s="6">
        <v>45350</v>
      </c>
      <c r="C293" s="7" t="s">
        <v>2</v>
      </c>
      <c r="D293" s="35">
        <v>-4.3038729999999997E-3</v>
      </c>
      <c r="E293" s="35">
        <v>-3.4430984E-3</v>
      </c>
      <c r="F293" s="35">
        <v>0.70091093899095713</v>
      </c>
      <c r="G293" s="35">
        <v>0.53479335220579949</v>
      </c>
      <c r="H293" s="35">
        <v>-3.4490395044208572E-3</v>
      </c>
    </row>
    <row r="294" spans="2:8" x14ac:dyDescent="0.35">
      <c r="B294" s="6">
        <v>45351</v>
      </c>
      <c r="C294" s="7" t="s">
        <v>2</v>
      </c>
      <c r="D294" s="35">
        <v>4.8428575999999999E-4</v>
      </c>
      <c r="E294" s="35">
        <v>3.87428608E-4</v>
      </c>
      <c r="F294" s="35">
        <v>0.70173466593773881</v>
      </c>
      <c r="G294" s="35">
        <v>0.5353879750578121</v>
      </c>
      <c r="H294" s="35">
        <v>3.8735357691558074E-4</v>
      </c>
    </row>
    <row r="295" spans="2:8" x14ac:dyDescent="0.35">
      <c r="B295" s="6">
        <v>45352</v>
      </c>
      <c r="C295" s="7" t="s">
        <v>2</v>
      </c>
      <c r="D295" s="35">
        <v>9.2920510000000008E-3</v>
      </c>
      <c r="E295" s="35">
        <v>7.4336408000000012E-3</v>
      </c>
      <c r="F295" s="35">
        <v>0.71754727124210027</v>
      </c>
      <c r="G295" s="35">
        <v>0.54680149775303111</v>
      </c>
      <c r="H295" s="35">
        <v>7.4061474585746002E-3</v>
      </c>
    </row>
    <row r="296" spans="2:8" x14ac:dyDescent="0.35">
      <c r="B296" s="6">
        <v>45355</v>
      </c>
      <c r="C296" s="7" t="s">
        <v>2</v>
      </c>
      <c r="D296" s="35">
        <v>1.1517390000000001E-2</v>
      </c>
      <c r="E296" s="35">
        <v>9.2139120000000012E-3</v>
      </c>
      <c r="F296" s="35">
        <v>0.73732893300843139</v>
      </c>
      <c r="G296" s="35">
        <v>0.56105359063479598</v>
      </c>
      <c r="H296" s="35">
        <v>9.171722866128388E-3</v>
      </c>
    </row>
    <row r="297" spans="2:8" x14ac:dyDescent="0.35">
      <c r="B297" s="6">
        <v>45356</v>
      </c>
      <c r="C297" s="7" t="s">
        <v>2</v>
      </c>
      <c r="D297" s="35">
        <v>1.4356948E-2</v>
      </c>
      <c r="E297" s="35">
        <v>1.14855584E-2</v>
      </c>
      <c r="F297" s="35">
        <v>0.76227167415852914</v>
      </c>
      <c r="G297" s="35">
        <v>0.5789831628155615</v>
      </c>
      <c r="H297" s="35">
        <v>1.1420100113952459E-2</v>
      </c>
    </row>
    <row r="298" spans="2:8" x14ac:dyDescent="0.35">
      <c r="B298" s="6">
        <v>45357</v>
      </c>
      <c r="C298" s="7" t="s">
        <v>2</v>
      </c>
      <c r="D298" s="35">
        <v>1.1821748E-2</v>
      </c>
      <c r="E298" s="35">
        <v>9.4573984000000007E-3</v>
      </c>
      <c r="F298" s="35">
        <v>0.78310480579796948</v>
      </c>
      <c r="G298" s="35">
        <v>0.59391623565320018</v>
      </c>
      <c r="H298" s="35">
        <v>9.4129571868681681E-3</v>
      </c>
    </row>
    <row r="299" spans="2:8" x14ac:dyDescent="0.35">
      <c r="B299" s="6">
        <v>45358</v>
      </c>
      <c r="C299" s="7" t="s">
        <v>2</v>
      </c>
      <c r="D299" s="35">
        <v>-5.5431149999999999E-4</v>
      </c>
      <c r="E299" s="35">
        <v>-4.4344920000000002E-4</v>
      </c>
      <c r="F299" s="35">
        <v>0.78211641029841039</v>
      </c>
      <c r="G299" s="35">
        <v>0.59320941477363287</v>
      </c>
      <c r="H299" s="35">
        <v>-4.4354755267378708E-4</v>
      </c>
    </row>
    <row r="300" spans="2:8" x14ac:dyDescent="0.35">
      <c r="B300" s="6">
        <v>45359</v>
      </c>
      <c r="C300" s="7" t="s">
        <v>2</v>
      </c>
      <c r="D300" s="35">
        <v>5.7441159999999996E-3</v>
      </c>
      <c r="E300" s="35">
        <v>4.5952928000000002E-3</v>
      </c>
      <c r="F300" s="35">
        <v>0.79235309368466811</v>
      </c>
      <c r="G300" s="35">
        <v>0.60053067852623432</v>
      </c>
      <c r="H300" s="35">
        <v>4.5847666768012718E-3</v>
      </c>
    </row>
    <row r="301" spans="2:8" x14ac:dyDescent="0.35">
      <c r="B301" s="6">
        <v>45362</v>
      </c>
      <c r="C301" s="7" t="s">
        <v>2</v>
      </c>
      <c r="D301" s="35">
        <v>-2.1233594000000001E-2</v>
      </c>
      <c r="E301" s="35">
        <v>-1.6986875200000001E-2</v>
      </c>
      <c r="F301" s="35">
        <v>0.75429499578872394</v>
      </c>
      <c r="G301" s="35">
        <v>0.5733426636363379</v>
      </c>
      <c r="H301" s="35">
        <v>-1.71328071438402E-2</v>
      </c>
    </row>
    <row r="302" spans="2:8" x14ac:dyDescent="0.35">
      <c r="B302" s="6">
        <v>45363</v>
      </c>
      <c r="C302" s="7" t="s">
        <v>2</v>
      </c>
      <c r="D302" s="35">
        <v>1.6895830000000001E-2</v>
      </c>
      <c r="E302" s="35">
        <v>1.3516664000000001E-2</v>
      </c>
      <c r="F302" s="35">
        <v>0.78393526580742079</v>
      </c>
      <c r="G302" s="35">
        <v>0.59460900777757519</v>
      </c>
      <c r="H302" s="35">
        <v>1.3426128807309329E-2</v>
      </c>
    </row>
    <row r="303" spans="2:8" x14ac:dyDescent="0.35">
      <c r="B303" s="6">
        <v>45364</v>
      </c>
      <c r="C303" s="7" t="s">
        <v>2</v>
      </c>
      <c r="D303" s="35">
        <v>7.8906180000000003E-3</v>
      </c>
      <c r="E303" s="35">
        <v>6.3124944000000002E-3</v>
      </c>
      <c r="F303" s="35">
        <v>0.79801161752663563</v>
      </c>
      <c r="G303" s="35">
        <v>0.60467496820936062</v>
      </c>
      <c r="H303" s="35">
        <v>6.2926540581484149E-3</v>
      </c>
    </row>
    <row r="304" spans="2:8" x14ac:dyDescent="0.35">
      <c r="B304" s="6">
        <v>45365</v>
      </c>
      <c r="C304" s="7" t="s">
        <v>2</v>
      </c>
      <c r="D304" s="35">
        <v>-2.3175608E-2</v>
      </c>
      <c r="E304" s="35">
        <v>-1.85404864E-2</v>
      </c>
      <c r="F304" s="35">
        <v>0.75634160509939252</v>
      </c>
      <c r="G304" s="35">
        <v>0.57492351378485451</v>
      </c>
      <c r="H304" s="35">
        <v>-1.8714515632452904E-2</v>
      </c>
    </row>
    <row r="305" spans="2:8" x14ac:dyDescent="0.35">
      <c r="B305" s="6">
        <v>45366</v>
      </c>
      <c r="C305" s="7" t="s">
        <v>2</v>
      </c>
      <c r="D305" s="35">
        <v>1.1698309E-2</v>
      </c>
      <c r="E305" s="35">
        <v>9.3586472000000004E-3</v>
      </c>
      <c r="F305" s="35">
        <v>0.77688783190540112</v>
      </c>
      <c r="G305" s="35">
        <v>0.58966266731735129</v>
      </c>
      <c r="H305" s="35">
        <v>9.3151263812393907E-3</v>
      </c>
    </row>
    <row r="306" spans="2:8" x14ac:dyDescent="0.35">
      <c r="B306" s="6">
        <v>45369</v>
      </c>
      <c r="C306" s="7" t="s">
        <v>2</v>
      </c>
      <c r="D306" s="35">
        <v>-1.5265219E-2</v>
      </c>
      <c r="E306" s="35">
        <v>-1.2212175200000001E-2</v>
      </c>
      <c r="F306" s="35">
        <v>0.74976325001293009</v>
      </c>
      <c r="G306" s="35">
        <v>0.57024942831517245</v>
      </c>
      <c r="H306" s="35">
        <v>-1.2287356523551162E-2</v>
      </c>
    </row>
    <row r="307" spans="2:8" x14ac:dyDescent="0.35">
      <c r="B307" s="6">
        <v>45370</v>
      </c>
      <c r="C307" s="7" t="s">
        <v>2</v>
      </c>
      <c r="D307" s="35">
        <v>2.5289229999999999E-2</v>
      </c>
      <c r="E307" s="35">
        <v>2.0231384000000002E-2</v>
      </c>
      <c r="F307" s="35">
        <v>0.79401341528805469</v>
      </c>
      <c r="G307" s="35">
        <v>0.6020177474751971</v>
      </c>
      <c r="H307" s="35">
        <v>2.0029448629099594E-2</v>
      </c>
    </row>
    <row r="308" spans="2:8" x14ac:dyDescent="0.35">
      <c r="B308" s="6">
        <v>45371</v>
      </c>
      <c r="C308" s="7" t="s">
        <v>2</v>
      </c>
      <c r="D308" s="35">
        <v>8.2540249999999999E-3</v>
      </c>
      <c r="E308" s="35">
        <v>6.6032199999999999E-3</v>
      </c>
      <c r="F308" s="35">
        <v>0.80882124686817769</v>
      </c>
      <c r="G308" s="35">
        <v>0.61259622310568007</v>
      </c>
      <c r="H308" s="35">
        <v>6.5815142423495806E-3</v>
      </c>
    </row>
    <row r="309" spans="2:8" x14ac:dyDescent="0.35">
      <c r="B309" s="6">
        <v>45372</v>
      </c>
      <c r="C309" s="7" t="s">
        <v>2</v>
      </c>
      <c r="D309" s="35">
        <v>-3.0467886E-2</v>
      </c>
      <c r="E309" s="35">
        <v>-2.4374308800000001E-2</v>
      </c>
      <c r="F309" s="35">
        <v>0.75371028732422007</v>
      </c>
      <c r="G309" s="35">
        <v>0.57329030479398857</v>
      </c>
      <c r="H309" s="35">
        <v>-2.4676279243761354E-2</v>
      </c>
    </row>
    <row r="310" spans="2:8" x14ac:dyDescent="0.35">
      <c r="B310" s="6">
        <v>45373</v>
      </c>
      <c r="C310" s="7" t="s">
        <v>2</v>
      </c>
      <c r="D310" s="35">
        <v>-6.3441516999999999E-3</v>
      </c>
      <c r="E310" s="35">
        <v>-5.0753213600000001E-3</v>
      </c>
      <c r="F310" s="35">
        <v>0.74258448322358461</v>
      </c>
      <c r="G310" s="35">
        <v>0.56530535090458667</v>
      </c>
      <c r="H310" s="35">
        <v>-5.0882445482197157E-3</v>
      </c>
    </row>
    <row r="311" spans="2:8" x14ac:dyDescent="0.35">
      <c r="B311" s="6">
        <v>45376</v>
      </c>
      <c r="C311" s="7" t="s">
        <v>2</v>
      </c>
      <c r="D311" s="35">
        <v>-2.2749014000000001E-2</v>
      </c>
      <c r="E311" s="35">
        <v>-1.8199211200000003E-2</v>
      </c>
      <c r="F311" s="35">
        <v>0.70294240441854861</v>
      </c>
      <c r="G311" s="35">
        <v>0.53681802823098401</v>
      </c>
      <c r="H311" s="35">
        <v>-1.8366853936222088E-2</v>
      </c>
    </row>
    <row r="312" spans="2:8" x14ac:dyDescent="0.35">
      <c r="B312" s="6">
        <v>45377</v>
      </c>
      <c r="C312" s="7" t="s">
        <v>2</v>
      </c>
      <c r="D312" s="35">
        <v>1.1838560000000001E-3</v>
      </c>
      <c r="E312" s="35">
        <v>9.4708480000000011E-4</v>
      </c>
      <c r="F312" s="35">
        <v>0.70495844300167376</v>
      </c>
      <c r="G312" s="35">
        <v>0.53827352522588745</v>
      </c>
      <c r="H312" s="35">
        <v>9.4663659815852417E-4</v>
      </c>
    </row>
    <row r="313" spans="2:8" x14ac:dyDescent="0.35">
      <c r="B313" s="6">
        <v>45378</v>
      </c>
      <c r="C313" s="7" t="s">
        <v>2</v>
      </c>
      <c r="D313" s="35">
        <v>-8.8010689999999999E-3</v>
      </c>
      <c r="E313" s="35">
        <v>-7.0408552000000004E-3</v>
      </c>
      <c r="F313" s="35">
        <v>0.68995298610268341</v>
      </c>
      <c r="G313" s="35">
        <v>0.52744276407677848</v>
      </c>
      <c r="H313" s="35">
        <v>-7.0657589857861204E-3</v>
      </c>
    </row>
    <row r="314" spans="2:8" x14ac:dyDescent="0.35">
      <c r="B314" s="6">
        <v>45379</v>
      </c>
      <c r="C314" s="7" t="s">
        <v>2</v>
      </c>
      <c r="D314" s="35">
        <v>2.687000990534294E-2</v>
      </c>
      <c r="E314" s="35">
        <v>2.1500756515419717E-2</v>
      </c>
      <c r="F314" s="35">
        <v>0.73536203957882629</v>
      </c>
      <c r="G314" s="35">
        <v>0.56028393903843288</v>
      </c>
      <c r="H314" s="35">
        <v>2.1272875867942617E-2</v>
      </c>
    </row>
    <row r="315" spans="2:8" x14ac:dyDescent="0.35">
      <c r="B315" s="6">
        <v>45383</v>
      </c>
      <c r="C315" s="7" t="s">
        <v>2</v>
      </c>
      <c r="D315" s="35">
        <v>-3.9955955E-3</v>
      </c>
      <c r="E315" s="35">
        <v>-3.1964764000000003E-3</v>
      </c>
      <c r="F315" s="35">
        <v>0.72842823482261432</v>
      </c>
      <c r="G315" s="35">
        <v>0.55529652824999753</v>
      </c>
      <c r="H315" s="35">
        <v>-3.2015960434786258E-3</v>
      </c>
    </row>
    <row r="316" spans="2:8" x14ac:dyDescent="0.35">
      <c r="B316" s="6">
        <v>45384</v>
      </c>
      <c r="C316" s="7" t="s">
        <v>2</v>
      </c>
      <c r="D316" s="35">
        <v>4.1394719999999999E-3</v>
      </c>
      <c r="E316" s="35">
        <v>3.3115776000000002E-3</v>
      </c>
      <c r="F316" s="35">
        <v>0.73558301510467206</v>
      </c>
      <c r="G316" s="35">
        <v>0.5604470133943078</v>
      </c>
      <c r="H316" s="35">
        <v>3.3061064024355489E-3</v>
      </c>
    </row>
    <row r="317" spans="2:8" x14ac:dyDescent="0.35">
      <c r="B317" s="6">
        <v>45385</v>
      </c>
      <c r="C317" s="7" t="s">
        <v>2</v>
      </c>
      <c r="D317" s="35">
        <v>-6.5067056999999996E-3</v>
      </c>
      <c r="E317" s="35">
        <v>-5.20536456E-3</v>
      </c>
      <c r="F317" s="35">
        <v>0.72429008720746735</v>
      </c>
      <c r="G317" s="35">
        <v>0.55232431781302727</v>
      </c>
      <c r="H317" s="35">
        <v>-5.2189596689555052E-3</v>
      </c>
    </row>
    <row r="318" spans="2:8" x14ac:dyDescent="0.35">
      <c r="B318" s="6">
        <v>45386</v>
      </c>
      <c r="C318" s="7" t="s">
        <v>2</v>
      </c>
      <c r="D318" s="35">
        <v>-6.6394749999999997E-3</v>
      </c>
      <c r="E318" s="35">
        <v>-5.3115799999999998E-3</v>
      </c>
      <c r="F318" s="35">
        <v>0.71284170628070553</v>
      </c>
      <c r="G318" s="35">
        <v>0.54407902301301792</v>
      </c>
      <c r="H318" s="35">
        <v>-5.325736592549285E-3</v>
      </c>
    </row>
    <row r="319" spans="2:8" x14ac:dyDescent="0.35">
      <c r="B319" s="6">
        <v>45387</v>
      </c>
      <c r="C319" s="7" t="s">
        <v>2</v>
      </c>
      <c r="D319" s="35">
        <v>-1.4305755999999999E-2</v>
      </c>
      <c r="E319" s="35">
        <v>-1.1444604800000001E-2</v>
      </c>
      <c r="F319" s="35">
        <v>0.68833821076403012</v>
      </c>
      <c r="G319" s="35">
        <v>0.52640764881466384</v>
      </c>
      <c r="H319" s="35">
        <v>-1.1510598285583783E-2</v>
      </c>
    </row>
    <row r="320" spans="2:8" x14ac:dyDescent="0.35">
      <c r="B320" s="6">
        <v>45390</v>
      </c>
      <c r="C320" s="7" t="s">
        <v>2</v>
      </c>
      <c r="D320" s="35">
        <v>-1.2339452000000001E-2</v>
      </c>
      <c r="E320" s="35">
        <v>-9.871561600000002E-3</v>
      </c>
      <c r="F320" s="35">
        <v>0.6675050424525415</v>
      </c>
      <c r="G320" s="35">
        <v>0.51133962168267866</v>
      </c>
      <c r="H320" s="35">
        <v>-9.9206085108812982E-3</v>
      </c>
    </row>
    <row r="321" spans="2:8" x14ac:dyDescent="0.35">
      <c r="B321" s="6">
        <v>45391</v>
      </c>
      <c r="C321" s="7" t="s">
        <v>2</v>
      </c>
      <c r="D321" s="35">
        <v>-1.7927410000000001E-2</v>
      </c>
      <c r="E321" s="35">
        <v>-1.4341928000000002E-2</v>
      </c>
      <c r="F321" s="35">
        <v>0.63761099587942738</v>
      </c>
      <c r="G321" s="35">
        <v>0.48966409764495844</v>
      </c>
      <c r="H321" s="35">
        <v>-1.4445767484078073E-2</v>
      </c>
    </row>
    <row r="322" spans="2:8" x14ac:dyDescent="0.35">
      <c r="B322" s="6">
        <v>45392</v>
      </c>
      <c r="C322" s="7" t="s">
        <v>2</v>
      </c>
      <c r="D322" s="35">
        <v>1.0805859E-4</v>
      </c>
      <c r="E322" s="35">
        <v>8.6446872000000004E-5</v>
      </c>
      <c r="F322" s="35">
        <v>0.63778795381461051</v>
      </c>
      <c r="G322" s="35">
        <v>0.48979287444653075</v>
      </c>
      <c r="H322" s="35">
        <v>8.6443135684588713E-5</v>
      </c>
    </row>
    <row r="323" spans="2:8" x14ac:dyDescent="0.35">
      <c r="B323" s="6">
        <v>45393</v>
      </c>
      <c r="C323" s="7" t="s">
        <v>2</v>
      </c>
      <c r="D323" s="35">
        <v>3.4697402000000002E-2</v>
      </c>
      <c r="E323" s="35">
        <v>2.7757921600000002E-2</v>
      </c>
      <c r="F323" s="35">
        <v>0.69461494083887332</v>
      </c>
      <c r="G323" s="35">
        <v>0.53114642825565594</v>
      </c>
      <c r="H323" s="35">
        <v>2.7379654477165609E-2</v>
      </c>
    </row>
    <row r="324" spans="2:8" x14ac:dyDescent="0.35">
      <c r="B324" s="6">
        <v>45394</v>
      </c>
      <c r="C324" s="7" t="s">
        <v>2</v>
      </c>
      <c r="D324" s="35">
        <v>-6.0896034999999996E-3</v>
      </c>
      <c r="E324" s="35">
        <v>-4.8716827999999998E-3</v>
      </c>
      <c r="F324" s="35">
        <v>0.68429540776398867</v>
      </c>
      <c r="G324" s="35">
        <v>0.52368716853684139</v>
      </c>
      <c r="H324" s="35">
        <v>-4.8835881283792416E-3</v>
      </c>
    </row>
    <row r="325" spans="2:8" x14ac:dyDescent="0.35">
      <c r="B325" s="6">
        <v>45397</v>
      </c>
      <c r="C325" s="7" t="s">
        <v>2</v>
      </c>
      <c r="D325" s="35">
        <v>-8.3521489999999997E-3</v>
      </c>
      <c r="E325" s="35">
        <v>-6.6817192000000001E-3</v>
      </c>
      <c r="F325" s="35">
        <v>0.670227921558328</v>
      </c>
      <c r="G325" s="35">
        <v>0.51350631872803509</v>
      </c>
      <c r="H325" s="35">
        <v>-6.7041418226599413E-3</v>
      </c>
    </row>
    <row r="326" spans="2:8" x14ac:dyDescent="0.35">
      <c r="B326" s="6">
        <v>45398</v>
      </c>
      <c r="C326" s="7" t="s">
        <v>2</v>
      </c>
      <c r="D326" s="35">
        <v>5.8172275000000001E-3</v>
      </c>
      <c r="E326" s="35">
        <v>4.6537820000000004E-3</v>
      </c>
      <c r="F326" s="35">
        <v>0.67994401735488474</v>
      </c>
      <c r="G326" s="35">
        <v>0.52054984719101816</v>
      </c>
      <c r="H326" s="35">
        <v>4.6429866364372076E-3</v>
      </c>
    </row>
    <row r="327" spans="2:8" x14ac:dyDescent="0.35">
      <c r="B327" s="6">
        <v>45399</v>
      </c>
      <c r="C327" s="7" t="s">
        <v>2</v>
      </c>
      <c r="D327" s="35">
        <v>-3.1510955000000002E-3</v>
      </c>
      <c r="E327" s="35">
        <v>-2.5208764000000002E-3</v>
      </c>
      <c r="F327" s="35">
        <v>0.67465035332154577</v>
      </c>
      <c r="G327" s="35">
        <v>0.51671672896621068</v>
      </c>
      <c r="H327" s="35">
        <v>-2.5240591589317783E-3</v>
      </c>
    </row>
    <row r="328" spans="2:8" x14ac:dyDescent="0.35">
      <c r="B328" s="6">
        <v>45400</v>
      </c>
      <c r="C328" s="7" t="s">
        <v>2</v>
      </c>
      <c r="D328" s="35">
        <v>8.4122350000000005E-3</v>
      </c>
      <c r="E328" s="35">
        <v>6.7297880000000004E-3</v>
      </c>
      <c r="F328" s="35">
        <v>0.68873790563651971</v>
      </c>
      <c r="G328" s="35">
        <v>0.52692391100820668</v>
      </c>
      <c r="H328" s="35">
        <v>6.7072440641563124E-3</v>
      </c>
    </row>
    <row r="329" spans="2:8" x14ac:dyDescent="0.35">
      <c r="B329" s="6">
        <v>45401</v>
      </c>
      <c r="C329" s="7" t="s">
        <v>2</v>
      </c>
      <c r="D329" s="35">
        <v>-1.1404189E-2</v>
      </c>
      <c r="E329" s="35">
        <v>-9.123351200000001E-3</v>
      </c>
      <c r="F329" s="35">
        <v>0.66947921938917676</v>
      </c>
      <c r="G329" s="35">
        <v>0.51299324791240131</v>
      </c>
      <c r="H329" s="35">
        <v>-9.1652238423488436E-3</v>
      </c>
    </row>
    <row r="330" spans="2:8" x14ac:dyDescent="0.35">
      <c r="B330" s="6">
        <v>45404</v>
      </c>
      <c r="C330" s="7" t="s">
        <v>2</v>
      </c>
      <c r="D330" s="35">
        <v>-1.9496162E-3</v>
      </c>
      <c r="E330" s="35">
        <v>-1.5596929600000002E-3</v>
      </c>
      <c r="F330" s="35">
        <v>0.66622437565749215</v>
      </c>
      <c r="G330" s="35">
        <v>0.51063344299510471</v>
      </c>
      <c r="H330" s="35">
        <v>-1.560910547270982E-3</v>
      </c>
    </row>
    <row r="331" spans="2:8" x14ac:dyDescent="0.35">
      <c r="B331" s="6">
        <v>45405</v>
      </c>
      <c r="C331" s="7" t="s">
        <v>2</v>
      </c>
      <c r="D331" s="35">
        <v>7.5290929999999997E-3</v>
      </c>
      <c r="E331" s="35">
        <v>6.0232744000000005E-3</v>
      </c>
      <c r="F331" s="35">
        <v>0.67876953394068451</v>
      </c>
      <c r="G331" s="35">
        <v>0.51973240274008092</v>
      </c>
      <c r="H331" s="35">
        <v>6.0052069964049689E-3</v>
      </c>
    </row>
    <row r="332" spans="2:8" x14ac:dyDescent="0.35">
      <c r="B332" s="6">
        <v>45406</v>
      </c>
      <c r="C332" s="7" t="s">
        <v>2</v>
      </c>
      <c r="D332" s="35">
        <v>-1.2795282999999999E-2</v>
      </c>
      <c r="E332" s="35">
        <v>-1.0236226399999999E-2</v>
      </c>
      <c r="F332" s="35">
        <v>0.65728920266213531</v>
      </c>
      <c r="G332" s="35">
        <v>0.50417607779821738</v>
      </c>
      <c r="H332" s="35">
        <v>-1.0288976851251916E-2</v>
      </c>
    </row>
    <row r="333" spans="2:8" x14ac:dyDescent="0.35">
      <c r="B333" s="6">
        <v>45407</v>
      </c>
      <c r="C333" s="7" t="s">
        <v>2</v>
      </c>
      <c r="D333" s="35">
        <v>1.083012E-2</v>
      </c>
      <c r="E333" s="35">
        <v>8.6640960000000013E-3</v>
      </c>
      <c r="F333" s="35">
        <v>0.67523784360167061</v>
      </c>
      <c r="G333" s="35">
        <v>0.51720840373716448</v>
      </c>
      <c r="H333" s="35">
        <v>8.6267781158246518E-3</v>
      </c>
    </row>
    <row r="334" spans="2:8" x14ac:dyDescent="0.35">
      <c r="B334" s="6">
        <v>45408</v>
      </c>
      <c r="C334" s="7" t="s">
        <v>2</v>
      </c>
      <c r="D334" s="35">
        <v>2.0645304E-2</v>
      </c>
      <c r="E334" s="35">
        <v>1.6516243199999999E-2</v>
      </c>
      <c r="F334" s="35">
        <v>0.70982363815513172</v>
      </c>
      <c r="G334" s="35">
        <v>0.54226698671837115</v>
      </c>
      <c r="H334" s="35">
        <v>1.6381333496221832E-2</v>
      </c>
    </row>
    <row r="335" spans="2:8" x14ac:dyDescent="0.35">
      <c r="B335" s="6">
        <v>45411</v>
      </c>
      <c r="C335" s="7" t="s">
        <v>2</v>
      </c>
      <c r="D335" s="35">
        <v>7.4851259999999999E-3</v>
      </c>
      <c r="E335" s="35">
        <v>5.9881007999999999E-3</v>
      </c>
      <c r="F335" s="35">
        <v>0.7226218835245013</v>
      </c>
      <c r="G335" s="35">
        <v>0.55150223689535305</v>
      </c>
      <c r="H335" s="35">
        <v>5.9702433769770972E-3</v>
      </c>
    </row>
    <row r="336" spans="2:8" x14ac:dyDescent="0.35">
      <c r="B336" s="6">
        <v>45412</v>
      </c>
      <c r="C336" s="7" t="s">
        <v>2</v>
      </c>
      <c r="D336" s="35">
        <v>9.3730949999999997E-3</v>
      </c>
      <c r="E336" s="35">
        <v>7.4984760000000004E-3</v>
      </c>
      <c r="F336" s="35">
        <v>0.73876818208785533</v>
      </c>
      <c r="G336" s="35">
        <v>0.56313613918265926</v>
      </c>
      <c r="H336" s="35">
        <v>7.4705021824701696E-3</v>
      </c>
    </row>
    <row r="337" spans="2:8" x14ac:dyDescent="0.35">
      <c r="B337" s="6">
        <v>45413</v>
      </c>
      <c r="C337" s="7" t="s">
        <v>2</v>
      </c>
      <c r="D337" s="35">
        <v>-1.0312699E-2</v>
      </c>
      <c r="E337" s="35">
        <v>-8.2501592000000009E-3</v>
      </c>
      <c r="F337" s="35">
        <v>0.72083678919520611</v>
      </c>
      <c r="G337" s="35">
        <v>0.55024001718312898</v>
      </c>
      <c r="H337" s="35">
        <v>-8.2843801120361556E-3</v>
      </c>
    </row>
    <row r="338" spans="2:8" x14ac:dyDescent="0.35">
      <c r="B338" s="6">
        <v>45414</v>
      </c>
      <c r="C338" s="7" t="s">
        <v>2</v>
      </c>
      <c r="D338" s="35">
        <v>1.0584989E-3</v>
      </c>
      <c r="E338" s="35">
        <v>8.4679912000000003E-4</v>
      </c>
      <c r="F338" s="35">
        <v>0.7226582930436487</v>
      </c>
      <c r="G338" s="35">
        <v>0.55155275906546852</v>
      </c>
      <c r="H338" s="35">
        <v>8.4644078790119368E-4</v>
      </c>
    </row>
    <row r="339" spans="2:8" x14ac:dyDescent="0.35">
      <c r="B339" s="6">
        <v>45415</v>
      </c>
      <c r="C339" s="7" t="s">
        <v>2</v>
      </c>
      <c r="D339" s="35">
        <v>-6.3992379999999998E-3</v>
      </c>
      <c r="E339" s="35">
        <v>-5.1193903999999998E-3</v>
      </c>
      <c r="F339" s="35">
        <v>0.71163459263378859</v>
      </c>
      <c r="G339" s="35">
        <v>0.54360975476561535</v>
      </c>
      <c r="H339" s="35">
        <v>-5.1325393747212256E-3</v>
      </c>
    </row>
    <row r="340" spans="2:8" x14ac:dyDescent="0.35">
      <c r="B340" s="6">
        <v>45418</v>
      </c>
      <c r="C340" s="7" t="s">
        <v>2</v>
      </c>
      <c r="D340" s="35">
        <v>-3.2630183E-2</v>
      </c>
      <c r="E340" s="35">
        <v>-2.61041464E-2</v>
      </c>
      <c r="F340" s="35">
        <v>0.65578364264701761</v>
      </c>
      <c r="G340" s="35">
        <v>0.50331513974274555</v>
      </c>
      <c r="H340" s="35">
        <v>-2.645090754535288E-2</v>
      </c>
    </row>
    <row r="341" spans="2:8" x14ac:dyDescent="0.35">
      <c r="B341" s="6">
        <v>45419</v>
      </c>
      <c r="C341" s="7" t="s">
        <v>2</v>
      </c>
      <c r="D341" s="35">
        <v>7.7606435E-3</v>
      </c>
      <c r="E341" s="35">
        <v>6.2085148000000003E-3</v>
      </c>
      <c r="F341" s="35">
        <v>0.66863358921073246</v>
      </c>
      <c r="G341" s="35">
        <v>0.51264849403690249</v>
      </c>
      <c r="H341" s="35">
        <v>6.1893213728078282E-3</v>
      </c>
    </row>
    <row r="342" spans="2:8" x14ac:dyDescent="0.35">
      <c r="B342" s="6">
        <v>45420</v>
      </c>
      <c r="C342" s="7" t="s">
        <v>2</v>
      </c>
      <c r="D342" s="35">
        <v>-1.9859471000000001E-3</v>
      </c>
      <c r="E342" s="35">
        <v>-1.5887576800000002E-3</v>
      </c>
      <c r="F342" s="35">
        <v>0.66531977117327679</v>
      </c>
      <c r="G342" s="35">
        <v>0.51024526212486099</v>
      </c>
      <c r="H342" s="35">
        <v>-1.5900210938324822E-3</v>
      </c>
    </row>
    <row r="343" spans="2:8" x14ac:dyDescent="0.35">
      <c r="B343" s="6">
        <v>45421</v>
      </c>
      <c r="C343" s="7" t="s">
        <v>2</v>
      </c>
      <c r="D343" s="35">
        <v>-8.0285803000000003E-4</v>
      </c>
      <c r="E343" s="35">
        <v>-6.4228642400000009E-4</v>
      </c>
      <c r="F343" s="35">
        <v>0.66398275582247246</v>
      </c>
      <c r="G343" s="35">
        <v>0.50927525209608793</v>
      </c>
      <c r="H343" s="35">
        <v>-6.4249277828899091E-4</v>
      </c>
    </row>
    <row r="344" spans="2:8" x14ac:dyDescent="0.35">
      <c r="B344" s="6">
        <v>45422</v>
      </c>
      <c r="C344" s="7" t="s">
        <v>2</v>
      </c>
      <c r="D344" s="35">
        <v>-3.0788125E-2</v>
      </c>
      <c r="E344" s="35">
        <v>-2.46305E-2</v>
      </c>
      <c r="F344" s="35">
        <v>0.61275184673836569</v>
      </c>
      <c r="G344" s="35">
        <v>0.47210104799933528</v>
      </c>
      <c r="H344" s="35">
        <v>-2.4938905417960087E-2</v>
      </c>
    </row>
    <row r="345" spans="2:8" x14ac:dyDescent="0.35">
      <c r="B345" s="6">
        <v>45425</v>
      </c>
      <c r="C345" s="7" t="s">
        <v>2</v>
      </c>
      <c r="D345" s="35">
        <v>-2.6669266E-2</v>
      </c>
      <c r="E345" s="35">
        <v>-2.1335412800000002E-2</v>
      </c>
      <c r="F345" s="35">
        <v>0.56974093874570908</v>
      </c>
      <c r="G345" s="35">
        <v>0.44069316445695694</v>
      </c>
      <c r="H345" s="35">
        <v>-2.1566302713738203E-2</v>
      </c>
    </row>
    <row r="346" spans="2:8" x14ac:dyDescent="0.35">
      <c r="B346" s="6">
        <v>45426</v>
      </c>
      <c r="C346" s="7" t="s">
        <v>2</v>
      </c>
      <c r="D346" s="35">
        <v>1.5333985E-2</v>
      </c>
      <c r="E346" s="35">
        <v>1.2267188E-2</v>
      </c>
      <c r="F346" s="35">
        <v>0.5938113227543218</v>
      </c>
      <c r="G346" s="35">
        <v>0.45836641835566549</v>
      </c>
      <c r="H346" s="35">
        <v>1.2192555781035515E-2</v>
      </c>
    </row>
    <row r="347" spans="2:8" x14ac:dyDescent="0.35">
      <c r="B347" s="6">
        <v>45427</v>
      </c>
      <c r="C347" s="7" t="s">
        <v>2</v>
      </c>
      <c r="D347" s="35">
        <v>-1.9251795999999999E-3</v>
      </c>
      <c r="E347" s="35">
        <v>-1.54014368E-3</v>
      </c>
      <c r="F347" s="35">
        <v>0.59074294970950603</v>
      </c>
      <c r="G347" s="35">
        <v>0.45612032453331075</v>
      </c>
      <c r="H347" s="35">
        <v>-1.5413309204480149E-3</v>
      </c>
    </row>
    <row r="348" spans="2:8" x14ac:dyDescent="0.35">
      <c r="B348" s="6">
        <v>45428</v>
      </c>
      <c r="C348" s="7" t="s">
        <v>2</v>
      </c>
      <c r="D348" s="35">
        <v>1.101043E-2</v>
      </c>
      <c r="E348" s="35">
        <v>8.8083440000000009E-3</v>
      </c>
      <c r="F348" s="35">
        <v>0.60825771360527603</v>
      </c>
      <c r="G348" s="35">
        <v>0.46894633325719171</v>
      </c>
      <c r="H348" s="35">
        <v>8.7697768476891827E-3</v>
      </c>
    </row>
    <row r="349" spans="2:8" x14ac:dyDescent="0.35">
      <c r="B349" s="6">
        <v>45429</v>
      </c>
      <c r="C349" s="7" t="s">
        <v>2</v>
      </c>
      <c r="D349" s="35">
        <v>-5.9661080000000003E-3</v>
      </c>
      <c r="E349" s="35">
        <v>-4.7728864000000006E-3</v>
      </c>
      <c r="F349" s="35">
        <v>0.59866267439407395</v>
      </c>
      <c r="G349" s="35">
        <v>0.46193521928085857</v>
      </c>
      <c r="H349" s="35">
        <v>-4.7843129953528442E-3</v>
      </c>
    </row>
    <row r="350" spans="2:8" x14ac:dyDescent="0.35">
      <c r="B350" s="6">
        <v>45432</v>
      </c>
      <c r="C350" s="7" t="s">
        <v>2</v>
      </c>
      <c r="D350" s="35">
        <v>-1.3222177E-2</v>
      </c>
      <c r="E350" s="35">
        <v>-1.0577741600000001E-2</v>
      </c>
      <c r="F350" s="35">
        <v>0.57752487354994231</v>
      </c>
      <c r="G350" s="35">
        <v>0.44647124629536616</v>
      </c>
      <c r="H350" s="35">
        <v>-1.0634083574791616E-2</v>
      </c>
    </row>
    <row r="351" spans="2:8" x14ac:dyDescent="0.35">
      <c r="B351" s="6">
        <v>45433</v>
      </c>
      <c r="C351" s="7" t="s">
        <v>2</v>
      </c>
      <c r="D351" s="35">
        <v>-2.2135766000000001E-2</v>
      </c>
      <c r="E351" s="35">
        <v>-1.7708612800000002E-2</v>
      </c>
      <c r="F351" s="35">
        <v>0.54260515208986115</v>
      </c>
      <c r="G351" s="35">
        <v>0.42085624706838809</v>
      </c>
      <c r="H351" s="35">
        <v>-1.7867286333236927E-2</v>
      </c>
    </row>
    <row r="352" spans="2:8" x14ac:dyDescent="0.35">
      <c r="B352" s="6">
        <v>45434</v>
      </c>
      <c r="C352" s="7" t="s">
        <v>2</v>
      </c>
      <c r="D352" s="35">
        <v>-1.7140941999999999E-2</v>
      </c>
      <c r="E352" s="35">
        <v>-1.37127536E-2</v>
      </c>
      <c r="F352" s="35">
        <v>0.5161634466489875</v>
      </c>
      <c r="G352" s="35">
        <v>0.40137239545131864</v>
      </c>
      <c r="H352" s="35">
        <v>-1.3807641857084826E-2</v>
      </c>
    </row>
    <row r="353" spans="2:8" x14ac:dyDescent="0.35">
      <c r="B353" s="6">
        <v>45435</v>
      </c>
      <c r="C353" s="7" t="s">
        <v>2</v>
      </c>
      <c r="D353" s="35">
        <v>-2.3534714999999999E-3</v>
      </c>
      <c r="E353" s="35">
        <v>-1.8827772E-3</v>
      </c>
      <c r="F353" s="35">
        <v>0.51259519918795737</v>
      </c>
      <c r="G353" s="35">
        <v>0.39873392345645353</v>
      </c>
      <c r="H353" s="35">
        <v>-1.8845518528595223E-3</v>
      </c>
    </row>
    <row r="354" spans="2:8" x14ac:dyDescent="0.35">
      <c r="B354" s="6">
        <v>45436</v>
      </c>
      <c r="C354" s="7" t="s">
        <v>2</v>
      </c>
      <c r="D354" s="35">
        <v>7.3992036999999998E-3</v>
      </c>
      <c r="E354" s="35">
        <v>5.9193629600000006E-3</v>
      </c>
      <c r="F354" s="35">
        <v>0.52378719918239103</v>
      </c>
      <c r="G354" s="35">
        <v>0.40701353723385725</v>
      </c>
      <c r="H354" s="35">
        <v>5.9019123614956724E-3</v>
      </c>
    </row>
    <row r="355" spans="2:8" x14ac:dyDescent="0.35">
      <c r="B355" s="6">
        <v>45440</v>
      </c>
      <c r="C355" s="7" t="s">
        <v>2</v>
      </c>
      <c r="D355" s="35">
        <v>-4.6495821989918085E-3</v>
      </c>
      <c r="E355" s="35">
        <v>-3.7197464723147666E-3</v>
      </c>
      <c r="F355" s="35">
        <v>0.51670222534602095</v>
      </c>
      <c r="G355" s="35">
        <v>0.40177980359223242</v>
      </c>
      <c r="H355" s="35">
        <v>-3.7266819333368873E-3</v>
      </c>
    </row>
    <row r="356" spans="2:8" x14ac:dyDescent="0.35">
      <c r="B356" s="6">
        <v>45441</v>
      </c>
      <c r="C356" s="7" t="s">
        <v>2</v>
      </c>
      <c r="D356" s="35">
        <v>-2.9164645999999999E-3</v>
      </c>
      <c r="E356" s="35">
        <v>-2.3331716800000001E-3</v>
      </c>
      <c r="F356" s="35">
        <v>0.51227881699705824</v>
      </c>
      <c r="G356" s="35">
        <v>0.39850921065289513</v>
      </c>
      <c r="H356" s="35">
        <v>-2.3358977661543457E-3</v>
      </c>
    </row>
    <row r="357" spans="2:8" x14ac:dyDescent="0.35">
      <c r="B357" s="6">
        <v>45442</v>
      </c>
      <c r="C357" s="7" t="s">
        <v>2</v>
      </c>
      <c r="D357" s="35">
        <v>-6.6852329999999996E-4</v>
      </c>
      <c r="E357" s="35">
        <v>-5.3481863999999999E-4</v>
      </c>
      <c r="F357" s="35">
        <v>0.51126782337179932</v>
      </c>
      <c r="G357" s="35">
        <v>0.39776126185882621</v>
      </c>
      <c r="H357" s="35">
        <v>-5.3496170650091954E-4</v>
      </c>
    </row>
    <row r="358" spans="2:8" x14ac:dyDescent="0.35">
      <c r="B358" s="6">
        <v>45443</v>
      </c>
      <c r="C358" s="7" t="s">
        <v>2</v>
      </c>
      <c r="D358" s="35">
        <v>6.5829293000000001E-3</v>
      </c>
      <c r="E358" s="35">
        <v>5.2663434400000006E-3</v>
      </c>
      <c r="F358" s="35">
        <v>0.52121639260642061</v>
      </c>
      <c r="G358" s="35">
        <v>0.40512235271090247</v>
      </c>
      <c r="H358" s="35">
        <v>5.2525247481385751E-3</v>
      </c>
    </row>
    <row r="359" spans="2:8" x14ac:dyDescent="0.35">
      <c r="B359" s="6">
        <v>45446</v>
      </c>
      <c r="C359" s="7" t="s">
        <v>2</v>
      </c>
      <c r="D359" s="35">
        <v>-1.967617E-2</v>
      </c>
      <c r="E359" s="35">
        <v>-1.967617E-2</v>
      </c>
      <c r="F359" s="35">
        <v>0.49128468025870986</v>
      </c>
      <c r="G359" s="35">
        <v>0.37747492642816272</v>
      </c>
      <c r="H359" s="35">
        <v>-1.987232312487755E-2</v>
      </c>
    </row>
    <row r="360" spans="2:8" x14ac:dyDescent="0.35">
      <c r="B360" s="6">
        <v>45447</v>
      </c>
      <c r="C360" s="7" t="s">
        <v>2</v>
      </c>
      <c r="D360" s="35">
        <v>-2.4511425E-2</v>
      </c>
      <c r="E360" s="35">
        <v>-2.4511425E-2</v>
      </c>
      <c r="F360" s="35">
        <v>0.45473116766489952</v>
      </c>
      <c r="G360" s="35">
        <v>0.34371105307963834</v>
      </c>
      <c r="H360" s="35">
        <v>-2.4816830930150059E-2</v>
      </c>
    </row>
    <row r="361" spans="2:8" x14ac:dyDescent="0.35">
      <c r="B361" s="6">
        <v>45448</v>
      </c>
      <c r="C361" s="7" t="s">
        <v>2</v>
      </c>
      <c r="D361" s="35">
        <v>3.0502188000000002E-3</v>
      </c>
      <c r="E361" s="35">
        <v>3.0502188000000002E-3</v>
      </c>
      <c r="F361" s="35">
        <v>0.45916841602145686</v>
      </c>
      <c r="G361" s="35">
        <v>0.34780966579550943</v>
      </c>
      <c r="H361" s="35">
        <v>3.0455763206254935E-3</v>
      </c>
    </row>
    <row r="362" spans="2:8" x14ac:dyDescent="0.35">
      <c r="B362" s="6">
        <v>45449</v>
      </c>
      <c r="C362" s="7" t="s">
        <v>2</v>
      </c>
      <c r="D362" s="35">
        <v>-2.0876315999999999E-2</v>
      </c>
      <c r="E362" s="35">
        <v>-2.0876315999999999E-2</v>
      </c>
      <c r="F362" s="35">
        <v>0.42870635507137345</v>
      </c>
      <c r="G362" s="35">
        <v>0.31967236530450815</v>
      </c>
      <c r="H362" s="35">
        <v>-2.1097307352831562E-2</v>
      </c>
    </row>
    <row r="363" spans="2:8" x14ac:dyDescent="0.35">
      <c r="B363" s="6">
        <v>45450</v>
      </c>
      <c r="C363" s="7" t="s">
        <v>2</v>
      </c>
      <c r="D363" s="35">
        <v>-7.6074506999999998E-3</v>
      </c>
      <c r="E363" s="35">
        <v>-7.6074506999999998E-3</v>
      </c>
      <c r="F363" s="35">
        <v>0.41783754191039124</v>
      </c>
      <c r="G363" s="35">
        <v>0.3096330228453017</v>
      </c>
      <c r="H363" s="35">
        <v>-7.6365349516426513E-3</v>
      </c>
    </row>
    <row r="364" spans="2:8" x14ac:dyDescent="0.35">
      <c r="B364" s="6">
        <v>45453</v>
      </c>
      <c r="C364" s="7" t="s">
        <v>2</v>
      </c>
      <c r="D364" s="35">
        <v>-4.3062354000000004E-3</v>
      </c>
      <c r="E364" s="35">
        <v>-4.3062354000000004E-3</v>
      </c>
      <c r="F364" s="35">
        <v>0.41173199969596785</v>
      </c>
      <c r="G364" s="35">
        <v>0.30399343476131624</v>
      </c>
      <c r="H364" s="35">
        <v>-4.3155339357173047E-3</v>
      </c>
    </row>
    <row r="365" spans="2:8" x14ac:dyDescent="0.35">
      <c r="B365" s="6">
        <v>45454</v>
      </c>
      <c r="C365" s="7" t="s">
        <v>2</v>
      </c>
      <c r="D365" s="35">
        <v>-6.4114784000000001E-4</v>
      </c>
      <c r="E365" s="35">
        <v>-6.4114784000000001E-4</v>
      </c>
      <c r="F365" s="35">
        <v>0.41082687077370394</v>
      </c>
      <c r="G365" s="35">
        <v>0.30315738218724486</v>
      </c>
      <c r="H365" s="35">
        <v>-6.4135346317098962E-4</v>
      </c>
    </row>
    <row r="366" spans="2:8" x14ac:dyDescent="0.35">
      <c r="B366" s="6">
        <v>45455</v>
      </c>
      <c r="C366" s="7" t="s">
        <v>2</v>
      </c>
      <c r="D366" s="35">
        <v>-7.0673823000000002E-3</v>
      </c>
      <c r="E366" s="35">
        <v>-7.0673823000000002E-3</v>
      </c>
      <c r="F366" s="35">
        <v>0.40085601791883341</v>
      </c>
      <c r="G366" s="35">
        <v>0.29394747077026029</v>
      </c>
      <c r="H366" s="35">
        <v>-7.0924745404830642E-3</v>
      </c>
    </row>
    <row r="367" spans="2:8" x14ac:dyDescent="0.35">
      <c r="B367" s="6">
        <v>45456</v>
      </c>
      <c r="C367" s="7" t="s">
        <v>2</v>
      </c>
      <c r="D367" s="35">
        <v>-2.0878020000000001E-3</v>
      </c>
      <c r="E367" s="35">
        <v>-2.0878020000000001E-3</v>
      </c>
      <c r="F367" s="35">
        <v>0.39793130792291032</v>
      </c>
      <c r="G367" s="35">
        <v>0.2912459646528911</v>
      </c>
      <c r="H367" s="35">
        <v>-2.0899844968722933E-3</v>
      </c>
    </row>
    <row r="368" spans="2:8" x14ac:dyDescent="0.35">
      <c r="B368" s="6">
        <v>45457</v>
      </c>
      <c r="C368" s="7" t="s">
        <v>2</v>
      </c>
      <c r="D368" s="35">
        <v>-1.1597332999999999E-3</v>
      </c>
      <c r="E368" s="35">
        <v>-1.1597332999999999E-3</v>
      </c>
      <c r="F368" s="35">
        <v>0.39631008043399962</v>
      </c>
      <c r="G368" s="35">
        <v>0.28974846370919249</v>
      </c>
      <c r="H368" s="35">
        <v>-1.1604063110560712E-3</v>
      </c>
    </row>
    <row r="369" spans="2:8" x14ac:dyDescent="0.35">
      <c r="B369" s="6">
        <v>45460</v>
      </c>
      <c r="C369" s="7" t="s">
        <v>2</v>
      </c>
      <c r="D369" s="35">
        <v>-3.3896662000000001E-2</v>
      </c>
      <c r="E369" s="35">
        <v>-3.3896662000000001E-2</v>
      </c>
      <c r="F369" s="35">
        <v>0.34897982959033547</v>
      </c>
      <c r="G369" s="35">
        <v>0.24603029596982284</v>
      </c>
      <c r="H369" s="35">
        <v>-3.448447533577341E-2</v>
      </c>
    </row>
    <row r="370" spans="2:8" x14ac:dyDescent="0.35">
      <c r="B370" s="6">
        <v>45461</v>
      </c>
      <c r="C370" s="7" t="s">
        <v>2</v>
      </c>
      <c r="D370" s="35">
        <v>-1.9379782000000002E-2</v>
      </c>
      <c r="E370" s="35">
        <v>-1.9379782000000002E-2</v>
      </c>
      <c r="F370" s="35">
        <v>0.32283689457047759</v>
      </c>
      <c r="G370" s="35">
        <v>0.22188250046853208</v>
      </c>
      <c r="H370" s="35">
        <v>-1.9570031988565665E-2</v>
      </c>
    </row>
    <row r="371" spans="2:8" x14ac:dyDescent="0.35">
      <c r="B371" s="6">
        <v>45463</v>
      </c>
      <c r="C371" s="7" t="s">
        <v>2</v>
      </c>
      <c r="D371" s="35">
        <v>1.0433419332078753E-2</v>
      </c>
      <c r="E371" s="35">
        <v>1.0433419332078753E-2</v>
      </c>
      <c r="F371" s="35">
        <v>0.3366386065994762</v>
      </c>
      <c r="G371" s="35">
        <v>0.23463091297044913</v>
      </c>
      <c r="H371" s="35">
        <v>1.0379366855621847E-2</v>
      </c>
    </row>
    <row r="372" spans="2:8" x14ac:dyDescent="0.35">
      <c r="B372" s="6">
        <v>45464</v>
      </c>
      <c r="C372" s="7" t="s">
        <v>2</v>
      </c>
      <c r="D372" s="35">
        <v>-8.4517129999999996E-3</v>
      </c>
      <c r="E372" s="35">
        <v>-8.4517129999999996E-3</v>
      </c>
      <c r="F372" s="35">
        <v>0.32534172071177747</v>
      </c>
      <c r="G372" s="35">
        <v>0.22419616683309496</v>
      </c>
      <c r="H372" s="35">
        <v>-8.4876312499953463E-3</v>
      </c>
    </row>
    <row r="373" spans="2:8" x14ac:dyDescent="0.35">
      <c r="B373" s="6">
        <v>45467</v>
      </c>
      <c r="C373" s="7" t="s">
        <v>2</v>
      </c>
      <c r="D373" s="35">
        <v>-1.23936245E-2</v>
      </c>
      <c r="E373" s="35">
        <v>-1.23936245E-2</v>
      </c>
      <c r="F373" s="35">
        <v>0.30891593309109178</v>
      </c>
      <c r="G373" s="35">
        <v>0.20902393922702611</v>
      </c>
      <c r="H373" s="35">
        <v>-1.2471065983144429E-2</v>
      </c>
    </row>
    <row r="374" spans="2:8" x14ac:dyDescent="0.35">
      <c r="B374" s="6">
        <v>45468</v>
      </c>
      <c r="C374" s="7" t="s">
        <v>2</v>
      </c>
      <c r="D374" s="35">
        <v>-1.5115181E-2</v>
      </c>
      <c r="E374" s="35">
        <v>-1.5115181E-2</v>
      </c>
      <c r="F374" s="35">
        <v>0.28913143184863599</v>
      </c>
      <c r="G374" s="35">
        <v>0.19074932355227658</v>
      </c>
      <c r="H374" s="35">
        <v>-1.5230579672861969E-2</v>
      </c>
    </row>
    <row r="375" spans="2:8" x14ac:dyDescent="0.35">
      <c r="B375" s="6">
        <v>45469</v>
      </c>
      <c r="C375" s="7" t="s">
        <v>2</v>
      </c>
      <c r="D375" s="35">
        <v>3.5448860000000001E-3</v>
      </c>
      <c r="E375" s="35">
        <v>3.5448860000000001E-3</v>
      </c>
      <c r="F375" s="35">
        <v>0.29370125581355611</v>
      </c>
      <c r="G375" s="35">
        <v>0.19497039415884654</v>
      </c>
      <c r="H375" s="35">
        <v>3.5386177008596476E-3</v>
      </c>
    </row>
    <row r="376" spans="2:8" x14ac:dyDescent="0.35">
      <c r="B376" s="6">
        <v>45470</v>
      </c>
      <c r="C376" s="7" t="s">
        <v>2</v>
      </c>
      <c r="D376" s="35">
        <v>1.0862535E-2</v>
      </c>
      <c r="E376" s="35">
        <v>1.0862535E-2</v>
      </c>
      <c r="F376" s="35">
        <v>0.30775413098437476</v>
      </c>
      <c r="G376" s="35">
        <v>0.20795080188936077</v>
      </c>
      <c r="H376" s="35">
        <v>1.0803961456376214E-2</v>
      </c>
    </row>
    <row r="377" spans="2:8" x14ac:dyDescent="0.35">
      <c r="B377" s="6">
        <v>45471</v>
      </c>
      <c r="C377" s="7" t="s">
        <v>2</v>
      </c>
      <c r="D377" s="35">
        <v>5.2252193000000002E-3</v>
      </c>
      <c r="E377" s="35">
        <v>5.2252193000000002E-3</v>
      </c>
      <c r="F377" s="35">
        <v>0.31458743310924908</v>
      </c>
      <c r="G377" s="35">
        <v>0.2142626097328435</v>
      </c>
      <c r="H377" s="35">
        <v>5.2116152106225812E-3</v>
      </c>
    </row>
    <row r="378" spans="2:8" x14ac:dyDescent="0.35">
      <c r="B378" s="6">
        <v>45474</v>
      </c>
      <c r="C378" s="7" t="s">
        <v>2</v>
      </c>
      <c r="D378" s="35">
        <v>1.7387430000000001E-3</v>
      </c>
      <c r="E378" s="35">
        <v>1.7387430000000001E-3</v>
      </c>
      <c r="F378" s="35">
        <v>0.31687316280645583</v>
      </c>
      <c r="G378" s="35">
        <v>0.21637390034567816</v>
      </c>
      <c r="H378" s="35">
        <v>1.7372331363132161E-3</v>
      </c>
    </row>
    <row r="379" spans="2:8" x14ac:dyDescent="0.35">
      <c r="B379" s="6">
        <v>45475</v>
      </c>
      <c r="C379" s="7" t="s">
        <v>2</v>
      </c>
      <c r="D379" s="35">
        <v>-9.4064319999999993E-3</v>
      </c>
      <c r="E379" s="35">
        <v>-9.4064319999999993E-3</v>
      </c>
      <c r="F379" s="35">
        <v>0.30448608494789187</v>
      </c>
      <c r="G379" s="35">
        <v>0.20493216196550179</v>
      </c>
      <c r="H379" s="35">
        <v>-9.4509518836041178E-3</v>
      </c>
    </row>
    <row r="380" spans="2:8" x14ac:dyDescent="0.35">
      <c r="B380" s="6">
        <v>45476</v>
      </c>
      <c r="C380" s="7" t="s">
        <v>2</v>
      </c>
      <c r="D380" s="35">
        <v>2.0103377999999999E-3</v>
      </c>
      <c r="E380" s="35">
        <v>2.0103377999999999E-3</v>
      </c>
      <c r="F380" s="35">
        <v>0.30710854263403675</v>
      </c>
      <c r="G380" s="35">
        <v>0.20735448263713674</v>
      </c>
      <c r="H380" s="35">
        <v>2.0083197751201705E-3</v>
      </c>
    </row>
    <row r="381" spans="2:8" x14ac:dyDescent="0.35">
      <c r="B381" s="6">
        <v>45478</v>
      </c>
      <c r="C381" s="7" t="s">
        <v>2</v>
      </c>
      <c r="D381" s="35">
        <v>-2.3068041548549578E-3</v>
      </c>
      <c r="E381" s="35">
        <v>-2.3068041548549578E-3</v>
      </c>
      <c r="F381" s="35">
        <v>0.3040932992170422</v>
      </c>
      <c r="G381" s="35">
        <v>0.20456935230020656</v>
      </c>
      <c r="H381" s="35">
        <v>-2.3094689264188872E-3</v>
      </c>
    </row>
    <row r="382" spans="2:8" x14ac:dyDescent="0.35">
      <c r="B382" s="6">
        <v>45481</v>
      </c>
      <c r="C382" s="7" t="s">
        <v>2</v>
      </c>
      <c r="D382" s="35">
        <v>-5.2608189999999999E-3</v>
      </c>
      <c r="E382" s="35">
        <v>-5.2608189999999999E-3</v>
      </c>
      <c r="F382" s="35">
        <v>0.29723270041074845</v>
      </c>
      <c r="G382" s="35">
        <v>0.19823233096480797</v>
      </c>
      <c r="H382" s="35">
        <v>-5.2747058337666974E-3</v>
      </c>
    </row>
    <row r="383" spans="2:8" x14ac:dyDescent="0.35">
      <c r="B383" s="6">
        <v>45482</v>
      </c>
      <c r="C383" s="7" t="s">
        <v>2</v>
      </c>
      <c r="D383" s="35">
        <v>-8.2507770000000008E-3</v>
      </c>
      <c r="E383" s="35">
        <v>-8.2507770000000008E-3</v>
      </c>
      <c r="F383" s="35">
        <v>0.2865295226825515</v>
      </c>
      <c r="G383" s="35">
        <v>0.18834598320782714</v>
      </c>
      <c r="H383" s="35">
        <v>-8.2850030515789156E-3</v>
      </c>
    </row>
    <row r="384" spans="2:8" x14ac:dyDescent="0.35">
      <c r="B384" s="6">
        <v>45483</v>
      </c>
      <c r="C384" s="7" t="s">
        <v>2</v>
      </c>
      <c r="D384" s="35">
        <v>4.7778435999999997E-3</v>
      </c>
      <c r="E384" s="35">
        <v>4.7778435999999997E-3</v>
      </c>
      <c r="F384" s="35">
        <v>0.29267635952871163</v>
      </c>
      <c r="G384" s="35">
        <v>0.19402371445828259</v>
      </c>
      <c r="H384" s="35">
        <v>4.7664659313553324E-3</v>
      </c>
    </row>
    <row r="385" spans="2:8" x14ac:dyDescent="0.35">
      <c r="B385" s="6">
        <v>45484</v>
      </c>
      <c r="C385" s="7" t="s">
        <v>2</v>
      </c>
      <c r="D385" s="35">
        <v>-1.1484641999999999E-3</v>
      </c>
      <c r="E385" s="35">
        <v>-1.1484641999999999E-3</v>
      </c>
      <c r="F385" s="35">
        <v>0.29119176700760652</v>
      </c>
      <c r="G385" s="35">
        <v>0.19265242096827628</v>
      </c>
      <c r="H385" s="35">
        <v>-1.1491241903746428E-3</v>
      </c>
    </row>
    <row r="386" spans="2:8" x14ac:dyDescent="0.35">
      <c r="B386" s="6">
        <v>45485</v>
      </c>
      <c r="C386" s="7" t="s">
        <v>2</v>
      </c>
      <c r="D386" s="35">
        <v>-6.7289267000000003E-3</v>
      </c>
      <c r="E386" s="35">
        <v>-6.7289267000000003E-3</v>
      </c>
      <c r="F386" s="35">
        <v>0.28250343225176877</v>
      </c>
      <c r="G386" s="35">
        <v>0.18462715024900311</v>
      </c>
      <c r="H386" s="35">
        <v>-6.7516680010434472E-3</v>
      </c>
    </row>
    <row r="387" spans="2:8" x14ac:dyDescent="0.35">
      <c r="B387" s="6">
        <v>45488</v>
      </c>
      <c r="C387" s="7" t="s">
        <v>2</v>
      </c>
      <c r="D387" s="35">
        <v>3.1554439999999999E-3</v>
      </c>
      <c r="E387" s="35">
        <v>3.1554439999999999E-3</v>
      </c>
      <c r="F387" s="35">
        <v>0.28655030001204684</v>
      </c>
      <c r="G387" s="35">
        <v>0.18836517488249327</v>
      </c>
      <c r="H387" s="35">
        <v>3.1504760345956303E-3</v>
      </c>
    </row>
    <row r="388" spans="2:8" x14ac:dyDescent="0.35">
      <c r="B388" s="6">
        <v>45489</v>
      </c>
      <c r="C388" s="7" t="s">
        <v>2</v>
      </c>
      <c r="D388" s="35">
        <v>6.687236E-3</v>
      </c>
      <c r="E388" s="35">
        <v>6.687236E-3</v>
      </c>
      <c r="F388" s="35">
        <v>0.29515376549409833</v>
      </c>
      <c r="G388" s="35">
        <v>0.19631205326111378</v>
      </c>
      <c r="H388" s="35">
        <v>6.6649756224982544E-3</v>
      </c>
    </row>
    <row r="389" spans="2:8" x14ac:dyDescent="0.35">
      <c r="B389" s="6">
        <v>45490</v>
      </c>
      <c r="C389" s="7" t="s">
        <v>2</v>
      </c>
      <c r="D389" s="35">
        <v>-1.4326126E-2</v>
      </c>
      <c r="E389" s="35">
        <v>-1.4326126E-2</v>
      </c>
      <c r="F389" s="35">
        <v>0.27659922946025528</v>
      </c>
      <c r="G389" s="35">
        <v>0.17917353605077624</v>
      </c>
      <c r="H389" s="35">
        <v>-1.4429735683820022E-2</v>
      </c>
    </row>
    <row r="390" spans="2:8" x14ac:dyDescent="0.35">
      <c r="B390" s="6">
        <v>45491</v>
      </c>
      <c r="C390" s="7" t="s">
        <v>2</v>
      </c>
      <c r="D390" s="35">
        <v>-1.8610173000000001E-3</v>
      </c>
      <c r="E390" s="35">
        <v>-1.8610173000000001E-3</v>
      </c>
      <c r="F390" s="35">
        <v>0.27422345620906308</v>
      </c>
      <c r="G390" s="35">
        <v>0.17697907370048349</v>
      </c>
      <c r="H390" s="35">
        <v>-1.8627511441720466E-3</v>
      </c>
    </row>
    <row r="391" spans="2:8" x14ac:dyDescent="0.35">
      <c r="B391" s="6">
        <v>45492</v>
      </c>
      <c r="C391" s="7" t="s">
        <v>2</v>
      </c>
      <c r="D391" s="35">
        <v>1.0145276999999999E-2</v>
      </c>
      <c r="E391" s="35">
        <v>1.0145276999999999E-2</v>
      </c>
      <c r="F391" s="35">
        <v>0.28715080613220123</v>
      </c>
      <c r="G391" s="35">
        <v>0.18891985242637821</v>
      </c>
      <c r="H391" s="35">
        <v>1.0094159123247827E-2</v>
      </c>
    </row>
    <row r="392" spans="2:8" x14ac:dyDescent="0.35">
      <c r="B392" s="6">
        <v>45495</v>
      </c>
      <c r="C392" s="7" t="s">
        <v>2</v>
      </c>
      <c r="D392" s="35">
        <v>6.5839145999999999E-3</v>
      </c>
      <c r="E392" s="35">
        <v>6.5839145999999999E-3</v>
      </c>
      <c r="F392" s="35">
        <v>0.29562529711709673</v>
      </c>
      <c r="G392" s="35">
        <v>0.19674759920099794</v>
      </c>
      <c r="H392" s="35">
        <v>6.5623352999961918E-3</v>
      </c>
    </row>
    <row r="393" spans="2:8" x14ac:dyDescent="0.35">
      <c r="B393" s="6">
        <v>45496</v>
      </c>
      <c r="C393" s="7" t="s">
        <v>2</v>
      </c>
      <c r="D393" s="35">
        <v>7.4225000000000003E-3</v>
      </c>
      <c r="E393" s="35">
        <v>7.4225000000000003E-3</v>
      </c>
      <c r="F393" s="35">
        <v>0.30524207588494856</v>
      </c>
      <c r="G393" s="35">
        <v>0.20563045825606752</v>
      </c>
      <c r="H393" s="35">
        <v>7.3950888030464143E-3</v>
      </c>
    </row>
    <row r="394" spans="2:8" x14ac:dyDescent="0.35">
      <c r="B394" s="6">
        <v>45497</v>
      </c>
      <c r="C394" s="7" t="s">
        <v>2</v>
      </c>
      <c r="D394" s="35">
        <v>9.9051609999999991E-3</v>
      </c>
      <c r="E394" s="35">
        <v>9.9051609999999991E-3</v>
      </c>
      <c r="F394" s="35">
        <v>0.31817070879056319</v>
      </c>
      <c r="G394" s="35">
        <v>0.21757242205159777</v>
      </c>
      <c r="H394" s="35">
        <v>9.8564264442871346E-3</v>
      </c>
    </row>
    <row r="395" spans="2:8" x14ac:dyDescent="0.35">
      <c r="B395" s="6">
        <v>45498</v>
      </c>
      <c r="C395" s="7" t="s">
        <v>2</v>
      </c>
      <c r="D395" s="35">
        <v>9.7087379999999997E-3</v>
      </c>
      <c r="E395" s="35">
        <v>9.7087379999999997E-3</v>
      </c>
      <c r="F395" s="35">
        <v>0.33096848284148517</v>
      </c>
      <c r="G395" s="35">
        <v>0.22939351369332228</v>
      </c>
      <c r="H395" s="35">
        <v>9.6619110463523269E-3</v>
      </c>
    </row>
    <row r="396" spans="2:8" x14ac:dyDescent="0.35">
      <c r="B396" s="6">
        <v>45499</v>
      </c>
      <c r="C396" s="7" t="s">
        <v>2</v>
      </c>
      <c r="D396" s="35">
        <v>-4.3965656999999997E-3</v>
      </c>
      <c r="E396" s="35">
        <v>-4.3965656999999997E-3</v>
      </c>
      <c r="F396" s="35">
        <v>0.32511679246204328</v>
      </c>
      <c r="G396" s="35">
        <v>0.22398840433921574</v>
      </c>
      <c r="H396" s="35">
        <v>-4.4062590169476811E-3</v>
      </c>
    </row>
    <row r="397" spans="2:8" x14ac:dyDescent="0.35">
      <c r="B397" s="6">
        <v>45502</v>
      </c>
      <c r="C397" s="7" t="s">
        <v>2</v>
      </c>
      <c r="D397" s="35">
        <v>-5.7837562999999998E-3</v>
      </c>
      <c r="E397" s="35">
        <v>-5.7837562999999998E-3</v>
      </c>
      <c r="F397" s="35">
        <v>0.31745263986540517</v>
      </c>
      <c r="G397" s="35">
        <v>0.21690915369449182</v>
      </c>
      <c r="H397" s="35">
        <v>-5.8005469919502131E-3</v>
      </c>
    </row>
    <row r="398" spans="2:8" x14ac:dyDescent="0.35">
      <c r="B398" s="6">
        <v>45503</v>
      </c>
      <c r="C398" s="7" t="s">
        <v>2</v>
      </c>
      <c r="D398" s="35">
        <v>-9.0271499999999994E-3</v>
      </c>
      <c r="E398" s="35">
        <v>-9.0271499999999994E-3</v>
      </c>
      <c r="F398" s="35">
        <v>0.3055597972674442</v>
      </c>
      <c r="G398" s="35">
        <v>0.20592393222771865</v>
      </c>
      <c r="H398" s="35">
        <v>-9.0681415965639996E-3</v>
      </c>
    </row>
    <row r="399" spans="2:8" x14ac:dyDescent="0.35">
      <c r="B399" s="6">
        <v>45504</v>
      </c>
      <c r="C399" s="7" t="s">
        <v>2</v>
      </c>
      <c r="D399" s="35">
        <v>8.6092559999999992E-3</v>
      </c>
      <c r="E399" s="35">
        <v>8.6092559999999992E-3</v>
      </c>
      <c r="F399" s="35">
        <v>0.31679969578542777</v>
      </c>
      <c r="G399" s="35">
        <v>0.21630604007679377</v>
      </c>
      <c r="H399" s="35">
        <v>8.5724076955153369E-3</v>
      </c>
    </row>
    <row r="400" spans="2:8" x14ac:dyDescent="0.35">
      <c r="B400" s="6">
        <v>45505</v>
      </c>
      <c r="C400" s="7" t="s">
        <v>2</v>
      </c>
      <c r="D400" s="35">
        <v>7.471447E-3</v>
      </c>
      <c r="E400" s="35">
        <v>7.471447E-3</v>
      </c>
      <c r="F400" s="35">
        <v>0.3266380949221046</v>
      </c>
      <c r="G400" s="35">
        <v>0.22539360619100735</v>
      </c>
      <c r="H400" s="35">
        <v>7.4436739904527351E-3</v>
      </c>
    </row>
    <row r="401" spans="2:8" x14ac:dyDescent="0.35">
      <c r="B401" s="6">
        <v>45506</v>
      </c>
      <c r="C401" s="7" t="s">
        <v>2</v>
      </c>
      <c r="D401" s="35">
        <v>1.436452E-2</v>
      </c>
      <c r="E401" s="35">
        <v>1.436452E-2</v>
      </c>
      <c r="F401" s="35">
        <v>0.3456946143693751</v>
      </c>
      <c r="G401" s="35">
        <v>0.24299579715501007</v>
      </c>
      <c r="H401" s="35">
        <v>1.4262327748443944E-2</v>
      </c>
    </row>
    <row r="402" spans="2:8" x14ac:dyDescent="0.35">
      <c r="B402" s="6">
        <v>45509</v>
      </c>
      <c r="C402" s="7" t="s">
        <v>2</v>
      </c>
      <c r="D402" s="35">
        <v>7.3520266000000004E-3</v>
      </c>
      <c r="E402" s="35">
        <v>7.3520266000000004E-3</v>
      </c>
      <c r="F402" s="35">
        <v>0.35558819696969546</v>
      </c>
      <c r="G402" s="35">
        <v>0.2521343353193819</v>
      </c>
      <c r="H402" s="35">
        <v>7.325132190930843E-3</v>
      </c>
    </row>
    <row r="403" spans="2:8" x14ac:dyDescent="0.35">
      <c r="B403" s="6">
        <v>45510</v>
      </c>
      <c r="C403" s="7" t="s">
        <v>2</v>
      </c>
      <c r="D403" s="35">
        <v>-2.6678015999999999E-2</v>
      </c>
      <c r="E403" s="35">
        <v>-2.6678015999999999E-2</v>
      </c>
      <c r="F403" s="35">
        <v>0.31942379336152671</v>
      </c>
      <c r="G403" s="35">
        <v>0.21872987548758216</v>
      </c>
      <c r="H403" s="35">
        <v>-2.7040332729873408E-2</v>
      </c>
    </row>
    <row r="404" spans="2:8" x14ac:dyDescent="0.35">
      <c r="B404" s="6">
        <v>45511</v>
      </c>
      <c r="C404" s="7" t="s">
        <v>2</v>
      </c>
      <c r="D404" s="35">
        <v>-7.4351189999999996E-3</v>
      </c>
      <c r="E404" s="35">
        <v>-7.4351189999999996E-3</v>
      </c>
      <c r="F404" s="35">
        <v>0.30961372044645219</v>
      </c>
      <c r="G404" s="35">
        <v>0.20966847383447673</v>
      </c>
      <c r="H404" s="35">
        <v>-7.4628972727661712E-3</v>
      </c>
    </row>
    <row r="405" spans="2:8" x14ac:dyDescent="0.35">
      <c r="B405" s="6">
        <v>45512</v>
      </c>
      <c r="C405" s="7" t="s">
        <v>2</v>
      </c>
      <c r="D405" s="35">
        <v>-7.2805939999999996E-3</v>
      </c>
      <c r="E405" s="35">
        <v>-7.2805939999999996E-3</v>
      </c>
      <c r="F405" s="35">
        <v>0.30007895465105205</v>
      </c>
      <c r="G405" s="35">
        <v>0.20086136880188832</v>
      </c>
      <c r="H405" s="35">
        <v>-7.3072268719838471E-3</v>
      </c>
    </row>
    <row r="406" spans="2:8" x14ac:dyDescent="0.35">
      <c r="B406" s="6">
        <v>45513</v>
      </c>
      <c r="C406" s="7" t="s">
        <v>2</v>
      </c>
      <c r="D406" s="35">
        <v>-2.4937714999999999E-2</v>
      </c>
      <c r="E406" s="35">
        <v>-2.4937714999999999E-2</v>
      </c>
      <c r="F406" s="35">
        <v>0.26765795620246613</v>
      </c>
      <c r="G406" s="35">
        <v>0.17091463023219688</v>
      </c>
      <c r="H406" s="35">
        <v>-2.5253927973379137E-2</v>
      </c>
    </row>
    <row r="407" spans="2:8" x14ac:dyDescent="0.35">
      <c r="B407" s="6">
        <v>45516</v>
      </c>
      <c r="C407" s="7" t="s">
        <v>2</v>
      </c>
      <c r="D407" s="35">
        <v>2.0808517000000001E-3</v>
      </c>
      <c r="E407" s="35">
        <v>2.0808517000000001E-3</v>
      </c>
      <c r="F407" s="35">
        <v>0.27029576441564851</v>
      </c>
      <c r="G407" s="35">
        <v>0.17335112993107038</v>
      </c>
      <c r="H407" s="35">
        <v>2.0786897267455681E-3</v>
      </c>
    </row>
    <row r="408" spans="2:8" x14ac:dyDescent="0.35">
      <c r="B408" s="6">
        <v>45517</v>
      </c>
      <c r="C408" s="7" t="s">
        <v>2</v>
      </c>
      <c r="D408" s="35">
        <v>-4.6005270000000001E-3</v>
      </c>
      <c r="E408" s="35">
        <v>-4.6005270000000001E-3</v>
      </c>
      <c r="F408" s="35">
        <v>0.2644517344534687</v>
      </c>
      <c r="G408" s="35">
        <v>0.1679530963773419</v>
      </c>
      <c r="H408" s="35">
        <v>-4.6111419932262695E-3</v>
      </c>
    </row>
    <row r="409" spans="2:8" x14ac:dyDescent="0.35">
      <c r="B409" s="6">
        <v>45518</v>
      </c>
      <c r="C409" s="7" t="s">
        <v>2</v>
      </c>
      <c r="D409" s="35">
        <v>6.6326166999999998E-3</v>
      </c>
      <c r="E409" s="35">
        <v>6.6326166999999998E-3</v>
      </c>
      <c r="F409" s="35">
        <v>0.27283835814374857</v>
      </c>
      <c r="G409" s="35">
        <v>0.17569968158919091</v>
      </c>
      <c r="H409" s="35">
        <v>6.610717676409539E-3</v>
      </c>
    </row>
    <row r="410" spans="2:8" x14ac:dyDescent="0.35">
      <c r="B410" s="6">
        <v>45519</v>
      </c>
      <c r="C410" s="7" t="s">
        <v>2</v>
      </c>
      <c r="D410" s="35">
        <v>1.6291357999999999E-3</v>
      </c>
      <c r="E410" s="35">
        <v>1.6291357999999999E-3</v>
      </c>
      <c r="F410" s="35">
        <v>0.27491198468061384</v>
      </c>
      <c r="G410" s="35">
        <v>0.17761505603051653</v>
      </c>
      <c r="H410" s="35">
        <v>1.6278101978013035E-3</v>
      </c>
    </row>
    <row r="411" spans="2:8" x14ac:dyDescent="0.35">
      <c r="B411" s="6">
        <v>45520</v>
      </c>
      <c r="C411" s="7" t="s">
        <v>2</v>
      </c>
      <c r="D411" s="35">
        <v>2.2368673000000001E-3</v>
      </c>
      <c r="E411" s="35">
        <v>2.2368673000000001E-3</v>
      </c>
      <c r="F411" s="35">
        <v>0.27776379360952386</v>
      </c>
      <c r="G411" s="35">
        <v>0.18024922464133875</v>
      </c>
      <c r="H411" s="35">
        <v>2.2343692368712825E-3</v>
      </c>
    </row>
    <row r="412" spans="2:8" x14ac:dyDescent="0.35">
      <c r="B412" s="6">
        <v>45523</v>
      </c>
      <c r="C412" s="7" t="s">
        <v>2</v>
      </c>
      <c r="D412" s="35">
        <v>1.1292616E-2</v>
      </c>
      <c r="E412" s="35">
        <v>1.1292616E-2</v>
      </c>
      <c r="F412" s="35">
        <v>0.29219308946945954</v>
      </c>
      <c r="G412" s="35">
        <v>0.19357732591951105</v>
      </c>
      <c r="H412" s="35">
        <v>1.1229330406203971E-2</v>
      </c>
    </row>
    <row r="413" spans="2:8" x14ac:dyDescent="0.35">
      <c r="B413" s="6">
        <v>45524</v>
      </c>
      <c r="C413" s="7" t="s">
        <v>2</v>
      </c>
      <c r="D413" s="35">
        <v>4.710321E-3</v>
      </c>
      <c r="E413" s="35">
        <v>4.710321E-3</v>
      </c>
      <c r="F413" s="35">
        <v>0.2982797337148424</v>
      </c>
      <c r="G413" s="35">
        <v>0.19919945826291352</v>
      </c>
      <c r="H413" s="35">
        <v>4.6992621515917861E-3</v>
      </c>
    </row>
    <row r="414" spans="2:8" x14ac:dyDescent="0.35">
      <c r="B414" s="6">
        <v>45525</v>
      </c>
      <c r="C414" s="7" t="s">
        <v>2</v>
      </c>
      <c r="D414" s="35">
        <v>4.5087705000000002E-3</v>
      </c>
      <c r="E414" s="35">
        <v>4.5087705000000002E-3</v>
      </c>
      <c r="F414" s="35">
        <v>0.30413337907896376</v>
      </c>
      <c r="G414" s="35">
        <v>0.20460637340394539</v>
      </c>
      <c r="H414" s="35">
        <v>4.4986364442922387E-3</v>
      </c>
    </row>
    <row r="415" spans="2:8" x14ac:dyDescent="0.35">
      <c r="B415" s="6">
        <v>45526</v>
      </c>
      <c r="C415" s="7" t="s">
        <v>2</v>
      </c>
      <c r="D415" s="35">
        <v>8.5863900000000002E-4</v>
      </c>
      <c r="E415" s="35">
        <v>8.5863900000000002E-4</v>
      </c>
      <c r="F415" s="35">
        <v>0.30525315885944271</v>
      </c>
      <c r="G415" s="35">
        <v>0.20564069541579855</v>
      </c>
      <c r="H415" s="35">
        <v>8.5827058041175745E-4</v>
      </c>
    </row>
    <row r="416" spans="2:8" x14ac:dyDescent="0.35">
      <c r="B416" s="6">
        <v>45527</v>
      </c>
      <c r="C416" s="7" t="s">
        <v>2</v>
      </c>
      <c r="D416" s="35">
        <v>3.7357113000000002E-3</v>
      </c>
      <c r="E416" s="35">
        <v>3.7357113000000002E-3</v>
      </c>
      <c r="F416" s="35">
        <v>0.31012920783435471</v>
      </c>
      <c r="G416" s="35">
        <v>0.21014462098540321</v>
      </c>
      <c r="H416" s="35">
        <v>3.728750859952184E-3</v>
      </c>
    </row>
    <row r="417" spans="2:8" x14ac:dyDescent="0.35">
      <c r="B417" s="6">
        <v>45530</v>
      </c>
      <c r="C417" s="7" t="s">
        <v>2</v>
      </c>
      <c r="D417" s="35">
        <v>9.5247490000000008E-3</v>
      </c>
      <c r="E417" s="35">
        <v>9.5247490000000008E-3</v>
      </c>
      <c r="F417" s="35">
        <v>0.32260785969654582</v>
      </c>
      <c r="G417" s="35">
        <v>0.22167094475398952</v>
      </c>
      <c r="H417" s="35">
        <v>9.479674567318408E-3</v>
      </c>
    </row>
    <row r="418" spans="2:8" x14ac:dyDescent="0.35">
      <c r="B418" s="6">
        <v>45531</v>
      </c>
      <c r="C418" s="7" t="s">
        <v>2</v>
      </c>
      <c r="D418" s="35">
        <v>6.0592038000000003E-3</v>
      </c>
      <c r="E418" s="35">
        <v>6.0592038000000003E-3</v>
      </c>
      <c r="F418" s="35">
        <v>0.33062181026592907</v>
      </c>
      <c r="G418" s="35">
        <v>0.22907329798479248</v>
      </c>
      <c r="H418" s="35">
        <v>6.0409206417382753E-3</v>
      </c>
    </row>
    <row r="419" spans="2:8" x14ac:dyDescent="0.35">
      <c r="B419" s="6">
        <v>45532</v>
      </c>
      <c r="C419" s="7" t="s">
        <v>2</v>
      </c>
      <c r="D419" s="35">
        <v>4.7590067E-5</v>
      </c>
      <c r="E419" s="35">
        <v>4.7590067E-5</v>
      </c>
      <c r="F419" s="35">
        <v>0.33068513464703142</v>
      </c>
      <c r="G419" s="35">
        <v>0.22913178966539149</v>
      </c>
      <c r="H419" s="35">
        <v>4.7588934628746154E-5</v>
      </c>
    </row>
    <row r="420" spans="2:8" x14ac:dyDescent="0.35">
      <c r="B420" s="6">
        <v>45533</v>
      </c>
      <c r="C420" s="7" t="s">
        <v>2</v>
      </c>
      <c r="D420" s="35">
        <v>4.407869E-3</v>
      </c>
      <c r="E420" s="35">
        <v>4.407869E-3</v>
      </c>
      <c r="F420" s="35">
        <v>0.33655062040080286</v>
      </c>
      <c r="G420" s="35">
        <v>0.2345496415779722</v>
      </c>
      <c r="H420" s="35">
        <v>4.3981827986796116E-3</v>
      </c>
    </row>
    <row r="421" spans="2:8" x14ac:dyDescent="0.35">
      <c r="B421" s="6">
        <v>45534</v>
      </c>
      <c r="C421" s="7" t="s">
        <v>2</v>
      </c>
      <c r="D421" s="35">
        <v>1.1355400999999999E-2</v>
      </c>
      <c r="E421" s="35">
        <v>1.1355400999999999E-2</v>
      </c>
      <c r="F421" s="35">
        <v>0.3517276886522529</v>
      </c>
      <c r="G421" s="35">
        <v>0.24856844781249654</v>
      </c>
      <c r="H421" s="35">
        <v>1.1291412389319758E-2</v>
      </c>
    </row>
    <row r="422" spans="2:8" x14ac:dyDescent="0.35">
      <c r="B422" s="6">
        <v>45538</v>
      </c>
      <c r="C422" s="7" t="s">
        <v>2</v>
      </c>
      <c r="D422" s="35">
        <v>-3.401280966947251E-3</v>
      </c>
      <c r="E422" s="35">
        <v>-3.401280966947251E-3</v>
      </c>
      <c r="F422" s="35">
        <v>0.34713008299234449</v>
      </c>
      <c r="G422" s="35">
        <v>0.24432171571502104</v>
      </c>
      <c r="H422" s="35">
        <v>-3.4070784727522774E-3</v>
      </c>
    </row>
    <row r="423" spans="2:8" x14ac:dyDescent="0.35">
      <c r="B423" s="6">
        <v>45539</v>
      </c>
      <c r="C423" s="7" t="s">
        <v>2</v>
      </c>
      <c r="D423" s="35">
        <v>4.4574740000000003E-3</v>
      </c>
      <c r="E423" s="35">
        <v>4.4574740000000003E-3</v>
      </c>
      <c r="F423" s="35">
        <v>0.35313488031190077</v>
      </c>
      <c r="G423" s="35">
        <v>0.24986824741045632</v>
      </c>
      <c r="H423" s="35">
        <v>4.4475688863862837E-3</v>
      </c>
    </row>
    <row r="424" spans="2:8" x14ac:dyDescent="0.35">
      <c r="B424" s="6">
        <v>45540</v>
      </c>
      <c r="C424" s="7" t="s">
        <v>2</v>
      </c>
      <c r="D424" s="35">
        <v>-9.7089759999999994E-3</v>
      </c>
      <c r="E424" s="35">
        <v>-9.7089759999999994E-3</v>
      </c>
      <c r="F424" s="35">
        <v>0.33999732623418977</v>
      </c>
      <c r="G424" s="35">
        <v>0.23773330659318614</v>
      </c>
      <c r="H424" s="35">
        <v>-9.7564154159818176E-3</v>
      </c>
    </row>
    <row r="425" spans="2:8" x14ac:dyDescent="0.35">
      <c r="B425" s="6">
        <v>45541</v>
      </c>
      <c r="C425" s="7" t="s">
        <v>2</v>
      </c>
      <c r="D425" s="35">
        <v>1.2262821E-3</v>
      </c>
      <c r="E425" s="35">
        <v>1.2262821E-3</v>
      </c>
      <c r="F425" s="35">
        <v>0.34164054096939855</v>
      </c>
      <c r="G425" s="35">
        <v>0.23925111679163513</v>
      </c>
      <c r="H425" s="35">
        <v>1.2255308302219841E-3</v>
      </c>
    </row>
    <row r="426" spans="2:8" x14ac:dyDescent="0.35">
      <c r="B426" s="6">
        <v>45544</v>
      </c>
      <c r="C426" s="7" t="s">
        <v>2</v>
      </c>
      <c r="D426" s="35">
        <v>-3.6902371999999999E-3</v>
      </c>
      <c r="E426" s="35">
        <v>-3.6902371999999999E-3</v>
      </c>
      <c r="F426" s="35">
        <v>0.33668956913608517</v>
      </c>
      <c r="G426" s="35">
        <v>0.23467798622030922</v>
      </c>
      <c r="H426" s="35">
        <v>-3.6970629228277783E-3</v>
      </c>
    </row>
    <row r="427" spans="2:8" x14ac:dyDescent="0.35">
      <c r="B427" s="6">
        <v>45545</v>
      </c>
      <c r="C427" s="7" t="s">
        <v>2</v>
      </c>
      <c r="D427" s="35">
        <v>-1.1999233E-2</v>
      </c>
      <c r="E427" s="35">
        <v>-1.1999233E-2</v>
      </c>
      <c r="F427" s="35">
        <v>0.32065031954735157</v>
      </c>
      <c r="G427" s="35">
        <v>0.21986279738368086</v>
      </c>
      <c r="H427" s="35">
        <v>-1.207180491878115E-2</v>
      </c>
    </row>
    <row r="428" spans="2:8" x14ac:dyDescent="0.35">
      <c r="B428" s="6">
        <v>45546</v>
      </c>
      <c r="C428" s="7" t="s">
        <v>2</v>
      </c>
      <c r="D428" s="35">
        <v>2.6886058E-3</v>
      </c>
      <c r="E428" s="35">
        <v>2.6886058E-3</v>
      </c>
      <c r="F428" s="35">
        <v>0.32420102765625836</v>
      </c>
      <c r="G428" s="35">
        <v>0.22314252757593089</v>
      </c>
      <c r="H428" s="35">
        <v>2.6849979646772588E-3</v>
      </c>
    </row>
    <row r="429" spans="2:8" x14ac:dyDescent="0.35">
      <c r="B429" s="6">
        <v>45547</v>
      </c>
      <c r="C429" s="7" t="s">
        <v>2</v>
      </c>
      <c r="D429" s="35">
        <v>1.5530786E-2</v>
      </c>
      <c r="E429" s="35">
        <v>1.5530786E-2</v>
      </c>
      <c r="F429" s="35">
        <v>0.34476691043776775</v>
      </c>
      <c r="G429" s="35">
        <v>0.24213889241921183</v>
      </c>
      <c r="H429" s="35">
        <v>1.5411417679221787E-2</v>
      </c>
    </row>
    <row r="430" spans="2:8" x14ac:dyDescent="0.35">
      <c r="B430" s="6">
        <v>45548</v>
      </c>
      <c r="C430" s="7" t="s">
        <v>2</v>
      </c>
      <c r="D430" s="35">
        <v>1.7861484E-2</v>
      </c>
      <c r="E430" s="35">
        <v>1.7861484E-2</v>
      </c>
      <c r="F430" s="35">
        <v>0.36878644309228137</v>
      </c>
      <c r="G430" s="35">
        <v>0.26432533637193534</v>
      </c>
      <c r="H430" s="35">
        <v>1.770384207276203E-2</v>
      </c>
    </row>
    <row r="431" spans="2:8" x14ac:dyDescent="0.35">
      <c r="B431" s="6">
        <v>45551</v>
      </c>
      <c r="C431" s="7" t="s">
        <v>2</v>
      </c>
      <c r="D431" s="35">
        <v>-1.7900068000000002E-2</v>
      </c>
      <c r="E431" s="35">
        <v>-1.7900068000000002E-2</v>
      </c>
      <c r="F431" s="35">
        <v>0.34428507268345143</v>
      </c>
      <c r="G431" s="35">
        <v>0.24169382687675478</v>
      </c>
      <c r="H431" s="35">
        <v>-1.806221205779587E-2</v>
      </c>
    </row>
    <row r="432" spans="2:8" x14ac:dyDescent="0.35">
      <c r="B432" s="6">
        <v>45552</v>
      </c>
      <c r="C432" s="7" t="s">
        <v>2</v>
      </c>
      <c r="D432" s="35">
        <v>-2.0091779999999999E-3</v>
      </c>
      <c r="E432" s="35">
        <v>-2.0091779999999999E-3</v>
      </c>
      <c r="F432" s="35">
        <v>0.34158416468968733</v>
      </c>
      <c r="G432" s="35">
        <v>0.23919904295705829</v>
      </c>
      <c r="H432" s="35">
        <v>-2.0111991057457281E-3</v>
      </c>
    </row>
    <row r="433" spans="2:8" x14ac:dyDescent="0.35">
      <c r="B433" s="6">
        <v>45553</v>
      </c>
      <c r="C433" s="7" t="s">
        <v>2</v>
      </c>
      <c r="D433" s="35">
        <v>4.7895326000000002E-3</v>
      </c>
      <c r="E433" s="35">
        <v>4.7895326000000002E-3</v>
      </c>
      <c r="F433" s="35">
        <v>0.34800972578211242</v>
      </c>
      <c r="G433" s="35">
        <v>0.24513422717119004</v>
      </c>
      <c r="H433" s="35">
        <v>4.7780992810389456E-3</v>
      </c>
    </row>
    <row r="434" spans="2:8" x14ac:dyDescent="0.35">
      <c r="B434" s="6">
        <v>45554</v>
      </c>
      <c r="C434" s="7" t="s">
        <v>2</v>
      </c>
      <c r="D434" s="35">
        <v>3.0165272E-2</v>
      </c>
      <c r="E434" s="35">
        <v>3.0165272E-2</v>
      </c>
      <c r="F434" s="35">
        <v>0.38867280581897545</v>
      </c>
      <c r="G434" s="35">
        <v>0.28269403981031882</v>
      </c>
      <c r="H434" s="35">
        <v>2.9719247621923208E-2</v>
      </c>
    </row>
    <row r="435" spans="2:8" x14ac:dyDescent="0.35">
      <c r="B435" s="6">
        <v>45555</v>
      </c>
      <c r="C435" s="7" t="s">
        <v>2</v>
      </c>
      <c r="D435" s="35">
        <v>1.1605038000000001E-3</v>
      </c>
      <c r="E435" s="35">
        <v>1.1605038000000001E-3</v>
      </c>
      <c r="F435" s="35">
        <v>0.39028436588708493</v>
      </c>
      <c r="G435" s="35">
        <v>0.28418261111775611</v>
      </c>
      <c r="H435" s="35">
        <v>1.159830935988931E-3</v>
      </c>
    </row>
    <row r="436" spans="2:8" x14ac:dyDescent="0.35">
      <c r="B436" s="6">
        <v>45558</v>
      </c>
      <c r="C436" s="7" t="s">
        <v>2</v>
      </c>
      <c r="D436" s="35">
        <v>-3.8542446000000001E-2</v>
      </c>
      <c r="E436" s="35">
        <v>-3.8542446000000001E-2</v>
      </c>
      <c r="F436" s="35">
        <v>0.33669940579023772</v>
      </c>
      <c r="G436" s="35">
        <v>0.23468707217461104</v>
      </c>
      <c r="H436" s="35">
        <v>-3.9304860533572808E-2</v>
      </c>
    </row>
    <row r="437" spans="2:8" x14ac:dyDescent="0.35">
      <c r="B437" s="6">
        <v>45559</v>
      </c>
      <c r="C437" s="7" t="s">
        <v>2</v>
      </c>
      <c r="D437" s="35">
        <v>-5.1055485000000003E-3</v>
      </c>
      <c r="E437" s="35">
        <v>-5.1055485000000003E-3</v>
      </c>
      <c r="F437" s="35">
        <v>0.32987482214405439</v>
      </c>
      <c r="G437" s="35">
        <v>0.22838331744530049</v>
      </c>
      <c r="H437" s="35">
        <v>-5.1186263447804952E-3</v>
      </c>
    </row>
    <row r="438" spans="2:8" x14ac:dyDescent="0.35">
      <c r="B438" s="6">
        <v>45560</v>
      </c>
      <c r="C438" s="7" t="s">
        <v>2</v>
      </c>
      <c r="D438" s="35">
        <v>-1.2677712000000001E-2</v>
      </c>
      <c r="E438" s="35">
        <v>-1.2677712000000001E-2</v>
      </c>
      <c r="F438" s="35">
        <v>0.31301505215286074</v>
      </c>
      <c r="G438" s="35">
        <v>0.21281022752112433</v>
      </c>
      <c r="H438" s="35">
        <v>-1.2758759920864641E-2</v>
      </c>
    </row>
    <row r="439" spans="2:8" x14ac:dyDescent="0.35">
      <c r="B439" s="6">
        <v>45561</v>
      </c>
      <c r="C439" s="7" t="s">
        <v>2</v>
      </c>
      <c r="D439" s="35">
        <v>4.4431523000000002E-3</v>
      </c>
      <c r="E439" s="35">
        <v>4.4431523000000002E-3</v>
      </c>
      <c r="F439" s="35">
        <v>0.31884897800176826</v>
      </c>
      <c r="G439" s="35">
        <v>0.21819892807299834</v>
      </c>
      <c r="H439" s="35">
        <v>4.4333106400470676E-3</v>
      </c>
    </row>
    <row r="440" spans="2:8" x14ac:dyDescent="0.35">
      <c r="B440" s="6">
        <v>45562</v>
      </c>
      <c r="C440" s="7" t="s">
        <v>2</v>
      </c>
      <c r="D440" s="35">
        <v>8.1563729999999997E-3</v>
      </c>
      <c r="E440" s="35">
        <v>8.1563729999999997E-3</v>
      </c>
      <c r="F440" s="35">
        <v>0.32960600219701952</v>
      </c>
      <c r="G440" s="35">
        <v>0.22813501291856197</v>
      </c>
      <c r="H440" s="35">
        <v>8.1232895619055938E-3</v>
      </c>
    </row>
    <row r="441" spans="2:8" x14ac:dyDescent="0.35">
      <c r="B441" s="6">
        <v>45565</v>
      </c>
      <c r="C441" s="7" t="s">
        <v>2</v>
      </c>
      <c r="D441" s="35">
        <v>-1.7370252E-3</v>
      </c>
      <c r="E441" s="35">
        <v>-1.7370252E-3</v>
      </c>
      <c r="F441" s="35">
        <v>0.32729644306513217</v>
      </c>
      <c r="G441" s="35">
        <v>0.22600171145212022</v>
      </c>
      <c r="H441" s="35">
        <v>-1.738535577568693E-3</v>
      </c>
    </row>
    <row r="442" spans="2:8" x14ac:dyDescent="0.35">
      <c r="B442" s="6">
        <v>45566</v>
      </c>
      <c r="C442" s="7" t="s">
        <v>2</v>
      </c>
      <c r="D442" s="35">
        <v>1.0709332E-2</v>
      </c>
      <c r="E442" s="35">
        <v>1.0709332E-2</v>
      </c>
      <c r="F442" s="35">
        <v>0.34151090133633577</v>
      </c>
      <c r="G442" s="35">
        <v>0.23913137081262925</v>
      </c>
      <c r="H442" s="35">
        <v>1.0652393260563678E-2</v>
      </c>
    </row>
    <row r="443" spans="2:8" x14ac:dyDescent="0.35">
      <c r="B443" s="6">
        <v>45567</v>
      </c>
      <c r="C443" s="7" t="s">
        <v>2</v>
      </c>
      <c r="D443" s="35">
        <v>-3.9385766999999999E-3</v>
      </c>
      <c r="E443" s="35">
        <v>-3.9385766999999999E-3</v>
      </c>
      <c r="F443" s="35">
        <v>0.33622725775753648</v>
      </c>
      <c r="G443" s="35">
        <v>0.23425095686730768</v>
      </c>
      <c r="H443" s="35">
        <v>-3.9463533191341476E-3</v>
      </c>
    </row>
    <row r="444" spans="2:8" x14ac:dyDescent="0.35">
      <c r="B444" s="6">
        <v>45568</v>
      </c>
      <c r="C444" s="7" t="s">
        <v>2</v>
      </c>
      <c r="D444" s="35">
        <v>6.2894444000000001E-3</v>
      </c>
      <c r="E444" s="35">
        <v>6.2894444000000001E-3</v>
      </c>
      <c r="F444" s="35">
        <v>0.34463138480096678</v>
      </c>
      <c r="G444" s="35">
        <v>0.24201370963617119</v>
      </c>
      <c r="H444" s="35">
        <v>6.269748386086133E-3</v>
      </c>
    </row>
    <row r="445" spans="2:8" x14ac:dyDescent="0.35">
      <c r="B445" s="6">
        <v>45569</v>
      </c>
      <c r="C445" s="7" t="s">
        <v>2</v>
      </c>
      <c r="D445" s="35">
        <v>-9.6448590000000004E-3</v>
      </c>
      <c r="E445" s="35">
        <v>-9.6448590000000004E-3</v>
      </c>
      <c r="F445" s="35">
        <v>0.33166260468758679</v>
      </c>
      <c r="G445" s="35">
        <v>0.23003466253066329</v>
      </c>
      <c r="H445" s="35">
        <v>-9.6916718982799858E-3</v>
      </c>
    </row>
    <row r="446" spans="2:8" x14ac:dyDescent="0.35">
      <c r="B446" s="6">
        <v>45572</v>
      </c>
      <c r="C446" s="7" t="s">
        <v>2</v>
      </c>
      <c r="D446" s="35">
        <v>-3.8358482999999999E-3</v>
      </c>
      <c r="E446" s="35">
        <v>-3.8358482999999999E-3</v>
      </c>
      <c r="F446" s="35">
        <v>0.32655454894922231</v>
      </c>
      <c r="G446" s="35">
        <v>0.22531643616145391</v>
      </c>
      <c r="H446" s="35">
        <v>-3.8432240335953181E-3</v>
      </c>
    </row>
    <row r="447" spans="2:8" x14ac:dyDescent="0.35">
      <c r="B447" s="6">
        <v>45573</v>
      </c>
      <c r="C447" s="7" t="s">
        <v>2</v>
      </c>
      <c r="D447" s="35">
        <v>-3.6932211E-3</v>
      </c>
      <c r="E447" s="35">
        <v>-3.6932211E-3</v>
      </c>
      <c r="F447" s="35">
        <v>0.32165528969874191</v>
      </c>
      <c r="G447" s="35">
        <v>0.2207910716452457</v>
      </c>
      <c r="H447" s="35">
        <v>-3.700057879396334E-3</v>
      </c>
    </row>
    <row r="448" spans="2:8" x14ac:dyDescent="0.35">
      <c r="B448" s="6">
        <v>45574</v>
      </c>
      <c r="C448" s="7" t="s">
        <v>2</v>
      </c>
      <c r="D448" s="35">
        <v>-9.7969730000000005E-3</v>
      </c>
      <c r="E448" s="35">
        <v>-9.7969730000000005E-3</v>
      </c>
      <c r="F448" s="35">
        <v>0.3087070685102562</v>
      </c>
      <c r="G448" s="35">
        <v>0.20883101447769614</v>
      </c>
      <c r="H448" s="35">
        <v>-9.8452791012966397E-3</v>
      </c>
    </row>
    <row r="449" spans="2:8" x14ac:dyDescent="0.35">
      <c r="B449" s="6">
        <v>45575</v>
      </c>
      <c r="C449" s="7" t="s">
        <v>2</v>
      </c>
      <c r="D449" s="35">
        <v>3.8955462999999998E-3</v>
      </c>
      <c r="E449" s="35">
        <v>3.8955462999999998E-3</v>
      </c>
      <c r="F449" s="35">
        <v>0.31380519748877522</v>
      </c>
      <c r="G449" s="35">
        <v>0.21354007166347011</v>
      </c>
      <c r="H449" s="35">
        <v>3.8879783074554889E-3</v>
      </c>
    </row>
    <row r="450" spans="2:8" x14ac:dyDescent="0.35">
      <c r="B450" s="6">
        <v>45576</v>
      </c>
      <c r="C450" s="7" t="s">
        <v>2</v>
      </c>
      <c r="D450" s="35">
        <v>1.8655047000000001E-2</v>
      </c>
      <c r="E450" s="35">
        <v>1.8655047000000001E-2</v>
      </c>
      <c r="F450" s="35">
        <v>0.33831429519677259</v>
      </c>
      <c r="G450" s="35">
        <v>0.23617871873673546</v>
      </c>
      <c r="H450" s="35">
        <v>1.8483175830269288E-2</v>
      </c>
    </row>
    <row r="451" spans="2:8" x14ac:dyDescent="0.35">
      <c r="B451" s="6">
        <v>45579</v>
      </c>
      <c r="C451" s="7" t="s">
        <v>2</v>
      </c>
      <c r="D451" s="35">
        <v>1.4298508E-2</v>
      </c>
      <c r="E451" s="35">
        <v>1.4298508E-2</v>
      </c>
      <c r="F451" s="35">
        <v>0.35745019285315793</v>
      </c>
      <c r="G451" s="35">
        <v>0.25385423003602248</v>
      </c>
      <c r="H451" s="35">
        <v>1.4197248433533392E-2</v>
      </c>
    </row>
    <row r="452" spans="2:8" x14ac:dyDescent="0.35">
      <c r="B452" s="6">
        <v>45580</v>
      </c>
      <c r="C452" s="7" t="s">
        <v>2</v>
      </c>
      <c r="D452" s="35">
        <v>2.1135220000000001E-3</v>
      </c>
      <c r="E452" s="35">
        <v>2.1135220000000001E-3</v>
      </c>
      <c r="F452" s="35">
        <v>0.36031919369965726</v>
      </c>
      <c r="G452" s="35">
        <v>0.25650427853599655</v>
      </c>
      <c r="H452" s="35">
        <v>2.1112916544144518E-3</v>
      </c>
    </row>
    <row r="453" spans="2:8" x14ac:dyDescent="0.35">
      <c r="B453" s="6">
        <v>45581</v>
      </c>
      <c r="C453" s="7" t="s">
        <v>2</v>
      </c>
      <c r="D453" s="35">
        <v>2.0795002999999999E-2</v>
      </c>
      <c r="E453" s="35">
        <v>2.0795002999999999E-2</v>
      </c>
      <c r="F453" s="35">
        <v>0.38860703541359909</v>
      </c>
      <c r="G453" s="35">
        <v>0.28263328877766525</v>
      </c>
      <c r="H453" s="35">
        <v>2.0581738416156091E-2</v>
      </c>
    </row>
    <row r="454" spans="2:8" x14ac:dyDescent="0.35">
      <c r="B454" s="6">
        <v>45582</v>
      </c>
      <c r="C454" s="7" t="s">
        <v>2</v>
      </c>
      <c r="D454" s="35">
        <v>9.5879910000000006E-3</v>
      </c>
      <c r="E454" s="35">
        <v>9.5879910000000006E-3</v>
      </c>
      <c r="F454" s="35">
        <v>0.40192098717168157</v>
      </c>
      <c r="G454" s="35">
        <v>0.2949311652067661</v>
      </c>
      <c r="H454" s="35">
        <v>9.5423179242422468E-3</v>
      </c>
    </row>
    <row r="455" spans="2:8" x14ac:dyDescent="0.35">
      <c r="B455" s="6">
        <v>45583</v>
      </c>
      <c r="C455" s="7" t="s">
        <v>2</v>
      </c>
      <c r="D455" s="35">
        <v>8.5477060000000004E-3</v>
      </c>
      <c r="E455" s="35">
        <v>8.5477060000000004E-3</v>
      </c>
      <c r="F455" s="35">
        <v>0.41390419560525493</v>
      </c>
      <c r="G455" s="35">
        <v>0.30599985609719105</v>
      </c>
      <c r="H455" s="35">
        <v>8.5113812100425061E-3</v>
      </c>
    </row>
    <row r="456" spans="2:8" x14ac:dyDescent="0.35">
      <c r="B456" s="6">
        <v>45586</v>
      </c>
      <c r="C456" s="7" t="s">
        <v>2</v>
      </c>
      <c r="D456" s="35">
        <v>-9.4660760000000004E-3</v>
      </c>
      <c r="E456" s="35">
        <v>-9.4660760000000004E-3</v>
      </c>
      <c r="F456" s="35">
        <v>0.40052007103293663</v>
      </c>
      <c r="G456" s="35">
        <v>0.29363716220338598</v>
      </c>
      <c r="H456" s="35">
        <v>-9.5111640610221725E-3</v>
      </c>
    </row>
    <row r="457" spans="2:8" x14ac:dyDescent="0.35">
      <c r="B457" s="6">
        <v>45587</v>
      </c>
      <c r="C457" s="7" t="s">
        <v>2</v>
      </c>
      <c r="D457" s="35">
        <v>-9.9891850000000007E-4</v>
      </c>
      <c r="E457" s="35">
        <v>-9.9891850000000007E-4</v>
      </c>
      <c r="F457" s="35">
        <v>0.39912106562436045</v>
      </c>
      <c r="G457" s="35">
        <v>0.29234492410977353</v>
      </c>
      <c r="H457" s="35">
        <v>-9.9941775158694421E-4</v>
      </c>
    </row>
    <row r="458" spans="2:8" x14ac:dyDescent="0.35">
      <c r="B458" s="6">
        <v>45588</v>
      </c>
      <c r="C458" s="7" t="s">
        <v>2</v>
      </c>
      <c r="D458" s="35">
        <v>-1.5409562E-2</v>
      </c>
      <c r="E458" s="35">
        <v>-1.5409562E-2</v>
      </c>
      <c r="F458" s="35">
        <v>0.37756122281811577</v>
      </c>
      <c r="G458" s="35">
        <v>0.27243045487631878</v>
      </c>
      <c r="H458" s="35">
        <v>-1.5529523263187404E-2</v>
      </c>
    </row>
    <row r="459" spans="2:8" x14ac:dyDescent="0.35">
      <c r="B459" s="6">
        <v>45589</v>
      </c>
      <c r="C459" s="7" t="s">
        <v>2</v>
      </c>
      <c r="D459" s="35">
        <v>-8.1431196000000003E-4</v>
      </c>
      <c r="E459" s="35">
        <v>-8.1431196000000003E-4</v>
      </c>
      <c r="F459" s="35">
        <v>0.3764394582387427</v>
      </c>
      <c r="G459" s="35">
        <v>0.27139429953864469</v>
      </c>
      <c r="H459" s="35">
        <v>-8.146436920852978E-4</v>
      </c>
    </row>
    <row r="460" spans="2:8" x14ac:dyDescent="0.35">
      <c r="B460" s="6">
        <v>45590</v>
      </c>
      <c r="C460" s="7" t="s">
        <v>2</v>
      </c>
      <c r="D460" s="35">
        <v>1.5685813E-3</v>
      </c>
      <c r="E460" s="35">
        <v>1.5685813E-3</v>
      </c>
      <c r="F460" s="35">
        <v>0.37859851543351808</v>
      </c>
      <c r="G460" s="35">
        <v>0.2733885848618276</v>
      </c>
      <c r="H460" s="35">
        <v>1.5673523613115577E-3</v>
      </c>
    </row>
    <row r="461" spans="2:8" x14ac:dyDescent="0.35">
      <c r="B461" s="6">
        <v>45593</v>
      </c>
      <c r="C461" s="7" t="s">
        <v>2</v>
      </c>
      <c r="D461" s="35">
        <v>-1.0929315E-2</v>
      </c>
      <c r="E461" s="35">
        <v>-1.0929315E-2</v>
      </c>
      <c r="F461" s="35">
        <v>0.36353137799981283</v>
      </c>
      <c r="G461" s="35">
        <v>0.25947131990046834</v>
      </c>
      <c r="H461" s="35">
        <v>-1.0989478730355157E-2</v>
      </c>
    </row>
    <row r="462" spans="2:8" x14ac:dyDescent="0.35">
      <c r="B462" s="6">
        <v>45594</v>
      </c>
      <c r="C462" s="7" t="s">
        <v>2</v>
      </c>
      <c r="D462" s="35">
        <v>8.6756430000000002E-4</v>
      </c>
      <c r="E462" s="35">
        <v>8.6756430000000002E-4</v>
      </c>
      <c r="F462" s="35">
        <v>0.36471432914529522</v>
      </c>
      <c r="G462" s="35">
        <v>0.26056399225448779</v>
      </c>
      <c r="H462" s="35">
        <v>8.6718818361374115E-4</v>
      </c>
    </row>
    <row r="463" spans="2:8" x14ac:dyDescent="0.35">
      <c r="B463" s="6">
        <v>45595</v>
      </c>
      <c r="C463" s="7" t="s">
        <v>2</v>
      </c>
      <c r="D463" s="35">
        <v>-2.5005403E-3</v>
      </c>
      <c r="E463" s="35">
        <v>-2.5005403E-3</v>
      </c>
      <c r="F463" s="35">
        <v>0.3613018059672799</v>
      </c>
      <c r="G463" s="35">
        <v>0.25741190119112645</v>
      </c>
      <c r="H463" s="35">
        <v>-2.5036718724005839E-3</v>
      </c>
    </row>
    <row r="464" spans="2:8" x14ac:dyDescent="0.35">
      <c r="B464" s="6">
        <v>45596</v>
      </c>
      <c r="C464" s="7" t="s">
        <v>2</v>
      </c>
      <c r="D464" s="35">
        <v>-1.1863288E-2</v>
      </c>
      <c r="E464" s="35">
        <v>-1.1863288E-2</v>
      </c>
      <c r="F464" s="35">
        <v>0.34515229058816987</v>
      </c>
      <c r="G464" s="35">
        <v>0.24249486167266854</v>
      </c>
      <c r="H464" s="35">
        <v>-1.1934218337220769E-2</v>
      </c>
    </row>
    <row r="465" spans="2:8" x14ac:dyDescent="0.35">
      <c r="B465" s="6">
        <v>45597</v>
      </c>
      <c r="C465" s="7" t="s">
        <v>2</v>
      </c>
      <c r="D465" s="35">
        <v>4.2990370000000003E-3</v>
      </c>
      <c r="E465" s="35">
        <v>4.2990370000000003E-3</v>
      </c>
      <c r="F465" s="35">
        <v>0.35093515005604314</v>
      </c>
      <c r="G465" s="35">
        <v>0.24783639305530913</v>
      </c>
      <c r="H465" s="35">
        <v>4.2898225398669259E-3</v>
      </c>
    </row>
    <row r="466" spans="2:8" x14ac:dyDescent="0.35">
      <c r="B466" s="6">
        <v>45600</v>
      </c>
      <c r="C466" s="7" t="s">
        <v>2</v>
      </c>
      <c r="D466" s="35">
        <v>-4.8678109999999997E-3</v>
      </c>
      <c r="E466" s="35">
        <v>-4.8678109999999997E-3</v>
      </c>
      <c r="F466" s="35">
        <v>0.34435905307231374</v>
      </c>
      <c r="G466" s="35">
        <v>0.24176216133499429</v>
      </c>
      <c r="H466" s="35">
        <v>-4.8796973814262696E-3</v>
      </c>
    </row>
    <row r="467" spans="2:8" x14ac:dyDescent="0.35">
      <c r="B467" s="6">
        <v>45601</v>
      </c>
      <c r="C467" s="7" t="s">
        <v>2</v>
      </c>
      <c r="D467" s="35">
        <v>-1.2930229999999999E-2</v>
      </c>
      <c r="E467" s="35">
        <v>-1.2930229999999999E-2</v>
      </c>
      <c r="F467" s="35">
        <v>0.32697618131350636</v>
      </c>
      <c r="G467" s="35">
        <v>0.22570589098363558</v>
      </c>
      <c r="H467" s="35">
        <v>-1.3014553090568419E-2</v>
      </c>
    </row>
    <row r="468" spans="2:8" x14ac:dyDescent="0.35">
      <c r="B468" s="6">
        <v>45602</v>
      </c>
      <c r="C468" s="7" t="s">
        <v>2</v>
      </c>
      <c r="D468" s="35">
        <v>1.3100459E-2</v>
      </c>
      <c r="E468" s="35">
        <v>1.3100459E-2</v>
      </c>
      <c r="F468" s="35">
        <v>0.34436017837078037</v>
      </c>
      <c r="G468" s="35">
        <v>0.24176320075452495</v>
      </c>
      <c r="H468" s="35">
        <v>1.3015390142242378E-2</v>
      </c>
    </row>
    <row r="469" spans="2:8" x14ac:dyDescent="0.35">
      <c r="B469" s="6">
        <v>45603</v>
      </c>
      <c r="C469" s="7" t="s">
        <v>2</v>
      </c>
      <c r="D469" s="35">
        <v>-1.1025168E-2</v>
      </c>
      <c r="E469" s="35">
        <v>-1.1025168E-2</v>
      </c>
      <c r="F469" s="35">
        <v>0.32953838155173254</v>
      </c>
      <c r="G469" s="35">
        <v>0.22807255284998873</v>
      </c>
      <c r="H469" s="35">
        <v>-1.1086395610428096E-2</v>
      </c>
    </row>
    <row r="470" spans="2:8" x14ac:dyDescent="0.35">
      <c r="B470" s="6">
        <v>45604</v>
      </c>
      <c r="C470" s="7" t="s">
        <v>2</v>
      </c>
      <c r="D470" s="35">
        <v>8.1272629999999992E-3</v>
      </c>
      <c r="E470" s="35">
        <v>8.1272629999999992E-3</v>
      </c>
      <c r="F470" s="35">
        <v>0.34034388964719775</v>
      </c>
      <c r="G470" s="35">
        <v>0.23805342147008202</v>
      </c>
      <c r="H470" s="35">
        <v>8.0944146561311003E-3</v>
      </c>
    </row>
    <row r="471" spans="2:8" x14ac:dyDescent="0.35">
      <c r="B471" s="6">
        <v>45607</v>
      </c>
      <c r="C471" s="7" t="s">
        <v>2</v>
      </c>
      <c r="D471" s="35">
        <v>5.6158644000000001E-3</v>
      </c>
      <c r="E471" s="35">
        <v>5.6158644000000001E-3</v>
      </c>
      <c r="F471" s="35">
        <v>0.34787107918082483</v>
      </c>
      <c r="G471" s="35">
        <v>0.24500616160501387</v>
      </c>
      <c r="H471" s="35">
        <v>5.6001542235569867E-3</v>
      </c>
    </row>
    <row r="472" spans="2:8" x14ac:dyDescent="0.35">
      <c r="B472" s="6">
        <v>45608</v>
      </c>
      <c r="C472" s="7" t="s">
        <v>2</v>
      </c>
      <c r="D472" s="35">
        <v>-1.5971566E-2</v>
      </c>
      <c r="E472" s="35">
        <v>-1.5971566E-2</v>
      </c>
      <c r="F472" s="35">
        <v>0.32634346728019703</v>
      </c>
      <c r="G472" s="35">
        <v>0.22512146352453266</v>
      </c>
      <c r="H472" s="35">
        <v>-1.6100486005911494E-2</v>
      </c>
    </row>
    <row r="473" spans="2:8" x14ac:dyDescent="0.35">
      <c r="B473" s="6">
        <v>45609</v>
      </c>
      <c r="C473" s="7" t="s">
        <v>2</v>
      </c>
      <c r="D473" s="35">
        <v>-5.1259039999999997E-3</v>
      </c>
      <c r="E473" s="35">
        <v>-5.1259039999999997E-3</v>
      </c>
      <c r="F473" s="35">
        <v>0.31954475799589166</v>
      </c>
      <c r="G473" s="35">
        <v>0.21884160851416645</v>
      </c>
      <c r="H473" s="35">
        <v>-5.1390865134029202E-3</v>
      </c>
    </row>
    <row r="474" spans="2:8" x14ac:dyDescent="0.35">
      <c r="B474" s="6">
        <v>45610</v>
      </c>
      <c r="C474" s="7" t="s">
        <v>2</v>
      </c>
      <c r="D474" s="35">
        <v>-2.2426996000000001E-2</v>
      </c>
      <c r="E474" s="35">
        <v>-2.2426996000000001E-2</v>
      </c>
      <c r="F474" s="35">
        <v>0.28995133298649689</v>
      </c>
      <c r="G474" s="35">
        <v>0.19150665263538569</v>
      </c>
      <c r="H474" s="35">
        <v>-2.2682305512380086E-2</v>
      </c>
    </row>
    <row r="475" spans="2:8" x14ac:dyDescent="0.35">
      <c r="B475" s="6">
        <v>45611</v>
      </c>
      <c r="C475" s="7" t="s">
        <v>2</v>
      </c>
      <c r="D475" s="35">
        <v>-1.7323597999999999E-2</v>
      </c>
      <c r="E475" s="35">
        <v>-1.7323597999999999E-2</v>
      </c>
      <c r="F475" s="35">
        <v>0.2676047346542747</v>
      </c>
      <c r="G475" s="35">
        <v>0.17086547037080457</v>
      </c>
      <c r="H475" s="35">
        <v>-1.7475407334463188E-2</v>
      </c>
    </row>
    <row r="476" spans="2:8" x14ac:dyDescent="0.35">
      <c r="B476" s="6">
        <v>45614</v>
      </c>
      <c r="C476" s="7" t="s">
        <v>2</v>
      </c>
      <c r="D476" s="35">
        <v>-1.1395215E-2</v>
      </c>
      <c r="E476" s="35">
        <v>-1.1395215E-2</v>
      </c>
      <c r="F476" s="35">
        <v>0.25316010616787143</v>
      </c>
      <c r="G476" s="35">
        <v>0.15752320659985308</v>
      </c>
      <c r="H476" s="35">
        <v>-1.1460637942962176E-2</v>
      </c>
    </row>
    <row r="477" spans="2:8" x14ac:dyDescent="0.35">
      <c r="B477" s="6">
        <v>45615</v>
      </c>
      <c r="C477" s="7" t="s">
        <v>2</v>
      </c>
      <c r="D477" s="35">
        <v>-1.5275973E-3</v>
      </c>
      <c r="E477" s="35">
        <v>-1.5275973E-3</v>
      </c>
      <c r="F477" s="35">
        <v>0.25124578217322169</v>
      </c>
      <c r="G477" s="35">
        <v>0.15575497727476395</v>
      </c>
      <c r="H477" s="35">
        <v>-1.5287652663618259E-3</v>
      </c>
    </row>
    <row r="478" spans="2:8" x14ac:dyDescent="0.35">
      <c r="B478" s="6">
        <v>45616</v>
      </c>
      <c r="C478" s="7" t="s">
        <v>2</v>
      </c>
      <c r="D478" s="35">
        <v>-1.0355975E-2</v>
      </c>
      <c r="E478" s="35">
        <v>-1.0355975E-2</v>
      </c>
      <c r="F478" s="35">
        <v>0.23828791213418032</v>
      </c>
      <c r="G478" s="35">
        <v>0.14378600762398097</v>
      </c>
      <c r="H478" s="35">
        <v>-1.0409971221619411E-2</v>
      </c>
    </row>
    <row r="479" spans="2:8" x14ac:dyDescent="0.35">
      <c r="B479" s="6">
        <v>45617</v>
      </c>
      <c r="C479" s="7" t="s">
        <v>2</v>
      </c>
      <c r="D479" s="35">
        <v>9.6929039999999996E-4</v>
      </c>
      <c r="E479" s="35">
        <v>9.6929039999999996E-4</v>
      </c>
      <c r="F479" s="35">
        <v>0.23948817271984812</v>
      </c>
      <c r="G479" s="35">
        <v>0.14489466842082521</v>
      </c>
      <c r="H479" s="35">
        <v>9.6882094139693221E-4</v>
      </c>
    </row>
    <row r="480" spans="2:8" x14ac:dyDescent="0.35">
      <c r="B480" s="6">
        <v>45618</v>
      </c>
      <c r="C480" s="7" t="s">
        <v>2</v>
      </c>
      <c r="D480" s="35">
        <v>2.6826551E-3</v>
      </c>
      <c r="E480" s="35">
        <v>2.6826551E-3</v>
      </c>
      <c r="F480" s="35">
        <v>0.24281329198778479</v>
      </c>
      <c r="G480" s="35">
        <v>0.14796602594202724</v>
      </c>
      <c r="H480" s="35">
        <v>2.6790632032533666E-3</v>
      </c>
    </row>
    <row r="481" spans="2:8" x14ac:dyDescent="0.35">
      <c r="B481" s="6">
        <v>45621</v>
      </c>
      <c r="C481" s="7" t="s">
        <v>2</v>
      </c>
      <c r="D481" s="35">
        <v>9.4811216999999995E-4</v>
      </c>
      <c r="E481" s="35">
        <v>9.4811216999999995E-4</v>
      </c>
      <c r="F481" s="35">
        <v>0.24399161839495598</v>
      </c>
      <c r="G481" s="35">
        <v>0.14905442650196932</v>
      </c>
      <c r="H481" s="35">
        <v>9.476629955458769E-4</v>
      </c>
    </row>
    <row r="482" spans="2:8" x14ac:dyDescent="0.35">
      <c r="B482" s="6">
        <v>45622</v>
      </c>
      <c r="C482" s="7" t="s">
        <v>2</v>
      </c>
      <c r="D482" s="35">
        <v>5.7094307000000004E-3</v>
      </c>
      <c r="E482" s="35">
        <v>5.7094307000000004E-3</v>
      </c>
      <c r="F482" s="35">
        <v>0.25109410233156293</v>
      </c>
      <c r="G482" s="35">
        <v>0.15561487312061062</v>
      </c>
      <c r="H482" s="35">
        <v>5.693193674008455E-3</v>
      </c>
    </row>
    <row r="483" spans="2:8" x14ac:dyDescent="0.35">
      <c r="B483" s="6">
        <v>45623</v>
      </c>
      <c r="C483" s="7" t="s">
        <v>2</v>
      </c>
      <c r="D483" s="35">
        <v>-1.0751184E-2</v>
      </c>
      <c r="E483" s="35">
        <v>-1.0751184E-2</v>
      </c>
      <c r="F483" s="35">
        <v>0.23764335943608161</v>
      </c>
      <c r="G483" s="35">
        <v>0.14319064498655432</v>
      </c>
      <c r="H483" s="35">
        <v>-1.0809395583632458E-2</v>
      </c>
    </row>
    <row r="484" spans="2:8" x14ac:dyDescent="0.35">
      <c r="B484" s="6">
        <v>45625</v>
      </c>
      <c r="C484" s="7" t="s">
        <v>2</v>
      </c>
      <c r="D484" s="35">
        <v>3.7214371238447619E-4</v>
      </c>
      <c r="E484" s="35">
        <v>3.7214371238447619E-4</v>
      </c>
      <c r="F484" s="35">
        <v>0.23810394063047013</v>
      </c>
      <c r="G484" s="35">
        <v>0.14361607619714278</v>
      </c>
      <c r="H484" s="35">
        <v>3.720744840878602E-4</v>
      </c>
    </row>
    <row r="485" spans="2:8" x14ac:dyDescent="0.35">
      <c r="B485" s="6">
        <v>45628</v>
      </c>
      <c r="C485" s="7" t="s">
        <v>2</v>
      </c>
      <c r="D485" s="35">
        <v>1.8164126000000001E-3</v>
      </c>
      <c r="E485" s="35">
        <v>1.8164126000000001E-3</v>
      </c>
      <c r="F485" s="35">
        <v>0.24035284822834102</v>
      </c>
      <c r="G485" s="35">
        <v>0.14569335484750989</v>
      </c>
      <c r="H485" s="35">
        <v>1.8147649175789475E-3</v>
      </c>
    </row>
    <row r="486" spans="2:8" x14ac:dyDescent="0.35">
      <c r="B486" s="6">
        <v>45629</v>
      </c>
      <c r="C486" s="7" t="s">
        <v>2</v>
      </c>
      <c r="D486" s="35">
        <v>-6.7486706999999998E-3</v>
      </c>
      <c r="E486" s="35">
        <v>-6.7486706999999998E-3</v>
      </c>
      <c r="F486" s="35">
        <v>0.23198211530384083</v>
      </c>
      <c r="G486" s="35">
        <v>0.13796144767246576</v>
      </c>
      <c r="H486" s="35">
        <v>-6.7715459545714231E-3</v>
      </c>
    </row>
    <row r="487" spans="2:8" x14ac:dyDescent="0.35">
      <c r="B487" s="6">
        <v>45630</v>
      </c>
      <c r="C487" s="7" t="s">
        <v>2</v>
      </c>
      <c r="D487" s="35">
        <v>8.3016310000000003E-3</v>
      </c>
      <c r="E487" s="35">
        <v>8.3016310000000003E-3</v>
      </c>
      <c r="F487" s="35">
        <v>0.24220957622369266</v>
      </c>
      <c r="G487" s="35">
        <v>0.14740838370326825</v>
      </c>
      <c r="H487" s="35">
        <v>8.2673619898589491E-3</v>
      </c>
    </row>
    <row r="488" spans="2:8" x14ac:dyDescent="0.35">
      <c r="B488" s="6">
        <v>45631</v>
      </c>
      <c r="C488" s="7" t="s">
        <v>2</v>
      </c>
      <c r="D488" s="35">
        <v>-6.1143999999999999E-3</v>
      </c>
      <c r="E488" s="35">
        <v>-6.1143999999999999E-3</v>
      </c>
      <c r="F488" s="35">
        <v>0.2346142099908306</v>
      </c>
      <c r="G488" s="35">
        <v>0.14039266988195309</v>
      </c>
      <c r="H488" s="35">
        <v>-6.1331694922473123E-3</v>
      </c>
    </row>
    <row r="489" spans="2:8" x14ac:dyDescent="0.35">
      <c r="B489" s="6">
        <v>45632</v>
      </c>
      <c r="C489" s="7" t="s">
        <v>2</v>
      </c>
      <c r="D489" s="35">
        <v>1.2129900000000001E-2</v>
      </c>
      <c r="E489" s="35">
        <v>1.2129900000000001E-2</v>
      </c>
      <c r="F489" s="35">
        <v>0.24958995689659824</v>
      </c>
      <c r="G489" s="35">
        <v>0.15422551892835412</v>
      </c>
      <c r="H489" s="35">
        <v>1.2056922311668865E-2</v>
      </c>
    </row>
    <row r="490" spans="2:8" x14ac:dyDescent="0.35">
      <c r="B490" s="6">
        <v>45635</v>
      </c>
      <c r="C490" s="7" t="s">
        <v>2</v>
      </c>
      <c r="D490" s="35">
        <v>-1.1186616E-2</v>
      </c>
      <c r="E490" s="35">
        <v>-1.1186616E-2</v>
      </c>
      <c r="F490" s="35">
        <v>0.2356112738913394</v>
      </c>
      <c r="G490" s="35">
        <v>0.1413136412707019</v>
      </c>
      <c r="H490" s="35">
        <v>-1.1249656771610654E-2</v>
      </c>
    </row>
    <row r="491" spans="2:8" x14ac:dyDescent="0.35">
      <c r="B491" s="6">
        <v>45636</v>
      </c>
      <c r="C491" s="7" t="s">
        <v>2</v>
      </c>
      <c r="D491" s="35">
        <v>-6.0720662999999998E-3</v>
      </c>
      <c r="E491" s="35">
        <v>-6.0720662999999998E-3</v>
      </c>
      <c r="F491" s="35">
        <v>0.22810856031524374</v>
      </c>
      <c r="G491" s="35">
        <v>0.13438350917181174</v>
      </c>
      <c r="H491" s="35">
        <v>-6.0905762617569706E-3</v>
      </c>
    </row>
    <row r="492" spans="2:8" x14ac:dyDescent="0.35">
      <c r="B492" s="6">
        <v>45637</v>
      </c>
      <c r="C492" s="7" t="s">
        <v>2</v>
      </c>
      <c r="D492" s="35">
        <v>-5.8750740000000001E-3</v>
      </c>
      <c r="E492" s="35">
        <v>-5.8750740000000001E-3</v>
      </c>
      <c r="F492" s="35">
        <v>0.22089333164335834</v>
      </c>
      <c r="G492" s="35">
        <v>0.12771892211104774</v>
      </c>
      <c r="H492" s="35">
        <v>-5.8924001421597509E-3</v>
      </c>
    </row>
    <row r="493" spans="2:8" x14ac:dyDescent="0.35">
      <c r="B493" s="6">
        <v>45638</v>
      </c>
      <c r="C493" s="7" t="s">
        <v>2</v>
      </c>
      <c r="D493" s="35">
        <v>-4.9250549999999997E-2</v>
      </c>
      <c r="E493" s="35">
        <v>-4.9250549999999997E-2</v>
      </c>
      <c r="F493" s="35">
        <v>0.16076366356859051</v>
      </c>
      <c r="G493" s="35">
        <v>7.2178144951671408E-2</v>
      </c>
      <c r="H493" s="35">
        <v>-5.0504710664600605E-2</v>
      </c>
    </row>
    <row r="494" spans="2:8" x14ac:dyDescent="0.35">
      <c r="B494" s="6">
        <v>45639</v>
      </c>
      <c r="C494" s="7" t="s">
        <v>2</v>
      </c>
      <c r="D494" s="35">
        <v>-2.4068623000000002E-3</v>
      </c>
      <c r="E494" s="35">
        <v>-2.4068623000000002E-3</v>
      </c>
      <c r="F494" s="35">
        <v>0.15796986526753742</v>
      </c>
      <c r="G494" s="35">
        <v>6.9597559795703257E-2</v>
      </c>
      <c r="H494" s="35">
        <v>-2.4097634491113927E-3</v>
      </c>
    </row>
    <row r="495" spans="2:8" x14ac:dyDescent="0.35">
      <c r="B495" s="6">
        <v>45642</v>
      </c>
      <c r="C495" s="7" t="s">
        <v>2</v>
      </c>
      <c r="D495" s="35">
        <v>8.4914129999999997E-3</v>
      </c>
      <c r="E495" s="35">
        <v>8.4914129999999997E-3</v>
      </c>
      <c r="F495" s="35">
        <v>0.1678026656350784</v>
      </c>
      <c r="G495" s="35">
        <v>7.8679954419720755E-2</v>
      </c>
      <c r="H495" s="35">
        <v>8.4555637501980783E-3</v>
      </c>
    </row>
    <row r="496" spans="2:8" x14ac:dyDescent="0.35">
      <c r="B496" s="6">
        <v>45643</v>
      </c>
      <c r="C496" s="7" t="s">
        <v>2</v>
      </c>
      <c r="D496" s="35">
        <v>-1.1701306999999999E-3</v>
      </c>
      <c r="E496" s="35">
        <v>-1.1701306999999999E-3</v>
      </c>
      <c r="F496" s="35">
        <v>0.16643618388447701</v>
      </c>
      <c r="G496" s="35">
        <v>7.7417757889579608E-2</v>
      </c>
      <c r="H496" s="35">
        <v>-1.1708158374466463E-3</v>
      </c>
    </row>
    <row r="497" spans="2:8" x14ac:dyDescent="0.35">
      <c r="B497" s="6">
        <v>45644</v>
      </c>
      <c r="C497" s="7" t="s">
        <v>2</v>
      </c>
      <c r="D497" s="35">
        <v>3.2484959999999998E-4</v>
      </c>
      <c r="E497" s="35">
        <v>3.2484959999999998E-4</v>
      </c>
      <c r="F497" s="35">
        <v>0.16681510021223733</v>
      </c>
      <c r="G497" s="35">
        <v>7.7767756617262762E-2</v>
      </c>
      <c r="H497" s="35">
        <v>3.2479684779263538E-4</v>
      </c>
    </row>
    <row r="498" spans="2:8" x14ac:dyDescent="0.35">
      <c r="B498" s="6">
        <v>45645</v>
      </c>
      <c r="C498" s="7" t="s">
        <v>2</v>
      </c>
      <c r="D498" s="35">
        <v>3.5782334999999998E-3</v>
      </c>
      <c r="E498" s="35">
        <v>3.5782334999999998E-3</v>
      </c>
      <c r="F498" s="35">
        <v>0.1709902370921228</v>
      </c>
      <c r="G498" s="35">
        <v>8.1624261309210633E-2</v>
      </c>
      <c r="H498" s="35">
        <v>3.5718468532510901E-3</v>
      </c>
    </row>
    <row r="499" spans="2:8" x14ac:dyDescent="0.35">
      <c r="B499" s="6">
        <v>45646</v>
      </c>
      <c r="C499" s="7" t="s">
        <v>2</v>
      </c>
      <c r="D499" s="35">
        <v>-1.1759237000000001E-2</v>
      </c>
      <c r="E499" s="35">
        <v>-1.1759237000000001E-2</v>
      </c>
      <c r="F499" s="35">
        <v>0.15722028536947019</v>
      </c>
      <c r="G499" s="35">
        <v>6.8905185275525582E-2</v>
      </c>
      <c r="H499" s="35">
        <v>-1.1828923674220091E-2</v>
      </c>
    </row>
    <row r="500" spans="2:8" x14ac:dyDescent="0.35">
      <c r="B500" s="6">
        <v>45649</v>
      </c>
      <c r="C500" s="7" t="s">
        <v>2</v>
      </c>
      <c r="D500" s="35">
        <v>1.1331092000000001E-3</v>
      </c>
      <c r="E500" s="35">
        <v>1.1331092000000001E-3</v>
      </c>
      <c r="F500" s="35">
        <v>0.158531542321249</v>
      </c>
      <c r="G500" s="35">
        <v>7.0116371574888925E-2</v>
      </c>
      <c r="H500" s="35">
        <v>1.1324677163054078E-3</v>
      </c>
    </row>
    <row r="501" spans="2:8" x14ac:dyDescent="0.35">
      <c r="B501" s="6">
        <v>45650</v>
      </c>
      <c r="C501" s="7" t="s">
        <v>2</v>
      </c>
      <c r="D501" s="35">
        <v>-1.1273294E-3</v>
      </c>
      <c r="E501" s="35">
        <v>-1.1273294E-3</v>
      </c>
      <c r="F501" s="35">
        <v>0.15722549565276278</v>
      </c>
      <c r="G501" s="35">
        <v>6.8909997927791178E-2</v>
      </c>
      <c r="H501" s="35">
        <v>-1.1279653137558692E-3</v>
      </c>
    </row>
    <row r="502" spans="2:8" x14ac:dyDescent="0.35">
      <c r="B502" s="6">
        <v>45652</v>
      </c>
      <c r="C502" s="7" t="s">
        <v>2</v>
      </c>
      <c r="D502" s="35">
        <v>1.2503298722803979E-2</v>
      </c>
      <c r="E502" s="35">
        <v>1.2503298722803979E-2</v>
      </c>
      <c r="F502" s="35">
        <v>0.17169463171455424</v>
      </c>
      <c r="G502" s="35">
        <v>8.2274898939674213E-2</v>
      </c>
      <c r="H502" s="35">
        <v>1.242577799108098E-2</v>
      </c>
    </row>
    <row r="503" spans="2:8" x14ac:dyDescent="0.35">
      <c r="B503" s="6">
        <v>45653</v>
      </c>
      <c r="C503" s="7" t="s">
        <v>2</v>
      </c>
      <c r="D503" s="35">
        <v>-1.4310114000000001E-2</v>
      </c>
      <c r="E503" s="35">
        <v>-1.4310114000000001E-2</v>
      </c>
      <c r="F503" s="35">
        <v>0.15492754796153085</v>
      </c>
      <c r="G503" s="35">
        <v>6.678742175650898E-2</v>
      </c>
      <c r="H503" s="35">
        <v>-1.4413491091801792E-2</v>
      </c>
    </row>
    <row r="504" spans="2:8" x14ac:dyDescent="0.35">
      <c r="B504" s="6">
        <v>45656</v>
      </c>
      <c r="C504" s="7" t="s">
        <v>2</v>
      </c>
      <c r="D504" s="35">
        <v>-4.3463577000000002E-3</v>
      </c>
      <c r="E504" s="35">
        <v>-4.3463577000000002E-3</v>
      </c>
      <c r="F504" s="35">
        <v>0.14990781972050615</v>
      </c>
      <c r="G504" s="35">
        <v>6.215078203169444E-2</v>
      </c>
      <c r="H504" s="35">
        <v>-4.3558305709166297E-3</v>
      </c>
    </row>
    <row r="505" spans="2:8" x14ac:dyDescent="0.35">
      <c r="B505" s="6">
        <v>45657</v>
      </c>
      <c r="C505" s="7" t="s">
        <v>2</v>
      </c>
      <c r="D505" s="35">
        <v>7.5136450000000002E-3</v>
      </c>
      <c r="E505" s="35">
        <v>7.5136450000000002E-3</v>
      </c>
      <c r="F505" s="35">
        <v>0.15854781886060998</v>
      </c>
      <c r="G505" s="35">
        <v>7.0131405944352965E-2</v>
      </c>
      <c r="H505" s="35">
        <v>7.4855581713072277E-3</v>
      </c>
    </row>
    <row r="506" spans="2:8" x14ac:dyDescent="0.35">
      <c r="B506" s="6"/>
      <c r="C506" s="7"/>
      <c r="D506" s="35"/>
      <c r="E506" s="35"/>
      <c r="F506" s="35"/>
      <c r="G506" s="35"/>
      <c r="H506" s="35"/>
    </row>
    <row r="507" spans="2:8" x14ac:dyDescent="0.35">
      <c r="B507" s="6"/>
      <c r="C507" s="7"/>
      <c r="D507" s="35"/>
      <c r="E507" s="35"/>
      <c r="F507" s="35"/>
      <c r="G507" s="35"/>
      <c r="H507" s="35"/>
    </row>
    <row r="508" spans="2:8" x14ac:dyDescent="0.35">
      <c r="B508" s="6"/>
      <c r="C508" s="7"/>
      <c r="D508" s="35"/>
      <c r="E508" s="35"/>
      <c r="F508" s="35"/>
      <c r="G508" s="35"/>
      <c r="H508" s="35"/>
    </row>
    <row r="509" spans="2:8" x14ac:dyDescent="0.35">
      <c r="B509" s="6"/>
      <c r="C509" s="7"/>
      <c r="D509" s="35"/>
      <c r="E509" s="35"/>
      <c r="F509" s="35"/>
      <c r="G509" s="35"/>
      <c r="H509" s="35"/>
    </row>
    <row r="510" spans="2:8" x14ac:dyDescent="0.35">
      <c r="B510" s="6"/>
      <c r="C510" s="7"/>
      <c r="D510" s="35"/>
      <c r="E510" s="35"/>
      <c r="F510" s="35"/>
      <c r="G510" s="35"/>
      <c r="H510" s="35"/>
    </row>
    <row r="511" spans="2:8" x14ac:dyDescent="0.35">
      <c r="B511" s="6"/>
      <c r="C511" s="7"/>
      <c r="D511" s="35"/>
      <c r="E511" s="35"/>
      <c r="F511" s="35"/>
      <c r="G511" s="35"/>
      <c r="H511" s="35"/>
    </row>
    <row r="512" spans="2:8" x14ac:dyDescent="0.35">
      <c r="B512" s="6"/>
      <c r="C512" s="7"/>
      <c r="D512" s="35"/>
      <c r="E512" s="35"/>
      <c r="F512" s="35"/>
      <c r="G512" s="35"/>
      <c r="H512" s="35"/>
    </row>
    <row r="513" spans="2:8" x14ac:dyDescent="0.35">
      <c r="B513" s="6"/>
      <c r="C513" s="7"/>
      <c r="D513" s="35"/>
      <c r="E513" s="35"/>
      <c r="F513" s="35"/>
      <c r="G513" s="35"/>
      <c r="H513" s="35"/>
    </row>
    <row r="514" spans="2:8" x14ac:dyDescent="0.35">
      <c r="B514" s="6"/>
      <c r="C514" s="7"/>
      <c r="D514" s="35"/>
      <c r="E514" s="35"/>
      <c r="F514" s="35"/>
      <c r="G514" s="35"/>
      <c r="H514" s="35"/>
    </row>
    <row r="515" spans="2:8" x14ac:dyDescent="0.35">
      <c r="B515" s="6"/>
      <c r="C515" s="7"/>
      <c r="D515" s="35"/>
      <c r="E515" s="35"/>
      <c r="F515" s="35"/>
      <c r="G515" s="35"/>
      <c r="H515" s="35"/>
    </row>
    <row r="516" spans="2:8" x14ac:dyDescent="0.35">
      <c r="B516" s="6"/>
      <c r="C516" s="7"/>
      <c r="D516" s="35"/>
      <c r="E516" s="35"/>
      <c r="F516" s="35"/>
      <c r="G516" s="35"/>
      <c r="H516" s="35"/>
    </row>
    <row r="517" spans="2:8" x14ac:dyDescent="0.35">
      <c r="B517" s="6"/>
      <c r="C517" s="7"/>
      <c r="D517" s="35"/>
      <c r="E517" s="35"/>
      <c r="F517" s="35"/>
      <c r="G517" s="35"/>
      <c r="H517" s="35"/>
    </row>
    <row r="518" spans="2:8" x14ac:dyDescent="0.35">
      <c r="B518" s="6"/>
      <c r="C518" s="7"/>
      <c r="D518" s="35"/>
      <c r="E518" s="35"/>
      <c r="F518" s="35"/>
      <c r="G518" s="35"/>
      <c r="H518" s="35"/>
    </row>
    <row r="519" spans="2:8" x14ac:dyDescent="0.35">
      <c r="B519" s="6"/>
      <c r="C519" s="7"/>
      <c r="D519" s="35"/>
      <c r="E519" s="35"/>
      <c r="F519" s="35"/>
      <c r="G519" s="35"/>
      <c r="H519" s="35"/>
    </row>
    <row r="520" spans="2:8" x14ac:dyDescent="0.35">
      <c r="B520" s="6"/>
      <c r="C520" s="7"/>
      <c r="D520" s="35"/>
      <c r="E520" s="35"/>
      <c r="F520" s="35"/>
      <c r="G520" s="35"/>
      <c r="H520" s="35"/>
    </row>
    <row r="521" spans="2:8" x14ac:dyDescent="0.35">
      <c r="B521" s="6"/>
      <c r="C521" s="7"/>
      <c r="D521" s="35"/>
      <c r="E521" s="35"/>
      <c r="F521" s="35"/>
      <c r="G521" s="35"/>
      <c r="H521" s="35"/>
    </row>
    <row r="522" spans="2:8" x14ac:dyDescent="0.35">
      <c r="B522" s="6"/>
      <c r="C522" s="7"/>
      <c r="D522" s="35"/>
      <c r="E522" s="35"/>
      <c r="F522" s="35"/>
      <c r="G522" s="35"/>
      <c r="H522" s="35"/>
    </row>
    <row r="523" spans="2:8" x14ac:dyDescent="0.35">
      <c r="B523" s="6"/>
      <c r="C523" s="7"/>
      <c r="D523" s="35"/>
      <c r="E523" s="35"/>
      <c r="F523" s="35"/>
      <c r="G523" s="35"/>
      <c r="H523" s="35"/>
    </row>
    <row r="524" spans="2:8" x14ac:dyDescent="0.35">
      <c r="B524" s="6"/>
      <c r="C524" s="7"/>
      <c r="D524" s="35"/>
      <c r="E524" s="35"/>
      <c r="F524" s="35"/>
      <c r="G524" s="35"/>
      <c r="H524" s="35"/>
    </row>
    <row r="525" spans="2:8" x14ac:dyDescent="0.35">
      <c r="B525" s="6"/>
      <c r="C525" s="7"/>
      <c r="D525" s="35"/>
      <c r="E525" s="35"/>
      <c r="F525" s="35"/>
      <c r="G525" s="35"/>
      <c r="H525" s="35"/>
    </row>
    <row r="526" spans="2:8" x14ac:dyDescent="0.35">
      <c r="B526" s="6"/>
      <c r="C526" s="7"/>
      <c r="D526" s="35"/>
      <c r="E526" s="35"/>
      <c r="F526" s="35"/>
      <c r="G526" s="35"/>
      <c r="H526" s="35"/>
    </row>
    <row r="527" spans="2:8" x14ac:dyDescent="0.35">
      <c r="B527" s="6"/>
      <c r="C527" s="7"/>
      <c r="D527" s="35"/>
      <c r="E527" s="35"/>
      <c r="F527" s="35"/>
      <c r="G527" s="35"/>
      <c r="H527" s="35"/>
    </row>
    <row r="528" spans="2:8" x14ac:dyDescent="0.35">
      <c r="B528" s="6"/>
      <c r="C528" s="7"/>
      <c r="D528" s="35"/>
      <c r="E528" s="35"/>
      <c r="F528" s="35"/>
      <c r="G528" s="35"/>
      <c r="H528" s="35"/>
    </row>
    <row r="529" spans="2:8" x14ac:dyDescent="0.35">
      <c r="B529" s="6"/>
      <c r="C529" s="7"/>
      <c r="D529" s="35"/>
      <c r="E529" s="35"/>
      <c r="F529" s="35"/>
      <c r="G529" s="35"/>
      <c r="H529" s="35"/>
    </row>
    <row r="530" spans="2:8" x14ac:dyDescent="0.35">
      <c r="B530" s="6"/>
      <c r="C530" s="7"/>
      <c r="D530" s="35"/>
      <c r="E530" s="35"/>
      <c r="F530" s="35"/>
      <c r="G530" s="35"/>
      <c r="H530" s="35"/>
    </row>
    <row r="531" spans="2:8" x14ac:dyDescent="0.35">
      <c r="B531" s="6"/>
      <c r="C531" s="7"/>
      <c r="D531" s="35"/>
      <c r="E531" s="35"/>
      <c r="F531" s="35"/>
      <c r="G531" s="35"/>
      <c r="H531" s="35"/>
    </row>
    <row r="532" spans="2:8" x14ac:dyDescent="0.35">
      <c r="B532" s="6"/>
      <c r="C532" s="7"/>
      <c r="D532" s="35"/>
      <c r="E532" s="35"/>
      <c r="F532" s="35"/>
      <c r="G532" s="35"/>
      <c r="H532" s="35"/>
    </row>
    <row r="533" spans="2:8" x14ac:dyDescent="0.35">
      <c r="B533" s="6"/>
      <c r="C533" s="7"/>
      <c r="D533" s="35"/>
      <c r="E533" s="35"/>
      <c r="F533" s="35"/>
      <c r="G533" s="35"/>
      <c r="H533" s="35"/>
    </row>
    <row r="534" spans="2:8" x14ac:dyDescent="0.35">
      <c r="B534" s="6"/>
      <c r="C534" s="7"/>
      <c r="D534" s="35"/>
      <c r="E534" s="35"/>
      <c r="F534" s="35"/>
      <c r="G534" s="35"/>
      <c r="H534" s="35"/>
    </row>
    <row r="535" spans="2:8" x14ac:dyDescent="0.35">
      <c r="B535" s="6"/>
      <c r="C535" s="7"/>
      <c r="D535" s="35"/>
      <c r="E535" s="35"/>
      <c r="F535" s="35"/>
      <c r="G535" s="35"/>
      <c r="H535" s="35"/>
    </row>
    <row r="536" spans="2:8" x14ac:dyDescent="0.35">
      <c r="B536" s="6"/>
      <c r="C536" s="7"/>
      <c r="D536" s="35"/>
      <c r="E536" s="35"/>
      <c r="F536" s="35"/>
      <c r="G536" s="35"/>
      <c r="H536" s="35"/>
    </row>
    <row r="537" spans="2:8" x14ac:dyDescent="0.35">
      <c r="B537" s="6"/>
      <c r="C537" s="7"/>
      <c r="D537" s="35"/>
      <c r="E537" s="35"/>
      <c r="F537" s="35"/>
      <c r="G537" s="35"/>
      <c r="H537" s="35"/>
    </row>
    <row r="538" spans="2:8" x14ac:dyDescent="0.35">
      <c r="B538" s="6"/>
      <c r="C538" s="7"/>
      <c r="D538" s="35"/>
      <c r="E538" s="35"/>
      <c r="F538" s="35"/>
      <c r="G538" s="35"/>
      <c r="H538" s="35"/>
    </row>
    <row r="539" spans="2:8" x14ac:dyDescent="0.35">
      <c r="B539" s="6"/>
      <c r="C539" s="7"/>
      <c r="D539" s="35"/>
      <c r="E539" s="35"/>
      <c r="F539" s="35"/>
      <c r="G539" s="35"/>
      <c r="H539" s="35"/>
    </row>
    <row r="540" spans="2:8" x14ac:dyDescent="0.35">
      <c r="B540" s="6"/>
      <c r="C540" s="7"/>
      <c r="D540" s="35"/>
      <c r="E540" s="35"/>
      <c r="F540" s="35"/>
      <c r="G540" s="35"/>
      <c r="H540" s="35"/>
    </row>
    <row r="541" spans="2:8" x14ac:dyDescent="0.35">
      <c r="B541" s="6"/>
      <c r="C541" s="7"/>
      <c r="D541" s="35"/>
      <c r="E541" s="35"/>
      <c r="F541" s="35"/>
      <c r="G541" s="35"/>
      <c r="H541" s="35"/>
    </row>
    <row r="542" spans="2:8" x14ac:dyDescent="0.35">
      <c r="B542" s="6"/>
      <c r="C542" s="7"/>
      <c r="D542" s="35"/>
      <c r="E542" s="35"/>
      <c r="F542" s="35"/>
      <c r="G542" s="35"/>
      <c r="H542" s="35"/>
    </row>
    <row r="543" spans="2:8" x14ac:dyDescent="0.35">
      <c r="B543" s="6"/>
      <c r="C543" s="7"/>
      <c r="D543" s="35"/>
      <c r="E543" s="35"/>
      <c r="F543" s="35"/>
      <c r="G543" s="35"/>
      <c r="H543" s="35"/>
    </row>
    <row r="544" spans="2:8" x14ac:dyDescent="0.35">
      <c r="B544" s="6"/>
      <c r="C544" s="7"/>
      <c r="D544" s="35"/>
      <c r="E544" s="35"/>
      <c r="F544" s="35"/>
      <c r="G544" s="35"/>
      <c r="H544" s="35"/>
    </row>
    <row r="545" spans="2:8" x14ac:dyDescent="0.35">
      <c r="B545" s="6"/>
      <c r="C545" s="7"/>
      <c r="D545" s="35"/>
      <c r="E545" s="35"/>
      <c r="F545" s="35"/>
      <c r="G545" s="35"/>
      <c r="H545" s="35"/>
    </row>
    <row r="546" spans="2:8" x14ac:dyDescent="0.35">
      <c r="B546" s="6"/>
      <c r="C546" s="7"/>
      <c r="D546" s="35"/>
      <c r="E546" s="35"/>
      <c r="F546" s="35"/>
      <c r="G546" s="35"/>
      <c r="H546" s="35"/>
    </row>
    <row r="547" spans="2:8" x14ac:dyDescent="0.35">
      <c r="B547" s="6"/>
      <c r="C547" s="7"/>
      <c r="D547" s="35"/>
      <c r="E547" s="35"/>
      <c r="F547" s="35"/>
      <c r="G547" s="35"/>
      <c r="H547" s="35"/>
    </row>
    <row r="548" spans="2:8" x14ac:dyDescent="0.35">
      <c r="B548" s="6"/>
      <c r="C548" s="7"/>
      <c r="D548" s="35"/>
      <c r="E548" s="35"/>
      <c r="F548" s="35"/>
      <c r="G548" s="35"/>
      <c r="H548" s="35"/>
    </row>
    <row r="549" spans="2:8" x14ac:dyDescent="0.35">
      <c r="B549" s="6"/>
      <c r="C549" s="7"/>
      <c r="D549" s="35"/>
      <c r="E549" s="35"/>
      <c r="F549" s="35"/>
      <c r="G549" s="35"/>
      <c r="H549" s="35"/>
    </row>
    <row r="550" spans="2:8" x14ac:dyDescent="0.35">
      <c r="B550" s="6"/>
      <c r="C550" s="7"/>
      <c r="D550" s="35"/>
      <c r="E550" s="35"/>
      <c r="F550" s="35"/>
      <c r="G550" s="35"/>
      <c r="H550" s="35"/>
    </row>
    <row r="551" spans="2:8" x14ac:dyDescent="0.35">
      <c r="B551" s="6"/>
      <c r="C551" s="7"/>
      <c r="D551" s="35"/>
      <c r="E551" s="35"/>
      <c r="F551" s="35"/>
      <c r="G551" s="35"/>
      <c r="H551" s="35"/>
    </row>
    <row r="552" spans="2:8" x14ac:dyDescent="0.35">
      <c r="B552" s="6"/>
      <c r="C552" s="7"/>
      <c r="D552" s="35"/>
      <c r="E552" s="35"/>
      <c r="F552" s="35"/>
      <c r="G552" s="35"/>
      <c r="H552" s="35"/>
    </row>
    <row r="553" spans="2:8" x14ac:dyDescent="0.35">
      <c r="B553" s="6"/>
      <c r="C553" s="7"/>
      <c r="D553" s="35"/>
      <c r="E553" s="35"/>
      <c r="F553" s="35"/>
      <c r="G553" s="35"/>
      <c r="H553" s="35"/>
    </row>
    <row r="554" spans="2:8" x14ac:dyDescent="0.35">
      <c r="B554" s="6"/>
      <c r="C554" s="7"/>
      <c r="D554" s="35"/>
      <c r="E554" s="35"/>
      <c r="F554" s="35"/>
      <c r="G554" s="35"/>
      <c r="H554" s="35"/>
    </row>
    <row r="555" spans="2:8" x14ac:dyDescent="0.35">
      <c r="B555" s="6"/>
      <c r="C555" s="7"/>
      <c r="D555" s="35"/>
      <c r="E555" s="35"/>
      <c r="F555" s="35"/>
      <c r="G555" s="35"/>
      <c r="H555" s="35"/>
    </row>
    <row r="556" spans="2:8" x14ac:dyDescent="0.35">
      <c r="B556" s="6"/>
      <c r="C556" s="7"/>
      <c r="D556" s="35"/>
      <c r="E556" s="35"/>
      <c r="F556" s="35"/>
      <c r="G556" s="35"/>
      <c r="H556" s="35"/>
    </row>
    <row r="557" spans="2:8" x14ac:dyDescent="0.35">
      <c r="B557" s="6"/>
      <c r="C557" s="7"/>
      <c r="D557" s="35"/>
      <c r="E557" s="35"/>
      <c r="F557" s="35"/>
      <c r="G557" s="35"/>
      <c r="H557" s="35"/>
    </row>
    <row r="558" spans="2:8" x14ac:dyDescent="0.35">
      <c r="B558" s="6"/>
      <c r="C558" s="7"/>
      <c r="D558" s="35"/>
      <c r="E558" s="35"/>
      <c r="F558" s="35"/>
      <c r="G558" s="35"/>
      <c r="H558" s="35"/>
    </row>
    <row r="559" spans="2:8" x14ac:dyDescent="0.35">
      <c r="B559" s="6"/>
      <c r="C559" s="7"/>
      <c r="D559" s="35"/>
      <c r="E559" s="35"/>
      <c r="F559" s="35"/>
      <c r="G559" s="35"/>
      <c r="H559" s="35"/>
    </row>
    <row r="560" spans="2:8" x14ac:dyDescent="0.35">
      <c r="B560" s="6"/>
      <c r="C560" s="7"/>
      <c r="D560" s="35"/>
      <c r="E560" s="35"/>
      <c r="F560" s="35"/>
      <c r="G560" s="35"/>
      <c r="H560" s="35"/>
    </row>
    <row r="561" spans="2:8" x14ac:dyDescent="0.35">
      <c r="B561" s="6"/>
      <c r="C561" s="7"/>
      <c r="D561" s="35"/>
      <c r="E561" s="35"/>
      <c r="F561" s="35"/>
      <c r="G561" s="35"/>
      <c r="H561" s="35"/>
    </row>
    <row r="562" spans="2:8" x14ac:dyDescent="0.35">
      <c r="B562" s="6"/>
      <c r="C562" s="7"/>
      <c r="D562" s="35"/>
      <c r="E562" s="35"/>
      <c r="F562" s="35"/>
      <c r="G562" s="35"/>
      <c r="H562" s="35"/>
    </row>
    <row r="563" spans="2:8" x14ac:dyDescent="0.35">
      <c r="B563" s="6"/>
      <c r="C563" s="7"/>
      <c r="D563" s="35"/>
      <c r="E563" s="35"/>
      <c r="F563" s="35"/>
      <c r="G563" s="35"/>
      <c r="H563" s="35"/>
    </row>
    <row r="564" spans="2:8" x14ac:dyDescent="0.35">
      <c r="B564" s="6"/>
      <c r="C564" s="7"/>
      <c r="D564" s="35"/>
      <c r="E564" s="35"/>
      <c r="F564" s="35"/>
      <c r="G564" s="35"/>
      <c r="H564" s="35"/>
    </row>
    <row r="565" spans="2:8" x14ac:dyDescent="0.35">
      <c r="B565" s="6"/>
      <c r="C565" s="7"/>
      <c r="D565" s="35"/>
      <c r="E565" s="35"/>
      <c r="F565" s="35"/>
      <c r="G565" s="35"/>
      <c r="H565" s="35"/>
    </row>
    <row r="566" spans="2:8" x14ac:dyDescent="0.35">
      <c r="B566" s="6"/>
      <c r="C566" s="7"/>
      <c r="D566" s="35"/>
      <c r="E566" s="35"/>
      <c r="F566" s="35"/>
      <c r="G566" s="35"/>
      <c r="H566" s="35"/>
    </row>
    <row r="567" spans="2:8" x14ac:dyDescent="0.35">
      <c r="B567" s="6"/>
      <c r="C567" s="7"/>
      <c r="D567" s="35"/>
      <c r="E567" s="35"/>
      <c r="F567" s="35"/>
      <c r="G567" s="35"/>
      <c r="H567" s="35"/>
    </row>
    <row r="568" spans="2:8" x14ac:dyDescent="0.35">
      <c r="B568" s="6"/>
      <c r="C568" s="7"/>
      <c r="D568" s="35"/>
      <c r="E568" s="35"/>
      <c r="F568" s="35"/>
      <c r="G568" s="35"/>
      <c r="H568" s="35"/>
    </row>
    <row r="569" spans="2:8" x14ac:dyDescent="0.35">
      <c r="B569" s="6"/>
      <c r="C569" s="7"/>
      <c r="D569" s="35"/>
      <c r="E569" s="35"/>
      <c r="F569" s="35"/>
      <c r="G569" s="35"/>
      <c r="H569" s="35"/>
    </row>
    <row r="570" spans="2:8" x14ac:dyDescent="0.35">
      <c r="B570" s="6"/>
      <c r="C570" s="7"/>
      <c r="D570" s="35"/>
      <c r="E570" s="35"/>
      <c r="F570" s="35"/>
      <c r="G570" s="35"/>
      <c r="H570" s="35"/>
    </row>
    <row r="571" spans="2:8" x14ac:dyDescent="0.35">
      <c r="B571" s="6"/>
      <c r="C571" s="7"/>
      <c r="D571" s="35"/>
      <c r="E571" s="35"/>
      <c r="F571" s="35"/>
      <c r="G571" s="35"/>
      <c r="H571" s="35"/>
    </row>
    <row r="572" spans="2:8" x14ac:dyDescent="0.35">
      <c r="B572" s="6"/>
      <c r="C572" s="7"/>
      <c r="D572" s="35"/>
      <c r="E572" s="35"/>
      <c r="F572" s="35"/>
      <c r="G572" s="35"/>
      <c r="H572" s="35"/>
    </row>
    <row r="573" spans="2:8" x14ac:dyDescent="0.35">
      <c r="B573" s="6"/>
      <c r="C573" s="7"/>
      <c r="D573" s="35"/>
      <c r="E573" s="35"/>
      <c r="F573" s="35"/>
      <c r="G573" s="35"/>
      <c r="H573" s="35"/>
    </row>
    <row r="574" spans="2:8" x14ac:dyDescent="0.35">
      <c r="B574" s="6"/>
      <c r="C574" s="7"/>
      <c r="D574" s="35"/>
      <c r="E574" s="35"/>
      <c r="F574" s="35"/>
      <c r="G574" s="35"/>
      <c r="H574" s="35"/>
    </row>
    <row r="575" spans="2:8" x14ac:dyDescent="0.35">
      <c r="B575" s="6"/>
      <c r="C575" s="7"/>
      <c r="D575" s="35"/>
      <c r="E575" s="35"/>
      <c r="F575" s="35"/>
      <c r="G575" s="35"/>
      <c r="H575" s="35"/>
    </row>
    <row r="576" spans="2:8" x14ac:dyDescent="0.35">
      <c r="B576" s="6"/>
      <c r="C576" s="7"/>
      <c r="D576" s="35"/>
      <c r="E576" s="35"/>
      <c r="F576" s="35"/>
      <c r="G576" s="35"/>
      <c r="H576" s="35"/>
    </row>
    <row r="577" spans="2:8" x14ac:dyDescent="0.35">
      <c r="B577" s="6"/>
      <c r="C577" s="7"/>
      <c r="D577" s="35"/>
      <c r="E577" s="35"/>
      <c r="F577" s="35"/>
      <c r="G577" s="35"/>
      <c r="H577" s="35"/>
    </row>
    <row r="578" spans="2:8" x14ac:dyDescent="0.35">
      <c r="B578" s="6"/>
      <c r="C578" s="7"/>
      <c r="D578" s="35"/>
      <c r="E578" s="35"/>
      <c r="F578" s="35"/>
      <c r="G578" s="35"/>
      <c r="H578" s="35"/>
    </row>
    <row r="579" spans="2:8" x14ac:dyDescent="0.35">
      <c r="B579" s="6"/>
      <c r="C579" s="7"/>
      <c r="D579" s="35"/>
      <c r="E579" s="35"/>
      <c r="F579" s="35"/>
      <c r="G579" s="35"/>
      <c r="H579" s="35"/>
    </row>
    <row r="580" spans="2:8" x14ac:dyDescent="0.35">
      <c r="B580" s="6"/>
      <c r="C580" s="7"/>
      <c r="D580" s="35"/>
      <c r="E580" s="35"/>
      <c r="F580" s="35"/>
      <c r="G580" s="35"/>
      <c r="H580" s="35"/>
    </row>
    <row r="581" spans="2:8" x14ac:dyDescent="0.35">
      <c r="B581" s="6"/>
      <c r="C581" s="7"/>
      <c r="D581" s="35"/>
      <c r="E581" s="35"/>
      <c r="F581" s="35"/>
      <c r="G581" s="35"/>
      <c r="H581" s="35"/>
    </row>
    <row r="582" spans="2:8" x14ac:dyDescent="0.35">
      <c r="B582" s="6"/>
      <c r="C582" s="7"/>
      <c r="D582" s="35"/>
      <c r="E582" s="35"/>
      <c r="F582" s="35"/>
      <c r="G582" s="35"/>
      <c r="H582" s="35"/>
    </row>
    <row r="583" spans="2:8" x14ac:dyDescent="0.35">
      <c r="B583" s="6"/>
      <c r="C583" s="7"/>
      <c r="D583" s="35"/>
      <c r="E583" s="35"/>
      <c r="F583" s="35"/>
      <c r="G583" s="35"/>
      <c r="H583" s="35"/>
    </row>
    <row r="584" spans="2:8" x14ac:dyDescent="0.35">
      <c r="B584" s="6"/>
      <c r="C584" s="7"/>
      <c r="D584" s="35"/>
      <c r="E584" s="35"/>
      <c r="F584" s="35"/>
      <c r="G584" s="35"/>
      <c r="H584" s="35"/>
    </row>
    <row r="585" spans="2:8" x14ac:dyDescent="0.35">
      <c r="B585" s="6"/>
      <c r="C585" s="7"/>
      <c r="D585" s="35"/>
      <c r="E585" s="35"/>
      <c r="F585" s="35"/>
      <c r="G585" s="35"/>
      <c r="H585" s="35"/>
    </row>
    <row r="586" spans="2:8" x14ac:dyDescent="0.35">
      <c r="B586" s="6"/>
      <c r="C586" s="7"/>
      <c r="D586" s="35"/>
      <c r="E586" s="35"/>
      <c r="F586" s="35"/>
      <c r="G586" s="35"/>
      <c r="H586" s="35"/>
    </row>
    <row r="587" spans="2:8" x14ac:dyDescent="0.35">
      <c r="B587" s="6"/>
      <c r="C587" s="7"/>
      <c r="D587" s="35"/>
      <c r="E587" s="35"/>
      <c r="F587" s="35"/>
      <c r="G587" s="35"/>
      <c r="H587" s="35"/>
    </row>
    <row r="588" spans="2:8" x14ac:dyDescent="0.35">
      <c r="B588" s="6"/>
      <c r="C588" s="7"/>
      <c r="D588" s="35"/>
      <c r="E588" s="35"/>
      <c r="F588" s="35"/>
      <c r="G588" s="35"/>
      <c r="H588" s="35"/>
    </row>
    <row r="589" spans="2:8" x14ac:dyDescent="0.35">
      <c r="B589" s="6"/>
      <c r="C589" s="7"/>
      <c r="D589" s="35"/>
      <c r="E589" s="35"/>
      <c r="F589" s="35"/>
      <c r="G589" s="35"/>
      <c r="H589" s="35"/>
    </row>
    <row r="590" spans="2:8" x14ac:dyDescent="0.35">
      <c r="B590" s="6"/>
      <c r="C590" s="7"/>
      <c r="D590" s="35"/>
      <c r="E590" s="35"/>
      <c r="F590" s="35"/>
      <c r="G590" s="35"/>
      <c r="H590" s="35"/>
    </row>
    <row r="591" spans="2:8" x14ac:dyDescent="0.35">
      <c r="B591" s="6"/>
      <c r="C591" s="7"/>
      <c r="D591" s="35"/>
      <c r="E591" s="35"/>
      <c r="F591" s="35"/>
      <c r="G591" s="35"/>
      <c r="H591" s="35"/>
    </row>
    <row r="592" spans="2:8" x14ac:dyDescent="0.35">
      <c r="B592" s="6"/>
      <c r="C592" s="7"/>
      <c r="D592" s="35"/>
      <c r="E592" s="35"/>
      <c r="F592" s="35"/>
      <c r="G592" s="35"/>
      <c r="H592" s="35"/>
    </row>
    <row r="593" spans="2:8" x14ac:dyDescent="0.35">
      <c r="B593" s="6"/>
      <c r="C593" s="7"/>
      <c r="D593" s="35"/>
      <c r="E593" s="35"/>
      <c r="F593" s="35"/>
      <c r="G593" s="35"/>
      <c r="H593" s="35"/>
    </row>
    <row r="594" spans="2:8" x14ac:dyDescent="0.35">
      <c r="B594" s="6"/>
      <c r="C594" s="7"/>
      <c r="D594" s="35"/>
      <c r="E594" s="35"/>
      <c r="F594" s="35"/>
      <c r="G594" s="35"/>
      <c r="H594" s="35"/>
    </row>
    <row r="595" spans="2:8" x14ac:dyDescent="0.35">
      <c r="B595" s="6"/>
      <c r="C595" s="7"/>
      <c r="D595" s="35"/>
      <c r="E595" s="35"/>
      <c r="F595" s="35"/>
      <c r="G595" s="35"/>
      <c r="H595" s="35"/>
    </row>
    <row r="596" spans="2:8" x14ac:dyDescent="0.35">
      <c r="B596" s="6"/>
      <c r="C596" s="7"/>
      <c r="D596" s="35"/>
      <c r="E596" s="35"/>
      <c r="F596" s="35"/>
      <c r="G596" s="35"/>
      <c r="H596" s="35"/>
    </row>
    <row r="597" spans="2:8" x14ac:dyDescent="0.35">
      <c r="B597" s="6"/>
      <c r="C597" s="7"/>
      <c r="D597" s="35"/>
      <c r="E597" s="35"/>
      <c r="F597" s="35"/>
      <c r="G597" s="35"/>
      <c r="H597" s="35"/>
    </row>
    <row r="598" spans="2:8" x14ac:dyDescent="0.35">
      <c r="B598" s="6"/>
      <c r="C598" s="7"/>
      <c r="D598" s="35"/>
      <c r="E598" s="35"/>
      <c r="F598" s="35"/>
      <c r="G598" s="35"/>
      <c r="H598" s="35"/>
    </row>
    <row r="599" spans="2:8" x14ac:dyDescent="0.35">
      <c r="B599" s="6"/>
      <c r="C599" s="7"/>
      <c r="D599" s="35"/>
      <c r="E599" s="35"/>
      <c r="F599" s="35"/>
      <c r="G599" s="35"/>
      <c r="H599" s="35"/>
    </row>
    <row r="600" spans="2:8" x14ac:dyDescent="0.35">
      <c r="B600" s="6"/>
      <c r="C600" s="7"/>
      <c r="D600" s="35"/>
      <c r="E600" s="35"/>
      <c r="F600" s="35"/>
      <c r="G600" s="35"/>
      <c r="H600" s="35"/>
    </row>
    <row r="601" spans="2:8" x14ac:dyDescent="0.35">
      <c r="B601" s="6"/>
      <c r="C601" s="7"/>
      <c r="D601" s="35"/>
      <c r="E601" s="35"/>
      <c r="F601" s="35"/>
      <c r="G601" s="35"/>
      <c r="H601" s="35"/>
    </row>
    <row r="602" spans="2:8" x14ac:dyDescent="0.35">
      <c r="B602" s="6"/>
      <c r="C602" s="7"/>
      <c r="D602" s="35"/>
      <c r="E602" s="35"/>
      <c r="F602" s="35"/>
      <c r="G602" s="35"/>
      <c r="H602" s="35"/>
    </row>
    <row r="603" spans="2:8" x14ac:dyDescent="0.35">
      <c r="B603" s="6"/>
      <c r="C603" s="7"/>
      <c r="D603" s="35"/>
      <c r="E603" s="35"/>
      <c r="F603" s="35"/>
      <c r="G603" s="35"/>
      <c r="H603" s="35"/>
    </row>
    <row r="604" spans="2:8" x14ac:dyDescent="0.35">
      <c r="B604" s="6"/>
      <c r="C604" s="7"/>
      <c r="D604" s="35"/>
      <c r="E604" s="35"/>
      <c r="F604" s="35"/>
      <c r="G604" s="35"/>
      <c r="H604" s="35"/>
    </row>
    <row r="605" spans="2:8" x14ac:dyDescent="0.35">
      <c r="B605" s="6"/>
      <c r="C605" s="7"/>
      <c r="D605" s="35"/>
      <c r="E605" s="35"/>
      <c r="F605" s="35"/>
      <c r="G605" s="35"/>
      <c r="H605" s="35"/>
    </row>
    <row r="606" spans="2:8" x14ac:dyDescent="0.35">
      <c r="B606" s="6"/>
      <c r="C606" s="7"/>
      <c r="D606" s="35"/>
      <c r="E606" s="35"/>
      <c r="F606" s="35"/>
      <c r="G606" s="35"/>
      <c r="H606" s="35"/>
    </row>
    <row r="607" spans="2:8" x14ac:dyDescent="0.35">
      <c r="B607" s="6"/>
      <c r="C607" s="7"/>
      <c r="D607" s="35"/>
      <c r="E607" s="35"/>
      <c r="F607" s="35"/>
      <c r="G607" s="35"/>
      <c r="H607" s="35"/>
    </row>
    <row r="608" spans="2:8" x14ac:dyDescent="0.35">
      <c r="B608" s="6"/>
      <c r="C608" s="7"/>
      <c r="D608" s="35"/>
      <c r="E608" s="35"/>
      <c r="F608" s="35"/>
      <c r="G608" s="35"/>
      <c r="H608" s="35"/>
    </row>
    <row r="609" spans="2:8" x14ac:dyDescent="0.35">
      <c r="B609" s="6"/>
      <c r="C609" s="7"/>
      <c r="D609" s="35"/>
      <c r="E609" s="35"/>
      <c r="F609" s="35"/>
      <c r="G609" s="35"/>
      <c r="H609" s="35"/>
    </row>
    <row r="610" spans="2:8" x14ac:dyDescent="0.35">
      <c r="B610" s="6"/>
      <c r="C610" s="7"/>
      <c r="D610" s="35"/>
      <c r="E610" s="35"/>
      <c r="F610" s="35"/>
      <c r="G610" s="35"/>
      <c r="H610" s="35"/>
    </row>
    <row r="611" spans="2:8" x14ac:dyDescent="0.35">
      <c r="B611" s="6"/>
      <c r="C611" s="7"/>
      <c r="D611" s="35"/>
      <c r="E611" s="35"/>
      <c r="F611" s="35"/>
      <c r="G611" s="35"/>
      <c r="H611" s="35"/>
    </row>
    <row r="612" spans="2:8" x14ac:dyDescent="0.35">
      <c r="B612" s="6"/>
      <c r="C612" s="7"/>
      <c r="D612" s="35"/>
      <c r="E612" s="35"/>
      <c r="F612" s="35"/>
      <c r="G612" s="35"/>
      <c r="H612" s="35"/>
    </row>
    <row r="613" spans="2:8" x14ac:dyDescent="0.35">
      <c r="B613" s="6"/>
      <c r="C613" s="7"/>
      <c r="D613" s="35"/>
      <c r="E613" s="35"/>
      <c r="F613" s="35"/>
      <c r="G613" s="35"/>
      <c r="H613" s="35"/>
    </row>
    <row r="614" spans="2:8" x14ac:dyDescent="0.35">
      <c r="B614" s="6"/>
      <c r="C614" s="7"/>
      <c r="D614" s="35"/>
      <c r="E614" s="35"/>
      <c r="F614" s="35"/>
      <c r="G614" s="35"/>
      <c r="H614" s="35"/>
    </row>
    <row r="615" spans="2:8" x14ac:dyDescent="0.35">
      <c r="B615" s="6"/>
      <c r="C615" s="7"/>
      <c r="D615" s="35"/>
      <c r="E615" s="35"/>
      <c r="F615" s="35"/>
      <c r="G615" s="35"/>
      <c r="H615" s="35"/>
    </row>
    <row r="616" spans="2:8" x14ac:dyDescent="0.35">
      <c r="B616" s="6"/>
      <c r="C616" s="7"/>
      <c r="D616" s="35"/>
      <c r="E616" s="35"/>
      <c r="F616" s="35"/>
      <c r="G616" s="35"/>
      <c r="H616" s="35"/>
    </row>
    <row r="617" spans="2:8" x14ac:dyDescent="0.35">
      <c r="B617" s="6"/>
      <c r="C617" s="7"/>
      <c r="D617" s="35"/>
      <c r="E617" s="35"/>
      <c r="F617" s="35"/>
      <c r="G617" s="35"/>
      <c r="H617" s="35"/>
    </row>
    <row r="618" spans="2:8" x14ac:dyDescent="0.35">
      <c r="B618" s="6"/>
      <c r="C618" s="7"/>
      <c r="D618" s="35"/>
      <c r="E618" s="35"/>
      <c r="F618" s="35"/>
      <c r="G618" s="35"/>
      <c r="H618" s="35"/>
    </row>
    <row r="619" spans="2:8" x14ac:dyDescent="0.35">
      <c r="B619" s="6"/>
      <c r="C619" s="7"/>
      <c r="D619" s="35"/>
      <c r="E619" s="35"/>
      <c r="F619" s="35"/>
      <c r="G619" s="35"/>
      <c r="H619" s="35"/>
    </row>
    <row r="620" spans="2:8" x14ac:dyDescent="0.35">
      <c r="B620" s="6"/>
      <c r="C620" s="7"/>
      <c r="D620" s="35"/>
      <c r="E620" s="35"/>
      <c r="F620" s="35"/>
      <c r="G620" s="35"/>
      <c r="H620" s="35"/>
    </row>
    <row r="621" spans="2:8" x14ac:dyDescent="0.35">
      <c r="B621" s="6"/>
      <c r="C621" s="7"/>
      <c r="D621" s="35"/>
      <c r="E621" s="35"/>
      <c r="F621" s="35"/>
      <c r="G621" s="35"/>
      <c r="H621" s="35"/>
    </row>
    <row r="622" spans="2:8" x14ac:dyDescent="0.35">
      <c r="B622" s="6"/>
      <c r="C622" s="7"/>
      <c r="D622" s="35"/>
      <c r="E622" s="35"/>
      <c r="F622" s="35"/>
      <c r="G622" s="35"/>
      <c r="H622" s="35"/>
    </row>
    <row r="623" spans="2:8" x14ac:dyDescent="0.35">
      <c r="B623" s="6"/>
      <c r="C623" s="7"/>
      <c r="D623" s="35"/>
      <c r="E623" s="35"/>
      <c r="F623" s="35"/>
      <c r="G623" s="35"/>
      <c r="H623" s="35"/>
    </row>
    <row r="624" spans="2:8" x14ac:dyDescent="0.35">
      <c r="B624" s="6"/>
      <c r="C624" s="7"/>
      <c r="D624" s="35"/>
      <c r="E624" s="35"/>
      <c r="F624" s="35"/>
      <c r="G624" s="35"/>
      <c r="H624" s="35"/>
    </row>
    <row r="625" spans="2:8" x14ac:dyDescent="0.35">
      <c r="B625" s="6"/>
      <c r="C625" s="7"/>
      <c r="D625" s="35"/>
      <c r="E625" s="35"/>
      <c r="F625" s="35"/>
      <c r="G625" s="35"/>
      <c r="H625" s="35"/>
    </row>
    <row r="626" spans="2:8" x14ac:dyDescent="0.35">
      <c r="B626" s="6"/>
      <c r="C626" s="7"/>
      <c r="D626" s="35"/>
      <c r="E626" s="35"/>
      <c r="F626" s="35"/>
      <c r="G626" s="35"/>
      <c r="H626" s="35"/>
    </row>
    <row r="627" spans="2:8" x14ac:dyDescent="0.35">
      <c r="B627" s="6"/>
      <c r="C627" s="7"/>
      <c r="D627" s="35"/>
      <c r="E627" s="35"/>
      <c r="F627" s="35"/>
      <c r="G627" s="35"/>
      <c r="H627" s="35"/>
    </row>
    <row r="628" spans="2:8" x14ac:dyDescent="0.35">
      <c r="B628" s="6"/>
      <c r="C628" s="7"/>
      <c r="D628" s="35"/>
      <c r="E628" s="35"/>
      <c r="F628" s="35"/>
      <c r="G628" s="35"/>
      <c r="H628" s="35"/>
    </row>
    <row r="629" spans="2:8" x14ac:dyDescent="0.35">
      <c r="B629" s="6"/>
      <c r="C629" s="7"/>
      <c r="D629" s="35"/>
      <c r="E629" s="35"/>
      <c r="F629" s="35"/>
      <c r="G629" s="35"/>
      <c r="H629" s="35"/>
    </row>
    <row r="630" spans="2:8" x14ac:dyDescent="0.35">
      <c r="B630" s="6"/>
      <c r="C630" s="7"/>
      <c r="D630" s="35"/>
      <c r="E630" s="35"/>
      <c r="F630" s="35"/>
      <c r="G630" s="35"/>
      <c r="H630" s="35"/>
    </row>
    <row r="631" spans="2:8" x14ac:dyDescent="0.35">
      <c r="B631" s="6"/>
      <c r="C631" s="7"/>
      <c r="D631" s="35"/>
      <c r="E631" s="35"/>
      <c r="F631" s="35"/>
      <c r="G631" s="35"/>
      <c r="H631" s="35"/>
    </row>
    <row r="632" spans="2:8" x14ac:dyDescent="0.35">
      <c r="B632" s="6"/>
      <c r="C632" s="7"/>
      <c r="D632" s="35"/>
      <c r="E632" s="35"/>
      <c r="F632" s="35"/>
      <c r="G632" s="35"/>
      <c r="H632" s="35"/>
    </row>
    <row r="633" spans="2:8" x14ac:dyDescent="0.35">
      <c r="B633" s="6"/>
      <c r="C633" s="7"/>
      <c r="D633" s="35"/>
      <c r="E633" s="35"/>
      <c r="F633" s="35"/>
      <c r="G633" s="35"/>
      <c r="H633" s="35"/>
    </row>
    <row r="634" spans="2:8" x14ac:dyDescent="0.35">
      <c r="B634" s="6"/>
      <c r="C634" s="7"/>
      <c r="D634" s="35"/>
      <c r="E634" s="35"/>
      <c r="F634" s="35"/>
      <c r="G634" s="35"/>
      <c r="H634" s="35"/>
    </row>
    <row r="635" spans="2:8" x14ac:dyDescent="0.35">
      <c r="B635" s="6"/>
      <c r="C635" s="7"/>
      <c r="D635" s="35"/>
      <c r="E635" s="35"/>
      <c r="F635" s="35"/>
      <c r="G635" s="35"/>
      <c r="H635" s="35"/>
    </row>
    <row r="636" spans="2:8" x14ac:dyDescent="0.35">
      <c r="B636" s="6"/>
      <c r="C636" s="7"/>
      <c r="D636" s="35"/>
      <c r="E636" s="35"/>
      <c r="F636" s="35"/>
      <c r="G636" s="35"/>
      <c r="H636" s="35"/>
    </row>
    <row r="637" spans="2:8" x14ac:dyDescent="0.35">
      <c r="B637" s="6"/>
      <c r="C637" s="7"/>
      <c r="D637" s="35"/>
      <c r="E637" s="35"/>
      <c r="F637" s="35"/>
      <c r="G637" s="35"/>
      <c r="H637" s="35"/>
    </row>
    <row r="638" spans="2:8" x14ac:dyDescent="0.35">
      <c r="B638" s="6"/>
      <c r="C638" s="7"/>
      <c r="D638" s="35"/>
      <c r="E638" s="35"/>
      <c r="F638" s="35"/>
      <c r="G638" s="35"/>
      <c r="H638" s="35"/>
    </row>
    <row r="639" spans="2:8" x14ac:dyDescent="0.35">
      <c r="B639" s="6"/>
      <c r="C639" s="7"/>
      <c r="D639" s="35"/>
      <c r="E639" s="35"/>
      <c r="F639" s="35"/>
      <c r="G639" s="35"/>
      <c r="H639" s="35"/>
    </row>
    <row r="640" spans="2:8" x14ac:dyDescent="0.35">
      <c r="B640" s="6"/>
      <c r="C640" s="7"/>
      <c r="D640" s="35"/>
      <c r="E640" s="35"/>
      <c r="F640" s="35"/>
      <c r="G640" s="35"/>
      <c r="H640" s="35"/>
    </row>
    <row r="641" spans="2:8" x14ac:dyDescent="0.35">
      <c r="B641" s="6"/>
      <c r="C641" s="7"/>
      <c r="D641" s="35"/>
      <c r="E641" s="35"/>
      <c r="F641" s="35"/>
      <c r="G641" s="35"/>
      <c r="H641" s="35"/>
    </row>
    <row r="642" spans="2:8" x14ac:dyDescent="0.35">
      <c r="B642" s="6"/>
      <c r="C642" s="7"/>
      <c r="D642" s="35"/>
      <c r="E642" s="35"/>
      <c r="F642" s="35"/>
      <c r="G642" s="35"/>
      <c r="H642" s="35"/>
    </row>
    <row r="643" spans="2:8" x14ac:dyDescent="0.35">
      <c r="B643" s="6"/>
      <c r="C643" s="7"/>
      <c r="D643" s="35"/>
      <c r="E643" s="35"/>
      <c r="F643" s="35"/>
      <c r="G643" s="35"/>
      <c r="H643" s="35"/>
    </row>
    <row r="644" spans="2:8" x14ac:dyDescent="0.35">
      <c r="B644" s="6"/>
      <c r="C644" s="7"/>
      <c r="D644" s="35"/>
      <c r="E644" s="35"/>
      <c r="F644" s="35"/>
      <c r="G644" s="35"/>
      <c r="H644" s="35"/>
    </row>
    <row r="645" spans="2:8" x14ac:dyDescent="0.35">
      <c r="B645" s="6"/>
      <c r="C645" s="7"/>
      <c r="D645" s="35"/>
      <c r="E645" s="35"/>
      <c r="F645" s="35"/>
      <c r="G645" s="35"/>
      <c r="H645" s="35"/>
    </row>
    <row r="646" spans="2:8" x14ac:dyDescent="0.35">
      <c r="B646" s="6"/>
      <c r="C646" s="7"/>
      <c r="D646" s="35"/>
      <c r="E646" s="35"/>
      <c r="F646" s="35"/>
      <c r="G646" s="35"/>
      <c r="H646" s="35"/>
    </row>
    <row r="647" spans="2:8" x14ac:dyDescent="0.35">
      <c r="B647" s="6"/>
      <c r="C647" s="7"/>
      <c r="D647" s="35"/>
      <c r="E647" s="35"/>
      <c r="F647" s="35"/>
      <c r="G647" s="35"/>
      <c r="H647" s="35"/>
    </row>
    <row r="648" spans="2:8" x14ac:dyDescent="0.35">
      <c r="B648" s="6"/>
      <c r="C648" s="7"/>
      <c r="D648" s="35"/>
      <c r="E648" s="35"/>
      <c r="F648" s="35"/>
      <c r="G648" s="35"/>
      <c r="H648" s="35"/>
    </row>
    <row r="649" spans="2:8" x14ac:dyDescent="0.35">
      <c r="B649" s="6"/>
      <c r="C649" s="7"/>
      <c r="D649" s="35"/>
      <c r="E649" s="35"/>
      <c r="F649" s="35"/>
      <c r="G649" s="35"/>
      <c r="H649" s="35"/>
    </row>
    <row r="650" spans="2:8" x14ac:dyDescent="0.35">
      <c r="B650" s="6"/>
      <c r="C650" s="7"/>
      <c r="D650" s="35"/>
      <c r="E650" s="35"/>
      <c r="F650" s="35"/>
      <c r="G650" s="35"/>
      <c r="H650" s="35"/>
    </row>
    <row r="651" spans="2:8" x14ac:dyDescent="0.35">
      <c r="B651" s="6"/>
      <c r="C651" s="7"/>
      <c r="D651" s="35"/>
      <c r="E651" s="35"/>
      <c r="F651" s="35"/>
      <c r="G651" s="35"/>
      <c r="H651" s="35"/>
    </row>
    <row r="652" spans="2:8" x14ac:dyDescent="0.35">
      <c r="B652" s="6"/>
      <c r="C652" s="7"/>
      <c r="D652" s="35"/>
      <c r="E652" s="35"/>
      <c r="F652" s="35"/>
      <c r="G652" s="35"/>
      <c r="H652" s="35"/>
    </row>
    <row r="653" spans="2:8" x14ac:dyDescent="0.35">
      <c r="B653" s="6"/>
      <c r="C653" s="7"/>
      <c r="D653" s="35"/>
      <c r="E653" s="35"/>
      <c r="F653" s="35"/>
      <c r="G653" s="35"/>
      <c r="H653" s="35"/>
    </row>
    <row r="654" spans="2:8" x14ac:dyDescent="0.35">
      <c r="B654" s="6"/>
      <c r="C654" s="7"/>
      <c r="D654" s="35"/>
      <c r="E654" s="35"/>
      <c r="F654" s="35"/>
      <c r="G654" s="35"/>
      <c r="H654" s="35"/>
    </row>
    <row r="655" spans="2:8" x14ac:dyDescent="0.35">
      <c r="B655" s="6"/>
      <c r="C655" s="7"/>
      <c r="D655" s="35"/>
      <c r="E655" s="35"/>
      <c r="F655" s="35"/>
      <c r="G655" s="35"/>
      <c r="H655" s="35"/>
    </row>
    <row r="656" spans="2:8" x14ac:dyDescent="0.35">
      <c r="B656" s="6"/>
      <c r="C656" s="7"/>
      <c r="D656" s="35"/>
      <c r="E656" s="35"/>
      <c r="F656" s="35"/>
      <c r="G656" s="35"/>
      <c r="H656" s="35"/>
    </row>
    <row r="657" spans="2:8" x14ac:dyDescent="0.35">
      <c r="B657" s="6"/>
      <c r="C657" s="7"/>
      <c r="D657" s="35"/>
      <c r="E657" s="35"/>
      <c r="F657" s="35"/>
      <c r="G657" s="35"/>
      <c r="H657" s="35"/>
    </row>
    <row r="658" spans="2:8" x14ac:dyDescent="0.35">
      <c r="B658" s="6"/>
      <c r="C658" s="7"/>
      <c r="D658" s="35"/>
      <c r="E658" s="35"/>
      <c r="F658" s="35"/>
      <c r="G658" s="35"/>
      <c r="H658" s="35"/>
    </row>
    <row r="659" spans="2:8" x14ac:dyDescent="0.35">
      <c r="B659" s="6"/>
      <c r="C659" s="7"/>
      <c r="D659" s="35"/>
      <c r="E659" s="35"/>
      <c r="F659" s="35"/>
      <c r="G659" s="35"/>
      <c r="H659" s="35"/>
    </row>
    <row r="660" spans="2:8" x14ac:dyDescent="0.35">
      <c r="B660" s="6"/>
      <c r="C660" s="7"/>
      <c r="D660" s="35"/>
      <c r="E660" s="35"/>
      <c r="F660" s="35"/>
      <c r="G660" s="35"/>
      <c r="H660" s="35"/>
    </row>
    <row r="661" spans="2:8" x14ac:dyDescent="0.35">
      <c r="B661" s="6"/>
      <c r="C661" s="7"/>
      <c r="D661" s="35"/>
      <c r="E661" s="35"/>
      <c r="F661" s="35"/>
      <c r="G661" s="35"/>
      <c r="H661" s="35"/>
    </row>
    <row r="662" spans="2:8" x14ac:dyDescent="0.35">
      <c r="B662" s="6"/>
      <c r="C662" s="7"/>
      <c r="D662" s="35"/>
      <c r="E662" s="35"/>
      <c r="F662" s="35"/>
      <c r="G662" s="35"/>
      <c r="H662" s="35"/>
    </row>
    <row r="663" spans="2:8" x14ac:dyDescent="0.35">
      <c r="B663" s="6"/>
      <c r="C663" s="7"/>
      <c r="D663" s="35"/>
      <c r="E663" s="35"/>
      <c r="F663" s="35"/>
      <c r="G663" s="35"/>
      <c r="H663" s="35"/>
    </row>
    <row r="664" spans="2:8" x14ac:dyDescent="0.35">
      <c r="B664" s="6"/>
      <c r="C664" s="7"/>
      <c r="D664" s="35"/>
      <c r="E664" s="35"/>
      <c r="F664" s="35"/>
      <c r="G664" s="35"/>
      <c r="H664" s="35"/>
    </row>
    <row r="665" spans="2:8" x14ac:dyDescent="0.35">
      <c r="B665" s="6"/>
      <c r="C665" s="7"/>
      <c r="D665" s="35"/>
      <c r="E665" s="35"/>
      <c r="F665" s="35"/>
      <c r="G665" s="35"/>
      <c r="H665" s="35"/>
    </row>
    <row r="666" spans="2:8" x14ac:dyDescent="0.35">
      <c r="B666" s="6"/>
      <c r="C666" s="7"/>
      <c r="D666" s="35"/>
      <c r="E666" s="35"/>
      <c r="F666" s="35"/>
      <c r="G666" s="35"/>
      <c r="H666" s="35"/>
    </row>
    <row r="667" spans="2:8" x14ac:dyDescent="0.35">
      <c r="B667" s="6"/>
      <c r="C667" s="7"/>
      <c r="D667" s="35"/>
      <c r="E667" s="35"/>
      <c r="F667" s="35"/>
      <c r="G667" s="35"/>
      <c r="H667" s="35"/>
    </row>
    <row r="668" spans="2:8" x14ac:dyDescent="0.35">
      <c r="B668" s="6"/>
      <c r="C668" s="7"/>
      <c r="D668" s="35"/>
      <c r="E668" s="35"/>
      <c r="F668" s="35"/>
      <c r="G668" s="35"/>
      <c r="H668" s="35"/>
    </row>
    <row r="669" spans="2:8" x14ac:dyDescent="0.35">
      <c r="B669" s="6"/>
      <c r="C669" s="7"/>
      <c r="D669" s="35"/>
      <c r="E669" s="35"/>
      <c r="F669" s="35"/>
      <c r="G669" s="35"/>
      <c r="H669" s="35"/>
    </row>
    <row r="670" spans="2:8" x14ac:dyDescent="0.35">
      <c r="B670" s="6"/>
      <c r="C670" s="7"/>
      <c r="D670" s="35"/>
      <c r="E670" s="35"/>
      <c r="F670" s="35"/>
      <c r="G670" s="35"/>
      <c r="H670" s="35"/>
    </row>
    <row r="671" spans="2:8" x14ac:dyDescent="0.35">
      <c r="B671" s="6"/>
      <c r="C671" s="7"/>
      <c r="D671" s="35"/>
      <c r="E671" s="35"/>
      <c r="F671" s="35"/>
      <c r="G671" s="35"/>
      <c r="H671" s="35"/>
    </row>
    <row r="672" spans="2:8" x14ac:dyDescent="0.35">
      <c r="B672" s="6"/>
      <c r="C672" s="7"/>
      <c r="D672" s="35"/>
      <c r="E672" s="35"/>
      <c r="F672" s="35"/>
      <c r="G672" s="35"/>
      <c r="H672" s="35"/>
    </row>
    <row r="673" spans="2:8" x14ac:dyDescent="0.35">
      <c r="B673" s="6"/>
      <c r="C673" s="7"/>
      <c r="D673" s="35"/>
      <c r="E673" s="35"/>
      <c r="F673" s="35"/>
      <c r="G673" s="35"/>
      <c r="H673" s="35"/>
    </row>
    <row r="674" spans="2:8" x14ac:dyDescent="0.35">
      <c r="B674" s="6"/>
      <c r="C674" s="7"/>
      <c r="D674" s="35"/>
      <c r="E674" s="35"/>
      <c r="F674" s="35"/>
      <c r="G674" s="35"/>
      <c r="H674" s="35"/>
    </row>
    <row r="675" spans="2:8" x14ac:dyDescent="0.35">
      <c r="B675" s="6"/>
      <c r="C675" s="7"/>
      <c r="D675" s="35"/>
      <c r="E675" s="35"/>
      <c r="F675" s="35"/>
      <c r="G675" s="35"/>
      <c r="H675" s="35"/>
    </row>
    <row r="676" spans="2:8" x14ac:dyDescent="0.35">
      <c r="B676" s="6"/>
      <c r="C676" s="7"/>
      <c r="D676" s="35"/>
      <c r="E676" s="35"/>
      <c r="F676" s="35"/>
      <c r="G676" s="35"/>
      <c r="H676" s="35"/>
    </row>
    <row r="677" spans="2:8" x14ac:dyDescent="0.35">
      <c r="B677" s="6"/>
      <c r="C677" s="7"/>
      <c r="D677" s="35"/>
      <c r="E677" s="35"/>
      <c r="F677" s="35"/>
      <c r="G677" s="35"/>
      <c r="H677" s="35"/>
    </row>
    <row r="678" spans="2:8" x14ac:dyDescent="0.35">
      <c r="B678" s="6"/>
      <c r="C678" s="7"/>
      <c r="D678" s="35"/>
      <c r="E678" s="35"/>
      <c r="F678" s="35"/>
      <c r="G678" s="35"/>
      <c r="H678" s="35"/>
    </row>
    <row r="679" spans="2:8" x14ac:dyDescent="0.35">
      <c r="B679" s="6"/>
      <c r="C679" s="7"/>
      <c r="D679" s="35"/>
      <c r="E679" s="35"/>
      <c r="F679" s="35"/>
      <c r="G679" s="35"/>
      <c r="H679" s="35"/>
    </row>
    <row r="680" spans="2:8" x14ac:dyDescent="0.35">
      <c r="B680" s="6"/>
      <c r="C680" s="7"/>
      <c r="D680" s="35"/>
      <c r="E680" s="35"/>
      <c r="F680" s="35"/>
      <c r="G680" s="35"/>
      <c r="H680" s="35"/>
    </row>
    <row r="681" spans="2:8" x14ac:dyDescent="0.35">
      <c r="B681" s="6"/>
      <c r="C681" s="7"/>
      <c r="D681" s="35"/>
      <c r="E681" s="35"/>
      <c r="F681" s="35"/>
      <c r="G681" s="35"/>
      <c r="H681" s="35"/>
    </row>
    <row r="682" spans="2:8" x14ac:dyDescent="0.35">
      <c r="B682" s="6"/>
      <c r="C682" s="7"/>
      <c r="D682" s="35"/>
      <c r="E682" s="35"/>
      <c r="F682" s="35"/>
      <c r="G682" s="35"/>
      <c r="H682" s="35"/>
    </row>
    <row r="683" spans="2:8" x14ac:dyDescent="0.35">
      <c r="B683" s="6"/>
      <c r="C683" s="7"/>
      <c r="D683" s="35"/>
      <c r="E683" s="35"/>
      <c r="F683" s="35"/>
      <c r="G683" s="35"/>
      <c r="H683" s="35"/>
    </row>
    <row r="684" spans="2:8" x14ac:dyDescent="0.35">
      <c r="B684" s="6"/>
      <c r="C684" s="7"/>
      <c r="D684" s="35"/>
      <c r="E684" s="35"/>
      <c r="F684" s="35"/>
      <c r="G684" s="35"/>
      <c r="H684" s="35"/>
    </row>
    <row r="685" spans="2:8" x14ac:dyDescent="0.35">
      <c r="B685" s="6"/>
      <c r="C685" s="7"/>
      <c r="D685" s="35"/>
      <c r="E685" s="35"/>
      <c r="F685" s="35"/>
      <c r="G685" s="35"/>
      <c r="H685" s="35"/>
    </row>
    <row r="686" spans="2:8" x14ac:dyDescent="0.35">
      <c r="B686" s="6"/>
      <c r="C686" s="7"/>
      <c r="D686" s="35"/>
      <c r="E686" s="35"/>
      <c r="F686" s="35"/>
      <c r="G686" s="35"/>
      <c r="H686" s="35"/>
    </row>
    <row r="687" spans="2:8" x14ac:dyDescent="0.35">
      <c r="B687" s="6"/>
      <c r="C687" s="7"/>
      <c r="D687" s="35"/>
      <c r="E687" s="35"/>
      <c r="F687" s="35"/>
      <c r="G687" s="35"/>
      <c r="H687" s="35"/>
    </row>
    <row r="688" spans="2:8" x14ac:dyDescent="0.35">
      <c r="B688" s="6"/>
      <c r="C688" s="7"/>
      <c r="D688" s="35"/>
      <c r="E688" s="35"/>
      <c r="F688" s="35"/>
      <c r="G688" s="35"/>
      <c r="H688" s="35"/>
    </row>
    <row r="689" spans="2:8" x14ac:dyDescent="0.35">
      <c r="B689" s="6"/>
      <c r="C689" s="7"/>
      <c r="D689" s="35"/>
      <c r="E689" s="35"/>
      <c r="F689" s="35"/>
      <c r="G689" s="35"/>
      <c r="H689" s="35"/>
    </row>
    <row r="690" spans="2:8" x14ac:dyDescent="0.35">
      <c r="B690" s="6"/>
      <c r="C690" s="7"/>
      <c r="D690" s="35"/>
      <c r="E690" s="35"/>
      <c r="F690" s="35"/>
      <c r="G690" s="35"/>
      <c r="H690" s="35"/>
    </row>
    <row r="691" spans="2:8" x14ac:dyDescent="0.35">
      <c r="B691" s="6"/>
      <c r="C691" s="7"/>
      <c r="D691" s="35"/>
      <c r="E691" s="35"/>
      <c r="F691" s="35"/>
      <c r="G691" s="35"/>
      <c r="H691" s="35"/>
    </row>
    <row r="692" spans="2:8" x14ac:dyDescent="0.35">
      <c r="B692" s="6"/>
      <c r="C692" s="7"/>
      <c r="D692" s="35"/>
      <c r="E692" s="35"/>
      <c r="F692" s="35"/>
      <c r="G692" s="35"/>
      <c r="H692" s="35"/>
    </row>
    <row r="693" spans="2:8" x14ac:dyDescent="0.35">
      <c r="B693" s="6"/>
      <c r="C693" s="7"/>
      <c r="D693" s="35"/>
      <c r="E693" s="35"/>
      <c r="F693" s="35"/>
      <c r="G693" s="35"/>
      <c r="H693" s="35"/>
    </row>
    <row r="694" spans="2:8" x14ac:dyDescent="0.35">
      <c r="B694" s="6"/>
      <c r="C694" s="7"/>
      <c r="D694" s="35"/>
      <c r="E694" s="35"/>
      <c r="F694" s="35"/>
      <c r="G694" s="35"/>
      <c r="H694" s="35"/>
    </row>
    <row r="695" spans="2:8" x14ac:dyDescent="0.35">
      <c r="B695" s="6"/>
      <c r="C695" s="7"/>
      <c r="D695" s="35"/>
      <c r="E695" s="35"/>
      <c r="F695" s="35"/>
      <c r="G695" s="35"/>
      <c r="H695" s="35"/>
    </row>
    <row r="696" spans="2:8" x14ac:dyDescent="0.35">
      <c r="B696" s="6"/>
      <c r="C696" s="7"/>
      <c r="D696" s="35"/>
      <c r="E696" s="35"/>
      <c r="F696" s="35"/>
      <c r="G696" s="35"/>
      <c r="H696" s="35"/>
    </row>
    <row r="697" spans="2:8" x14ac:dyDescent="0.35">
      <c r="B697" s="6"/>
      <c r="C697" s="7"/>
      <c r="D697" s="35"/>
      <c r="E697" s="35"/>
      <c r="F697" s="35"/>
      <c r="G697" s="35"/>
      <c r="H697" s="35"/>
    </row>
    <row r="698" spans="2:8" x14ac:dyDescent="0.35">
      <c r="B698" s="6"/>
      <c r="C698" s="7"/>
      <c r="D698" s="35"/>
      <c r="E698" s="35"/>
      <c r="F698" s="35"/>
      <c r="G698" s="35"/>
      <c r="H698" s="35"/>
    </row>
    <row r="699" spans="2:8" x14ac:dyDescent="0.35">
      <c r="B699" s="6"/>
      <c r="C699" s="7"/>
      <c r="D699" s="35"/>
      <c r="E699" s="35"/>
      <c r="F699" s="35"/>
      <c r="G699" s="35"/>
      <c r="H699" s="35"/>
    </row>
    <row r="700" spans="2:8" x14ac:dyDescent="0.35">
      <c r="B700" s="6"/>
      <c r="C700" s="7"/>
      <c r="D700" s="35"/>
      <c r="E700" s="35"/>
      <c r="F700" s="35"/>
      <c r="G700" s="35"/>
      <c r="H700" s="35"/>
    </row>
    <row r="701" spans="2:8" x14ac:dyDescent="0.35">
      <c r="B701" s="6"/>
      <c r="C701" s="7"/>
      <c r="D701" s="35"/>
      <c r="E701" s="35"/>
      <c r="F701" s="35"/>
      <c r="G701" s="35"/>
      <c r="H701" s="35"/>
    </row>
    <row r="702" spans="2:8" x14ac:dyDescent="0.35">
      <c r="B702" s="6"/>
      <c r="C702" s="7"/>
      <c r="D702" s="35"/>
      <c r="E702" s="35"/>
      <c r="F702" s="35"/>
      <c r="G702" s="35"/>
      <c r="H702" s="35"/>
    </row>
    <row r="703" spans="2:8" x14ac:dyDescent="0.35">
      <c r="B703" s="6"/>
      <c r="C703" s="7"/>
      <c r="D703" s="35"/>
      <c r="E703" s="35"/>
      <c r="F703" s="35"/>
      <c r="G703" s="35"/>
      <c r="H703" s="35"/>
    </row>
    <row r="704" spans="2:8" x14ac:dyDescent="0.35">
      <c r="B704" s="6"/>
      <c r="C704" s="7"/>
      <c r="D704" s="35"/>
      <c r="E704" s="35"/>
      <c r="F704" s="35"/>
      <c r="G704" s="35"/>
      <c r="H704" s="35"/>
    </row>
    <row r="705" spans="2:8" x14ac:dyDescent="0.35">
      <c r="B705" s="6"/>
      <c r="C705" s="7"/>
      <c r="D705" s="35"/>
      <c r="E705" s="35"/>
      <c r="F705" s="35"/>
      <c r="G705" s="35"/>
      <c r="H705" s="35"/>
    </row>
    <row r="706" spans="2:8" x14ac:dyDescent="0.35">
      <c r="B706" s="6"/>
      <c r="C706" s="7"/>
      <c r="D706" s="35"/>
      <c r="E706" s="35"/>
      <c r="F706" s="35"/>
      <c r="G706" s="35"/>
      <c r="H706" s="35"/>
    </row>
    <row r="707" spans="2:8" x14ac:dyDescent="0.35">
      <c r="B707" s="6"/>
      <c r="C707" s="7"/>
      <c r="D707" s="35"/>
      <c r="E707" s="35"/>
      <c r="F707" s="35"/>
      <c r="G707" s="35"/>
      <c r="H707" s="35"/>
    </row>
    <row r="708" spans="2:8" x14ac:dyDescent="0.35">
      <c r="B708" s="6"/>
      <c r="C708" s="7"/>
      <c r="D708" s="35"/>
      <c r="E708" s="35"/>
      <c r="F708" s="35"/>
      <c r="G708" s="35"/>
      <c r="H708" s="35"/>
    </row>
    <row r="709" spans="2:8" x14ac:dyDescent="0.35">
      <c r="B709" s="6"/>
      <c r="C709" s="7"/>
      <c r="D709" s="35"/>
      <c r="E709" s="35"/>
      <c r="F709" s="35"/>
      <c r="G709" s="35"/>
      <c r="H709" s="35"/>
    </row>
    <row r="710" spans="2:8" x14ac:dyDescent="0.35">
      <c r="B710" s="6"/>
      <c r="C710" s="7"/>
      <c r="D710" s="35"/>
      <c r="E710" s="35"/>
      <c r="F710" s="35"/>
      <c r="G710" s="35"/>
      <c r="H710" s="35"/>
    </row>
    <row r="711" spans="2:8" x14ac:dyDescent="0.35">
      <c r="B711" s="6"/>
      <c r="C711" s="7"/>
      <c r="D711" s="35"/>
      <c r="E711" s="35"/>
      <c r="F711" s="35"/>
      <c r="G711" s="35"/>
      <c r="H711" s="35"/>
    </row>
    <row r="712" spans="2:8" x14ac:dyDescent="0.35">
      <c r="B712" s="6"/>
      <c r="C712" s="7"/>
      <c r="D712" s="35"/>
      <c r="E712" s="35"/>
      <c r="F712" s="35"/>
      <c r="G712" s="35"/>
      <c r="H712" s="35"/>
    </row>
    <row r="713" spans="2:8" x14ac:dyDescent="0.35">
      <c r="B713" s="6"/>
      <c r="C713" s="7"/>
      <c r="D713" s="35"/>
      <c r="E713" s="35"/>
      <c r="F713" s="35"/>
      <c r="G713" s="35"/>
      <c r="H713" s="35"/>
    </row>
    <row r="714" spans="2:8" x14ac:dyDescent="0.35">
      <c r="B714" s="6"/>
      <c r="C714" s="7"/>
      <c r="D714" s="35"/>
      <c r="E714" s="35"/>
      <c r="F714" s="35"/>
      <c r="G714" s="35"/>
      <c r="H714" s="35"/>
    </row>
    <row r="715" spans="2:8" x14ac:dyDescent="0.35">
      <c r="B715" s="6"/>
      <c r="C715" s="7"/>
      <c r="D715" s="35"/>
      <c r="E715" s="35"/>
      <c r="F715" s="35"/>
      <c r="G715" s="35"/>
      <c r="H715" s="35"/>
    </row>
    <row r="716" spans="2:8" x14ac:dyDescent="0.35">
      <c r="B716" s="6"/>
      <c r="C716" s="7"/>
      <c r="D716" s="35"/>
      <c r="E716" s="35"/>
      <c r="F716" s="35"/>
      <c r="G716" s="35"/>
      <c r="H716" s="35"/>
    </row>
    <row r="717" spans="2:8" x14ac:dyDescent="0.35">
      <c r="B717" s="6"/>
      <c r="C717" s="7"/>
      <c r="D717" s="35"/>
      <c r="E717" s="35"/>
      <c r="F717" s="35"/>
      <c r="G717" s="35"/>
      <c r="H717" s="35"/>
    </row>
    <row r="718" spans="2:8" x14ac:dyDescent="0.35">
      <c r="B718" s="6"/>
      <c r="C718" s="7"/>
      <c r="D718" s="35"/>
      <c r="E718" s="35"/>
      <c r="F718" s="35"/>
      <c r="G718" s="35"/>
      <c r="H718" s="35"/>
    </row>
    <row r="719" spans="2:8" x14ac:dyDescent="0.35">
      <c r="B719" s="6"/>
      <c r="C719" s="7"/>
      <c r="D719" s="35"/>
      <c r="E719" s="35"/>
      <c r="F719" s="35"/>
      <c r="G719" s="35"/>
      <c r="H719" s="35"/>
    </row>
    <row r="720" spans="2:8" x14ac:dyDescent="0.35">
      <c r="B720" s="6"/>
      <c r="C720" s="7"/>
      <c r="D720" s="35"/>
      <c r="E720" s="35"/>
      <c r="F720" s="35"/>
      <c r="G720" s="35"/>
      <c r="H720" s="35"/>
    </row>
    <row r="721" spans="2:8" x14ac:dyDescent="0.35">
      <c r="B721" s="6"/>
      <c r="C721" s="7"/>
      <c r="D721" s="35"/>
      <c r="E721" s="35"/>
      <c r="F721" s="35"/>
      <c r="G721" s="35"/>
      <c r="H721" s="35"/>
    </row>
    <row r="722" spans="2:8" x14ac:dyDescent="0.35">
      <c r="B722" s="6"/>
      <c r="C722" s="7"/>
      <c r="D722" s="35"/>
      <c r="E722" s="35"/>
      <c r="F722" s="35"/>
      <c r="G722" s="35"/>
      <c r="H722" s="35"/>
    </row>
    <row r="723" spans="2:8" x14ac:dyDescent="0.35">
      <c r="B723" s="6"/>
      <c r="C723" s="7"/>
      <c r="D723" s="35"/>
      <c r="E723" s="35"/>
      <c r="F723" s="35"/>
      <c r="G723" s="35"/>
      <c r="H723" s="35"/>
    </row>
    <row r="724" spans="2:8" x14ac:dyDescent="0.35">
      <c r="B724" s="6"/>
      <c r="C724" s="7"/>
      <c r="D724" s="35"/>
      <c r="E724" s="35"/>
      <c r="F724" s="35"/>
      <c r="G724" s="35"/>
      <c r="H724" s="35"/>
    </row>
    <row r="725" spans="2:8" x14ac:dyDescent="0.35">
      <c r="B725" s="6"/>
      <c r="C725" s="7"/>
      <c r="D725" s="35"/>
      <c r="E725" s="35"/>
      <c r="F725" s="35"/>
      <c r="G725" s="35"/>
      <c r="H725" s="35"/>
    </row>
    <row r="726" spans="2:8" x14ac:dyDescent="0.35">
      <c r="B726" s="6"/>
      <c r="C726" s="7"/>
      <c r="D726" s="35"/>
      <c r="E726" s="35"/>
      <c r="F726" s="35"/>
      <c r="G726" s="35"/>
      <c r="H726" s="35"/>
    </row>
    <row r="727" spans="2:8" x14ac:dyDescent="0.35">
      <c r="B727" s="6"/>
      <c r="C727" s="7"/>
      <c r="D727" s="35"/>
      <c r="E727" s="35"/>
      <c r="F727" s="35"/>
      <c r="G727" s="35"/>
      <c r="H727" s="35"/>
    </row>
    <row r="728" spans="2:8" x14ac:dyDescent="0.35">
      <c r="B728" s="6"/>
      <c r="C728" s="7"/>
      <c r="D728" s="35"/>
      <c r="E728" s="35"/>
      <c r="F728" s="35"/>
      <c r="G728" s="35"/>
      <c r="H728" s="35"/>
    </row>
    <row r="729" spans="2:8" x14ac:dyDescent="0.35">
      <c r="B729" s="6"/>
      <c r="C729" s="7"/>
      <c r="D729" s="35"/>
      <c r="E729" s="35"/>
      <c r="F729" s="35"/>
      <c r="G729" s="35"/>
      <c r="H729" s="35"/>
    </row>
    <row r="730" spans="2:8" x14ac:dyDescent="0.35">
      <c r="B730" s="6"/>
      <c r="C730" s="7"/>
      <c r="D730" s="35"/>
      <c r="E730" s="35"/>
      <c r="F730" s="35"/>
      <c r="G730" s="35"/>
      <c r="H730" s="35"/>
    </row>
    <row r="731" spans="2:8" x14ac:dyDescent="0.35">
      <c r="B731" s="6"/>
      <c r="C731" s="7"/>
      <c r="D731" s="35"/>
      <c r="E731" s="35"/>
      <c r="F731" s="35"/>
      <c r="G731" s="35"/>
      <c r="H731" s="35"/>
    </row>
    <row r="732" spans="2:8" x14ac:dyDescent="0.35">
      <c r="B732" s="6"/>
      <c r="C732" s="7"/>
      <c r="D732" s="35"/>
      <c r="E732" s="35"/>
      <c r="F732" s="35"/>
      <c r="G732" s="35"/>
      <c r="H732" s="35"/>
    </row>
    <row r="733" spans="2:8" x14ac:dyDescent="0.35">
      <c r="B733" s="6"/>
      <c r="C733" s="7"/>
      <c r="D733" s="35"/>
      <c r="E733" s="35"/>
      <c r="F733" s="35"/>
      <c r="G733" s="35"/>
      <c r="H733" s="35"/>
    </row>
    <row r="734" spans="2:8" x14ac:dyDescent="0.35">
      <c r="B734" s="6"/>
      <c r="C734" s="7"/>
      <c r="D734" s="35"/>
      <c r="E734" s="35"/>
      <c r="F734" s="35"/>
      <c r="G734" s="35"/>
      <c r="H734" s="35"/>
    </row>
    <row r="735" spans="2:8" x14ac:dyDescent="0.35">
      <c r="B735" s="6"/>
      <c r="C735" s="7"/>
      <c r="D735" s="35"/>
      <c r="E735" s="35"/>
      <c r="F735" s="35"/>
      <c r="G735" s="35"/>
      <c r="H735" s="35"/>
    </row>
    <row r="736" spans="2:8" x14ac:dyDescent="0.35">
      <c r="B736" s="6"/>
      <c r="C736" s="7"/>
      <c r="D736" s="35"/>
      <c r="E736" s="35"/>
      <c r="F736" s="35"/>
      <c r="G736" s="35"/>
      <c r="H736" s="35"/>
    </row>
    <row r="737" spans="2:8" x14ac:dyDescent="0.35">
      <c r="B737" s="6"/>
      <c r="C737" s="7"/>
      <c r="D737" s="35"/>
      <c r="E737" s="35"/>
      <c r="F737" s="35"/>
      <c r="G737" s="35"/>
      <c r="H737" s="35"/>
    </row>
    <row r="738" spans="2:8" x14ac:dyDescent="0.35">
      <c r="B738" s="6"/>
      <c r="C738" s="7"/>
      <c r="D738" s="35"/>
      <c r="E738" s="35"/>
      <c r="F738" s="35"/>
      <c r="G738" s="35"/>
      <c r="H738" s="35"/>
    </row>
    <row r="739" spans="2:8" x14ac:dyDescent="0.35">
      <c r="B739" s="6"/>
      <c r="C739" s="7"/>
      <c r="D739" s="35"/>
      <c r="E739" s="35"/>
      <c r="F739" s="35"/>
      <c r="G739" s="35"/>
      <c r="H739" s="35"/>
    </row>
    <row r="740" spans="2:8" x14ac:dyDescent="0.35">
      <c r="B740" s="6"/>
      <c r="C740" s="7"/>
      <c r="D740" s="35"/>
      <c r="E740" s="35"/>
      <c r="F740" s="35"/>
      <c r="G740" s="35"/>
      <c r="H740" s="35"/>
    </row>
    <row r="741" spans="2:8" x14ac:dyDescent="0.35">
      <c r="B741" s="6"/>
      <c r="C741" s="7"/>
      <c r="D741" s="35"/>
      <c r="E741" s="35"/>
      <c r="F741" s="35"/>
      <c r="G741" s="35"/>
      <c r="H741" s="35"/>
    </row>
    <row r="742" spans="2:8" x14ac:dyDescent="0.35">
      <c r="B742" s="6"/>
      <c r="C742" s="7"/>
      <c r="D742" s="35"/>
      <c r="E742" s="35"/>
      <c r="F742" s="35"/>
      <c r="G742" s="35"/>
      <c r="H742" s="35"/>
    </row>
    <row r="743" spans="2:8" x14ac:dyDescent="0.35">
      <c r="B743" s="6"/>
      <c r="C743" s="7"/>
      <c r="D743" s="35"/>
      <c r="E743" s="35"/>
      <c r="F743" s="35"/>
      <c r="G743" s="35"/>
      <c r="H743" s="35"/>
    </row>
    <row r="744" spans="2:8" x14ac:dyDescent="0.35">
      <c r="B744" s="6"/>
      <c r="C744" s="7"/>
      <c r="D744" s="35"/>
      <c r="E744" s="35"/>
      <c r="F744" s="35"/>
      <c r="G744" s="35"/>
      <c r="H744" s="35"/>
    </row>
    <row r="745" spans="2:8" x14ac:dyDescent="0.35">
      <c r="B745" s="6"/>
      <c r="C745" s="7"/>
      <c r="D745" s="35"/>
      <c r="E745" s="35"/>
      <c r="F745" s="35"/>
      <c r="G745" s="35"/>
      <c r="H745" s="35"/>
    </row>
    <row r="746" spans="2:8" x14ac:dyDescent="0.35">
      <c r="B746" s="6"/>
      <c r="C746" s="7"/>
      <c r="D746" s="35"/>
      <c r="E746" s="35"/>
      <c r="F746" s="35"/>
      <c r="G746" s="35"/>
      <c r="H746" s="35"/>
    </row>
    <row r="747" spans="2:8" x14ac:dyDescent="0.35">
      <c r="B747" s="6"/>
      <c r="C747" s="7"/>
      <c r="D747" s="35"/>
      <c r="E747" s="35"/>
      <c r="F747" s="35"/>
      <c r="G747" s="35"/>
      <c r="H747" s="35"/>
    </row>
    <row r="748" spans="2:8" x14ac:dyDescent="0.35">
      <c r="B748" s="6"/>
      <c r="C748" s="7"/>
      <c r="D748" s="35"/>
      <c r="E748" s="35"/>
      <c r="F748" s="35"/>
      <c r="G748" s="35"/>
      <c r="H748" s="35"/>
    </row>
    <row r="749" spans="2:8" x14ac:dyDescent="0.35">
      <c r="B749" s="6"/>
      <c r="C749" s="7"/>
      <c r="D749" s="35"/>
      <c r="E749" s="35"/>
      <c r="F749" s="35"/>
      <c r="G749" s="35"/>
      <c r="H749" s="35"/>
    </row>
    <row r="750" spans="2:8" x14ac:dyDescent="0.35">
      <c r="B750" s="6"/>
      <c r="C750" s="7"/>
      <c r="D750" s="35"/>
      <c r="E750" s="35"/>
      <c r="F750" s="35"/>
      <c r="G750" s="35"/>
      <c r="H750" s="35"/>
    </row>
    <row r="751" spans="2:8" x14ac:dyDescent="0.35">
      <c r="B751" s="6"/>
      <c r="C751" s="7"/>
      <c r="D751" s="35"/>
      <c r="E751" s="35"/>
      <c r="F751" s="35"/>
      <c r="G751" s="35"/>
      <c r="H751" s="35"/>
    </row>
    <row r="752" spans="2:8" x14ac:dyDescent="0.35">
      <c r="B752" s="6"/>
      <c r="C752" s="7"/>
      <c r="D752" s="35"/>
      <c r="E752" s="35"/>
      <c r="F752" s="35"/>
      <c r="G752" s="35"/>
      <c r="H752" s="35"/>
    </row>
    <row r="753" spans="2:8" x14ac:dyDescent="0.35">
      <c r="B753" s="6"/>
      <c r="C753" s="7"/>
      <c r="D753" s="35"/>
      <c r="E753" s="35"/>
      <c r="F753" s="35"/>
      <c r="G753" s="35"/>
      <c r="H753" s="35"/>
    </row>
    <row r="754" spans="2:8" x14ac:dyDescent="0.35">
      <c r="B754" s="6"/>
      <c r="C754" s="7"/>
      <c r="D754" s="35"/>
      <c r="E754" s="35"/>
      <c r="F754" s="35"/>
      <c r="G754" s="35"/>
      <c r="H754" s="35"/>
    </row>
    <row r="755" spans="2:8" x14ac:dyDescent="0.35">
      <c r="B755" s="6"/>
      <c r="C755" s="7"/>
      <c r="D755" s="35"/>
      <c r="E755" s="35"/>
      <c r="F755" s="35"/>
      <c r="G755" s="35"/>
      <c r="H755" s="35"/>
    </row>
    <row r="756" spans="2:8" x14ac:dyDescent="0.35">
      <c r="B756" s="6"/>
      <c r="C756" s="7"/>
      <c r="D756" s="35"/>
      <c r="E756" s="35"/>
      <c r="F756" s="35"/>
      <c r="G756" s="35"/>
      <c r="H756" s="35"/>
    </row>
    <row r="757" spans="2:8" x14ac:dyDescent="0.35">
      <c r="B757" s="6"/>
      <c r="C757" s="7"/>
      <c r="D757" s="35"/>
      <c r="E757" s="35"/>
      <c r="F757" s="35"/>
      <c r="G757" s="35"/>
      <c r="H757" s="35"/>
    </row>
    <row r="758" spans="2:8" x14ac:dyDescent="0.35">
      <c r="B758" s="6"/>
      <c r="C758" s="7"/>
      <c r="D758" s="35"/>
      <c r="E758" s="35"/>
      <c r="F758" s="35"/>
      <c r="G758" s="35"/>
      <c r="H758" s="35"/>
    </row>
    <row r="759" spans="2:8" x14ac:dyDescent="0.35">
      <c r="B759" s="6"/>
      <c r="C759" s="7"/>
      <c r="D759" s="35"/>
      <c r="E759" s="35"/>
      <c r="F759" s="35"/>
      <c r="G759" s="35"/>
      <c r="H759" s="35"/>
    </row>
    <row r="760" spans="2:8" x14ac:dyDescent="0.35">
      <c r="B760" s="6"/>
      <c r="C760" s="7"/>
      <c r="D760" s="35"/>
      <c r="E760" s="35"/>
      <c r="F760" s="35"/>
      <c r="G760" s="35"/>
      <c r="H760" s="35"/>
    </row>
    <row r="761" spans="2:8" x14ac:dyDescent="0.35">
      <c r="B761" s="6"/>
      <c r="C761" s="7"/>
      <c r="D761" s="35"/>
      <c r="E761" s="35"/>
      <c r="F761" s="35"/>
      <c r="G761" s="35"/>
      <c r="H761" s="35"/>
    </row>
    <row r="762" spans="2:8" x14ac:dyDescent="0.35">
      <c r="B762" s="6"/>
      <c r="C762" s="7"/>
      <c r="D762" s="35"/>
      <c r="E762" s="35"/>
      <c r="F762" s="35"/>
      <c r="G762" s="35"/>
      <c r="H762" s="35"/>
    </row>
    <row r="763" spans="2:8" x14ac:dyDescent="0.35">
      <c r="B763" s="6"/>
      <c r="C763" s="7"/>
      <c r="D763" s="35"/>
      <c r="E763" s="35"/>
      <c r="F763" s="35"/>
      <c r="G763" s="35"/>
      <c r="H763" s="35"/>
    </row>
    <row r="764" spans="2:8" x14ac:dyDescent="0.35">
      <c r="B764" s="6"/>
      <c r="C764" s="7"/>
      <c r="D764" s="35"/>
      <c r="E764" s="35"/>
      <c r="F764" s="35"/>
      <c r="G764" s="35"/>
      <c r="H764" s="35"/>
    </row>
    <row r="765" spans="2:8" x14ac:dyDescent="0.35">
      <c r="B765" s="6"/>
      <c r="C765" s="7"/>
      <c r="D765" s="35"/>
      <c r="E765" s="35"/>
      <c r="F765" s="35"/>
      <c r="G765" s="35"/>
      <c r="H765" s="35"/>
    </row>
    <row r="766" spans="2:8" x14ac:dyDescent="0.35">
      <c r="B766" s="6"/>
      <c r="C766" s="7"/>
      <c r="D766" s="35"/>
      <c r="E766" s="35"/>
      <c r="F766" s="35"/>
      <c r="G766" s="35"/>
      <c r="H766" s="35"/>
    </row>
    <row r="767" spans="2:8" x14ac:dyDescent="0.35">
      <c r="B767" s="6"/>
      <c r="C767" s="7"/>
      <c r="D767" s="35"/>
      <c r="E767" s="35"/>
      <c r="F767" s="35"/>
      <c r="G767" s="35"/>
      <c r="H767" s="35"/>
    </row>
    <row r="768" spans="2:8" x14ac:dyDescent="0.35">
      <c r="B768" s="6"/>
      <c r="C768" s="7"/>
      <c r="D768" s="35"/>
      <c r="E768" s="35"/>
      <c r="F768" s="35"/>
      <c r="G768" s="35"/>
      <c r="H768" s="35"/>
    </row>
    <row r="769" spans="2:8" x14ac:dyDescent="0.35">
      <c r="B769" s="6"/>
      <c r="C769" s="7"/>
      <c r="D769" s="35"/>
      <c r="E769" s="35"/>
      <c r="F769" s="35"/>
      <c r="G769" s="35"/>
      <c r="H769" s="35"/>
    </row>
    <row r="770" spans="2:8" x14ac:dyDescent="0.35">
      <c r="B770" s="6"/>
      <c r="C770" s="7"/>
      <c r="D770" s="35"/>
      <c r="E770" s="35"/>
      <c r="F770" s="35"/>
      <c r="G770" s="35"/>
      <c r="H770" s="35"/>
    </row>
    <row r="771" spans="2:8" x14ac:dyDescent="0.35">
      <c r="B771" s="6"/>
      <c r="C771" s="7"/>
      <c r="D771" s="35"/>
      <c r="E771" s="35"/>
      <c r="F771" s="35"/>
      <c r="G771" s="35"/>
      <c r="H771" s="35"/>
    </row>
    <row r="772" spans="2:8" x14ac:dyDescent="0.35">
      <c r="B772" s="6"/>
      <c r="C772" s="7"/>
      <c r="D772" s="35"/>
      <c r="E772" s="35"/>
      <c r="F772" s="35"/>
      <c r="G772" s="35"/>
      <c r="H772" s="35"/>
    </row>
    <row r="773" spans="2:8" x14ac:dyDescent="0.35">
      <c r="B773" s="6"/>
      <c r="C773" s="7"/>
      <c r="D773" s="35"/>
      <c r="E773" s="35"/>
      <c r="F773" s="35"/>
      <c r="G773" s="35"/>
      <c r="H773" s="35"/>
    </row>
    <row r="774" spans="2:8" x14ac:dyDescent="0.35">
      <c r="B774" s="6"/>
      <c r="C774" s="7"/>
      <c r="D774" s="35"/>
      <c r="E774" s="35"/>
      <c r="F774" s="35"/>
      <c r="G774" s="35"/>
      <c r="H774" s="35"/>
    </row>
    <row r="775" spans="2:8" x14ac:dyDescent="0.35">
      <c r="B775" s="6"/>
      <c r="C775" s="7"/>
      <c r="D775" s="35"/>
      <c r="E775" s="35"/>
      <c r="F775" s="35"/>
      <c r="G775" s="35"/>
      <c r="H775" s="35"/>
    </row>
    <row r="776" spans="2:8" x14ac:dyDescent="0.35">
      <c r="B776" s="6"/>
      <c r="C776" s="7"/>
      <c r="D776" s="35"/>
      <c r="E776" s="35"/>
      <c r="F776" s="35"/>
      <c r="G776" s="35"/>
      <c r="H776" s="35"/>
    </row>
    <row r="777" spans="2:8" x14ac:dyDescent="0.35">
      <c r="B777" s="6"/>
      <c r="C777" s="7"/>
      <c r="D777" s="35"/>
      <c r="E777" s="35"/>
      <c r="F777" s="35"/>
      <c r="G777" s="35"/>
      <c r="H777" s="35"/>
    </row>
    <row r="778" spans="2:8" x14ac:dyDescent="0.35">
      <c r="B778" s="6"/>
      <c r="C778" s="7"/>
      <c r="D778" s="35"/>
      <c r="E778" s="35"/>
      <c r="F778" s="35"/>
      <c r="G778" s="35"/>
      <c r="H778" s="35"/>
    </row>
    <row r="779" spans="2:8" x14ac:dyDescent="0.35">
      <c r="B779" s="6"/>
      <c r="C779" s="7"/>
      <c r="D779" s="35"/>
      <c r="E779" s="35"/>
      <c r="F779" s="35"/>
      <c r="G779" s="35"/>
      <c r="H779" s="35"/>
    </row>
    <row r="780" spans="2:8" x14ac:dyDescent="0.35">
      <c r="B780" s="6"/>
      <c r="C780" s="7"/>
      <c r="D780" s="35"/>
      <c r="E780" s="35"/>
      <c r="F780" s="35"/>
      <c r="G780" s="35"/>
      <c r="H780" s="35"/>
    </row>
    <row r="781" spans="2:8" x14ac:dyDescent="0.35">
      <c r="B781" s="6"/>
      <c r="C781" s="7"/>
      <c r="D781" s="35"/>
      <c r="E781" s="35"/>
      <c r="F781" s="35"/>
      <c r="G781" s="35"/>
      <c r="H781" s="35"/>
    </row>
    <row r="782" spans="2:8" x14ac:dyDescent="0.35">
      <c r="B782" s="6"/>
      <c r="C782" s="7"/>
      <c r="D782" s="35"/>
      <c r="E782" s="35"/>
      <c r="F782" s="35"/>
      <c r="G782" s="35"/>
      <c r="H782" s="35"/>
    </row>
    <row r="783" spans="2:8" x14ac:dyDescent="0.35">
      <c r="B783" s="6"/>
      <c r="C783" s="7"/>
      <c r="D783" s="35"/>
      <c r="E783" s="35"/>
      <c r="F783" s="35"/>
      <c r="G783" s="35"/>
      <c r="H783" s="35"/>
    </row>
    <row r="784" spans="2:8" x14ac:dyDescent="0.35">
      <c r="B784" s="6"/>
      <c r="C784" s="7"/>
      <c r="D784" s="35"/>
      <c r="E784" s="35"/>
      <c r="F784" s="35"/>
      <c r="G784" s="35"/>
      <c r="H784" s="35"/>
    </row>
    <row r="785" spans="2:8" x14ac:dyDescent="0.35">
      <c r="B785" s="6"/>
      <c r="C785" s="7"/>
      <c r="D785" s="35"/>
      <c r="E785" s="35"/>
      <c r="F785" s="35"/>
      <c r="G785" s="35"/>
      <c r="H785" s="35"/>
    </row>
    <row r="786" spans="2:8" x14ac:dyDescent="0.35">
      <c r="B786" s="6"/>
      <c r="C786" s="7"/>
      <c r="D786" s="35"/>
      <c r="E786" s="35"/>
      <c r="F786" s="35"/>
      <c r="G786" s="35"/>
      <c r="H786" s="35"/>
    </row>
    <row r="787" spans="2:8" x14ac:dyDescent="0.35">
      <c r="B787" s="6"/>
      <c r="C787" s="7"/>
      <c r="D787" s="35"/>
      <c r="E787" s="35"/>
      <c r="F787" s="35"/>
      <c r="G787" s="35"/>
      <c r="H787" s="35"/>
    </row>
    <row r="788" spans="2:8" x14ac:dyDescent="0.35">
      <c r="B788" s="6"/>
      <c r="C788" s="7"/>
      <c r="D788" s="35"/>
      <c r="E788" s="35"/>
      <c r="F788" s="35"/>
      <c r="G788" s="35"/>
      <c r="H788" s="35"/>
    </row>
    <row r="789" spans="2:8" x14ac:dyDescent="0.35">
      <c r="B789" s="6"/>
      <c r="C789" s="7"/>
      <c r="D789" s="35"/>
      <c r="E789" s="35"/>
      <c r="F789" s="35"/>
      <c r="G789" s="35"/>
      <c r="H789" s="35"/>
    </row>
    <row r="790" spans="2:8" x14ac:dyDescent="0.35">
      <c r="B790" s="6"/>
      <c r="C790" s="7"/>
      <c r="D790" s="35"/>
      <c r="E790" s="35"/>
      <c r="F790" s="35"/>
      <c r="G790" s="35"/>
      <c r="H790" s="35"/>
    </row>
    <row r="791" spans="2:8" x14ac:dyDescent="0.35">
      <c r="B791" s="6"/>
      <c r="C791" s="7"/>
      <c r="D791" s="35"/>
      <c r="E791" s="35"/>
      <c r="F791" s="35"/>
      <c r="G791" s="35"/>
      <c r="H791" s="35"/>
    </row>
    <row r="792" spans="2:8" x14ac:dyDescent="0.35">
      <c r="B792" s="6"/>
      <c r="C792" s="7"/>
      <c r="D792" s="35"/>
      <c r="E792" s="35"/>
      <c r="F792" s="35"/>
      <c r="G792" s="35"/>
      <c r="H792" s="35"/>
    </row>
    <row r="793" spans="2:8" x14ac:dyDescent="0.35">
      <c r="B793" s="6"/>
      <c r="C793" s="7"/>
      <c r="D793" s="35"/>
      <c r="E793" s="35"/>
      <c r="F793" s="35"/>
      <c r="G793" s="35"/>
      <c r="H793" s="35"/>
    </row>
    <row r="794" spans="2:8" x14ac:dyDescent="0.35">
      <c r="B794" s="6"/>
      <c r="C794" s="7"/>
      <c r="D794" s="35"/>
      <c r="E794" s="35"/>
      <c r="F794" s="35"/>
      <c r="G794" s="35"/>
      <c r="H794" s="35"/>
    </row>
    <row r="795" spans="2:8" x14ac:dyDescent="0.35">
      <c r="B795" s="6"/>
      <c r="C795" s="7"/>
      <c r="D795" s="35"/>
      <c r="E795" s="35"/>
      <c r="F795" s="35"/>
      <c r="G795" s="35"/>
      <c r="H795" s="35"/>
    </row>
    <row r="796" spans="2:8" x14ac:dyDescent="0.35">
      <c r="B796" s="6"/>
      <c r="C796" s="7"/>
      <c r="D796" s="35"/>
      <c r="E796" s="35"/>
      <c r="F796" s="35"/>
      <c r="G796" s="35"/>
      <c r="H796" s="35"/>
    </row>
    <row r="797" spans="2:8" x14ac:dyDescent="0.35">
      <c r="B797" s="6"/>
      <c r="C797" s="7"/>
      <c r="D797" s="35"/>
      <c r="E797" s="35"/>
      <c r="F797" s="35"/>
      <c r="G797" s="35"/>
      <c r="H797" s="35"/>
    </row>
    <row r="798" spans="2:8" x14ac:dyDescent="0.35">
      <c r="B798" s="6"/>
      <c r="C798" s="7"/>
      <c r="D798" s="35"/>
      <c r="E798" s="35"/>
      <c r="F798" s="35"/>
      <c r="G798" s="35"/>
      <c r="H798" s="35"/>
    </row>
    <row r="799" spans="2:8" x14ac:dyDescent="0.35">
      <c r="B799" s="6"/>
      <c r="C799" s="7"/>
      <c r="D799" s="35"/>
      <c r="E799" s="35"/>
      <c r="F799" s="35"/>
      <c r="G799" s="35"/>
      <c r="H799" s="35"/>
    </row>
    <row r="800" spans="2:8" x14ac:dyDescent="0.35">
      <c r="B800" s="6"/>
      <c r="C800" s="7"/>
      <c r="D800" s="35"/>
      <c r="E800" s="35"/>
      <c r="F800" s="35"/>
      <c r="G800" s="35"/>
      <c r="H800" s="35"/>
    </row>
    <row r="801" spans="2:8" x14ac:dyDescent="0.35">
      <c r="B801" s="6"/>
      <c r="C801" s="7"/>
      <c r="D801" s="35"/>
      <c r="E801" s="35"/>
      <c r="F801" s="35"/>
      <c r="G801" s="35"/>
      <c r="H801" s="35"/>
    </row>
    <row r="802" spans="2:8" x14ac:dyDescent="0.35">
      <c r="B802" s="6"/>
      <c r="C802" s="7"/>
      <c r="D802" s="35"/>
      <c r="E802" s="35"/>
      <c r="F802" s="35"/>
      <c r="G802" s="35"/>
      <c r="H802" s="35"/>
    </row>
    <row r="803" spans="2:8" x14ac:dyDescent="0.35">
      <c r="B803" s="6"/>
      <c r="C803" s="7"/>
      <c r="D803" s="35"/>
      <c r="E803" s="35"/>
      <c r="F803" s="35"/>
      <c r="G803" s="35"/>
      <c r="H803" s="35"/>
    </row>
    <row r="804" spans="2:8" x14ac:dyDescent="0.35">
      <c r="B804" s="6"/>
      <c r="C804" s="7"/>
      <c r="D804" s="35"/>
      <c r="E804" s="35"/>
      <c r="F804" s="35"/>
      <c r="G804" s="35"/>
      <c r="H804" s="35"/>
    </row>
    <row r="805" spans="2:8" x14ac:dyDescent="0.35">
      <c r="B805" s="6"/>
      <c r="C805" s="7"/>
      <c r="D805" s="35"/>
      <c r="E805" s="35"/>
      <c r="F805" s="35"/>
      <c r="G805" s="35"/>
      <c r="H805" s="35"/>
    </row>
    <row r="806" spans="2:8" x14ac:dyDescent="0.35">
      <c r="B806" s="6"/>
      <c r="C806" s="7"/>
      <c r="D806" s="35"/>
      <c r="E806" s="35"/>
      <c r="F806" s="35"/>
      <c r="G806" s="35"/>
      <c r="H806" s="35"/>
    </row>
    <row r="807" spans="2:8" x14ac:dyDescent="0.35">
      <c r="B807" s="6"/>
      <c r="C807" s="7"/>
      <c r="D807" s="35"/>
      <c r="E807" s="35"/>
      <c r="F807" s="35"/>
      <c r="G807" s="35"/>
      <c r="H807" s="35"/>
    </row>
    <row r="808" spans="2:8" x14ac:dyDescent="0.35">
      <c r="B808" s="6"/>
      <c r="C808" s="7"/>
      <c r="D808" s="35"/>
      <c r="E808" s="35"/>
      <c r="F808" s="35"/>
      <c r="G808" s="35"/>
      <c r="H808" s="35"/>
    </row>
    <row r="809" spans="2:8" x14ac:dyDescent="0.35">
      <c r="B809" s="6"/>
      <c r="C809" s="7"/>
      <c r="D809" s="35"/>
      <c r="E809" s="35"/>
      <c r="F809" s="35"/>
      <c r="G809" s="35"/>
      <c r="H809" s="35"/>
    </row>
    <row r="810" spans="2:8" x14ac:dyDescent="0.35">
      <c r="B810" s="6"/>
      <c r="C810" s="7"/>
      <c r="D810" s="35"/>
      <c r="E810" s="35"/>
      <c r="F810" s="35"/>
      <c r="G810" s="35"/>
      <c r="H810" s="35"/>
    </row>
    <row r="811" spans="2:8" x14ac:dyDescent="0.35">
      <c r="B811" s="6"/>
      <c r="C811" s="7"/>
      <c r="D811" s="35"/>
      <c r="E811" s="35"/>
      <c r="F811" s="35"/>
      <c r="G811" s="35"/>
      <c r="H811" s="35"/>
    </row>
    <row r="812" spans="2:8" x14ac:dyDescent="0.35">
      <c r="B812" s="6"/>
      <c r="C812" s="7"/>
      <c r="D812" s="35"/>
      <c r="E812" s="35"/>
      <c r="F812" s="35"/>
      <c r="G812" s="35"/>
      <c r="H812" s="35"/>
    </row>
    <row r="813" spans="2:8" x14ac:dyDescent="0.35">
      <c r="B813" s="6"/>
      <c r="C813" s="7"/>
      <c r="D813" s="35"/>
      <c r="E813" s="35"/>
      <c r="F813" s="35"/>
      <c r="G813" s="35"/>
      <c r="H813" s="35"/>
    </row>
    <row r="814" spans="2:8" x14ac:dyDescent="0.35">
      <c r="B814" s="6"/>
      <c r="C814" s="7"/>
      <c r="D814" s="35"/>
      <c r="E814" s="35"/>
      <c r="F814" s="35"/>
      <c r="G814" s="35"/>
      <c r="H814" s="35"/>
    </row>
    <row r="815" spans="2:8" x14ac:dyDescent="0.35">
      <c r="B815" s="6"/>
      <c r="C815" s="7"/>
      <c r="D815" s="35"/>
      <c r="E815" s="35"/>
      <c r="F815" s="35"/>
      <c r="G815" s="35"/>
      <c r="H815" s="35"/>
    </row>
    <row r="816" spans="2:8" x14ac:dyDescent="0.35">
      <c r="B816" s="6"/>
      <c r="C816" s="7"/>
      <c r="D816" s="35"/>
      <c r="E816" s="35"/>
      <c r="F816" s="35"/>
      <c r="G816" s="35"/>
      <c r="H816" s="35"/>
    </row>
    <row r="817" spans="2:8" x14ac:dyDescent="0.35">
      <c r="B817" s="6"/>
      <c r="C817" s="7"/>
      <c r="D817" s="35"/>
      <c r="E817" s="35"/>
      <c r="F817" s="35"/>
      <c r="G817" s="35"/>
      <c r="H817" s="35"/>
    </row>
    <row r="818" spans="2:8" x14ac:dyDescent="0.35">
      <c r="B818" s="6"/>
      <c r="C818" s="7"/>
      <c r="D818" s="35"/>
      <c r="E818" s="35"/>
      <c r="F818" s="35"/>
      <c r="G818" s="35"/>
      <c r="H818" s="35"/>
    </row>
    <row r="819" spans="2:8" x14ac:dyDescent="0.35">
      <c r="B819" s="6"/>
      <c r="C819" s="7"/>
      <c r="D819" s="35"/>
      <c r="E819" s="35"/>
      <c r="F819" s="35"/>
      <c r="G819" s="35"/>
      <c r="H819" s="35"/>
    </row>
    <row r="820" spans="2:8" x14ac:dyDescent="0.35">
      <c r="B820" s="6"/>
      <c r="C820" s="7"/>
      <c r="D820" s="35"/>
      <c r="E820" s="35"/>
      <c r="F820" s="35"/>
      <c r="G820" s="35"/>
      <c r="H820" s="35"/>
    </row>
    <row r="821" spans="2:8" x14ac:dyDescent="0.35">
      <c r="B821" s="6"/>
      <c r="C821" s="7"/>
      <c r="D821" s="35"/>
      <c r="E821" s="35"/>
      <c r="F821" s="35"/>
      <c r="G821" s="35"/>
      <c r="H821" s="35"/>
    </row>
    <row r="822" spans="2:8" x14ac:dyDescent="0.35">
      <c r="B822" s="6"/>
      <c r="C822" s="7"/>
      <c r="D822" s="35"/>
      <c r="E822" s="35"/>
      <c r="F822" s="35"/>
      <c r="G822" s="35"/>
      <c r="H822" s="35"/>
    </row>
    <row r="823" spans="2:8" x14ac:dyDescent="0.35">
      <c r="B823" s="6"/>
      <c r="C823" s="7"/>
      <c r="D823" s="35"/>
      <c r="E823" s="35"/>
      <c r="F823" s="35"/>
      <c r="G823" s="35"/>
      <c r="H823" s="35"/>
    </row>
    <row r="824" spans="2:8" x14ac:dyDescent="0.35">
      <c r="B824" s="6"/>
      <c r="C824" s="7"/>
      <c r="D824" s="35"/>
      <c r="E824" s="35"/>
      <c r="F824" s="35"/>
      <c r="G824" s="35"/>
      <c r="H824" s="35"/>
    </row>
    <row r="825" spans="2:8" x14ac:dyDescent="0.35">
      <c r="B825" s="6"/>
      <c r="C825" s="7"/>
      <c r="D825" s="35"/>
      <c r="E825" s="35"/>
      <c r="F825" s="35"/>
      <c r="G825" s="35"/>
      <c r="H825" s="35"/>
    </row>
    <row r="826" spans="2:8" x14ac:dyDescent="0.35">
      <c r="B826" s="6"/>
      <c r="C826" s="7"/>
      <c r="D826" s="35"/>
      <c r="E826" s="35"/>
      <c r="F826" s="35"/>
      <c r="G826" s="35"/>
      <c r="H826" s="35"/>
    </row>
    <row r="827" spans="2:8" x14ac:dyDescent="0.35">
      <c r="B827" s="6"/>
      <c r="C827" s="7"/>
      <c r="D827" s="35"/>
      <c r="E827" s="35"/>
      <c r="F827" s="35"/>
      <c r="G827" s="35"/>
      <c r="H827" s="35"/>
    </row>
    <row r="828" spans="2:8" x14ac:dyDescent="0.35">
      <c r="B828" s="6"/>
      <c r="C828" s="7"/>
      <c r="D828" s="35"/>
      <c r="E828" s="35"/>
      <c r="F828" s="35"/>
      <c r="G828" s="35"/>
      <c r="H828" s="35"/>
    </row>
    <row r="829" spans="2:8" x14ac:dyDescent="0.35">
      <c r="B829" s="6"/>
      <c r="C829" s="7"/>
      <c r="D829" s="35"/>
      <c r="E829" s="35"/>
      <c r="F829" s="35"/>
      <c r="G829" s="35"/>
      <c r="H829" s="35"/>
    </row>
    <row r="830" spans="2:8" x14ac:dyDescent="0.35">
      <c r="B830" s="6"/>
      <c r="C830" s="7"/>
      <c r="D830" s="35"/>
      <c r="E830" s="35"/>
      <c r="F830" s="35"/>
      <c r="G830" s="35"/>
      <c r="H830" s="35"/>
    </row>
    <row r="831" spans="2:8" x14ac:dyDescent="0.35">
      <c r="B831" s="6"/>
      <c r="C831" s="7"/>
      <c r="D831" s="35"/>
      <c r="E831" s="35"/>
      <c r="F831" s="35"/>
      <c r="G831" s="35"/>
      <c r="H831" s="35"/>
    </row>
    <row r="832" spans="2:8" x14ac:dyDescent="0.35">
      <c r="B832" s="6"/>
      <c r="C832" s="7"/>
      <c r="D832" s="35"/>
      <c r="E832" s="35"/>
      <c r="F832" s="35"/>
      <c r="G832" s="35"/>
      <c r="H832" s="35"/>
    </row>
    <row r="833" spans="2:8" x14ac:dyDescent="0.35">
      <c r="B833" s="6"/>
      <c r="C833" s="7"/>
      <c r="D833" s="35"/>
      <c r="E833" s="35"/>
      <c r="F833" s="35"/>
      <c r="G833" s="35"/>
      <c r="H833" s="35"/>
    </row>
    <row r="834" spans="2:8" x14ac:dyDescent="0.35">
      <c r="B834" s="6"/>
      <c r="C834" s="7"/>
      <c r="D834" s="35"/>
      <c r="E834" s="35"/>
      <c r="F834" s="35"/>
      <c r="G834" s="35"/>
      <c r="H834" s="35"/>
    </row>
    <row r="835" spans="2:8" x14ac:dyDescent="0.35">
      <c r="B835" s="6"/>
      <c r="C835" s="7"/>
      <c r="D835" s="35"/>
      <c r="E835" s="35"/>
      <c r="F835" s="35"/>
      <c r="G835" s="35"/>
      <c r="H835" s="35"/>
    </row>
    <row r="836" spans="2:8" x14ac:dyDescent="0.35">
      <c r="B836" s="6"/>
      <c r="C836" s="7"/>
      <c r="D836" s="35"/>
      <c r="E836" s="35"/>
      <c r="F836" s="35"/>
      <c r="G836" s="35"/>
      <c r="H836" s="35"/>
    </row>
    <row r="837" spans="2:8" x14ac:dyDescent="0.35">
      <c r="B837" s="6"/>
      <c r="C837" s="7"/>
      <c r="D837" s="35"/>
      <c r="E837" s="35"/>
      <c r="F837" s="35"/>
      <c r="G837" s="35"/>
      <c r="H837" s="35"/>
    </row>
    <row r="838" spans="2:8" x14ac:dyDescent="0.35">
      <c r="B838" s="6"/>
      <c r="C838" s="7"/>
      <c r="D838" s="35"/>
      <c r="E838" s="35"/>
      <c r="F838" s="35"/>
      <c r="G838" s="35"/>
      <c r="H838" s="35"/>
    </row>
    <row r="839" spans="2:8" x14ac:dyDescent="0.35">
      <c r="B839" s="6"/>
      <c r="C839" s="7"/>
      <c r="D839" s="35"/>
      <c r="E839" s="35"/>
      <c r="F839" s="35"/>
      <c r="G839" s="35"/>
      <c r="H839" s="35"/>
    </row>
    <row r="840" spans="2:8" x14ac:dyDescent="0.35">
      <c r="B840" s="6"/>
      <c r="C840" s="7"/>
      <c r="D840" s="35"/>
      <c r="E840" s="35"/>
      <c r="F840" s="35"/>
      <c r="G840" s="35"/>
      <c r="H840" s="35"/>
    </row>
    <row r="841" spans="2:8" x14ac:dyDescent="0.35">
      <c r="B841" s="6"/>
      <c r="C841" s="7"/>
      <c r="D841" s="35"/>
      <c r="E841" s="35"/>
      <c r="F841" s="35"/>
      <c r="G841" s="35"/>
      <c r="H841" s="35"/>
    </row>
    <row r="842" spans="2:8" x14ac:dyDescent="0.35">
      <c r="B842" s="6"/>
      <c r="C842" s="7"/>
      <c r="D842" s="35"/>
      <c r="E842" s="35"/>
      <c r="F842" s="35"/>
      <c r="G842" s="35"/>
      <c r="H842" s="35"/>
    </row>
    <row r="843" spans="2:8" x14ac:dyDescent="0.35">
      <c r="B843" s="6"/>
      <c r="C843" s="7"/>
      <c r="D843" s="35"/>
      <c r="E843" s="35"/>
      <c r="F843" s="35"/>
      <c r="G843" s="35"/>
      <c r="H843" s="35"/>
    </row>
    <row r="844" spans="2:8" x14ac:dyDescent="0.35">
      <c r="B844" s="6"/>
      <c r="C844" s="7"/>
      <c r="D844" s="35"/>
      <c r="E844" s="35"/>
      <c r="F844" s="35"/>
      <c r="G844" s="35"/>
      <c r="H844" s="35"/>
    </row>
    <row r="845" spans="2:8" x14ac:dyDescent="0.35">
      <c r="B845" s="6"/>
      <c r="C845" s="7"/>
      <c r="D845" s="35"/>
      <c r="E845" s="35"/>
      <c r="F845" s="35"/>
      <c r="G845" s="35"/>
      <c r="H845" s="35"/>
    </row>
    <row r="846" spans="2:8" x14ac:dyDescent="0.35">
      <c r="B846" s="6"/>
      <c r="C846" s="7"/>
      <c r="D846" s="35"/>
      <c r="E846" s="35"/>
      <c r="F846" s="35"/>
      <c r="G846" s="35"/>
      <c r="H846" s="35"/>
    </row>
    <row r="847" spans="2:8" x14ac:dyDescent="0.35">
      <c r="B847" s="6"/>
      <c r="C847" s="7"/>
      <c r="D847" s="35"/>
      <c r="E847" s="35"/>
      <c r="F847" s="35"/>
      <c r="G847" s="35"/>
      <c r="H847" s="35"/>
    </row>
    <row r="848" spans="2:8" x14ac:dyDescent="0.35">
      <c r="B848" s="6"/>
      <c r="C848" s="7"/>
      <c r="D848" s="35"/>
      <c r="E848" s="35"/>
      <c r="F848" s="35"/>
      <c r="G848" s="35"/>
      <c r="H848" s="35"/>
    </row>
    <row r="849" spans="2:8" x14ac:dyDescent="0.35">
      <c r="B849" s="6"/>
      <c r="C849" s="7"/>
      <c r="D849" s="35"/>
      <c r="E849" s="35"/>
      <c r="F849" s="35"/>
      <c r="G849" s="35"/>
      <c r="H849" s="35"/>
    </row>
    <row r="850" spans="2:8" x14ac:dyDescent="0.35">
      <c r="B850" s="6"/>
      <c r="C850" s="7"/>
      <c r="D850" s="35"/>
      <c r="E850" s="35"/>
      <c r="F850" s="35"/>
      <c r="G850" s="35"/>
      <c r="H850" s="35"/>
    </row>
    <row r="851" spans="2:8" x14ac:dyDescent="0.35">
      <c r="B851" s="6"/>
      <c r="C851" s="7"/>
      <c r="D851" s="35"/>
      <c r="E851" s="35"/>
      <c r="F851" s="35"/>
      <c r="G851" s="35"/>
      <c r="H851" s="35"/>
    </row>
    <row r="852" spans="2:8" x14ac:dyDescent="0.35">
      <c r="B852" s="6"/>
      <c r="C852" s="7"/>
      <c r="D852" s="35"/>
      <c r="E852" s="35"/>
      <c r="F852" s="35"/>
      <c r="G852" s="35"/>
      <c r="H852" s="35"/>
    </row>
    <row r="853" spans="2:8" x14ac:dyDescent="0.35">
      <c r="B853" s="6"/>
      <c r="C853" s="7"/>
      <c r="D853" s="35"/>
      <c r="E853" s="35"/>
      <c r="F853" s="35"/>
      <c r="G853" s="35"/>
      <c r="H853" s="35"/>
    </row>
    <row r="854" spans="2:8" x14ac:dyDescent="0.35">
      <c r="B854" s="6"/>
      <c r="C854" s="7"/>
      <c r="D854" s="35"/>
      <c r="E854" s="35"/>
      <c r="F854" s="35"/>
      <c r="G854" s="35"/>
      <c r="H854" s="35"/>
    </row>
    <row r="855" spans="2:8" x14ac:dyDescent="0.35">
      <c r="B855" s="6"/>
      <c r="C855" s="7"/>
      <c r="D855" s="35"/>
      <c r="E855" s="35"/>
      <c r="F855" s="35"/>
      <c r="G855" s="35"/>
      <c r="H855" s="35"/>
    </row>
    <row r="856" spans="2:8" x14ac:dyDescent="0.35">
      <c r="B856" s="6"/>
      <c r="C856" s="7"/>
      <c r="D856" s="35"/>
      <c r="E856" s="35"/>
      <c r="F856" s="35"/>
      <c r="G856" s="35"/>
      <c r="H856" s="35"/>
    </row>
    <row r="857" spans="2:8" x14ac:dyDescent="0.35">
      <c r="B857" s="6"/>
      <c r="C857" s="7"/>
      <c r="D857" s="35"/>
      <c r="E857" s="35"/>
      <c r="F857" s="35"/>
      <c r="G857" s="35"/>
      <c r="H857" s="35"/>
    </row>
    <row r="858" spans="2:8" x14ac:dyDescent="0.35">
      <c r="B858" s="6"/>
      <c r="C858" s="7"/>
      <c r="D858" s="35"/>
      <c r="E858" s="35"/>
      <c r="F858" s="35"/>
      <c r="G858" s="35"/>
      <c r="H858" s="35"/>
    </row>
    <row r="859" spans="2:8" x14ac:dyDescent="0.35">
      <c r="B859" s="6"/>
      <c r="C859" s="7"/>
      <c r="D859" s="35"/>
      <c r="E859" s="35"/>
      <c r="F859" s="35"/>
      <c r="G859" s="35"/>
      <c r="H859" s="35"/>
    </row>
    <row r="860" spans="2:8" x14ac:dyDescent="0.35">
      <c r="B860" s="6"/>
      <c r="C860" s="7"/>
      <c r="D860" s="35"/>
      <c r="E860" s="35"/>
      <c r="F860" s="35"/>
      <c r="G860" s="35"/>
      <c r="H860" s="35"/>
    </row>
    <row r="861" spans="2:8" x14ac:dyDescent="0.35">
      <c r="B861" s="6"/>
      <c r="C861" s="7"/>
      <c r="D861" s="35"/>
      <c r="E861" s="35"/>
      <c r="F861" s="35"/>
      <c r="G861" s="35"/>
      <c r="H861" s="35"/>
    </row>
    <row r="862" spans="2:8" x14ac:dyDescent="0.35">
      <c r="B862" s="6"/>
      <c r="C862" s="7"/>
      <c r="D862" s="35"/>
      <c r="E862" s="35"/>
      <c r="F862" s="35"/>
      <c r="G862" s="35"/>
      <c r="H862" s="35"/>
    </row>
    <row r="863" spans="2:8" x14ac:dyDescent="0.35">
      <c r="B863" s="6"/>
      <c r="C863" s="7"/>
      <c r="D863" s="35"/>
      <c r="E863" s="35"/>
      <c r="F863" s="35"/>
      <c r="G863" s="35"/>
      <c r="H863" s="35"/>
    </row>
    <row r="864" spans="2:8" x14ac:dyDescent="0.35">
      <c r="B864" s="6"/>
      <c r="C864" s="7"/>
      <c r="D864" s="35"/>
      <c r="E864" s="35"/>
      <c r="F864" s="35"/>
      <c r="G864" s="35"/>
      <c r="H864" s="35"/>
    </row>
    <row r="865" spans="2:8" x14ac:dyDescent="0.35">
      <c r="B865" s="6"/>
      <c r="C865" s="7"/>
      <c r="D865" s="35"/>
      <c r="E865" s="35"/>
      <c r="F865" s="35"/>
      <c r="G865" s="35"/>
      <c r="H865" s="35"/>
    </row>
    <row r="866" spans="2:8" x14ac:dyDescent="0.35">
      <c r="B866" s="6"/>
      <c r="C866" s="7"/>
      <c r="D866" s="35"/>
      <c r="E866" s="35"/>
      <c r="F866" s="35"/>
      <c r="G866" s="35"/>
      <c r="H866" s="35"/>
    </row>
    <row r="867" spans="2:8" x14ac:dyDescent="0.35">
      <c r="B867" s="6"/>
      <c r="C867" s="7"/>
      <c r="D867" s="35"/>
      <c r="E867" s="35"/>
      <c r="F867" s="35"/>
      <c r="G867" s="35"/>
      <c r="H867" s="35"/>
    </row>
    <row r="868" spans="2:8" x14ac:dyDescent="0.35">
      <c r="B868" s="6"/>
      <c r="C868" s="7"/>
      <c r="D868" s="35"/>
      <c r="E868" s="35"/>
      <c r="F868" s="35"/>
      <c r="G868" s="35"/>
      <c r="H868" s="35"/>
    </row>
    <row r="869" spans="2:8" x14ac:dyDescent="0.35">
      <c r="B869" s="6"/>
      <c r="C869" s="7"/>
      <c r="D869" s="35"/>
      <c r="E869" s="35"/>
      <c r="F869" s="35"/>
      <c r="G869" s="35"/>
      <c r="H869" s="35"/>
    </row>
    <row r="870" spans="2:8" x14ac:dyDescent="0.35">
      <c r="B870" s="6"/>
      <c r="C870" s="7"/>
      <c r="D870" s="35"/>
      <c r="E870" s="35"/>
      <c r="F870" s="35"/>
      <c r="G870" s="35"/>
      <c r="H870" s="35"/>
    </row>
    <row r="871" spans="2:8" x14ac:dyDescent="0.35">
      <c r="B871" s="6"/>
      <c r="C871" s="7"/>
      <c r="D871" s="35"/>
      <c r="E871" s="35"/>
      <c r="F871" s="35"/>
      <c r="G871" s="35"/>
      <c r="H871" s="35"/>
    </row>
    <row r="872" spans="2:8" x14ac:dyDescent="0.35">
      <c r="B872" s="6"/>
      <c r="C872" s="7"/>
      <c r="D872" s="35"/>
      <c r="E872" s="35"/>
      <c r="F872" s="35"/>
      <c r="G872" s="35"/>
      <c r="H872" s="35"/>
    </row>
    <row r="873" spans="2:8" x14ac:dyDescent="0.35">
      <c r="B873" s="6"/>
      <c r="C873" s="7"/>
      <c r="D873" s="35"/>
      <c r="E873" s="35"/>
      <c r="F873" s="35"/>
      <c r="G873" s="35"/>
      <c r="H873" s="35"/>
    </row>
    <row r="874" spans="2:8" x14ac:dyDescent="0.35">
      <c r="B874" s="6"/>
      <c r="C874" s="7"/>
      <c r="D874" s="35"/>
      <c r="E874" s="35"/>
      <c r="F874" s="35"/>
      <c r="G874" s="35"/>
      <c r="H874" s="35"/>
    </row>
    <row r="875" spans="2:8" x14ac:dyDescent="0.35">
      <c r="B875" s="6"/>
      <c r="C875" s="7"/>
      <c r="D875" s="35"/>
      <c r="E875" s="35"/>
      <c r="F875" s="35"/>
      <c r="G875" s="35"/>
      <c r="H875" s="35"/>
    </row>
    <row r="876" spans="2:8" x14ac:dyDescent="0.35">
      <c r="B876" s="6"/>
      <c r="C876" s="7"/>
      <c r="D876" s="35"/>
      <c r="E876" s="35"/>
      <c r="F876" s="35"/>
      <c r="G876" s="35"/>
      <c r="H876" s="35"/>
    </row>
    <row r="877" spans="2:8" x14ac:dyDescent="0.35">
      <c r="B877" s="6"/>
      <c r="C877" s="7"/>
      <c r="D877" s="35"/>
      <c r="E877" s="35"/>
      <c r="F877" s="35"/>
      <c r="G877" s="35"/>
      <c r="H877" s="35"/>
    </row>
    <row r="878" spans="2:8" x14ac:dyDescent="0.35">
      <c r="B878" s="6"/>
      <c r="C878" s="7"/>
      <c r="D878" s="35"/>
      <c r="E878" s="35"/>
      <c r="F878" s="35"/>
      <c r="G878" s="35"/>
      <c r="H878" s="35"/>
    </row>
    <row r="879" spans="2:8" x14ac:dyDescent="0.35">
      <c r="B879" s="6"/>
      <c r="C879" s="7"/>
      <c r="D879" s="35"/>
      <c r="E879" s="35"/>
      <c r="F879" s="35"/>
      <c r="G879" s="35"/>
      <c r="H879" s="35"/>
    </row>
    <row r="880" spans="2:8" x14ac:dyDescent="0.35">
      <c r="B880" s="6"/>
      <c r="C880" s="7"/>
      <c r="D880" s="35"/>
      <c r="E880" s="35"/>
      <c r="F880" s="35"/>
      <c r="G880" s="35"/>
      <c r="H880" s="35"/>
    </row>
    <row r="881" spans="2:8" x14ac:dyDescent="0.35">
      <c r="B881" s="6"/>
      <c r="C881" s="7"/>
      <c r="D881" s="35"/>
      <c r="E881" s="35"/>
      <c r="F881" s="35"/>
      <c r="G881" s="35"/>
      <c r="H881" s="35"/>
    </row>
    <row r="882" spans="2:8" x14ac:dyDescent="0.35">
      <c r="B882" s="6"/>
      <c r="C882" s="7"/>
      <c r="D882" s="35"/>
      <c r="E882" s="35"/>
      <c r="F882" s="35"/>
      <c r="G882" s="35"/>
      <c r="H882" s="35"/>
    </row>
    <row r="883" spans="2:8" x14ac:dyDescent="0.35">
      <c r="B883" s="6"/>
      <c r="C883" s="7"/>
      <c r="D883" s="35"/>
      <c r="E883" s="35"/>
      <c r="F883" s="35"/>
      <c r="G883" s="35"/>
      <c r="H883" s="35"/>
    </row>
    <row r="884" spans="2:8" x14ac:dyDescent="0.35">
      <c r="B884" s="6"/>
      <c r="C884" s="7"/>
      <c r="D884" s="35"/>
      <c r="E884" s="35"/>
      <c r="F884" s="35"/>
      <c r="G884" s="35"/>
      <c r="H884" s="35"/>
    </row>
    <row r="885" spans="2:8" x14ac:dyDescent="0.35">
      <c r="B885" s="6"/>
      <c r="C885" s="7"/>
      <c r="D885" s="35"/>
      <c r="E885" s="35"/>
      <c r="F885" s="35"/>
      <c r="G885" s="35"/>
      <c r="H885" s="35"/>
    </row>
    <row r="886" spans="2:8" x14ac:dyDescent="0.35">
      <c r="B886" s="6"/>
      <c r="C886" s="7"/>
      <c r="D886" s="35"/>
      <c r="E886" s="35"/>
      <c r="F886" s="35"/>
      <c r="G886" s="35"/>
      <c r="H886" s="35"/>
    </row>
    <row r="887" spans="2:8" x14ac:dyDescent="0.35">
      <c r="B887" s="6"/>
      <c r="C887" s="7"/>
      <c r="D887" s="35"/>
      <c r="E887" s="35"/>
      <c r="F887" s="35"/>
      <c r="G887" s="35"/>
      <c r="H887" s="35"/>
    </row>
    <row r="888" spans="2:8" x14ac:dyDescent="0.35">
      <c r="B888" s="6"/>
      <c r="C888" s="7"/>
      <c r="D888" s="35"/>
      <c r="E888" s="35"/>
      <c r="F888" s="35"/>
      <c r="G888" s="35"/>
      <c r="H888" s="35"/>
    </row>
    <row r="889" spans="2:8" x14ac:dyDescent="0.35">
      <c r="B889" s="6"/>
      <c r="C889" s="7"/>
      <c r="D889" s="35"/>
      <c r="E889" s="35"/>
      <c r="F889" s="35"/>
      <c r="G889" s="35"/>
      <c r="H889" s="35"/>
    </row>
    <row r="890" spans="2:8" x14ac:dyDescent="0.35">
      <c r="B890" s="6"/>
      <c r="C890" s="7"/>
      <c r="D890" s="35"/>
      <c r="E890" s="35"/>
      <c r="F890" s="35"/>
      <c r="G890" s="35"/>
      <c r="H890" s="35"/>
    </row>
    <row r="891" spans="2:8" x14ac:dyDescent="0.35">
      <c r="B891" s="6"/>
      <c r="C891" s="7"/>
      <c r="D891" s="35"/>
      <c r="E891" s="35"/>
      <c r="F891" s="35"/>
      <c r="G891" s="35"/>
      <c r="H891" s="35"/>
    </row>
    <row r="892" spans="2:8" x14ac:dyDescent="0.35">
      <c r="B892" s="6"/>
      <c r="C892" s="7"/>
      <c r="D892" s="35"/>
      <c r="E892" s="35"/>
      <c r="F892" s="35"/>
      <c r="G892" s="35"/>
      <c r="H892" s="35"/>
    </row>
    <row r="893" spans="2:8" x14ac:dyDescent="0.35">
      <c r="B893" s="6"/>
      <c r="C893" s="7"/>
      <c r="D893" s="35"/>
      <c r="E893" s="35"/>
      <c r="F893" s="35"/>
      <c r="G893" s="35"/>
      <c r="H893" s="35"/>
    </row>
    <row r="894" spans="2:8" x14ac:dyDescent="0.35">
      <c r="B894" s="6"/>
      <c r="C894" s="7"/>
      <c r="D894" s="35"/>
      <c r="E894" s="35"/>
      <c r="F894" s="35"/>
      <c r="G894" s="35"/>
      <c r="H894" s="35"/>
    </row>
    <row r="895" spans="2:8" x14ac:dyDescent="0.35">
      <c r="B895" s="6"/>
      <c r="C895" s="7"/>
      <c r="D895" s="35"/>
      <c r="E895" s="35"/>
      <c r="F895" s="35"/>
      <c r="G895" s="35"/>
      <c r="H895" s="35"/>
    </row>
    <row r="896" spans="2:8" x14ac:dyDescent="0.35">
      <c r="B896" s="6"/>
      <c r="C896" s="7"/>
      <c r="D896" s="35"/>
      <c r="E896" s="35"/>
      <c r="F896" s="35"/>
      <c r="G896" s="35"/>
      <c r="H896" s="35"/>
    </row>
    <row r="897" spans="2:8" x14ac:dyDescent="0.35">
      <c r="B897" s="6"/>
      <c r="C897" s="7"/>
      <c r="D897" s="35"/>
      <c r="E897" s="35"/>
      <c r="F897" s="35"/>
      <c r="G897" s="35"/>
      <c r="H897" s="35"/>
    </row>
    <row r="898" spans="2:8" x14ac:dyDescent="0.35">
      <c r="B898" s="6"/>
      <c r="C898" s="7"/>
      <c r="D898" s="35"/>
      <c r="E898" s="35"/>
      <c r="F898" s="35"/>
      <c r="G898" s="35"/>
      <c r="H898" s="35"/>
    </row>
    <row r="899" spans="2:8" x14ac:dyDescent="0.35">
      <c r="B899" s="6"/>
      <c r="C899" s="7"/>
      <c r="D899" s="35"/>
      <c r="E899" s="35"/>
      <c r="F899" s="35"/>
      <c r="G899" s="35"/>
      <c r="H899" s="35"/>
    </row>
    <row r="900" spans="2:8" x14ac:dyDescent="0.35">
      <c r="B900" s="6"/>
      <c r="C900" s="7"/>
      <c r="D900" s="35"/>
      <c r="E900" s="35"/>
      <c r="F900" s="35"/>
      <c r="G900" s="35"/>
      <c r="H900" s="35"/>
    </row>
    <row r="901" spans="2:8" x14ac:dyDescent="0.35">
      <c r="B901" s="6"/>
      <c r="C901" s="7"/>
      <c r="D901" s="35"/>
      <c r="E901" s="35"/>
      <c r="F901" s="35"/>
      <c r="G901" s="35"/>
      <c r="H901" s="35"/>
    </row>
    <row r="902" spans="2:8" x14ac:dyDescent="0.35">
      <c r="B902" s="6"/>
      <c r="C902" s="7"/>
      <c r="D902" s="35"/>
      <c r="E902" s="35"/>
      <c r="F902" s="35"/>
      <c r="G902" s="35"/>
      <c r="H902" s="35"/>
    </row>
    <row r="903" spans="2:8" x14ac:dyDescent="0.35">
      <c r="B903" s="6"/>
      <c r="C903" s="7"/>
      <c r="D903" s="35"/>
      <c r="E903" s="35"/>
      <c r="F903" s="35"/>
      <c r="G903" s="35"/>
      <c r="H903" s="35"/>
    </row>
    <row r="904" spans="2:8" x14ac:dyDescent="0.35">
      <c r="B904" s="6"/>
      <c r="C904" s="7"/>
      <c r="D904" s="35"/>
      <c r="E904" s="35"/>
      <c r="F904" s="35"/>
      <c r="G904" s="35"/>
      <c r="H904" s="35"/>
    </row>
    <row r="905" spans="2:8" x14ac:dyDescent="0.35">
      <c r="B905" s="6"/>
      <c r="C905" s="7"/>
      <c r="D905" s="35"/>
      <c r="E905" s="35"/>
      <c r="F905" s="35"/>
      <c r="G905" s="35"/>
      <c r="H905" s="35"/>
    </row>
    <row r="906" spans="2:8" x14ac:dyDescent="0.35">
      <c r="B906" s="6"/>
      <c r="C906" s="7"/>
      <c r="D906" s="35"/>
      <c r="E906" s="35"/>
      <c r="F906" s="35"/>
      <c r="G906" s="35"/>
      <c r="H906" s="35"/>
    </row>
    <row r="907" spans="2:8" x14ac:dyDescent="0.35">
      <c r="B907" s="6"/>
      <c r="C907" s="7"/>
      <c r="D907" s="35"/>
      <c r="E907" s="35"/>
      <c r="F907" s="35"/>
      <c r="G907" s="35"/>
      <c r="H907" s="35"/>
    </row>
    <row r="908" spans="2:8" x14ac:dyDescent="0.35">
      <c r="B908" s="6"/>
      <c r="C908" s="7"/>
      <c r="D908" s="35"/>
      <c r="E908" s="35"/>
      <c r="F908" s="35"/>
      <c r="G908" s="35"/>
      <c r="H908" s="35"/>
    </row>
    <row r="909" spans="2:8" x14ac:dyDescent="0.35">
      <c r="B909" s="6"/>
      <c r="C909" s="7"/>
      <c r="D909" s="35"/>
      <c r="E909" s="35"/>
      <c r="F909" s="35"/>
      <c r="G909" s="35"/>
      <c r="H909" s="35"/>
    </row>
    <row r="910" spans="2:8" x14ac:dyDescent="0.35">
      <c r="B910" s="6"/>
      <c r="C910" s="7"/>
      <c r="D910" s="35"/>
      <c r="E910" s="35"/>
      <c r="F910" s="35"/>
      <c r="G910" s="35"/>
      <c r="H910" s="35"/>
    </row>
    <row r="911" spans="2:8" x14ac:dyDescent="0.35">
      <c r="B911" s="6"/>
      <c r="C911" s="7"/>
      <c r="D911" s="35"/>
      <c r="E911" s="35"/>
      <c r="F911" s="35"/>
      <c r="G911" s="35"/>
      <c r="H911" s="35"/>
    </row>
    <row r="912" spans="2:8" x14ac:dyDescent="0.35">
      <c r="B912" s="6"/>
      <c r="C912" s="7"/>
      <c r="D912" s="35"/>
      <c r="E912" s="35"/>
      <c r="F912" s="35"/>
      <c r="G912" s="35"/>
      <c r="H912" s="35"/>
    </row>
    <row r="913" spans="2:8" x14ac:dyDescent="0.35">
      <c r="B913" s="6"/>
      <c r="C913" s="7"/>
      <c r="D913" s="35"/>
      <c r="E913" s="35"/>
      <c r="F913" s="35"/>
      <c r="G913" s="35"/>
      <c r="H913" s="35"/>
    </row>
    <row r="914" spans="2:8" x14ac:dyDescent="0.35">
      <c r="B914" s="6"/>
      <c r="C914" s="7"/>
      <c r="D914" s="35"/>
      <c r="E914" s="35"/>
      <c r="F914" s="35"/>
      <c r="G914" s="35"/>
      <c r="H914" s="35"/>
    </row>
    <row r="915" spans="2:8" x14ac:dyDescent="0.35">
      <c r="B915" s="6"/>
      <c r="C915" s="7"/>
      <c r="D915" s="35"/>
      <c r="E915" s="35"/>
      <c r="F915" s="35"/>
      <c r="G915" s="35"/>
      <c r="H915" s="35"/>
    </row>
    <row r="916" spans="2:8" x14ac:dyDescent="0.35">
      <c r="B916" s="6"/>
      <c r="C916" s="7"/>
      <c r="D916" s="35"/>
      <c r="E916" s="35"/>
      <c r="F916" s="35"/>
      <c r="G916" s="35"/>
      <c r="H916" s="35"/>
    </row>
    <row r="917" spans="2:8" x14ac:dyDescent="0.35">
      <c r="B917" s="6"/>
      <c r="C917" s="7"/>
      <c r="D917" s="35"/>
      <c r="E917" s="35"/>
      <c r="F917" s="35"/>
      <c r="G917" s="35"/>
      <c r="H917" s="35"/>
    </row>
    <row r="918" spans="2:8" x14ac:dyDescent="0.35">
      <c r="B918" s="6"/>
      <c r="C918" s="7"/>
      <c r="D918" s="35"/>
      <c r="E918" s="35"/>
      <c r="F918" s="35"/>
      <c r="G918" s="35"/>
      <c r="H918" s="35"/>
    </row>
    <row r="919" spans="2:8" x14ac:dyDescent="0.35">
      <c r="B919" s="6"/>
      <c r="C919" s="7"/>
      <c r="D919" s="35"/>
      <c r="E919" s="35"/>
      <c r="F919" s="35"/>
      <c r="G919" s="35"/>
      <c r="H919" s="35"/>
    </row>
    <row r="920" spans="2:8" x14ac:dyDescent="0.35">
      <c r="B920" s="6"/>
      <c r="C920" s="7"/>
      <c r="D920" s="35"/>
      <c r="E920" s="35"/>
      <c r="F920" s="35"/>
      <c r="G920" s="35"/>
      <c r="H920" s="35"/>
    </row>
    <row r="921" spans="2:8" x14ac:dyDescent="0.35">
      <c r="B921" s="6"/>
      <c r="C921" s="7"/>
      <c r="D921" s="35"/>
      <c r="E921" s="35"/>
      <c r="F921" s="35"/>
      <c r="G921" s="35"/>
      <c r="H921" s="35"/>
    </row>
    <row r="922" spans="2:8" x14ac:dyDescent="0.35">
      <c r="B922" s="6"/>
      <c r="C922" s="7"/>
      <c r="D922" s="35"/>
      <c r="E922" s="35"/>
      <c r="F922" s="35"/>
      <c r="G922" s="35"/>
      <c r="H922" s="35"/>
    </row>
    <row r="923" spans="2:8" x14ac:dyDescent="0.35">
      <c r="B923" s="6"/>
      <c r="C923" s="7"/>
      <c r="D923" s="35"/>
      <c r="E923" s="35"/>
      <c r="F923" s="35"/>
      <c r="G923" s="35"/>
      <c r="H923" s="35"/>
    </row>
    <row r="924" spans="2:8" x14ac:dyDescent="0.35">
      <c r="B924" s="6"/>
      <c r="C924" s="7"/>
      <c r="D924" s="35"/>
      <c r="E924" s="35"/>
      <c r="F924" s="35"/>
      <c r="G924" s="35"/>
      <c r="H924" s="35"/>
    </row>
    <row r="925" spans="2:8" x14ac:dyDescent="0.35">
      <c r="B925" s="6"/>
      <c r="C925" s="7"/>
      <c r="D925" s="35"/>
      <c r="E925" s="35"/>
      <c r="F925" s="35"/>
      <c r="G925" s="35"/>
      <c r="H925" s="35"/>
    </row>
    <row r="926" spans="2:8" x14ac:dyDescent="0.35">
      <c r="B926" s="6"/>
      <c r="C926" s="7"/>
      <c r="D926" s="35"/>
      <c r="E926" s="35"/>
      <c r="F926" s="35"/>
      <c r="G926" s="35"/>
      <c r="H926" s="35"/>
    </row>
    <row r="927" spans="2:8" x14ac:dyDescent="0.35">
      <c r="B927" s="6"/>
      <c r="C927" s="7"/>
      <c r="D927" s="35"/>
      <c r="E927" s="35"/>
      <c r="F927" s="35"/>
      <c r="G927" s="35"/>
      <c r="H927" s="35"/>
    </row>
    <row r="928" spans="2:8" x14ac:dyDescent="0.35">
      <c r="B928" s="6"/>
      <c r="C928" s="7"/>
      <c r="D928" s="35"/>
      <c r="E928" s="35"/>
      <c r="F928" s="35"/>
      <c r="G928" s="35"/>
      <c r="H928" s="35"/>
    </row>
    <row r="929" spans="2:8" x14ac:dyDescent="0.35">
      <c r="B929" s="6"/>
      <c r="C929" s="7"/>
      <c r="D929" s="35"/>
      <c r="E929" s="35"/>
      <c r="F929" s="35"/>
      <c r="G929" s="35"/>
      <c r="H929" s="35"/>
    </row>
    <row r="930" spans="2:8" x14ac:dyDescent="0.35">
      <c r="B930" s="6"/>
      <c r="C930" s="7"/>
      <c r="D930" s="35"/>
      <c r="E930" s="35"/>
      <c r="F930" s="35"/>
      <c r="G930" s="35"/>
      <c r="H930" s="35"/>
    </row>
    <row r="931" spans="2:8" x14ac:dyDescent="0.35">
      <c r="B931" s="6"/>
      <c r="C931" s="7"/>
      <c r="D931" s="35"/>
      <c r="E931" s="35"/>
      <c r="F931" s="35"/>
      <c r="G931" s="35"/>
      <c r="H931" s="35"/>
    </row>
    <row r="932" spans="2:8" x14ac:dyDescent="0.35">
      <c r="B932" s="6"/>
      <c r="C932" s="7"/>
      <c r="D932" s="35"/>
      <c r="E932" s="35"/>
      <c r="F932" s="35"/>
      <c r="G932" s="35"/>
      <c r="H932" s="35"/>
    </row>
    <row r="933" spans="2:8" x14ac:dyDescent="0.35">
      <c r="B933" s="6"/>
      <c r="C933" s="7"/>
      <c r="D933" s="35"/>
      <c r="E933" s="35"/>
      <c r="F933" s="35"/>
      <c r="G933" s="35"/>
      <c r="H933" s="35"/>
    </row>
    <row r="934" spans="2:8" x14ac:dyDescent="0.35">
      <c r="B934" s="6"/>
      <c r="C934" s="7"/>
      <c r="D934" s="35"/>
      <c r="E934" s="35"/>
      <c r="F934" s="35"/>
      <c r="G934" s="35"/>
      <c r="H934" s="35"/>
    </row>
    <row r="935" spans="2:8" x14ac:dyDescent="0.35">
      <c r="B935" s="6"/>
      <c r="C935" s="7"/>
      <c r="D935" s="35"/>
      <c r="E935" s="35"/>
      <c r="F935" s="35"/>
      <c r="G935" s="35"/>
      <c r="H935" s="35"/>
    </row>
    <row r="936" spans="2:8" x14ac:dyDescent="0.35">
      <c r="B936" s="6"/>
      <c r="C936" s="7"/>
      <c r="D936" s="35"/>
      <c r="E936" s="35"/>
      <c r="F936" s="35"/>
      <c r="G936" s="35"/>
      <c r="H936" s="35"/>
    </row>
    <row r="937" spans="2:8" x14ac:dyDescent="0.35">
      <c r="B937" s="6"/>
      <c r="C937" s="7"/>
      <c r="D937" s="35"/>
      <c r="E937" s="35"/>
      <c r="F937" s="35"/>
      <c r="G937" s="35"/>
      <c r="H937" s="35"/>
    </row>
    <row r="938" spans="2:8" x14ac:dyDescent="0.35">
      <c r="B938" s="6"/>
      <c r="C938" s="7"/>
      <c r="D938" s="35"/>
      <c r="E938" s="35"/>
      <c r="F938" s="35"/>
      <c r="G938" s="35"/>
      <c r="H938" s="35"/>
    </row>
    <row r="939" spans="2:8" x14ac:dyDescent="0.35">
      <c r="B939" s="6"/>
      <c r="C939" s="7"/>
      <c r="D939" s="35"/>
      <c r="E939" s="35"/>
      <c r="F939" s="35"/>
      <c r="G939" s="35"/>
      <c r="H939" s="35"/>
    </row>
    <row r="940" spans="2:8" x14ac:dyDescent="0.35">
      <c r="B940" s="6"/>
      <c r="C940" s="7"/>
      <c r="D940" s="35"/>
      <c r="E940" s="35"/>
      <c r="F940" s="35"/>
      <c r="G940" s="35"/>
      <c r="H940" s="35"/>
    </row>
    <row r="941" spans="2:8" x14ac:dyDescent="0.35">
      <c r="B941" s="6"/>
      <c r="C941" s="7"/>
      <c r="D941" s="35"/>
      <c r="E941" s="35"/>
      <c r="F941" s="35"/>
      <c r="G941" s="35"/>
      <c r="H941" s="35"/>
    </row>
    <row r="942" spans="2:8" x14ac:dyDescent="0.35">
      <c r="B942" s="6"/>
      <c r="C942" s="7"/>
      <c r="D942" s="35"/>
      <c r="E942" s="35"/>
      <c r="F942" s="35"/>
      <c r="G942" s="35"/>
      <c r="H942" s="35"/>
    </row>
    <row r="943" spans="2:8" x14ac:dyDescent="0.35">
      <c r="B943" s="6"/>
      <c r="C943" s="7"/>
      <c r="D943" s="35"/>
      <c r="E943" s="35"/>
      <c r="F943" s="35"/>
      <c r="G943" s="35"/>
      <c r="H943" s="35"/>
    </row>
    <row r="944" spans="2:8" x14ac:dyDescent="0.35">
      <c r="B944" s="6"/>
      <c r="C944" s="7"/>
      <c r="D944" s="35"/>
      <c r="E944" s="35"/>
      <c r="F944" s="35"/>
      <c r="G944" s="35"/>
      <c r="H944" s="35"/>
    </row>
    <row r="945" spans="2:8" x14ac:dyDescent="0.35">
      <c r="B945" s="6"/>
      <c r="C945" s="7"/>
      <c r="D945" s="35"/>
      <c r="E945" s="35"/>
      <c r="F945" s="35"/>
      <c r="G945" s="35"/>
      <c r="H945" s="35"/>
    </row>
    <row r="946" spans="2:8" x14ac:dyDescent="0.35">
      <c r="B946" s="6"/>
      <c r="C946" s="7"/>
      <c r="D946" s="35"/>
      <c r="E946" s="35"/>
      <c r="F946" s="35"/>
      <c r="G946" s="35"/>
      <c r="H946" s="35"/>
    </row>
    <row r="947" spans="2:8" x14ac:dyDescent="0.35">
      <c r="B947" s="6"/>
      <c r="C947" s="7"/>
      <c r="D947" s="35"/>
      <c r="E947" s="35"/>
      <c r="F947" s="35"/>
      <c r="G947" s="35"/>
      <c r="H947" s="35"/>
    </row>
    <row r="948" spans="2:8" x14ac:dyDescent="0.35">
      <c r="B948" s="6"/>
      <c r="C948" s="7"/>
      <c r="D948" s="35"/>
      <c r="E948" s="35"/>
      <c r="F948" s="35"/>
      <c r="G948" s="35"/>
      <c r="H948" s="35"/>
    </row>
    <row r="949" spans="2:8" x14ac:dyDescent="0.35">
      <c r="B949" s="6"/>
      <c r="C949" s="7"/>
      <c r="D949" s="35"/>
      <c r="E949" s="35"/>
      <c r="F949" s="35"/>
      <c r="G949" s="35"/>
      <c r="H949" s="35"/>
    </row>
    <row r="950" spans="2:8" x14ac:dyDescent="0.35">
      <c r="B950" s="6"/>
      <c r="C950" s="7"/>
      <c r="D950" s="35"/>
      <c r="E950" s="35"/>
      <c r="F950" s="35"/>
      <c r="G950" s="35"/>
      <c r="H950" s="35"/>
    </row>
    <row r="951" spans="2:8" x14ac:dyDescent="0.35">
      <c r="B951" s="6"/>
      <c r="C951" s="7"/>
      <c r="D951" s="35"/>
      <c r="E951" s="35"/>
      <c r="F951" s="35"/>
      <c r="G951" s="35"/>
      <c r="H951" s="35"/>
    </row>
    <row r="952" spans="2:8" x14ac:dyDescent="0.35">
      <c r="B952" s="6"/>
      <c r="C952" s="7"/>
      <c r="D952" s="35"/>
      <c r="E952" s="35"/>
      <c r="F952" s="35"/>
      <c r="G952" s="35"/>
      <c r="H952" s="35"/>
    </row>
    <row r="953" spans="2:8" x14ac:dyDescent="0.35">
      <c r="B953" s="6"/>
      <c r="C953" s="7"/>
      <c r="D953" s="35"/>
      <c r="E953" s="35"/>
      <c r="F953" s="35"/>
      <c r="G953" s="35"/>
      <c r="H953" s="35"/>
    </row>
    <row r="954" spans="2:8" x14ac:dyDescent="0.35">
      <c r="B954" s="6"/>
      <c r="C954" s="7"/>
      <c r="D954" s="35"/>
      <c r="E954" s="35"/>
      <c r="F954" s="35"/>
      <c r="G954" s="35"/>
      <c r="H954" s="35"/>
    </row>
    <row r="955" spans="2:8" x14ac:dyDescent="0.35">
      <c r="B955" s="6"/>
      <c r="C955" s="7"/>
      <c r="D955" s="35"/>
      <c r="E955" s="35"/>
      <c r="F955" s="35"/>
      <c r="G955" s="35"/>
      <c r="H955" s="35"/>
    </row>
    <row r="956" spans="2:8" x14ac:dyDescent="0.35">
      <c r="B956" s="6"/>
      <c r="C956" s="7"/>
      <c r="D956" s="35"/>
      <c r="E956" s="35"/>
      <c r="F956" s="35"/>
      <c r="G956" s="35"/>
      <c r="H956" s="35"/>
    </row>
    <row r="957" spans="2:8" x14ac:dyDescent="0.35">
      <c r="B957" s="6"/>
      <c r="C957" s="7"/>
      <c r="D957" s="35"/>
      <c r="E957" s="35"/>
      <c r="F957" s="35"/>
      <c r="G957" s="35"/>
      <c r="H957" s="35"/>
    </row>
    <row r="958" spans="2:8" x14ac:dyDescent="0.35">
      <c r="B958" s="6"/>
      <c r="C958" s="7"/>
      <c r="D958" s="35"/>
      <c r="E958" s="35"/>
      <c r="F958" s="35"/>
      <c r="G958" s="35"/>
      <c r="H958" s="35"/>
    </row>
    <row r="959" spans="2:8" x14ac:dyDescent="0.35">
      <c r="B959" s="6"/>
      <c r="C959" s="7"/>
      <c r="D959" s="35"/>
      <c r="E959" s="35"/>
      <c r="F959" s="35"/>
      <c r="G959" s="35"/>
      <c r="H959" s="35"/>
    </row>
    <row r="960" spans="2:8" x14ac:dyDescent="0.35">
      <c r="B960" s="6"/>
      <c r="C960" s="7"/>
      <c r="D960" s="35"/>
      <c r="E960" s="35"/>
      <c r="F960" s="35"/>
      <c r="G960" s="35"/>
      <c r="H960" s="35"/>
    </row>
    <row r="961" spans="2:8" x14ac:dyDescent="0.35">
      <c r="B961" s="6"/>
      <c r="C961" s="7"/>
      <c r="D961" s="35"/>
      <c r="E961" s="35"/>
      <c r="F961" s="35"/>
      <c r="G961" s="35"/>
      <c r="H961" s="35"/>
    </row>
    <row r="962" spans="2:8" x14ac:dyDescent="0.35">
      <c r="B962" s="6"/>
      <c r="C962" s="7"/>
      <c r="D962" s="35"/>
      <c r="E962" s="35"/>
      <c r="F962" s="35"/>
      <c r="G962" s="35"/>
      <c r="H962" s="35"/>
    </row>
    <row r="963" spans="2:8" x14ac:dyDescent="0.35">
      <c r="B963" s="6"/>
      <c r="C963" s="7"/>
      <c r="D963" s="35"/>
      <c r="E963" s="35"/>
      <c r="F963" s="35"/>
      <c r="G963" s="35"/>
      <c r="H963" s="35"/>
    </row>
    <row r="964" spans="2:8" x14ac:dyDescent="0.35">
      <c r="B964" s="6"/>
      <c r="C964" s="7"/>
      <c r="D964" s="35"/>
      <c r="E964" s="35"/>
      <c r="F964" s="35"/>
      <c r="G964" s="35"/>
      <c r="H964" s="35"/>
    </row>
    <row r="965" spans="2:8" x14ac:dyDescent="0.35">
      <c r="B965" s="6"/>
      <c r="C965" s="7"/>
      <c r="D965" s="35"/>
      <c r="E965" s="35"/>
      <c r="F965" s="35"/>
      <c r="G965" s="35"/>
      <c r="H965" s="35"/>
    </row>
    <row r="966" spans="2:8" x14ac:dyDescent="0.35">
      <c r="B966" s="6"/>
      <c r="C966" s="7"/>
      <c r="D966" s="35"/>
      <c r="E966" s="35"/>
      <c r="F966" s="35"/>
      <c r="G966" s="35"/>
      <c r="H966" s="35"/>
    </row>
    <row r="967" spans="2:8" x14ac:dyDescent="0.35">
      <c r="B967" s="6"/>
      <c r="C967" s="7"/>
      <c r="D967" s="35"/>
      <c r="E967" s="35"/>
      <c r="F967" s="35"/>
      <c r="G967" s="35"/>
      <c r="H967" s="35"/>
    </row>
    <row r="968" spans="2:8" x14ac:dyDescent="0.35">
      <c r="B968" s="6"/>
      <c r="C968" s="7"/>
      <c r="D968" s="35"/>
      <c r="E968" s="35"/>
      <c r="F968" s="35"/>
      <c r="G968" s="35"/>
      <c r="H968" s="35"/>
    </row>
    <row r="969" spans="2:8" x14ac:dyDescent="0.35">
      <c r="B969" s="6"/>
      <c r="C969" s="7"/>
      <c r="D969" s="35"/>
      <c r="E969" s="35"/>
      <c r="F969" s="35"/>
      <c r="G969" s="35"/>
      <c r="H969" s="35"/>
    </row>
    <row r="970" spans="2:8" x14ac:dyDescent="0.35">
      <c r="B970" s="6"/>
      <c r="C970" s="7"/>
      <c r="D970" s="35"/>
      <c r="E970" s="35"/>
      <c r="F970" s="35"/>
      <c r="G970" s="35"/>
      <c r="H970" s="35"/>
    </row>
    <row r="971" spans="2:8" x14ac:dyDescent="0.35">
      <c r="B971" s="6"/>
      <c r="C971" s="7"/>
      <c r="D971" s="35"/>
      <c r="E971" s="35"/>
      <c r="F971" s="35"/>
      <c r="G971" s="35"/>
      <c r="H971" s="35"/>
    </row>
    <row r="972" spans="2:8" x14ac:dyDescent="0.35">
      <c r="B972" s="6"/>
      <c r="C972" s="7"/>
      <c r="D972" s="35"/>
      <c r="E972" s="35"/>
      <c r="F972" s="35"/>
      <c r="G972" s="35"/>
      <c r="H972" s="35"/>
    </row>
    <row r="973" spans="2:8" x14ac:dyDescent="0.35">
      <c r="B973" s="6"/>
      <c r="C973" s="7"/>
      <c r="D973" s="35"/>
      <c r="E973" s="35"/>
      <c r="F973" s="35"/>
      <c r="G973" s="35"/>
      <c r="H973" s="35"/>
    </row>
    <row r="974" spans="2:8" x14ac:dyDescent="0.35">
      <c r="B974" s="6"/>
      <c r="C974" s="7"/>
      <c r="D974" s="35"/>
      <c r="E974" s="35"/>
      <c r="F974" s="35"/>
      <c r="G974" s="35"/>
      <c r="H974" s="35"/>
    </row>
    <row r="975" spans="2:8" x14ac:dyDescent="0.35">
      <c r="B975" s="6"/>
      <c r="C975" s="7"/>
      <c r="D975" s="35"/>
      <c r="E975" s="35"/>
      <c r="F975" s="35"/>
      <c r="G975" s="35"/>
      <c r="H975" s="35"/>
    </row>
    <row r="976" spans="2:8" x14ac:dyDescent="0.35">
      <c r="B976" s="6"/>
      <c r="C976" s="7"/>
      <c r="D976" s="35"/>
      <c r="E976" s="35"/>
      <c r="F976" s="35"/>
      <c r="G976" s="35"/>
      <c r="H976" s="35"/>
    </row>
    <row r="977" spans="2:8" x14ac:dyDescent="0.35">
      <c r="B977" s="6"/>
      <c r="C977" s="7"/>
      <c r="D977" s="35"/>
      <c r="E977" s="35"/>
      <c r="F977" s="35"/>
      <c r="G977" s="35"/>
      <c r="H977" s="35"/>
    </row>
    <row r="978" spans="2:8" x14ac:dyDescent="0.35">
      <c r="B978" s="6"/>
      <c r="C978" s="7"/>
      <c r="D978" s="35"/>
      <c r="E978" s="35"/>
      <c r="F978" s="35"/>
      <c r="G978" s="35"/>
      <c r="H978" s="35"/>
    </row>
    <row r="979" spans="2:8" x14ac:dyDescent="0.35">
      <c r="B979" s="6"/>
      <c r="C979" s="7"/>
      <c r="D979" s="35"/>
      <c r="E979" s="35"/>
      <c r="F979" s="35"/>
      <c r="G979" s="35"/>
      <c r="H979" s="35"/>
    </row>
    <row r="980" spans="2:8" x14ac:dyDescent="0.35">
      <c r="B980" s="6"/>
      <c r="C980" s="7"/>
      <c r="D980" s="35"/>
      <c r="E980" s="35"/>
      <c r="F980" s="35"/>
      <c r="G980" s="35"/>
      <c r="H980" s="35"/>
    </row>
    <row r="981" spans="2:8" x14ac:dyDescent="0.35">
      <c r="B981" s="6"/>
      <c r="C981" s="7"/>
      <c r="D981" s="35"/>
      <c r="E981" s="35"/>
      <c r="F981" s="35"/>
      <c r="G981" s="35"/>
      <c r="H981" s="35"/>
    </row>
    <row r="982" spans="2:8" x14ac:dyDescent="0.35">
      <c r="B982" s="6"/>
      <c r="C982" s="7"/>
      <c r="D982" s="35"/>
      <c r="E982" s="35"/>
      <c r="F982" s="35"/>
      <c r="G982" s="35"/>
      <c r="H982" s="35"/>
    </row>
    <row r="983" spans="2:8" x14ac:dyDescent="0.35">
      <c r="B983" s="6"/>
      <c r="C983" s="7"/>
      <c r="D983" s="35"/>
      <c r="E983" s="35"/>
      <c r="F983" s="35"/>
      <c r="G983" s="35"/>
      <c r="H983" s="35"/>
    </row>
    <row r="984" spans="2:8" x14ac:dyDescent="0.35">
      <c r="B984" s="6"/>
      <c r="C984" s="7"/>
      <c r="D984" s="35"/>
      <c r="E984" s="35"/>
      <c r="F984" s="35"/>
      <c r="G984" s="35"/>
      <c r="H984" s="35"/>
    </row>
    <row r="985" spans="2:8" x14ac:dyDescent="0.35">
      <c r="B985" s="6"/>
      <c r="C985" s="7"/>
      <c r="D985" s="35"/>
      <c r="E985" s="35"/>
      <c r="F985" s="35"/>
      <c r="G985" s="35"/>
      <c r="H985" s="35"/>
    </row>
    <row r="986" spans="2:8" x14ac:dyDescent="0.35">
      <c r="B986" s="6"/>
      <c r="C986" s="7"/>
      <c r="D986" s="35"/>
      <c r="E986" s="35"/>
      <c r="F986" s="35"/>
      <c r="G986" s="35"/>
      <c r="H986" s="35"/>
    </row>
    <row r="987" spans="2:8" x14ac:dyDescent="0.35">
      <c r="B987" s="6"/>
      <c r="C987" s="7"/>
      <c r="D987" s="35"/>
      <c r="E987" s="35"/>
      <c r="F987" s="35"/>
      <c r="G987" s="35"/>
      <c r="H987" s="35"/>
    </row>
    <row r="988" spans="2:8" x14ac:dyDescent="0.35">
      <c r="B988" s="6"/>
      <c r="C988" s="7"/>
      <c r="D988" s="35"/>
      <c r="E988" s="35"/>
      <c r="F988" s="35"/>
      <c r="G988" s="35"/>
      <c r="H988" s="35"/>
    </row>
    <row r="989" spans="2:8" x14ac:dyDescent="0.35">
      <c r="B989" s="6"/>
      <c r="C989" s="7"/>
      <c r="D989" s="35"/>
      <c r="E989" s="35"/>
      <c r="F989" s="35"/>
      <c r="G989" s="35"/>
      <c r="H989" s="35"/>
    </row>
    <row r="990" spans="2:8" x14ac:dyDescent="0.35">
      <c r="B990" s="6"/>
      <c r="C990" s="7"/>
      <c r="D990" s="35"/>
      <c r="E990" s="35"/>
      <c r="F990" s="35"/>
      <c r="G990" s="35"/>
      <c r="H990" s="35"/>
    </row>
    <row r="991" spans="2:8" x14ac:dyDescent="0.35">
      <c r="B991" s="6"/>
      <c r="C991" s="7"/>
      <c r="D991" s="35"/>
      <c r="E991" s="35"/>
      <c r="F991" s="35"/>
      <c r="G991" s="35"/>
      <c r="H991" s="35"/>
    </row>
    <row r="992" spans="2:8" x14ac:dyDescent="0.35">
      <c r="B992" s="6"/>
      <c r="C992" s="7"/>
      <c r="D992" s="35"/>
      <c r="E992" s="35"/>
      <c r="F992" s="35"/>
      <c r="G992" s="35"/>
      <c r="H992" s="35"/>
    </row>
    <row r="993" spans="2:8" x14ac:dyDescent="0.35">
      <c r="B993" s="6"/>
      <c r="C993" s="7"/>
      <c r="D993" s="35"/>
      <c r="E993" s="35"/>
      <c r="F993" s="35"/>
      <c r="G993" s="35"/>
      <c r="H993" s="35"/>
    </row>
    <row r="994" spans="2:8" x14ac:dyDescent="0.35">
      <c r="B994" s="6"/>
      <c r="C994" s="7"/>
      <c r="D994" s="35"/>
      <c r="E994" s="35"/>
      <c r="F994" s="35"/>
      <c r="G994" s="35"/>
      <c r="H994" s="35"/>
    </row>
    <row r="995" spans="2:8" x14ac:dyDescent="0.35">
      <c r="B995" s="6"/>
      <c r="C995" s="7"/>
      <c r="D995" s="35"/>
      <c r="E995" s="35"/>
      <c r="F995" s="35"/>
      <c r="G995" s="35"/>
      <c r="H995" s="35"/>
    </row>
    <row r="996" spans="2:8" x14ac:dyDescent="0.35">
      <c r="B996" s="6"/>
      <c r="C996" s="7"/>
      <c r="D996" s="35"/>
      <c r="E996" s="35"/>
      <c r="F996" s="35"/>
      <c r="G996" s="35"/>
      <c r="H996" s="35"/>
    </row>
    <row r="997" spans="2:8" x14ac:dyDescent="0.35">
      <c r="B997" s="6"/>
      <c r="C997" s="7"/>
      <c r="D997" s="35"/>
      <c r="E997" s="35"/>
      <c r="F997" s="35"/>
      <c r="G997" s="35"/>
      <c r="H997" s="35"/>
    </row>
    <row r="998" spans="2:8" x14ac:dyDescent="0.35">
      <c r="B998" s="6"/>
      <c r="C998" s="7"/>
      <c r="D998" s="35"/>
      <c r="E998" s="35"/>
      <c r="F998" s="35"/>
      <c r="G998" s="35"/>
      <c r="H998" s="35"/>
    </row>
    <row r="999" spans="2:8" x14ac:dyDescent="0.35">
      <c r="B999" s="6"/>
      <c r="C999" s="7"/>
      <c r="D999" s="35"/>
      <c r="E999" s="35"/>
      <c r="F999" s="35"/>
      <c r="G999" s="35"/>
      <c r="H999" s="35"/>
    </row>
    <row r="1000" spans="2:8" x14ac:dyDescent="0.35">
      <c r="B1000" s="6"/>
      <c r="C1000" s="7"/>
      <c r="D1000" s="35"/>
      <c r="E1000" s="35"/>
      <c r="F1000" s="35"/>
      <c r="G1000" s="35"/>
      <c r="H1000" s="35"/>
    </row>
  </sheetData>
  <dataValidations count="1">
    <dataValidation type="list" allowBlank="1" showInputMessage="1" showErrorMessage="1" sqref="B1" xr:uid="{7E9276FD-1C2D-43AB-873D-A5EFEDE484A3}">
      <formula1>EntityList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B4487-471C-43D3-833D-4673F8B5DBEA}">
  <sheetPr codeName="Sheet7"/>
  <dimension ref="A1:AY1000"/>
  <sheetViews>
    <sheetView showGridLines="0" zoomScale="91" zoomScaleNormal="91" workbookViewId="0">
      <pane ySplit="5" topLeftCell="A460" activePane="bottomLeft" state="frozen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8" width="19.26953125" style="32" customWidth="1"/>
    <col min="9" max="9" width="15.26953125" style="40" customWidth="1"/>
    <col min="10" max="10" width="12.1796875" customWidth="1"/>
    <col min="11" max="11" width="18.7265625" style="41" customWidth="1"/>
  </cols>
  <sheetData>
    <row r="1" spans="1:51" x14ac:dyDescent="0.35">
      <c r="A1" s="10" t="s">
        <v>4</v>
      </c>
      <c r="B1" s="15" t="s">
        <v>34</v>
      </c>
      <c r="AY1" t="s">
        <v>2</v>
      </c>
    </row>
    <row r="2" spans="1:51" x14ac:dyDescent="0.35">
      <c r="A2" s="10" t="s">
        <v>0</v>
      </c>
      <c r="B2" s="15">
        <v>44931</v>
      </c>
      <c r="AY2" t="s">
        <v>34</v>
      </c>
    </row>
    <row r="3" spans="1:51" x14ac:dyDescent="0.35">
      <c r="A3" s="10" t="s">
        <v>1</v>
      </c>
      <c r="B3" s="15">
        <f>AMF!EndDate</f>
        <v>45657</v>
      </c>
      <c r="AY3" t="s">
        <v>35</v>
      </c>
    </row>
    <row r="4" spans="1:51" x14ac:dyDescent="0.35">
      <c r="AY4" t="s">
        <v>9</v>
      </c>
    </row>
    <row r="5" spans="1:51" ht="16" x14ac:dyDescent="0.35">
      <c r="B5" s="12" t="s">
        <v>3</v>
      </c>
      <c r="C5" s="13" t="s">
        <v>4</v>
      </c>
      <c r="D5" s="33" t="s">
        <v>5</v>
      </c>
      <c r="E5" s="33" t="s">
        <v>6</v>
      </c>
      <c r="F5" s="33" t="s">
        <v>7</v>
      </c>
      <c r="G5" s="33" t="s">
        <v>8</v>
      </c>
      <c r="H5" s="33" t="s">
        <v>32</v>
      </c>
      <c r="AY5" t="s">
        <v>10</v>
      </c>
    </row>
    <row r="6" spans="1:51" x14ac:dyDescent="0.35">
      <c r="B6" s="4">
        <v>44931</v>
      </c>
      <c r="C6" s="5" t="s">
        <v>34</v>
      </c>
      <c r="D6" s="34">
        <v>-2.68177439747841E-3</v>
      </c>
      <c r="E6" s="34">
        <v>-2.68177439747841E-3</v>
      </c>
      <c r="F6" s="34">
        <v>-2.6817743974784092E-3</v>
      </c>
      <c r="G6" s="34">
        <v>-2.6817743974784092E-3</v>
      </c>
      <c r="H6" s="34">
        <v>-2.685376796426811E-3</v>
      </c>
      <c r="AY6" t="s">
        <v>11</v>
      </c>
    </row>
    <row r="7" spans="1:51" x14ac:dyDescent="0.35">
      <c r="B7" s="6">
        <v>44932</v>
      </c>
      <c r="C7" s="7" t="s">
        <v>34</v>
      </c>
      <c r="D7" s="35">
        <v>-2.30615258337898E-2</v>
      </c>
      <c r="E7" s="35">
        <v>-2.30615258337898E-2</v>
      </c>
      <c r="F7" s="35">
        <v>-2.5681454421720429E-2</v>
      </c>
      <c r="G7" s="35">
        <v>-2.5681454421720429E-2</v>
      </c>
      <c r="H7" s="35">
        <v>-2.3331603163655776E-2</v>
      </c>
      <c r="AY7" t="s">
        <v>33</v>
      </c>
    </row>
    <row r="8" spans="1:51" x14ac:dyDescent="0.35">
      <c r="B8" s="6">
        <v>44935</v>
      </c>
      <c r="C8" s="7" t="s">
        <v>34</v>
      </c>
      <c r="D8" s="35">
        <v>-2.9255732396468399E-2</v>
      </c>
      <c r="E8" s="35">
        <v>-2.9255732396468399E-2</v>
      </c>
      <c r="F8" s="35">
        <v>-5.4185857060074838E-2</v>
      </c>
      <c r="G8" s="35">
        <v>-5.4185857060074838E-2</v>
      </c>
      <c r="H8" s="35">
        <v>-2.9692215509061062E-2</v>
      </c>
    </row>
    <row r="9" spans="1:51" x14ac:dyDescent="0.35">
      <c r="B9" s="6">
        <v>44936</v>
      </c>
      <c r="C9" s="7" t="s">
        <v>34</v>
      </c>
      <c r="D9" s="35">
        <v>1.5223126586620899E-2</v>
      </c>
      <c r="E9" s="35">
        <v>1.5223126586620899E-2</v>
      </c>
      <c r="F9" s="35">
        <v>-3.9787608634684002E-2</v>
      </c>
      <c r="G9" s="35">
        <v>-3.9787608634684002E-2</v>
      </c>
      <c r="H9" s="35">
        <v>1.5108417484243929E-2</v>
      </c>
    </row>
    <row r="10" spans="1:51" x14ac:dyDescent="0.35">
      <c r="B10" s="6">
        <v>44937</v>
      </c>
      <c r="C10" s="7" t="s">
        <v>34</v>
      </c>
      <c r="D10" s="35">
        <v>1.1558465811758701E-2</v>
      </c>
      <c r="E10" s="35">
        <v>1.1558465811758701E-2</v>
      </c>
      <c r="F10" s="35">
        <v>-2.8689026537060958E-2</v>
      </c>
      <c r="G10" s="35">
        <v>-2.8689026537060958E-2</v>
      </c>
      <c r="H10" s="35">
        <v>1.1492177054362753E-2</v>
      </c>
    </row>
    <row r="11" spans="1:51" x14ac:dyDescent="0.35">
      <c r="B11" s="6">
        <v>44938</v>
      </c>
      <c r="C11" s="7" t="s">
        <v>34</v>
      </c>
      <c r="D11" s="35">
        <v>3.78537749599928E-2</v>
      </c>
      <c r="E11" s="35">
        <v>3.78537749599928E-2</v>
      </c>
      <c r="F11" s="35">
        <v>8.0787604685765846E-3</v>
      </c>
      <c r="G11" s="35">
        <v>8.0787604685765846E-3</v>
      </c>
      <c r="H11" s="35">
        <v>3.7154902912796342E-2</v>
      </c>
    </row>
    <row r="12" spans="1:51" x14ac:dyDescent="0.35">
      <c r="B12" s="6">
        <v>44939</v>
      </c>
      <c r="C12" s="7" t="s">
        <v>34</v>
      </c>
      <c r="D12" s="35">
        <v>2.3543524036513601E-2</v>
      </c>
      <c r="E12" s="35">
        <v>2.3543524036513601E-2</v>
      </c>
      <c r="F12" s="35">
        <v>3.1812486996367406E-2</v>
      </c>
      <c r="G12" s="35">
        <v>3.1812486996367406E-2</v>
      </c>
      <c r="H12" s="35">
        <v>2.3270649920981878E-2</v>
      </c>
    </row>
    <row r="13" spans="1:51" x14ac:dyDescent="0.35">
      <c r="B13" s="6">
        <v>44943</v>
      </c>
      <c r="C13" s="7" t="s">
        <v>34</v>
      </c>
      <c r="D13" s="35">
        <v>-4.5645905894570182E-3</v>
      </c>
      <c r="E13" s="35">
        <v>-4.5645905894570182E-3</v>
      </c>
      <c r="F13" s="35">
        <v>2.7102685428139539E-2</v>
      </c>
      <c r="G13" s="35">
        <v>2.7102685428139539E-2</v>
      </c>
      <c r="H13" s="35">
        <v>-4.5750401438319158E-3</v>
      </c>
    </row>
    <row r="14" spans="1:51" x14ac:dyDescent="0.35">
      <c r="B14" s="6">
        <v>44944</v>
      </c>
      <c r="C14" s="7" t="s">
        <v>34</v>
      </c>
      <c r="D14" s="35">
        <v>-3.6417376105660798E-3</v>
      </c>
      <c r="E14" s="35">
        <v>-3.6417376105660798E-3</v>
      </c>
      <c r="F14" s="35">
        <v>2.3362246948702481E-2</v>
      </c>
      <c r="G14" s="35">
        <v>2.3362246948702481E-2</v>
      </c>
      <c r="H14" s="35">
        <v>-3.6483848802934867E-3</v>
      </c>
    </row>
    <row r="15" spans="1:51" x14ac:dyDescent="0.35">
      <c r="B15" s="6">
        <v>44945</v>
      </c>
      <c r="C15" s="7" t="s">
        <v>34</v>
      </c>
      <c r="D15" s="35">
        <v>-8.4657356746420398E-4</v>
      </c>
      <c r="E15" s="35">
        <v>-8.4657356746420398E-4</v>
      </c>
      <c r="F15" s="35">
        <v>2.2495895520495024E-2</v>
      </c>
      <c r="G15" s="35">
        <v>2.2495895520495024E-2</v>
      </c>
      <c r="H15" s="35">
        <v>-8.4693211323796718E-4</v>
      </c>
    </row>
    <row r="16" spans="1:51" x14ac:dyDescent="0.35">
      <c r="B16" s="6">
        <v>44946</v>
      </c>
      <c r="C16" s="7" t="s">
        <v>34</v>
      </c>
      <c r="D16" s="35">
        <v>1.35485306485255E-2</v>
      </c>
      <c r="E16" s="35">
        <v>1.35485306485255E-2</v>
      </c>
      <c r="F16" s="35">
        <v>3.634921249894596E-2</v>
      </c>
      <c r="G16" s="35">
        <v>3.634921249894596E-2</v>
      </c>
      <c r="H16" s="35">
        <v>1.3457569975173349E-2</v>
      </c>
    </row>
    <row r="17" spans="2:8" x14ac:dyDescent="0.35">
      <c r="B17" s="6">
        <v>44949</v>
      </c>
      <c r="C17" s="7" t="s">
        <v>34</v>
      </c>
      <c r="D17" s="35">
        <v>1.7109738373965601E-2</v>
      </c>
      <c r="E17" s="35">
        <v>1.7109738373965601E-2</v>
      </c>
      <c r="F17" s="35">
        <v>5.4080876388868271E-2</v>
      </c>
      <c r="G17" s="35">
        <v>5.4080876388868271E-2</v>
      </c>
      <c r="H17" s="35">
        <v>1.6965015251070258E-2</v>
      </c>
    </row>
    <row r="18" spans="2:8" x14ac:dyDescent="0.35">
      <c r="B18" s="6">
        <v>44950</v>
      </c>
      <c r="C18" s="7" t="s">
        <v>34</v>
      </c>
      <c r="D18" s="35">
        <v>1.5838805914504001E-2</v>
      </c>
      <c r="E18" s="35">
        <v>1.5838805914504001E-2</v>
      </c>
      <c r="F18" s="35">
        <v>7.0776258808181947E-2</v>
      </c>
      <c r="G18" s="35">
        <v>7.0776258808181947E-2</v>
      </c>
      <c r="H18" s="35">
        <v>1.5714680973199131E-2</v>
      </c>
    </row>
    <row r="19" spans="2:8" x14ac:dyDescent="0.35">
      <c r="B19" s="6">
        <v>44951</v>
      </c>
      <c r="C19" s="7" t="s">
        <v>34</v>
      </c>
      <c r="D19" s="35">
        <v>8.4829345865336005E-3</v>
      </c>
      <c r="E19" s="35">
        <v>8.4829345865336005E-3</v>
      </c>
      <c r="F19" s="35">
        <v>7.9859583768465026E-2</v>
      </c>
      <c r="G19" s="35">
        <v>7.9859583768465026E-2</v>
      </c>
      <c r="H19" s="35">
        <v>8.4471566889217642E-3</v>
      </c>
    </row>
    <row r="20" spans="2:8" x14ac:dyDescent="0.35">
      <c r="B20" s="6">
        <v>44952</v>
      </c>
      <c r="C20" s="7" t="s">
        <v>34</v>
      </c>
      <c r="D20" s="35">
        <v>-4.5239342133897003E-3</v>
      </c>
      <c r="E20" s="35">
        <v>-4.5239342133897003E-3</v>
      </c>
      <c r="F20" s="35">
        <v>7.4974370051798189E-2</v>
      </c>
      <c r="G20" s="35">
        <v>7.4974370051798189E-2</v>
      </c>
      <c r="H20" s="35">
        <v>-4.5341981711179442E-3</v>
      </c>
    </row>
    <row r="21" spans="2:8" x14ac:dyDescent="0.35">
      <c r="B21" s="6">
        <v>44953</v>
      </c>
      <c r="C21" s="7" t="s">
        <v>34</v>
      </c>
      <c r="D21" s="35">
        <v>-1.39888639225139E-3</v>
      </c>
      <c r="E21" s="35">
        <v>-1.39888639225139E-3</v>
      </c>
      <c r="F21" s="35">
        <v>7.3470603033513715E-2</v>
      </c>
      <c r="G21" s="35">
        <v>7.3470603033513715E-2</v>
      </c>
      <c r="H21" s="35">
        <v>-1.3998657472647509E-3</v>
      </c>
    </row>
    <row r="22" spans="2:8" x14ac:dyDescent="0.35">
      <c r="B22" s="6">
        <v>44956</v>
      </c>
      <c r="C22" s="7" t="s">
        <v>34</v>
      </c>
      <c r="D22" s="35">
        <v>-1.8250061381233799E-2</v>
      </c>
      <c r="E22" s="35">
        <v>-1.8250061381233799E-2</v>
      </c>
      <c r="F22" s="35">
        <v>5.38796986372021E-2</v>
      </c>
      <c r="G22" s="35">
        <v>5.38796986372021E-2</v>
      </c>
      <c r="H22" s="35">
        <v>-1.8418648046285093E-2</v>
      </c>
    </row>
    <row r="23" spans="2:8" x14ac:dyDescent="0.35">
      <c r="B23" s="6">
        <v>44957</v>
      </c>
      <c r="C23" s="7" t="s">
        <v>34</v>
      </c>
      <c r="D23" s="35">
        <v>2.7123999141454899E-2</v>
      </c>
      <c r="E23" s="35">
        <v>2.7123999141454899E-2</v>
      </c>
      <c r="F23" s="35">
        <v>8.2465130678234244E-2</v>
      </c>
      <c r="G23" s="35">
        <v>8.2465130678234244E-2</v>
      </c>
      <c r="H23" s="35">
        <v>2.676266284153302E-2</v>
      </c>
    </row>
    <row r="24" spans="2:8" x14ac:dyDescent="0.35">
      <c r="B24" s="6">
        <v>44958</v>
      </c>
      <c r="C24" s="7" t="s">
        <v>34</v>
      </c>
      <c r="D24" s="35">
        <v>1.1606802796735301E-3</v>
      </c>
      <c r="E24" s="35">
        <v>1.1606802796735301E-3</v>
      </c>
      <c r="F24" s="35">
        <v>8.3721526608846686E-2</v>
      </c>
      <c r="G24" s="35">
        <v>8.3721526608846686E-2</v>
      </c>
      <c r="H24" s="35">
        <v>1.1600072110790063E-3</v>
      </c>
    </row>
    <row r="25" spans="2:8" x14ac:dyDescent="0.35">
      <c r="B25" s="6">
        <v>44959</v>
      </c>
      <c r="C25" s="7" t="s">
        <v>34</v>
      </c>
      <c r="D25" s="35">
        <v>1.2273503689608199E-3</v>
      </c>
      <c r="E25" s="35">
        <v>1.2273503689608199E-3</v>
      </c>
      <c r="F25" s="35">
        <v>8.5051632624380868E-2</v>
      </c>
      <c r="G25" s="35">
        <v>8.5051632624380868E-2</v>
      </c>
      <c r="H25" s="35">
        <v>1.2265977902189849E-3</v>
      </c>
    </row>
    <row r="26" spans="2:8" x14ac:dyDescent="0.35">
      <c r="B26" s="6">
        <v>44960</v>
      </c>
      <c r="C26" s="7" t="s">
        <v>34</v>
      </c>
      <c r="D26" s="35">
        <v>-1.4552363334198499E-2</v>
      </c>
      <c r="E26" s="35">
        <v>-1.4552363334198499E-2</v>
      </c>
      <c r="F26" s="35">
        <v>6.9261567030065585E-2</v>
      </c>
      <c r="G26" s="35">
        <v>6.9261567030065585E-2</v>
      </c>
      <c r="H26" s="35">
        <v>-1.4659287574931488E-2</v>
      </c>
    </row>
    <row r="27" spans="2:8" x14ac:dyDescent="0.35">
      <c r="B27" s="6">
        <v>44963</v>
      </c>
      <c r="C27" s="7" t="s">
        <v>34</v>
      </c>
      <c r="D27" s="35">
        <v>-3.0777921926828898E-3</v>
      </c>
      <c r="E27" s="35">
        <v>-3.0777921926828898E-3</v>
      </c>
      <c r="F27" s="35">
        <v>6.5970602127124467E-2</v>
      </c>
      <c r="G27" s="35">
        <v>6.5970602127124467E-2</v>
      </c>
      <c r="H27" s="35">
        <v>-3.0825383360039821E-3</v>
      </c>
    </row>
    <row r="28" spans="2:8" x14ac:dyDescent="0.35">
      <c r="B28" s="6">
        <v>44964</v>
      </c>
      <c r="C28" s="7" t="s">
        <v>34</v>
      </c>
      <c r="D28" s="35">
        <v>1.8561555958471799E-2</v>
      </c>
      <c r="E28" s="35">
        <v>1.8561555958471799E-2</v>
      </c>
      <c r="F28" s="35">
        <v>8.5756675108592972E-2</v>
      </c>
      <c r="G28" s="35">
        <v>8.5756675108592972E-2</v>
      </c>
      <c r="H28" s="35">
        <v>1.8391392716526657E-2</v>
      </c>
    </row>
    <row r="29" spans="2:8" x14ac:dyDescent="0.35">
      <c r="B29" s="6">
        <v>44965</v>
      </c>
      <c r="C29" s="7" t="s">
        <v>34</v>
      </c>
      <c r="D29" s="35">
        <v>-1.3156695433025599E-2</v>
      </c>
      <c r="E29" s="35">
        <v>-1.3156695433025599E-2</v>
      </c>
      <c r="F29" s="35">
        <v>7.1471705219814829E-2</v>
      </c>
      <c r="G29" s="35">
        <v>7.1471705219814829E-2</v>
      </c>
      <c r="H29" s="35">
        <v>-1.3244011456225004E-2</v>
      </c>
    </row>
    <row r="30" spans="2:8" x14ac:dyDescent="0.35">
      <c r="B30" s="6">
        <v>44966</v>
      </c>
      <c r="C30" s="7" t="s">
        <v>34</v>
      </c>
      <c r="D30" s="35">
        <v>-5.25302949288686E-3</v>
      </c>
      <c r="E30" s="35">
        <v>-5.25302949288686E-3</v>
      </c>
      <c r="F30" s="35">
        <v>6.5843232751501279E-2</v>
      </c>
      <c r="G30" s="35">
        <v>6.5843232751501279E-2</v>
      </c>
      <c r="H30" s="35">
        <v>-5.2668751614021285E-3</v>
      </c>
    </row>
    <row r="31" spans="2:8" x14ac:dyDescent="0.35">
      <c r="B31" s="6">
        <v>44967</v>
      </c>
      <c r="C31" s="7" t="s">
        <v>34</v>
      </c>
      <c r="D31" s="35">
        <v>6.0682447945503704E-4</v>
      </c>
      <c r="E31" s="35">
        <v>6.0682447945503704E-4</v>
      </c>
      <c r="F31" s="35">
        <v>6.6490012516396302E-2</v>
      </c>
      <c r="G31" s="35">
        <v>6.6490012516396302E-2</v>
      </c>
      <c r="H31" s="35">
        <v>6.0664043593158378E-4</v>
      </c>
    </row>
    <row r="32" spans="2:8" x14ac:dyDescent="0.35">
      <c r="B32" s="6">
        <v>44970</v>
      </c>
      <c r="C32" s="7" t="s">
        <v>34</v>
      </c>
      <c r="D32" s="35">
        <v>-1.65631244306708E-3</v>
      </c>
      <c r="E32" s="35">
        <v>-1.65631244306708E-3</v>
      </c>
      <c r="F32" s="35">
        <v>6.4723571838258609E-2</v>
      </c>
      <c r="G32" s="35">
        <v>6.4723571838258609E-2</v>
      </c>
      <c r="H32" s="35">
        <v>-1.6576856450320806E-3</v>
      </c>
    </row>
    <row r="33" spans="2:8" x14ac:dyDescent="0.35">
      <c r="B33" s="6">
        <v>44971</v>
      </c>
      <c r="C33" s="7" t="s">
        <v>34</v>
      </c>
      <c r="D33" s="35">
        <v>6.2880435112977499E-3</v>
      </c>
      <c r="E33" s="35">
        <v>6.2880435112977499E-3</v>
      </c>
      <c r="F33" s="35">
        <v>7.1418599985481945E-2</v>
      </c>
      <c r="G33" s="35">
        <v>7.1418599985481945E-2</v>
      </c>
      <c r="H33" s="35">
        <v>6.2683562521578086E-3</v>
      </c>
    </row>
    <row r="34" spans="2:8" x14ac:dyDescent="0.35">
      <c r="B34" s="6">
        <v>44972</v>
      </c>
      <c r="C34" s="7" t="s">
        <v>34</v>
      </c>
      <c r="D34" s="35">
        <v>9.7886358765886207E-4</v>
      </c>
      <c r="E34" s="35">
        <v>9.7886358765886207E-4</v>
      </c>
      <c r="F34" s="35">
        <v>7.2467372640148131E-2</v>
      </c>
      <c r="G34" s="35">
        <v>7.2467372640148131E-2</v>
      </c>
      <c r="H34" s="35">
        <v>9.7838481310841686E-4</v>
      </c>
    </row>
    <row r="35" spans="2:8" x14ac:dyDescent="0.35">
      <c r="B35" s="6">
        <v>44973</v>
      </c>
      <c r="C35" s="7" t="s">
        <v>34</v>
      </c>
      <c r="D35" s="35">
        <v>1.66892603300117E-3</v>
      </c>
      <c r="E35" s="35">
        <v>1.66892603300117E-3</v>
      </c>
      <c r="F35" s="35">
        <v>7.425724135789169E-2</v>
      </c>
      <c r="G35" s="35">
        <v>7.425724135789169E-2</v>
      </c>
      <c r="H35" s="35">
        <v>1.6675349235068559E-3</v>
      </c>
    </row>
    <row r="36" spans="2:8" x14ac:dyDescent="0.35">
      <c r="B36" s="6">
        <v>44974</v>
      </c>
      <c r="C36" s="7" t="s">
        <v>34</v>
      </c>
      <c r="D36" s="35">
        <v>1.6991948645643101E-2</v>
      </c>
      <c r="E36" s="35">
        <v>1.6991948645643101E-2</v>
      </c>
      <c r="F36" s="35">
        <v>9.2510965235255149E-2</v>
      </c>
      <c r="G36" s="35">
        <v>9.2510965235255149E-2</v>
      </c>
      <c r="H36" s="35">
        <v>1.684920026580599E-2</v>
      </c>
    </row>
    <row r="37" spans="2:8" x14ac:dyDescent="0.35">
      <c r="B37" s="6">
        <v>44978</v>
      </c>
      <c r="C37" s="7" t="s">
        <v>34</v>
      </c>
      <c r="D37" s="35">
        <v>-1.8752614548125823E-2</v>
      </c>
      <c r="E37" s="35">
        <v>-1.8752614548125823E-2</v>
      </c>
      <c r="F37" s="35">
        <v>7.2023528214597565E-2</v>
      </c>
      <c r="G37" s="35">
        <v>7.2023528214597565E-2</v>
      </c>
      <c r="H37" s="35">
        <v>-1.8930674396712824E-2</v>
      </c>
    </row>
    <row r="38" spans="2:8" x14ac:dyDescent="0.35">
      <c r="B38" s="6">
        <v>44979</v>
      </c>
      <c r="C38" s="7" t="s">
        <v>34</v>
      </c>
      <c r="D38" s="35">
        <v>1.2456576285555999E-2</v>
      </c>
      <c r="E38" s="35">
        <v>1.2456576285555999E-2</v>
      </c>
      <c r="F38" s="35">
        <v>8.5377271073713512E-2</v>
      </c>
      <c r="G38" s="35">
        <v>8.5377271073713512E-2</v>
      </c>
      <c r="H38" s="35">
        <v>1.2379631459652931E-2</v>
      </c>
    </row>
    <row r="39" spans="2:8" x14ac:dyDescent="0.35">
      <c r="B39" s="6">
        <v>44980</v>
      </c>
      <c r="C39" s="7" t="s">
        <v>34</v>
      </c>
      <c r="D39" s="35">
        <v>9.8581148259395696E-3</v>
      </c>
      <c r="E39" s="35">
        <v>9.8581148259395696E-3</v>
      </c>
      <c r="F39" s="35">
        <v>9.6077044841423209E-2</v>
      </c>
      <c r="G39" s="35">
        <v>9.6077044841423209E-2</v>
      </c>
      <c r="H39" s="35">
        <v>9.8098406145197808E-3</v>
      </c>
    </row>
    <row r="40" spans="2:8" x14ac:dyDescent="0.35">
      <c r="B40" s="6">
        <v>44981</v>
      </c>
      <c r="C40" s="7" t="s">
        <v>34</v>
      </c>
      <c r="D40" s="35">
        <v>-1.8416862017510201E-2</v>
      </c>
      <c r="E40" s="35">
        <v>-1.8416862017510201E-2</v>
      </c>
      <c r="F40" s="35">
        <v>7.5890745146018235E-2</v>
      </c>
      <c r="G40" s="35">
        <v>7.5890745146018235E-2</v>
      </c>
      <c r="H40" s="35">
        <v>-1.8588563827428618E-2</v>
      </c>
    </row>
    <row r="41" spans="2:8" x14ac:dyDescent="0.35">
      <c r="B41" s="6">
        <v>44984</v>
      </c>
      <c r="C41" s="7" t="s">
        <v>34</v>
      </c>
      <c r="D41" s="35">
        <v>3.9577497102338804E-3</v>
      </c>
      <c r="E41" s="35">
        <v>3.9577497102338804E-3</v>
      </c>
      <c r="F41" s="35">
        <v>8.0148851430863255E-2</v>
      </c>
      <c r="G41" s="35">
        <v>8.0148851430863255E-2</v>
      </c>
      <c r="H41" s="35">
        <v>3.9499384221484074E-3</v>
      </c>
    </row>
    <row r="42" spans="2:8" x14ac:dyDescent="0.35">
      <c r="B42" s="6">
        <v>44985</v>
      </c>
      <c r="C42" s="7" t="s">
        <v>34</v>
      </c>
      <c r="D42" s="35">
        <v>1.14353009628596E-2</v>
      </c>
      <c r="E42" s="35">
        <v>1.14353009628596E-2</v>
      </c>
      <c r="F42" s="35">
        <v>9.2500678631662225E-2</v>
      </c>
      <c r="G42" s="35">
        <v>9.2500678631662225E-2</v>
      </c>
      <c r="H42" s="35">
        <v>1.137041212253341E-2</v>
      </c>
    </row>
    <row r="43" spans="2:8" x14ac:dyDescent="0.35">
      <c r="B43" s="6">
        <v>44986</v>
      </c>
      <c r="C43" s="7" t="s">
        <v>34</v>
      </c>
      <c r="D43" s="35">
        <v>8.1395756724560505E-3</v>
      </c>
      <c r="E43" s="35">
        <v>8.1395756724560505E-3</v>
      </c>
      <c r="F43" s="35">
        <v>0.10139317057759412</v>
      </c>
      <c r="G43" s="35">
        <v>0.10139317057759412</v>
      </c>
      <c r="H43" s="35">
        <v>8.1066279924019175E-3</v>
      </c>
    </row>
    <row r="44" spans="2:8" x14ac:dyDescent="0.35">
      <c r="B44" s="6">
        <v>44987</v>
      </c>
      <c r="C44" s="7" t="s">
        <v>34</v>
      </c>
      <c r="D44" s="35">
        <v>7.9291204016174199E-4</v>
      </c>
      <c r="E44" s="35">
        <v>7.9291204016174199E-4</v>
      </c>
      <c r="F44" s="35">
        <v>0.10226647848349701</v>
      </c>
      <c r="G44" s="35">
        <v>0.10226647848349701</v>
      </c>
      <c r="H44" s="35">
        <v>7.9259785148171383E-4</v>
      </c>
    </row>
    <row r="45" spans="2:8" x14ac:dyDescent="0.35">
      <c r="B45" s="6">
        <v>44988</v>
      </c>
      <c r="C45" s="7" t="s">
        <v>34</v>
      </c>
      <c r="D45" s="35">
        <v>-2.6427258139027898E-4</v>
      </c>
      <c r="E45" s="35">
        <v>-2.6427258139027898E-4</v>
      </c>
      <c r="F45" s="35">
        <v>0.10197517967584813</v>
      </c>
      <c r="G45" s="35">
        <v>0.10197517967584813</v>
      </c>
      <c r="H45" s="35">
        <v>-2.6430750754240153E-4</v>
      </c>
    </row>
    <row r="46" spans="2:8" x14ac:dyDescent="0.35">
      <c r="B46" s="6">
        <v>44991</v>
      </c>
      <c r="C46" s="7" t="s">
        <v>34</v>
      </c>
      <c r="D46" s="35">
        <v>-8.1064778984587492E-3</v>
      </c>
      <c r="E46" s="35">
        <v>-8.1064778984587492E-3</v>
      </c>
      <c r="F46" s="35">
        <v>9.3042042237155842E-2</v>
      </c>
      <c r="G46" s="35">
        <v>9.3042042237155842E-2</v>
      </c>
      <c r="H46" s="35">
        <v>-8.1395140494366688E-3</v>
      </c>
    </row>
    <row r="47" spans="2:8" x14ac:dyDescent="0.35">
      <c r="B47" s="6">
        <v>44992</v>
      </c>
      <c r="C47" s="7" t="s">
        <v>34</v>
      </c>
      <c r="D47" s="35">
        <v>-2.3647337322262301E-3</v>
      </c>
      <c r="E47" s="35">
        <v>-2.3647337322262301E-3</v>
      </c>
      <c r="F47" s="35">
        <v>9.0457288849136175E-2</v>
      </c>
      <c r="G47" s="35">
        <v>9.0457288849136175E-2</v>
      </c>
      <c r="H47" s="35">
        <v>-2.3675341307073149E-3</v>
      </c>
    </row>
    <row r="48" spans="2:8" x14ac:dyDescent="0.35">
      <c r="B48" s="6">
        <v>44993</v>
      </c>
      <c r="C48" s="7" t="s">
        <v>34</v>
      </c>
      <c r="D48" s="35">
        <v>-7.7402961209022099E-3</v>
      </c>
      <c r="E48" s="35">
        <v>-7.7402961209022099E-3</v>
      </c>
      <c r="F48" s="35">
        <v>8.2016826526247755E-2</v>
      </c>
      <c r="G48" s="35">
        <v>8.2016826526247755E-2</v>
      </c>
      <c r="H48" s="35">
        <v>-7.7704076952306534E-3</v>
      </c>
    </row>
    <row r="49" spans="2:8" x14ac:dyDescent="0.35">
      <c r="B49" s="6">
        <v>44994</v>
      </c>
      <c r="C49" s="7" t="s">
        <v>34</v>
      </c>
      <c r="D49" s="35">
        <v>-2.3257436438127901E-2</v>
      </c>
      <c r="E49" s="35">
        <v>-2.3257436438127901E-2</v>
      </c>
      <c r="F49" s="35">
        <v>5.6851888958328711E-2</v>
      </c>
      <c r="G49" s="35">
        <v>5.6851888958328711E-2</v>
      </c>
      <c r="H49" s="35">
        <v>-2.3532158526799997E-2</v>
      </c>
    </row>
    <row r="50" spans="2:8" x14ac:dyDescent="0.35">
      <c r="B50" s="6">
        <v>44995</v>
      </c>
      <c r="C50" s="7" t="s">
        <v>34</v>
      </c>
      <c r="D50" s="35">
        <v>-4.6440914040949001E-2</v>
      </c>
      <c r="E50" s="35">
        <v>-4.6440914040949001E-2</v>
      </c>
      <c r="F50" s="35">
        <v>7.7707212292004169E-3</v>
      </c>
      <c r="G50" s="35">
        <v>7.7707212292004169E-3</v>
      </c>
      <c r="H50" s="35">
        <v>-4.7553888416310704E-2</v>
      </c>
    </row>
    <row r="51" spans="2:8" x14ac:dyDescent="0.35">
      <c r="B51" s="6">
        <v>44998</v>
      </c>
      <c r="C51" s="7" t="s">
        <v>34</v>
      </c>
      <c r="D51" s="35">
        <v>2.6602680102249601E-2</v>
      </c>
      <c r="E51" s="35">
        <v>2.6602680102249601E-2</v>
      </c>
      <c r="F51" s="35">
        <v>3.4580123342474289E-2</v>
      </c>
      <c r="G51" s="35">
        <v>3.4580123342474289E-2</v>
      </c>
      <c r="H51" s="35">
        <v>2.6254981799385471E-2</v>
      </c>
    </row>
    <row r="52" spans="2:8" x14ac:dyDescent="0.35">
      <c r="B52" s="6">
        <v>44999</v>
      </c>
      <c r="C52" s="7" t="s">
        <v>34</v>
      </c>
      <c r="D52" s="35">
        <v>4.5234015527151304E-3</v>
      </c>
      <c r="E52" s="35">
        <v>4.5234015527151304E-3</v>
      </c>
      <c r="F52" s="35">
        <v>3.9259944678809777E-2</v>
      </c>
      <c r="G52" s="35">
        <v>3.9259944678809777E-2</v>
      </c>
      <c r="H52" s="35">
        <v>4.5132017189741889E-3</v>
      </c>
    </row>
    <row r="53" spans="2:8" x14ac:dyDescent="0.35">
      <c r="B53" s="6">
        <v>45000</v>
      </c>
      <c r="C53" s="7" t="s">
        <v>34</v>
      </c>
      <c r="D53" s="35">
        <v>-5.2468209466773903E-3</v>
      </c>
      <c r="E53" s="35">
        <v>-5.2468209466773903E-3</v>
      </c>
      <c r="F53" s="35">
        <v>3.380713383202627E-2</v>
      </c>
      <c r="G53" s="35">
        <v>3.380713383202627E-2</v>
      </c>
      <c r="H53" s="35">
        <v>-5.2606338487680322E-3</v>
      </c>
    </row>
    <row r="54" spans="2:8" x14ac:dyDescent="0.35">
      <c r="B54" s="6">
        <v>45001</v>
      </c>
      <c r="C54" s="7" t="s">
        <v>34</v>
      </c>
      <c r="D54" s="35">
        <v>6.9952803134687401E-3</v>
      </c>
      <c r="E54" s="35">
        <v>6.9952803134687401E-3</v>
      </c>
      <c r="F54" s="35">
        <v>4.1038904523245101E-2</v>
      </c>
      <c r="G54" s="35">
        <v>4.1038904523245101E-2</v>
      </c>
      <c r="H54" s="35">
        <v>6.970926847059215E-3</v>
      </c>
    </row>
    <row r="55" spans="2:8" x14ac:dyDescent="0.35">
      <c r="B55" s="6">
        <v>45002</v>
      </c>
      <c r="C55" s="7" t="s">
        <v>34</v>
      </c>
      <c r="D55" s="35">
        <v>1.4913325775516299E-3</v>
      </c>
      <c r="E55" s="35">
        <v>1.4913325775516299E-3</v>
      </c>
      <c r="F55" s="35">
        <v>4.2591439756059168E-2</v>
      </c>
      <c r="G55" s="35">
        <v>4.2591439756059168E-2</v>
      </c>
      <c r="H55" s="35">
        <v>1.4902216454988134E-3</v>
      </c>
    </row>
    <row r="56" spans="2:8" x14ac:dyDescent="0.35">
      <c r="B56" s="6">
        <v>45005</v>
      </c>
      <c r="C56" s="7" t="s">
        <v>34</v>
      </c>
      <c r="D56" s="35">
        <v>-1.4847642503278E-2</v>
      </c>
      <c r="E56" s="35">
        <v>-1.4847642503278E-2</v>
      </c>
      <c r="F56" s="35">
        <v>2.7111414781583409E-2</v>
      </c>
      <c r="G56" s="35">
        <v>2.7111414781583409E-2</v>
      </c>
      <c r="H56" s="35">
        <v>-1.4958972109757525E-2</v>
      </c>
    </row>
    <row r="57" spans="2:8" x14ac:dyDescent="0.35">
      <c r="B57" s="6">
        <v>45006</v>
      </c>
      <c r="C57" s="7" t="s">
        <v>34</v>
      </c>
      <c r="D57" s="35">
        <v>-2.3923753186342499E-2</v>
      </c>
      <c r="E57" s="35">
        <v>-2.3923753186342499E-2</v>
      </c>
      <c r="F57" s="35">
        <v>2.5390547994736945E-3</v>
      </c>
      <c r="G57" s="35">
        <v>2.5390547994736945E-3</v>
      </c>
      <c r="H57" s="35">
        <v>-2.4214573885083641E-2</v>
      </c>
    </row>
    <row r="58" spans="2:8" x14ac:dyDescent="0.35">
      <c r="B58" s="6">
        <v>45007</v>
      </c>
      <c r="C58" s="7" t="s">
        <v>34</v>
      </c>
      <c r="D58" s="35">
        <v>-3.2036813663907801E-2</v>
      </c>
      <c r="E58" s="35">
        <v>-3.2036813663907801E-2</v>
      </c>
      <c r="F58" s="35">
        <v>-2.9579102089927201E-2</v>
      </c>
      <c r="G58" s="35">
        <v>-2.9579102089927201E-2</v>
      </c>
      <c r="H58" s="35">
        <v>-3.2561223073276142E-2</v>
      </c>
    </row>
    <row r="59" spans="2:8" x14ac:dyDescent="0.35">
      <c r="B59" s="6">
        <v>45008</v>
      </c>
      <c r="C59" s="7" t="s">
        <v>34</v>
      </c>
      <c r="D59" s="35">
        <v>6.9964435622620301E-3</v>
      </c>
      <c r="E59" s="35">
        <v>6.9964435622620301E-3</v>
      </c>
      <c r="F59" s="35">
        <v>-2.2789607046059701E-2</v>
      </c>
      <c r="G59" s="35">
        <v>-2.2789607046059701E-2</v>
      </c>
      <c r="H59" s="35">
        <v>6.9720820144608484E-3</v>
      </c>
    </row>
    <row r="60" spans="2:8" x14ac:dyDescent="0.35">
      <c r="B60" s="6">
        <v>45009</v>
      </c>
      <c r="C60" s="7" t="s">
        <v>34</v>
      </c>
      <c r="D60" s="35">
        <v>-2.91314753895688E-3</v>
      </c>
      <c r="E60" s="35">
        <v>-2.91314753895688E-3</v>
      </c>
      <c r="F60" s="35">
        <v>-2.5636365097336578E-2</v>
      </c>
      <c r="G60" s="35">
        <v>-2.5636365097336578E-2</v>
      </c>
      <c r="H60" s="35">
        <v>-2.9173990120351938E-3</v>
      </c>
    </row>
    <row r="61" spans="2:8" x14ac:dyDescent="0.35">
      <c r="B61" s="6">
        <v>45012</v>
      </c>
      <c r="C61" s="7" t="s">
        <v>34</v>
      </c>
      <c r="D61" s="35">
        <v>6.3174452612408897E-3</v>
      </c>
      <c r="E61" s="35">
        <v>6.3174452612408897E-3</v>
      </c>
      <c r="F61" s="35">
        <v>-1.948087616929528E-2</v>
      </c>
      <c r="G61" s="35">
        <v>-1.948087616929528E-2</v>
      </c>
      <c r="H61" s="35">
        <v>6.2975738510456765E-3</v>
      </c>
    </row>
    <row r="62" spans="2:8" x14ac:dyDescent="0.35">
      <c r="B62" s="6">
        <v>45013</v>
      </c>
      <c r="C62" s="7" t="s">
        <v>34</v>
      </c>
      <c r="D62" s="35">
        <v>-2.0280938642917002E-3</v>
      </c>
      <c r="E62" s="35">
        <v>-2.0280938642917002E-3</v>
      </c>
      <c r="F62" s="35">
        <v>-2.1469460988157052E-2</v>
      </c>
      <c r="G62" s="35">
        <v>-2.1469460988157052E-2</v>
      </c>
      <c r="H62" s="35">
        <v>-2.0301532315173416E-3</v>
      </c>
    </row>
    <row r="63" spans="2:8" x14ac:dyDescent="0.35">
      <c r="B63" s="6">
        <v>45014</v>
      </c>
      <c r="C63" s="7" t="s">
        <v>34</v>
      </c>
      <c r="D63" s="35">
        <v>3.0326044499337401E-2</v>
      </c>
      <c r="E63" s="35">
        <v>3.0326044499337401E-2</v>
      </c>
      <c r="F63" s="35">
        <v>8.2054996818767822E-3</v>
      </c>
      <c r="G63" s="35">
        <v>8.2054996818767822E-3</v>
      </c>
      <c r="H63" s="35">
        <v>2.987530020838762E-2</v>
      </c>
    </row>
    <row r="64" spans="2:8" x14ac:dyDescent="0.35">
      <c r="B64" s="6">
        <v>45015</v>
      </c>
      <c r="C64" s="7" t="s">
        <v>34</v>
      </c>
      <c r="D64" s="35">
        <v>-8.5611271475667401E-3</v>
      </c>
      <c r="E64" s="35">
        <v>-8.5611271475667401E-3</v>
      </c>
      <c r="F64" s="35">
        <v>-4.2587579177577606E-4</v>
      </c>
      <c r="G64" s="35">
        <v>-4.2587579177577606E-4</v>
      </c>
      <c r="H64" s="35">
        <v>-8.5979841054176567E-3</v>
      </c>
    </row>
    <row r="65" spans="2:8" x14ac:dyDescent="0.35">
      <c r="B65" s="6">
        <v>45016</v>
      </c>
      <c r="C65" s="7" t="s">
        <v>34</v>
      </c>
      <c r="D65" s="35">
        <v>2.0742462616565999E-2</v>
      </c>
      <c r="E65" s="35">
        <v>2.0742462616565999E-2</v>
      </c>
      <c r="F65" s="35">
        <v>2.0307753112100091E-2</v>
      </c>
      <c r="G65" s="35">
        <v>2.0307753112100091E-2</v>
      </c>
      <c r="H65" s="35">
        <v>2.0530267028213988E-2</v>
      </c>
    </row>
    <row r="66" spans="2:8" x14ac:dyDescent="0.35">
      <c r="B66" s="6">
        <v>45019</v>
      </c>
      <c r="C66" s="7" t="s">
        <v>34</v>
      </c>
      <c r="D66" s="35">
        <v>6.6784185794353003E-3</v>
      </c>
      <c r="E66" s="35">
        <v>6.6784185794353003E-3</v>
      </c>
      <c r="F66" s="35">
        <v>2.7121795367225809E-2</v>
      </c>
      <c r="G66" s="35">
        <v>2.7121795367225809E-2</v>
      </c>
      <c r="H66" s="35">
        <v>6.6562167360587248E-3</v>
      </c>
    </row>
    <row r="67" spans="2:8" x14ac:dyDescent="0.35">
      <c r="B67" s="6">
        <v>45020</v>
      </c>
      <c r="C67" s="7" t="s">
        <v>34</v>
      </c>
      <c r="D67" s="35">
        <v>-2.5929288510912099E-2</v>
      </c>
      <c r="E67" s="35">
        <v>-2.5929288510912099E-2</v>
      </c>
      <c r="F67" s="35">
        <v>4.8925799930299441E-4</v>
      </c>
      <c r="G67" s="35">
        <v>4.8925799930299441E-4</v>
      </c>
      <c r="H67" s="35">
        <v>-2.6271378910014586E-2</v>
      </c>
    </row>
    <row r="68" spans="2:8" x14ac:dyDescent="0.35">
      <c r="B68" s="6">
        <v>45021</v>
      </c>
      <c r="C68" s="7" t="s">
        <v>34</v>
      </c>
      <c r="D68" s="35">
        <v>-1.1826744989568301E-2</v>
      </c>
      <c r="E68" s="35">
        <v>-1.1826744989568301E-2</v>
      </c>
      <c r="F68" s="35">
        <v>-1.1343273319857183E-2</v>
      </c>
      <c r="G68" s="35">
        <v>-1.1343273319857183E-2</v>
      </c>
      <c r="H68" s="35">
        <v>-1.1897237285618615E-2</v>
      </c>
    </row>
    <row r="69" spans="2:8" x14ac:dyDescent="0.35">
      <c r="B69" s="6">
        <v>45022</v>
      </c>
      <c r="C69" s="7" t="s">
        <v>34</v>
      </c>
      <c r="D69" s="35">
        <v>8.1932585234996101E-3</v>
      </c>
      <c r="E69" s="35">
        <v>8.1932585234996101E-3</v>
      </c>
      <c r="F69" s="35">
        <v>-3.2429531671698264E-3</v>
      </c>
      <c r="G69" s="35">
        <v>-3.2429531671698264E-3</v>
      </c>
      <c r="H69" s="35">
        <v>8.1598759980345392E-3</v>
      </c>
    </row>
    <row r="70" spans="2:8" x14ac:dyDescent="0.35">
      <c r="B70" s="6">
        <v>45026</v>
      </c>
      <c r="C70" s="7" t="s">
        <v>34</v>
      </c>
      <c r="D70" s="35">
        <v>3.4142306451008242E-3</v>
      </c>
      <c r="E70" s="35">
        <v>3.4142306451008242E-3</v>
      </c>
      <c r="F70" s="35">
        <v>1.6020528784710386E-4</v>
      </c>
      <c r="G70" s="35">
        <v>1.6020528784710386E-4</v>
      </c>
      <c r="H70" s="35">
        <v>3.4084153923022238E-3</v>
      </c>
    </row>
    <row r="71" spans="2:8" x14ac:dyDescent="0.35">
      <c r="B71" s="6">
        <v>45027</v>
      </c>
      <c r="C71" s="7" t="s">
        <v>34</v>
      </c>
      <c r="D71" s="35">
        <v>5.6522804522938204E-3</v>
      </c>
      <c r="E71" s="35">
        <v>5.6522804522938204E-3</v>
      </c>
      <c r="F71" s="35">
        <v>5.8133912653577369E-3</v>
      </c>
      <c r="G71" s="35">
        <v>5.8133912653577369E-3</v>
      </c>
      <c r="H71" s="35">
        <v>5.6363662546489706E-3</v>
      </c>
    </row>
    <row r="72" spans="2:8" x14ac:dyDescent="0.35">
      <c r="B72" s="6">
        <v>45028</v>
      </c>
      <c r="C72" s="7" t="s">
        <v>34</v>
      </c>
      <c r="D72" s="35">
        <v>-9.9134806223301099E-3</v>
      </c>
      <c r="E72" s="35">
        <v>-9.9134806223301099E-3</v>
      </c>
      <c r="F72" s="35">
        <v>-4.1577202986314843E-3</v>
      </c>
      <c r="G72" s="35">
        <v>-4.1577202986314843E-3</v>
      </c>
      <c r="H72" s="35">
        <v>-9.9629463612966786E-3</v>
      </c>
    </row>
    <row r="73" spans="2:8" x14ac:dyDescent="0.35">
      <c r="B73" s="6">
        <v>45029</v>
      </c>
      <c r="C73" s="7" t="s">
        <v>34</v>
      </c>
      <c r="D73" s="35">
        <v>2.1172650016778101E-2</v>
      </c>
      <c r="E73" s="35">
        <v>2.1172650016778101E-2</v>
      </c>
      <c r="F73" s="35">
        <v>1.6926899761396053E-2</v>
      </c>
      <c r="G73" s="35">
        <v>1.6926899761396053E-2</v>
      </c>
      <c r="H73" s="35">
        <v>2.0951623825972401E-2</v>
      </c>
    </row>
    <row r="74" spans="2:8" x14ac:dyDescent="0.35">
      <c r="B74" s="6">
        <v>45030</v>
      </c>
      <c r="C74" s="7" t="s">
        <v>34</v>
      </c>
      <c r="D74" s="35">
        <v>-7.8297686358587103E-3</v>
      </c>
      <c r="E74" s="35">
        <v>-7.8297686358587103E-3</v>
      </c>
      <c r="F74" s="35">
        <v>8.9645974166832065E-3</v>
      </c>
      <c r="G74" s="35">
        <v>8.9645974166832065E-3</v>
      </c>
      <c r="H74" s="35">
        <v>-7.860582221857277E-3</v>
      </c>
    </row>
    <row r="75" spans="2:8" x14ac:dyDescent="0.35">
      <c r="B75" s="6">
        <v>45033</v>
      </c>
      <c r="C75" s="7" t="s">
        <v>34</v>
      </c>
      <c r="D75" s="35">
        <v>2.9239982987383301E-2</v>
      </c>
      <c r="E75" s="35">
        <v>2.9239982987383301E-2</v>
      </c>
      <c r="F75" s="35">
        <v>3.8466705080019148E-2</v>
      </c>
      <c r="G75" s="35">
        <v>3.8466705080019148E-2</v>
      </c>
      <c r="H75" s="35">
        <v>2.8820649278893263E-2</v>
      </c>
    </row>
    <row r="76" spans="2:8" x14ac:dyDescent="0.35">
      <c r="B76" s="6">
        <v>45034</v>
      </c>
      <c r="C76" s="7" t="s">
        <v>34</v>
      </c>
      <c r="D76" s="35">
        <v>1.00689725550467E-2</v>
      </c>
      <c r="E76" s="35">
        <v>1.00689725550467E-2</v>
      </c>
      <c r="F76" s="35">
        <v>4.8922997832799631E-2</v>
      </c>
      <c r="G76" s="35">
        <v>4.8922997832799631E-2</v>
      </c>
      <c r="H76" s="35">
        <v>1.0018618179997571E-2</v>
      </c>
    </row>
    <row r="77" spans="2:8" x14ac:dyDescent="0.35">
      <c r="B77" s="6">
        <v>45035</v>
      </c>
      <c r="C77" s="7" t="s">
        <v>34</v>
      </c>
      <c r="D77" s="35">
        <v>1.5545582073717999E-2</v>
      </c>
      <c r="E77" s="35">
        <v>1.5545582073717999E-2</v>
      </c>
      <c r="F77" s="35">
        <v>6.5229116384619701E-2</v>
      </c>
      <c r="G77" s="35">
        <v>6.5229116384619701E-2</v>
      </c>
      <c r="H77" s="35">
        <v>1.5425987366458421E-2</v>
      </c>
    </row>
    <row r="78" spans="2:8" x14ac:dyDescent="0.35">
      <c r="B78" s="6">
        <v>45036</v>
      </c>
      <c r="C78" s="7" t="s">
        <v>34</v>
      </c>
      <c r="D78" s="35">
        <v>-5.9602267757192804E-3</v>
      </c>
      <c r="E78" s="35">
        <v>-5.9602267757192804E-3</v>
      </c>
      <c r="F78" s="35">
        <v>5.8880109282868354E-2</v>
      </c>
      <c r="G78" s="35">
        <v>5.8880109282868354E-2</v>
      </c>
      <c r="H78" s="35">
        <v>-5.9780598219685626E-3</v>
      </c>
    </row>
    <row r="79" spans="2:8" x14ac:dyDescent="0.35">
      <c r="B79" s="6">
        <v>45037</v>
      </c>
      <c r="C79" s="7" t="s">
        <v>34</v>
      </c>
      <c r="D79" s="35">
        <v>2.2019689568507601E-2</v>
      </c>
      <c r="E79" s="35">
        <v>2.2019689568507601E-2</v>
      </c>
      <c r="F79" s="35">
        <v>8.2196320579544624E-2</v>
      </c>
      <c r="G79" s="35">
        <v>8.2196320579544624E-2</v>
      </c>
      <c r="H79" s="35">
        <v>2.1780757318541254E-2</v>
      </c>
    </row>
    <row r="80" spans="2:8" x14ac:dyDescent="0.35">
      <c r="B80" s="6">
        <v>45040</v>
      </c>
      <c r="C80" s="7" t="s">
        <v>34</v>
      </c>
      <c r="D80" s="35">
        <v>-9.0421583550674995E-3</v>
      </c>
      <c r="E80" s="35">
        <v>-9.0421583550674995E-3</v>
      </c>
      <c r="F80" s="35">
        <v>7.2410930077593028E-2</v>
      </c>
      <c r="G80" s="35">
        <v>7.2410930077593028E-2</v>
      </c>
      <c r="H80" s="35">
        <v>-9.0832867831551044E-3</v>
      </c>
    </row>
    <row r="81" spans="2:8" x14ac:dyDescent="0.35">
      <c r="B81" s="6">
        <v>45041</v>
      </c>
      <c r="C81" s="7" t="s">
        <v>34</v>
      </c>
      <c r="D81" s="35">
        <v>-1.56152470903488E-2</v>
      </c>
      <c r="E81" s="35">
        <v>-1.56152470903488E-2</v>
      </c>
      <c r="F81" s="35">
        <v>5.5664968422040717E-2</v>
      </c>
      <c r="G81" s="35">
        <v>5.5664968422040717E-2</v>
      </c>
      <c r="H81" s="35">
        <v>-1.573844929947936E-2</v>
      </c>
    </row>
    <row r="82" spans="2:8" x14ac:dyDescent="0.35">
      <c r="B82" s="6">
        <v>45042</v>
      </c>
      <c r="C82" s="7" t="s">
        <v>34</v>
      </c>
      <c r="D82" s="35">
        <v>2.64022432226563E-3</v>
      </c>
      <c r="E82" s="35">
        <v>2.64022432226563E-3</v>
      </c>
      <c r="F82" s="35">
        <v>5.8452160747832327E-2</v>
      </c>
      <c r="G82" s="35">
        <v>5.8452160747832327E-2</v>
      </c>
      <c r="H82" s="35">
        <v>2.6367450527188985E-3</v>
      </c>
    </row>
    <row r="83" spans="2:8" x14ac:dyDescent="0.35">
      <c r="B83" s="6">
        <v>45043</v>
      </c>
      <c r="C83" s="7" t="s">
        <v>34</v>
      </c>
      <c r="D83" s="35">
        <v>-5.8259936258914201E-3</v>
      </c>
      <c r="E83" s="35">
        <v>-5.8259936258914201E-3</v>
      </c>
      <c r="F83" s="35">
        <v>5.2285625206004438E-2</v>
      </c>
      <c r="G83" s="35">
        <v>5.2285625206004438E-2</v>
      </c>
      <c r="H83" s="35">
        <v>-5.8430309318067367E-3</v>
      </c>
    </row>
    <row r="84" spans="2:8" x14ac:dyDescent="0.35">
      <c r="B84" s="6">
        <v>45044</v>
      </c>
      <c r="C84" s="7" t="s">
        <v>34</v>
      </c>
      <c r="D84" s="35">
        <v>1.6000193940204601E-2</v>
      </c>
      <c r="E84" s="35">
        <v>1.6000193940204601E-2</v>
      </c>
      <c r="F84" s="35">
        <v>6.9122399289790026E-2</v>
      </c>
      <c r="G84" s="35">
        <v>6.9122399289790026E-2</v>
      </c>
      <c r="H84" s="35">
        <v>1.5873540042300058E-2</v>
      </c>
    </row>
    <row r="85" spans="2:8" x14ac:dyDescent="0.35">
      <c r="B85" s="6">
        <v>45047</v>
      </c>
      <c r="C85" s="7" t="s">
        <v>34</v>
      </c>
      <c r="D85" s="35">
        <v>1.51628993835846E-2</v>
      </c>
      <c r="E85" s="35">
        <v>1.51628993835846E-2</v>
      </c>
      <c r="F85" s="35">
        <v>8.5333394658957618E-2</v>
      </c>
      <c r="G85" s="35">
        <v>8.5333394658957618E-2</v>
      </c>
      <c r="H85" s="35">
        <v>1.5049091619818499E-2</v>
      </c>
    </row>
    <row r="86" spans="2:8" x14ac:dyDescent="0.35">
      <c r="B86" s="6">
        <v>45048</v>
      </c>
      <c r="C86" s="7" t="s">
        <v>34</v>
      </c>
      <c r="D86" s="35">
        <v>-1.8957848868743198E-2</v>
      </c>
      <c r="E86" s="35">
        <v>-1.8957848868743198E-2</v>
      </c>
      <c r="F86" s="35">
        <v>6.4757808190813115E-2</v>
      </c>
      <c r="G86" s="35">
        <v>6.4757808190813115E-2</v>
      </c>
      <c r="H86" s="35">
        <v>-1.9139852825827905E-2</v>
      </c>
    </row>
    <row r="87" spans="2:8" x14ac:dyDescent="0.35">
      <c r="B87" s="6">
        <v>45049</v>
      </c>
      <c r="C87" s="7" t="s">
        <v>34</v>
      </c>
      <c r="D87" s="35">
        <v>1.30122138831259E-2</v>
      </c>
      <c r="E87" s="35">
        <v>1.30122138831259E-2</v>
      </c>
      <c r="F87" s="35">
        <v>7.8612664524720266E-2</v>
      </c>
      <c r="G87" s="35">
        <v>7.8612664524720266E-2</v>
      </c>
      <c r="H87" s="35">
        <v>1.2928282334161571E-2</v>
      </c>
    </row>
    <row r="88" spans="2:8" x14ac:dyDescent="0.35">
      <c r="B88" s="6">
        <v>45050</v>
      </c>
      <c r="C88" s="7" t="s">
        <v>34</v>
      </c>
      <c r="D88" s="35">
        <v>1.8661295161237501E-4</v>
      </c>
      <c r="E88" s="35">
        <v>1.8661295161237501E-4</v>
      </c>
      <c r="F88" s="35">
        <v>7.8813947617693669E-2</v>
      </c>
      <c r="G88" s="35">
        <v>7.8813947617693669E-2</v>
      </c>
      <c r="H88" s="35">
        <v>1.8659554158144466E-4</v>
      </c>
    </row>
    <row r="89" spans="2:8" x14ac:dyDescent="0.35">
      <c r="B89" s="6">
        <v>45051</v>
      </c>
      <c r="C89" s="7" t="s">
        <v>34</v>
      </c>
      <c r="D89" s="35">
        <v>2.3249496756653699E-2</v>
      </c>
      <c r="E89" s="35">
        <v>2.3249496756653699E-2</v>
      </c>
      <c r="F89" s="35">
        <v>0.10389582899386407</v>
      </c>
      <c r="G89" s="35">
        <v>0.10389582899386407</v>
      </c>
      <c r="H89" s="35">
        <v>2.2983344581462471E-2</v>
      </c>
    </row>
    <row r="90" spans="2:8" x14ac:dyDescent="0.35">
      <c r="B90" s="6">
        <v>45054</v>
      </c>
      <c r="C90" s="7" t="s">
        <v>34</v>
      </c>
      <c r="D90" s="35">
        <v>-9.97945202914019E-3</v>
      </c>
      <c r="E90" s="35">
        <v>-9.97945202914019E-3</v>
      </c>
      <c r="F90" s="35">
        <v>9.2879553523251834E-2</v>
      </c>
      <c r="G90" s="35">
        <v>9.2879553523251834E-2</v>
      </c>
      <c r="H90" s="35">
        <v>-1.0029580542773373E-2</v>
      </c>
    </row>
    <row r="91" spans="2:8" x14ac:dyDescent="0.35">
      <c r="B91" s="6">
        <v>45055</v>
      </c>
      <c r="C91" s="7" t="s">
        <v>34</v>
      </c>
      <c r="D91" s="35">
        <v>2.7901306437105899E-4</v>
      </c>
      <c r="E91" s="35">
        <v>2.7901306437105899E-4</v>
      </c>
      <c r="F91" s="35">
        <v>9.3184481196468827E-2</v>
      </c>
      <c r="G91" s="35">
        <v>9.3184481196468827E-2</v>
      </c>
      <c r="H91" s="35">
        <v>2.7897414746472904E-4</v>
      </c>
    </row>
    <row r="92" spans="2:8" x14ac:dyDescent="0.35">
      <c r="B92" s="6">
        <v>45056</v>
      </c>
      <c r="C92" s="7" t="s">
        <v>34</v>
      </c>
      <c r="D92" s="35">
        <v>1.04766729334742E-2</v>
      </c>
      <c r="E92" s="35">
        <v>1.04766729334742E-2</v>
      </c>
      <c r="F92" s="35">
        <v>0.10463741746191402</v>
      </c>
      <c r="G92" s="35">
        <v>0.10463741746191402</v>
      </c>
      <c r="H92" s="35">
        <v>1.0422172917670426E-2</v>
      </c>
    </row>
    <row r="93" spans="2:8" x14ac:dyDescent="0.35">
      <c r="B93" s="6">
        <v>45057</v>
      </c>
      <c r="C93" s="7" t="s">
        <v>34</v>
      </c>
      <c r="D93" s="35">
        <v>-7.6674955421179901E-3</v>
      </c>
      <c r="E93" s="35">
        <v>-7.6674955421179901E-3</v>
      </c>
      <c r="F93" s="35">
        <v>9.6167614987868077E-2</v>
      </c>
      <c r="G93" s="35">
        <v>9.6167614987868077E-2</v>
      </c>
      <c r="H93" s="35">
        <v>-7.697041914078176E-3</v>
      </c>
    </row>
    <row r="94" spans="2:8" x14ac:dyDescent="0.35">
      <c r="B94" s="6">
        <v>45058</v>
      </c>
      <c r="C94" s="7" t="s">
        <v>34</v>
      </c>
      <c r="D94" s="35">
        <v>8.5916383323931794E-3</v>
      </c>
      <c r="E94" s="35">
        <v>8.5916383323931794E-3</v>
      </c>
      <c r="F94" s="35">
        <v>0.10558549068752576</v>
      </c>
      <c r="G94" s="35">
        <v>0.10558549068752576</v>
      </c>
      <c r="H94" s="35">
        <v>8.5549402557013651E-3</v>
      </c>
    </row>
    <row r="95" spans="2:8" x14ac:dyDescent="0.35">
      <c r="B95" s="6">
        <v>45061</v>
      </c>
      <c r="C95" s="7" t="s">
        <v>34</v>
      </c>
      <c r="D95" s="35">
        <v>2.0160939501333401E-2</v>
      </c>
      <c r="E95" s="35">
        <v>2.0160939501333401E-2</v>
      </c>
      <c r="F95" s="35">
        <v>0.12787513287882901</v>
      </c>
      <c r="G95" s="35">
        <v>0.12787513287882901</v>
      </c>
      <c r="H95" s="35">
        <v>1.9960398674457869E-2</v>
      </c>
    </row>
    <row r="96" spans="2:8" x14ac:dyDescent="0.35">
      <c r="B96" s="6">
        <v>45062</v>
      </c>
      <c r="C96" s="7" t="s">
        <v>34</v>
      </c>
      <c r="D96" s="35">
        <v>-2.9748103648177299E-3</v>
      </c>
      <c r="E96" s="35">
        <v>-2.9748103648177299E-3</v>
      </c>
      <c r="F96" s="35">
        <v>0.12451991824332098</v>
      </c>
      <c r="G96" s="35">
        <v>0.12451991824332098</v>
      </c>
      <c r="H96" s="35">
        <v>-2.9792439079876555E-3</v>
      </c>
    </row>
    <row r="97" spans="2:8" x14ac:dyDescent="0.35">
      <c r="B97" s="6">
        <v>45063</v>
      </c>
      <c r="C97" s="7" t="s">
        <v>34</v>
      </c>
      <c r="D97" s="35">
        <v>1.55373095038329E-2</v>
      </c>
      <c r="E97" s="35">
        <v>1.55373095038329E-2</v>
      </c>
      <c r="F97" s="35">
        <v>0.14199193225629236</v>
      </c>
      <c r="G97" s="35">
        <v>0.14199193225629236</v>
      </c>
      <c r="H97" s="35">
        <v>1.5417841396720342E-2</v>
      </c>
    </row>
    <row r="98" spans="2:8" x14ac:dyDescent="0.35">
      <c r="B98" s="6">
        <v>45064</v>
      </c>
      <c r="C98" s="7" t="s">
        <v>34</v>
      </c>
      <c r="D98" s="35">
        <v>-4.5700576968429303E-3</v>
      </c>
      <c r="E98" s="35">
        <v>-4.5700576968429303E-3</v>
      </c>
      <c r="F98" s="35">
        <v>0.13677296323655197</v>
      </c>
      <c r="G98" s="35">
        <v>0.13677296323655197</v>
      </c>
      <c r="H98" s="35">
        <v>-4.5805323358389972E-3</v>
      </c>
    </row>
    <row r="99" spans="2:8" x14ac:dyDescent="0.35">
      <c r="B99" s="6">
        <v>45065</v>
      </c>
      <c r="C99" s="7" t="s">
        <v>34</v>
      </c>
      <c r="D99" s="35">
        <v>8.3186380124164998E-3</v>
      </c>
      <c r="E99" s="35">
        <v>8.3186380124164998E-3</v>
      </c>
      <c r="F99" s="35">
        <v>0.1462293660200189</v>
      </c>
      <c r="G99" s="35">
        <v>0.1462293660200189</v>
      </c>
      <c r="H99" s="35">
        <v>8.2842288365115556E-3</v>
      </c>
    </row>
    <row r="100" spans="2:8" x14ac:dyDescent="0.35">
      <c r="B100" s="6">
        <v>45068</v>
      </c>
      <c r="C100" s="7" t="s">
        <v>34</v>
      </c>
      <c r="D100" s="35">
        <v>2.3349646310739401E-2</v>
      </c>
      <c r="E100" s="35">
        <v>2.3349646310739401E-2</v>
      </c>
      <c r="F100" s="35">
        <v>0.17299341630756948</v>
      </c>
      <c r="G100" s="35">
        <v>0.17299341630756948</v>
      </c>
      <c r="H100" s="35">
        <v>2.3081213824205929E-2</v>
      </c>
    </row>
    <row r="101" spans="2:8" x14ac:dyDescent="0.35">
      <c r="B101" s="6">
        <v>45069</v>
      </c>
      <c r="C101" s="7" t="s">
        <v>34</v>
      </c>
      <c r="D101" s="35">
        <v>-3.3364992728742702E-3</v>
      </c>
      <c r="E101" s="35">
        <v>-3.3364992728742702E-3</v>
      </c>
      <c r="F101" s="35">
        <v>0.16907972462697307</v>
      </c>
      <c r="G101" s="35">
        <v>0.16907972462697307</v>
      </c>
      <c r="H101" s="35">
        <v>-3.3420777985273048E-3</v>
      </c>
    </row>
    <row r="102" spans="2:8" x14ac:dyDescent="0.35">
      <c r="B102" s="6">
        <v>45070</v>
      </c>
      <c r="C102" s="7" t="s">
        <v>34</v>
      </c>
      <c r="D102" s="35">
        <v>-6.0097181375531302E-3</v>
      </c>
      <c r="E102" s="35">
        <v>-6.0097181375531302E-3</v>
      </c>
      <c r="F102" s="35">
        <v>0.16205388500163664</v>
      </c>
      <c r="G102" s="35">
        <v>0.16205388500163664</v>
      </c>
      <c r="H102" s="35">
        <v>-6.0278491716994126E-3</v>
      </c>
    </row>
    <row r="103" spans="2:8" x14ac:dyDescent="0.35">
      <c r="B103" s="6">
        <v>45071</v>
      </c>
      <c r="C103" s="7" t="s">
        <v>34</v>
      </c>
      <c r="D103" s="35">
        <v>-2.8598946169868099E-2</v>
      </c>
      <c r="E103" s="35">
        <v>-2.8598946169868099E-2</v>
      </c>
      <c r="F103" s="35">
        <v>0.12882036849798872</v>
      </c>
      <c r="G103" s="35">
        <v>0.12882036849798872</v>
      </c>
      <c r="H103" s="35">
        <v>-2.9015864214037759E-2</v>
      </c>
    </row>
    <row r="104" spans="2:8" x14ac:dyDescent="0.35">
      <c r="B104" s="6">
        <v>45072</v>
      </c>
      <c r="C104" s="7" t="s">
        <v>34</v>
      </c>
      <c r="D104" s="35">
        <v>4.5807470776020303E-3</v>
      </c>
      <c r="E104" s="35">
        <v>4.5807470776020303E-3</v>
      </c>
      <c r="F104" s="35">
        <v>0.13399120910212359</v>
      </c>
      <c r="G104" s="35">
        <v>0.13399120910212359</v>
      </c>
      <c r="H104" s="35">
        <v>4.5702873856794876E-3</v>
      </c>
    </row>
    <row r="105" spans="2:8" x14ac:dyDescent="0.35">
      <c r="B105" s="6">
        <v>45076</v>
      </c>
      <c r="C105" s="7" t="s">
        <v>34</v>
      </c>
      <c r="D105" s="35">
        <v>-9.6902657106594514E-3</v>
      </c>
      <c r="E105" s="35">
        <v>-9.6902657106594514E-3</v>
      </c>
      <c r="F105" s="35">
        <v>0.12300253297237207</v>
      </c>
      <c r="G105" s="35">
        <v>0.12300253297237207</v>
      </c>
      <c r="H105" s="35">
        <v>-9.7375218663729151E-3</v>
      </c>
    </row>
    <row r="106" spans="2:8" x14ac:dyDescent="0.35">
      <c r="B106" s="6">
        <v>45077</v>
      </c>
      <c r="C106" s="7" t="s">
        <v>34</v>
      </c>
      <c r="D106" s="35">
        <v>1.34041509171177E-2</v>
      </c>
      <c r="E106" s="35">
        <v>1.34041509171177E-2</v>
      </c>
      <c r="F106" s="35">
        <v>0.13805542840463914</v>
      </c>
      <c r="G106" s="35">
        <v>0.13805542840463914</v>
      </c>
      <c r="H106" s="35">
        <v>1.3315110081595118E-2</v>
      </c>
    </row>
    <row r="107" spans="2:8" x14ac:dyDescent="0.35">
      <c r="B107" s="6">
        <v>45078</v>
      </c>
      <c r="C107" s="7" t="s">
        <v>34</v>
      </c>
      <c r="D107" s="35">
        <v>8.0961402364119195E-3</v>
      </c>
      <c r="E107" s="35">
        <v>8.0961402364119195E-3</v>
      </c>
      <c r="F107" s="35">
        <v>0.14726928474981293</v>
      </c>
      <c r="G107" s="35">
        <v>0.14726928474981293</v>
      </c>
      <c r="H107" s="35">
        <v>8.0635423197217612E-3</v>
      </c>
    </row>
    <row r="108" spans="2:8" x14ac:dyDescent="0.35">
      <c r="B108" s="6">
        <v>45079</v>
      </c>
      <c r="C108" s="7" t="s">
        <v>34</v>
      </c>
      <c r="D108" s="35">
        <v>1.4056366281747701E-2</v>
      </c>
      <c r="E108" s="35">
        <v>1.4056366281747701E-2</v>
      </c>
      <c r="F108" s="35">
        <v>0.16339572204005504</v>
      </c>
      <c r="G108" s="35">
        <v>0.16339572204005504</v>
      </c>
      <c r="H108" s="35">
        <v>1.3958491673093891E-2</v>
      </c>
    </row>
    <row r="109" spans="2:8" x14ac:dyDescent="0.35">
      <c r="B109" s="6">
        <v>45082</v>
      </c>
      <c r="C109" s="7" t="s">
        <v>34</v>
      </c>
      <c r="D109" s="35">
        <v>1.41080066988504E-2</v>
      </c>
      <c r="E109" s="35">
        <v>1.41080066988504E-2</v>
      </c>
      <c r="F109" s="35">
        <v>0.17980891668001009</v>
      </c>
      <c r="G109" s="35">
        <v>0.17980891668001009</v>
      </c>
      <c r="H109" s="35">
        <v>1.400941497872121E-2</v>
      </c>
    </row>
    <row r="110" spans="2:8" x14ac:dyDescent="0.35">
      <c r="B110" s="6">
        <v>45083</v>
      </c>
      <c r="C110" s="7" t="s">
        <v>34</v>
      </c>
      <c r="D110" s="35">
        <v>1.7387139414448E-2</v>
      </c>
      <c r="E110" s="35">
        <v>1.7387139414448E-2</v>
      </c>
      <c r="F110" s="35">
        <v>0.20032241879673429</v>
      </c>
      <c r="G110" s="35">
        <v>0.20032241879673429</v>
      </c>
      <c r="H110" s="35">
        <v>1.7237712688190986E-2</v>
      </c>
    </row>
    <row r="111" spans="2:8" x14ac:dyDescent="0.35">
      <c r="B111" s="6">
        <v>45084</v>
      </c>
      <c r="C111" s="7" t="s">
        <v>34</v>
      </c>
      <c r="D111" s="35">
        <v>-1.1961774566525399E-2</v>
      </c>
      <c r="E111" s="35">
        <v>-1.1961774566525399E-2</v>
      </c>
      <c r="F111" s="35">
        <v>0.18596443261594131</v>
      </c>
      <c r="G111" s="35">
        <v>0.18596443261594131</v>
      </c>
      <c r="H111" s="35">
        <v>-1.203389227270219E-2</v>
      </c>
    </row>
    <row r="112" spans="2:8" x14ac:dyDescent="0.35">
      <c r="B112" s="6">
        <v>45085</v>
      </c>
      <c r="C112" s="7" t="s">
        <v>34</v>
      </c>
      <c r="D112" s="35">
        <v>-1.53481179843151E-3</v>
      </c>
      <c r="E112" s="35">
        <v>-1.53481179843151E-3</v>
      </c>
      <c r="F112" s="35">
        <v>0.18414420041224222</v>
      </c>
      <c r="G112" s="35">
        <v>0.18414420041224222</v>
      </c>
      <c r="H112" s="35">
        <v>-1.5359908286071895E-3</v>
      </c>
    </row>
    <row r="113" spans="2:8" x14ac:dyDescent="0.35">
      <c r="B113" s="6">
        <v>45086</v>
      </c>
      <c r="C113" s="7" t="s">
        <v>34</v>
      </c>
      <c r="D113" s="35">
        <v>1.1075967291776E-3</v>
      </c>
      <c r="E113" s="35">
        <v>1.1075967291776E-3</v>
      </c>
      <c r="F113" s="35">
        <v>0.18545575465549335</v>
      </c>
      <c r="G113" s="35">
        <v>0.18545575465549335</v>
      </c>
      <c r="H113" s="35">
        <v>1.1069837964667812E-3</v>
      </c>
    </row>
    <row r="114" spans="2:8" x14ac:dyDescent="0.35">
      <c r="B114" s="6">
        <v>45089</v>
      </c>
      <c r="C114" s="7" t="s">
        <v>34</v>
      </c>
      <c r="D114" s="35">
        <v>7.30683837662904E-3</v>
      </c>
      <c r="E114" s="35">
        <v>7.30683837662904E-3</v>
      </c>
      <c r="F114" s="35">
        <v>0.19411768825740583</v>
      </c>
      <c r="G114" s="35">
        <v>0.19411768825740583</v>
      </c>
      <c r="H114" s="35">
        <v>7.28027276171024E-3</v>
      </c>
    </row>
    <row r="115" spans="2:8" x14ac:dyDescent="0.35">
      <c r="B115" s="6">
        <v>45090</v>
      </c>
      <c r="C115" s="7" t="s">
        <v>34</v>
      </c>
      <c r="D115" s="35">
        <v>5.0113868789309901E-3</v>
      </c>
      <c r="E115" s="35">
        <v>5.0113868789309901E-3</v>
      </c>
      <c r="F115" s="35">
        <v>0.20010187397223844</v>
      </c>
      <c r="G115" s="35">
        <v>0.20010187397223844</v>
      </c>
      <c r="H115" s="35">
        <v>4.9988716746445575E-3</v>
      </c>
    </row>
    <row r="116" spans="2:8" x14ac:dyDescent="0.35">
      <c r="B116" s="6">
        <v>45091</v>
      </c>
      <c r="C116" s="7" t="s">
        <v>34</v>
      </c>
      <c r="D116" s="35">
        <v>-1.3367597607976E-2</v>
      </c>
      <c r="E116" s="35">
        <v>-1.3367597607976E-2</v>
      </c>
      <c r="F116" s="35">
        <v>0.18405939503239965</v>
      </c>
      <c r="G116" s="35">
        <v>0.18405939503239965</v>
      </c>
      <c r="H116" s="35">
        <v>-1.3457748240528609E-2</v>
      </c>
    </row>
    <row r="117" spans="2:8" x14ac:dyDescent="0.35">
      <c r="B117" s="6">
        <v>45092</v>
      </c>
      <c r="C117" s="7" t="s">
        <v>34</v>
      </c>
      <c r="D117" s="35">
        <v>4.4906919846796596E-3</v>
      </c>
      <c r="E117" s="35">
        <v>4.4906919846796596E-3</v>
      </c>
      <c r="F117" s="35">
        <v>0.18937664106705632</v>
      </c>
      <c r="G117" s="35">
        <v>0.18937664106705632</v>
      </c>
      <c r="H117" s="35">
        <v>4.4806389130251593E-3</v>
      </c>
    </row>
    <row r="118" spans="2:8" x14ac:dyDescent="0.35">
      <c r="B118" s="6">
        <v>45093</v>
      </c>
      <c r="C118" s="7" t="s">
        <v>34</v>
      </c>
      <c r="D118" s="35">
        <v>1.84806402850035E-3</v>
      </c>
      <c r="E118" s="35">
        <v>1.84806402850035E-3</v>
      </c>
      <c r="F118" s="35">
        <v>0.19157468525375099</v>
      </c>
      <c r="G118" s="35">
        <v>0.19157468525375099</v>
      </c>
      <c r="H118" s="35">
        <v>1.8463584591845352E-3</v>
      </c>
    </row>
    <row r="119" spans="2:8" x14ac:dyDescent="0.35">
      <c r="B119" s="6">
        <v>45097</v>
      </c>
      <c r="C119" s="7" t="s">
        <v>34</v>
      </c>
      <c r="D119" s="35">
        <v>2.8793871450163655E-2</v>
      </c>
      <c r="E119" s="35">
        <v>2.8793871450163655E-2</v>
      </c>
      <c r="F119" s="35">
        <v>0.22588473356421668</v>
      </c>
      <c r="G119" s="35">
        <v>0.22588473356421668</v>
      </c>
      <c r="H119" s="35">
        <v>2.8387117494909308E-2</v>
      </c>
    </row>
    <row r="120" spans="2:8" x14ac:dyDescent="0.35">
      <c r="B120" s="6">
        <v>45098</v>
      </c>
      <c r="C120" s="7" t="s">
        <v>34</v>
      </c>
      <c r="D120" s="35">
        <v>-7.5298808956752996E-3</v>
      </c>
      <c r="E120" s="35">
        <v>-7.5298808956752996E-3</v>
      </c>
      <c r="F120" s="35">
        <v>0.2166539675286514</v>
      </c>
      <c r="G120" s="35">
        <v>0.2166539675286514</v>
      </c>
      <c r="H120" s="35">
        <v>-7.5583735699017484E-3</v>
      </c>
    </row>
    <row r="121" spans="2:8" x14ac:dyDescent="0.35">
      <c r="B121" s="6">
        <v>45099</v>
      </c>
      <c r="C121" s="7" t="s">
        <v>34</v>
      </c>
      <c r="D121" s="35">
        <v>-2.6698995733577301E-3</v>
      </c>
      <c r="E121" s="35">
        <v>-2.6698995733577301E-3</v>
      </c>
      <c r="F121" s="35">
        <v>0.21340562361982274</v>
      </c>
      <c r="G121" s="35">
        <v>0.21340562361982274</v>
      </c>
      <c r="H121" s="35">
        <v>-2.6734701119593154E-3</v>
      </c>
    </row>
    <row r="122" spans="2:8" x14ac:dyDescent="0.35">
      <c r="B122" s="6">
        <v>45100</v>
      </c>
      <c r="C122" s="7" t="s">
        <v>34</v>
      </c>
      <c r="D122" s="35">
        <v>-1.0503703268143001E-2</v>
      </c>
      <c r="E122" s="35">
        <v>-1.0503703268143001E-2</v>
      </c>
      <c r="F122" s="35">
        <v>0.20066037100542422</v>
      </c>
      <c r="G122" s="35">
        <v>0.20066037100542422</v>
      </c>
      <c r="H122" s="35">
        <v>-1.0559256511596333E-2</v>
      </c>
    </row>
    <row r="123" spans="2:8" x14ac:dyDescent="0.35">
      <c r="B123" s="6">
        <v>45103</v>
      </c>
      <c r="C123" s="7" t="s">
        <v>34</v>
      </c>
      <c r="D123" s="35">
        <v>-4.4738134777109598E-2</v>
      </c>
      <c r="E123" s="35">
        <v>-4.4738134777109598E-2</v>
      </c>
      <c r="F123" s="35">
        <v>0.14694506550584907</v>
      </c>
      <c r="G123" s="35">
        <v>0.14694506550584907</v>
      </c>
      <c r="H123" s="35">
        <v>-4.576977166669368E-2</v>
      </c>
    </row>
    <row r="124" spans="2:8" x14ac:dyDescent="0.35">
      <c r="B124" s="6">
        <v>45104</v>
      </c>
      <c r="C124" s="7" t="s">
        <v>34</v>
      </c>
      <c r="D124" s="35">
        <v>-1.31024790021242E-2</v>
      </c>
      <c r="E124" s="35">
        <v>-1.31024790021242E-2</v>
      </c>
      <c r="F124" s="35">
        <v>0.13191724186846865</v>
      </c>
      <c r="G124" s="35">
        <v>0.13191724186846865</v>
      </c>
      <c r="H124" s="35">
        <v>-1.3189073715451029E-2</v>
      </c>
    </row>
    <row r="125" spans="2:8" x14ac:dyDescent="0.35">
      <c r="B125" s="6">
        <v>45105</v>
      </c>
      <c r="C125" s="7" t="s">
        <v>34</v>
      </c>
      <c r="D125" s="35">
        <v>1.5746677291406101E-2</v>
      </c>
      <c r="E125" s="35">
        <v>1.5746677291406101E-2</v>
      </c>
      <c r="F125" s="35">
        <v>0.14974117739674986</v>
      </c>
      <c r="G125" s="35">
        <v>0.14974117739674986</v>
      </c>
      <c r="H125" s="35">
        <v>1.5623984692956271E-2</v>
      </c>
    </row>
    <row r="126" spans="2:8" x14ac:dyDescent="0.35">
      <c r="B126" s="6">
        <v>45106</v>
      </c>
      <c r="C126" s="7" t="s">
        <v>34</v>
      </c>
      <c r="D126" s="35">
        <v>-1.21876771014211E-2</v>
      </c>
      <c r="E126" s="35">
        <v>-1.21876771014211E-2</v>
      </c>
      <c r="F126" s="35">
        <v>0.13572850317643059</v>
      </c>
      <c r="G126" s="35">
        <v>0.13572850317643059</v>
      </c>
      <c r="H126" s="35">
        <v>-1.2262555858691276E-2</v>
      </c>
    </row>
    <row r="127" spans="2:8" x14ac:dyDescent="0.35">
      <c r="B127" s="6">
        <v>45107</v>
      </c>
      <c r="C127" s="7" t="s">
        <v>34</v>
      </c>
      <c r="D127" s="35">
        <v>6.6411922236080398E-3</v>
      </c>
      <c r="E127" s="35">
        <v>6.6411922236080398E-3</v>
      </c>
      <c r="F127" s="35">
        <v>0.14327109447985586</v>
      </c>
      <c r="G127" s="35">
        <v>0.14327109447985586</v>
      </c>
      <c r="H127" s="35">
        <v>6.6192366603352757E-3</v>
      </c>
    </row>
    <row r="128" spans="2:8" x14ac:dyDescent="0.35">
      <c r="B128" s="6">
        <v>45110</v>
      </c>
      <c r="C128" s="7" t="s">
        <v>34</v>
      </c>
      <c r="D128" s="35">
        <v>-1.12824802450511E-2</v>
      </c>
      <c r="E128" s="35">
        <v>-1.12824802450511E-2</v>
      </c>
      <c r="F128" s="35">
        <v>0.13037216094164905</v>
      </c>
      <c r="G128" s="35">
        <v>0.13037216094164905</v>
      </c>
      <c r="H128" s="35">
        <v>-1.1346610245201484E-2</v>
      </c>
    </row>
    <row r="129" spans="2:8" x14ac:dyDescent="0.35">
      <c r="B129" s="6">
        <v>45112</v>
      </c>
      <c r="C129" s="7" t="s">
        <v>34</v>
      </c>
      <c r="D129" s="35">
        <v>-6.4845399149313643E-3</v>
      </c>
      <c r="E129" s="35">
        <v>-6.4845399149313643E-3</v>
      </c>
      <c r="F129" s="35">
        <v>0.12304221754529565</v>
      </c>
      <c r="G129" s="35">
        <v>0.12304221754529565</v>
      </c>
      <c r="H129" s="35">
        <v>-6.5056558782565646E-3</v>
      </c>
    </row>
    <row r="130" spans="2:8" x14ac:dyDescent="0.35">
      <c r="B130" s="6">
        <v>45113</v>
      </c>
      <c r="C130" s="7" t="s">
        <v>34</v>
      </c>
      <c r="D130" s="35">
        <v>-8.1228268510483703E-3</v>
      </c>
      <c r="E130" s="35">
        <v>-8.1228268510483703E-3</v>
      </c>
      <c r="F130" s="35">
        <v>0.11391994006575779</v>
      </c>
      <c r="G130" s="35">
        <v>0.11391994006575779</v>
      </c>
      <c r="H130" s="35">
        <v>-8.155996753439837E-3</v>
      </c>
    </row>
    <row r="131" spans="2:8" x14ac:dyDescent="0.35">
      <c r="B131" s="6">
        <v>45114</v>
      </c>
      <c r="C131" s="7" t="s">
        <v>34</v>
      </c>
      <c r="D131" s="35">
        <v>1.03434598433632E-2</v>
      </c>
      <c r="E131" s="35">
        <v>1.03434598433632E-2</v>
      </c>
      <c r="F131" s="35">
        <v>0.12544172623454952</v>
      </c>
      <c r="G131" s="35">
        <v>0.12544172623454952</v>
      </c>
      <c r="H131" s="35">
        <v>1.0290332296980488E-2</v>
      </c>
    </row>
    <row r="132" spans="2:8" x14ac:dyDescent="0.35">
      <c r="B132" s="6">
        <v>45117</v>
      </c>
      <c r="C132" s="7" t="s">
        <v>34</v>
      </c>
      <c r="D132" s="35">
        <v>2.18570764759487E-2</v>
      </c>
      <c r="E132" s="35">
        <v>2.18570764759487E-2</v>
      </c>
      <c r="F132" s="35">
        <v>0.15004059211408172</v>
      </c>
      <c r="G132" s="35">
        <v>0.15004059211408172</v>
      </c>
      <c r="H132" s="35">
        <v>2.1621635109606165E-2</v>
      </c>
    </row>
    <row r="133" spans="2:8" x14ac:dyDescent="0.35">
      <c r="B133" s="6">
        <v>45118</v>
      </c>
      <c r="C133" s="7" t="s">
        <v>34</v>
      </c>
      <c r="D133" s="35">
        <v>-1.3766621284369099E-2</v>
      </c>
      <c r="E133" s="35">
        <v>-1.3766621284369099E-2</v>
      </c>
      <c r="F133" s="35">
        <v>0.13420841882079548</v>
      </c>
      <c r="G133" s="35">
        <v>0.13420841882079548</v>
      </c>
      <c r="H133" s="35">
        <v>-1.38622599773687E-2</v>
      </c>
    </row>
    <row r="134" spans="2:8" x14ac:dyDescent="0.35">
      <c r="B134" s="6">
        <v>45119</v>
      </c>
      <c r="C134" s="7" t="s">
        <v>34</v>
      </c>
      <c r="D134" s="35">
        <v>1.04366226359098E-2</v>
      </c>
      <c r="E134" s="35">
        <v>1.04366226359098E-2</v>
      </c>
      <c r="F134" s="35">
        <v>0.14604572407850003</v>
      </c>
      <c r="G134" s="35">
        <v>0.14604572407850003</v>
      </c>
      <c r="H134" s="35">
        <v>1.0382537078114691E-2</v>
      </c>
    </row>
    <row r="135" spans="2:8" x14ac:dyDescent="0.35">
      <c r="B135" s="6">
        <v>45120</v>
      </c>
      <c r="C135" s="7" t="s">
        <v>34</v>
      </c>
      <c r="D135" s="35">
        <v>-9.1110494027668598E-4</v>
      </c>
      <c r="E135" s="35">
        <v>-9.1110494027668598E-4</v>
      </c>
      <c r="F135" s="35">
        <v>0.14500155615750909</v>
      </c>
      <c r="G135" s="35">
        <v>0.14500155615750909</v>
      </c>
      <c r="H135" s="35">
        <v>-9.1152024866162707E-4</v>
      </c>
    </row>
    <row r="136" spans="2:8" x14ac:dyDescent="0.35">
      <c r="B136" s="6">
        <v>45121</v>
      </c>
      <c r="C136" s="7" t="s">
        <v>34</v>
      </c>
      <c r="D136" s="35">
        <v>-5.9530824760155596E-3</v>
      </c>
      <c r="E136" s="35">
        <v>-5.9530824760155596E-3</v>
      </c>
      <c r="F136" s="35">
        <v>0.13818526745853732</v>
      </c>
      <c r="G136" s="35">
        <v>0.13818526745853732</v>
      </c>
      <c r="H136" s="35">
        <v>-5.9708727111277742E-3</v>
      </c>
    </row>
    <row r="137" spans="2:8" x14ac:dyDescent="0.35">
      <c r="B137" s="6">
        <v>45124</v>
      </c>
      <c r="C137" s="7" t="s">
        <v>34</v>
      </c>
      <c r="D137" s="35">
        <v>1.1842474564009999E-3</v>
      </c>
      <c r="E137" s="35">
        <v>1.1842474564009999E-3</v>
      </c>
      <c r="F137" s="35">
        <v>0.13953316046643827</v>
      </c>
      <c r="G137" s="35">
        <v>0.13953316046643827</v>
      </c>
      <c r="H137" s="35">
        <v>1.1835467885035634E-3</v>
      </c>
    </row>
    <row r="138" spans="2:8" x14ac:dyDescent="0.35">
      <c r="B138" s="6">
        <v>45125</v>
      </c>
      <c r="C138" s="7" t="s">
        <v>34</v>
      </c>
      <c r="D138" s="35">
        <v>-1.6977846285228799E-3</v>
      </c>
      <c r="E138" s="35">
        <v>-1.6977846285228799E-3</v>
      </c>
      <c r="F138" s="35">
        <v>0.1375984785829063</v>
      </c>
      <c r="G138" s="35">
        <v>0.1375984785829063</v>
      </c>
      <c r="H138" s="35">
        <v>-1.6992274981978749E-3</v>
      </c>
    </row>
    <row r="139" spans="2:8" x14ac:dyDescent="0.35">
      <c r="B139" s="6">
        <v>45126</v>
      </c>
      <c r="C139" s="7" t="s">
        <v>34</v>
      </c>
      <c r="D139" s="35">
        <v>6.0574517746696498E-3</v>
      </c>
      <c r="E139" s="35">
        <v>6.0574517746696498E-3</v>
      </c>
      <c r="F139" s="35">
        <v>0.14448942650585983</v>
      </c>
      <c r="G139" s="35">
        <v>0.14448942650585983</v>
      </c>
      <c r="H139" s="35">
        <v>6.0391791668337105E-3</v>
      </c>
    </row>
    <row r="140" spans="2:8" x14ac:dyDescent="0.35">
      <c r="B140" s="6">
        <v>45127</v>
      </c>
      <c r="C140" s="7" t="s">
        <v>34</v>
      </c>
      <c r="D140" s="35">
        <v>-1.10656530508332E-2</v>
      </c>
      <c r="E140" s="35">
        <v>-1.10656530508332E-2</v>
      </c>
      <c r="F140" s="35">
        <v>0.13182490359179888</v>
      </c>
      <c r="G140" s="35">
        <v>0.13182490359179888</v>
      </c>
      <c r="H140" s="35">
        <v>-1.1127332829659132E-2</v>
      </c>
    </row>
    <row r="141" spans="2:8" x14ac:dyDescent="0.35">
      <c r="B141" s="6">
        <v>45128</v>
      </c>
      <c r="C141" s="7" t="s">
        <v>34</v>
      </c>
      <c r="D141" s="35">
        <v>1.3877921291667299E-2</v>
      </c>
      <c r="E141" s="35">
        <v>1.3877921291667299E-2</v>
      </c>
      <c r="F141" s="35">
        <v>0.14753228051979472</v>
      </c>
      <c r="G141" s="35">
        <v>0.14753228051979472</v>
      </c>
      <c r="H141" s="35">
        <v>1.3782504717664056E-2</v>
      </c>
    </row>
    <row r="142" spans="2:8" x14ac:dyDescent="0.35">
      <c r="B142" s="6">
        <v>45131</v>
      </c>
      <c r="C142" s="7" t="s">
        <v>34</v>
      </c>
      <c r="D142" s="35">
        <v>-1.2381169465222301E-2</v>
      </c>
      <c r="E142" s="35">
        <v>-1.2381169465222301E-2</v>
      </c>
      <c r="F142" s="35">
        <v>0.13332448888786619</v>
      </c>
      <c r="G142" s="35">
        <v>0.13332448888786619</v>
      </c>
      <c r="H142" s="35">
        <v>-1.2458454727739354E-2</v>
      </c>
    </row>
    <row r="143" spans="2:8" x14ac:dyDescent="0.35">
      <c r="B143" s="6">
        <v>45132</v>
      </c>
      <c r="C143" s="7" t="s">
        <v>34</v>
      </c>
      <c r="D143" s="35">
        <v>1.5355837742783199E-3</v>
      </c>
      <c r="E143" s="35">
        <v>1.5355837742783199E-3</v>
      </c>
      <c r="F143" s="35">
        <v>0.13506480358399475</v>
      </c>
      <c r="G143" s="35">
        <v>0.13506480358399475</v>
      </c>
      <c r="H143" s="35">
        <v>1.534405971103864E-3</v>
      </c>
    </row>
    <row r="144" spans="2:8" x14ac:dyDescent="0.35">
      <c r="B144" s="6">
        <v>45133</v>
      </c>
      <c r="C144" s="7" t="s">
        <v>34</v>
      </c>
      <c r="D144" s="35">
        <v>2.1283542647905201E-3</v>
      </c>
      <c r="E144" s="35">
        <v>2.1283542647905201E-3</v>
      </c>
      <c r="F144" s="35">
        <v>0.13748062359951629</v>
      </c>
      <c r="G144" s="35">
        <v>0.13748062359951629</v>
      </c>
      <c r="H144" s="35">
        <v>2.1260925274692666E-3</v>
      </c>
    </row>
    <row r="145" spans="2:8" x14ac:dyDescent="0.35">
      <c r="B145" s="6">
        <v>45134</v>
      </c>
      <c r="C145" s="7" t="s">
        <v>34</v>
      </c>
      <c r="D145" s="35">
        <v>3.2545535587734202E-2</v>
      </c>
      <c r="E145" s="35">
        <v>3.2545535587734202E-2</v>
      </c>
      <c r="F145" s="35">
        <v>0.17450053971523238</v>
      </c>
      <c r="G145" s="35">
        <v>0.17450053971523238</v>
      </c>
      <c r="H145" s="35">
        <v>3.2027147144723864E-2</v>
      </c>
    </row>
    <row r="146" spans="2:8" x14ac:dyDescent="0.35">
      <c r="B146" s="6">
        <v>45135</v>
      </c>
      <c r="C146" s="7" t="s">
        <v>34</v>
      </c>
      <c r="D146" s="35">
        <v>2.9401453244899001E-2</v>
      </c>
      <c r="E146" s="35">
        <v>2.9401453244899001E-2</v>
      </c>
      <c r="F146" s="35">
        <v>0.20903256241977841</v>
      </c>
      <c r="G146" s="35">
        <v>0.20903256241977841</v>
      </c>
      <c r="H146" s="35">
        <v>2.8977519975270892E-2</v>
      </c>
    </row>
    <row r="147" spans="2:8" x14ac:dyDescent="0.35">
      <c r="B147" s="6">
        <v>45138</v>
      </c>
      <c r="C147" s="7" t="s">
        <v>34</v>
      </c>
      <c r="D147" s="35">
        <v>1.9531824876965101E-2</v>
      </c>
      <c r="E147" s="35">
        <v>1.9531824876965101E-2</v>
      </c>
      <c r="F147" s="35">
        <v>0.23264717469951002</v>
      </c>
      <c r="G147" s="35">
        <v>0.23264717469951002</v>
      </c>
      <c r="H147" s="35">
        <v>1.9343526706968425E-2</v>
      </c>
    </row>
    <row r="148" spans="2:8" x14ac:dyDescent="0.35">
      <c r="B148" s="6">
        <v>45139</v>
      </c>
      <c r="C148" s="7" t="s">
        <v>34</v>
      </c>
      <c r="D148" s="35">
        <v>1.75383514486851E-2</v>
      </c>
      <c r="E148" s="35">
        <v>1.75383514486851E-2</v>
      </c>
      <c r="F148" s="35">
        <v>0.25426577406161877</v>
      </c>
      <c r="G148" s="35">
        <v>0.25426577406161877</v>
      </c>
      <c r="H148" s="35">
        <v>1.7386329465752949E-2</v>
      </c>
    </row>
    <row r="149" spans="2:8" x14ac:dyDescent="0.35">
      <c r="B149" s="6">
        <v>45140</v>
      </c>
      <c r="C149" s="7" t="s">
        <v>34</v>
      </c>
      <c r="D149" s="35">
        <v>-1.33345614565905E-2</v>
      </c>
      <c r="E149" s="35">
        <v>-1.33345614565905E-2</v>
      </c>
      <c r="F149" s="35">
        <v>0.23754069001449607</v>
      </c>
      <c r="G149" s="35">
        <v>0.23754069001449607</v>
      </c>
      <c r="H149" s="35">
        <v>-1.3424265052432759E-2</v>
      </c>
    </row>
    <row r="150" spans="2:8" x14ac:dyDescent="0.35">
      <c r="B150" s="6">
        <v>45141</v>
      </c>
      <c r="C150" s="7" t="s">
        <v>34</v>
      </c>
      <c r="D150" s="35">
        <v>-3.1686588645013498E-3</v>
      </c>
      <c r="E150" s="35">
        <v>-3.1686588645013498E-3</v>
      </c>
      <c r="F150" s="35">
        <v>0.23361934573690046</v>
      </c>
      <c r="G150" s="35">
        <v>0.23361934573690046</v>
      </c>
      <c r="H150" s="35">
        <v>-3.1736896941340314E-3</v>
      </c>
    </row>
    <row r="151" spans="2:8" x14ac:dyDescent="0.35">
      <c r="B151" s="6">
        <v>45142</v>
      </c>
      <c r="C151" s="7" t="s">
        <v>34</v>
      </c>
      <c r="D151" s="35">
        <v>-7.2678383478506099E-3</v>
      </c>
      <c r="E151" s="35">
        <v>-7.2678383478506099E-3</v>
      </c>
      <c r="F151" s="35">
        <v>0.22465359974930355</v>
      </c>
      <c r="G151" s="35">
        <v>0.22465359974930355</v>
      </c>
      <c r="H151" s="35">
        <v>-7.2943777525619315E-3</v>
      </c>
    </row>
    <row r="152" spans="2:8" x14ac:dyDescent="0.35">
      <c r="B152" s="6">
        <v>45145</v>
      </c>
      <c r="C152" s="7" t="s">
        <v>34</v>
      </c>
      <c r="D152" s="35">
        <v>-2.1704363337182099E-2</v>
      </c>
      <c r="E152" s="35">
        <v>-2.1704363337182099E-2</v>
      </c>
      <c r="F152" s="35">
        <v>0.1980732730581567</v>
      </c>
      <c r="G152" s="35">
        <v>0.1980732730581567</v>
      </c>
      <c r="H152" s="35">
        <v>-2.1943367650525965E-2</v>
      </c>
    </row>
    <row r="153" spans="2:8" x14ac:dyDescent="0.35">
      <c r="B153" s="6">
        <v>45146</v>
      </c>
      <c r="C153" s="7" t="s">
        <v>34</v>
      </c>
      <c r="D153" s="35">
        <v>5.5041565028706198E-3</v>
      </c>
      <c r="E153" s="35">
        <v>5.5041565028706198E-3</v>
      </c>
      <c r="F153" s="35">
        <v>0.20466765585497515</v>
      </c>
      <c r="G153" s="35">
        <v>0.20466765585497515</v>
      </c>
      <c r="H153" s="35">
        <v>5.4890639891769779E-3</v>
      </c>
    </row>
    <row r="154" spans="2:8" x14ac:dyDescent="0.35">
      <c r="B154" s="6">
        <v>45147</v>
      </c>
      <c r="C154" s="7" t="s">
        <v>34</v>
      </c>
      <c r="D154" s="35">
        <v>-5.8209566213867098E-3</v>
      </c>
      <c r="E154" s="35">
        <v>-5.8209566213867098E-3</v>
      </c>
      <c r="F154" s="35">
        <v>0.19765533768705579</v>
      </c>
      <c r="G154" s="35">
        <v>0.19765533768705579</v>
      </c>
      <c r="H154" s="35">
        <v>-5.8379644226117496E-3</v>
      </c>
    </row>
    <row r="155" spans="2:8" x14ac:dyDescent="0.35">
      <c r="B155" s="6">
        <v>45148</v>
      </c>
      <c r="C155" s="7" t="s">
        <v>34</v>
      </c>
      <c r="D155" s="35">
        <v>1.2733275390474299E-2</v>
      </c>
      <c r="E155" s="35">
        <v>1.2733275390474299E-2</v>
      </c>
      <c r="F155" s="35">
        <v>0.21290541292469656</v>
      </c>
      <c r="G155" s="35">
        <v>0.21290541292469656</v>
      </c>
      <c r="H155" s="35">
        <v>1.2652888908984016E-2</v>
      </c>
    </row>
    <row r="156" spans="2:8" x14ac:dyDescent="0.35">
      <c r="B156" s="6">
        <v>45149</v>
      </c>
      <c r="C156" s="7" t="s">
        <v>34</v>
      </c>
      <c r="D156" s="35">
        <v>3.2853793010532198E-3</v>
      </c>
      <c r="E156" s="35">
        <v>3.2853793010532198E-3</v>
      </c>
      <c r="F156" s="35">
        <v>0.21689026726245486</v>
      </c>
      <c r="G156" s="35">
        <v>0.21689026726245486</v>
      </c>
      <c r="H156" s="35">
        <v>3.2799942339125521E-3</v>
      </c>
    </row>
    <row r="157" spans="2:8" x14ac:dyDescent="0.35">
      <c r="B157" s="6">
        <v>45152</v>
      </c>
      <c r="C157" s="7" t="s">
        <v>34</v>
      </c>
      <c r="D157" s="35">
        <v>-4.4646759299579201E-3</v>
      </c>
      <c r="E157" s="35">
        <v>-4.4646759299579201E-3</v>
      </c>
      <c r="F157" s="35">
        <v>0.21145724657680809</v>
      </c>
      <c r="G157" s="35">
        <v>0.21145724657680809</v>
      </c>
      <c r="H157" s="35">
        <v>-4.4746723605161793E-3</v>
      </c>
    </row>
    <row r="158" spans="2:8" x14ac:dyDescent="0.35">
      <c r="B158" s="6">
        <v>45153</v>
      </c>
      <c r="C158" s="7" t="s">
        <v>34</v>
      </c>
      <c r="D158" s="35">
        <v>-1.40919342736456E-3</v>
      </c>
      <c r="E158" s="35">
        <v>-1.40919342736456E-3</v>
      </c>
      <c r="F158" s="35">
        <v>0.20975006898739879</v>
      </c>
      <c r="G158" s="35">
        <v>0.20975006898739879</v>
      </c>
      <c r="H158" s="35">
        <v>-1.4101872742137863E-3</v>
      </c>
    </row>
    <row r="159" spans="2:8" x14ac:dyDescent="0.35">
      <c r="B159" s="6">
        <v>45154</v>
      </c>
      <c r="C159" s="7" t="s">
        <v>34</v>
      </c>
      <c r="D159" s="35">
        <v>-1.01513171276268E-2</v>
      </c>
      <c r="E159" s="35">
        <v>-1.01513171276268E-2</v>
      </c>
      <c r="F159" s="35">
        <v>0.19746951239193922</v>
      </c>
      <c r="G159" s="35">
        <v>0.19746951239193922</v>
      </c>
      <c r="H159" s="35">
        <v>-1.0203193119039479E-2</v>
      </c>
    </row>
    <row r="160" spans="2:8" x14ac:dyDescent="0.35">
      <c r="B160" s="6">
        <v>45155</v>
      </c>
      <c r="C160" s="7" t="s">
        <v>34</v>
      </c>
      <c r="D160" s="35">
        <v>-2.1838796033647401E-2</v>
      </c>
      <c r="E160" s="35">
        <v>-2.1838796033647401E-2</v>
      </c>
      <c r="F160" s="35">
        <v>0.17131821995430041</v>
      </c>
      <c r="G160" s="35">
        <v>0.17131821995430041</v>
      </c>
      <c r="H160" s="35">
        <v>-2.2080792298885321E-2</v>
      </c>
    </row>
    <row r="161" spans="2:8" x14ac:dyDescent="0.35">
      <c r="B161" s="6">
        <v>45156</v>
      </c>
      <c r="C161" s="7" t="s">
        <v>34</v>
      </c>
      <c r="D161" s="35">
        <v>5.89219610607383E-3</v>
      </c>
      <c r="E161" s="35">
        <v>5.89219610607383E-3</v>
      </c>
      <c r="F161" s="35">
        <v>0.17821985660888839</v>
      </c>
      <c r="G161" s="35">
        <v>0.17821985660888839</v>
      </c>
      <c r="H161" s="35">
        <v>5.8749050070489237E-3</v>
      </c>
    </row>
    <row r="162" spans="2:8" x14ac:dyDescent="0.35">
      <c r="B162" s="6">
        <v>45159</v>
      </c>
      <c r="C162" s="7" t="s">
        <v>34</v>
      </c>
      <c r="D162" s="35">
        <v>1.2756723553496699E-2</v>
      </c>
      <c r="E162" s="35">
        <v>1.2756723553496699E-2</v>
      </c>
      <c r="F162" s="35">
        <v>0.19325008160488855</v>
      </c>
      <c r="G162" s="35">
        <v>0.19325008160488855</v>
      </c>
      <c r="H162" s="35">
        <v>1.2676041986052407E-2</v>
      </c>
    </row>
    <row r="163" spans="2:8" x14ac:dyDescent="0.35">
      <c r="B163" s="6">
        <v>45160</v>
      </c>
      <c r="C163" s="7" t="s">
        <v>34</v>
      </c>
      <c r="D163" s="35">
        <v>-2.7521680161020101E-3</v>
      </c>
      <c r="E163" s="35">
        <v>-2.7521680161020101E-3</v>
      </c>
      <c r="F163" s="35">
        <v>0.1899660568950845</v>
      </c>
      <c r="G163" s="35">
        <v>0.1899660568950845</v>
      </c>
      <c r="H163" s="35">
        <v>-2.7559621935712977E-3</v>
      </c>
    </row>
    <row r="164" spans="2:8" x14ac:dyDescent="0.35">
      <c r="B164" s="6">
        <v>45161</v>
      </c>
      <c r="C164" s="7" t="s">
        <v>34</v>
      </c>
      <c r="D164" s="35">
        <v>1.42109156434223E-3</v>
      </c>
      <c r="E164" s="35">
        <v>1.42109156434223E-3</v>
      </c>
      <c r="F164" s="35">
        <v>0.19165710762039168</v>
      </c>
      <c r="G164" s="35">
        <v>0.19165710762039168</v>
      </c>
      <c r="H164" s="35">
        <v>1.4200827693387204E-3</v>
      </c>
    </row>
    <row r="165" spans="2:8" x14ac:dyDescent="0.35">
      <c r="B165" s="6">
        <v>45162</v>
      </c>
      <c r="C165" s="7" t="s">
        <v>34</v>
      </c>
      <c r="D165" s="35">
        <v>-1.37715147762568E-2</v>
      </c>
      <c r="E165" s="35">
        <v>-1.37715147762568E-2</v>
      </c>
      <c r="F165" s="35">
        <v>0.17524618415456605</v>
      </c>
      <c r="G165" s="35">
        <v>0.17524618415456605</v>
      </c>
      <c r="H165" s="35">
        <v>-1.3867221788775223E-2</v>
      </c>
    </row>
    <row r="166" spans="2:8" x14ac:dyDescent="0.35">
      <c r="B166" s="6">
        <v>45163</v>
      </c>
      <c r="C166" s="7" t="s">
        <v>34</v>
      </c>
      <c r="D166" s="35">
        <v>7.2468091347366297E-3</v>
      </c>
      <c r="E166" s="35">
        <v>7.2468091347366297E-3</v>
      </c>
      <c r="F166" s="35">
        <v>0.1837629689374618</v>
      </c>
      <c r="G166" s="35">
        <v>0.1837629689374618</v>
      </c>
      <c r="H166" s="35">
        <v>7.2206771862989476E-3</v>
      </c>
    </row>
    <row r="167" spans="2:8" x14ac:dyDescent="0.35">
      <c r="B167" s="6">
        <v>45166</v>
      </c>
      <c r="C167" s="7" t="s">
        <v>34</v>
      </c>
      <c r="D167" s="35">
        <v>-9.7811955836113506E-4</v>
      </c>
      <c r="E167" s="35">
        <v>-9.7811955836113506E-4</v>
      </c>
      <c r="F167" s="35">
        <v>0.1826051072250805</v>
      </c>
      <c r="G167" s="35">
        <v>0.1826051072250805</v>
      </c>
      <c r="H167" s="35">
        <v>-9.7859822945351913E-4</v>
      </c>
    </row>
    <row r="168" spans="2:8" x14ac:dyDescent="0.35">
      <c r="B168" s="6">
        <v>45167</v>
      </c>
      <c r="C168" s="7" t="s">
        <v>34</v>
      </c>
      <c r="D168" s="35">
        <v>1.5656596903935699E-2</v>
      </c>
      <c r="E168" s="35">
        <v>1.5656596903935699E-2</v>
      </c>
      <c r="F168" s="35">
        <v>0.20112067868543937</v>
      </c>
      <c r="G168" s="35">
        <v>0.20112067868543937</v>
      </c>
      <c r="H168" s="35">
        <v>1.5535296849755754E-2</v>
      </c>
    </row>
    <row r="169" spans="2:8" x14ac:dyDescent="0.35">
      <c r="B169" s="6">
        <v>45168</v>
      </c>
      <c r="C169" s="7" t="s">
        <v>34</v>
      </c>
      <c r="D169" s="35">
        <v>-4.0511359984875001E-3</v>
      </c>
      <c r="E169" s="35">
        <v>-4.0511359984875001E-3</v>
      </c>
      <c r="F169" s="35">
        <v>0.19625477546548908</v>
      </c>
      <c r="G169" s="35">
        <v>0.19625477546548908</v>
      </c>
      <c r="H169" s="35">
        <v>-4.0593640794950279E-3</v>
      </c>
    </row>
    <row r="170" spans="2:8" x14ac:dyDescent="0.35">
      <c r="B170" s="6">
        <v>45169</v>
      </c>
      <c r="C170" s="7" t="s">
        <v>34</v>
      </c>
      <c r="D170" s="35">
        <v>-5.6142773992686702E-3</v>
      </c>
      <c r="E170" s="35">
        <v>-5.6142773992686702E-3</v>
      </c>
      <c r="F170" s="35">
        <v>0.18953866931582586</v>
      </c>
      <c r="G170" s="35">
        <v>0.18953866931582586</v>
      </c>
      <c r="H170" s="35">
        <v>-5.6300966916752147E-3</v>
      </c>
    </row>
    <row r="171" spans="2:8" x14ac:dyDescent="0.35">
      <c r="B171" s="6">
        <v>45170</v>
      </c>
      <c r="C171" s="7" t="s">
        <v>34</v>
      </c>
      <c r="D171" s="35">
        <v>1.7082944287316399E-2</v>
      </c>
      <c r="E171" s="35">
        <v>1.7082944287316399E-2</v>
      </c>
      <c r="F171" s="35">
        <v>0.20985949213135657</v>
      </c>
      <c r="G171" s="35">
        <v>0.20985949213135657</v>
      </c>
      <c r="H171" s="35">
        <v>1.6938671545403516E-2</v>
      </c>
    </row>
    <row r="172" spans="2:8" x14ac:dyDescent="0.35">
      <c r="B172" s="6">
        <v>45174</v>
      </c>
      <c r="C172" s="7" t="s">
        <v>34</v>
      </c>
      <c r="D172" s="35">
        <v>-1.6404756605392978E-2</v>
      </c>
      <c r="E172" s="35">
        <v>-1.6404756605392978E-2</v>
      </c>
      <c r="F172" s="35">
        <v>0.19001204163621721</v>
      </c>
      <c r="G172" s="35">
        <v>0.19001204163621721</v>
      </c>
      <c r="H172" s="35">
        <v>-1.654080456618158E-2</v>
      </c>
    </row>
    <row r="173" spans="2:8" x14ac:dyDescent="0.35">
      <c r="B173" s="6">
        <v>45175</v>
      </c>
      <c r="C173" s="7" t="s">
        <v>34</v>
      </c>
      <c r="D173" s="35">
        <v>3.4461160329744001E-3</v>
      </c>
      <c r="E173" s="35">
        <v>3.4461160329744001E-3</v>
      </c>
      <c r="F173" s="35">
        <v>0.19411296121233246</v>
      </c>
      <c r="G173" s="35">
        <v>0.19411296121233246</v>
      </c>
      <c r="H173" s="35">
        <v>3.440191781654914E-3</v>
      </c>
    </row>
    <row r="174" spans="2:8" x14ac:dyDescent="0.35">
      <c r="B174" s="6">
        <v>45176</v>
      </c>
      <c r="C174" s="7" t="s">
        <v>34</v>
      </c>
      <c r="D174" s="35">
        <v>-2.15301818816316E-2</v>
      </c>
      <c r="E174" s="35">
        <v>-2.15301818816316E-2</v>
      </c>
      <c r="F174" s="35">
        <v>0.16840349197021731</v>
      </c>
      <c r="G174" s="35">
        <v>0.16840349197021731</v>
      </c>
      <c r="H174" s="35">
        <v>-2.1765337671935597E-2</v>
      </c>
    </row>
    <row r="175" spans="2:8" x14ac:dyDescent="0.35">
      <c r="B175" s="6">
        <v>45177</v>
      </c>
      <c r="C175" s="7" t="s">
        <v>34</v>
      </c>
      <c r="D175" s="35">
        <v>-9.7799824338610196E-3</v>
      </c>
      <c r="E175" s="35">
        <v>-9.7799824338610196E-3</v>
      </c>
      <c r="F175" s="35">
        <v>0.15697652634308668</v>
      </c>
      <c r="G175" s="35">
        <v>0.15697652634308668</v>
      </c>
      <c r="H175" s="35">
        <v>-9.8281205793474477E-3</v>
      </c>
    </row>
    <row r="176" spans="2:8" x14ac:dyDescent="0.35">
      <c r="B176" s="6">
        <v>45180</v>
      </c>
      <c r="C176" s="7" t="s">
        <v>34</v>
      </c>
      <c r="D176" s="35">
        <v>1.8949971327177899E-3</v>
      </c>
      <c r="E176" s="35">
        <v>1.8949971327177899E-3</v>
      </c>
      <c r="F176" s="35">
        <v>0.15916899354312863</v>
      </c>
      <c r="G176" s="35">
        <v>0.15916899354312863</v>
      </c>
      <c r="H176" s="35">
        <v>1.8932038907528155E-3</v>
      </c>
    </row>
    <row r="177" spans="2:8" x14ac:dyDescent="0.35">
      <c r="B177" s="6">
        <v>45181</v>
      </c>
      <c r="C177" s="7" t="s">
        <v>34</v>
      </c>
      <c r="D177" s="35">
        <v>-9.4180302890404192E-3</v>
      </c>
      <c r="E177" s="35">
        <v>-9.4180302890404192E-3</v>
      </c>
      <c r="F177" s="35">
        <v>0.14825190485182294</v>
      </c>
      <c r="G177" s="35">
        <v>0.14825190485182294</v>
      </c>
      <c r="H177" s="35">
        <v>-9.4626603756784115E-3</v>
      </c>
    </row>
    <row r="178" spans="2:8" x14ac:dyDescent="0.35">
      <c r="B178" s="6">
        <v>45182</v>
      </c>
      <c r="C178" s="7" t="s">
        <v>34</v>
      </c>
      <c r="D178" s="35">
        <v>-1.9729475884662701E-2</v>
      </c>
      <c r="E178" s="35">
        <v>-1.9729475884662701E-2</v>
      </c>
      <c r="F178" s="35">
        <v>0.12559749658553088</v>
      </c>
      <c r="G178" s="35">
        <v>0.12559749658553088</v>
      </c>
      <c r="H178" s="35">
        <v>-1.9926700395284276E-2</v>
      </c>
    </row>
    <row r="179" spans="2:8" x14ac:dyDescent="0.35">
      <c r="B179" s="6">
        <v>45183</v>
      </c>
      <c r="C179" s="7" t="s">
        <v>34</v>
      </c>
      <c r="D179" s="35">
        <v>6.4325291553435403E-3</v>
      </c>
      <c r="E179" s="35">
        <v>6.4325291553435403E-3</v>
      </c>
      <c r="F179" s="35">
        <v>0.13283793529949905</v>
      </c>
      <c r="G179" s="35">
        <v>0.13283793529949905</v>
      </c>
      <c r="H179" s="35">
        <v>6.4119287343554253E-3</v>
      </c>
    </row>
    <row r="180" spans="2:8" x14ac:dyDescent="0.35">
      <c r="B180" s="6">
        <v>45184</v>
      </c>
      <c r="C180" s="7" t="s">
        <v>34</v>
      </c>
      <c r="D180" s="35">
        <v>-4.0934362034783503E-3</v>
      </c>
      <c r="E180" s="35">
        <v>-4.0934362034783503E-3</v>
      </c>
      <c r="F180" s="35">
        <v>0.12820073548247035</v>
      </c>
      <c r="G180" s="35">
        <v>0.12820073548247035</v>
      </c>
      <c r="H180" s="35">
        <v>-4.101837247383497E-3</v>
      </c>
    </row>
    <row r="181" spans="2:8" x14ac:dyDescent="0.35">
      <c r="B181" s="6">
        <v>45187</v>
      </c>
      <c r="C181" s="7" t="s">
        <v>34</v>
      </c>
      <c r="D181" s="35">
        <v>-3.77260636058696E-3</v>
      </c>
      <c r="E181" s="35">
        <v>-3.77260636058696E-3</v>
      </c>
      <c r="F181" s="35">
        <v>0.12394447821177024</v>
      </c>
      <c r="G181" s="35">
        <v>0.12394447821177024</v>
      </c>
      <c r="H181" s="35">
        <v>-3.779740588704911E-3</v>
      </c>
    </row>
    <row r="182" spans="2:8" x14ac:dyDescent="0.35">
      <c r="B182" s="6">
        <v>45188</v>
      </c>
      <c r="C182" s="7" t="s">
        <v>34</v>
      </c>
      <c r="D182" s="35">
        <v>-1.0883787009918501E-2</v>
      </c>
      <c r="E182" s="35">
        <v>-1.0883787009918501E-2</v>
      </c>
      <c r="F182" s="35">
        <v>0.11171170589993928</v>
      </c>
      <c r="G182" s="35">
        <v>0.11171170589993928</v>
      </c>
      <c r="H182" s="35">
        <v>-1.0943448711517399E-2</v>
      </c>
    </row>
    <row r="183" spans="2:8" x14ac:dyDescent="0.35">
      <c r="B183" s="6">
        <v>45189</v>
      </c>
      <c r="C183" s="7" t="s">
        <v>34</v>
      </c>
      <c r="D183" s="35">
        <v>-2.3193373524898399E-2</v>
      </c>
      <c r="E183" s="35">
        <v>-2.3193373524898399E-2</v>
      </c>
      <c r="F183" s="35">
        <v>8.5927361053000029E-2</v>
      </c>
      <c r="G183" s="35">
        <v>8.5927361053000029E-2</v>
      </c>
      <c r="H183" s="35">
        <v>-2.3466572347983248E-2</v>
      </c>
    </row>
    <row r="184" spans="2:8" x14ac:dyDescent="0.35">
      <c r="B184" s="6">
        <v>45190</v>
      </c>
      <c r="C184" s="7" t="s">
        <v>34</v>
      </c>
      <c r="D184" s="35">
        <v>-2.3063357481227301E-2</v>
      </c>
      <c r="E184" s="35">
        <v>-2.3063357481227301E-2</v>
      </c>
      <c r="F184" s="35">
        <v>6.0882230126388936E-2</v>
      </c>
      <c r="G184" s="35">
        <v>6.0882230126388936E-2</v>
      </c>
      <c r="H184" s="35">
        <v>-2.3333478050563194E-2</v>
      </c>
    </row>
    <row r="185" spans="2:8" x14ac:dyDescent="0.35">
      <c r="B185" s="6">
        <v>45191</v>
      </c>
      <c r="C185" s="7" t="s">
        <v>34</v>
      </c>
      <c r="D185" s="35">
        <v>-4.09147830241829E-3</v>
      </c>
      <c r="E185" s="35">
        <v>-4.09147830241829E-3</v>
      </c>
      <c r="F185" s="35">
        <v>5.6541653500405742E-2</v>
      </c>
      <c r="G185" s="35">
        <v>5.6541653500405742E-2</v>
      </c>
      <c r="H185" s="35">
        <v>-4.099871300770966E-3</v>
      </c>
    </row>
    <row r="186" spans="2:8" x14ac:dyDescent="0.35">
      <c r="B186" s="6">
        <v>45194</v>
      </c>
      <c r="C186" s="7" t="s">
        <v>34</v>
      </c>
      <c r="D186" s="35">
        <v>-3.78793675752442E-4</v>
      </c>
      <c r="E186" s="35">
        <v>-3.78793675752442E-4</v>
      </c>
      <c r="F186" s="35">
        <v>5.6141442203890835E-2</v>
      </c>
      <c r="G186" s="35">
        <v>5.6141442203890835E-2</v>
      </c>
      <c r="H186" s="35">
        <v>-3.7886543619901179E-4</v>
      </c>
    </row>
    <row r="187" spans="2:8" x14ac:dyDescent="0.35">
      <c r="B187" s="6">
        <v>45195</v>
      </c>
      <c r="C187" s="7" t="s">
        <v>34</v>
      </c>
      <c r="D187" s="35">
        <v>1.6758028848505899E-2</v>
      </c>
      <c r="E187" s="35">
        <v>1.6758028848505899E-2</v>
      </c>
      <c r="F187" s="35">
        <v>7.3840290960446309E-2</v>
      </c>
      <c r="G187" s="35">
        <v>7.3840290960446309E-2</v>
      </c>
      <c r="H187" s="35">
        <v>1.6619162354796862E-2</v>
      </c>
    </row>
    <row r="188" spans="2:8" x14ac:dyDescent="0.35">
      <c r="B188" s="6">
        <v>45196</v>
      </c>
      <c r="C188" s="7" t="s">
        <v>34</v>
      </c>
      <c r="D188" s="35">
        <v>-2.0270466207847901E-3</v>
      </c>
      <c r="E188" s="35">
        <v>-2.0270466207847901E-3</v>
      </c>
      <c r="F188" s="35">
        <v>7.1663566627392372E-2</v>
      </c>
      <c r="G188" s="35">
        <v>7.1663566627392372E-2</v>
      </c>
      <c r="H188" s="35">
        <v>-2.0291038603366491E-3</v>
      </c>
    </row>
    <row r="189" spans="2:8" x14ac:dyDescent="0.35">
      <c r="B189" s="6">
        <v>45197</v>
      </c>
      <c r="C189" s="7" t="s">
        <v>34</v>
      </c>
      <c r="D189" s="35">
        <v>4.6882536289851702E-3</v>
      </c>
      <c r="E189" s="35">
        <v>4.6882536289851702E-3</v>
      </c>
      <c r="F189" s="35">
        <v>7.6687797232684485E-2</v>
      </c>
      <c r="G189" s="35">
        <v>7.6687797232684485E-2</v>
      </c>
      <c r="H189" s="35">
        <v>4.6772979964517887E-3</v>
      </c>
    </row>
    <row r="190" spans="2:8" x14ac:dyDescent="0.35">
      <c r="B190" s="6">
        <v>45198</v>
      </c>
      <c r="C190" s="7" t="s">
        <v>34</v>
      </c>
      <c r="D190" s="35">
        <v>-7.4195722700964905E-4</v>
      </c>
      <c r="E190" s="35">
        <v>-7.4195722700964905E-4</v>
      </c>
      <c r="F190" s="35">
        <v>7.5888940940294525E-2</v>
      </c>
      <c r="G190" s="35">
        <v>7.5888940940294525E-2</v>
      </c>
      <c r="H190" s="35">
        <v>-7.4223261349809369E-4</v>
      </c>
    </row>
    <row r="191" spans="2:8" x14ac:dyDescent="0.35">
      <c r="B191" s="6">
        <v>45201</v>
      </c>
      <c r="C191" s="7" t="s">
        <v>34</v>
      </c>
      <c r="D191" s="35">
        <v>-3.57008101079598E-2</v>
      </c>
      <c r="E191" s="35">
        <v>-3.57008101079598E-2</v>
      </c>
      <c r="F191" s="35">
        <v>3.7478834162531172E-2</v>
      </c>
      <c r="G191" s="35">
        <v>3.7478834162531172E-2</v>
      </c>
      <c r="H191" s="35">
        <v>-3.6353669565663577E-2</v>
      </c>
    </row>
    <row r="192" spans="2:8" x14ac:dyDescent="0.35">
      <c r="B192" s="6">
        <v>45202</v>
      </c>
      <c r="C192" s="7" t="s">
        <v>34</v>
      </c>
      <c r="D192" s="35">
        <v>2.1626313300557899E-3</v>
      </c>
      <c r="E192" s="35">
        <v>2.1626313300557899E-3</v>
      </c>
      <c r="F192" s="35">
        <v>3.972251839356078E-2</v>
      </c>
      <c r="G192" s="35">
        <v>3.972251839356078E-2</v>
      </c>
      <c r="H192" s="35">
        <v>2.1602962089855341E-3</v>
      </c>
    </row>
    <row r="193" spans="2:8" x14ac:dyDescent="0.35">
      <c r="B193" s="6">
        <v>45203</v>
      </c>
      <c r="C193" s="7" t="s">
        <v>34</v>
      </c>
      <c r="D193" s="35">
        <v>-1.3422544085746601E-2</v>
      </c>
      <c r="E193" s="35">
        <v>-1.3422544085746601E-2</v>
      </c>
      <c r="F193" s="35">
        <v>2.5766797053479618E-2</v>
      </c>
      <c r="G193" s="35">
        <v>2.5766797053479618E-2</v>
      </c>
      <c r="H193" s="35">
        <v>-1.3513440723062594E-2</v>
      </c>
    </row>
    <row r="194" spans="2:8" x14ac:dyDescent="0.35">
      <c r="B194" s="6">
        <v>45204</v>
      </c>
      <c r="C194" s="7" t="s">
        <v>34</v>
      </c>
      <c r="D194" s="35">
        <v>2.16934699381253E-2</v>
      </c>
      <c r="E194" s="35">
        <v>2.16934699381253E-2</v>
      </c>
      <c r="F194" s="35">
        <v>4.8019238228886207E-2</v>
      </c>
      <c r="G194" s="35">
        <v>4.8019238228886207E-2</v>
      </c>
      <c r="H194" s="35">
        <v>2.1461515225652157E-2</v>
      </c>
    </row>
    <row r="195" spans="2:8" x14ac:dyDescent="0.35">
      <c r="B195" s="6">
        <v>45205</v>
      </c>
      <c r="C195" s="7" t="s">
        <v>34</v>
      </c>
      <c r="D195" s="35">
        <v>4.67829212106197E-3</v>
      </c>
      <c r="E195" s="35">
        <v>4.67829212106197E-3</v>
      </c>
      <c r="F195" s="35">
        <v>5.2922178373813855E-2</v>
      </c>
      <c r="G195" s="35">
        <v>5.2922178373813855E-2</v>
      </c>
      <c r="H195" s="35">
        <v>4.6673829235206127E-3</v>
      </c>
    </row>
    <row r="196" spans="2:8" x14ac:dyDescent="0.35">
      <c r="B196" s="6">
        <v>45208</v>
      </c>
      <c r="C196" s="7" t="s">
        <v>34</v>
      </c>
      <c r="D196" s="35">
        <v>-8.6730365394384092E-3</v>
      </c>
      <c r="E196" s="35">
        <v>-8.6730365394384092E-3</v>
      </c>
      <c r="F196" s="35">
        <v>4.3790145847592665E-2</v>
      </c>
      <c r="G196" s="35">
        <v>4.3790145847592665E-2</v>
      </c>
      <c r="H196" s="35">
        <v>-8.7108662117571511E-3</v>
      </c>
    </row>
    <row r="197" spans="2:8" x14ac:dyDescent="0.35">
      <c r="B197" s="6">
        <v>45209</v>
      </c>
      <c r="C197" s="7" t="s">
        <v>34</v>
      </c>
      <c r="D197" s="35">
        <v>1.2469837338127099E-3</v>
      </c>
      <c r="E197" s="35">
        <v>1.2469837338127099E-3</v>
      </c>
      <c r="F197" s="35">
        <v>4.5091735180978532E-2</v>
      </c>
      <c r="G197" s="35">
        <v>4.5091735180978532E-2</v>
      </c>
      <c r="H197" s="35">
        <v>1.2462068953327499E-3</v>
      </c>
    </row>
    <row r="198" spans="2:8" x14ac:dyDescent="0.35">
      <c r="B198" s="6">
        <v>45210</v>
      </c>
      <c r="C198" s="7" t="s">
        <v>34</v>
      </c>
      <c r="D198" s="35">
        <v>-1.43489677264357E-2</v>
      </c>
      <c r="E198" s="35">
        <v>-1.43489677264357E-2</v>
      </c>
      <c r="F198" s="35">
        <v>3.0095747601702083E-2</v>
      </c>
      <c r="G198" s="35">
        <v>3.0095747601702083E-2</v>
      </c>
      <c r="H198" s="35">
        <v>-1.445290966834582E-2</v>
      </c>
    </row>
    <row r="199" spans="2:8" x14ac:dyDescent="0.35">
      <c r="B199" s="6">
        <v>45211</v>
      </c>
      <c r="C199" s="7" t="s">
        <v>34</v>
      </c>
      <c r="D199" s="35">
        <v>-2.9615922324287801E-2</v>
      </c>
      <c r="E199" s="35">
        <v>-2.9615922324287801E-2</v>
      </c>
      <c r="F199" s="35">
        <v>-4.1148804584911769E-4</v>
      </c>
      <c r="G199" s="35">
        <v>-4.1148804584911769E-4</v>
      </c>
      <c r="H199" s="35">
        <v>-3.0063329488030359E-2</v>
      </c>
    </row>
    <row r="200" spans="2:8" x14ac:dyDescent="0.35">
      <c r="B200" s="6">
        <v>45212</v>
      </c>
      <c r="C200" s="7" t="s">
        <v>34</v>
      </c>
      <c r="D200" s="35">
        <v>7.3019507915257397E-3</v>
      </c>
      <c r="E200" s="35">
        <v>7.3019507915257397E-3</v>
      </c>
      <c r="F200" s="35">
        <v>6.8874580802145147E-3</v>
      </c>
      <c r="G200" s="35">
        <v>6.8874580802145147E-3</v>
      </c>
      <c r="H200" s="35">
        <v>7.2754206185749607E-3</v>
      </c>
    </row>
    <row r="201" spans="2:8" x14ac:dyDescent="0.35">
      <c r="B201" s="6">
        <v>45215</v>
      </c>
      <c r="C201" s="7" t="s">
        <v>34</v>
      </c>
      <c r="D201" s="35">
        <v>-4.0665756172304501E-3</v>
      </c>
      <c r="E201" s="35">
        <v>-4.0665756172304501E-3</v>
      </c>
      <c r="F201" s="35">
        <v>2.7928740938902852E-3</v>
      </c>
      <c r="G201" s="35">
        <v>2.7928740938902852E-3</v>
      </c>
      <c r="H201" s="35">
        <v>-4.0748666208181754E-3</v>
      </c>
    </row>
    <row r="202" spans="2:8" x14ac:dyDescent="0.35">
      <c r="B202" s="6">
        <v>45216</v>
      </c>
      <c r="C202" s="7" t="s">
        <v>34</v>
      </c>
      <c r="D202" s="35">
        <v>2.9896789956507198E-3</v>
      </c>
      <c r="E202" s="35">
        <v>2.9896789956507198E-3</v>
      </c>
      <c r="F202" s="35">
        <v>5.7909028865570367E-3</v>
      </c>
      <c r="G202" s="35">
        <v>5.7909028865570367E-3</v>
      </c>
      <c r="H202" s="35">
        <v>2.9852187929072537E-3</v>
      </c>
    </row>
    <row r="203" spans="2:8" x14ac:dyDescent="0.35">
      <c r="B203" s="6">
        <v>45217</v>
      </c>
      <c r="C203" s="7" t="s">
        <v>34</v>
      </c>
      <c r="D203" s="35">
        <v>-2.5307170119397902E-2</v>
      </c>
      <c r="E203" s="35">
        <v>-2.5307170119397902E-2</v>
      </c>
      <c r="F203" s="35">
        <v>-1.9662818597335874E-2</v>
      </c>
      <c r="G203" s="35">
        <v>-1.9662818597335874E-2</v>
      </c>
      <c r="H203" s="35">
        <v>-2.563290389809917E-2</v>
      </c>
    </row>
    <row r="204" spans="2:8" x14ac:dyDescent="0.35">
      <c r="B204" s="6">
        <v>45218</v>
      </c>
      <c r="C204" s="7" t="s">
        <v>34</v>
      </c>
      <c r="D204" s="35">
        <v>-2.8272693960593499E-2</v>
      </c>
      <c r="E204" s="35">
        <v>-2.8272693960593499E-2</v>
      </c>
      <c r="F204" s="35">
        <v>-4.7379591705324242E-2</v>
      </c>
      <c r="G204" s="35">
        <v>-4.7379591705324242E-2</v>
      </c>
      <c r="H204" s="35">
        <v>-2.86800632252011E-2</v>
      </c>
    </row>
    <row r="205" spans="2:8" x14ac:dyDescent="0.35">
      <c r="B205" s="6">
        <v>45219</v>
      </c>
      <c r="C205" s="7" t="s">
        <v>34</v>
      </c>
      <c r="D205" s="35">
        <v>-2.8051290496459502E-2</v>
      </c>
      <c r="E205" s="35">
        <v>-2.8051290496459502E-2</v>
      </c>
      <c r="F205" s="35">
        <v>-7.410182351125405E-2</v>
      </c>
      <c r="G205" s="35">
        <v>-7.410182351125405E-2</v>
      </c>
      <c r="H205" s="35">
        <v>-2.8452243914450618E-2</v>
      </c>
    </row>
    <row r="206" spans="2:8" x14ac:dyDescent="0.35">
      <c r="B206" s="6">
        <v>45222</v>
      </c>
      <c r="C206" s="7" t="s">
        <v>34</v>
      </c>
      <c r="D206" s="35">
        <v>-3.3837070754917799E-2</v>
      </c>
      <c r="E206" s="35">
        <v>-3.3837070754917799E-2</v>
      </c>
      <c r="F206" s="35">
        <v>-0.10543150562095316</v>
      </c>
      <c r="G206" s="35">
        <v>-0.10543150562095316</v>
      </c>
      <c r="H206" s="35">
        <v>-3.4422795176976245E-2</v>
      </c>
    </row>
    <row r="207" spans="2:8" x14ac:dyDescent="0.35">
      <c r="B207" s="6">
        <v>45223</v>
      </c>
      <c r="C207" s="7" t="s">
        <v>34</v>
      </c>
      <c r="D207" s="35">
        <v>1.23720961900315E-2</v>
      </c>
      <c r="E207" s="35">
        <v>1.23720961900315E-2</v>
      </c>
      <c r="F207" s="35">
        <v>-9.4363818159923896E-2</v>
      </c>
      <c r="G207" s="35">
        <v>-9.4363818159923896E-2</v>
      </c>
      <c r="H207" s="35">
        <v>1.2296187268327695E-2</v>
      </c>
    </row>
    <row r="208" spans="2:8" x14ac:dyDescent="0.35">
      <c r="B208" s="6">
        <v>45224</v>
      </c>
      <c r="C208" s="7" t="s">
        <v>34</v>
      </c>
      <c r="D208" s="35">
        <v>-8.5737563691418196E-3</v>
      </c>
      <c r="E208" s="35">
        <v>-8.5737563691418196E-3</v>
      </c>
      <c r="F208" s="35">
        <v>-0.10212852214210055</v>
      </c>
      <c r="G208" s="35">
        <v>-0.10212852214210055</v>
      </c>
      <c r="H208" s="35">
        <v>-8.6107224621220675E-3</v>
      </c>
    </row>
    <row r="209" spans="2:8" x14ac:dyDescent="0.35">
      <c r="B209" s="6">
        <v>45225</v>
      </c>
      <c r="C209" s="7" t="s">
        <v>34</v>
      </c>
      <c r="D209" s="35">
        <v>-7.6181148219922601E-4</v>
      </c>
      <c r="E209" s="35">
        <v>-7.6181148219922601E-4</v>
      </c>
      <c r="F209" s="35">
        <v>-0.10281253094347187</v>
      </c>
      <c r="G209" s="35">
        <v>-0.10281253094347187</v>
      </c>
      <c r="H209" s="35">
        <v>-7.6210180802482755E-4</v>
      </c>
    </row>
    <row r="210" spans="2:8" x14ac:dyDescent="0.35">
      <c r="B210" s="6">
        <v>45226</v>
      </c>
      <c r="C210" s="7" t="s">
        <v>34</v>
      </c>
      <c r="D210" s="35">
        <v>-5.40847526864352E-3</v>
      </c>
      <c r="E210" s="35">
        <v>-5.40847526864352E-3</v>
      </c>
      <c r="F210" s="35">
        <v>-0.10766494718120101</v>
      </c>
      <c r="G210" s="35">
        <v>-0.10766494718120101</v>
      </c>
      <c r="H210" s="35">
        <v>-5.4231540213800491E-3</v>
      </c>
    </row>
    <row r="211" spans="2:8" x14ac:dyDescent="0.35">
      <c r="B211" s="6">
        <v>45229</v>
      </c>
      <c r="C211" s="7" t="s">
        <v>34</v>
      </c>
      <c r="D211" s="35">
        <v>7.96539375447591E-3</v>
      </c>
      <c r="E211" s="35">
        <v>7.96539375447591E-3</v>
      </c>
      <c r="F211" s="35">
        <v>-0.10055714712457819</v>
      </c>
      <c r="G211" s="35">
        <v>-0.10055714712457819</v>
      </c>
      <c r="H211" s="35">
        <v>7.9338374670524219E-3</v>
      </c>
    </row>
    <row r="212" spans="2:8" x14ac:dyDescent="0.35">
      <c r="B212" s="6">
        <v>45230</v>
      </c>
      <c r="C212" s="7" t="s">
        <v>34</v>
      </c>
      <c r="D212" s="35">
        <v>1.7624204441204501E-2</v>
      </c>
      <c r="E212" s="35">
        <v>1.7624204441204501E-2</v>
      </c>
      <c r="F212" s="35">
        <v>-8.4705182402321499E-2</v>
      </c>
      <c r="G212" s="35">
        <v>-8.4705182402321499E-2</v>
      </c>
      <c r="H212" s="35">
        <v>1.7470699131774819E-2</v>
      </c>
    </row>
    <row r="213" spans="2:8" x14ac:dyDescent="0.35">
      <c r="B213" s="6">
        <v>45231</v>
      </c>
      <c r="C213" s="7" t="s">
        <v>34</v>
      </c>
      <c r="D213" s="35">
        <v>2.1897190003971698E-2</v>
      </c>
      <c r="E213" s="35">
        <v>2.1897190003971698E-2</v>
      </c>
      <c r="F213" s="35">
        <v>-6.4662797871734456E-2</v>
      </c>
      <c r="G213" s="35">
        <v>-6.4662797871734456E-2</v>
      </c>
      <c r="H213" s="35">
        <v>2.166088985631039E-2</v>
      </c>
    </row>
    <row r="214" spans="2:8" x14ac:dyDescent="0.35">
      <c r="B214" s="6">
        <v>45232</v>
      </c>
      <c r="C214" s="7" t="s">
        <v>34</v>
      </c>
      <c r="D214" s="35">
        <v>3.4694389250715399E-2</v>
      </c>
      <c r="E214" s="35">
        <v>3.4694389250715399E-2</v>
      </c>
      <c r="F214" s="35">
        <v>-3.2211844900421283E-2</v>
      </c>
      <c r="G214" s="35">
        <v>-3.2211844900421283E-2</v>
      </c>
      <c r="H214" s="35">
        <v>3.410610702850015E-2</v>
      </c>
    </row>
    <row r="215" spans="2:8" x14ac:dyDescent="0.35">
      <c r="B215" s="6">
        <v>45233</v>
      </c>
      <c r="C215" s="7" t="s">
        <v>34</v>
      </c>
      <c r="D215" s="35">
        <v>4.1075430941819098E-2</v>
      </c>
      <c r="E215" s="35">
        <v>4.1075430941819098E-2</v>
      </c>
      <c r="F215" s="35">
        <v>7.5404706306818614E-3</v>
      </c>
      <c r="G215" s="35">
        <v>7.5404706306818614E-3</v>
      </c>
      <c r="H215" s="35">
        <v>4.0254247086323774E-2</v>
      </c>
    </row>
    <row r="216" spans="2:8" x14ac:dyDescent="0.35">
      <c r="B216" s="6">
        <v>45236</v>
      </c>
      <c r="C216" s="7" t="s">
        <v>34</v>
      </c>
      <c r="D216" s="35">
        <v>-3.1162566916974499E-2</v>
      </c>
      <c r="E216" s="35">
        <v>-3.1162566916974499E-2</v>
      </c>
      <c r="F216" s="35">
        <v>-2.3857076706906732E-2</v>
      </c>
      <c r="G216" s="35">
        <v>-2.3857076706906732E-2</v>
      </c>
      <c r="H216" s="35">
        <v>-3.1658448882124261E-2</v>
      </c>
    </row>
    <row r="217" spans="2:8" x14ac:dyDescent="0.35">
      <c r="B217" s="6">
        <v>45237</v>
      </c>
      <c r="C217" s="7" t="s">
        <v>34</v>
      </c>
      <c r="D217" s="35">
        <v>-5.0854630307676204E-3</v>
      </c>
      <c r="E217" s="35">
        <v>-5.0854630307676204E-3</v>
      </c>
      <c r="F217" s="35">
        <v>-2.8821215456059202E-2</v>
      </c>
      <c r="G217" s="35">
        <v>-2.8821215456059202E-2</v>
      </c>
      <c r="H217" s="35">
        <v>-5.0984380057495088E-3</v>
      </c>
    </row>
    <row r="218" spans="2:8" x14ac:dyDescent="0.35">
      <c r="B218" s="6">
        <v>45238</v>
      </c>
      <c r="C218" s="7" t="s">
        <v>34</v>
      </c>
      <c r="D218" s="35">
        <v>-1.48265738055402E-2</v>
      </c>
      <c r="E218" s="35">
        <v>-1.48265738055402E-2</v>
      </c>
      <c r="F218" s="35">
        <v>-4.3220469383474791E-2</v>
      </c>
      <c r="G218" s="35">
        <v>-4.3220469383474791E-2</v>
      </c>
      <c r="H218" s="35">
        <v>-1.4937586105561708E-2</v>
      </c>
    </row>
    <row r="219" spans="2:8" x14ac:dyDescent="0.35">
      <c r="B219" s="6">
        <v>45239</v>
      </c>
      <c r="C219" s="7" t="s">
        <v>34</v>
      </c>
      <c r="D219" s="35">
        <v>-3.8522409502431E-2</v>
      </c>
      <c r="E219" s="35">
        <v>-3.8522409502431E-2</v>
      </c>
      <c r="F219" s="35">
        <v>-8.0077922265428314E-2</v>
      </c>
      <c r="G219" s="35">
        <v>-8.0077922265428314E-2</v>
      </c>
      <c r="H219" s="35">
        <v>-3.9284021039711514E-2</v>
      </c>
    </row>
    <row r="220" spans="2:8" x14ac:dyDescent="0.35">
      <c r="B220" s="6">
        <v>45240</v>
      </c>
      <c r="C220" s="7" t="s">
        <v>34</v>
      </c>
      <c r="D220" s="35">
        <v>-9.3929816407192206E-3</v>
      </c>
      <c r="E220" s="35">
        <v>-9.3929816407192206E-3</v>
      </c>
      <c r="F220" s="35">
        <v>-8.871873345248138E-2</v>
      </c>
      <c r="G220" s="35">
        <v>-8.871873345248138E-2</v>
      </c>
      <c r="H220" s="35">
        <v>-9.4373738952130259E-3</v>
      </c>
    </row>
    <row r="221" spans="2:8" x14ac:dyDescent="0.35">
      <c r="B221" s="6">
        <v>45243</v>
      </c>
      <c r="C221" s="7" t="s">
        <v>34</v>
      </c>
      <c r="D221" s="35">
        <v>-1.1127020444666701E-3</v>
      </c>
      <c r="E221" s="35">
        <v>-1.1127020444666701E-3</v>
      </c>
      <c r="F221" s="35">
        <v>-8.9732717980853027E-2</v>
      </c>
      <c r="G221" s="35">
        <v>-8.9732717980853027E-2</v>
      </c>
      <c r="H221" s="35">
        <v>-1.1133215569844213E-3</v>
      </c>
    </row>
    <row r="222" spans="2:8" x14ac:dyDescent="0.35">
      <c r="B222" s="6">
        <v>45244</v>
      </c>
      <c r="C222" s="7" t="s">
        <v>34</v>
      </c>
      <c r="D222" s="35">
        <v>4.26710267755381E-2</v>
      </c>
      <c r="E222" s="35">
        <v>4.26710267755381E-2</v>
      </c>
      <c r="F222" s="35">
        <v>-5.0890678416917634E-2</v>
      </c>
      <c r="G222" s="35">
        <v>-5.0890678416917634E-2</v>
      </c>
      <c r="H222" s="35">
        <v>4.1785715696305833E-2</v>
      </c>
    </row>
    <row r="223" spans="2:8" x14ac:dyDescent="0.35">
      <c r="B223" s="6">
        <v>45245</v>
      </c>
      <c r="C223" s="7" t="s">
        <v>34</v>
      </c>
      <c r="D223" s="35">
        <v>1.6154235802186698E-2</v>
      </c>
      <c r="E223" s="35">
        <v>1.6154235802186698E-2</v>
      </c>
      <c r="F223" s="35">
        <v>-3.5558542634011148E-2</v>
      </c>
      <c r="G223" s="35">
        <v>-3.5558542634011148E-2</v>
      </c>
      <c r="H223" s="35">
        <v>1.6025144526705958E-2</v>
      </c>
    </row>
    <row r="224" spans="2:8" x14ac:dyDescent="0.35">
      <c r="B224" s="6">
        <v>45246</v>
      </c>
      <c r="C224" s="7" t="s">
        <v>34</v>
      </c>
      <c r="D224" s="35">
        <v>-7.7989750094778999E-3</v>
      </c>
      <c r="E224" s="35">
        <v>-7.7989750094778999E-3</v>
      </c>
      <c r="F224" s="35">
        <v>-4.3080197458112979E-2</v>
      </c>
      <c r="G224" s="35">
        <v>-4.3080197458112979E-2</v>
      </c>
      <c r="H224" s="35">
        <v>-7.8295460674233028E-3</v>
      </c>
    </row>
    <row r="225" spans="2:8" x14ac:dyDescent="0.35">
      <c r="B225" s="6">
        <v>45247</v>
      </c>
      <c r="C225" s="7" t="s">
        <v>34</v>
      </c>
      <c r="D225" s="35">
        <v>3.1316793653755899E-2</v>
      </c>
      <c r="E225" s="35">
        <v>3.1316793653755899E-2</v>
      </c>
      <c r="F225" s="35">
        <v>-1.3112537458715767E-2</v>
      </c>
      <c r="G225" s="35">
        <v>-1.3112537458715767E-2</v>
      </c>
      <c r="H225" s="35">
        <v>3.083642617293561E-2</v>
      </c>
    </row>
    <row r="226" spans="2:8" x14ac:dyDescent="0.35">
      <c r="B226" s="6">
        <v>45250</v>
      </c>
      <c r="C226" s="7" t="s">
        <v>34</v>
      </c>
      <c r="D226" s="35">
        <v>8.1233566265943597E-3</v>
      </c>
      <c r="E226" s="35">
        <v>8.1233566265943597E-3</v>
      </c>
      <c r="F226" s="35">
        <v>-5.0956986501781154E-3</v>
      </c>
      <c r="G226" s="35">
        <v>-5.0956986501781154E-3</v>
      </c>
      <c r="H226" s="35">
        <v>8.0905397673969141E-3</v>
      </c>
    </row>
    <row r="227" spans="2:8" x14ac:dyDescent="0.35">
      <c r="B227" s="6">
        <v>45251</v>
      </c>
      <c r="C227" s="7" t="s">
        <v>34</v>
      </c>
      <c r="D227" s="35">
        <v>-2.0514841702971898E-2</v>
      </c>
      <c r="E227" s="35">
        <v>-2.0514841702971898E-2</v>
      </c>
      <c r="F227" s="35">
        <v>-2.5506002901975577E-2</v>
      </c>
      <c r="G227" s="35">
        <v>-2.5506002901975577E-2</v>
      </c>
      <c r="H227" s="35">
        <v>-2.0728194037986942E-2</v>
      </c>
    </row>
    <row r="228" spans="2:8" x14ac:dyDescent="0.35">
      <c r="B228" s="6">
        <v>45252</v>
      </c>
      <c r="C228" s="7" t="s">
        <v>34</v>
      </c>
      <c r="D228" s="35">
        <v>-1.0626898226562299E-3</v>
      </c>
      <c r="E228" s="35">
        <v>-1.0626898226562299E-3</v>
      </c>
      <c r="F228" s="35">
        <v>-2.6541587754931206E-2</v>
      </c>
      <c r="G228" s="35">
        <v>-2.6541587754931206E-2</v>
      </c>
      <c r="H228" s="35">
        <v>-1.0632548778402153E-3</v>
      </c>
    </row>
    <row r="229" spans="2:8" x14ac:dyDescent="0.35">
      <c r="B229" s="6">
        <v>45254</v>
      </c>
      <c r="C229" s="7" t="s">
        <v>34</v>
      </c>
      <c r="D229" s="35">
        <v>2.0875307147410371E-2</v>
      </c>
      <c r="E229" s="35">
        <v>2.0875307147410371E-2</v>
      </c>
      <c r="F229" s="35">
        <v>-6.220344404084921E-3</v>
      </c>
      <c r="G229" s="35">
        <v>-6.220344404084921E-3</v>
      </c>
      <c r="H229" s="35">
        <v>2.0660403563073037E-2</v>
      </c>
    </row>
    <row r="230" spans="2:8" x14ac:dyDescent="0.35">
      <c r="B230" s="6">
        <v>45257</v>
      </c>
      <c r="C230" s="7" t="s">
        <v>34</v>
      </c>
      <c r="D230" s="35">
        <v>-7.4846844301206302E-3</v>
      </c>
      <c r="E230" s="35">
        <v>-7.4846844301206302E-3</v>
      </c>
      <c r="F230" s="35">
        <v>-1.3658471519294335E-2</v>
      </c>
      <c r="G230" s="35">
        <v>-1.3658471519294335E-2</v>
      </c>
      <c r="H230" s="35">
        <v>-7.5128352351885733E-3</v>
      </c>
    </row>
    <row r="231" spans="2:8" x14ac:dyDescent="0.35">
      <c r="B231" s="6">
        <v>45258</v>
      </c>
      <c r="C231" s="7" t="s">
        <v>34</v>
      </c>
      <c r="D231" s="35">
        <v>-4.9170989547439002E-3</v>
      </c>
      <c r="E231" s="35">
        <v>-4.9170989547439002E-3</v>
      </c>
      <c r="F231" s="35">
        <v>-1.8508410418007326E-2</v>
      </c>
      <c r="G231" s="35">
        <v>-1.8508410418007326E-2</v>
      </c>
      <c r="H231" s="35">
        <v>-4.9292276608423093E-3</v>
      </c>
    </row>
    <row r="232" spans="2:8" x14ac:dyDescent="0.35">
      <c r="B232" s="6">
        <v>45259</v>
      </c>
      <c r="C232" s="7" t="s">
        <v>34</v>
      </c>
      <c r="D232" s="35">
        <v>1.9718122876824801E-2</v>
      </c>
      <c r="E232" s="35">
        <v>1.9718122876824801E-2</v>
      </c>
      <c r="F232" s="35">
        <v>8.4476134794053692E-4</v>
      </c>
      <c r="G232" s="35">
        <v>8.4476134794053692E-4</v>
      </c>
      <c r="H232" s="35">
        <v>1.9526238983688774E-2</v>
      </c>
    </row>
    <row r="233" spans="2:8" x14ac:dyDescent="0.35">
      <c r="B233" s="6">
        <v>45260</v>
      </c>
      <c r="C233" s="7" t="s">
        <v>34</v>
      </c>
      <c r="D233" s="35">
        <v>1.94395298257184E-2</v>
      </c>
      <c r="E233" s="35">
        <v>1.94395298257184E-2</v>
      </c>
      <c r="F233" s="35">
        <v>2.0300712937077803E-2</v>
      </c>
      <c r="G233" s="35">
        <v>2.0300712937077803E-2</v>
      </c>
      <c r="H233" s="35">
        <v>1.9252995713389807E-2</v>
      </c>
    </row>
    <row r="234" spans="2:8" x14ac:dyDescent="0.35">
      <c r="B234" s="6">
        <v>45261</v>
      </c>
      <c r="C234" s="7" t="s">
        <v>34</v>
      </c>
      <c r="D234" s="35">
        <v>3.4081420143272E-2</v>
      </c>
      <c r="E234" s="35">
        <v>3.4081420143272E-2</v>
      </c>
      <c r="F234" s="35">
        <v>5.5074010207166291E-2</v>
      </c>
      <c r="G234" s="35">
        <v>5.5074010207166291E-2</v>
      </c>
      <c r="H234" s="35">
        <v>3.3513515871355135E-2</v>
      </c>
    </row>
    <row r="235" spans="2:8" x14ac:dyDescent="0.35">
      <c r="B235" s="6">
        <v>45264</v>
      </c>
      <c r="C235" s="7" t="s">
        <v>34</v>
      </c>
      <c r="D235" s="35">
        <v>1.5507613149691599E-2</v>
      </c>
      <c r="E235" s="35">
        <v>1.5507613149691599E-2</v>
      </c>
      <c r="F235" s="35">
        <v>7.1435689801752744E-2</v>
      </c>
      <c r="G235" s="35">
        <v>7.1435689801752744E-2</v>
      </c>
      <c r="H235" s="35">
        <v>1.5388598957213279E-2</v>
      </c>
    </row>
    <row r="236" spans="2:8" x14ac:dyDescent="0.35">
      <c r="B236" s="6">
        <v>45265</v>
      </c>
      <c r="C236" s="7" t="s">
        <v>34</v>
      </c>
      <c r="D236" s="35">
        <v>-2.22465094872704E-3</v>
      </c>
      <c r="E236" s="35">
        <v>-2.22465094872704E-3</v>
      </c>
      <c r="F236" s="35">
        <v>6.9052119377935206E-2</v>
      </c>
      <c r="G236" s="35">
        <v>6.9052119377935206E-2</v>
      </c>
      <c r="H236" s="35">
        <v>-2.227129160768909E-3</v>
      </c>
    </row>
    <row r="237" spans="2:8" x14ac:dyDescent="0.35">
      <c r="B237" s="6">
        <v>45266</v>
      </c>
      <c r="C237" s="7" t="s">
        <v>34</v>
      </c>
      <c r="D237" s="35">
        <v>1.07725661539049E-2</v>
      </c>
      <c r="E237" s="35">
        <v>1.07725661539049E-2</v>
      </c>
      <c r="F237" s="35">
        <v>8.0568554055906239E-2</v>
      </c>
      <c r="G237" s="35">
        <v>8.0568554055906239E-2</v>
      </c>
      <c r="H237" s="35">
        <v>1.0714955437334323E-2</v>
      </c>
    </row>
    <row r="238" spans="2:8" x14ac:dyDescent="0.35">
      <c r="B238" s="6">
        <v>45267</v>
      </c>
      <c r="C238" s="7" t="s">
        <v>34</v>
      </c>
      <c r="D238" s="35">
        <v>1.7778230347073699E-2</v>
      </c>
      <c r="E238" s="35">
        <v>1.7778230347073699E-2</v>
      </c>
      <c r="F238" s="35">
        <v>9.9779150715716414E-2</v>
      </c>
      <c r="G238" s="35">
        <v>9.9779150715716414E-2</v>
      </c>
      <c r="H238" s="35">
        <v>1.7622046013876045E-2</v>
      </c>
    </row>
    <row r="239" spans="2:8" x14ac:dyDescent="0.35">
      <c r="B239" s="6">
        <v>45268</v>
      </c>
      <c r="C239" s="7" t="s">
        <v>34</v>
      </c>
      <c r="D239" s="35">
        <v>-9.2250083691534108E-3</v>
      </c>
      <c r="E239" s="35">
        <v>-9.2250083691534108E-3</v>
      </c>
      <c r="F239" s="35">
        <v>8.9633678846143594E-2</v>
      </c>
      <c r="G239" s="35">
        <v>8.9633678846143594E-2</v>
      </c>
      <c r="H239" s="35">
        <v>-9.2678222679939467E-3</v>
      </c>
    </row>
    <row r="240" spans="2:8" x14ac:dyDescent="0.35">
      <c r="B240" s="6">
        <v>45271</v>
      </c>
      <c r="C240" s="7" t="s">
        <v>34</v>
      </c>
      <c r="D240" s="35">
        <v>-1.1912417137105599E-2</v>
      </c>
      <c r="E240" s="35">
        <v>-1.1912417137105599E-2</v>
      </c>
      <c r="F240" s="35">
        <v>7.665350793708936E-2</v>
      </c>
      <c r="G240" s="35">
        <v>7.665350793708936E-2</v>
      </c>
      <c r="H240" s="35">
        <v>-1.1983938540786084E-2</v>
      </c>
    </row>
    <row r="241" spans="2:8" x14ac:dyDescent="0.35">
      <c r="B241" s="6">
        <v>45272</v>
      </c>
      <c r="C241" s="7" t="s">
        <v>34</v>
      </c>
      <c r="D241" s="35">
        <v>1.0215556561063301E-2</v>
      </c>
      <c r="E241" s="35">
        <v>1.0215556561063301E-2</v>
      </c>
      <c r="F241" s="35">
        <v>8.7652122744087846E-2</v>
      </c>
      <c r="G241" s="35">
        <v>8.7652122744087846E-2</v>
      </c>
      <c r="H241" s="35">
        <v>1.0163730419547308E-2</v>
      </c>
    </row>
    <row r="242" spans="2:8" x14ac:dyDescent="0.35">
      <c r="B242" s="6">
        <v>45273</v>
      </c>
      <c r="C242" s="7" t="s">
        <v>34</v>
      </c>
      <c r="D242" s="35">
        <v>3.7470675805149498E-2</v>
      </c>
      <c r="E242" s="35">
        <v>3.7470675805149498E-2</v>
      </c>
      <c r="F242" s="35">
        <v>0.12840718282421415</v>
      </c>
      <c r="G242" s="35">
        <v>0.12840718282421415</v>
      </c>
      <c r="H242" s="35">
        <v>3.6785708439080661E-2</v>
      </c>
    </row>
    <row r="243" spans="2:8" x14ac:dyDescent="0.35">
      <c r="B243" s="6">
        <v>45274</v>
      </c>
      <c r="C243" s="7" t="s">
        <v>34</v>
      </c>
      <c r="D243" s="35">
        <v>1.30905773365819E-2</v>
      </c>
      <c r="E243" s="35">
        <v>1.30905773365819E-2</v>
      </c>
      <c r="F243" s="35">
        <v>0.14317868431812908</v>
      </c>
      <c r="G243" s="35">
        <v>0.14317868431812908</v>
      </c>
      <c r="H243" s="35">
        <v>1.3005636211600259E-2</v>
      </c>
    </row>
    <row r="244" spans="2:8" x14ac:dyDescent="0.35">
      <c r="B244" s="6">
        <v>45275</v>
      </c>
      <c r="C244" s="7" t="s">
        <v>34</v>
      </c>
      <c r="D244" s="35">
        <v>8.6448879260463407E-3</v>
      </c>
      <c r="E244" s="35">
        <v>8.6448879260463407E-3</v>
      </c>
      <c r="F244" s="35">
        <v>0.15306133592350446</v>
      </c>
      <c r="G244" s="35">
        <v>0.15306133592350446</v>
      </c>
      <c r="H244" s="35">
        <v>8.6077348516472307E-3</v>
      </c>
    </row>
    <row r="245" spans="2:8" x14ac:dyDescent="0.35">
      <c r="B245" s="6">
        <v>45278</v>
      </c>
      <c r="C245" s="7" t="s">
        <v>34</v>
      </c>
      <c r="D245" s="35">
        <v>-4.0279137175337496E-3</v>
      </c>
      <c r="E245" s="35">
        <v>-4.0279137175337496E-3</v>
      </c>
      <c r="F245" s="35">
        <v>0.14841690435138033</v>
      </c>
      <c r="G245" s="35">
        <v>0.14841690435138033</v>
      </c>
      <c r="H245" s="35">
        <v>-4.0360476110864888E-3</v>
      </c>
    </row>
    <row r="246" spans="2:8" x14ac:dyDescent="0.35">
      <c r="B246" s="6">
        <v>45279</v>
      </c>
      <c r="C246" s="7" t="s">
        <v>34</v>
      </c>
      <c r="D246" s="35">
        <v>3.5439832893315898E-2</v>
      </c>
      <c r="E246" s="35">
        <v>3.5439832893315898E-2</v>
      </c>
      <c r="F246" s="35">
        <v>0.18911660753345227</v>
      </c>
      <c r="G246" s="35">
        <v>0.18911660753345227</v>
      </c>
      <c r="H246" s="35">
        <v>3.4826295764908199E-2</v>
      </c>
    </row>
    <row r="247" spans="2:8" x14ac:dyDescent="0.35">
      <c r="B247" s="6">
        <v>45280</v>
      </c>
      <c r="C247" s="7" t="s">
        <v>34</v>
      </c>
      <c r="D247" s="35">
        <v>-2.6604918723981699E-2</v>
      </c>
      <c r="E247" s="35">
        <v>-2.6604918723981699E-2</v>
      </c>
      <c r="F247" s="35">
        <v>0.15748025683668798</v>
      </c>
      <c r="G247" s="35">
        <v>0.15748025683668798</v>
      </c>
      <c r="H247" s="35">
        <v>-2.6965234732987845E-2</v>
      </c>
    </row>
    <row r="248" spans="2:8" x14ac:dyDescent="0.35">
      <c r="B248" s="6">
        <v>45281</v>
      </c>
      <c r="C248" s="7" t="s">
        <v>34</v>
      </c>
      <c r="D248" s="35">
        <v>5.3052727136632803E-2</v>
      </c>
      <c r="E248" s="35">
        <v>5.3052727136632803E-2</v>
      </c>
      <c r="F248" s="35">
        <v>0.21888774106868447</v>
      </c>
      <c r="G248" s="35">
        <v>0.21888774106868447</v>
      </c>
      <c r="H248" s="35">
        <v>5.1693305152377092E-2</v>
      </c>
    </row>
    <row r="249" spans="2:8" x14ac:dyDescent="0.35">
      <c r="B249" s="6">
        <v>45282</v>
      </c>
      <c r="C249" s="7" t="s">
        <v>34</v>
      </c>
      <c r="D249" s="35">
        <v>3.6983469546473899E-2</v>
      </c>
      <c r="E249" s="35">
        <v>3.6983469546473899E-2</v>
      </c>
      <c r="F249" s="35">
        <v>0.26396643872106851</v>
      </c>
      <c r="G249" s="35">
        <v>0.26396643872106851</v>
      </c>
      <c r="H249" s="35">
        <v>3.6315988470841991E-2</v>
      </c>
    </row>
    <row r="250" spans="2:8" x14ac:dyDescent="0.35">
      <c r="B250" s="6">
        <v>45286</v>
      </c>
      <c r="C250" s="7" t="s">
        <v>34</v>
      </c>
      <c r="D250" s="35">
        <v>3.8969071444810099E-2</v>
      </c>
      <c r="E250" s="35">
        <v>3.8969071444810099E-2</v>
      </c>
      <c r="F250" s="35">
        <v>0.31322203717543196</v>
      </c>
      <c r="G250" s="35">
        <v>0.31322203717543196</v>
      </c>
      <c r="H250" s="35">
        <v>3.8228944055941405E-2</v>
      </c>
    </row>
    <row r="251" spans="2:8" x14ac:dyDescent="0.35">
      <c r="B251" s="6">
        <v>45287</v>
      </c>
      <c r="C251" s="7" t="s">
        <v>34</v>
      </c>
      <c r="D251" s="35">
        <v>4.53128418385325E-2</v>
      </c>
      <c r="E251" s="35">
        <v>4.53128418385325E-2</v>
      </c>
      <c r="F251" s="35">
        <v>0.37272785964483779</v>
      </c>
      <c r="G251" s="35">
        <v>0.37272785964483779</v>
      </c>
      <c r="H251" s="35">
        <v>4.4316210794877131E-2</v>
      </c>
    </row>
    <row r="252" spans="2:8" x14ac:dyDescent="0.35">
      <c r="B252" s="6">
        <v>45288</v>
      </c>
      <c r="C252" s="7" t="s">
        <v>34</v>
      </c>
      <c r="D252" s="35">
        <v>1.9628896781700399E-3</v>
      </c>
      <c r="E252" s="35">
        <v>1.9628896781700399E-3</v>
      </c>
      <c r="F252" s="35">
        <v>0.37542237299147119</v>
      </c>
      <c r="G252" s="35">
        <v>0.37542237299147119</v>
      </c>
      <c r="H252" s="35">
        <v>1.9609657274829453E-3</v>
      </c>
    </row>
    <row r="253" spans="2:8" x14ac:dyDescent="0.35">
      <c r="B253" s="6">
        <v>45289</v>
      </c>
      <c r="C253" s="7" t="s">
        <v>34</v>
      </c>
      <c r="D253" s="35">
        <v>-1.6315257189965699E-2</v>
      </c>
      <c r="E253" s="35">
        <v>-1.6315257189965699E-2</v>
      </c>
      <c r="F253" s="35">
        <v>0.35298200323128226</v>
      </c>
      <c r="G253" s="35">
        <v>0.35298200323128226</v>
      </c>
      <c r="H253" s="35">
        <v>-1.6449816586721015E-2</v>
      </c>
    </row>
    <row r="254" spans="2:8" x14ac:dyDescent="0.35">
      <c r="B254" s="6">
        <v>45293</v>
      </c>
      <c r="C254" s="7" t="s">
        <v>34</v>
      </c>
      <c r="D254" s="35">
        <v>3.0700085524610898E-3</v>
      </c>
      <c r="E254" s="35">
        <v>3.0700085524610898E-3</v>
      </c>
      <c r="F254" s="35">
        <v>0.35713566955252829</v>
      </c>
      <c r="G254" s="35">
        <v>0.35713566955252829</v>
      </c>
      <c r="H254" s="35">
        <v>3.0653056989469072E-3</v>
      </c>
    </row>
    <row r="255" spans="2:8" x14ac:dyDescent="0.35">
      <c r="B255" s="6">
        <v>45294</v>
      </c>
      <c r="C255" s="7" t="s">
        <v>34</v>
      </c>
      <c r="D255" s="35">
        <v>-1.2509529E-2</v>
      </c>
      <c r="E255" s="35">
        <v>-1.2509529E-2</v>
      </c>
      <c r="F255" s="35">
        <v>0.3401585415373265</v>
      </c>
      <c r="G255" s="35">
        <v>0.3401585415373265</v>
      </c>
      <c r="H255" s="35">
        <v>-1.2588431873671186E-2</v>
      </c>
    </row>
    <row r="256" spans="2:8" x14ac:dyDescent="0.35">
      <c r="B256" s="6">
        <v>45295</v>
      </c>
      <c r="C256" s="7" t="s">
        <v>34</v>
      </c>
      <c r="D256" s="35">
        <v>2.2800226E-2</v>
      </c>
      <c r="E256" s="35">
        <v>2.2800226E-2</v>
      </c>
      <c r="F256" s="35">
        <v>0.37071445916020784</v>
      </c>
      <c r="G256" s="35">
        <v>0.37071445916020784</v>
      </c>
      <c r="H256" s="35">
        <v>2.254418539693499E-2</v>
      </c>
    </row>
    <row r="257" spans="2:8" x14ac:dyDescent="0.35">
      <c r="B257" s="6">
        <v>45296</v>
      </c>
      <c r="C257" s="7" t="s">
        <v>34</v>
      </c>
      <c r="D257" s="35">
        <v>3.7281810000000001E-3</v>
      </c>
      <c r="E257" s="35">
        <v>3.7281810000000001E-3</v>
      </c>
      <c r="F257" s="35">
        <v>0.37582473076327427</v>
      </c>
      <c r="G257" s="35">
        <v>0.37582473076327427</v>
      </c>
      <c r="H257" s="35">
        <v>3.7212485581385158E-3</v>
      </c>
    </row>
    <row r="258" spans="2:8" x14ac:dyDescent="0.35">
      <c r="B258" s="6">
        <v>45299</v>
      </c>
      <c r="C258" s="7" t="s">
        <v>34</v>
      </c>
      <c r="D258" s="35">
        <v>8.1964190000000006E-2</v>
      </c>
      <c r="E258" s="35">
        <v>8.1964190000000006E-2</v>
      </c>
      <c r="F258" s="35">
        <v>0.48859309040225418</v>
      </c>
      <c r="G258" s="35">
        <v>0.48859309040225418</v>
      </c>
      <c r="H258" s="35">
        <v>7.8778083758301823E-2</v>
      </c>
    </row>
    <row r="259" spans="2:8" x14ac:dyDescent="0.35">
      <c r="B259" s="6">
        <v>45300</v>
      </c>
      <c r="C259" s="7" t="s">
        <v>34</v>
      </c>
      <c r="D259" s="35">
        <v>9.4119465000000002E-4</v>
      </c>
      <c r="E259" s="35">
        <v>9.4119465000000002E-4</v>
      </c>
      <c r="F259" s="35">
        <v>0.48999414625496773</v>
      </c>
      <c r="G259" s="35">
        <v>0.48999414625496773</v>
      </c>
      <c r="H259" s="35">
        <v>9.4075200403761691E-4</v>
      </c>
    </row>
    <row r="260" spans="2:8" x14ac:dyDescent="0.35">
      <c r="B260" s="6">
        <v>45301</v>
      </c>
      <c r="C260" s="7" t="s">
        <v>34</v>
      </c>
      <c r="D260" s="35">
        <v>-4.8764389999999998E-3</v>
      </c>
      <c r="E260" s="35">
        <v>-4.8764389999999998E-3</v>
      </c>
      <c r="F260" s="35">
        <v>0.4827282806903983</v>
      </c>
      <c r="G260" s="35">
        <v>0.4827282806903983</v>
      </c>
      <c r="H260" s="35">
        <v>-4.8883676239316002E-3</v>
      </c>
    </row>
    <row r="261" spans="2:8" x14ac:dyDescent="0.35">
      <c r="B261" s="6">
        <v>45302</v>
      </c>
      <c r="C261" s="7" t="s">
        <v>34</v>
      </c>
      <c r="D261" s="35">
        <v>-3.4923993E-2</v>
      </c>
      <c r="E261" s="35">
        <v>-3.4923993E-2</v>
      </c>
      <c r="F261" s="35">
        <v>0.43094548859466464</v>
      </c>
      <c r="G261" s="35">
        <v>0.43094548859466464</v>
      </c>
      <c r="H261" s="35">
        <v>-3.5548417014280978E-2</v>
      </c>
    </row>
    <row r="262" spans="2:8" x14ac:dyDescent="0.35">
      <c r="B262" s="6">
        <v>45303</v>
      </c>
      <c r="C262" s="7" t="s">
        <v>34</v>
      </c>
      <c r="D262" s="35">
        <v>1.1596644E-2</v>
      </c>
      <c r="E262" s="35">
        <v>1.1596644E-2</v>
      </c>
      <c r="F262" s="35">
        <v>0.44753965400930285</v>
      </c>
      <c r="G262" s="35">
        <v>0.44753965400930285</v>
      </c>
      <c r="H262" s="35">
        <v>1.1529918291364932E-2</v>
      </c>
    </row>
    <row r="263" spans="2:8" x14ac:dyDescent="0.35">
      <c r="B263" s="6">
        <v>45307</v>
      </c>
      <c r="C263" s="7" t="s">
        <v>34</v>
      </c>
      <c r="D263" s="35">
        <v>-9.1488265562447157E-3</v>
      </c>
      <c r="E263" s="35">
        <v>-9.1488265562447157E-3</v>
      </c>
      <c r="F263" s="35">
        <v>0.43429636478148526</v>
      </c>
      <c r="G263" s="35">
        <v>0.43429636478148526</v>
      </c>
      <c r="H263" s="35">
        <v>-9.1909340896998773E-3</v>
      </c>
    </row>
    <row r="264" spans="2:8" x14ac:dyDescent="0.35">
      <c r="B264" s="6">
        <v>45308</v>
      </c>
      <c r="C264" s="7" t="s">
        <v>34</v>
      </c>
      <c r="D264" s="35">
        <v>1.8834228000000001E-2</v>
      </c>
      <c r="E264" s="35">
        <v>1.8834228000000001E-2</v>
      </c>
      <c r="F264" s="35">
        <v>0.46131022953535084</v>
      </c>
      <c r="G264" s="35">
        <v>0.46131022953535084</v>
      </c>
      <c r="H264" s="35">
        <v>1.8659059946726241E-2</v>
      </c>
    </row>
    <row r="265" spans="2:8" x14ac:dyDescent="0.35">
      <c r="B265" s="6">
        <v>45309</v>
      </c>
      <c r="C265" s="7" t="s">
        <v>34</v>
      </c>
      <c r="D265" s="35">
        <v>-1.994547E-2</v>
      </c>
      <c r="E265" s="35">
        <v>-1.994547E-2</v>
      </c>
      <c r="F265" s="35">
        <v>0.43216371019146038</v>
      </c>
      <c r="G265" s="35">
        <v>0.43216371019146038</v>
      </c>
      <c r="H265" s="35">
        <v>-2.0147066008382966E-2</v>
      </c>
    </row>
    <row r="266" spans="2:8" x14ac:dyDescent="0.35">
      <c r="B266" s="6">
        <v>45310</v>
      </c>
      <c r="C266" s="7" t="s">
        <v>34</v>
      </c>
      <c r="D266" s="35">
        <v>8.6161929999999994E-3</v>
      </c>
      <c r="E266" s="35">
        <v>8.6161929999999994E-3</v>
      </c>
      <c r="F266" s="35">
        <v>0.44450350912606607</v>
      </c>
      <c r="G266" s="35">
        <v>0.44450350912606607</v>
      </c>
      <c r="H266" s="35">
        <v>8.5792854592312874E-3</v>
      </c>
    </row>
    <row r="267" spans="2:8" x14ac:dyDescent="0.35">
      <c r="B267" s="6">
        <v>45313</v>
      </c>
      <c r="C267" s="7" t="s">
        <v>34</v>
      </c>
      <c r="D267" s="35">
        <v>3.0948289E-2</v>
      </c>
      <c r="E267" s="35">
        <v>3.0948289E-2</v>
      </c>
      <c r="F267" s="35">
        <v>0.48920842118801366</v>
      </c>
      <c r="G267" s="35">
        <v>0.48920842118801366</v>
      </c>
      <c r="H267" s="35">
        <v>3.0479047617891712E-2</v>
      </c>
    </row>
    <row r="268" spans="2:8" x14ac:dyDescent="0.35">
      <c r="B268" s="6">
        <v>45314</v>
      </c>
      <c r="C268" s="7" t="s">
        <v>34</v>
      </c>
      <c r="D268" s="35">
        <v>1.1689420000000001E-2</v>
      </c>
      <c r="E268" s="35">
        <v>1.1689420000000001E-2</v>
      </c>
      <c r="F268" s="35">
        <v>0.50661640389081719</v>
      </c>
      <c r="G268" s="35">
        <v>0.50661640389081719</v>
      </c>
      <c r="H268" s="35">
        <v>1.1621626529478948E-2</v>
      </c>
    </row>
    <row r="269" spans="2:8" x14ac:dyDescent="0.35">
      <c r="B269" s="6">
        <v>45315</v>
      </c>
      <c r="C269" s="7" t="s">
        <v>34</v>
      </c>
      <c r="D269" s="35">
        <v>-2.164106E-2</v>
      </c>
      <c r="E269" s="35">
        <v>-2.164106E-2</v>
      </c>
      <c r="F269" s="35">
        <v>0.47401162789723172</v>
      </c>
      <c r="G269" s="35">
        <v>0.47401162789723172</v>
      </c>
      <c r="H269" s="35">
        <v>-2.1878661965670614E-2</v>
      </c>
    </row>
    <row r="270" spans="2:8" x14ac:dyDescent="0.35">
      <c r="B270" s="6">
        <v>45316</v>
      </c>
      <c r="C270" s="7" t="s">
        <v>34</v>
      </c>
      <c r="D270" s="35">
        <v>2.2471217000000002E-2</v>
      </c>
      <c r="E270" s="35">
        <v>2.2471217000000002E-2</v>
      </c>
      <c r="F270" s="35">
        <v>0.50713446304823373</v>
      </c>
      <c r="G270" s="35">
        <v>0.50713446304823373</v>
      </c>
      <c r="H270" s="35">
        <v>2.2222458905359659E-2</v>
      </c>
    </row>
    <row r="271" spans="2:8" x14ac:dyDescent="0.35">
      <c r="B271" s="6">
        <v>45317</v>
      </c>
      <c r="C271" s="7" t="s">
        <v>34</v>
      </c>
      <c r="D271" s="35">
        <v>1.1469767000000001E-2</v>
      </c>
      <c r="E271" s="35">
        <v>1.1469767000000001E-2</v>
      </c>
      <c r="F271" s="35">
        <v>0.52442094417706686</v>
      </c>
      <c r="G271" s="35">
        <v>0.52442094417706686</v>
      </c>
      <c r="H271" s="35">
        <v>1.1404487905613381E-2</v>
      </c>
    </row>
    <row r="272" spans="2:8" x14ac:dyDescent="0.35">
      <c r="B272" s="6">
        <v>45320</v>
      </c>
      <c r="C272" s="7" t="s">
        <v>34</v>
      </c>
      <c r="D272" s="35">
        <v>2.9572683999999998E-2</v>
      </c>
      <c r="E272" s="35">
        <v>2.9572683999999998E-2</v>
      </c>
      <c r="F272" s="35">
        <v>0.56950216304219681</v>
      </c>
      <c r="G272" s="35">
        <v>0.56950216304219681</v>
      </c>
      <c r="H272" s="35">
        <v>2.9143846256304048E-2</v>
      </c>
    </row>
    <row r="273" spans="2:8" x14ac:dyDescent="0.35">
      <c r="B273" s="6">
        <v>45321</v>
      </c>
      <c r="C273" s="7" t="s">
        <v>34</v>
      </c>
      <c r="D273" s="35">
        <v>-1.7673442000000001E-2</v>
      </c>
      <c r="E273" s="35">
        <v>-1.7673442000000001E-2</v>
      </c>
      <c r="F273" s="35">
        <v>0.54176365759479594</v>
      </c>
      <c r="G273" s="35">
        <v>0.54176365759479594</v>
      </c>
      <c r="H273" s="35">
        <v>-1.7831482119914203E-2</v>
      </c>
    </row>
    <row r="274" spans="2:8" x14ac:dyDescent="0.35">
      <c r="B274" s="6">
        <v>45322</v>
      </c>
      <c r="C274" s="7" t="s">
        <v>34</v>
      </c>
      <c r="D274" s="35">
        <v>-1.0139759E-2</v>
      </c>
      <c r="E274" s="35">
        <v>-1.0139759E-2</v>
      </c>
      <c r="F274" s="35">
        <v>0.52613054567182616</v>
      </c>
      <c r="G274" s="35">
        <v>0.52613054567182616</v>
      </c>
      <c r="H274" s="35">
        <v>-1.0191516526094291E-2</v>
      </c>
    </row>
    <row r="275" spans="2:8" x14ac:dyDescent="0.35">
      <c r="B275" s="6">
        <v>45323</v>
      </c>
      <c r="C275" s="7" t="s">
        <v>34</v>
      </c>
      <c r="D275" s="35">
        <v>2.9361682E-2</v>
      </c>
      <c r="E275" s="35">
        <v>2.9361682E-2</v>
      </c>
      <c r="F275" s="35">
        <v>0.57094030544432872</v>
      </c>
      <c r="G275" s="35">
        <v>0.57094030544432872</v>
      </c>
      <c r="H275" s="35">
        <v>2.8938883918287899E-2</v>
      </c>
    </row>
    <row r="276" spans="2:8" x14ac:dyDescent="0.35">
      <c r="B276" s="6">
        <v>45324</v>
      </c>
      <c r="C276" s="7" t="s">
        <v>34</v>
      </c>
      <c r="D276" s="35">
        <v>-7.3432284000000004E-3</v>
      </c>
      <c r="E276" s="35">
        <v>-7.3432284000000004E-3</v>
      </c>
      <c r="F276" s="35">
        <v>0.55940453197868534</v>
      </c>
      <c r="G276" s="35">
        <v>0.55940453197868534</v>
      </c>
      <c r="H276" s="35">
        <v>-7.3703226225296991E-3</v>
      </c>
    </row>
    <row r="277" spans="2:8" x14ac:dyDescent="0.35">
      <c r="B277" s="6">
        <v>45327</v>
      </c>
      <c r="C277" s="7" t="s">
        <v>34</v>
      </c>
      <c r="D277" s="35">
        <v>3.8559712000000002E-3</v>
      </c>
      <c r="E277" s="35">
        <v>3.8559712000000002E-3</v>
      </c>
      <c r="F277" s="35">
        <v>0.5654175509431445</v>
      </c>
      <c r="G277" s="35">
        <v>0.5654175509431445</v>
      </c>
      <c r="H277" s="35">
        <v>3.8485559988078611E-3</v>
      </c>
    </row>
    <row r="278" spans="2:8" x14ac:dyDescent="0.35">
      <c r="B278" s="6">
        <v>45328</v>
      </c>
      <c r="C278" s="7" t="s">
        <v>34</v>
      </c>
      <c r="D278" s="35">
        <v>1.0201012000000001E-2</v>
      </c>
      <c r="E278" s="35">
        <v>1.0201012000000001E-2</v>
      </c>
      <c r="F278" s="35">
        <v>0.58138639416532611</v>
      </c>
      <c r="G278" s="35">
        <v>0.58138639416532611</v>
      </c>
      <c r="H278" s="35">
        <v>1.0149332833138756E-2</v>
      </c>
    </row>
    <row r="279" spans="2:8" x14ac:dyDescent="0.35">
      <c r="B279" s="6">
        <v>45329</v>
      </c>
      <c r="C279" s="7" t="s">
        <v>34</v>
      </c>
      <c r="D279" s="35">
        <v>-7.7197473000000004E-3</v>
      </c>
      <c r="E279" s="35">
        <v>-7.7197473000000004E-3</v>
      </c>
      <c r="F279" s="35">
        <v>0.56917849081871164</v>
      </c>
      <c r="G279" s="35">
        <v>0.56917849081871164</v>
      </c>
      <c r="H279" s="35">
        <v>-7.7496987940721754E-3</v>
      </c>
    </row>
    <row r="280" spans="2:8" x14ac:dyDescent="0.35">
      <c r="B280" s="6">
        <v>45330</v>
      </c>
      <c r="C280" s="7" t="s">
        <v>34</v>
      </c>
      <c r="D280" s="35">
        <v>1.2034202000000001E-2</v>
      </c>
      <c r="E280" s="35">
        <v>1.2034202000000001E-2</v>
      </c>
      <c r="F280" s="35">
        <v>0.58806230175127916</v>
      </c>
      <c r="G280" s="35">
        <v>0.58806230175127916</v>
      </c>
      <c r="H280" s="35">
        <v>1.1962366736874586E-2</v>
      </c>
    </row>
    <row r="281" spans="2:8" x14ac:dyDescent="0.35">
      <c r="B281" s="6">
        <v>45331</v>
      </c>
      <c r="C281" s="7" t="s">
        <v>34</v>
      </c>
      <c r="D281" s="35">
        <v>1.5581716000000001E-2</v>
      </c>
      <c r="E281" s="35">
        <v>1.5581716000000001E-2</v>
      </c>
      <c r="F281" s="35">
        <v>0.6128070375274739</v>
      </c>
      <c r="G281" s="35">
        <v>0.6128070375274739</v>
      </c>
      <c r="H281" s="35">
        <v>1.5461567535480886E-2</v>
      </c>
    </row>
    <row r="282" spans="2:8" x14ac:dyDescent="0.35">
      <c r="B282" s="6">
        <v>45334</v>
      </c>
      <c r="C282" s="7" t="s">
        <v>34</v>
      </c>
      <c r="D282" s="35">
        <v>1.3431245E-2</v>
      </c>
      <c r="E282" s="35">
        <v>1.3431245E-2</v>
      </c>
      <c r="F282" s="35">
        <v>0.63446904398622972</v>
      </c>
      <c r="G282" s="35">
        <v>0.63446904398622972</v>
      </c>
      <c r="H282" s="35">
        <v>1.3341845437548114E-2</v>
      </c>
    </row>
    <row r="283" spans="2:8" x14ac:dyDescent="0.35">
      <c r="B283" s="6">
        <v>45335</v>
      </c>
      <c r="C283" s="7" t="s">
        <v>34</v>
      </c>
      <c r="D283" s="35">
        <v>-2.8465964E-2</v>
      </c>
      <c r="E283" s="35">
        <v>-2.8465964E-2</v>
      </c>
      <c r="F283" s="35">
        <v>0.58794230702100325</v>
      </c>
      <c r="G283" s="35">
        <v>0.58794230702100325</v>
      </c>
      <c r="H283" s="35">
        <v>-2.8878976295576821E-2</v>
      </c>
    </row>
    <row r="284" spans="2:8" x14ac:dyDescent="0.35">
      <c r="B284" s="6">
        <v>45336</v>
      </c>
      <c r="C284" s="7" t="s">
        <v>34</v>
      </c>
      <c r="D284" s="35">
        <v>1.0698319E-2</v>
      </c>
      <c r="E284" s="35">
        <v>1.0698319E-2</v>
      </c>
      <c r="F284" s="35">
        <v>0.60493062037510992</v>
      </c>
      <c r="G284" s="35">
        <v>0.60493062037510992</v>
      </c>
      <c r="H284" s="35">
        <v>1.0641496893376574E-2</v>
      </c>
    </row>
    <row r="285" spans="2:8" x14ac:dyDescent="0.35">
      <c r="B285" s="6">
        <v>45337</v>
      </c>
      <c r="C285" s="7" t="s">
        <v>34</v>
      </c>
      <c r="D285" s="35">
        <v>2.0497100000000001E-2</v>
      </c>
      <c r="E285" s="35">
        <v>2.0497100000000001E-2</v>
      </c>
      <c r="F285" s="35">
        <v>0.63782704379400057</v>
      </c>
      <c r="G285" s="35">
        <v>0.63782704379400057</v>
      </c>
      <c r="H285" s="35">
        <v>2.0289861519481697E-2</v>
      </c>
    </row>
    <row r="286" spans="2:8" x14ac:dyDescent="0.35">
      <c r="B286" s="6">
        <v>45338</v>
      </c>
      <c r="C286" s="7" t="s">
        <v>34</v>
      </c>
      <c r="D286" s="35">
        <v>1.7577580999999998E-2</v>
      </c>
      <c r="E286" s="35">
        <v>1.7577580999999998E-2</v>
      </c>
      <c r="F286" s="35">
        <v>0.66661608132028016</v>
      </c>
      <c r="G286" s="35">
        <v>0.66661608132028016</v>
      </c>
      <c r="H286" s="35">
        <v>1.7424882111029157E-2</v>
      </c>
    </row>
    <row r="287" spans="2:8" x14ac:dyDescent="0.35">
      <c r="B287" s="6">
        <v>45342</v>
      </c>
      <c r="C287" s="7" t="s">
        <v>34</v>
      </c>
      <c r="D287" s="35">
        <v>-3.0895711029045203E-2</v>
      </c>
      <c r="E287" s="35">
        <v>-3.0895711029045203E-2</v>
      </c>
      <c r="F287" s="35">
        <v>0.61512479247544904</v>
      </c>
      <c r="G287" s="35">
        <v>0.61512479247544904</v>
      </c>
      <c r="H287" s="35">
        <v>-3.1383047525541545E-2</v>
      </c>
    </row>
    <row r="288" spans="2:8" x14ac:dyDescent="0.35">
      <c r="B288" s="6">
        <v>45343</v>
      </c>
      <c r="C288" s="7" t="s">
        <v>34</v>
      </c>
      <c r="D288" s="35">
        <v>-1.2233212E-2</v>
      </c>
      <c r="E288" s="35">
        <v>-1.2233212E-2</v>
      </c>
      <c r="F288" s="35">
        <v>0.59536662848264088</v>
      </c>
      <c r="G288" s="35">
        <v>0.59536662848264088</v>
      </c>
      <c r="H288" s="35">
        <v>-1.230865363157803E-2</v>
      </c>
    </row>
    <row r="289" spans="2:8" x14ac:dyDescent="0.35">
      <c r="B289" s="6">
        <v>45344</v>
      </c>
      <c r="C289" s="7" t="s">
        <v>34</v>
      </c>
      <c r="D289" s="35">
        <v>1.5723681E-2</v>
      </c>
      <c r="E289" s="35">
        <v>1.5723681E-2</v>
      </c>
      <c r="F289" s="35">
        <v>0.62045166442694755</v>
      </c>
      <c r="G289" s="35">
        <v>0.62045166442694755</v>
      </c>
      <c r="H289" s="35">
        <v>1.560134464673248E-2</v>
      </c>
    </row>
    <row r="290" spans="2:8" x14ac:dyDescent="0.35">
      <c r="B290" s="6">
        <v>45345</v>
      </c>
      <c r="C290" s="7" t="s">
        <v>34</v>
      </c>
      <c r="D290" s="35">
        <v>2.4742792999999999E-2</v>
      </c>
      <c r="E290" s="35">
        <v>2.4742792999999999E-2</v>
      </c>
      <c r="F290" s="35">
        <v>0.66054616452636883</v>
      </c>
      <c r="G290" s="35">
        <v>0.66054616452636883</v>
      </c>
      <c r="H290" s="35">
        <v>2.4441647442716458E-2</v>
      </c>
    </row>
    <row r="291" spans="2:8" x14ac:dyDescent="0.35">
      <c r="B291" s="6">
        <v>45348</v>
      </c>
      <c r="C291" s="7" t="s">
        <v>34</v>
      </c>
      <c r="D291" s="35">
        <v>2.1438306000000001E-2</v>
      </c>
      <c r="E291" s="35">
        <v>2.1438306000000001E-2</v>
      </c>
      <c r="F291" s="35">
        <v>0.69614546132861155</v>
      </c>
      <c r="G291" s="35">
        <v>0.69614546132861155</v>
      </c>
      <c r="H291" s="35">
        <v>2.121173795483991E-2</v>
      </c>
    </row>
    <row r="292" spans="2:8" x14ac:dyDescent="0.35">
      <c r="B292" s="6">
        <v>45349</v>
      </c>
      <c r="C292" s="7" t="s">
        <v>34</v>
      </c>
      <c r="D292" s="35">
        <v>3.7989948000000003E-2</v>
      </c>
      <c r="E292" s="35">
        <v>3.7989948000000003E-2</v>
      </c>
      <c r="F292" s="35">
        <v>0.76058193920492179</v>
      </c>
      <c r="G292" s="35">
        <v>0.76058193920492179</v>
      </c>
      <c r="H292" s="35">
        <v>3.7286100689099565E-2</v>
      </c>
    </row>
    <row r="293" spans="2:8" x14ac:dyDescent="0.35">
      <c r="B293" s="6">
        <v>45350</v>
      </c>
      <c r="C293" s="7" t="s">
        <v>34</v>
      </c>
      <c r="D293" s="35">
        <v>-1.45994E-2</v>
      </c>
      <c r="E293" s="35">
        <v>-1.45994E-2</v>
      </c>
      <c r="F293" s="35">
        <v>0.73487849924169346</v>
      </c>
      <c r="G293" s="35">
        <v>0.73487849924169346</v>
      </c>
      <c r="H293" s="35">
        <v>-1.4707019982668809E-2</v>
      </c>
    </row>
    <row r="294" spans="2:8" x14ac:dyDescent="0.35">
      <c r="B294" s="6">
        <v>45351</v>
      </c>
      <c r="C294" s="7" t="s">
        <v>34</v>
      </c>
      <c r="D294" s="35">
        <v>-1.2225751E-2</v>
      </c>
      <c r="E294" s="35">
        <v>-1.2225751E-2</v>
      </c>
      <c r="F294" s="35">
        <v>0.71366830669471071</v>
      </c>
      <c r="G294" s="35">
        <v>0.71366830669471071</v>
      </c>
      <c r="H294" s="35">
        <v>-1.2301100257732244E-2</v>
      </c>
    </row>
    <row r="295" spans="2:8" x14ac:dyDescent="0.35">
      <c r="B295" s="6">
        <v>45352</v>
      </c>
      <c r="C295" s="7" t="s">
        <v>34</v>
      </c>
      <c r="D295" s="35">
        <v>3.4154700000000003E-2</v>
      </c>
      <c r="E295" s="35">
        <v>3.4154700000000003E-2</v>
      </c>
      <c r="F295" s="35">
        <v>0.77219813360937661</v>
      </c>
      <c r="G295" s="35">
        <v>0.77219813360937661</v>
      </c>
      <c r="H295" s="35">
        <v>3.3584378048110458E-2</v>
      </c>
    </row>
    <row r="296" spans="2:8" x14ac:dyDescent="0.35">
      <c r="B296" s="6">
        <v>45355</v>
      </c>
      <c r="C296" s="7" t="s">
        <v>34</v>
      </c>
      <c r="D296" s="35">
        <v>-1.0320982E-3</v>
      </c>
      <c r="E296" s="35">
        <v>-1.0320982E-3</v>
      </c>
      <c r="F296" s="35">
        <v>0.77036905110563492</v>
      </c>
      <c r="G296" s="35">
        <v>0.77036905110563492</v>
      </c>
      <c r="H296" s="35">
        <v>-1.0326311801040378E-3</v>
      </c>
    </row>
    <row r="297" spans="2:8" x14ac:dyDescent="0.35">
      <c r="B297" s="6">
        <v>45356</v>
      </c>
      <c r="C297" s="7" t="s">
        <v>34</v>
      </c>
      <c r="D297" s="35">
        <v>1.8864775000000001E-3</v>
      </c>
      <c r="E297" s="35">
        <v>1.8864775000000001E-3</v>
      </c>
      <c r="F297" s="35">
        <v>0.77370881248724221</v>
      </c>
      <c r="G297" s="35">
        <v>0.77370881248724221</v>
      </c>
      <c r="H297" s="35">
        <v>1.8847003360232613E-3</v>
      </c>
    </row>
    <row r="298" spans="2:8" x14ac:dyDescent="0.35">
      <c r="B298" s="6">
        <v>45357</v>
      </c>
      <c r="C298" s="7" t="s">
        <v>34</v>
      </c>
      <c r="D298" s="35">
        <v>1.7259672E-2</v>
      </c>
      <c r="E298" s="35">
        <v>1.7259672E-2</v>
      </c>
      <c r="F298" s="35">
        <v>0.80432244481428161</v>
      </c>
      <c r="G298" s="35">
        <v>0.80432244481428161</v>
      </c>
      <c r="H298" s="35">
        <v>1.7112415841682108E-2</v>
      </c>
    </row>
    <row r="299" spans="2:8" x14ac:dyDescent="0.35">
      <c r="B299" s="6">
        <v>45358</v>
      </c>
      <c r="C299" s="7" t="s">
        <v>34</v>
      </c>
      <c r="D299" s="35">
        <v>-8.9198435E-3</v>
      </c>
      <c r="E299" s="35">
        <v>-8.9198435E-3</v>
      </c>
      <c r="F299" s="35">
        <v>0.7882281709830008</v>
      </c>
      <c r="G299" s="35">
        <v>0.7882281709830008</v>
      </c>
      <c r="H299" s="35">
        <v>-8.9598634629793252E-3</v>
      </c>
    </row>
    <row r="300" spans="2:8" x14ac:dyDescent="0.35">
      <c r="B300" s="6">
        <v>45359</v>
      </c>
      <c r="C300" s="7" t="s">
        <v>34</v>
      </c>
      <c r="D300" s="35">
        <v>4.8132269999999998E-3</v>
      </c>
      <c r="E300" s="35">
        <v>4.8132269999999998E-3</v>
      </c>
      <c r="F300" s="35">
        <v>0.79683531909773686</v>
      </c>
      <c r="G300" s="35">
        <v>0.79683531909773686</v>
      </c>
      <c r="H300" s="35">
        <v>4.8016804588492962E-3</v>
      </c>
    </row>
    <row r="301" spans="2:8" x14ac:dyDescent="0.35">
      <c r="B301" s="6">
        <v>45362</v>
      </c>
      <c r="C301" s="7" t="s">
        <v>34</v>
      </c>
      <c r="D301" s="35">
        <v>-3.1861885999999999E-2</v>
      </c>
      <c r="E301" s="35">
        <v>-3.1861885999999999E-2</v>
      </c>
      <c r="F301" s="35">
        <v>0.73958475699987125</v>
      </c>
      <c r="G301" s="35">
        <v>0.73958475699987125</v>
      </c>
      <c r="H301" s="35">
        <v>-3.2380522131281599E-2</v>
      </c>
    </row>
    <row r="302" spans="2:8" x14ac:dyDescent="0.35">
      <c r="B302" s="6">
        <v>45363</v>
      </c>
      <c r="C302" s="7" t="s">
        <v>34</v>
      </c>
      <c r="D302" s="35">
        <v>9.0021479999999997E-3</v>
      </c>
      <c r="E302" s="35">
        <v>9.0021479999999997E-3</v>
      </c>
      <c r="F302" s="35">
        <v>0.75524475644092814</v>
      </c>
      <c r="G302" s="35">
        <v>0.75524475644092814</v>
      </c>
      <c r="H302" s="35">
        <v>8.9618702096419898E-3</v>
      </c>
    </row>
    <row r="303" spans="2:8" x14ac:dyDescent="0.35">
      <c r="B303" s="6">
        <v>45364</v>
      </c>
      <c r="C303" s="7" t="s">
        <v>34</v>
      </c>
      <c r="D303" s="35">
        <v>1.2903797999999999E-2</v>
      </c>
      <c r="E303" s="35">
        <v>1.2903797999999999E-2</v>
      </c>
      <c r="F303" s="35">
        <v>0.77789408021860096</v>
      </c>
      <c r="G303" s="35">
        <v>0.77789408021860096</v>
      </c>
      <c r="H303" s="35">
        <v>1.2821253333360445E-2</v>
      </c>
    </row>
    <row r="304" spans="2:8" x14ac:dyDescent="0.35">
      <c r="B304" s="6">
        <v>45365</v>
      </c>
      <c r="C304" s="7" t="s">
        <v>34</v>
      </c>
      <c r="D304" s="35">
        <v>-4.0348567000000002E-2</v>
      </c>
      <c r="E304" s="35">
        <v>-4.0348567000000002E-2</v>
      </c>
      <c r="F304" s="35">
        <v>0.70615860180399737</v>
      </c>
      <c r="G304" s="35">
        <v>0.70615860180399737</v>
      </c>
      <c r="H304" s="35">
        <v>-4.118515107861645E-2</v>
      </c>
    </row>
    <row r="305" spans="2:8" x14ac:dyDescent="0.35">
      <c r="B305" s="6">
        <v>45366</v>
      </c>
      <c r="C305" s="7" t="s">
        <v>34</v>
      </c>
      <c r="D305" s="35">
        <v>1.9239203999999999E-2</v>
      </c>
      <c r="E305" s="35">
        <v>1.9239203999999999E-2</v>
      </c>
      <c r="F305" s="35">
        <v>0.73898373520045935</v>
      </c>
      <c r="G305" s="35">
        <v>0.73898373520045935</v>
      </c>
      <c r="H305" s="35">
        <v>1.9056470559093222E-2</v>
      </c>
    </row>
    <row r="306" spans="2:8" x14ac:dyDescent="0.35">
      <c r="B306" s="6">
        <v>45369</v>
      </c>
      <c r="C306" s="7" t="s">
        <v>34</v>
      </c>
      <c r="D306" s="35">
        <v>-2.2168457999999999E-2</v>
      </c>
      <c r="E306" s="35">
        <v>-2.2168457999999999E-2</v>
      </c>
      <c r="F306" s="35">
        <v>0.70043314730398487</v>
      </c>
      <c r="G306" s="35">
        <v>0.70043314730398487</v>
      </c>
      <c r="H306" s="35">
        <v>-2.2417871227377144E-2</v>
      </c>
    </row>
    <row r="307" spans="2:8" x14ac:dyDescent="0.35">
      <c r="B307" s="6">
        <v>45370</v>
      </c>
      <c r="C307" s="7" t="s">
        <v>34</v>
      </c>
      <c r="D307" s="35">
        <v>2.5642155E-2</v>
      </c>
      <c r="E307" s="35">
        <v>2.5642155E-2</v>
      </c>
      <c r="F307" s="35">
        <v>0.74403591763429122</v>
      </c>
      <c r="G307" s="35">
        <v>0.74403591763429122</v>
      </c>
      <c r="H307" s="35">
        <v>2.5318909108683528E-2</v>
      </c>
    </row>
    <row r="308" spans="2:8" x14ac:dyDescent="0.35">
      <c r="B308" s="6">
        <v>45371</v>
      </c>
      <c r="C308" s="7" t="s">
        <v>34</v>
      </c>
      <c r="D308" s="35">
        <v>1.8157288000000001E-2</v>
      </c>
      <c r="E308" s="35">
        <v>1.8157288000000001E-2</v>
      </c>
      <c r="F308" s="35">
        <v>0.77570288007312138</v>
      </c>
      <c r="G308" s="35">
        <v>0.77570288007312138</v>
      </c>
      <c r="H308" s="35">
        <v>1.7994413069600885E-2</v>
      </c>
    </row>
    <row r="309" spans="2:8" x14ac:dyDescent="0.35">
      <c r="B309" s="6">
        <v>45372</v>
      </c>
      <c r="C309" s="7" t="s">
        <v>34</v>
      </c>
      <c r="D309" s="35">
        <v>-2.0372040000000001E-2</v>
      </c>
      <c r="E309" s="35">
        <v>-2.0372040000000001E-2</v>
      </c>
      <c r="F309" s="35">
        <v>0.73952818997215641</v>
      </c>
      <c r="G309" s="35">
        <v>0.73952818997215641</v>
      </c>
      <c r="H309" s="35">
        <v>-2.0582412049299212E-2</v>
      </c>
    </row>
    <row r="310" spans="2:8" x14ac:dyDescent="0.35">
      <c r="B310" s="6">
        <v>45373</v>
      </c>
      <c r="C310" s="7" t="s">
        <v>34</v>
      </c>
      <c r="D310" s="35">
        <v>-1.3704773E-2</v>
      </c>
      <c r="E310" s="35">
        <v>-1.3704773E-2</v>
      </c>
      <c r="F310" s="35">
        <v>0.71568835100148731</v>
      </c>
      <c r="G310" s="35">
        <v>0.71568835100148731</v>
      </c>
      <c r="H310" s="35">
        <v>-1.3799550332286518E-2</v>
      </c>
    </row>
    <row r="311" spans="2:8" x14ac:dyDescent="0.35">
      <c r="B311" s="6">
        <v>45376</v>
      </c>
      <c r="C311" s="7" t="s">
        <v>34</v>
      </c>
      <c r="D311" s="35">
        <v>-1.7935136000000001E-2</v>
      </c>
      <c r="E311" s="35">
        <v>-1.7935136000000001E-2</v>
      </c>
      <c r="F311" s="35">
        <v>0.68491724709265989</v>
      </c>
      <c r="G311" s="35">
        <v>0.68491724709265989</v>
      </c>
      <c r="H311" s="35">
        <v>-1.8097919855914555E-2</v>
      </c>
    </row>
    <row r="312" spans="2:8" x14ac:dyDescent="0.35">
      <c r="B312" s="6">
        <v>45377</v>
      </c>
      <c r="C312" s="7" t="s">
        <v>34</v>
      </c>
      <c r="D312" s="35">
        <v>-2.6330519999999999E-4</v>
      </c>
      <c r="E312" s="35">
        <v>-2.6330519999999999E-4</v>
      </c>
      <c r="F312" s="35">
        <v>0.68447359961993071</v>
      </c>
      <c r="G312" s="35">
        <v>0.68447359961993071</v>
      </c>
      <c r="H312" s="35">
        <v>-2.6333987090027846E-4</v>
      </c>
    </row>
    <row r="313" spans="2:8" x14ac:dyDescent="0.35">
      <c r="B313" s="6">
        <v>45378</v>
      </c>
      <c r="C313" s="7" t="s">
        <v>34</v>
      </c>
      <c r="D313" s="35">
        <v>1.5125649E-2</v>
      </c>
      <c r="E313" s="35">
        <v>1.5125649E-2</v>
      </c>
      <c r="F313" s="35">
        <v>0.70995235603754825</v>
      </c>
      <c r="G313" s="35">
        <v>0.70995235603754825</v>
      </c>
      <c r="H313" s="35">
        <v>1.5012396950365298E-2</v>
      </c>
    </row>
    <row r="314" spans="2:8" x14ac:dyDescent="0.35">
      <c r="B314" s="6">
        <v>45379</v>
      </c>
      <c r="C314" s="7" t="s">
        <v>34</v>
      </c>
      <c r="D314" s="35">
        <v>1.9446185480817668E-2</v>
      </c>
      <c r="E314" s="35">
        <v>1.9446185480817668E-2</v>
      </c>
      <c r="F314" s="35">
        <v>0.74320440671641563</v>
      </c>
      <c r="G314" s="35">
        <v>0.74320440671641563</v>
      </c>
      <c r="H314" s="35">
        <v>1.9259524431551236E-2</v>
      </c>
    </row>
    <row r="315" spans="2:8" x14ac:dyDescent="0.35">
      <c r="B315" s="6">
        <v>45383</v>
      </c>
      <c r="C315" s="7" t="s">
        <v>34</v>
      </c>
      <c r="D315" s="35">
        <v>-1.4123146E-2</v>
      </c>
      <c r="E315" s="35">
        <v>-1.4123146E-2</v>
      </c>
      <c r="F315" s="35">
        <v>0.71858487637251645</v>
      </c>
      <c r="G315" s="35">
        <v>0.71858487637251645</v>
      </c>
      <c r="H315" s="35">
        <v>-1.4223826702798616E-2</v>
      </c>
    </row>
    <row r="316" spans="2:8" x14ac:dyDescent="0.35">
      <c r="B316" s="6">
        <v>45384</v>
      </c>
      <c r="C316" s="7" t="s">
        <v>34</v>
      </c>
      <c r="D316" s="35">
        <v>-2.2859971999999999E-2</v>
      </c>
      <c r="E316" s="35">
        <v>-2.2859971999999999E-2</v>
      </c>
      <c r="F316" s="35">
        <v>0.67929807421901733</v>
      </c>
      <c r="G316" s="35">
        <v>0.67929807421901733</v>
      </c>
      <c r="H316" s="35">
        <v>-2.3125312746683096E-2</v>
      </c>
    </row>
    <row r="317" spans="2:8" x14ac:dyDescent="0.35">
      <c r="B317" s="6">
        <v>45385</v>
      </c>
      <c r="C317" s="7" t="s">
        <v>34</v>
      </c>
      <c r="D317" s="35">
        <v>-1.5352049E-3</v>
      </c>
      <c r="E317" s="35">
        <v>-1.5352049E-3</v>
      </c>
      <c r="F317" s="35">
        <v>0.67672000758691575</v>
      </c>
      <c r="G317" s="35">
        <v>0.67672000758691575</v>
      </c>
      <c r="H317" s="35">
        <v>-1.5363845345175678E-3</v>
      </c>
    </row>
    <row r="318" spans="2:8" x14ac:dyDescent="0.35">
      <c r="B318" s="6">
        <v>45386</v>
      </c>
      <c r="C318" s="7" t="s">
        <v>34</v>
      </c>
      <c r="D318" s="35">
        <v>-2.0698844000000001E-2</v>
      </c>
      <c r="E318" s="35">
        <v>-2.0698844000000001E-2</v>
      </c>
      <c r="F318" s="35">
        <v>0.64201384171819531</v>
      </c>
      <c r="G318" s="35">
        <v>0.64201384171819531</v>
      </c>
      <c r="H318" s="35">
        <v>-2.0916067821080367E-2</v>
      </c>
    </row>
    <row r="319" spans="2:8" x14ac:dyDescent="0.35">
      <c r="B319" s="6">
        <v>45387</v>
      </c>
      <c r="C319" s="7" t="s">
        <v>34</v>
      </c>
      <c r="D319" s="35">
        <v>-4.3694579999999997E-3</v>
      </c>
      <c r="E319" s="35">
        <v>-4.3694579999999997E-3</v>
      </c>
      <c r="F319" s="35">
        <v>0.63483913120138902</v>
      </c>
      <c r="G319" s="35">
        <v>0.63483913120138902</v>
      </c>
      <c r="H319" s="35">
        <v>-4.3790319805226867E-3</v>
      </c>
    </row>
    <row r="320" spans="2:8" x14ac:dyDescent="0.35">
      <c r="B320" s="6">
        <v>45390</v>
      </c>
      <c r="C320" s="7" t="s">
        <v>34</v>
      </c>
      <c r="D320" s="35">
        <v>-9.5043390000000005E-3</v>
      </c>
      <c r="E320" s="35">
        <v>-9.5043390000000005E-3</v>
      </c>
      <c r="F320" s="35">
        <v>0.61930106588798539</v>
      </c>
      <c r="G320" s="35">
        <v>0.61930106588798539</v>
      </c>
      <c r="H320" s="35">
        <v>-9.5497934689769658E-3</v>
      </c>
    </row>
    <row r="321" spans="2:8" x14ac:dyDescent="0.35">
      <c r="B321" s="6">
        <v>45391</v>
      </c>
      <c r="C321" s="7" t="s">
        <v>34</v>
      </c>
      <c r="D321" s="35">
        <v>-4.4382839999999998E-3</v>
      </c>
      <c r="E321" s="35">
        <v>-4.4382839999999998E-3</v>
      </c>
      <c r="F321" s="35">
        <v>0.61211414787607188</v>
      </c>
      <c r="G321" s="35">
        <v>0.61211414787607188</v>
      </c>
      <c r="H321" s="35">
        <v>-4.4481624220969844E-3</v>
      </c>
    </row>
    <row r="322" spans="2:8" x14ac:dyDescent="0.35">
      <c r="B322" s="6">
        <v>45392</v>
      </c>
      <c r="C322" s="7" t="s">
        <v>34</v>
      </c>
      <c r="D322" s="35">
        <v>-1.4827426499999999E-2</v>
      </c>
      <c r="E322" s="35">
        <v>-1.4827426499999999E-2</v>
      </c>
      <c r="F322" s="35">
        <v>0.58821064383882926</v>
      </c>
      <c r="G322" s="35">
        <v>0.58821064383882926</v>
      </c>
      <c r="H322" s="35">
        <v>-1.4938451633199951E-2</v>
      </c>
    </row>
    <row r="323" spans="2:8" x14ac:dyDescent="0.35">
      <c r="B323" s="6">
        <v>45393</v>
      </c>
      <c r="C323" s="7" t="s">
        <v>34</v>
      </c>
      <c r="D323" s="35">
        <v>4.3540490000000001E-2</v>
      </c>
      <c r="E323" s="35">
        <v>4.3540490000000001E-2</v>
      </c>
      <c r="F323" s="35">
        <v>0.65736211349478735</v>
      </c>
      <c r="G323" s="35">
        <v>0.65736211349478735</v>
      </c>
      <c r="H323" s="35">
        <v>4.2619248890625509E-2</v>
      </c>
    </row>
    <row r="324" spans="2:8" x14ac:dyDescent="0.35">
      <c r="B324" s="6">
        <v>45394</v>
      </c>
      <c r="C324" s="7" t="s">
        <v>34</v>
      </c>
      <c r="D324" s="35">
        <v>-3.3772530000000002E-2</v>
      </c>
      <c r="E324" s="35">
        <v>-3.3772530000000002E-2</v>
      </c>
      <c r="F324" s="35">
        <v>0.60138880179592125</v>
      </c>
      <c r="G324" s="35">
        <v>0.60138880179592125</v>
      </c>
      <c r="H324" s="35">
        <v>-3.4355996299309487E-2</v>
      </c>
    </row>
    <row r="325" spans="2:8" x14ac:dyDescent="0.35">
      <c r="B325" s="6">
        <v>45397</v>
      </c>
      <c r="C325" s="7" t="s">
        <v>34</v>
      </c>
      <c r="D325" s="35">
        <v>-2.8252297999999999E-2</v>
      </c>
      <c r="E325" s="35">
        <v>-2.8252297999999999E-2</v>
      </c>
      <c r="F325" s="35">
        <v>0.55614588815372001</v>
      </c>
      <c r="G325" s="35">
        <v>0.55614588815372001</v>
      </c>
      <c r="H325" s="35">
        <v>-2.8659074058363418E-2</v>
      </c>
    </row>
    <row r="326" spans="2:8" x14ac:dyDescent="0.35">
      <c r="B326" s="6">
        <v>45398</v>
      </c>
      <c r="C326" s="7" t="s">
        <v>34</v>
      </c>
      <c r="D326" s="35">
        <v>-4.4201765999999998E-3</v>
      </c>
      <c r="E326" s="35">
        <v>-4.4201765999999998E-3</v>
      </c>
      <c r="F326" s="35">
        <v>0.54926744851271669</v>
      </c>
      <c r="G326" s="35">
        <v>0.54926744851271669</v>
      </c>
      <c r="H326" s="35">
        <v>-4.4299744634389345E-3</v>
      </c>
    </row>
    <row r="327" spans="2:8" x14ac:dyDescent="0.35">
      <c r="B327" s="6">
        <v>45399</v>
      </c>
      <c r="C327" s="7" t="s">
        <v>34</v>
      </c>
      <c r="D327" s="35">
        <v>-1.5605565E-2</v>
      </c>
      <c r="E327" s="35">
        <v>-1.5605565E-2</v>
      </c>
      <c r="F327" s="35">
        <v>0.52509025464256731</v>
      </c>
      <c r="G327" s="35">
        <v>0.52509025464256731</v>
      </c>
      <c r="H327" s="35">
        <v>-1.572861367097584E-2</v>
      </c>
    </row>
    <row r="328" spans="2:8" x14ac:dyDescent="0.35">
      <c r="B328" s="6">
        <v>45400</v>
      </c>
      <c r="C328" s="7" t="s">
        <v>34</v>
      </c>
      <c r="D328" s="35">
        <v>-4.7582807E-3</v>
      </c>
      <c r="E328" s="35">
        <v>-4.7582807E-3</v>
      </c>
      <c r="F328" s="35">
        <v>0.51783344711814361</v>
      </c>
      <c r="G328" s="35">
        <v>0.51783344711814361</v>
      </c>
      <c r="H328" s="35">
        <v>-4.7696373573736387E-3</v>
      </c>
    </row>
    <row r="329" spans="2:8" x14ac:dyDescent="0.35">
      <c r="B329" s="6">
        <v>45401</v>
      </c>
      <c r="C329" s="7" t="s">
        <v>34</v>
      </c>
      <c r="D329" s="35">
        <v>-1.7537740999999999E-2</v>
      </c>
      <c r="E329" s="35">
        <v>-1.7537740999999999E-2</v>
      </c>
      <c r="F329" s="35">
        <v>0.49121407724144839</v>
      </c>
      <c r="G329" s="35">
        <v>0.49121407724144839</v>
      </c>
      <c r="H329" s="35">
        <v>-1.769334920808004E-2</v>
      </c>
    </row>
    <row r="330" spans="2:8" x14ac:dyDescent="0.35">
      <c r="B330" s="6">
        <v>45404</v>
      </c>
      <c r="C330" s="7" t="s">
        <v>34</v>
      </c>
      <c r="D330" s="35">
        <v>6.6897229999999999E-3</v>
      </c>
      <c r="E330" s="35">
        <v>6.6897229999999999E-3</v>
      </c>
      <c r="F330" s="35">
        <v>0.50118988635189443</v>
      </c>
      <c r="G330" s="35">
        <v>0.50118988635189443</v>
      </c>
      <c r="H330" s="35">
        <v>6.6674460987683083E-3</v>
      </c>
    </row>
    <row r="331" spans="2:8" x14ac:dyDescent="0.35">
      <c r="B331" s="6">
        <v>45405</v>
      </c>
      <c r="C331" s="7" t="s">
        <v>34</v>
      </c>
      <c r="D331" s="35">
        <v>1.8954118999999998E-2</v>
      </c>
      <c r="E331" s="35">
        <v>1.8954118999999998E-2</v>
      </c>
      <c r="F331" s="35">
        <v>0.52964361809940463</v>
      </c>
      <c r="G331" s="35">
        <v>0.52964361809940463</v>
      </c>
      <c r="H331" s="35">
        <v>1.8776727711697826E-2</v>
      </c>
    </row>
    <row r="332" spans="2:8" x14ac:dyDescent="0.35">
      <c r="B332" s="6">
        <v>45406</v>
      </c>
      <c r="C332" s="7" t="s">
        <v>34</v>
      </c>
      <c r="D332" s="35">
        <v>-1.9053726999999999E-2</v>
      </c>
      <c r="E332" s="35">
        <v>-1.9053726999999999E-2</v>
      </c>
      <c r="F332" s="35">
        <v>0.50049820619284646</v>
      </c>
      <c r="G332" s="35">
        <v>0.50049820619284646</v>
      </c>
      <c r="H332" s="35">
        <v>-1.9237588500670685E-2</v>
      </c>
    </row>
    <row r="333" spans="2:8" x14ac:dyDescent="0.35">
      <c r="B333" s="6">
        <v>45407</v>
      </c>
      <c r="C333" s="7" t="s">
        <v>34</v>
      </c>
      <c r="D333" s="35">
        <v>-9.0897040000000005E-3</v>
      </c>
      <c r="E333" s="35">
        <v>-9.0897040000000005E-3</v>
      </c>
      <c r="F333" s="35">
        <v>0.48685912164602252</v>
      </c>
      <c r="G333" s="35">
        <v>0.48685912164602252</v>
      </c>
      <c r="H333" s="35">
        <v>-9.1312674172230185E-3</v>
      </c>
    </row>
    <row r="334" spans="2:8" x14ac:dyDescent="0.35">
      <c r="B334" s="6">
        <v>45408</v>
      </c>
      <c r="C334" s="7" t="s">
        <v>34</v>
      </c>
      <c r="D334" s="35">
        <v>3.3084682999999997E-2</v>
      </c>
      <c r="E334" s="35">
        <v>3.3084682999999997E-2</v>
      </c>
      <c r="F334" s="35">
        <v>0.5360513843513397</v>
      </c>
      <c r="G334" s="35">
        <v>0.5360513843513397</v>
      </c>
      <c r="H334" s="35">
        <v>3.2549164512263778E-2</v>
      </c>
    </row>
    <row r="335" spans="2:8" x14ac:dyDescent="0.35">
      <c r="B335" s="6">
        <v>45411</v>
      </c>
      <c r="C335" s="7" t="s">
        <v>34</v>
      </c>
      <c r="D335" s="35">
        <v>2.3056048999999999E-2</v>
      </c>
      <c r="E335" s="35">
        <v>2.3056048999999999E-2</v>
      </c>
      <c r="F335" s="35">
        <v>0.57146666033546212</v>
      </c>
      <c r="G335" s="35">
        <v>0.57146666033546212</v>
      </c>
      <c r="H335" s="35">
        <v>2.279427432493987E-2</v>
      </c>
    </row>
    <row r="336" spans="2:8" x14ac:dyDescent="0.35">
      <c r="B336" s="6">
        <v>45412</v>
      </c>
      <c r="C336" s="7" t="s">
        <v>34</v>
      </c>
      <c r="D336" s="35">
        <v>-2.3072427999999999E-4</v>
      </c>
      <c r="E336" s="35">
        <v>-2.3072427999999999E-4</v>
      </c>
      <c r="F336" s="35">
        <v>0.57110408482171215</v>
      </c>
      <c r="G336" s="35">
        <v>0.57110408482171215</v>
      </c>
      <c r="H336" s="35">
        <v>-2.3075090094153985E-4</v>
      </c>
    </row>
    <row r="337" spans="2:8" x14ac:dyDescent="0.35">
      <c r="B337" s="6">
        <v>45413</v>
      </c>
      <c r="C337" s="7" t="s">
        <v>34</v>
      </c>
      <c r="D337" s="35">
        <v>2.1251363999999998E-2</v>
      </c>
      <c r="E337" s="35">
        <v>2.1251363999999998E-2</v>
      </c>
      <c r="F337" s="35">
        <v>0.60449218961014539</v>
      </c>
      <c r="G337" s="35">
        <v>0.60449218961014539</v>
      </c>
      <c r="H337" s="35">
        <v>2.1028702809298753E-2</v>
      </c>
    </row>
    <row r="338" spans="2:8" x14ac:dyDescent="0.35">
      <c r="B338" s="6">
        <v>45414</v>
      </c>
      <c r="C338" s="7" t="s">
        <v>34</v>
      </c>
      <c r="D338" s="35">
        <v>1.1938371E-2</v>
      </c>
      <c r="E338" s="35">
        <v>1.1938371E-2</v>
      </c>
      <c r="F338" s="35">
        <v>0.62364721263631373</v>
      </c>
      <c r="G338" s="35">
        <v>0.62364721263631373</v>
      </c>
      <c r="H338" s="35">
        <v>1.1867670789558018E-2</v>
      </c>
    </row>
    <row r="339" spans="2:8" x14ac:dyDescent="0.35">
      <c r="B339" s="6">
        <v>45415</v>
      </c>
      <c r="C339" s="7" t="s">
        <v>34</v>
      </c>
      <c r="D339" s="35">
        <v>8.2441300000000006E-3</v>
      </c>
      <c r="E339" s="35">
        <v>8.2441300000000006E-3</v>
      </c>
      <c r="F339" s="35">
        <v>0.63703277133142522</v>
      </c>
      <c r="G339" s="35">
        <v>0.63703277133142522</v>
      </c>
      <c r="H339" s="35">
        <v>8.2103327856350161E-3</v>
      </c>
    </row>
    <row r="340" spans="2:8" x14ac:dyDescent="0.35">
      <c r="B340" s="6">
        <v>45418</v>
      </c>
      <c r="C340" s="7" t="s">
        <v>34</v>
      </c>
      <c r="D340" s="35">
        <v>-1.9451965000000002E-2</v>
      </c>
      <c r="E340" s="35">
        <v>-1.9451965000000002E-2</v>
      </c>
      <c r="F340" s="35">
        <v>0.60518926715963328</v>
      </c>
      <c r="G340" s="35">
        <v>0.60518926715963328</v>
      </c>
      <c r="H340" s="35">
        <v>-1.9643644234656414E-2</v>
      </c>
    </row>
    <row r="341" spans="2:8" x14ac:dyDescent="0.35">
      <c r="B341" s="6">
        <v>45419</v>
      </c>
      <c r="C341" s="7" t="s">
        <v>34</v>
      </c>
      <c r="D341" s="35">
        <v>4.1549318E-3</v>
      </c>
      <c r="E341" s="35">
        <v>4.1549318E-3</v>
      </c>
      <c r="F341" s="35">
        <v>0.61185871909077361</v>
      </c>
      <c r="G341" s="35">
        <v>0.61185871909077361</v>
      </c>
      <c r="H341" s="35">
        <v>4.1463239061060048E-3</v>
      </c>
    </row>
    <row r="342" spans="2:8" x14ac:dyDescent="0.35">
      <c r="B342" s="6">
        <v>45420</v>
      </c>
      <c r="C342" s="7" t="s">
        <v>34</v>
      </c>
      <c r="D342" s="35">
        <v>-1.4489814E-2</v>
      </c>
      <c r="E342" s="35">
        <v>-1.4489814E-2</v>
      </c>
      <c r="F342" s="35">
        <v>0.58850318605686991</v>
      </c>
      <c r="G342" s="35">
        <v>0.58850318605686991</v>
      </c>
      <c r="H342" s="35">
        <v>-1.459581657266025E-2</v>
      </c>
    </row>
    <row r="343" spans="2:8" x14ac:dyDescent="0.35">
      <c r="B343" s="6">
        <v>45421</v>
      </c>
      <c r="C343" s="7" t="s">
        <v>34</v>
      </c>
      <c r="D343" s="35">
        <v>-2.1616029999999998E-3</v>
      </c>
      <c r="E343" s="35">
        <v>-2.1616029999999998E-3</v>
      </c>
      <c r="F343" s="35">
        <v>0.58506947280437971</v>
      </c>
      <c r="G343" s="35">
        <v>0.58506947280437971</v>
      </c>
      <c r="H343" s="35">
        <v>-2.1639426359489088E-3</v>
      </c>
    </row>
    <row r="344" spans="2:8" x14ac:dyDescent="0.35">
      <c r="B344" s="6">
        <v>45422</v>
      </c>
      <c r="C344" s="7" t="s">
        <v>34</v>
      </c>
      <c r="D344" s="35">
        <v>-3.2094949999999997E-2</v>
      </c>
      <c r="E344" s="35">
        <v>-3.2094949999999997E-2</v>
      </c>
      <c r="F344" s="35">
        <v>0.53419674732819677</v>
      </c>
      <c r="G344" s="35">
        <v>0.53419674732819677</v>
      </c>
      <c r="H344" s="35">
        <v>-3.2621285359560361E-2</v>
      </c>
    </row>
    <row r="345" spans="2:8" x14ac:dyDescent="0.35">
      <c r="B345" s="6">
        <v>45425</v>
      </c>
      <c r="C345" s="7" t="s">
        <v>34</v>
      </c>
      <c r="D345" s="35">
        <v>-4.7831521999999996E-6</v>
      </c>
      <c r="E345" s="35">
        <v>-4.7831521999999996E-6</v>
      </c>
      <c r="F345" s="35">
        <v>0.53418940903164969</v>
      </c>
      <c r="G345" s="35">
        <v>0.53418940903164969</v>
      </c>
      <c r="H345" s="35">
        <v>-4.7831636392920046E-6</v>
      </c>
    </row>
    <row r="346" spans="2:8" x14ac:dyDescent="0.35">
      <c r="B346" s="6">
        <v>45426</v>
      </c>
      <c r="C346" s="7" t="s">
        <v>34</v>
      </c>
      <c r="D346" s="35">
        <v>1.8057818E-2</v>
      </c>
      <c r="E346" s="35">
        <v>1.8057818E-2</v>
      </c>
      <c r="F346" s="35">
        <v>0.56189352215747079</v>
      </c>
      <c r="G346" s="35">
        <v>0.56189352215747079</v>
      </c>
      <c r="H346" s="35">
        <v>1.7896712193317114E-2</v>
      </c>
    </row>
    <row r="347" spans="2:8" x14ac:dyDescent="0.35">
      <c r="B347" s="6">
        <v>45427</v>
      </c>
      <c r="C347" s="7" t="s">
        <v>34</v>
      </c>
      <c r="D347" s="35">
        <v>1.3639696E-2</v>
      </c>
      <c r="E347" s="35">
        <v>1.3639696E-2</v>
      </c>
      <c r="F347" s="35">
        <v>0.58319727498406793</v>
      </c>
      <c r="G347" s="35">
        <v>0.58319727498406793</v>
      </c>
      <c r="H347" s="35">
        <v>1.3547512635985616E-2</v>
      </c>
    </row>
    <row r="348" spans="2:8" x14ac:dyDescent="0.35">
      <c r="B348" s="6">
        <v>45428</v>
      </c>
      <c r="C348" s="7" t="s">
        <v>34</v>
      </c>
      <c r="D348" s="35">
        <v>8.58219E-3</v>
      </c>
      <c r="E348" s="35">
        <v>8.58219E-3</v>
      </c>
      <c r="F348" s="35">
        <v>0.59678457480546343</v>
      </c>
      <c r="G348" s="35">
        <v>0.59678457480546343</v>
      </c>
      <c r="H348" s="35">
        <v>8.5455723645850943E-3</v>
      </c>
    </row>
    <row r="349" spans="2:8" x14ac:dyDescent="0.35">
      <c r="B349" s="6">
        <v>45429</v>
      </c>
      <c r="C349" s="7" t="s">
        <v>34</v>
      </c>
      <c r="D349" s="35">
        <v>-1.6088043999999999E-2</v>
      </c>
      <c r="E349" s="35">
        <v>-1.6088043999999999E-2</v>
      </c>
      <c r="F349" s="35">
        <v>0.57109543430747189</v>
      </c>
      <c r="G349" s="35">
        <v>0.57109543430747189</v>
      </c>
      <c r="H349" s="35">
        <v>-1.6218861542820859E-2</v>
      </c>
    </row>
    <row r="350" spans="2:8" x14ac:dyDescent="0.35">
      <c r="B350" s="6">
        <v>45432</v>
      </c>
      <c r="C350" s="7" t="s">
        <v>34</v>
      </c>
      <c r="D350" s="35">
        <v>1.2412644999999999E-3</v>
      </c>
      <c r="E350" s="35">
        <v>1.2412644999999999E-3</v>
      </c>
      <c r="F350" s="35">
        <v>0.57304557929618971</v>
      </c>
      <c r="G350" s="35">
        <v>0.57304557929618971</v>
      </c>
      <c r="H350" s="35">
        <v>1.2404947681152025E-3</v>
      </c>
    </row>
    <row r="351" spans="2:8" x14ac:dyDescent="0.35">
      <c r="B351" s="6">
        <v>45433</v>
      </c>
      <c r="C351" s="7" t="s">
        <v>34</v>
      </c>
      <c r="D351" s="35">
        <v>-2.32464E-2</v>
      </c>
      <c r="E351" s="35">
        <v>-2.32464E-2</v>
      </c>
      <c r="F351" s="35">
        <v>0.53647793254163867</v>
      </c>
      <c r="G351" s="35">
        <v>0.53647793254163867</v>
      </c>
      <c r="H351" s="35">
        <v>-2.3520859361402163E-2</v>
      </c>
    </row>
    <row r="352" spans="2:8" x14ac:dyDescent="0.35">
      <c r="B352" s="6">
        <v>45434</v>
      </c>
      <c r="C352" s="7" t="s">
        <v>34</v>
      </c>
      <c r="D352" s="35">
        <v>-9.4325299999999997E-3</v>
      </c>
      <c r="E352" s="35">
        <v>-9.4325299999999997E-3</v>
      </c>
      <c r="F352" s="35">
        <v>0.52198505834860165</v>
      </c>
      <c r="G352" s="35">
        <v>0.52198505834860165</v>
      </c>
      <c r="H352" s="35">
        <v>-9.4772980508271813E-3</v>
      </c>
    </row>
    <row r="353" spans="2:8" x14ac:dyDescent="0.35">
      <c r="B353" s="6">
        <v>45435</v>
      </c>
      <c r="C353" s="7" t="s">
        <v>34</v>
      </c>
      <c r="D353" s="35">
        <v>-2.3477945E-2</v>
      </c>
      <c r="E353" s="35">
        <v>-2.3477945E-2</v>
      </c>
      <c r="F353" s="35">
        <v>0.48625197685787147</v>
      </c>
      <c r="G353" s="35">
        <v>0.48625197685787147</v>
      </c>
      <c r="H353" s="35">
        <v>-2.3757943154968996E-2</v>
      </c>
    </row>
    <row r="354" spans="2:8" x14ac:dyDescent="0.35">
      <c r="B354" s="6">
        <v>45436</v>
      </c>
      <c r="C354" s="7" t="s">
        <v>34</v>
      </c>
      <c r="D354" s="35">
        <v>7.1760686000000001E-3</v>
      </c>
      <c r="E354" s="35">
        <v>7.1760686000000001E-3</v>
      </c>
      <c r="F354" s="35">
        <v>0.4969174230006892</v>
      </c>
      <c r="G354" s="35">
        <v>0.4969174230006892</v>
      </c>
      <c r="H354" s="35">
        <v>7.1504431400640422E-3</v>
      </c>
    </row>
    <row r="355" spans="2:8" x14ac:dyDescent="0.35">
      <c r="B355" s="6">
        <v>45440</v>
      </c>
      <c r="C355" s="7" t="s">
        <v>34</v>
      </c>
      <c r="D355" s="35">
        <v>-2.9730871051326657E-3</v>
      </c>
      <c r="E355" s="35">
        <v>-2.9730871051326657E-3</v>
      </c>
      <c r="F355" s="35">
        <v>0.49246695711291744</v>
      </c>
      <c r="G355" s="35">
        <v>0.49246695711291744</v>
      </c>
      <c r="H355" s="35">
        <v>-2.9775155081300246E-3</v>
      </c>
    </row>
    <row r="356" spans="2:8" x14ac:dyDescent="0.35">
      <c r="B356" s="6">
        <v>45441</v>
      </c>
      <c r="C356" s="7" t="s">
        <v>34</v>
      </c>
      <c r="D356" s="35">
        <v>-1.5984135E-2</v>
      </c>
      <c r="E356" s="35">
        <v>-1.5984135E-2</v>
      </c>
      <c r="F356" s="35">
        <v>0.46861116378738532</v>
      </c>
      <c r="G356" s="35">
        <v>0.46861116378738532</v>
      </c>
      <c r="H356" s="35">
        <v>-1.6113259092377551E-2</v>
      </c>
    </row>
    <row r="357" spans="2:8" x14ac:dyDescent="0.35">
      <c r="B357" s="6">
        <v>45442</v>
      </c>
      <c r="C357" s="7" t="s">
        <v>34</v>
      </c>
      <c r="D357" s="35">
        <v>1.4818068E-2</v>
      </c>
      <c r="E357" s="35">
        <v>1.4818068E-2</v>
      </c>
      <c r="F357" s="35">
        <v>0.49037314387794595</v>
      </c>
      <c r="G357" s="35">
        <v>0.49037314387794595</v>
      </c>
      <c r="H357" s="35">
        <v>1.4709353077987972E-2</v>
      </c>
    </row>
    <row r="358" spans="2:8" x14ac:dyDescent="0.35">
      <c r="B358" s="6">
        <v>45443</v>
      </c>
      <c r="C358" s="7" t="s">
        <v>34</v>
      </c>
      <c r="D358" s="35">
        <v>7.3224696999999997E-3</v>
      </c>
      <c r="E358" s="35">
        <v>7.3224696999999997E-3</v>
      </c>
      <c r="F358" s="35">
        <v>0.50128635606568595</v>
      </c>
      <c r="G358" s="35">
        <v>0.50128635606568595</v>
      </c>
      <c r="H358" s="35">
        <v>7.2957905776267068E-3</v>
      </c>
    </row>
    <row r="359" spans="2:8" x14ac:dyDescent="0.35">
      <c r="B359" s="6">
        <v>45446</v>
      </c>
      <c r="C359" s="7" t="s">
        <v>34</v>
      </c>
      <c r="D359" s="35">
        <v>2.1114987000000001E-3</v>
      </c>
      <c r="E359" s="35">
        <v>2.1114987000000001E-3</v>
      </c>
      <c r="F359" s="35">
        <v>0.50445632025484621</v>
      </c>
      <c r="G359" s="35">
        <v>0.50445632025484621</v>
      </c>
      <c r="H359" s="35">
        <v>2.1092726196463088E-3</v>
      </c>
    </row>
    <row r="360" spans="2:8" x14ac:dyDescent="0.35">
      <c r="B360" s="6">
        <v>45447</v>
      </c>
      <c r="C360" s="7" t="s">
        <v>34</v>
      </c>
      <c r="D360" s="35">
        <v>-2.3059867000000001E-2</v>
      </c>
      <c r="E360" s="35">
        <v>-2.3059867000000001E-2</v>
      </c>
      <c r="F360" s="35">
        <v>0.46976375760246003</v>
      </c>
      <c r="G360" s="35">
        <v>0.46976375760246003</v>
      </c>
      <c r="H360" s="35">
        <v>-2.3329905173019305E-2</v>
      </c>
    </row>
    <row r="361" spans="2:8" x14ac:dyDescent="0.35">
      <c r="B361" s="6">
        <v>45448</v>
      </c>
      <c r="C361" s="7" t="s">
        <v>34</v>
      </c>
      <c r="D361" s="35">
        <v>2.4087094E-2</v>
      </c>
      <c r="E361" s="35">
        <v>2.4087094E-2</v>
      </c>
      <c r="F361" s="35">
        <v>0.50516609538962376</v>
      </c>
      <c r="G361" s="35">
        <v>0.50516609538962376</v>
      </c>
      <c r="H361" s="35">
        <v>2.3801575734912282E-2</v>
      </c>
    </row>
    <row r="362" spans="2:8" x14ac:dyDescent="0.35">
      <c r="B362" s="6">
        <v>45449</v>
      </c>
      <c r="C362" s="7" t="s">
        <v>34</v>
      </c>
      <c r="D362" s="35">
        <v>-3.0680374999999999E-2</v>
      </c>
      <c r="E362" s="35">
        <v>-3.0680374999999999E-2</v>
      </c>
      <c r="F362" s="35">
        <v>0.45898703514578432</v>
      </c>
      <c r="G362" s="35">
        <v>0.45898703514578432</v>
      </c>
      <c r="H362" s="35">
        <v>-3.116087111884433E-2</v>
      </c>
    </row>
    <row r="363" spans="2:8" x14ac:dyDescent="0.35">
      <c r="B363" s="6">
        <v>45450</v>
      </c>
      <c r="C363" s="7" t="s">
        <v>34</v>
      </c>
      <c r="D363" s="35">
        <v>-1.8056763E-2</v>
      </c>
      <c r="E363" s="35">
        <v>-1.8056763E-2</v>
      </c>
      <c r="F363" s="35">
        <v>0.43264245203208418</v>
      </c>
      <c r="G363" s="35">
        <v>0.43264245203208418</v>
      </c>
      <c r="H363" s="35">
        <v>-1.8221775760677496E-2</v>
      </c>
    </row>
    <row r="364" spans="2:8" x14ac:dyDescent="0.35">
      <c r="B364" s="6">
        <v>45453</v>
      </c>
      <c r="C364" s="7" t="s">
        <v>34</v>
      </c>
      <c r="D364" s="35">
        <v>2.3719175E-3</v>
      </c>
      <c r="E364" s="35">
        <v>2.3719175E-3</v>
      </c>
      <c r="F364" s="35">
        <v>0.43604056173530203</v>
      </c>
      <c r="G364" s="35">
        <v>0.43604056173530203</v>
      </c>
      <c r="H364" s="35">
        <v>2.3691089439188541E-3</v>
      </c>
    </row>
    <row r="365" spans="2:8" x14ac:dyDescent="0.35">
      <c r="B365" s="6">
        <v>45454</v>
      </c>
      <c r="C365" s="7" t="s">
        <v>34</v>
      </c>
      <c r="D365" s="35">
        <v>6.1006057000000001E-3</v>
      </c>
      <c r="E365" s="35">
        <v>6.1006057000000001E-3</v>
      </c>
      <c r="F365" s="35">
        <v>0.44480127897165556</v>
      </c>
      <c r="G365" s="35">
        <v>0.44480127897165556</v>
      </c>
      <c r="H365" s="35">
        <v>6.082072343318117E-3</v>
      </c>
    </row>
    <row r="366" spans="2:8" x14ac:dyDescent="0.35">
      <c r="B366" s="6">
        <v>45455</v>
      </c>
      <c r="C366" s="7" t="s">
        <v>34</v>
      </c>
      <c r="D366" s="35">
        <v>5.1716295999999998E-3</v>
      </c>
      <c r="E366" s="35">
        <v>5.1716295999999998E-3</v>
      </c>
      <c r="F366" s="35">
        <v>0.45227325603210322</v>
      </c>
      <c r="G366" s="35">
        <v>0.45227325603210322</v>
      </c>
      <c r="H366" s="35">
        <v>5.1583026519185244E-3</v>
      </c>
    </row>
    <row r="367" spans="2:8" x14ac:dyDescent="0.35">
      <c r="B367" s="6">
        <v>45456</v>
      </c>
      <c r="C367" s="7" t="s">
        <v>34</v>
      </c>
      <c r="D367" s="35">
        <v>-1.3740415000000001E-3</v>
      </c>
      <c r="E367" s="35">
        <v>-1.3740415000000001E-3</v>
      </c>
      <c r="F367" s="35">
        <v>0.45027777230897503</v>
      </c>
      <c r="G367" s="35">
        <v>0.45027777230897503</v>
      </c>
      <c r="H367" s="35">
        <v>-1.3749863606395041E-3</v>
      </c>
    </row>
    <row r="368" spans="2:8" x14ac:dyDescent="0.35">
      <c r="B368" s="6">
        <v>45457</v>
      </c>
      <c r="C368" s="7" t="s">
        <v>34</v>
      </c>
      <c r="D368" s="35">
        <v>-1.6424267999999999E-2</v>
      </c>
      <c r="E368" s="35">
        <v>-1.6424267999999999E-2</v>
      </c>
      <c r="F368" s="35">
        <v>0.42645802150212941</v>
      </c>
      <c r="G368" s="35">
        <v>0.42645802150212941</v>
      </c>
      <c r="H368" s="35">
        <v>-1.6560641575624761E-2</v>
      </c>
    </row>
    <row r="369" spans="2:8" x14ac:dyDescent="0.35">
      <c r="B369" s="6">
        <v>45460</v>
      </c>
      <c r="C369" s="7" t="s">
        <v>34</v>
      </c>
      <c r="D369" s="35">
        <v>-4.3705071999999998E-2</v>
      </c>
      <c r="E369" s="35">
        <v>-4.3705071999999998E-2</v>
      </c>
      <c r="F369" s="35">
        <v>0.36411457096740141</v>
      </c>
      <c r="G369" s="35">
        <v>0.36411457096740141</v>
      </c>
      <c r="H369" s="35">
        <v>-4.4688911415671093E-2</v>
      </c>
    </row>
    <row r="370" spans="2:8" x14ac:dyDescent="0.35">
      <c r="B370" s="6">
        <v>45461</v>
      </c>
      <c r="C370" s="7" t="s">
        <v>34</v>
      </c>
      <c r="D370" s="35">
        <v>-2.4006494999999999E-2</v>
      </c>
      <c r="E370" s="35">
        <v>-2.4006494999999999E-2</v>
      </c>
      <c r="F370" s="35">
        <v>0.3313669613400454</v>
      </c>
      <c r="G370" s="35">
        <v>0.3313669613400454</v>
      </c>
      <c r="H370" s="35">
        <v>-2.4299347304301982E-2</v>
      </c>
    </row>
    <row r="371" spans="2:8" x14ac:dyDescent="0.35">
      <c r="B371" s="6">
        <v>45463</v>
      </c>
      <c r="C371" s="7" t="s">
        <v>34</v>
      </c>
      <c r="D371" s="35">
        <v>1.0570993042159804E-2</v>
      </c>
      <c r="E371" s="35">
        <v>1.0570993042159804E-2</v>
      </c>
      <c r="F371" s="35">
        <v>0.34544083222493249</v>
      </c>
      <c r="G371" s="35">
        <v>0.34544083222493249</v>
      </c>
      <c r="H371" s="35">
        <v>1.0515510754617029E-2</v>
      </c>
    </row>
    <row r="372" spans="2:8" x14ac:dyDescent="0.35">
      <c r="B372" s="6">
        <v>45464</v>
      </c>
      <c r="C372" s="7" t="s">
        <v>34</v>
      </c>
      <c r="D372" s="35">
        <v>6.0442739999999997E-3</v>
      </c>
      <c r="E372" s="35">
        <v>6.0442739999999997E-3</v>
      </c>
      <c r="F372" s="35">
        <v>0.353573045265688</v>
      </c>
      <c r="G372" s="35">
        <v>0.353573045265688</v>
      </c>
      <c r="H372" s="35">
        <v>6.0260806494962654E-3</v>
      </c>
    </row>
    <row r="373" spans="2:8" x14ac:dyDescent="0.35">
      <c r="B373" s="6">
        <v>45467</v>
      </c>
      <c r="C373" s="7" t="s">
        <v>34</v>
      </c>
      <c r="D373" s="35">
        <v>-4.3397640000000001E-4</v>
      </c>
      <c r="E373" s="35">
        <v>-4.3397640000000001E-4</v>
      </c>
      <c r="F373" s="35">
        <v>0.35298562650836662</v>
      </c>
      <c r="G373" s="35">
        <v>0.35298562650836662</v>
      </c>
      <c r="H373" s="35">
        <v>-4.3407059501111899E-4</v>
      </c>
    </row>
    <row r="374" spans="2:8" x14ac:dyDescent="0.35">
      <c r="B374" s="6">
        <v>45468</v>
      </c>
      <c r="C374" s="7" t="s">
        <v>34</v>
      </c>
      <c r="D374" s="35">
        <v>-1.7476990000000001E-2</v>
      </c>
      <c r="E374" s="35">
        <v>-1.7476990000000001E-2</v>
      </c>
      <c r="F374" s="35">
        <v>0.3293395102437362</v>
      </c>
      <c r="G374" s="35">
        <v>0.3293395102437362</v>
      </c>
      <c r="H374" s="35">
        <v>-1.7631515665632876E-2</v>
      </c>
    </row>
    <row r="375" spans="2:8" x14ac:dyDescent="0.35">
      <c r="B375" s="6">
        <v>45469</v>
      </c>
      <c r="C375" s="7" t="s">
        <v>34</v>
      </c>
      <c r="D375" s="35">
        <v>-7.9393899999999993E-3</v>
      </c>
      <c r="E375" s="35">
        <v>-7.9393899999999993E-3</v>
      </c>
      <c r="F375" s="35">
        <v>0.31878536542950209</v>
      </c>
      <c r="G375" s="35">
        <v>0.31878536542950209</v>
      </c>
      <c r="H375" s="35">
        <v>-7.9710747733967337E-3</v>
      </c>
    </row>
    <row r="376" spans="2:8" x14ac:dyDescent="0.35">
      <c r="B376" s="6">
        <v>45470</v>
      </c>
      <c r="C376" s="7" t="s">
        <v>34</v>
      </c>
      <c r="D376" s="35">
        <v>1.7023575999999999E-2</v>
      </c>
      <c r="E376" s="35">
        <v>1.7023575999999999E-2</v>
      </c>
      <c r="F376" s="35">
        <v>0.34123580832557887</v>
      </c>
      <c r="G376" s="35">
        <v>0.34123580832557887</v>
      </c>
      <c r="H376" s="35">
        <v>1.688029870529785E-2</v>
      </c>
    </row>
    <row r="377" spans="2:8" x14ac:dyDescent="0.35">
      <c r="B377" s="6">
        <v>45471</v>
      </c>
      <c r="C377" s="7" t="s">
        <v>34</v>
      </c>
      <c r="D377" s="35">
        <v>6.6550486000000004E-3</v>
      </c>
      <c r="E377" s="35">
        <v>6.6550486000000004E-3</v>
      </c>
      <c r="F377" s="35">
        <v>0.35016179781404611</v>
      </c>
      <c r="G377" s="35">
        <v>0.35016179781404611</v>
      </c>
      <c r="H377" s="35">
        <v>6.6330015262415602E-3</v>
      </c>
    </row>
    <row r="378" spans="2:8" x14ac:dyDescent="0.35">
      <c r="B378" s="6">
        <v>45474</v>
      </c>
      <c r="C378" s="7" t="s">
        <v>34</v>
      </c>
      <c r="D378" s="35">
        <v>5.7488866000000001E-3</v>
      </c>
      <c r="E378" s="35">
        <v>5.7488866000000001E-3</v>
      </c>
      <c r="F378" s="35">
        <v>0.35792372488133117</v>
      </c>
      <c r="G378" s="35">
        <v>0.35792372488133117</v>
      </c>
      <c r="H378" s="35">
        <v>5.7324248125963989E-3</v>
      </c>
    </row>
    <row r="379" spans="2:8" x14ac:dyDescent="0.35">
      <c r="B379" s="6">
        <v>45475</v>
      </c>
      <c r="C379" s="7" t="s">
        <v>34</v>
      </c>
      <c r="D379" s="35">
        <v>-2.5862003000000001E-2</v>
      </c>
      <c r="E379" s="35">
        <v>-2.5862003000000001E-2</v>
      </c>
      <c r="F379" s="35">
        <v>0.322805097434679</v>
      </c>
      <c r="G379" s="35">
        <v>0.322805097434679</v>
      </c>
      <c r="H379" s="35">
        <v>-2.6202304677212178E-2</v>
      </c>
    </row>
    <row r="380" spans="2:8" x14ac:dyDescent="0.35">
      <c r="B380" s="6">
        <v>45476</v>
      </c>
      <c r="C380" s="7" t="s">
        <v>34</v>
      </c>
      <c r="D380" s="35">
        <v>1.9447586E-3</v>
      </c>
      <c r="E380" s="35">
        <v>1.9447586E-3</v>
      </c>
      <c r="F380" s="35">
        <v>0.32537763402403908</v>
      </c>
      <c r="G380" s="35">
        <v>0.32537763402403908</v>
      </c>
      <c r="H380" s="35">
        <v>1.9428700051715693E-3</v>
      </c>
    </row>
    <row r="381" spans="2:8" x14ac:dyDescent="0.35">
      <c r="B381" s="6">
        <v>45478</v>
      </c>
      <c r="C381" s="7" t="s">
        <v>34</v>
      </c>
      <c r="D381" s="35">
        <v>3.6344005975039728E-3</v>
      </c>
      <c r="E381" s="35">
        <v>3.6344005975039728E-3</v>
      </c>
      <c r="F381" s="35">
        <v>0.33019458728905438</v>
      </c>
      <c r="G381" s="35">
        <v>0.33019458728905438</v>
      </c>
      <c r="H381" s="35">
        <v>3.6278121222658543E-3</v>
      </c>
    </row>
    <row r="382" spans="2:8" x14ac:dyDescent="0.35">
      <c r="B382" s="6">
        <v>45481</v>
      </c>
      <c r="C382" s="7" t="s">
        <v>34</v>
      </c>
      <c r="D382" s="35">
        <v>9.9421879999999994E-3</v>
      </c>
      <c r="E382" s="35">
        <v>9.9421879999999994E-3</v>
      </c>
      <c r="F382" s="35">
        <v>0.3434196319524645</v>
      </c>
      <c r="G382" s="35">
        <v>0.3434196319524645</v>
      </c>
      <c r="H382" s="35">
        <v>9.8930896109589491E-3</v>
      </c>
    </row>
    <row r="383" spans="2:8" x14ac:dyDescent="0.35">
      <c r="B383" s="6">
        <v>45482</v>
      </c>
      <c r="C383" s="7" t="s">
        <v>34</v>
      </c>
      <c r="D383" s="35">
        <v>8.9652849999999999E-3</v>
      </c>
      <c r="E383" s="35">
        <v>8.9652849999999999E-3</v>
      </c>
      <c r="F383" s="35">
        <v>0.35546377182751332</v>
      </c>
      <c r="G383" s="35">
        <v>0.35546377182751332</v>
      </c>
      <c r="H383" s="35">
        <v>8.9253354277606476E-3</v>
      </c>
    </row>
    <row r="384" spans="2:8" x14ac:dyDescent="0.35">
      <c r="B384" s="6">
        <v>45483</v>
      </c>
      <c r="C384" s="7" t="s">
        <v>34</v>
      </c>
      <c r="D384" s="35">
        <v>1.1429784E-2</v>
      </c>
      <c r="E384" s="35">
        <v>1.1429784E-2</v>
      </c>
      <c r="F384" s="35">
        <v>0.37095642995932709</v>
      </c>
      <c r="G384" s="35">
        <v>0.37095642995932709</v>
      </c>
      <c r="H384" s="35">
        <v>1.1364957519652883E-2</v>
      </c>
    </row>
    <row r="385" spans="2:8" x14ac:dyDescent="0.35">
      <c r="B385" s="6">
        <v>45484</v>
      </c>
      <c r="C385" s="7" t="s">
        <v>34</v>
      </c>
      <c r="D385" s="35">
        <v>2.7703047000000001E-2</v>
      </c>
      <c r="E385" s="35">
        <v>2.7703047000000001E-2</v>
      </c>
      <c r="F385" s="35">
        <v>0.40893610037344241</v>
      </c>
      <c r="G385" s="35">
        <v>0.40893610037344241</v>
      </c>
      <c r="H385" s="35">
        <v>2.7326260517512472E-2</v>
      </c>
    </row>
    <row r="386" spans="2:8" x14ac:dyDescent="0.35">
      <c r="B386" s="6">
        <v>45485</v>
      </c>
      <c r="C386" s="7" t="s">
        <v>34</v>
      </c>
      <c r="D386" s="35">
        <v>1.16611505E-2</v>
      </c>
      <c r="E386" s="35">
        <v>1.16611505E-2</v>
      </c>
      <c r="F386" s="35">
        <v>0.42536591628478004</v>
      </c>
      <c r="G386" s="35">
        <v>0.42536591628478004</v>
      </c>
      <c r="H386" s="35">
        <v>1.1593683274944599E-2</v>
      </c>
    </row>
    <row r="387" spans="2:8" x14ac:dyDescent="0.35">
      <c r="B387" s="6">
        <v>45488</v>
      </c>
      <c r="C387" s="7" t="s">
        <v>34</v>
      </c>
      <c r="D387" s="35">
        <v>1.2692811999999999E-2</v>
      </c>
      <c r="E387" s="35">
        <v>1.2692811999999999E-2</v>
      </c>
      <c r="F387" s="35">
        <v>0.4434578178913906</v>
      </c>
      <c r="G387" s="35">
        <v>0.4434578178913906</v>
      </c>
      <c r="H387" s="35">
        <v>1.2612933473699019E-2</v>
      </c>
    </row>
    <row r="388" spans="2:8" x14ac:dyDescent="0.35">
      <c r="B388" s="6">
        <v>45489</v>
      </c>
      <c r="C388" s="7" t="s">
        <v>34</v>
      </c>
      <c r="D388" s="35">
        <v>2.0018296000000001E-2</v>
      </c>
      <c r="E388" s="35">
        <v>2.0018296000000001E-2</v>
      </c>
      <c r="F388" s="35">
        <v>0.47235338375345437</v>
      </c>
      <c r="G388" s="35">
        <v>0.47235338375345437</v>
      </c>
      <c r="H388" s="35">
        <v>1.9820564390210977E-2</v>
      </c>
    </row>
    <row r="389" spans="2:8" x14ac:dyDescent="0.35">
      <c r="B389" s="6">
        <v>45490</v>
      </c>
      <c r="C389" s="7" t="s">
        <v>34</v>
      </c>
      <c r="D389" s="35">
        <v>-2.7098212E-2</v>
      </c>
      <c r="E389" s="35">
        <v>-2.7098212E-2</v>
      </c>
      <c r="F389" s="35">
        <v>0.43245523962158594</v>
      </c>
      <c r="G389" s="35">
        <v>0.43245523962158594</v>
      </c>
      <c r="H389" s="35">
        <v>-2.7472139197941784E-2</v>
      </c>
    </row>
    <row r="390" spans="2:8" x14ac:dyDescent="0.35">
      <c r="B390" s="6">
        <v>45491</v>
      </c>
      <c r="C390" s="7" t="s">
        <v>34</v>
      </c>
      <c r="D390" s="35">
        <v>-2.0562069999999998E-2</v>
      </c>
      <c r="E390" s="35">
        <v>-2.0562069999999998E-2</v>
      </c>
      <c r="F390" s="35">
        <v>0.40300099471262008</v>
      </c>
      <c r="G390" s="35">
        <v>0.40300099471262008</v>
      </c>
      <c r="H390" s="35">
        <v>-2.07764126712956E-2</v>
      </c>
    </row>
    <row r="391" spans="2:8" x14ac:dyDescent="0.35">
      <c r="B391" s="6">
        <v>45492</v>
      </c>
      <c r="C391" s="7" t="s">
        <v>34</v>
      </c>
      <c r="D391" s="35">
        <v>9.8037860000000001E-3</v>
      </c>
      <c r="E391" s="35">
        <v>9.8037860000000001E-3</v>
      </c>
      <c r="F391" s="35">
        <v>0.41675571622256968</v>
      </c>
      <c r="G391" s="35">
        <v>0.41675571622256968</v>
      </c>
      <c r="H391" s="35">
        <v>9.7560406929284738E-3</v>
      </c>
    </row>
    <row r="392" spans="2:8" x14ac:dyDescent="0.35">
      <c r="B392" s="6">
        <v>45495</v>
      </c>
      <c r="C392" s="7" t="s">
        <v>34</v>
      </c>
      <c r="D392" s="35">
        <v>1.8160592999999999E-2</v>
      </c>
      <c r="E392" s="35">
        <v>1.8160592999999999E-2</v>
      </c>
      <c r="F392" s="35">
        <v>0.4424848401653112</v>
      </c>
      <c r="G392" s="35">
        <v>0.4424848401653112</v>
      </c>
      <c r="H392" s="35">
        <v>1.7997659124679748E-2</v>
      </c>
    </row>
    <row r="393" spans="2:8" x14ac:dyDescent="0.35">
      <c r="B393" s="6">
        <v>45496</v>
      </c>
      <c r="C393" s="7" t="s">
        <v>34</v>
      </c>
      <c r="D393" s="35">
        <v>1.7206643000000001E-2</v>
      </c>
      <c r="E393" s="35">
        <v>1.7206643000000001E-2</v>
      </c>
      <c r="F393" s="35">
        <v>0.46730516184294779</v>
      </c>
      <c r="G393" s="35">
        <v>0.46730516184294779</v>
      </c>
      <c r="H393" s="35">
        <v>1.7060285216936869E-2</v>
      </c>
    </row>
    <row r="394" spans="2:8" x14ac:dyDescent="0.35">
      <c r="B394" s="6">
        <v>45497</v>
      </c>
      <c r="C394" s="7" t="s">
        <v>34</v>
      </c>
      <c r="D394" s="35">
        <v>-1.5866560999999999E-3</v>
      </c>
      <c r="E394" s="35">
        <v>-1.5866560999999999E-3</v>
      </c>
      <c r="F394" s="35">
        <v>0.46497705315734827</v>
      </c>
      <c r="G394" s="35">
        <v>0.46497705315734827</v>
      </c>
      <c r="H394" s="35">
        <v>-1.5879161718332958E-3</v>
      </c>
    </row>
    <row r="395" spans="2:8" x14ac:dyDescent="0.35">
      <c r="B395" s="6">
        <v>45498</v>
      </c>
      <c r="C395" s="7" t="s">
        <v>34</v>
      </c>
      <c r="D395" s="35">
        <v>1.9758873E-2</v>
      </c>
      <c r="E395" s="35">
        <v>1.9758873E-2</v>
      </c>
      <c r="F395" s="35">
        <v>0.49392334869859855</v>
      </c>
      <c r="G395" s="35">
        <v>0.49392334869859855</v>
      </c>
      <c r="H395" s="35">
        <v>1.9566200329919185E-2</v>
      </c>
    </row>
    <row r="396" spans="2:8" x14ac:dyDescent="0.35">
      <c r="B396" s="6">
        <v>45499</v>
      </c>
      <c r="C396" s="7" t="s">
        <v>34</v>
      </c>
      <c r="D396" s="35">
        <v>4.1401032000000001E-3</v>
      </c>
      <c r="E396" s="35">
        <v>4.1401032000000001E-3</v>
      </c>
      <c r="F396" s="35">
        <v>0.50010834553510031</v>
      </c>
      <c r="G396" s="35">
        <v>0.50010834553510031</v>
      </c>
      <c r="H396" s="35">
        <v>4.1315565539570744E-3</v>
      </c>
    </row>
    <row r="397" spans="2:8" x14ac:dyDescent="0.35">
      <c r="B397" s="6">
        <v>45502</v>
      </c>
      <c r="C397" s="7" t="s">
        <v>34</v>
      </c>
      <c r="D397" s="35">
        <v>-1.2183733E-2</v>
      </c>
      <c r="E397" s="35">
        <v>-1.2183733E-2</v>
      </c>
      <c r="F397" s="35">
        <v>0.48183142598202888</v>
      </c>
      <c r="G397" s="35">
        <v>0.48183142598202888</v>
      </c>
      <c r="H397" s="35">
        <v>-1.2258563102723581E-2</v>
      </c>
    </row>
    <row r="398" spans="2:8" x14ac:dyDescent="0.35">
      <c r="B398" s="6">
        <v>45503</v>
      </c>
      <c r="C398" s="7" t="s">
        <v>34</v>
      </c>
      <c r="D398" s="35">
        <v>-1.9504145000000001E-2</v>
      </c>
      <c r="E398" s="35">
        <v>-1.9504145000000001E-2</v>
      </c>
      <c r="F398" s="35">
        <v>0.45292957098411857</v>
      </c>
      <c r="G398" s="35">
        <v>0.45292957098411857</v>
      </c>
      <c r="H398" s="35">
        <v>-1.9696860789653835E-2</v>
      </c>
    </row>
    <row r="399" spans="2:8" x14ac:dyDescent="0.35">
      <c r="B399" s="6">
        <v>45504</v>
      </c>
      <c r="C399" s="7" t="s">
        <v>34</v>
      </c>
      <c r="D399" s="35">
        <v>1.847114E-2</v>
      </c>
      <c r="E399" s="35">
        <v>1.847114E-2</v>
      </c>
      <c r="F399" s="35">
        <v>0.47976683649990615</v>
      </c>
      <c r="G399" s="35">
        <v>0.47976683649990615</v>
      </c>
      <c r="H399" s="35">
        <v>1.830262049533396E-2</v>
      </c>
    </row>
    <row r="400" spans="2:8" x14ac:dyDescent="0.35">
      <c r="B400" s="6">
        <v>45505</v>
      </c>
      <c r="C400" s="7" t="s">
        <v>34</v>
      </c>
      <c r="D400" s="35">
        <v>-1.1088453E-2</v>
      </c>
      <c r="E400" s="35">
        <v>-1.1088453E-2</v>
      </c>
      <c r="F400" s="35">
        <v>0.46335851148241813</v>
      </c>
      <c r="G400" s="35">
        <v>0.46335851148241813</v>
      </c>
      <c r="H400" s="35">
        <v>-1.1150388163987893E-2</v>
      </c>
    </row>
    <row r="401" spans="2:8" x14ac:dyDescent="0.35">
      <c r="B401" s="6">
        <v>45506</v>
      </c>
      <c r="C401" s="7" t="s">
        <v>34</v>
      </c>
      <c r="D401" s="35">
        <v>-9.6694599999999995E-3</v>
      </c>
      <c r="E401" s="35">
        <v>-9.6694599999999995E-3</v>
      </c>
      <c r="F401" s="35">
        <v>0.44920862488997937</v>
      </c>
      <c r="G401" s="35">
        <v>0.44920862488997937</v>
      </c>
      <c r="H401" s="35">
        <v>-9.7165127907418922E-3</v>
      </c>
    </row>
    <row r="402" spans="2:8" x14ac:dyDescent="0.35">
      <c r="B402" s="6">
        <v>45509</v>
      </c>
      <c r="C402" s="7" t="s">
        <v>34</v>
      </c>
      <c r="D402" s="35">
        <v>-2.5697826999999999E-2</v>
      </c>
      <c r="E402" s="35">
        <v>-2.5697826999999999E-2</v>
      </c>
      <c r="F402" s="35">
        <v>0.41196711236064876</v>
      </c>
      <c r="G402" s="35">
        <v>0.41196711236064876</v>
      </c>
      <c r="H402" s="35">
        <v>-2.6033784234125133E-2</v>
      </c>
    </row>
    <row r="403" spans="2:8" x14ac:dyDescent="0.35">
      <c r="B403" s="6">
        <v>45510</v>
      </c>
      <c r="C403" s="7" t="s">
        <v>34</v>
      </c>
      <c r="D403" s="35">
        <v>-4.7809419999999998E-3</v>
      </c>
      <c r="E403" s="35">
        <v>-4.7809419999999998E-3</v>
      </c>
      <c r="F403" s="35">
        <v>0.4052165794905449</v>
      </c>
      <c r="G403" s="35">
        <v>0.4052165794905449</v>
      </c>
      <c r="H403" s="35">
        <v>-4.792407260965287E-3</v>
      </c>
    </row>
    <row r="404" spans="2:8" x14ac:dyDescent="0.35">
      <c r="B404" s="6">
        <v>45511</v>
      </c>
      <c r="C404" s="7" t="s">
        <v>34</v>
      </c>
      <c r="D404" s="35">
        <v>-2.7274751999999999E-2</v>
      </c>
      <c r="E404" s="35">
        <v>-2.7274751999999999E-2</v>
      </c>
      <c r="F404" s="35">
        <v>0.36688964577865213</v>
      </c>
      <c r="G404" s="35">
        <v>0.36688964577865213</v>
      </c>
      <c r="H404" s="35">
        <v>-2.7653612828003427E-2</v>
      </c>
    </row>
    <row r="405" spans="2:8" x14ac:dyDescent="0.35">
      <c r="B405" s="6">
        <v>45512</v>
      </c>
      <c r="C405" s="7" t="s">
        <v>34</v>
      </c>
      <c r="D405" s="35">
        <v>1.446996E-2</v>
      </c>
      <c r="E405" s="35">
        <v>1.446996E-2</v>
      </c>
      <c r="F405" s="35">
        <v>0.38666848427748346</v>
      </c>
      <c r="G405" s="35">
        <v>0.38666848427748346</v>
      </c>
      <c r="H405" s="35">
        <v>1.4366269199690317E-2</v>
      </c>
    </row>
    <row r="406" spans="2:8" x14ac:dyDescent="0.35">
      <c r="B406" s="6">
        <v>45513</v>
      </c>
      <c r="C406" s="7" t="s">
        <v>34</v>
      </c>
      <c r="D406" s="35">
        <v>-2.1708643E-2</v>
      </c>
      <c r="E406" s="35">
        <v>-2.1708643E-2</v>
      </c>
      <c r="F406" s="35">
        <v>0.35656579319295245</v>
      </c>
      <c r="G406" s="35">
        <v>0.35656579319295245</v>
      </c>
      <c r="H406" s="35">
        <v>-2.1947742271058328E-2</v>
      </c>
    </row>
    <row r="407" spans="2:8" x14ac:dyDescent="0.35">
      <c r="B407" s="6">
        <v>45516</v>
      </c>
      <c r="C407" s="7" t="s">
        <v>34</v>
      </c>
      <c r="D407" s="35">
        <v>3.9159707000000002E-3</v>
      </c>
      <c r="E407" s="35">
        <v>3.9159707000000002E-3</v>
      </c>
      <c r="F407" s="35">
        <v>0.36187806509171838</v>
      </c>
      <c r="G407" s="35">
        <v>0.36187806509171838</v>
      </c>
      <c r="H407" s="35">
        <v>3.9083232450432192E-3</v>
      </c>
    </row>
    <row r="408" spans="2:8" x14ac:dyDescent="0.35">
      <c r="B408" s="6">
        <v>45517</v>
      </c>
      <c r="C408" s="7" t="s">
        <v>34</v>
      </c>
      <c r="D408" s="35">
        <v>9.6093529999999993E-3</v>
      </c>
      <c r="E408" s="35">
        <v>9.6093529999999993E-3</v>
      </c>
      <c r="F408" s="35">
        <v>0.37496483216214171</v>
      </c>
      <c r="G408" s="35">
        <v>0.37496483216214171</v>
      </c>
      <c r="H408" s="35">
        <v>9.5634768268767992E-3</v>
      </c>
    </row>
    <row r="409" spans="2:8" x14ac:dyDescent="0.35">
      <c r="B409" s="6">
        <v>45518</v>
      </c>
      <c r="C409" s="7" t="s">
        <v>34</v>
      </c>
      <c r="D409" s="35">
        <v>-1.4172881999999999E-3</v>
      </c>
      <c r="E409" s="35">
        <v>-1.4172881999999999E-3</v>
      </c>
      <c r="F409" s="35">
        <v>0.37301611073010332</v>
      </c>
      <c r="G409" s="35">
        <v>0.37301611073010332</v>
      </c>
      <c r="H409" s="35">
        <v>-1.4182935029024726E-3</v>
      </c>
    </row>
    <row r="410" spans="2:8" x14ac:dyDescent="0.35">
      <c r="B410" s="6">
        <v>45519</v>
      </c>
      <c r="C410" s="7" t="s">
        <v>34</v>
      </c>
      <c r="D410" s="35">
        <v>1.3859962E-2</v>
      </c>
      <c r="E410" s="35">
        <v>1.3859962E-2</v>
      </c>
      <c r="F410" s="35">
        <v>0.39204606185021018</v>
      </c>
      <c r="G410" s="35">
        <v>0.39204606185021018</v>
      </c>
      <c r="H410" s="35">
        <v>1.3764791095192611E-2</v>
      </c>
    </row>
    <row r="411" spans="2:8" x14ac:dyDescent="0.35">
      <c r="B411" s="6">
        <v>45520</v>
      </c>
      <c r="C411" s="7" t="s">
        <v>34</v>
      </c>
      <c r="D411" s="35">
        <v>2.2911393999999999E-3</v>
      </c>
      <c r="E411" s="35">
        <v>2.2911393999999999E-3</v>
      </c>
      <c r="F411" s="35">
        <v>0.39523543342913015</v>
      </c>
      <c r="G411" s="35">
        <v>0.39523543342913015</v>
      </c>
      <c r="H411" s="35">
        <v>2.2885187422231118E-3</v>
      </c>
    </row>
    <row r="412" spans="2:8" x14ac:dyDescent="0.35">
      <c r="B412" s="6">
        <v>45523</v>
      </c>
      <c r="C412" s="7" t="s">
        <v>34</v>
      </c>
      <c r="D412" s="35">
        <v>2.5983251999999998E-2</v>
      </c>
      <c r="E412" s="35">
        <v>2.5983251999999998E-2</v>
      </c>
      <c r="F412" s="35">
        <v>0.43148818729524852</v>
      </c>
      <c r="G412" s="35">
        <v>0.43148818729524852</v>
      </c>
      <c r="H412" s="35">
        <v>2.5651423028602027E-2</v>
      </c>
    </row>
    <row r="413" spans="2:8" x14ac:dyDescent="0.35">
      <c r="B413" s="6">
        <v>45524</v>
      </c>
      <c r="C413" s="7" t="s">
        <v>34</v>
      </c>
      <c r="D413" s="35">
        <v>2.9044216000000001E-3</v>
      </c>
      <c r="E413" s="35">
        <v>2.9044216000000001E-3</v>
      </c>
      <c r="F413" s="35">
        <v>0.43564583250657374</v>
      </c>
      <c r="G413" s="35">
        <v>0.43564583250657374</v>
      </c>
      <c r="H413" s="35">
        <v>2.9002119167449406E-3</v>
      </c>
    </row>
    <row r="414" spans="2:8" x14ac:dyDescent="0.35">
      <c r="B414" s="6">
        <v>45525</v>
      </c>
      <c r="C414" s="7" t="s">
        <v>34</v>
      </c>
      <c r="D414" s="35">
        <v>1.2314867E-2</v>
      </c>
      <c r="E414" s="35">
        <v>1.2314867E-2</v>
      </c>
      <c r="F414" s="35">
        <v>0.45332561999299648</v>
      </c>
      <c r="G414" s="35">
        <v>0.45332561999299648</v>
      </c>
      <c r="H414" s="35">
        <v>1.2239655872524497E-2</v>
      </c>
    </row>
    <row r="415" spans="2:8" x14ac:dyDescent="0.35">
      <c r="B415" s="6">
        <v>45526</v>
      </c>
      <c r="C415" s="7" t="s">
        <v>34</v>
      </c>
      <c r="D415" s="35">
        <v>-1.1309359E-2</v>
      </c>
      <c r="E415" s="35">
        <v>-1.1309359E-2</v>
      </c>
      <c r="F415" s="35">
        <v>0.43688943881259812</v>
      </c>
      <c r="G415" s="35">
        <v>0.43688943881259812</v>
      </c>
      <c r="H415" s="35">
        <v>-1.1373796089261401E-2</v>
      </c>
    </row>
    <row r="416" spans="2:8" x14ac:dyDescent="0.35">
      <c r="B416" s="6">
        <v>45527</v>
      </c>
      <c r="C416" s="7" t="s">
        <v>34</v>
      </c>
      <c r="D416" s="35">
        <v>1.8374181999999999E-2</v>
      </c>
      <c r="E416" s="35">
        <v>1.8374181999999999E-2</v>
      </c>
      <c r="F416" s="35">
        <v>0.46329110687521879</v>
      </c>
      <c r="G416" s="35">
        <v>0.46329110687521879</v>
      </c>
      <c r="H416" s="35">
        <v>1.8207416407889657E-2</v>
      </c>
    </row>
    <row r="417" spans="2:8" x14ac:dyDescent="0.35">
      <c r="B417" s="6">
        <v>45530</v>
      </c>
      <c r="C417" s="7" t="s">
        <v>34</v>
      </c>
      <c r="D417" s="35">
        <v>1.0675713999999999E-2</v>
      </c>
      <c r="E417" s="35">
        <v>1.0675713999999999E-2</v>
      </c>
      <c r="F417" s="35">
        <v>0.47891278423096217</v>
      </c>
      <c r="G417" s="35">
        <v>0.47891278423096217</v>
      </c>
      <c r="H417" s="35">
        <v>1.0619130918913691E-2</v>
      </c>
    </row>
    <row r="418" spans="2:8" x14ac:dyDescent="0.35">
      <c r="B418" s="6">
        <v>45531</v>
      </c>
      <c r="C418" s="7" t="s">
        <v>34</v>
      </c>
      <c r="D418" s="35">
        <v>1.1660591E-4</v>
      </c>
      <c r="E418" s="35">
        <v>1.1660591E-4</v>
      </c>
      <c r="F418" s="35">
        <v>0.47908523420197802</v>
      </c>
      <c r="G418" s="35">
        <v>0.47908523420197802</v>
      </c>
      <c r="H418" s="35">
        <v>1.1659911205928091E-4</v>
      </c>
    </row>
    <row r="419" spans="2:8" x14ac:dyDescent="0.35">
      <c r="B419" s="6">
        <v>45532</v>
      </c>
      <c r="C419" s="7" t="s">
        <v>34</v>
      </c>
      <c r="D419" s="35">
        <v>-6.6792746E-3</v>
      </c>
      <c r="E419" s="35">
        <v>-6.6792746E-3</v>
      </c>
      <c r="F419" s="35">
        <v>0.46920601776593784</v>
      </c>
      <c r="G419" s="35">
        <v>0.46920601776593784</v>
      </c>
      <c r="H419" s="35">
        <v>-6.7016807816832292E-3</v>
      </c>
    </row>
    <row r="420" spans="2:8" x14ac:dyDescent="0.35">
      <c r="B420" s="6">
        <v>45533</v>
      </c>
      <c r="C420" s="7" t="s">
        <v>34</v>
      </c>
      <c r="D420" s="35">
        <v>1.1568254E-2</v>
      </c>
      <c r="E420" s="35">
        <v>1.1568254E-2</v>
      </c>
      <c r="F420" s="35">
        <v>0.48620216615778267</v>
      </c>
      <c r="G420" s="35">
        <v>0.48620216615778267</v>
      </c>
      <c r="H420" s="35">
        <v>1.150185335209091E-2</v>
      </c>
    </row>
    <row r="421" spans="2:8" x14ac:dyDescent="0.35">
      <c r="B421" s="6">
        <v>45534</v>
      </c>
      <c r="C421" s="7" t="s">
        <v>34</v>
      </c>
      <c r="D421" s="35">
        <v>1.1892873E-2</v>
      </c>
      <c r="E421" s="35">
        <v>1.1892873E-2</v>
      </c>
      <c r="F421" s="35">
        <v>0.50387737977222224</v>
      </c>
      <c r="G421" s="35">
        <v>0.50387737977222224</v>
      </c>
      <c r="H421" s="35">
        <v>1.1822708542688347E-2</v>
      </c>
    </row>
    <row r="422" spans="2:8" x14ac:dyDescent="0.35">
      <c r="B422" s="6">
        <v>45538</v>
      </c>
      <c r="C422" s="7" t="s">
        <v>34</v>
      </c>
      <c r="D422" s="35">
        <v>-2.4159373992262534E-2</v>
      </c>
      <c r="E422" s="35">
        <v>-2.4159373992262534E-2</v>
      </c>
      <c r="F422" s="35">
        <v>0.46754464371580129</v>
      </c>
      <c r="G422" s="35">
        <v>0.46754464371580129</v>
      </c>
      <c r="H422" s="35">
        <v>-2.4455998927661263E-2</v>
      </c>
    </row>
    <row r="423" spans="2:8" x14ac:dyDescent="0.35">
      <c r="B423" s="6">
        <v>45539</v>
      </c>
      <c r="C423" s="7" t="s">
        <v>34</v>
      </c>
      <c r="D423" s="35">
        <v>5.2868235000000001E-3</v>
      </c>
      <c r="E423" s="35">
        <v>5.2868235000000001E-3</v>
      </c>
      <c r="F423" s="35">
        <v>0.47530329322549725</v>
      </c>
      <c r="G423" s="35">
        <v>0.47530329322549725</v>
      </c>
      <c r="H423" s="35">
        <v>5.272897310612994E-3</v>
      </c>
    </row>
    <row r="424" spans="2:8" x14ac:dyDescent="0.35">
      <c r="B424" s="6">
        <v>45540</v>
      </c>
      <c r="C424" s="7" t="s">
        <v>34</v>
      </c>
      <c r="D424" s="35">
        <v>-8.4943450000000004E-3</v>
      </c>
      <c r="E424" s="35">
        <v>-8.4943450000000004E-3</v>
      </c>
      <c r="F424" s="35">
        <v>0.46277155807320369</v>
      </c>
      <c r="G424" s="35">
        <v>0.46277155807320369</v>
      </c>
      <c r="H424" s="35">
        <v>-8.5306275589747769E-3</v>
      </c>
    </row>
    <row r="425" spans="2:8" x14ac:dyDescent="0.35">
      <c r="B425" s="6">
        <v>45541</v>
      </c>
      <c r="C425" s="7" t="s">
        <v>34</v>
      </c>
      <c r="D425" s="35">
        <v>-9.6291080000000008E-3</v>
      </c>
      <c r="E425" s="35">
        <v>-9.6291080000000008E-3</v>
      </c>
      <c r="F425" s="35">
        <v>0.4486863727611885</v>
      </c>
      <c r="G425" s="35">
        <v>0.4486863727611885</v>
      </c>
      <c r="H425" s="35">
        <v>-9.6757676291000343E-3</v>
      </c>
    </row>
    <row r="426" spans="2:8" x14ac:dyDescent="0.35">
      <c r="B426" s="6">
        <v>45544</v>
      </c>
      <c r="C426" s="7" t="s">
        <v>34</v>
      </c>
      <c r="D426" s="35">
        <v>1.1808574000000001E-2</v>
      </c>
      <c r="E426" s="35">
        <v>1.1808574000000001E-2</v>
      </c>
      <c r="F426" s="35">
        <v>0.46579329299673056</v>
      </c>
      <c r="G426" s="35">
        <v>0.46579329299673056</v>
      </c>
      <c r="H426" s="35">
        <v>1.1739396846515187E-2</v>
      </c>
    </row>
    <row r="427" spans="2:8" x14ac:dyDescent="0.35">
      <c r="B427" s="6">
        <v>45545</v>
      </c>
      <c r="C427" s="7" t="s">
        <v>34</v>
      </c>
      <c r="D427" s="35">
        <v>-5.157554E-3</v>
      </c>
      <c r="E427" s="35">
        <v>-5.157554E-3</v>
      </c>
      <c r="F427" s="35">
        <v>0.45823338493526222</v>
      </c>
      <c r="G427" s="35">
        <v>0.45823338493526222</v>
      </c>
      <c r="H427" s="35">
        <v>-5.1709000901959184E-3</v>
      </c>
    </row>
    <row r="428" spans="2:8" x14ac:dyDescent="0.35">
      <c r="B428" s="6">
        <v>45546</v>
      </c>
      <c r="C428" s="7" t="s">
        <v>34</v>
      </c>
      <c r="D428" s="35">
        <v>5.1829134999999997E-3</v>
      </c>
      <c r="E428" s="35">
        <v>5.1829134999999997E-3</v>
      </c>
      <c r="F428" s="35">
        <v>0.46579128243219414</v>
      </c>
      <c r="G428" s="35">
        <v>0.46579128243219414</v>
      </c>
      <c r="H428" s="35">
        <v>5.1695284330017729E-3</v>
      </c>
    </row>
    <row r="429" spans="2:8" x14ac:dyDescent="0.35">
      <c r="B429" s="6">
        <v>45547</v>
      </c>
      <c r="C429" s="7" t="s">
        <v>34</v>
      </c>
      <c r="D429" s="35">
        <v>1.0404356999999999E-2</v>
      </c>
      <c r="E429" s="35">
        <v>1.0404356999999999E-2</v>
      </c>
      <c r="F429" s="35">
        <v>0.48104189822210675</v>
      </c>
      <c r="G429" s="35">
        <v>0.48104189822210675</v>
      </c>
      <c r="H429" s="35">
        <v>1.0350604198449612E-2</v>
      </c>
    </row>
    <row r="430" spans="2:8" x14ac:dyDescent="0.35">
      <c r="B430" s="6">
        <v>45548</v>
      </c>
      <c r="C430" s="7" t="s">
        <v>34</v>
      </c>
      <c r="D430" s="35">
        <v>2.8447466000000001E-2</v>
      </c>
      <c r="E430" s="35">
        <v>2.8447466000000001E-2</v>
      </c>
      <c r="F430" s="35">
        <v>0.52317378726635555</v>
      </c>
      <c r="G430" s="35">
        <v>0.52317378726635555</v>
      </c>
      <c r="H430" s="35">
        <v>2.8050350537011357E-2</v>
      </c>
    </row>
    <row r="431" spans="2:8" x14ac:dyDescent="0.35">
      <c r="B431" s="6">
        <v>45551</v>
      </c>
      <c r="C431" s="7" t="s">
        <v>34</v>
      </c>
      <c r="D431" s="35">
        <v>-1.8476593999999999E-2</v>
      </c>
      <c r="E431" s="35">
        <v>-1.8476593999999999E-2</v>
      </c>
      <c r="F431" s="35">
        <v>0.49503072360759282</v>
      </c>
      <c r="G431" s="35">
        <v>0.49503072360759282</v>
      </c>
      <c r="H431" s="35">
        <v>-1.8649418377265758E-2</v>
      </c>
    </row>
    <row r="432" spans="2:8" x14ac:dyDescent="0.35">
      <c r="B432" s="6">
        <v>45552</v>
      </c>
      <c r="C432" s="7" t="s">
        <v>34</v>
      </c>
      <c r="D432" s="35">
        <v>-1.1781965E-3</v>
      </c>
      <c r="E432" s="35">
        <v>-1.1781965E-3</v>
      </c>
      <c r="F432" s="35">
        <v>0.49326928364164591</v>
      </c>
      <c r="G432" s="35">
        <v>0.49326928364164591</v>
      </c>
      <c r="H432" s="35">
        <v>-1.1788911191484253E-3</v>
      </c>
    </row>
    <row r="433" spans="2:8" x14ac:dyDescent="0.35">
      <c r="B433" s="6">
        <v>45553</v>
      </c>
      <c r="C433" s="7" t="s">
        <v>34</v>
      </c>
      <c r="D433" s="35">
        <v>5.4824412999999999E-3</v>
      </c>
      <c r="E433" s="35">
        <v>5.4824412999999999E-3</v>
      </c>
      <c r="F433" s="35">
        <v>0.50145604483430439</v>
      </c>
      <c r="G433" s="35">
        <v>0.50145604483430439</v>
      </c>
      <c r="H433" s="35">
        <v>5.4674674227005024E-3</v>
      </c>
    </row>
    <row r="434" spans="2:8" x14ac:dyDescent="0.35">
      <c r="B434" s="6">
        <v>45554</v>
      </c>
      <c r="C434" s="7" t="s">
        <v>34</v>
      </c>
      <c r="D434" s="35">
        <v>3.5018884E-2</v>
      </c>
      <c r="E434" s="35">
        <v>3.5018884E-2</v>
      </c>
      <c r="F434" s="35">
        <v>0.55403535989945585</v>
      </c>
      <c r="G434" s="35">
        <v>0.55403535989945585</v>
      </c>
      <c r="H434" s="35">
        <v>3.4419671961515019E-2</v>
      </c>
    </row>
    <row r="435" spans="2:8" x14ac:dyDescent="0.35">
      <c r="B435" s="6">
        <v>45555</v>
      </c>
      <c r="C435" s="7" t="s">
        <v>34</v>
      </c>
      <c r="D435" s="35">
        <v>-5.7766116000000003E-3</v>
      </c>
      <c r="E435" s="35">
        <v>-5.7766116000000003E-3</v>
      </c>
      <c r="F435" s="35">
        <v>0.54505830121265042</v>
      </c>
      <c r="G435" s="35">
        <v>0.54505830121265042</v>
      </c>
      <c r="H435" s="35">
        <v>-5.7933607541738544E-3</v>
      </c>
    </row>
    <row r="436" spans="2:8" x14ac:dyDescent="0.35">
      <c r="B436" s="6">
        <v>45558</v>
      </c>
      <c r="C436" s="7" t="s">
        <v>34</v>
      </c>
      <c r="D436" s="35">
        <v>-4.5082803999999997E-2</v>
      </c>
      <c r="E436" s="35">
        <v>-4.5082803999999997E-2</v>
      </c>
      <c r="F436" s="35">
        <v>0.47540274065050747</v>
      </c>
      <c r="G436" s="35">
        <v>0.47540274065050747</v>
      </c>
      <c r="H436" s="35">
        <v>-4.6130648019730713E-2</v>
      </c>
    </row>
    <row r="437" spans="2:8" x14ac:dyDescent="0.35">
      <c r="B437" s="6">
        <v>45559</v>
      </c>
      <c r="C437" s="7" t="s">
        <v>34</v>
      </c>
      <c r="D437" s="35">
        <v>-5.105063E-3</v>
      </c>
      <c r="E437" s="35">
        <v>-5.105063E-3</v>
      </c>
      <c r="F437" s="35">
        <v>0.46787071670911384</v>
      </c>
      <c r="G437" s="35">
        <v>0.46787071670911384</v>
      </c>
      <c r="H437" s="35">
        <v>-5.1181383534354957E-3</v>
      </c>
    </row>
    <row r="438" spans="2:8" x14ac:dyDescent="0.35">
      <c r="B438" s="6">
        <v>45560</v>
      </c>
      <c r="C438" s="7" t="s">
        <v>34</v>
      </c>
      <c r="D438" s="35">
        <v>-2.0643516000000001E-2</v>
      </c>
      <c r="E438" s="35">
        <v>-2.0643516000000001E-2</v>
      </c>
      <c r="F438" s="35">
        <v>0.4375687040827978</v>
      </c>
      <c r="G438" s="35">
        <v>0.4375687040827978</v>
      </c>
      <c r="H438" s="35">
        <v>-2.0859571985478713E-2</v>
      </c>
    </row>
    <row r="439" spans="2:8" x14ac:dyDescent="0.35">
      <c r="B439" s="6">
        <v>45561</v>
      </c>
      <c r="C439" s="7" t="s">
        <v>34</v>
      </c>
      <c r="D439" s="35">
        <v>9.1974580000000004E-3</v>
      </c>
      <c r="E439" s="35">
        <v>9.1974580000000004E-3</v>
      </c>
      <c r="F439" s="35">
        <v>0.45079068186071392</v>
      </c>
      <c r="G439" s="35">
        <v>0.45079068186071392</v>
      </c>
      <c r="H439" s="35">
        <v>9.1554189547999251E-3</v>
      </c>
    </row>
    <row r="440" spans="2:8" x14ac:dyDescent="0.35">
      <c r="B440" s="6">
        <v>45562</v>
      </c>
      <c r="C440" s="7" t="s">
        <v>34</v>
      </c>
      <c r="D440" s="35">
        <v>1.2299252E-2</v>
      </c>
      <c r="E440" s="35">
        <v>1.2299252E-2</v>
      </c>
      <c r="F440" s="35">
        <v>0.46863432205617062</v>
      </c>
      <c r="G440" s="35">
        <v>0.46863432205617062</v>
      </c>
      <c r="H440" s="35">
        <v>1.2224230710906109E-2</v>
      </c>
    </row>
    <row r="441" spans="2:8" x14ac:dyDescent="0.35">
      <c r="B441" s="6">
        <v>45565</v>
      </c>
      <c r="C441" s="7" t="s">
        <v>34</v>
      </c>
      <c r="D441" s="35">
        <v>-8.1194830000000005E-4</v>
      </c>
      <c r="E441" s="35">
        <v>-8.1194830000000005E-4</v>
      </c>
      <c r="F441" s="35">
        <v>0.46744186691505552</v>
      </c>
      <c r="G441" s="35">
        <v>0.46744186691505552</v>
      </c>
      <c r="H441" s="35">
        <v>-8.1227810855799586E-4</v>
      </c>
    </row>
    <row r="442" spans="2:8" x14ac:dyDescent="0.35">
      <c r="B442" s="6">
        <v>45566</v>
      </c>
      <c r="C442" s="7" t="s">
        <v>34</v>
      </c>
      <c r="D442" s="35">
        <v>1.3903527999999999E-3</v>
      </c>
      <c r="E442" s="35">
        <v>1.3903527999999999E-3</v>
      </c>
      <c r="F442" s="35">
        <v>0.46948212882355822</v>
      </c>
      <c r="G442" s="35">
        <v>0.46948212882355822</v>
      </c>
      <c r="H442" s="35">
        <v>1.38938715450086E-3</v>
      </c>
    </row>
    <row r="443" spans="2:8" x14ac:dyDescent="0.35">
      <c r="B443" s="6">
        <v>45567</v>
      </c>
      <c r="C443" s="7" t="s">
        <v>34</v>
      </c>
      <c r="D443" s="35">
        <v>-5.8270083000000004E-3</v>
      </c>
      <c r="E443" s="35">
        <v>-5.8270083000000004E-3</v>
      </c>
      <c r="F443" s="35">
        <v>0.46091944426220155</v>
      </c>
      <c r="G443" s="35">
        <v>0.46091944426220155</v>
      </c>
      <c r="H443" s="35">
        <v>-5.8440515525631804E-3</v>
      </c>
    </row>
    <row r="444" spans="2:8" x14ac:dyDescent="0.35">
      <c r="B444" s="6">
        <v>45568</v>
      </c>
      <c r="C444" s="7" t="s">
        <v>34</v>
      </c>
      <c r="D444" s="35">
        <v>-1.2901847E-3</v>
      </c>
      <c r="E444" s="35">
        <v>-1.2901847E-3</v>
      </c>
      <c r="F444" s="35">
        <v>0.45903458834728195</v>
      </c>
      <c r="G444" s="35">
        <v>0.45903458834728195</v>
      </c>
      <c r="H444" s="35">
        <v>-1.2910177048438543E-3</v>
      </c>
    </row>
    <row r="445" spans="2:8" x14ac:dyDescent="0.35">
      <c r="B445" s="6">
        <v>45569</v>
      </c>
      <c r="C445" s="7" t="s">
        <v>34</v>
      </c>
      <c r="D445" s="35">
        <v>8.1064880000000002E-4</v>
      </c>
      <c r="E445" s="35">
        <v>8.1064880000000002E-4</v>
      </c>
      <c r="F445" s="35">
        <v>0.46021735298548405</v>
      </c>
      <c r="G445" s="35">
        <v>0.46021735298548405</v>
      </c>
      <c r="H445" s="35">
        <v>8.1032040172658061E-4</v>
      </c>
    </row>
    <row r="446" spans="2:8" x14ac:dyDescent="0.35">
      <c r="B446" s="6">
        <v>45572</v>
      </c>
      <c r="C446" s="7" t="s">
        <v>34</v>
      </c>
      <c r="D446" s="35">
        <v>-1.0653662E-2</v>
      </c>
      <c r="E446" s="35">
        <v>-1.0653662E-2</v>
      </c>
      <c r="F446" s="35">
        <v>0.44466069086024218</v>
      </c>
      <c r="G446" s="35">
        <v>0.44466069086024218</v>
      </c>
      <c r="H446" s="35">
        <v>-1.0710818570662591E-2</v>
      </c>
    </row>
    <row r="447" spans="2:8" x14ac:dyDescent="0.35">
      <c r="B447" s="6">
        <v>45573</v>
      </c>
      <c r="C447" s="7" t="s">
        <v>34</v>
      </c>
      <c r="D447" s="35">
        <v>-9.979806999999999E-4</v>
      </c>
      <c r="E447" s="35">
        <v>-9.979806999999999E-4</v>
      </c>
      <c r="F447" s="35">
        <v>0.44321894737271506</v>
      </c>
      <c r="G447" s="35">
        <v>0.44321894737271506</v>
      </c>
      <c r="H447" s="35">
        <v>-9.9847901430509122E-4</v>
      </c>
    </row>
    <row r="448" spans="2:8" x14ac:dyDescent="0.35">
      <c r="B448" s="6">
        <v>45574</v>
      </c>
      <c r="C448" s="7" t="s">
        <v>34</v>
      </c>
      <c r="D448" s="35">
        <v>-1.3851965000000001E-2</v>
      </c>
      <c r="E448" s="35">
        <v>-1.3851965000000001E-2</v>
      </c>
      <c r="F448" s="35">
        <v>0.4232275290263714</v>
      </c>
      <c r="G448" s="35">
        <v>0.4232275290263714</v>
      </c>
      <c r="H448" s="35">
        <v>-1.3948798732084842E-2</v>
      </c>
    </row>
    <row r="449" spans="2:8" x14ac:dyDescent="0.35">
      <c r="B449" s="6">
        <v>45575</v>
      </c>
      <c r="C449" s="7" t="s">
        <v>34</v>
      </c>
      <c r="D449" s="35">
        <v>1.0989076000000001E-3</v>
      </c>
      <c r="E449" s="35">
        <v>1.0989076000000001E-3</v>
      </c>
      <c r="F449" s="35">
        <v>0.42479152457454772</v>
      </c>
      <c r="G449" s="35">
        <v>0.42479152457454772</v>
      </c>
      <c r="H449" s="35">
        <v>1.0983042430253403E-3</v>
      </c>
    </row>
    <row r="450" spans="2:8" x14ac:dyDescent="0.35">
      <c r="B450" s="6">
        <v>45576</v>
      </c>
      <c r="C450" s="7" t="s">
        <v>34</v>
      </c>
      <c r="D450" s="35">
        <v>3.4182509999999999E-2</v>
      </c>
      <c r="E450" s="35">
        <v>3.4182509999999999E-2</v>
      </c>
      <c r="F450" s="35">
        <v>0.47349447511123244</v>
      </c>
      <c r="G450" s="35">
        <v>0.47349447511123244</v>
      </c>
      <c r="H450" s="35">
        <v>3.3611269214470746E-2</v>
      </c>
    </row>
    <row r="451" spans="2:8" x14ac:dyDescent="0.35">
      <c r="B451" s="6">
        <v>45579</v>
      </c>
      <c r="C451" s="7" t="s">
        <v>34</v>
      </c>
      <c r="D451" s="35">
        <v>1.3055051999999999E-2</v>
      </c>
      <c r="E451" s="35">
        <v>1.3055051999999999E-2</v>
      </c>
      <c r="F451" s="35">
        <v>0.49273102210552211</v>
      </c>
      <c r="G451" s="35">
        <v>0.49273102210552211</v>
      </c>
      <c r="H451" s="35">
        <v>1.2970569298273506E-2</v>
      </c>
    </row>
    <row r="452" spans="2:8" x14ac:dyDescent="0.35">
      <c r="B452" s="6">
        <v>45580</v>
      </c>
      <c r="C452" s="7" t="s">
        <v>34</v>
      </c>
      <c r="D452" s="35">
        <v>4.5783550000000001E-3</v>
      </c>
      <c r="E452" s="35">
        <v>4.5783550000000001E-3</v>
      </c>
      <c r="F452" s="35">
        <v>0.49956527464423406</v>
      </c>
      <c r="G452" s="35">
        <v>0.49956527464423406</v>
      </c>
      <c r="H452" s="35">
        <v>4.5679062127803125E-3</v>
      </c>
    </row>
    <row r="453" spans="2:8" x14ac:dyDescent="0.35">
      <c r="B453" s="6">
        <v>45581</v>
      </c>
      <c r="C453" s="7" t="s">
        <v>34</v>
      </c>
      <c r="D453" s="35">
        <v>2.6929827E-2</v>
      </c>
      <c r="E453" s="35">
        <v>2.6929827E-2</v>
      </c>
      <c r="F453" s="35">
        <v>0.53994830806561089</v>
      </c>
      <c r="G453" s="35">
        <v>0.53994830806561089</v>
      </c>
      <c r="H453" s="35">
        <v>2.6573600471733266E-2</v>
      </c>
    </row>
    <row r="454" spans="2:8" x14ac:dyDescent="0.35">
      <c r="B454" s="6">
        <v>45582</v>
      </c>
      <c r="C454" s="7" t="s">
        <v>34</v>
      </c>
      <c r="D454" s="35">
        <v>4.8613898000000001E-3</v>
      </c>
      <c r="E454" s="35">
        <v>4.8613898000000001E-3</v>
      </c>
      <c r="F454" s="35">
        <v>0.54743459706296838</v>
      </c>
      <c r="G454" s="35">
        <v>0.54743459706296838</v>
      </c>
      <c r="H454" s="35">
        <v>4.8496114021040638E-3</v>
      </c>
    </row>
    <row r="455" spans="2:8" x14ac:dyDescent="0.35">
      <c r="B455" s="6">
        <v>45583</v>
      </c>
      <c r="C455" s="7" t="s">
        <v>34</v>
      </c>
      <c r="D455" s="35">
        <v>1.2693298E-2</v>
      </c>
      <c r="E455" s="35">
        <v>1.2693298E-2</v>
      </c>
      <c r="F455" s="35">
        <v>0.56707664553899861</v>
      </c>
      <c r="G455" s="35">
        <v>0.56707664553899861</v>
      </c>
      <c r="H455" s="35">
        <v>1.2613413382194117E-2</v>
      </c>
    </row>
    <row r="456" spans="2:8" x14ac:dyDescent="0.35">
      <c r="B456" s="6">
        <v>45586</v>
      </c>
      <c r="C456" s="7" t="s">
        <v>34</v>
      </c>
      <c r="D456" s="35">
        <v>-1.7023064000000001E-2</v>
      </c>
      <c r="E456" s="35">
        <v>-1.7023064000000001E-2</v>
      </c>
      <c r="F456" s="35">
        <v>0.54040019950908302</v>
      </c>
      <c r="G456" s="35">
        <v>0.54040019950908302</v>
      </c>
      <c r="H456" s="35">
        <v>-1.7169621978996963E-2</v>
      </c>
    </row>
    <row r="457" spans="2:8" x14ac:dyDescent="0.35">
      <c r="B457" s="6">
        <v>45587</v>
      </c>
      <c r="C457" s="7" t="s">
        <v>34</v>
      </c>
      <c r="D457" s="35">
        <v>-2.2961829999999998E-3</v>
      </c>
      <c r="E457" s="35">
        <v>-2.2961829999999998E-3</v>
      </c>
      <c r="F457" s="35">
        <v>0.53686315875777368</v>
      </c>
      <c r="G457" s="35">
        <v>0.53686315875777368</v>
      </c>
      <c r="H457" s="35">
        <v>-2.2988232706554696E-3</v>
      </c>
    </row>
    <row r="458" spans="2:8" x14ac:dyDescent="0.35">
      <c r="B458" s="6">
        <v>45588</v>
      </c>
      <c r="C458" s="7" t="s">
        <v>34</v>
      </c>
      <c r="D458" s="35">
        <v>-2.0766132E-2</v>
      </c>
      <c r="E458" s="35">
        <v>-2.0766132E-2</v>
      </c>
      <c r="F458" s="35">
        <v>0.5049484555370729</v>
      </c>
      <c r="G458" s="35">
        <v>0.5049484555370729</v>
      </c>
      <c r="H458" s="35">
        <v>-2.0984780403905716E-2</v>
      </c>
    </row>
    <row r="459" spans="2:8" x14ac:dyDescent="0.35">
      <c r="B459" s="6">
        <v>45589</v>
      </c>
      <c r="C459" s="7" t="s">
        <v>34</v>
      </c>
      <c r="D459" s="35">
        <v>-7.8793370000000001E-4</v>
      </c>
      <c r="E459" s="35">
        <v>-7.8793370000000001E-4</v>
      </c>
      <c r="F459" s="35">
        <v>0.50376265593219238</v>
      </c>
      <c r="G459" s="35">
        <v>0.50376265593219238</v>
      </c>
      <c r="H459" s="35">
        <v>-7.8824428291430994E-4</v>
      </c>
    </row>
    <row r="460" spans="2:8" x14ac:dyDescent="0.35">
      <c r="B460" s="6">
        <v>45590</v>
      </c>
      <c r="C460" s="7" t="s">
        <v>34</v>
      </c>
      <c r="D460" s="35">
        <v>-1.2144002999999999E-3</v>
      </c>
      <c r="E460" s="35">
        <v>-1.2144002999999999E-3</v>
      </c>
      <c r="F460" s="35">
        <v>0.5019364861116995</v>
      </c>
      <c r="G460" s="35">
        <v>0.5019364861116995</v>
      </c>
      <c r="H460" s="35">
        <v>-1.2151382815748274E-3</v>
      </c>
    </row>
    <row r="461" spans="2:8" x14ac:dyDescent="0.35">
      <c r="B461" s="6">
        <v>45593</v>
      </c>
      <c r="C461" s="7" t="s">
        <v>34</v>
      </c>
      <c r="D461" s="35">
        <v>3.6735088000000001E-3</v>
      </c>
      <c r="E461" s="35">
        <v>3.6735088000000001E-3</v>
      </c>
      <c r="F461" s="35">
        <v>0.50745386301047191</v>
      </c>
      <c r="G461" s="35">
        <v>0.50745386301047191</v>
      </c>
      <c r="H461" s="35">
        <v>3.6667779454141931E-3</v>
      </c>
    </row>
    <row r="462" spans="2:8" x14ac:dyDescent="0.35">
      <c r="B462" s="6">
        <v>45594</v>
      </c>
      <c r="C462" s="7" t="s">
        <v>34</v>
      </c>
      <c r="D462" s="35">
        <v>-8.986555E-4</v>
      </c>
      <c r="E462" s="35">
        <v>-8.986555E-4</v>
      </c>
      <c r="F462" s="35">
        <v>0.50609918130548137</v>
      </c>
      <c r="G462" s="35">
        <v>0.50609918130548137</v>
      </c>
      <c r="H462" s="35">
        <v>-8.9905953292959738E-4</v>
      </c>
    </row>
    <row r="463" spans="2:8" x14ac:dyDescent="0.35">
      <c r="B463" s="6">
        <v>45595</v>
      </c>
      <c r="C463" s="7" t="s">
        <v>34</v>
      </c>
      <c r="D463" s="35">
        <v>-7.2781319999999997E-3</v>
      </c>
      <c r="E463" s="35">
        <v>-7.2781319999999997E-3</v>
      </c>
      <c r="F463" s="35">
        <v>0.49513759265884816</v>
      </c>
      <c r="G463" s="35">
        <v>0.49513759265884816</v>
      </c>
      <c r="H463" s="35">
        <v>-7.304746818776308E-3</v>
      </c>
    </row>
    <row r="464" spans="2:8" x14ac:dyDescent="0.35">
      <c r="B464" s="6">
        <v>45596</v>
      </c>
      <c r="C464" s="7" t="s">
        <v>34</v>
      </c>
      <c r="D464" s="35">
        <v>-1.6837914999999998E-2</v>
      </c>
      <c r="E464" s="35">
        <v>-1.6837914999999998E-2</v>
      </c>
      <c r="F464" s="35">
        <v>0.46996259296035392</v>
      </c>
      <c r="G464" s="35">
        <v>0.46996259296035392</v>
      </c>
      <c r="H464" s="35">
        <v>-1.6981284329858487E-2</v>
      </c>
    </row>
    <row r="465" spans="2:8" x14ac:dyDescent="0.35">
      <c r="B465" s="6">
        <v>45597</v>
      </c>
      <c r="C465" s="7" t="s">
        <v>34</v>
      </c>
      <c r="D465" s="35">
        <v>1.3065088000000001E-2</v>
      </c>
      <c r="E465" s="35">
        <v>1.3065088000000001E-2</v>
      </c>
      <c r="F465" s="35">
        <v>0.4891677835940893</v>
      </c>
      <c r="G465" s="35">
        <v>0.4891677835940893</v>
      </c>
      <c r="H465" s="35">
        <v>1.2980475917137914E-2</v>
      </c>
    </row>
    <row r="466" spans="2:8" x14ac:dyDescent="0.35">
      <c r="B466" s="6">
        <v>45600</v>
      </c>
      <c r="C466" s="7" t="s">
        <v>34</v>
      </c>
      <c r="D466" s="35">
        <v>-4.3340118000000002E-4</v>
      </c>
      <c r="E466" s="35">
        <v>-4.3340118000000002E-4</v>
      </c>
      <c r="F466" s="35">
        <v>0.48852237651946151</v>
      </c>
      <c r="G466" s="35">
        <v>0.48852237651946151</v>
      </c>
      <c r="H466" s="35">
        <v>-4.3349512543645012E-4</v>
      </c>
    </row>
    <row r="467" spans="2:8" x14ac:dyDescent="0.35">
      <c r="B467" s="6">
        <v>45601</v>
      </c>
      <c r="C467" s="7" t="s">
        <v>34</v>
      </c>
      <c r="D467" s="35">
        <v>-5.0994289999999997E-4</v>
      </c>
      <c r="E467" s="35">
        <v>-5.0994289999999997E-4</v>
      </c>
      <c r="F467" s="35">
        <v>0.48776331510206439</v>
      </c>
      <c r="G467" s="35">
        <v>0.48776331510206439</v>
      </c>
      <c r="H467" s="35">
        <v>-5.1007296509964135E-4</v>
      </c>
    </row>
    <row r="468" spans="2:8" x14ac:dyDescent="0.35">
      <c r="B468" s="6">
        <v>45602</v>
      </c>
      <c r="C468" s="7" t="s">
        <v>34</v>
      </c>
      <c r="D468" s="35">
        <v>2.6443930000000001E-2</v>
      </c>
      <c r="E468" s="35">
        <v>2.6443930000000001E-2</v>
      </c>
      <c r="F468" s="35">
        <v>0.52710562406319106</v>
      </c>
      <c r="G468" s="35">
        <v>0.52710562406319106</v>
      </c>
      <c r="H468" s="35">
        <v>2.6100333481334635E-2</v>
      </c>
    </row>
    <row r="469" spans="2:8" x14ac:dyDescent="0.35">
      <c r="B469" s="6">
        <v>45603</v>
      </c>
      <c r="C469" s="7" t="s">
        <v>34</v>
      </c>
      <c r="D469" s="35">
        <v>-8.1443399999999999E-3</v>
      </c>
      <c r="E469" s="35">
        <v>-8.1443399999999999E-3</v>
      </c>
      <c r="F469" s="35">
        <v>0.5146683566449084</v>
      </c>
      <c r="G469" s="35">
        <v>0.5146683566449084</v>
      </c>
      <c r="H469" s="35">
        <v>-8.1776863162609514E-3</v>
      </c>
    </row>
    <row r="470" spans="2:8" x14ac:dyDescent="0.35">
      <c r="B470" s="6">
        <v>45604</v>
      </c>
      <c r="C470" s="7" t="s">
        <v>34</v>
      </c>
      <c r="D470" s="35">
        <v>1.4031073E-2</v>
      </c>
      <c r="E470" s="35">
        <v>1.4031073E-2</v>
      </c>
      <c r="F470" s="35">
        <v>0.53592077892778311</v>
      </c>
      <c r="G470" s="35">
        <v>0.53592077892778311</v>
      </c>
      <c r="H470" s="35">
        <v>1.3933548683694987E-2</v>
      </c>
    </row>
    <row r="471" spans="2:8" x14ac:dyDescent="0.35">
      <c r="B471" s="6">
        <v>45607</v>
      </c>
      <c r="C471" s="7" t="s">
        <v>34</v>
      </c>
      <c r="D471" s="35">
        <v>7.778732E-3</v>
      </c>
      <c r="E471" s="35">
        <v>7.778732E-3</v>
      </c>
      <c r="F471" s="35">
        <v>0.54786829504029355</v>
      </c>
      <c r="G471" s="35">
        <v>0.54786829504029355</v>
      </c>
      <c r="H471" s="35">
        <v>7.7486336481504704E-3</v>
      </c>
    </row>
    <row r="472" spans="2:8" x14ac:dyDescent="0.35">
      <c r="B472" s="6">
        <v>45608</v>
      </c>
      <c r="C472" s="7" t="s">
        <v>34</v>
      </c>
      <c r="D472" s="35">
        <v>-3.6294393000000001E-2</v>
      </c>
      <c r="E472" s="35">
        <v>-3.6294393000000001E-2</v>
      </c>
      <c r="F472" s="35">
        <v>0.49168935482786114</v>
      </c>
      <c r="G472" s="35">
        <v>0.49168935482786114</v>
      </c>
      <c r="H472" s="35">
        <v>-3.6969417941136153E-2</v>
      </c>
    </row>
    <row r="473" spans="2:8" x14ac:dyDescent="0.35">
      <c r="B473" s="6">
        <v>45609</v>
      </c>
      <c r="C473" s="7" t="s">
        <v>34</v>
      </c>
      <c r="D473" s="35">
        <v>-1.9771442E-2</v>
      </c>
      <c r="E473" s="35">
        <v>-1.9771442E-2</v>
      </c>
      <c r="F473" s="35">
        <v>0.46219650526686462</v>
      </c>
      <c r="G473" s="35">
        <v>0.46219650526686462</v>
      </c>
      <c r="H473" s="35">
        <v>-1.9969512060667445E-2</v>
      </c>
    </row>
    <row r="474" spans="2:8" x14ac:dyDescent="0.35">
      <c r="B474" s="6">
        <v>45610</v>
      </c>
      <c r="C474" s="7" t="s">
        <v>34</v>
      </c>
      <c r="D474" s="35">
        <v>-4.5394886000000002E-2</v>
      </c>
      <c r="E474" s="35">
        <v>-4.5394886000000002E-2</v>
      </c>
      <c r="F474" s="35">
        <v>0.39582026160067696</v>
      </c>
      <c r="G474" s="35">
        <v>0.39582026160067696</v>
      </c>
      <c r="H474" s="35">
        <v>-4.6457517207007873E-2</v>
      </c>
    </row>
    <row r="475" spans="2:8" x14ac:dyDescent="0.35">
      <c r="B475" s="6">
        <v>45611</v>
      </c>
      <c r="C475" s="7" t="s">
        <v>34</v>
      </c>
      <c r="D475" s="35">
        <v>-4.4285829999999998E-2</v>
      </c>
      <c r="E475" s="35">
        <v>-4.4285829999999998E-2</v>
      </c>
      <c r="F475" s="35">
        <v>0.33400520278487389</v>
      </c>
      <c r="G475" s="35">
        <v>0.33400520278487389</v>
      </c>
      <c r="H475" s="35">
        <v>-4.5296395991416709E-2</v>
      </c>
    </row>
    <row r="476" spans="2:8" x14ac:dyDescent="0.35">
      <c r="B476" s="6">
        <v>45614</v>
      </c>
      <c r="C476" s="7" t="s">
        <v>34</v>
      </c>
      <c r="D476" s="35">
        <v>-2.2670547999999999E-2</v>
      </c>
      <c r="E476" s="35">
        <v>-2.2670547999999999E-2</v>
      </c>
      <c r="F476" s="35">
        <v>0.30376257380288973</v>
      </c>
      <c r="G476" s="35">
        <v>0.30376257380288973</v>
      </c>
      <c r="H476" s="35">
        <v>-2.2931476002204396E-2</v>
      </c>
    </row>
    <row r="477" spans="2:8" x14ac:dyDescent="0.35">
      <c r="B477" s="6">
        <v>45615</v>
      </c>
      <c r="C477" s="7" t="s">
        <v>34</v>
      </c>
      <c r="D477" s="35">
        <v>1.51616335E-2</v>
      </c>
      <c r="E477" s="35">
        <v>1.51616335E-2</v>
      </c>
      <c r="F477" s="35">
        <v>0.32352974411790592</v>
      </c>
      <c r="G477" s="35">
        <v>0.32352974411790592</v>
      </c>
      <c r="H477" s="35">
        <v>1.5047844643225229E-2</v>
      </c>
    </row>
    <row r="478" spans="2:8" x14ac:dyDescent="0.35">
      <c r="B478" s="6">
        <v>45616</v>
      </c>
      <c r="C478" s="7" t="s">
        <v>34</v>
      </c>
      <c r="D478" s="35">
        <v>-6.4555810000000002E-3</v>
      </c>
      <c r="E478" s="35">
        <v>-6.4555810000000002E-3</v>
      </c>
      <c r="F478" s="35">
        <v>0.31498559064884346</v>
      </c>
      <c r="G478" s="35">
        <v>0.31498559064884346</v>
      </c>
      <c r="H478" s="35">
        <v>-6.4765083772293083E-3</v>
      </c>
    </row>
    <row r="479" spans="2:8" x14ac:dyDescent="0.35">
      <c r="B479" s="6">
        <v>45617</v>
      </c>
      <c r="C479" s="7" t="s">
        <v>34</v>
      </c>
      <c r="D479" s="35">
        <v>4.922549E-4</v>
      </c>
      <c r="E479" s="35">
        <v>4.922549E-4</v>
      </c>
      <c r="F479" s="35">
        <v>0.31563289874926959</v>
      </c>
      <c r="G479" s="35">
        <v>0.31563289874926959</v>
      </c>
      <c r="H479" s="35">
        <v>4.9213378230220301E-4</v>
      </c>
    </row>
    <row r="480" spans="2:8" x14ac:dyDescent="0.35">
      <c r="B480" s="6">
        <v>45618</v>
      </c>
      <c r="C480" s="7" t="s">
        <v>34</v>
      </c>
      <c r="D480" s="35">
        <v>1.8559339000000001E-2</v>
      </c>
      <c r="E480" s="35">
        <v>1.8559339000000001E-2</v>
      </c>
      <c r="F480" s="35">
        <v>0.34005017571671003</v>
      </c>
      <c r="G480" s="35">
        <v>0.34005017571671003</v>
      </c>
      <c r="H480" s="35">
        <v>1.8389216155992445E-2</v>
      </c>
    </row>
    <row r="481" spans="2:8" x14ac:dyDescent="0.35">
      <c r="B481" s="6">
        <v>45621</v>
      </c>
      <c r="C481" s="7" t="s">
        <v>34</v>
      </c>
      <c r="D481" s="35">
        <v>1.3134886E-2</v>
      </c>
      <c r="E481" s="35">
        <v>1.3134886E-2</v>
      </c>
      <c r="F481" s="35">
        <v>0.35765158200902891</v>
      </c>
      <c r="G481" s="35">
        <v>0.35765158200902891</v>
      </c>
      <c r="H481" s="35">
        <v>1.3049371387400676E-2</v>
      </c>
    </row>
    <row r="482" spans="2:8" x14ac:dyDescent="0.35">
      <c r="B482" s="6">
        <v>45622</v>
      </c>
      <c r="C482" s="7" t="s">
        <v>34</v>
      </c>
      <c r="D482" s="35">
        <v>1.2668201E-2</v>
      </c>
      <c r="E482" s="35">
        <v>1.2668201E-2</v>
      </c>
      <c r="F482" s="35">
        <v>0.37485058513788738</v>
      </c>
      <c r="G482" s="35">
        <v>0.37485058513788738</v>
      </c>
      <c r="H482" s="35">
        <v>1.2588630645864183E-2</v>
      </c>
    </row>
    <row r="483" spans="2:8" x14ac:dyDescent="0.35">
      <c r="B483" s="6">
        <v>45623</v>
      </c>
      <c r="C483" s="7" t="s">
        <v>34</v>
      </c>
      <c r="D483" s="35">
        <v>6.4150409999999998E-3</v>
      </c>
      <c r="E483" s="35">
        <v>6.4150409999999998E-3</v>
      </c>
      <c r="F483" s="35">
        <v>0.38367030801042068</v>
      </c>
      <c r="G483" s="35">
        <v>0.38367030801042068</v>
      </c>
      <c r="H483" s="35">
        <v>6.3945522021198256E-3</v>
      </c>
    </row>
    <row r="484" spans="2:8" x14ac:dyDescent="0.35">
      <c r="B484" s="6">
        <v>45625</v>
      </c>
      <c r="C484" s="7" t="s">
        <v>34</v>
      </c>
      <c r="D484" s="35">
        <v>-1.8455094434011166E-4</v>
      </c>
      <c r="E484" s="35">
        <v>-1.8455094434011166E-4</v>
      </c>
      <c r="F484" s="35">
        <v>0.38341495034842188</v>
      </c>
      <c r="G484" s="35">
        <v>0.38341495034842188</v>
      </c>
      <c r="H484" s="35">
        <v>-1.8456797596114012E-4</v>
      </c>
    </row>
    <row r="485" spans="2:8" x14ac:dyDescent="0.35">
      <c r="B485" s="6">
        <v>45628</v>
      </c>
      <c r="C485" s="7" t="s">
        <v>34</v>
      </c>
      <c r="D485" s="35">
        <v>1.7617050999999999E-3</v>
      </c>
      <c r="E485" s="35">
        <v>1.7617050999999999E-3</v>
      </c>
      <c r="F485" s="35">
        <v>0.38585211952186693</v>
      </c>
      <c r="G485" s="35">
        <v>0.38585211952186693</v>
      </c>
      <c r="H485" s="35">
        <v>1.7601551177111841E-3</v>
      </c>
    </row>
    <row r="486" spans="2:8" x14ac:dyDescent="0.35">
      <c r="B486" s="6">
        <v>45629</v>
      </c>
      <c r="C486" s="7" t="s">
        <v>34</v>
      </c>
      <c r="D486" s="35">
        <v>-2.5427862999999998E-2</v>
      </c>
      <c r="E486" s="35">
        <v>-2.5427862999999998E-2</v>
      </c>
      <c r="F486" s="35">
        <v>0.35061286168840522</v>
      </c>
      <c r="G486" s="35">
        <v>0.35061286168840522</v>
      </c>
      <c r="H486" s="35">
        <v>-2.5756738146194752E-2</v>
      </c>
    </row>
    <row r="487" spans="2:8" x14ac:dyDescent="0.35">
      <c r="B487" s="6">
        <v>45630</v>
      </c>
      <c r="C487" s="7" t="s">
        <v>34</v>
      </c>
      <c r="D487" s="35">
        <v>1.1832952000000001E-2</v>
      </c>
      <c r="E487" s="35">
        <v>1.1832952000000001E-2</v>
      </c>
      <c r="F487" s="35">
        <v>0.36659459885134682</v>
      </c>
      <c r="G487" s="35">
        <v>0.36659459885134682</v>
      </c>
      <c r="H487" s="35">
        <v>1.1763490046509315E-2</v>
      </c>
    </row>
    <row r="488" spans="2:8" x14ac:dyDescent="0.35">
      <c r="B488" s="6">
        <v>45631</v>
      </c>
      <c r="C488" s="7" t="s">
        <v>34</v>
      </c>
      <c r="D488" s="35">
        <v>-1.9634545E-2</v>
      </c>
      <c r="E488" s="35">
        <v>-1.9634545E-2</v>
      </c>
      <c r="F488" s="35">
        <v>0.33976213570344327</v>
      </c>
      <c r="G488" s="35">
        <v>0.33976213570344327</v>
      </c>
      <c r="H488" s="35">
        <v>-1.9829863567083519E-2</v>
      </c>
    </row>
    <row r="489" spans="2:8" x14ac:dyDescent="0.35">
      <c r="B489" s="6">
        <v>45632</v>
      </c>
      <c r="C489" s="7" t="s">
        <v>34</v>
      </c>
      <c r="D489" s="35">
        <v>3.1007513E-2</v>
      </c>
      <c r="E489" s="35">
        <v>3.1007513E-2</v>
      </c>
      <c r="F489" s="35">
        <v>0.38130482754317563</v>
      </c>
      <c r="G489" s="35">
        <v>0.38130482754317563</v>
      </c>
      <c r="H489" s="35">
        <v>3.0536492108175137E-2</v>
      </c>
    </row>
    <row r="490" spans="2:8" x14ac:dyDescent="0.35">
      <c r="B490" s="6">
        <v>45635</v>
      </c>
      <c r="C490" s="7" t="s">
        <v>34</v>
      </c>
      <c r="D490" s="35">
        <v>-1.5020084E-2</v>
      </c>
      <c r="E490" s="35">
        <v>-1.5020084E-2</v>
      </c>
      <c r="F490" s="35">
        <v>0.36055751300387162</v>
      </c>
      <c r="G490" s="35">
        <v>0.36055751300387162</v>
      </c>
      <c r="H490" s="35">
        <v>-1.5134027865639667E-2</v>
      </c>
    </row>
    <row r="491" spans="2:8" x14ac:dyDescent="0.35">
      <c r="B491" s="6">
        <v>45636</v>
      </c>
      <c r="C491" s="7" t="s">
        <v>34</v>
      </c>
      <c r="D491" s="35">
        <v>-1.1857876E-2</v>
      </c>
      <c r="E491" s="35">
        <v>-1.1857876E-2</v>
      </c>
      <c r="F491" s="35">
        <v>0.34442419072380326</v>
      </c>
      <c r="G491" s="35">
        <v>0.34442419072380326</v>
      </c>
      <c r="H491" s="35">
        <v>-1.1928741377288329E-2</v>
      </c>
    </row>
    <row r="492" spans="2:8" x14ac:dyDescent="0.35">
      <c r="B492" s="6">
        <v>45637</v>
      </c>
      <c r="C492" s="7" t="s">
        <v>34</v>
      </c>
      <c r="D492" s="35">
        <v>-1.1447891E-2</v>
      </c>
      <c r="E492" s="35">
        <v>-1.1447891E-2</v>
      </c>
      <c r="F492" s="35">
        <v>0.32903336913063397</v>
      </c>
      <c r="G492" s="35">
        <v>0.32903336913063397</v>
      </c>
      <c r="H492" s="35">
        <v>-1.1513922535775571E-2</v>
      </c>
    </row>
    <row r="493" spans="2:8" x14ac:dyDescent="0.35">
      <c r="B493" s="6">
        <v>45638</v>
      </c>
      <c r="C493" s="7" t="s">
        <v>34</v>
      </c>
      <c r="D493" s="35">
        <v>-7.6591380000000001E-2</v>
      </c>
      <c r="E493" s="35">
        <v>-7.6591380000000001E-2</v>
      </c>
      <c r="F493" s="35">
        <v>0.22724086932286935</v>
      </c>
      <c r="G493" s="35">
        <v>0.22724086932286935</v>
      </c>
      <c r="H493" s="35">
        <v>-7.9683433886759747E-2</v>
      </c>
    </row>
    <row r="494" spans="2:8" x14ac:dyDescent="0.35">
      <c r="B494" s="6">
        <v>45639</v>
      </c>
      <c r="C494" s="7" t="s">
        <v>34</v>
      </c>
      <c r="D494" s="35">
        <v>-1.2006538000000001E-2</v>
      </c>
      <c r="E494" s="35">
        <v>-1.2006538000000001E-2</v>
      </c>
      <c r="F494" s="35">
        <v>0.21250595519019133</v>
      </c>
      <c r="G494" s="35">
        <v>0.21250595519019133</v>
      </c>
      <c r="H494" s="35">
        <v>-1.2079198665071221E-2</v>
      </c>
    </row>
    <row r="495" spans="2:8" x14ac:dyDescent="0.35">
      <c r="B495" s="6">
        <v>45642</v>
      </c>
      <c r="C495" s="7" t="s">
        <v>34</v>
      </c>
      <c r="D495" s="35">
        <v>2.3924452999999998E-2</v>
      </c>
      <c r="E495" s="35">
        <v>2.3924452999999998E-2</v>
      </c>
      <c r="F495" s="35">
        <v>0.24151449692735927</v>
      </c>
      <c r="G495" s="35">
        <v>0.24151449692735927</v>
      </c>
      <c r="H495" s="35">
        <v>2.3642747528518516E-2</v>
      </c>
    </row>
    <row r="496" spans="2:8" x14ac:dyDescent="0.35">
      <c r="B496" s="6">
        <v>45643</v>
      </c>
      <c r="C496" s="7" t="s">
        <v>34</v>
      </c>
      <c r="D496" s="35">
        <v>-2.7896585000000002E-3</v>
      </c>
      <c r="E496" s="35">
        <v>-2.7896585000000002E-3</v>
      </c>
      <c r="F496" s="35">
        <v>0.23805109545813252</v>
      </c>
      <c r="G496" s="35">
        <v>0.23805109545813252</v>
      </c>
      <c r="H496" s="35">
        <v>-2.7935568490028871E-3</v>
      </c>
    </row>
    <row r="497" spans="2:8" x14ac:dyDescent="0.35">
      <c r="B497" s="6">
        <v>45644</v>
      </c>
      <c r="C497" s="7" t="s">
        <v>34</v>
      </c>
      <c r="D497" s="35">
        <v>-4.169805E-2</v>
      </c>
      <c r="E497" s="35">
        <v>-4.169805E-2</v>
      </c>
      <c r="F497" s="35">
        <v>0.18642677897716453</v>
      </c>
      <c r="G497" s="35">
        <v>0.18642677897716453</v>
      </c>
      <c r="H497" s="35">
        <v>-4.259236278110469E-2</v>
      </c>
    </row>
    <row r="498" spans="2:8" x14ac:dyDescent="0.35">
      <c r="B498" s="6">
        <v>45645</v>
      </c>
      <c r="C498" s="7" t="s">
        <v>34</v>
      </c>
      <c r="D498" s="35">
        <v>7.2093178000000001E-3</v>
      </c>
      <c r="E498" s="35">
        <v>7.2093178000000001E-3</v>
      </c>
      <c r="F498" s="35">
        <v>0.19498010667324106</v>
      </c>
      <c r="G498" s="35">
        <v>0.19498010667324106</v>
      </c>
      <c r="H498" s="35">
        <v>7.1834548966300078E-3</v>
      </c>
    </row>
    <row r="499" spans="2:8" x14ac:dyDescent="0.35">
      <c r="B499" s="6">
        <v>45646</v>
      </c>
      <c r="C499" s="7" t="s">
        <v>34</v>
      </c>
      <c r="D499" s="35">
        <v>-4.4229174999999999E-3</v>
      </c>
      <c r="E499" s="35">
        <v>-4.4229174999999999E-3</v>
      </c>
      <c r="F499" s="35">
        <v>0.18969480824728402</v>
      </c>
      <c r="G499" s="35">
        <v>0.18969480824728402</v>
      </c>
      <c r="H499" s="35">
        <v>-4.4327275362800005E-3</v>
      </c>
    </row>
    <row r="500" spans="2:8" x14ac:dyDescent="0.35">
      <c r="B500" s="6">
        <v>45649</v>
      </c>
      <c r="C500" s="7" t="s">
        <v>34</v>
      </c>
      <c r="D500" s="35">
        <v>3.4131259999999998E-3</v>
      </c>
      <c r="E500" s="35">
        <v>3.4131259999999998E-3</v>
      </c>
      <c r="F500" s="35">
        <v>0.19375538652937796</v>
      </c>
      <c r="G500" s="35">
        <v>0.19375538652937796</v>
      </c>
      <c r="H500" s="35">
        <v>3.407314505275677E-3</v>
      </c>
    </row>
    <row r="501" spans="2:8" x14ac:dyDescent="0.35">
      <c r="B501" s="6">
        <v>45650</v>
      </c>
      <c r="C501" s="7" t="s">
        <v>34</v>
      </c>
      <c r="D501" s="35">
        <v>-1.5441701E-4</v>
      </c>
      <c r="E501" s="35">
        <v>-1.5441701E-4</v>
      </c>
      <c r="F501" s="35">
        <v>0.1935710503919188</v>
      </c>
      <c r="G501" s="35">
        <v>0.1935710503919188</v>
      </c>
      <c r="H501" s="35">
        <v>-1.5442893353393187E-4</v>
      </c>
    </row>
    <row r="502" spans="2:8" x14ac:dyDescent="0.35">
      <c r="B502" s="6">
        <v>45652</v>
      </c>
      <c r="C502" s="7" t="s">
        <v>34</v>
      </c>
      <c r="D502" s="35">
        <v>2.5916560333741234E-2</v>
      </c>
      <c r="E502" s="35">
        <v>2.5916560333741234E-2</v>
      </c>
      <c r="F502" s="35">
        <v>0.22450430653200781</v>
      </c>
      <c r="G502" s="35">
        <v>0.22450430653200781</v>
      </c>
      <c r="H502" s="35">
        <v>2.5586418230725012E-2</v>
      </c>
    </row>
    <row r="503" spans="2:8" x14ac:dyDescent="0.35">
      <c r="B503" s="6">
        <v>45653</v>
      </c>
      <c r="C503" s="7" t="s">
        <v>34</v>
      </c>
      <c r="D503" s="35">
        <v>-2.9991178E-2</v>
      </c>
      <c r="E503" s="35">
        <v>-2.9991178E-2</v>
      </c>
      <c r="F503" s="35">
        <v>0.18777997991303996</v>
      </c>
      <c r="G503" s="35">
        <v>0.18777997991303996</v>
      </c>
      <c r="H503" s="35">
        <v>-3.0450112680705528E-2</v>
      </c>
    </row>
    <row r="504" spans="2:8" x14ac:dyDescent="0.35">
      <c r="B504" s="6">
        <v>45656</v>
      </c>
      <c r="C504" s="7" t="s">
        <v>34</v>
      </c>
      <c r="D504" s="35">
        <v>-1.5151006999999999E-2</v>
      </c>
      <c r="E504" s="35">
        <v>-1.5151006999999999E-2</v>
      </c>
      <c r="F504" s="35">
        <v>0.16978391712291763</v>
      </c>
      <c r="G504" s="35">
        <v>0.16978391712291763</v>
      </c>
      <c r="H504" s="35">
        <v>-1.5266956161690827E-2</v>
      </c>
    </row>
    <row r="505" spans="2:8" x14ac:dyDescent="0.35">
      <c r="B505" s="6">
        <v>45657</v>
      </c>
      <c r="C505" s="7" t="s">
        <v>34</v>
      </c>
      <c r="D505" s="35">
        <v>9.4204955000000007E-3</v>
      </c>
      <c r="E505" s="35">
        <v>9.4204955000000007E-3</v>
      </c>
      <c r="F505" s="35">
        <v>0.18080386125014636</v>
      </c>
      <c r="G505" s="35">
        <v>0.18080386125014636</v>
      </c>
      <c r="H505" s="35">
        <v>9.3763993543061926E-3</v>
      </c>
    </row>
    <row r="506" spans="2:8" x14ac:dyDescent="0.35">
      <c r="B506" s="6"/>
      <c r="C506" s="7"/>
      <c r="D506" s="35"/>
      <c r="E506" s="35"/>
      <c r="F506" s="35"/>
      <c r="G506" s="35"/>
      <c r="H506" s="35"/>
    </row>
    <row r="507" spans="2:8" x14ac:dyDescent="0.35">
      <c r="B507" s="6"/>
      <c r="C507" s="7"/>
      <c r="D507" s="35"/>
      <c r="E507" s="35"/>
      <c r="F507" s="35"/>
      <c r="G507" s="35"/>
      <c r="H507" s="35"/>
    </row>
    <row r="508" spans="2:8" x14ac:dyDescent="0.35">
      <c r="B508" s="6"/>
      <c r="C508" s="7"/>
      <c r="D508" s="35"/>
      <c r="E508" s="35"/>
      <c r="F508" s="35"/>
      <c r="G508" s="35"/>
      <c r="H508" s="35"/>
    </row>
    <row r="509" spans="2:8" x14ac:dyDescent="0.35">
      <c r="B509" s="6"/>
      <c r="C509" s="7"/>
      <c r="D509" s="35"/>
      <c r="E509" s="35"/>
      <c r="F509" s="35"/>
      <c r="G509" s="35"/>
      <c r="H509" s="35"/>
    </row>
    <row r="510" spans="2:8" x14ac:dyDescent="0.35">
      <c r="B510" s="6"/>
      <c r="C510" s="7"/>
      <c r="D510" s="35"/>
      <c r="E510" s="35"/>
      <c r="F510" s="35"/>
      <c r="G510" s="35"/>
      <c r="H510" s="35"/>
    </row>
    <row r="511" spans="2:8" x14ac:dyDescent="0.35">
      <c r="B511" s="6"/>
      <c r="C511" s="7"/>
      <c r="D511" s="35"/>
      <c r="E511" s="35"/>
      <c r="F511" s="35"/>
      <c r="G511" s="35"/>
      <c r="H511" s="35"/>
    </row>
    <row r="512" spans="2:8" x14ac:dyDescent="0.35">
      <c r="B512" s="6"/>
      <c r="C512" s="7"/>
      <c r="D512" s="35"/>
      <c r="E512" s="35"/>
      <c r="F512" s="35"/>
      <c r="G512" s="35"/>
      <c r="H512" s="35"/>
    </row>
    <row r="513" spans="2:8" x14ac:dyDescent="0.35">
      <c r="B513" s="6"/>
      <c r="C513" s="7"/>
      <c r="D513" s="35"/>
      <c r="E513" s="35"/>
      <c r="F513" s="35"/>
      <c r="G513" s="35"/>
      <c r="H513" s="35"/>
    </row>
    <row r="514" spans="2:8" x14ac:dyDescent="0.35">
      <c r="B514" s="6"/>
      <c r="C514" s="7"/>
      <c r="D514" s="35"/>
      <c r="E514" s="35"/>
      <c r="F514" s="35"/>
      <c r="G514" s="35"/>
      <c r="H514" s="35"/>
    </row>
    <row r="515" spans="2:8" x14ac:dyDescent="0.35">
      <c r="B515" s="6"/>
      <c r="C515" s="7"/>
      <c r="D515" s="35"/>
      <c r="E515" s="35"/>
      <c r="F515" s="35"/>
      <c r="G515" s="35"/>
      <c r="H515" s="35"/>
    </row>
    <row r="516" spans="2:8" x14ac:dyDescent="0.35">
      <c r="B516" s="6"/>
      <c r="C516" s="7"/>
      <c r="D516" s="35"/>
      <c r="E516" s="35"/>
      <c r="F516" s="35"/>
      <c r="G516" s="35"/>
      <c r="H516" s="35"/>
    </row>
    <row r="517" spans="2:8" x14ac:dyDescent="0.35">
      <c r="B517" s="6"/>
      <c r="C517" s="7"/>
      <c r="D517" s="35"/>
      <c r="E517" s="35"/>
      <c r="F517" s="35"/>
      <c r="G517" s="35"/>
      <c r="H517" s="35"/>
    </row>
    <row r="518" spans="2:8" x14ac:dyDescent="0.35">
      <c r="B518" s="6"/>
      <c r="C518" s="7"/>
      <c r="D518" s="35"/>
      <c r="E518" s="35"/>
      <c r="F518" s="35"/>
      <c r="G518" s="35"/>
      <c r="H518" s="35"/>
    </row>
    <row r="519" spans="2:8" x14ac:dyDescent="0.35">
      <c r="B519" s="6"/>
      <c r="C519" s="7"/>
      <c r="D519" s="35"/>
      <c r="E519" s="35"/>
      <c r="F519" s="35"/>
      <c r="G519" s="35"/>
      <c r="H519" s="35"/>
    </row>
    <row r="520" spans="2:8" x14ac:dyDescent="0.35">
      <c r="B520" s="6"/>
      <c r="C520" s="7"/>
      <c r="D520" s="35"/>
      <c r="E520" s="35"/>
      <c r="F520" s="35"/>
      <c r="G520" s="35"/>
      <c r="H520" s="35"/>
    </row>
    <row r="521" spans="2:8" x14ac:dyDescent="0.35">
      <c r="B521" s="6"/>
      <c r="C521" s="7"/>
      <c r="D521" s="35"/>
      <c r="E521" s="35"/>
      <c r="F521" s="35"/>
      <c r="G521" s="35"/>
      <c r="H521" s="35"/>
    </row>
    <row r="522" spans="2:8" x14ac:dyDescent="0.35">
      <c r="B522" s="6"/>
      <c r="C522" s="7"/>
      <c r="D522" s="35"/>
      <c r="E522" s="35"/>
      <c r="F522" s="35"/>
      <c r="G522" s="35"/>
      <c r="H522" s="35"/>
    </row>
    <row r="523" spans="2:8" x14ac:dyDescent="0.35">
      <c r="B523" s="6"/>
      <c r="C523" s="7"/>
      <c r="D523" s="35"/>
      <c r="E523" s="35"/>
      <c r="F523" s="35"/>
      <c r="G523" s="35"/>
      <c r="H523" s="35"/>
    </row>
    <row r="524" spans="2:8" x14ac:dyDescent="0.35">
      <c r="B524" s="6"/>
      <c r="C524" s="7"/>
      <c r="D524" s="35"/>
      <c r="E524" s="35"/>
      <c r="F524" s="35"/>
      <c r="G524" s="35"/>
      <c r="H524" s="35"/>
    </row>
    <row r="525" spans="2:8" x14ac:dyDescent="0.35">
      <c r="B525" s="6"/>
      <c r="C525" s="7"/>
      <c r="D525" s="35"/>
      <c r="E525" s="35"/>
      <c r="F525" s="35"/>
      <c r="G525" s="35"/>
      <c r="H525" s="35"/>
    </row>
    <row r="526" spans="2:8" x14ac:dyDescent="0.35">
      <c r="B526" s="6"/>
      <c r="C526" s="7"/>
      <c r="D526" s="35"/>
      <c r="E526" s="35"/>
      <c r="F526" s="35"/>
      <c r="G526" s="35"/>
      <c r="H526" s="35"/>
    </row>
    <row r="527" spans="2:8" x14ac:dyDescent="0.35">
      <c r="B527" s="6"/>
      <c r="C527" s="7"/>
      <c r="D527" s="35"/>
      <c r="E527" s="35"/>
      <c r="F527" s="35"/>
      <c r="G527" s="35"/>
      <c r="H527" s="35"/>
    </row>
    <row r="528" spans="2:8" x14ac:dyDescent="0.35">
      <c r="B528" s="6"/>
      <c r="C528" s="7"/>
      <c r="D528" s="35"/>
      <c r="E528" s="35"/>
      <c r="F528" s="35"/>
      <c r="G528" s="35"/>
      <c r="H528" s="35"/>
    </row>
    <row r="529" spans="2:8" x14ac:dyDescent="0.35">
      <c r="B529" s="6"/>
      <c r="C529" s="7"/>
      <c r="D529" s="35"/>
      <c r="E529" s="35"/>
      <c r="F529" s="35"/>
      <c r="G529" s="35"/>
      <c r="H529" s="35"/>
    </row>
    <row r="530" spans="2:8" x14ac:dyDescent="0.35">
      <c r="B530" s="6"/>
      <c r="C530" s="7"/>
      <c r="D530" s="35"/>
      <c r="E530" s="35"/>
      <c r="F530" s="35"/>
      <c r="G530" s="35"/>
      <c r="H530" s="35"/>
    </row>
    <row r="531" spans="2:8" x14ac:dyDescent="0.35">
      <c r="B531" s="6"/>
      <c r="C531" s="7"/>
      <c r="D531" s="35"/>
      <c r="E531" s="35"/>
      <c r="F531" s="35"/>
      <c r="G531" s="35"/>
      <c r="H531" s="35"/>
    </row>
    <row r="532" spans="2:8" x14ac:dyDescent="0.35">
      <c r="B532" s="6"/>
      <c r="C532" s="7"/>
      <c r="D532" s="35"/>
      <c r="E532" s="35"/>
      <c r="F532" s="35"/>
      <c r="G532" s="35"/>
      <c r="H532" s="35"/>
    </row>
    <row r="533" spans="2:8" x14ac:dyDescent="0.35">
      <c r="B533" s="6"/>
      <c r="C533" s="7"/>
      <c r="D533" s="35"/>
      <c r="E533" s="35"/>
      <c r="F533" s="35"/>
      <c r="G533" s="35"/>
      <c r="H533" s="35"/>
    </row>
    <row r="534" spans="2:8" x14ac:dyDescent="0.35">
      <c r="B534" s="6"/>
      <c r="C534" s="7"/>
      <c r="D534" s="35"/>
      <c r="E534" s="35"/>
      <c r="F534" s="35"/>
      <c r="G534" s="35"/>
      <c r="H534" s="35"/>
    </row>
    <row r="535" spans="2:8" x14ac:dyDescent="0.35">
      <c r="B535" s="6"/>
      <c r="C535" s="7"/>
      <c r="D535" s="35"/>
      <c r="E535" s="35"/>
      <c r="F535" s="35"/>
      <c r="G535" s="35"/>
      <c r="H535" s="35"/>
    </row>
    <row r="536" spans="2:8" x14ac:dyDescent="0.35">
      <c r="B536" s="6"/>
      <c r="C536" s="7"/>
      <c r="D536" s="35"/>
      <c r="E536" s="35"/>
      <c r="F536" s="35"/>
      <c r="G536" s="35"/>
      <c r="H536" s="35"/>
    </row>
    <row r="537" spans="2:8" x14ac:dyDescent="0.35">
      <c r="B537" s="6"/>
      <c r="C537" s="7"/>
      <c r="D537" s="35"/>
      <c r="E537" s="35"/>
      <c r="F537" s="35"/>
      <c r="G537" s="35"/>
      <c r="H537" s="35"/>
    </row>
    <row r="538" spans="2:8" x14ac:dyDescent="0.35">
      <c r="B538" s="6"/>
      <c r="C538" s="7"/>
      <c r="D538" s="35"/>
      <c r="E538" s="35"/>
      <c r="F538" s="35"/>
      <c r="G538" s="35"/>
      <c r="H538" s="35"/>
    </row>
    <row r="539" spans="2:8" x14ac:dyDescent="0.35">
      <c r="B539" s="6"/>
      <c r="C539" s="7"/>
      <c r="D539" s="35"/>
      <c r="E539" s="35"/>
      <c r="F539" s="35"/>
      <c r="G539" s="35"/>
      <c r="H539" s="35"/>
    </row>
    <row r="540" spans="2:8" x14ac:dyDescent="0.35">
      <c r="B540" s="6"/>
      <c r="C540" s="7"/>
      <c r="D540" s="35"/>
      <c r="E540" s="35"/>
      <c r="F540" s="35"/>
      <c r="G540" s="35"/>
      <c r="H540" s="35"/>
    </row>
    <row r="541" spans="2:8" x14ac:dyDescent="0.35">
      <c r="B541" s="6"/>
      <c r="C541" s="7"/>
      <c r="D541" s="35"/>
      <c r="E541" s="35"/>
      <c r="F541" s="35"/>
      <c r="G541" s="35"/>
      <c r="H541" s="35"/>
    </row>
    <row r="542" spans="2:8" x14ac:dyDescent="0.35">
      <c r="B542" s="6"/>
      <c r="C542" s="7"/>
      <c r="D542" s="35"/>
      <c r="E542" s="35"/>
      <c r="F542" s="35"/>
      <c r="G542" s="35"/>
      <c r="H542" s="35"/>
    </row>
    <row r="543" spans="2:8" x14ac:dyDescent="0.35">
      <c r="B543" s="6"/>
      <c r="C543" s="7"/>
      <c r="D543" s="35"/>
      <c r="E543" s="35"/>
      <c r="F543" s="35"/>
      <c r="G543" s="35"/>
      <c r="H543" s="35"/>
    </row>
    <row r="544" spans="2:8" x14ac:dyDescent="0.35">
      <c r="B544" s="6"/>
      <c r="C544" s="7"/>
      <c r="D544" s="35"/>
      <c r="E544" s="35"/>
      <c r="F544" s="35"/>
      <c r="G544" s="35"/>
      <c r="H544" s="35"/>
    </row>
    <row r="545" spans="2:8" x14ac:dyDescent="0.35">
      <c r="B545" s="6"/>
      <c r="C545" s="7"/>
      <c r="D545" s="35"/>
      <c r="E545" s="35"/>
      <c r="F545" s="35"/>
      <c r="G545" s="35"/>
      <c r="H545" s="35"/>
    </row>
    <row r="546" spans="2:8" x14ac:dyDescent="0.35">
      <c r="B546" s="6"/>
      <c r="C546" s="7"/>
      <c r="D546" s="35"/>
      <c r="E546" s="35"/>
      <c r="F546" s="35"/>
      <c r="G546" s="35"/>
      <c r="H546" s="35"/>
    </row>
    <row r="547" spans="2:8" x14ac:dyDescent="0.35">
      <c r="B547" s="6"/>
      <c r="C547" s="7"/>
      <c r="D547" s="35"/>
      <c r="E547" s="35"/>
      <c r="F547" s="35"/>
      <c r="G547" s="35"/>
      <c r="H547" s="35"/>
    </row>
    <row r="548" spans="2:8" x14ac:dyDescent="0.35">
      <c r="B548" s="6"/>
      <c r="C548" s="7"/>
      <c r="D548" s="35"/>
      <c r="E548" s="35"/>
      <c r="F548" s="35"/>
      <c r="G548" s="35"/>
      <c r="H548" s="35"/>
    </row>
    <row r="549" spans="2:8" x14ac:dyDescent="0.35">
      <c r="B549" s="6"/>
      <c r="C549" s="7"/>
      <c r="D549" s="35"/>
      <c r="E549" s="35"/>
      <c r="F549" s="35"/>
      <c r="G549" s="35"/>
      <c r="H549" s="35"/>
    </row>
    <row r="550" spans="2:8" x14ac:dyDescent="0.35">
      <c r="B550" s="6"/>
      <c r="C550" s="7"/>
      <c r="D550" s="35"/>
      <c r="E550" s="35"/>
      <c r="F550" s="35"/>
      <c r="G550" s="35"/>
      <c r="H550" s="35"/>
    </row>
    <row r="551" spans="2:8" x14ac:dyDescent="0.35">
      <c r="B551" s="6"/>
      <c r="C551" s="7"/>
      <c r="D551" s="35"/>
      <c r="E551" s="35"/>
      <c r="F551" s="35"/>
      <c r="G551" s="35"/>
      <c r="H551" s="35"/>
    </row>
    <row r="552" spans="2:8" x14ac:dyDescent="0.35">
      <c r="B552" s="6"/>
      <c r="C552" s="7"/>
      <c r="D552" s="35"/>
      <c r="E552" s="35"/>
      <c r="F552" s="35"/>
      <c r="G552" s="35"/>
      <c r="H552" s="35"/>
    </row>
    <row r="553" spans="2:8" x14ac:dyDescent="0.35">
      <c r="B553" s="6"/>
      <c r="C553" s="7"/>
      <c r="D553" s="35"/>
      <c r="E553" s="35"/>
      <c r="F553" s="35"/>
      <c r="G553" s="35"/>
      <c r="H553" s="35"/>
    </row>
    <row r="554" spans="2:8" x14ac:dyDescent="0.35">
      <c r="B554" s="6"/>
      <c r="C554" s="7"/>
      <c r="D554" s="35"/>
      <c r="E554" s="35"/>
      <c r="F554" s="35"/>
      <c r="G554" s="35"/>
      <c r="H554" s="35"/>
    </row>
    <row r="555" spans="2:8" x14ac:dyDescent="0.35">
      <c r="B555" s="6"/>
      <c r="C555" s="7"/>
      <c r="D555" s="35"/>
      <c r="E555" s="35"/>
      <c r="F555" s="35"/>
      <c r="G555" s="35"/>
      <c r="H555" s="35"/>
    </row>
    <row r="556" spans="2:8" x14ac:dyDescent="0.35">
      <c r="B556" s="6"/>
      <c r="C556" s="7"/>
      <c r="D556" s="35"/>
      <c r="E556" s="35"/>
      <c r="F556" s="35"/>
      <c r="G556" s="35"/>
      <c r="H556" s="35"/>
    </row>
    <row r="557" spans="2:8" x14ac:dyDescent="0.35">
      <c r="B557" s="6"/>
      <c r="C557" s="7"/>
      <c r="D557" s="35"/>
      <c r="E557" s="35"/>
      <c r="F557" s="35"/>
      <c r="G557" s="35"/>
      <c r="H557" s="35"/>
    </row>
    <row r="558" spans="2:8" x14ac:dyDescent="0.35">
      <c r="B558" s="6"/>
      <c r="C558" s="7"/>
      <c r="D558" s="35"/>
      <c r="E558" s="35"/>
      <c r="F558" s="35"/>
      <c r="G558" s="35"/>
      <c r="H558" s="35"/>
    </row>
    <row r="559" spans="2:8" x14ac:dyDescent="0.35">
      <c r="B559" s="6"/>
      <c r="C559" s="7"/>
      <c r="D559" s="35"/>
      <c r="E559" s="35"/>
      <c r="F559" s="35"/>
      <c r="G559" s="35"/>
      <c r="H559" s="35"/>
    </row>
    <row r="560" spans="2:8" x14ac:dyDescent="0.35">
      <c r="B560" s="6"/>
      <c r="C560" s="7"/>
      <c r="D560" s="35"/>
      <c r="E560" s="35"/>
      <c r="F560" s="35"/>
      <c r="G560" s="35"/>
      <c r="H560" s="35"/>
    </row>
    <row r="561" spans="2:8" x14ac:dyDescent="0.35">
      <c r="B561" s="6"/>
      <c r="C561" s="7"/>
      <c r="D561" s="35"/>
      <c r="E561" s="35"/>
      <c r="F561" s="35"/>
      <c r="G561" s="35"/>
      <c r="H561" s="35"/>
    </row>
    <row r="562" spans="2:8" x14ac:dyDescent="0.35">
      <c r="B562" s="6"/>
      <c r="C562" s="7"/>
      <c r="D562" s="35"/>
      <c r="E562" s="35"/>
      <c r="F562" s="35"/>
      <c r="G562" s="35"/>
      <c r="H562" s="35"/>
    </row>
    <row r="563" spans="2:8" x14ac:dyDescent="0.35">
      <c r="B563" s="6"/>
      <c r="C563" s="7"/>
      <c r="D563" s="35"/>
      <c r="E563" s="35"/>
      <c r="F563" s="35"/>
      <c r="G563" s="35"/>
      <c r="H563" s="35"/>
    </row>
    <row r="564" spans="2:8" x14ac:dyDescent="0.35">
      <c r="B564" s="6"/>
      <c r="C564" s="7"/>
      <c r="D564" s="35"/>
      <c r="E564" s="35"/>
      <c r="F564" s="35"/>
      <c r="G564" s="35"/>
      <c r="H564" s="35"/>
    </row>
    <row r="565" spans="2:8" x14ac:dyDescent="0.35">
      <c r="B565" s="6"/>
      <c r="C565" s="7"/>
      <c r="D565" s="35"/>
      <c r="E565" s="35"/>
      <c r="F565" s="35"/>
      <c r="G565" s="35"/>
      <c r="H565" s="35"/>
    </row>
    <row r="566" spans="2:8" x14ac:dyDescent="0.35">
      <c r="B566" s="6"/>
      <c r="C566" s="7"/>
      <c r="D566" s="35"/>
      <c r="E566" s="35"/>
      <c r="F566" s="35"/>
      <c r="G566" s="35"/>
      <c r="H566" s="35"/>
    </row>
    <row r="567" spans="2:8" x14ac:dyDescent="0.35">
      <c r="B567" s="6"/>
      <c r="C567" s="7"/>
      <c r="D567" s="35"/>
      <c r="E567" s="35"/>
      <c r="F567" s="35"/>
      <c r="G567" s="35"/>
      <c r="H567" s="35"/>
    </row>
    <row r="568" spans="2:8" x14ac:dyDescent="0.35">
      <c r="B568" s="6"/>
      <c r="C568" s="7"/>
      <c r="D568" s="35"/>
      <c r="E568" s="35"/>
      <c r="F568" s="35"/>
      <c r="G568" s="35"/>
      <c r="H568" s="35"/>
    </row>
    <row r="569" spans="2:8" x14ac:dyDescent="0.35">
      <c r="B569" s="6"/>
      <c r="C569" s="7"/>
      <c r="D569" s="35"/>
      <c r="E569" s="35"/>
      <c r="F569" s="35"/>
      <c r="G569" s="35"/>
      <c r="H569" s="35"/>
    </row>
    <row r="570" spans="2:8" x14ac:dyDescent="0.35">
      <c r="B570" s="6"/>
      <c r="C570" s="7"/>
      <c r="D570" s="35"/>
      <c r="E570" s="35"/>
      <c r="F570" s="35"/>
      <c r="G570" s="35"/>
      <c r="H570" s="35"/>
    </row>
    <row r="571" spans="2:8" x14ac:dyDescent="0.35">
      <c r="B571" s="6"/>
      <c r="C571" s="7"/>
      <c r="D571" s="35"/>
      <c r="E571" s="35"/>
      <c r="F571" s="35"/>
      <c r="G571" s="35"/>
      <c r="H571" s="35"/>
    </row>
    <row r="572" spans="2:8" x14ac:dyDescent="0.35">
      <c r="B572" s="6"/>
      <c r="C572" s="7"/>
      <c r="D572" s="35"/>
      <c r="E572" s="35"/>
      <c r="F572" s="35"/>
      <c r="G572" s="35"/>
      <c r="H572" s="35"/>
    </row>
    <row r="573" spans="2:8" x14ac:dyDescent="0.35">
      <c r="B573" s="6"/>
      <c r="C573" s="7"/>
      <c r="D573" s="35"/>
      <c r="E573" s="35"/>
      <c r="F573" s="35"/>
      <c r="G573" s="35"/>
      <c r="H573" s="35"/>
    </row>
    <row r="574" spans="2:8" x14ac:dyDescent="0.35">
      <c r="B574" s="6"/>
      <c r="C574" s="7"/>
      <c r="D574" s="35"/>
      <c r="E574" s="35"/>
      <c r="F574" s="35"/>
      <c r="G574" s="35"/>
      <c r="H574" s="35"/>
    </row>
    <row r="575" spans="2:8" x14ac:dyDescent="0.35">
      <c r="B575" s="6"/>
      <c r="C575" s="7"/>
      <c r="D575" s="35"/>
      <c r="E575" s="35"/>
      <c r="F575" s="35"/>
      <c r="G575" s="35"/>
      <c r="H575" s="35"/>
    </row>
    <row r="576" spans="2:8" x14ac:dyDescent="0.35">
      <c r="B576" s="6"/>
      <c r="C576" s="7"/>
      <c r="D576" s="35"/>
      <c r="E576" s="35"/>
      <c r="F576" s="35"/>
      <c r="G576" s="35"/>
      <c r="H576" s="35"/>
    </row>
    <row r="577" spans="2:8" x14ac:dyDescent="0.35">
      <c r="B577" s="6"/>
      <c r="C577" s="7"/>
      <c r="D577" s="35"/>
      <c r="E577" s="35"/>
      <c r="F577" s="35"/>
      <c r="G577" s="35"/>
      <c r="H577" s="35"/>
    </row>
    <row r="578" spans="2:8" x14ac:dyDescent="0.35">
      <c r="B578" s="6"/>
      <c r="C578" s="7"/>
      <c r="D578" s="35"/>
      <c r="E578" s="35"/>
      <c r="F578" s="35"/>
      <c r="G578" s="35"/>
      <c r="H578" s="35"/>
    </row>
    <row r="579" spans="2:8" x14ac:dyDescent="0.35">
      <c r="B579" s="6"/>
      <c r="C579" s="7"/>
      <c r="D579" s="35"/>
      <c r="E579" s="35"/>
      <c r="F579" s="35"/>
      <c r="G579" s="35"/>
      <c r="H579" s="35"/>
    </row>
    <row r="580" spans="2:8" x14ac:dyDescent="0.35">
      <c r="B580" s="6"/>
      <c r="C580" s="7"/>
      <c r="D580" s="35"/>
      <c r="E580" s="35"/>
      <c r="F580" s="35"/>
      <c r="G580" s="35"/>
      <c r="H580" s="35"/>
    </row>
    <row r="581" spans="2:8" x14ac:dyDescent="0.35">
      <c r="B581" s="6"/>
      <c r="C581" s="7"/>
      <c r="D581" s="35"/>
      <c r="E581" s="35"/>
      <c r="F581" s="35"/>
      <c r="G581" s="35"/>
      <c r="H581" s="35"/>
    </row>
    <row r="582" spans="2:8" x14ac:dyDescent="0.35">
      <c r="B582" s="6"/>
      <c r="C582" s="7"/>
      <c r="D582" s="35"/>
      <c r="E582" s="35"/>
      <c r="F582" s="35"/>
      <c r="G582" s="35"/>
      <c r="H582" s="35"/>
    </row>
    <row r="583" spans="2:8" x14ac:dyDescent="0.35">
      <c r="B583" s="6"/>
      <c r="C583" s="7"/>
      <c r="D583" s="35"/>
      <c r="E583" s="35"/>
      <c r="F583" s="35"/>
      <c r="G583" s="35"/>
      <c r="H583" s="35"/>
    </row>
    <row r="584" spans="2:8" x14ac:dyDescent="0.35">
      <c r="B584" s="6"/>
      <c r="C584" s="7"/>
      <c r="D584" s="35"/>
      <c r="E584" s="35"/>
      <c r="F584" s="35"/>
      <c r="G584" s="35"/>
      <c r="H584" s="35"/>
    </row>
    <row r="585" spans="2:8" x14ac:dyDescent="0.35">
      <c r="B585" s="6"/>
      <c r="C585" s="7"/>
      <c r="D585" s="35"/>
      <c r="E585" s="35"/>
      <c r="F585" s="35"/>
      <c r="G585" s="35"/>
      <c r="H585" s="35"/>
    </row>
    <row r="586" spans="2:8" x14ac:dyDescent="0.35">
      <c r="B586" s="6"/>
      <c r="C586" s="7"/>
      <c r="D586" s="35"/>
      <c r="E586" s="35"/>
      <c r="F586" s="35"/>
      <c r="G586" s="35"/>
      <c r="H586" s="35"/>
    </row>
    <row r="587" spans="2:8" x14ac:dyDescent="0.35">
      <c r="B587" s="6"/>
      <c r="C587" s="7"/>
      <c r="D587" s="35"/>
      <c r="E587" s="35"/>
      <c r="F587" s="35"/>
      <c r="G587" s="35"/>
      <c r="H587" s="35"/>
    </row>
    <row r="588" spans="2:8" x14ac:dyDescent="0.35">
      <c r="B588" s="6"/>
      <c r="C588" s="7"/>
      <c r="D588" s="35"/>
      <c r="E588" s="35"/>
      <c r="F588" s="35"/>
      <c r="G588" s="35"/>
      <c r="H588" s="35"/>
    </row>
    <row r="589" spans="2:8" x14ac:dyDescent="0.35">
      <c r="B589" s="6"/>
      <c r="C589" s="7"/>
      <c r="D589" s="35"/>
      <c r="E589" s="35"/>
      <c r="F589" s="35"/>
      <c r="G589" s="35"/>
      <c r="H589" s="35"/>
    </row>
    <row r="590" spans="2:8" x14ac:dyDescent="0.35">
      <c r="B590" s="6"/>
      <c r="C590" s="7"/>
      <c r="D590" s="35"/>
      <c r="E590" s="35"/>
      <c r="F590" s="35"/>
      <c r="G590" s="35"/>
      <c r="H590" s="35"/>
    </row>
    <row r="591" spans="2:8" x14ac:dyDescent="0.35">
      <c r="B591" s="6"/>
      <c r="C591" s="7"/>
      <c r="D591" s="35"/>
      <c r="E591" s="35"/>
      <c r="F591" s="35"/>
      <c r="G591" s="35"/>
      <c r="H591" s="35"/>
    </row>
    <row r="592" spans="2:8" x14ac:dyDescent="0.35">
      <c r="B592" s="6"/>
      <c r="C592" s="7"/>
      <c r="D592" s="35"/>
      <c r="E592" s="35"/>
      <c r="F592" s="35"/>
      <c r="G592" s="35"/>
      <c r="H592" s="35"/>
    </row>
    <row r="593" spans="2:8" x14ac:dyDescent="0.35">
      <c r="B593" s="6"/>
      <c r="C593" s="7"/>
      <c r="D593" s="35"/>
      <c r="E593" s="35"/>
      <c r="F593" s="35"/>
      <c r="G593" s="35"/>
      <c r="H593" s="35"/>
    </row>
    <row r="594" spans="2:8" x14ac:dyDescent="0.35">
      <c r="B594" s="6"/>
      <c r="C594" s="7"/>
      <c r="D594" s="35"/>
      <c r="E594" s="35"/>
      <c r="F594" s="35"/>
      <c r="G594" s="35"/>
      <c r="H594" s="35"/>
    </row>
    <row r="595" spans="2:8" x14ac:dyDescent="0.35">
      <c r="B595" s="6"/>
      <c r="C595" s="7"/>
      <c r="D595" s="35"/>
      <c r="E595" s="35"/>
      <c r="F595" s="35"/>
      <c r="G595" s="35"/>
      <c r="H595" s="35"/>
    </row>
    <row r="596" spans="2:8" x14ac:dyDescent="0.35">
      <c r="B596" s="6"/>
      <c r="C596" s="7"/>
      <c r="D596" s="35"/>
      <c r="E596" s="35"/>
      <c r="F596" s="35"/>
      <c r="G596" s="35"/>
      <c r="H596" s="35"/>
    </row>
    <row r="597" spans="2:8" x14ac:dyDescent="0.35">
      <c r="B597" s="6"/>
      <c r="C597" s="7"/>
      <c r="D597" s="35"/>
      <c r="E597" s="35"/>
      <c r="F597" s="35"/>
      <c r="G597" s="35"/>
      <c r="H597" s="35"/>
    </row>
    <row r="598" spans="2:8" x14ac:dyDescent="0.35">
      <c r="B598" s="6"/>
      <c r="C598" s="7"/>
      <c r="D598" s="35"/>
      <c r="E598" s="35"/>
      <c r="F598" s="35"/>
      <c r="G598" s="35"/>
      <c r="H598" s="35"/>
    </row>
    <row r="599" spans="2:8" x14ac:dyDescent="0.35">
      <c r="B599" s="6"/>
      <c r="C599" s="7"/>
      <c r="D599" s="35"/>
      <c r="E599" s="35"/>
      <c r="F599" s="35"/>
      <c r="G599" s="35"/>
      <c r="H599" s="35"/>
    </row>
    <row r="600" spans="2:8" x14ac:dyDescent="0.35">
      <c r="B600" s="6"/>
      <c r="C600" s="7"/>
      <c r="D600" s="35"/>
      <c r="E600" s="35"/>
      <c r="F600" s="35"/>
      <c r="G600" s="35"/>
      <c r="H600" s="35"/>
    </row>
    <row r="601" spans="2:8" x14ac:dyDescent="0.35">
      <c r="B601" s="6"/>
      <c r="C601" s="7"/>
      <c r="D601" s="35"/>
      <c r="E601" s="35"/>
      <c r="F601" s="35"/>
      <c r="G601" s="35"/>
      <c r="H601" s="35"/>
    </row>
    <row r="602" spans="2:8" x14ac:dyDescent="0.35">
      <c r="B602" s="6"/>
      <c r="C602" s="7"/>
      <c r="D602" s="35"/>
      <c r="E602" s="35"/>
      <c r="F602" s="35"/>
      <c r="G602" s="35"/>
      <c r="H602" s="35"/>
    </row>
    <row r="603" spans="2:8" x14ac:dyDescent="0.35">
      <c r="B603" s="6"/>
      <c r="C603" s="7"/>
      <c r="D603" s="35"/>
      <c r="E603" s="35"/>
      <c r="F603" s="35"/>
      <c r="G603" s="35"/>
      <c r="H603" s="35"/>
    </row>
    <row r="604" spans="2:8" x14ac:dyDescent="0.35">
      <c r="B604" s="6"/>
      <c r="C604" s="7"/>
      <c r="D604" s="35"/>
      <c r="E604" s="35"/>
      <c r="F604" s="35"/>
      <c r="G604" s="35"/>
      <c r="H604" s="35"/>
    </row>
    <row r="605" spans="2:8" x14ac:dyDescent="0.35">
      <c r="B605" s="6"/>
      <c r="C605" s="7"/>
      <c r="D605" s="35"/>
      <c r="E605" s="35"/>
      <c r="F605" s="35"/>
      <c r="G605" s="35"/>
      <c r="H605" s="35"/>
    </row>
    <row r="606" spans="2:8" x14ac:dyDescent="0.35">
      <c r="B606" s="6"/>
      <c r="C606" s="7"/>
      <c r="D606" s="35"/>
      <c r="E606" s="35"/>
      <c r="F606" s="35"/>
      <c r="G606" s="35"/>
      <c r="H606" s="35"/>
    </row>
    <row r="607" spans="2:8" x14ac:dyDescent="0.35">
      <c r="B607" s="6"/>
      <c r="C607" s="7"/>
      <c r="D607" s="35"/>
      <c r="E607" s="35"/>
      <c r="F607" s="35"/>
      <c r="G607" s="35"/>
      <c r="H607" s="35"/>
    </row>
    <row r="608" spans="2:8" x14ac:dyDescent="0.35">
      <c r="B608" s="6"/>
      <c r="C608" s="7"/>
      <c r="D608" s="35"/>
      <c r="E608" s="35"/>
      <c r="F608" s="35"/>
      <c r="G608" s="35"/>
      <c r="H608" s="35"/>
    </row>
    <row r="609" spans="2:8" x14ac:dyDescent="0.35">
      <c r="B609" s="6"/>
      <c r="C609" s="7"/>
      <c r="D609" s="35"/>
      <c r="E609" s="35"/>
      <c r="F609" s="35"/>
      <c r="G609" s="35"/>
      <c r="H609" s="35"/>
    </row>
    <row r="610" spans="2:8" x14ac:dyDescent="0.35">
      <c r="B610" s="6"/>
      <c r="C610" s="7"/>
      <c r="D610" s="35"/>
      <c r="E610" s="35"/>
      <c r="F610" s="35"/>
      <c r="G610" s="35"/>
      <c r="H610" s="35"/>
    </row>
    <row r="611" spans="2:8" x14ac:dyDescent="0.35">
      <c r="B611" s="6"/>
      <c r="C611" s="7"/>
      <c r="D611" s="35"/>
      <c r="E611" s="35"/>
      <c r="F611" s="35"/>
      <c r="G611" s="35"/>
      <c r="H611" s="35"/>
    </row>
    <row r="612" spans="2:8" x14ac:dyDescent="0.35">
      <c r="B612" s="6"/>
      <c r="C612" s="7"/>
      <c r="D612" s="35"/>
      <c r="E612" s="35"/>
      <c r="F612" s="35"/>
      <c r="G612" s="35"/>
      <c r="H612" s="35"/>
    </row>
    <row r="613" spans="2:8" x14ac:dyDescent="0.35">
      <c r="B613" s="6"/>
      <c r="C613" s="7"/>
      <c r="D613" s="35"/>
      <c r="E613" s="35"/>
      <c r="F613" s="35"/>
      <c r="G613" s="35"/>
      <c r="H613" s="35"/>
    </row>
    <row r="614" spans="2:8" x14ac:dyDescent="0.35">
      <c r="B614" s="6"/>
      <c r="C614" s="7"/>
      <c r="D614" s="35"/>
      <c r="E614" s="35"/>
      <c r="F614" s="35"/>
      <c r="G614" s="35"/>
      <c r="H614" s="35"/>
    </row>
    <row r="615" spans="2:8" x14ac:dyDescent="0.35">
      <c r="B615" s="6"/>
      <c r="C615" s="7"/>
      <c r="D615" s="35"/>
      <c r="E615" s="35"/>
      <c r="F615" s="35"/>
      <c r="G615" s="35"/>
      <c r="H615" s="35"/>
    </row>
    <row r="616" spans="2:8" x14ac:dyDescent="0.35">
      <c r="B616" s="6"/>
      <c r="C616" s="7"/>
      <c r="D616" s="35"/>
      <c r="E616" s="35"/>
      <c r="F616" s="35"/>
      <c r="G616" s="35"/>
      <c r="H616" s="35"/>
    </row>
    <row r="617" spans="2:8" x14ac:dyDescent="0.35">
      <c r="B617" s="6"/>
      <c r="C617" s="7"/>
      <c r="D617" s="35"/>
      <c r="E617" s="35"/>
      <c r="F617" s="35"/>
      <c r="G617" s="35"/>
      <c r="H617" s="35"/>
    </row>
    <row r="618" spans="2:8" x14ac:dyDescent="0.35">
      <c r="B618" s="6"/>
      <c r="C618" s="7"/>
      <c r="D618" s="35"/>
      <c r="E618" s="35"/>
      <c r="F618" s="35"/>
      <c r="G618" s="35"/>
      <c r="H618" s="35"/>
    </row>
    <row r="619" spans="2:8" x14ac:dyDescent="0.35">
      <c r="B619" s="6"/>
      <c r="C619" s="7"/>
      <c r="D619" s="35"/>
      <c r="E619" s="35"/>
      <c r="F619" s="35"/>
      <c r="G619" s="35"/>
      <c r="H619" s="35"/>
    </row>
    <row r="620" spans="2:8" x14ac:dyDescent="0.35">
      <c r="B620" s="6"/>
      <c r="C620" s="7"/>
      <c r="D620" s="35"/>
      <c r="E620" s="35"/>
      <c r="F620" s="35"/>
      <c r="G620" s="35"/>
      <c r="H620" s="35"/>
    </row>
    <row r="621" spans="2:8" x14ac:dyDescent="0.35">
      <c r="B621" s="6"/>
      <c r="C621" s="7"/>
      <c r="D621" s="35"/>
      <c r="E621" s="35"/>
      <c r="F621" s="35"/>
      <c r="G621" s="35"/>
      <c r="H621" s="35"/>
    </row>
    <row r="622" spans="2:8" x14ac:dyDescent="0.35">
      <c r="B622" s="6"/>
      <c r="C622" s="7"/>
      <c r="D622" s="35"/>
      <c r="E622" s="35"/>
      <c r="F622" s="35"/>
      <c r="G622" s="35"/>
      <c r="H622" s="35"/>
    </row>
    <row r="623" spans="2:8" x14ac:dyDescent="0.35">
      <c r="B623" s="6"/>
      <c r="C623" s="7"/>
      <c r="D623" s="35"/>
      <c r="E623" s="35"/>
      <c r="F623" s="35"/>
      <c r="G623" s="35"/>
      <c r="H623" s="35"/>
    </row>
    <row r="624" spans="2:8" x14ac:dyDescent="0.35">
      <c r="B624" s="6"/>
      <c r="C624" s="7"/>
      <c r="D624" s="35"/>
      <c r="E624" s="35"/>
      <c r="F624" s="35"/>
      <c r="G624" s="35"/>
      <c r="H624" s="35"/>
    </row>
    <row r="625" spans="2:8" x14ac:dyDescent="0.35">
      <c r="B625" s="6"/>
      <c r="C625" s="7"/>
      <c r="D625" s="35"/>
      <c r="E625" s="35"/>
      <c r="F625" s="35"/>
      <c r="G625" s="35"/>
      <c r="H625" s="35"/>
    </row>
    <row r="626" spans="2:8" x14ac:dyDescent="0.35">
      <c r="B626" s="6"/>
      <c r="C626" s="7"/>
      <c r="D626" s="35"/>
      <c r="E626" s="35"/>
      <c r="F626" s="35"/>
      <c r="G626" s="35"/>
      <c r="H626" s="35"/>
    </row>
    <row r="627" spans="2:8" x14ac:dyDescent="0.35">
      <c r="B627" s="6"/>
      <c r="C627" s="7"/>
      <c r="D627" s="35"/>
      <c r="E627" s="35"/>
      <c r="F627" s="35"/>
      <c r="G627" s="35"/>
      <c r="H627" s="35"/>
    </row>
    <row r="628" spans="2:8" x14ac:dyDescent="0.35">
      <c r="B628" s="6"/>
      <c r="C628" s="7"/>
      <c r="D628" s="35"/>
      <c r="E628" s="35"/>
      <c r="F628" s="35"/>
      <c r="G628" s="35"/>
      <c r="H628" s="35"/>
    </row>
    <row r="629" spans="2:8" x14ac:dyDescent="0.35">
      <c r="B629" s="6"/>
      <c r="C629" s="7"/>
      <c r="D629" s="35"/>
      <c r="E629" s="35"/>
      <c r="F629" s="35"/>
      <c r="G629" s="35"/>
      <c r="H629" s="35"/>
    </row>
    <row r="630" spans="2:8" x14ac:dyDescent="0.35">
      <c r="B630" s="6"/>
      <c r="C630" s="7"/>
      <c r="D630" s="35"/>
      <c r="E630" s="35"/>
      <c r="F630" s="35"/>
      <c r="G630" s="35"/>
      <c r="H630" s="35"/>
    </row>
    <row r="631" spans="2:8" x14ac:dyDescent="0.35">
      <c r="B631" s="6"/>
      <c r="C631" s="7"/>
      <c r="D631" s="35"/>
      <c r="E631" s="35"/>
      <c r="F631" s="35"/>
      <c r="G631" s="35"/>
      <c r="H631" s="35"/>
    </row>
    <row r="632" spans="2:8" x14ac:dyDescent="0.35">
      <c r="B632" s="6"/>
      <c r="C632" s="7"/>
      <c r="D632" s="35"/>
      <c r="E632" s="35"/>
      <c r="F632" s="35"/>
      <c r="G632" s="35"/>
      <c r="H632" s="35"/>
    </row>
    <row r="633" spans="2:8" x14ac:dyDescent="0.35">
      <c r="B633" s="6"/>
      <c r="C633" s="7"/>
      <c r="D633" s="35"/>
      <c r="E633" s="35"/>
      <c r="F633" s="35"/>
      <c r="G633" s="35"/>
      <c r="H633" s="35"/>
    </row>
    <row r="634" spans="2:8" x14ac:dyDescent="0.35">
      <c r="B634" s="6"/>
      <c r="C634" s="7"/>
      <c r="D634" s="35"/>
      <c r="E634" s="35"/>
      <c r="F634" s="35"/>
      <c r="G634" s="35"/>
      <c r="H634" s="35"/>
    </row>
    <row r="635" spans="2:8" x14ac:dyDescent="0.35">
      <c r="B635" s="6"/>
      <c r="C635" s="7"/>
      <c r="D635" s="35"/>
      <c r="E635" s="35"/>
      <c r="F635" s="35"/>
      <c r="G635" s="35"/>
      <c r="H635" s="35"/>
    </row>
    <row r="636" spans="2:8" x14ac:dyDescent="0.35">
      <c r="B636" s="6"/>
      <c r="C636" s="7"/>
      <c r="D636" s="35"/>
      <c r="E636" s="35"/>
      <c r="F636" s="35"/>
      <c r="G636" s="35"/>
      <c r="H636" s="35"/>
    </row>
    <row r="637" spans="2:8" x14ac:dyDescent="0.35">
      <c r="B637" s="6"/>
      <c r="C637" s="7"/>
      <c r="D637" s="35"/>
      <c r="E637" s="35"/>
      <c r="F637" s="35"/>
      <c r="G637" s="35"/>
      <c r="H637" s="35"/>
    </row>
    <row r="638" spans="2:8" x14ac:dyDescent="0.35">
      <c r="B638" s="6"/>
      <c r="C638" s="7"/>
      <c r="D638" s="35"/>
      <c r="E638" s="35"/>
      <c r="F638" s="35"/>
      <c r="G638" s="35"/>
      <c r="H638" s="35"/>
    </row>
    <row r="639" spans="2:8" x14ac:dyDescent="0.35">
      <c r="B639" s="6"/>
      <c r="C639" s="7"/>
      <c r="D639" s="35"/>
      <c r="E639" s="35"/>
      <c r="F639" s="35"/>
      <c r="G639" s="35"/>
      <c r="H639" s="35"/>
    </row>
    <row r="640" spans="2:8" x14ac:dyDescent="0.35">
      <c r="B640" s="6"/>
      <c r="C640" s="7"/>
      <c r="D640" s="35"/>
      <c r="E640" s="35"/>
      <c r="F640" s="35"/>
      <c r="G640" s="35"/>
      <c r="H640" s="35"/>
    </row>
    <row r="641" spans="2:8" x14ac:dyDescent="0.35">
      <c r="B641" s="6"/>
      <c r="C641" s="7"/>
      <c r="D641" s="35"/>
      <c r="E641" s="35"/>
      <c r="F641" s="35"/>
      <c r="G641" s="35"/>
      <c r="H641" s="35"/>
    </row>
    <row r="642" spans="2:8" x14ac:dyDescent="0.35">
      <c r="B642" s="6"/>
      <c r="C642" s="7"/>
      <c r="D642" s="35"/>
      <c r="E642" s="35"/>
      <c r="F642" s="35"/>
      <c r="G642" s="35"/>
      <c r="H642" s="35"/>
    </row>
    <row r="643" spans="2:8" x14ac:dyDescent="0.35">
      <c r="B643" s="6"/>
      <c r="C643" s="7"/>
      <c r="D643" s="35"/>
      <c r="E643" s="35"/>
      <c r="F643" s="35"/>
      <c r="G643" s="35"/>
      <c r="H643" s="35"/>
    </row>
    <row r="644" spans="2:8" x14ac:dyDescent="0.35">
      <c r="B644" s="6"/>
      <c r="C644" s="7"/>
      <c r="D644" s="35"/>
      <c r="E644" s="35"/>
      <c r="F644" s="35"/>
      <c r="G644" s="35"/>
      <c r="H644" s="35"/>
    </row>
    <row r="645" spans="2:8" x14ac:dyDescent="0.35">
      <c r="B645" s="6"/>
      <c r="C645" s="7"/>
      <c r="D645" s="35"/>
      <c r="E645" s="35"/>
      <c r="F645" s="35"/>
      <c r="G645" s="35"/>
      <c r="H645" s="35"/>
    </row>
    <row r="646" spans="2:8" x14ac:dyDescent="0.35">
      <c r="B646" s="6"/>
      <c r="C646" s="7"/>
      <c r="D646" s="35"/>
      <c r="E646" s="35"/>
      <c r="F646" s="35"/>
      <c r="G646" s="35"/>
      <c r="H646" s="35"/>
    </row>
    <row r="647" spans="2:8" x14ac:dyDescent="0.35">
      <c r="B647" s="6"/>
      <c r="C647" s="7"/>
      <c r="D647" s="35"/>
      <c r="E647" s="35"/>
      <c r="F647" s="35"/>
      <c r="G647" s="35"/>
      <c r="H647" s="35"/>
    </row>
    <row r="648" spans="2:8" x14ac:dyDescent="0.35">
      <c r="B648" s="6"/>
      <c r="C648" s="7"/>
      <c r="D648" s="35"/>
      <c r="E648" s="35"/>
      <c r="F648" s="35"/>
      <c r="G648" s="35"/>
      <c r="H648" s="35"/>
    </row>
    <row r="649" spans="2:8" x14ac:dyDescent="0.35">
      <c r="B649" s="6"/>
      <c r="C649" s="7"/>
      <c r="D649" s="35"/>
      <c r="E649" s="35"/>
      <c r="F649" s="35"/>
      <c r="G649" s="35"/>
      <c r="H649" s="35"/>
    </row>
    <row r="650" spans="2:8" x14ac:dyDescent="0.35">
      <c r="B650" s="6"/>
      <c r="C650" s="7"/>
      <c r="D650" s="35"/>
      <c r="E650" s="35"/>
      <c r="F650" s="35"/>
      <c r="G650" s="35"/>
      <c r="H650" s="35"/>
    </row>
    <row r="651" spans="2:8" x14ac:dyDescent="0.35">
      <c r="B651" s="6"/>
      <c r="C651" s="7"/>
      <c r="D651" s="35"/>
      <c r="E651" s="35"/>
      <c r="F651" s="35"/>
      <c r="G651" s="35"/>
      <c r="H651" s="35"/>
    </row>
    <row r="652" spans="2:8" x14ac:dyDescent="0.35">
      <c r="B652" s="6"/>
      <c r="C652" s="7"/>
      <c r="D652" s="35"/>
      <c r="E652" s="35"/>
      <c r="F652" s="35"/>
      <c r="G652" s="35"/>
      <c r="H652" s="35"/>
    </row>
    <row r="653" spans="2:8" x14ac:dyDescent="0.35">
      <c r="B653" s="6"/>
      <c r="C653" s="7"/>
      <c r="D653" s="35"/>
      <c r="E653" s="35"/>
      <c r="F653" s="35"/>
      <c r="G653" s="35"/>
      <c r="H653" s="35"/>
    </row>
    <row r="654" spans="2:8" x14ac:dyDescent="0.35">
      <c r="B654" s="6"/>
      <c r="C654" s="7"/>
      <c r="D654" s="35"/>
      <c r="E654" s="35"/>
      <c r="F654" s="35"/>
      <c r="G654" s="35"/>
      <c r="H654" s="35"/>
    </row>
    <row r="655" spans="2:8" x14ac:dyDescent="0.35">
      <c r="B655" s="6"/>
      <c r="C655" s="7"/>
      <c r="D655" s="35"/>
      <c r="E655" s="35"/>
      <c r="F655" s="35"/>
      <c r="G655" s="35"/>
      <c r="H655" s="35"/>
    </row>
    <row r="656" spans="2:8" x14ac:dyDescent="0.35">
      <c r="B656" s="6"/>
      <c r="C656" s="7"/>
      <c r="D656" s="35"/>
      <c r="E656" s="35"/>
      <c r="F656" s="35"/>
      <c r="G656" s="35"/>
      <c r="H656" s="35"/>
    </row>
    <row r="657" spans="2:8" x14ac:dyDescent="0.35">
      <c r="B657" s="6"/>
      <c r="C657" s="7"/>
      <c r="D657" s="35"/>
      <c r="E657" s="35"/>
      <c r="F657" s="35"/>
      <c r="G657" s="35"/>
      <c r="H657" s="35"/>
    </row>
    <row r="658" spans="2:8" x14ac:dyDescent="0.35">
      <c r="B658" s="6"/>
      <c r="C658" s="7"/>
      <c r="D658" s="35"/>
      <c r="E658" s="35"/>
      <c r="F658" s="35"/>
      <c r="G658" s="35"/>
      <c r="H658" s="35"/>
    </row>
    <row r="659" spans="2:8" x14ac:dyDescent="0.35">
      <c r="B659" s="6"/>
      <c r="C659" s="7"/>
      <c r="D659" s="35"/>
      <c r="E659" s="35"/>
      <c r="F659" s="35"/>
      <c r="G659" s="35"/>
      <c r="H659" s="35"/>
    </row>
    <row r="660" spans="2:8" x14ac:dyDescent="0.35">
      <c r="B660" s="6"/>
      <c r="C660" s="7"/>
      <c r="D660" s="35"/>
      <c r="E660" s="35"/>
      <c r="F660" s="35"/>
      <c r="G660" s="35"/>
      <c r="H660" s="35"/>
    </row>
    <row r="661" spans="2:8" x14ac:dyDescent="0.35">
      <c r="B661" s="6"/>
      <c r="C661" s="7"/>
      <c r="D661" s="35"/>
      <c r="E661" s="35"/>
      <c r="F661" s="35"/>
      <c r="G661" s="35"/>
      <c r="H661" s="35"/>
    </row>
    <row r="662" spans="2:8" x14ac:dyDescent="0.35">
      <c r="B662" s="6"/>
      <c r="C662" s="7"/>
      <c r="D662" s="35"/>
      <c r="E662" s="35"/>
      <c r="F662" s="35"/>
      <c r="G662" s="35"/>
      <c r="H662" s="35"/>
    </row>
    <row r="663" spans="2:8" x14ac:dyDescent="0.35">
      <c r="B663" s="6"/>
      <c r="C663" s="7"/>
      <c r="D663" s="35"/>
      <c r="E663" s="35"/>
      <c r="F663" s="35"/>
      <c r="G663" s="35"/>
      <c r="H663" s="35"/>
    </row>
    <row r="664" spans="2:8" x14ac:dyDescent="0.35">
      <c r="B664" s="6"/>
      <c r="C664" s="7"/>
      <c r="D664" s="35"/>
      <c r="E664" s="35"/>
      <c r="F664" s="35"/>
      <c r="G664" s="35"/>
      <c r="H664" s="35"/>
    </row>
    <row r="665" spans="2:8" x14ac:dyDescent="0.35">
      <c r="B665" s="6"/>
      <c r="C665" s="7"/>
      <c r="D665" s="35"/>
      <c r="E665" s="35"/>
      <c r="F665" s="35"/>
      <c r="G665" s="35"/>
      <c r="H665" s="35"/>
    </row>
    <row r="666" spans="2:8" x14ac:dyDescent="0.35">
      <c r="B666" s="6"/>
      <c r="C666" s="7"/>
      <c r="D666" s="35"/>
      <c r="E666" s="35"/>
      <c r="F666" s="35"/>
      <c r="G666" s="35"/>
      <c r="H666" s="35"/>
    </row>
    <row r="667" spans="2:8" x14ac:dyDescent="0.35">
      <c r="B667" s="6"/>
      <c r="C667" s="7"/>
      <c r="D667" s="35"/>
      <c r="E667" s="35"/>
      <c r="F667" s="35"/>
      <c r="G667" s="35"/>
      <c r="H667" s="35"/>
    </row>
    <row r="668" spans="2:8" x14ac:dyDescent="0.35">
      <c r="B668" s="6"/>
      <c r="C668" s="7"/>
      <c r="D668" s="35"/>
      <c r="E668" s="35"/>
      <c r="F668" s="35"/>
      <c r="G668" s="35"/>
      <c r="H668" s="35"/>
    </row>
    <row r="669" spans="2:8" x14ac:dyDescent="0.35">
      <c r="B669" s="6"/>
      <c r="C669" s="7"/>
      <c r="D669" s="35"/>
      <c r="E669" s="35"/>
      <c r="F669" s="35"/>
      <c r="G669" s="35"/>
      <c r="H669" s="35"/>
    </row>
    <row r="670" spans="2:8" x14ac:dyDescent="0.35">
      <c r="B670" s="6"/>
      <c r="C670" s="7"/>
      <c r="D670" s="35"/>
      <c r="E670" s="35"/>
      <c r="F670" s="35"/>
      <c r="G670" s="35"/>
      <c r="H670" s="35"/>
    </row>
    <row r="671" spans="2:8" x14ac:dyDescent="0.35">
      <c r="B671" s="6"/>
      <c r="C671" s="7"/>
      <c r="D671" s="35"/>
      <c r="E671" s="35"/>
      <c r="F671" s="35"/>
      <c r="G671" s="35"/>
      <c r="H671" s="35"/>
    </row>
    <row r="672" spans="2:8" x14ac:dyDescent="0.35">
      <c r="B672" s="6"/>
      <c r="C672" s="7"/>
      <c r="D672" s="35"/>
      <c r="E672" s="35"/>
      <c r="F672" s="35"/>
      <c r="G672" s="35"/>
      <c r="H672" s="35"/>
    </row>
    <row r="673" spans="2:8" x14ac:dyDescent="0.35">
      <c r="B673" s="6"/>
      <c r="C673" s="7"/>
      <c r="D673" s="35"/>
      <c r="E673" s="35"/>
      <c r="F673" s="35"/>
      <c r="G673" s="35"/>
      <c r="H673" s="35"/>
    </row>
    <row r="674" spans="2:8" x14ac:dyDescent="0.35">
      <c r="B674" s="6"/>
      <c r="C674" s="7"/>
      <c r="D674" s="35"/>
      <c r="E674" s="35"/>
      <c r="F674" s="35"/>
      <c r="G674" s="35"/>
      <c r="H674" s="35"/>
    </row>
    <row r="675" spans="2:8" x14ac:dyDescent="0.35">
      <c r="B675" s="6"/>
      <c r="C675" s="7"/>
      <c r="D675" s="35"/>
      <c r="E675" s="35"/>
      <c r="F675" s="35"/>
      <c r="G675" s="35"/>
      <c r="H675" s="35"/>
    </row>
    <row r="676" spans="2:8" x14ac:dyDescent="0.35">
      <c r="B676" s="6"/>
      <c r="C676" s="7"/>
      <c r="D676" s="35"/>
      <c r="E676" s="35"/>
      <c r="F676" s="35"/>
      <c r="G676" s="35"/>
      <c r="H676" s="35"/>
    </row>
    <row r="677" spans="2:8" x14ac:dyDescent="0.35">
      <c r="B677" s="6"/>
      <c r="C677" s="7"/>
      <c r="D677" s="35"/>
      <c r="E677" s="35"/>
      <c r="F677" s="35"/>
      <c r="G677" s="35"/>
      <c r="H677" s="35"/>
    </row>
    <row r="678" spans="2:8" x14ac:dyDescent="0.35">
      <c r="B678" s="6"/>
      <c r="C678" s="7"/>
      <c r="D678" s="35"/>
      <c r="E678" s="35"/>
      <c r="F678" s="35"/>
      <c r="G678" s="35"/>
      <c r="H678" s="35"/>
    </row>
    <row r="679" spans="2:8" x14ac:dyDescent="0.35">
      <c r="B679" s="6"/>
      <c r="C679" s="7"/>
      <c r="D679" s="35"/>
      <c r="E679" s="35"/>
      <c r="F679" s="35"/>
      <c r="G679" s="35"/>
      <c r="H679" s="35"/>
    </row>
    <row r="680" spans="2:8" x14ac:dyDescent="0.35">
      <c r="B680" s="6"/>
      <c r="C680" s="7"/>
      <c r="D680" s="35"/>
      <c r="E680" s="35"/>
      <c r="F680" s="35"/>
      <c r="G680" s="35"/>
      <c r="H680" s="35"/>
    </row>
    <row r="681" spans="2:8" x14ac:dyDescent="0.35">
      <c r="B681" s="6"/>
      <c r="C681" s="7"/>
      <c r="D681" s="35"/>
      <c r="E681" s="35"/>
      <c r="F681" s="35"/>
      <c r="G681" s="35"/>
      <c r="H681" s="35"/>
    </row>
    <row r="682" spans="2:8" x14ac:dyDescent="0.35">
      <c r="B682" s="6"/>
      <c r="C682" s="7"/>
      <c r="D682" s="35"/>
      <c r="E682" s="35"/>
      <c r="F682" s="35"/>
      <c r="G682" s="35"/>
      <c r="H682" s="35"/>
    </row>
    <row r="683" spans="2:8" x14ac:dyDescent="0.35">
      <c r="B683" s="6"/>
      <c r="C683" s="7"/>
      <c r="D683" s="35"/>
      <c r="E683" s="35"/>
      <c r="F683" s="35"/>
      <c r="G683" s="35"/>
      <c r="H683" s="35"/>
    </row>
    <row r="684" spans="2:8" x14ac:dyDescent="0.35">
      <c r="B684" s="6"/>
      <c r="C684" s="7"/>
      <c r="D684" s="35"/>
      <c r="E684" s="35"/>
      <c r="F684" s="35"/>
      <c r="G684" s="35"/>
      <c r="H684" s="35"/>
    </row>
    <row r="685" spans="2:8" x14ac:dyDescent="0.35">
      <c r="B685" s="6"/>
      <c r="C685" s="7"/>
      <c r="D685" s="35"/>
      <c r="E685" s="35"/>
      <c r="F685" s="35"/>
      <c r="G685" s="35"/>
      <c r="H685" s="35"/>
    </row>
    <row r="686" spans="2:8" x14ac:dyDescent="0.35">
      <c r="B686" s="6"/>
      <c r="C686" s="7"/>
      <c r="D686" s="35"/>
      <c r="E686" s="35"/>
      <c r="F686" s="35"/>
      <c r="G686" s="35"/>
      <c r="H686" s="35"/>
    </row>
    <row r="687" spans="2:8" x14ac:dyDescent="0.35">
      <c r="B687" s="6"/>
      <c r="C687" s="7"/>
      <c r="D687" s="35"/>
      <c r="E687" s="35"/>
      <c r="F687" s="35"/>
      <c r="G687" s="35"/>
      <c r="H687" s="35"/>
    </row>
    <row r="688" spans="2:8" x14ac:dyDescent="0.35">
      <c r="B688" s="6"/>
      <c r="C688" s="7"/>
      <c r="D688" s="35"/>
      <c r="E688" s="35"/>
      <c r="F688" s="35"/>
      <c r="G688" s="35"/>
      <c r="H688" s="35"/>
    </row>
    <row r="689" spans="2:8" x14ac:dyDescent="0.35">
      <c r="B689" s="6"/>
      <c r="C689" s="7"/>
      <c r="D689" s="35"/>
      <c r="E689" s="35"/>
      <c r="F689" s="35"/>
      <c r="G689" s="35"/>
      <c r="H689" s="35"/>
    </row>
    <row r="690" spans="2:8" x14ac:dyDescent="0.35">
      <c r="B690" s="6"/>
      <c r="C690" s="7"/>
      <c r="D690" s="35"/>
      <c r="E690" s="35"/>
      <c r="F690" s="35"/>
      <c r="G690" s="35"/>
      <c r="H690" s="35"/>
    </row>
    <row r="691" spans="2:8" x14ac:dyDescent="0.35">
      <c r="B691" s="6"/>
      <c r="C691" s="7"/>
      <c r="D691" s="35"/>
      <c r="E691" s="35"/>
      <c r="F691" s="35"/>
      <c r="G691" s="35"/>
      <c r="H691" s="35"/>
    </row>
    <row r="692" spans="2:8" x14ac:dyDescent="0.35">
      <c r="B692" s="6"/>
      <c r="C692" s="7"/>
      <c r="D692" s="35"/>
      <c r="E692" s="35"/>
      <c r="F692" s="35"/>
      <c r="G692" s="35"/>
      <c r="H692" s="35"/>
    </row>
    <row r="693" spans="2:8" x14ac:dyDescent="0.35">
      <c r="B693" s="6"/>
      <c r="C693" s="7"/>
      <c r="D693" s="35"/>
      <c r="E693" s="35"/>
      <c r="F693" s="35"/>
      <c r="G693" s="35"/>
      <c r="H693" s="35"/>
    </row>
    <row r="694" spans="2:8" x14ac:dyDescent="0.35">
      <c r="B694" s="6"/>
      <c r="C694" s="7"/>
      <c r="D694" s="35"/>
      <c r="E694" s="35"/>
      <c r="F694" s="35"/>
      <c r="G694" s="35"/>
      <c r="H694" s="35"/>
    </row>
    <row r="695" spans="2:8" x14ac:dyDescent="0.35">
      <c r="B695" s="6"/>
      <c r="C695" s="7"/>
      <c r="D695" s="35"/>
      <c r="E695" s="35"/>
      <c r="F695" s="35"/>
      <c r="G695" s="35"/>
      <c r="H695" s="35"/>
    </row>
    <row r="696" spans="2:8" x14ac:dyDescent="0.35">
      <c r="B696" s="6"/>
      <c r="C696" s="7"/>
      <c r="D696" s="35"/>
      <c r="E696" s="35"/>
      <c r="F696" s="35"/>
      <c r="G696" s="35"/>
      <c r="H696" s="35"/>
    </row>
    <row r="697" spans="2:8" x14ac:dyDescent="0.35">
      <c r="B697" s="6"/>
      <c r="C697" s="7"/>
      <c r="D697" s="35"/>
      <c r="E697" s="35"/>
      <c r="F697" s="35"/>
      <c r="G697" s="35"/>
      <c r="H697" s="35"/>
    </row>
    <row r="698" spans="2:8" x14ac:dyDescent="0.35">
      <c r="B698" s="6"/>
      <c r="C698" s="7"/>
      <c r="D698" s="35"/>
      <c r="E698" s="35"/>
      <c r="F698" s="35"/>
      <c r="G698" s="35"/>
      <c r="H698" s="35"/>
    </row>
    <row r="699" spans="2:8" x14ac:dyDescent="0.35">
      <c r="B699" s="6"/>
      <c r="C699" s="7"/>
      <c r="D699" s="35"/>
      <c r="E699" s="35"/>
      <c r="F699" s="35"/>
      <c r="G699" s="35"/>
      <c r="H699" s="35"/>
    </row>
    <row r="700" spans="2:8" x14ac:dyDescent="0.35">
      <c r="B700" s="6"/>
      <c r="C700" s="7"/>
      <c r="D700" s="35"/>
      <c r="E700" s="35"/>
      <c r="F700" s="35"/>
      <c r="G700" s="35"/>
      <c r="H700" s="35"/>
    </row>
    <row r="701" spans="2:8" x14ac:dyDescent="0.35">
      <c r="B701" s="6"/>
      <c r="C701" s="7"/>
      <c r="D701" s="35"/>
      <c r="E701" s="35"/>
      <c r="F701" s="35"/>
      <c r="G701" s="35"/>
      <c r="H701" s="35"/>
    </row>
    <row r="702" spans="2:8" x14ac:dyDescent="0.35">
      <c r="B702" s="6"/>
      <c r="C702" s="7"/>
      <c r="D702" s="35"/>
      <c r="E702" s="35"/>
      <c r="F702" s="35"/>
      <c r="G702" s="35"/>
      <c r="H702" s="35"/>
    </row>
    <row r="703" spans="2:8" x14ac:dyDescent="0.35">
      <c r="B703" s="6"/>
      <c r="C703" s="7"/>
      <c r="D703" s="35"/>
      <c r="E703" s="35"/>
      <c r="F703" s="35"/>
      <c r="G703" s="35"/>
      <c r="H703" s="35"/>
    </row>
    <row r="704" spans="2:8" x14ac:dyDescent="0.35">
      <c r="B704" s="6"/>
      <c r="C704" s="7"/>
      <c r="D704" s="35"/>
      <c r="E704" s="35"/>
      <c r="F704" s="35"/>
      <c r="G704" s="35"/>
      <c r="H704" s="35"/>
    </row>
    <row r="705" spans="2:8" x14ac:dyDescent="0.35">
      <c r="B705" s="6"/>
      <c r="C705" s="7"/>
      <c r="D705" s="35"/>
      <c r="E705" s="35"/>
      <c r="F705" s="35"/>
      <c r="G705" s="35"/>
      <c r="H705" s="35"/>
    </row>
    <row r="706" spans="2:8" x14ac:dyDescent="0.35">
      <c r="B706" s="6"/>
      <c r="C706" s="7"/>
      <c r="D706" s="35"/>
      <c r="E706" s="35"/>
      <c r="F706" s="35"/>
      <c r="G706" s="35"/>
      <c r="H706" s="35"/>
    </row>
    <row r="707" spans="2:8" x14ac:dyDescent="0.35">
      <c r="B707" s="6"/>
      <c r="C707" s="7"/>
      <c r="D707" s="35"/>
      <c r="E707" s="35"/>
      <c r="F707" s="35"/>
      <c r="G707" s="35"/>
      <c r="H707" s="35"/>
    </row>
    <row r="708" spans="2:8" x14ac:dyDescent="0.35">
      <c r="B708" s="6"/>
      <c r="C708" s="7"/>
      <c r="D708" s="35"/>
      <c r="E708" s="35"/>
      <c r="F708" s="35"/>
      <c r="G708" s="35"/>
      <c r="H708" s="35"/>
    </row>
    <row r="709" spans="2:8" x14ac:dyDescent="0.35">
      <c r="B709" s="6"/>
      <c r="C709" s="7"/>
      <c r="D709" s="35"/>
      <c r="E709" s="35"/>
      <c r="F709" s="35"/>
      <c r="G709" s="35"/>
      <c r="H709" s="35"/>
    </row>
    <row r="710" spans="2:8" x14ac:dyDescent="0.35">
      <c r="B710" s="6"/>
      <c r="C710" s="7"/>
      <c r="D710" s="35"/>
      <c r="E710" s="35"/>
      <c r="F710" s="35"/>
      <c r="G710" s="35"/>
      <c r="H710" s="35"/>
    </row>
    <row r="711" spans="2:8" x14ac:dyDescent="0.35">
      <c r="B711" s="6"/>
      <c r="C711" s="7"/>
      <c r="D711" s="35"/>
      <c r="E711" s="35"/>
      <c r="F711" s="35"/>
      <c r="G711" s="35"/>
      <c r="H711" s="35"/>
    </row>
    <row r="712" spans="2:8" x14ac:dyDescent="0.35">
      <c r="B712" s="6"/>
      <c r="C712" s="7"/>
      <c r="D712" s="35"/>
      <c r="E712" s="35"/>
      <c r="F712" s="35"/>
      <c r="G712" s="35"/>
      <c r="H712" s="35"/>
    </row>
    <row r="713" spans="2:8" x14ac:dyDescent="0.35">
      <c r="B713" s="6"/>
      <c r="C713" s="7"/>
      <c r="D713" s="35"/>
      <c r="E713" s="35"/>
      <c r="F713" s="35"/>
      <c r="G713" s="35"/>
      <c r="H713" s="35"/>
    </row>
    <row r="714" spans="2:8" x14ac:dyDescent="0.35">
      <c r="B714" s="6"/>
      <c r="C714" s="7"/>
      <c r="D714" s="35"/>
      <c r="E714" s="35"/>
      <c r="F714" s="35"/>
      <c r="G714" s="35"/>
      <c r="H714" s="35"/>
    </row>
    <row r="715" spans="2:8" x14ac:dyDescent="0.35">
      <c r="B715" s="6"/>
      <c r="C715" s="7"/>
      <c r="D715" s="35"/>
      <c r="E715" s="35"/>
      <c r="F715" s="35"/>
      <c r="G715" s="35"/>
      <c r="H715" s="35"/>
    </row>
    <row r="716" spans="2:8" x14ac:dyDescent="0.35">
      <c r="B716" s="6"/>
      <c r="C716" s="7"/>
      <c r="D716" s="35"/>
      <c r="E716" s="35"/>
      <c r="F716" s="35"/>
      <c r="G716" s="35"/>
      <c r="H716" s="35"/>
    </row>
    <row r="717" spans="2:8" x14ac:dyDescent="0.35">
      <c r="B717" s="6"/>
      <c r="C717" s="7"/>
      <c r="D717" s="35"/>
      <c r="E717" s="35"/>
      <c r="F717" s="35"/>
      <c r="G717" s="35"/>
      <c r="H717" s="35"/>
    </row>
    <row r="718" spans="2:8" x14ac:dyDescent="0.35">
      <c r="B718" s="6"/>
      <c r="C718" s="7"/>
      <c r="D718" s="35"/>
      <c r="E718" s="35"/>
      <c r="F718" s="35"/>
      <c r="G718" s="35"/>
      <c r="H718" s="35"/>
    </row>
    <row r="719" spans="2:8" x14ac:dyDescent="0.35">
      <c r="B719" s="6"/>
      <c r="C719" s="7"/>
      <c r="D719" s="35"/>
      <c r="E719" s="35"/>
      <c r="F719" s="35"/>
      <c r="G719" s="35"/>
      <c r="H719" s="35"/>
    </row>
    <row r="720" spans="2:8" x14ac:dyDescent="0.35">
      <c r="B720" s="6"/>
      <c r="C720" s="7"/>
      <c r="D720" s="35"/>
      <c r="E720" s="35"/>
      <c r="F720" s="35"/>
      <c r="G720" s="35"/>
      <c r="H720" s="35"/>
    </row>
    <row r="721" spans="2:8" x14ac:dyDescent="0.35">
      <c r="B721" s="6"/>
      <c r="C721" s="7"/>
      <c r="D721" s="35"/>
      <c r="E721" s="35"/>
      <c r="F721" s="35"/>
      <c r="G721" s="35"/>
      <c r="H721" s="35"/>
    </row>
    <row r="722" spans="2:8" x14ac:dyDescent="0.35">
      <c r="B722" s="6"/>
      <c r="C722" s="7"/>
      <c r="D722" s="35"/>
      <c r="E722" s="35"/>
      <c r="F722" s="35"/>
      <c r="G722" s="35"/>
      <c r="H722" s="35"/>
    </row>
    <row r="723" spans="2:8" x14ac:dyDescent="0.35">
      <c r="B723" s="6"/>
      <c r="C723" s="7"/>
      <c r="D723" s="35"/>
      <c r="E723" s="35"/>
      <c r="F723" s="35"/>
      <c r="G723" s="35"/>
      <c r="H723" s="35"/>
    </row>
    <row r="724" spans="2:8" x14ac:dyDescent="0.35">
      <c r="B724" s="6"/>
      <c r="C724" s="7"/>
      <c r="D724" s="35"/>
      <c r="E724" s="35"/>
      <c r="F724" s="35"/>
      <c r="G724" s="35"/>
      <c r="H724" s="35"/>
    </row>
    <row r="725" spans="2:8" x14ac:dyDescent="0.35">
      <c r="B725" s="6"/>
      <c r="C725" s="7"/>
      <c r="D725" s="35"/>
      <c r="E725" s="35"/>
      <c r="F725" s="35"/>
      <c r="G725" s="35"/>
      <c r="H725" s="35"/>
    </row>
    <row r="726" spans="2:8" x14ac:dyDescent="0.35">
      <c r="B726" s="6"/>
      <c r="C726" s="7"/>
      <c r="D726" s="35"/>
      <c r="E726" s="35"/>
      <c r="F726" s="35"/>
      <c r="G726" s="35"/>
      <c r="H726" s="35"/>
    </row>
    <row r="727" spans="2:8" x14ac:dyDescent="0.35">
      <c r="B727" s="6"/>
      <c r="C727" s="7"/>
      <c r="D727" s="35"/>
      <c r="E727" s="35"/>
      <c r="F727" s="35"/>
      <c r="G727" s="35"/>
      <c r="H727" s="35"/>
    </row>
    <row r="728" spans="2:8" x14ac:dyDescent="0.35">
      <c r="B728" s="6"/>
      <c r="C728" s="7"/>
      <c r="D728" s="35"/>
      <c r="E728" s="35"/>
      <c r="F728" s="35"/>
      <c r="G728" s="35"/>
      <c r="H728" s="35"/>
    </row>
    <row r="729" spans="2:8" x14ac:dyDescent="0.35">
      <c r="B729" s="6"/>
      <c r="C729" s="7"/>
      <c r="D729" s="35"/>
      <c r="E729" s="35"/>
      <c r="F729" s="35"/>
      <c r="G729" s="35"/>
      <c r="H729" s="35"/>
    </row>
    <row r="730" spans="2:8" x14ac:dyDescent="0.35">
      <c r="B730" s="6"/>
      <c r="C730" s="7"/>
      <c r="D730" s="35"/>
      <c r="E730" s="35"/>
      <c r="F730" s="35"/>
      <c r="G730" s="35"/>
      <c r="H730" s="35"/>
    </row>
    <row r="731" spans="2:8" x14ac:dyDescent="0.35">
      <c r="B731" s="6"/>
      <c r="C731" s="7"/>
      <c r="D731" s="35"/>
      <c r="E731" s="35"/>
      <c r="F731" s="35"/>
      <c r="G731" s="35"/>
      <c r="H731" s="35"/>
    </row>
    <row r="732" spans="2:8" x14ac:dyDescent="0.35">
      <c r="B732" s="6"/>
      <c r="C732" s="7"/>
      <c r="D732" s="35"/>
      <c r="E732" s="35"/>
      <c r="F732" s="35"/>
      <c r="G732" s="35"/>
      <c r="H732" s="35"/>
    </row>
    <row r="733" spans="2:8" x14ac:dyDescent="0.35">
      <c r="B733" s="6"/>
      <c r="C733" s="7"/>
      <c r="D733" s="35"/>
      <c r="E733" s="35"/>
      <c r="F733" s="35"/>
      <c r="G733" s="35"/>
      <c r="H733" s="35"/>
    </row>
    <row r="734" spans="2:8" x14ac:dyDescent="0.35">
      <c r="B734" s="6"/>
      <c r="C734" s="7"/>
      <c r="D734" s="35"/>
      <c r="E734" s="35"/>
      <c r="F734" s="35"/>
      <c r="G734" s="35"/>
      <c r="H734" s="35"/>
    </row>
    <row r="735" spans="2:8" x14ac:dyDescent="0.35">
      <c r="B735" s="6"/>
      <c r="C735" s="7"/>
      <c r="D735" s="35"/>
      <c r="E735" s="35"/>
      <c r="F735" s="35"/>
      <c r="G735" s="35"/>
      <c r="H735" s="35"/>
    </row>
    <row r="736" spans="2:8" x14ac:dyDescent="0.35">
      <c r="B736" s="6"/>
      <c r="C736" s="7"/>
      <c r="D736" s="35"/>
      <c r="E736" s="35"/>
      <c r="F736" s="35"/>
      <c r="G736" s="35"/>
      <c r="H736" s="35"/>
    </row>
    <row r="737" spans="2:8" x14ac:dyDescent="0.35">
      <c r="B737" s="6"/>
      <c r="C737" s="7"/>
      <c r="D737" s="35"/>
      <c r="E737" s="35"/>
      <c r="F737" s="35"/>
      <c r="G737" s="35"/>
      <c r="H737" s="35"/>
    </row>
    <row r="738" spans="2:8" x14ac:dyDescent="0.35">
      <c r="B738" s="6"/>
      <c r="C738" s="7"/>
      <c r="D738" s="35"/>
      <c r="E738" s="35"/>
      <c r="F738" s="35"/>
      <c r="G738" s="35"/>
      <c r="H738" s="35"/>
    </row>
    <row r="739" spans="2:8" x14ac:dyDescent="0.35">
      <c r="B739" s="6"/>
      <c r="C739" s="7"/>
      <c r="D739" s="35"/>
      <c r="E739" s="35"/>
      <c r="F739" s="35"/>
      <c r="G739" s="35"/>
      <c r="H739" s="35"/>
    </row>
    <row r="740" spans="2:8" x14ac:dyDescent="0.35">
      <c r="B740" s="6"/>
      <c r="C740" s="7"/>
      <c r="D740" s="35"/>
      <c r="E740" s="35"/>
      <c r="F740" s="35"/>
      <c r="G740" s="35"/>
      <c r="H740" s="35"/>
    </row>
    <row r="741" spans="2:8" x14ac:dyDescent="0.35">
      <c r="B741" s="6"/>
      <c r="C741" s="7"/>
      <c r="D741" s="35"/>
      <c r="E741" s="35"/>
      <c r="F741" s="35"/>
      <c r="G741" s="35"/>
      <c r="H741" s="35"/>
    </row>
    <row r="742" spans="2:8" x14ac:dyDescent="0.35">
      <c r="B742" s="6"/>
      <c r="C742" s="7"/>
      <c r="D742" s="35"/>
      <c r="E742" s="35"/>
      <c r="F742" s="35"/>
      <c r="G742" s="35"/>
      <c r="H742" s="35"/>
    </row>
    <row r="743" spans="2:8" x14ac:dyDescent="0.35">
      <c r="B743" s="6"/>
      <c r="C743" s="7"/>
      <c r="D743" s="35"/>
      <c r="E743" s="35"/>
      <c r="F743" s="35"/>
      <c r="G743" s="35"/>
      <c r="H743" s="35"/>
    </row>
    <row r="744" spans="2:8" x14ac:dyDescent="0.35">
      <c r="B744" s="6"/>
      <c r="C744" s="7"/>
      <c r="D744" s="35"/>
      <c r="E744" s="35"/>
      <c r="F744" s="35"/>
      <c r="G744" s="35"/>
      <c r="H744" s="35"/>
    </row>
    <row r="745" spans="2:8" x14ac:dyDescent="0.35">
      <c r="B745" s="6"/>
      <c r="C745" s="7"/>
      <c r="D745" s="35"/>
      <c r="E745" s="35"/>
      <c r="F745" s="35"/>
      <c r="G745" s="35"/>
      <c r="H745" s="35"/>
    </row>
    <row r="746" spans="2:8" x14ac:dyDescent="0.35">
      <c r="B746" s="6"/>
      <c r="C746" s="7"/>
      <c r="D746" s="35"/>
      <c r="E746" s="35"/>
      <c r="F746" s="35"/>
      <c r="G746" s="35"/>
      <c r="H746" s="35"/>
    </row>
    <row r="747" spans="2:8" x14ac:dyDescent="0.35">
      <c r="B747" s="6"/>
      <c r="C747" s="7"/>
      <c r="D747" s="35"/>
      <c r="E747" s="35"/>
      <c r="F747" s="35"/>
      <c r="G747" s="35"/>
      <c r="H747" s="35"/>
    </row>
    <row r="748" spans="2:8" x14ac:dyDescent="0.35">
      <c r="B748" s="6"/>
      <c r="C748" s="7"/>
      <c r="D748" s="35"/>
      <c r="E748" s="35"/>
      <c r="F748" s="35"/>
      <c r="G748" s="35"/>
      <c r="H748" s="35"/>
    </row>
    <row r="749" spans="2:8" x14ac:dyDescent="0.35">
      <c r="B749" s="6"/>
      <c r="C749" s="7"/>
      <c r="D749" s="35"/>
      <c r="E749" s="35"/>
      <c r="F749" s="35"/>
      <c r="G749" s="35"/>
      <c r="H749" s="35"/>
    </row>
    <row r="750" spans="2:8" x14ac:dyDescent="0.35">
      <c r="B750" s="6"/>
      <c r="C750" s="7"/>
      <c r="D750" s="35"/>
      <c r="E750" s="35"/>
      <c r="F750" s="35"/>
      <c r="G750" s="35"/>
      <c r="H750" s="35"/>
    </row>
    <row r="751" spans="2:8" x14ac:dyDescent="0.35">
      <c r="B751" s="6"/>
      <c r="C751" s="7"/>
      <c r="D751" s="35"/>
      <c r="E751" s="35"/>
      <c r="F751" s="35"/>
      <c r="G751" s="35"/>
      <c r="H751" s="35"/>
    </row>
    <row r="752" spans="2:8" x14ac:dyDescent="0.35">
      <c r="B752" s="6"/>
      <c r="C752" s="7"/>
      <c r="D752" s="35"/>
      <c r="E752" s="35"/>
      <c r="F752" s="35"/>
      <c r="G752" s="35"/>
      <c r="H752" s="35"/>
    </row>
    <row r="753" spans="2:8" x14ac:dyDescent="0.35">
      <c r="B753" s="6"/>
      <c r="C753" s="7"/>
      <c r="D753" s="35"/>
      <c r="E753" s="35"/>
      <c r="F753" s="35"/>
      <c r="G753" s="35"/>
      <c r="H753" s="35"/>
    </row>
    <row r="754" spans="2:8" x14ac:dyDescent="0.35">
      <c r="B754" s="6"/>
      <c r="C754" s="7"/>
      <c r="D754" s="35"/>
      <c r="E754" s="35"/>
      <c r="F754" s="35"/>
      <c r="G754" s="35"/>
      <c r="H754" s="35"/>
    </row>
    <row r="755" spans="2:8" x14ac:dyDescent="0.35">
      <c r="B755" s="6"/>
      <c r="C755" s="7"/>
      <c r="D755" s="35"/>
      <c r="E755" s="35"/>
      <c r="F755" s="35"/>
      <c r="G755" s="35"/>
      <c r="H755" s="35"/>
    </row>
    <row r="756" spans="2:8" x14ac:dyDescent="0.35">
      <c r="B756" s="6"/>
      <c r="C756" s="7"/>
      <c r="D756" s="35"/>
      <c r="E756" s="35"/>
      <c r="F756" s="35"/>
      <c r="G756" s="35"/>
      <c r="H756" s="35"/>
    </row>
    <row r="757" spans="2:8" x14ac:dyDescent="0.35">
      <c r="B757" s="6"/>
      <c r="C757" s="7"/>
      <c r="D757" s="35"/>
      <c r="E757" s="35"/>
      <c r="F757" s="35"/>
      <c r="G757" s="35"/>
      <c r="H757" s="35"/>
    </row>
    <row r="758" spans="2:8" x14ac:dyDescent="0.35">
      <c r="B758" s="6"/>
      <c r="C758" s="7"/>
      <c r="D758" s="35"/>
      <c r="E758" s="35"/>
      <c r="F758" s="35"/>
      <c r="G758" s="35"/>
      <c r="H758" s="35"/>
    </row>
    <row r="759" spans="2:8" x14ac:dyDescent="0.35">
      <c r="B759" s="6"/>
      <c r="C759" s="7"/>
      <c r="D759" s="35"/>
      <c r="E759" s="35"/>
      <c r="F759" s="35"/>
      <c r="G759" s="35"/>
      <c r="H759" s="35"/>
    </row>
    <row r="760" spans="2:8" x14ac:dyDescent="0.35">
      <c r="B760" s="6"/>
      <c r="C760" s="7"/>
      <c r="D760" s="35"/>
      <c r="E760" s="35"/>
      <c r="F760" s="35"/>
      <c r="G760" s="35"/>
      <c r="H760" s="35"/>
    </row>
    <row r="761" spans="2:8" x14ac:dyDescent="0.35">
      <c r="B761" s="6"/>
      <c r="C761" s="7"/>
      <c r="D761" s="35"/>
      <c r="E761" s="35"/>
      <c r="F761" s="35"/>
      <c r="G761" s="35"/>
      <c r="H761" s="35"/>
    </row>
    <row r="762" spans="2:8" x14ac:dyDescent="0.35">
      <c r="B762" s="6"/>
      <c r="C762" s="7"/>
      <c r="D762" s="35"/>
      <c r="E762" s="35"/>
      <c r="F762" s="35"/>
      <c r="G762" s="35"/>
      <c r="H762" s="35"/>
    </row>
    <row r="763" spans="2:8" x14ac:dyDescent="0.35">
      <c r="B763" s="6"/>
      <c r="C763" s="7"/>
      <c r="D763" s="35"/>
      <c r="E763" s="35"/>
      <c r="F763" s="35"/>
      <c r="G763" s="35"/>
      <c r="H763" s="35"/>
    </row>
    <row r="764" spans="2:8" x14ac:dyDescent="0.35">
      <c r="B764" s="6"/>
      <c r="C764" s="7"/>
      <c r="D764" s="35"/>
      <c r="E764" s="35"/>
      <c r="F764" s="35"/>
      <c r="G764" s="35"/>
      <c r="H764" s="35"/>
    </row>
    <row r="765" spans="2:8" x14ac:dyDescent="0.35">
      <c r="B765" s="6"/>
      <c r="C765" s="7"/>
      <c r="D765" s="35"/>
      <c r="E765" s="35"/>
      <c r="F765" s="35"/>
      <c r="G765" s="35"/>
      <c r="H765" s="35"/>
    </row>
    <row r="766" spans="2:8" x14ac:dyDescent="0.35">
      <c r="B766" s="6"/>
      <c r="C766" s="7"/>
      <c r="D766" s="35"/>
      <c r="E766" s="35"/>
      <c r="F766" s="35"/>
      <c r="G766" s="35"/>
      <c r="H766" s="35"/>
    </row>
    <row r="767" spans="2:8" x14ac:dyDescent="0.35">
      <c r="B767" s="6"/>
      <c r="C767" s="7"/>
      <c r="D767" s="35"/>
      <c r="E767" s="35"/>
      <c r="F767" s="35"/>
      <c r="G767" s="35"/>
      <c r="H767" s="35"/>
    </row>
    <row r="768" spans="2:8" x14ac:dyDescent="0.35">
      <c r="B768" s="6"/>
      <c r="C768" s="7"/>
      <c r="D768" s="35"/>
      <c r="E768" s="35"/>
      <c r="F768" s="35"/>
      <c r="G768" s="35"/>
      <c r="H768" s="35"/>
    </row>
    <row r="769" spans="2:8" x14ac:dyDescent="0.35">
      <c r="B769" s="6"/>
      <c r="C769" s="7"/>
      <c r="D769" s="35"/>
      <c r="E769" s="35"/>
      <c r="F769" s="35"/>
      <c r="G769" s="35"/>
      <c r="H769" s="35"/>
    </row>
    <row r="770" spans="2:8" x14ac:dyDescent="0.35">
      <c r="B770" s="6"/>
      <c r="C770" s="7"/>
      <c r="D770" s="35"/>
      <c r="E770" s="35"/>
      <c r="F770" s="35"/>
      <c r="G770" s="35"/>
      <c r="H770" s="35"/>
    </row>
    <row r="771" spans="2:8" x14ac:dyDescent="0.35">
      <c r="B771" s="6"/>
      <c r="C771" s="7"/>
      <c r="D771" s="35"/>
      <c r="E771" s="35"/>
      <c r="F771" s="35"/>
      <c r="G771" s="35"/>
      <c r="H771" s="35"/>
    </row>
    <row r="772" spans="2:8" x14ac:dyDescent="0.35">
      <c r="B772" s="6"/>
      <c r="C772" s="7"/>
      <c r="D772" s="35"/>
      <c r="E772" s="35"/>
      <c r="F772" s="35"/>
      <c r="G772" s="35"/>
      <c r="H772" s="35"/>
    </row>
    <row r="773" spans="2:8" x14ac:dyDescent="0.35">
      <c r="B773" s="6"/>
      <c r="C773" s="7"/>
      <c r="D773" s="35"/>
      <c r="E773" s="35"/>
      <c r="F773" s="35"/>
      <c r="G773" s="35"/>
      <c r="H773" s="35"/>
    </row>
    <row r="774" spans="2:8" x14ac:dyDescent="0.35">
      <c r="B774" s="6"/>
      <c r="C774" s="7"/>
      <c r="D774" s="35"/>
      <c r="E774" s="35"/>
      <c r="F774" s="35"/>
      <c r="G774" s="35"/>
      <c r="H774" s="35"/>
    </row>
    <row r="775" spans="2:8" x14ac:dyDescent="0.35">
      <c r="B775" s="6"/>
      <c r="C775" s="7"/>
      <c r="D775" s="35"/>
      <c r="E775" s="35"/>
      <c r="F775" s="35"/>
      <c r="G775" s="35"/>
      <c r="H775" s="35"/>
    </row>
    <row r="776" spans="2:8" x14ac:dyDescent="0.35">
      <c r="B776" s="6"/>
      <c r="C776" s="7"/>
      <c r="D776" s="35"/>
      <c r="E776" s="35"/>
      <c r="F776" s="35"/>
      <c r="G776" s="35"/>
      <c r="H776" s="35"/>
    </row>
    <row r="777" spans="2:8" x14ac:dyDescent="0.35">
      <c r="B777" s="6"/>
      <c r="C777" s="7"/>
      <c r="D777" s="35"/>
      <c r="E777" s="35"/>
      <c r="F777" s="35"/>
      <c r="G777" s="35"/>
      <c r="H777" s="35"/>
    </row>
    <row r="778" spans="2:8" x14ac:dyDescent="0.35">
      <c r="B778" s="6"/>
      <c r="C778" s="7"/>
      <c r="D778" s="35"/>
      <c r="E778" s="35"/>
      <c r="F778" s="35"/>
      <c r="G778" s="35"/>
      <c r="H778" s="35"/>
    </row>
    <row r="779" spans="2:8" x14ac:dyDescent="0.35">
      <c r="B779" s="6"/>
      <c r="C779" s="7"/>
      <c r="D779" s="35"/>
      <c r="E779" s="35"/>
      <c r="F779" s="35"/>
      <c r="G779" s="35"/>
      <c r="H779" s="35"/>
    </row>
    <row r="780" spans="2:8" x14ac:dyDescent="0.35">
      <c r="B780" s="6"/>
      <c r="C780" s="7"/>
      <c r="D780" s="35"/>
      <c r="E780" s="35"/>
      <c r="F780" s="35"/>
      <c r="G780" s="35"/>
      <c r="H780" s="35"/>
    </row>
    <row r="781" spans="2:8" x14ac:dyDescent="0.35">
      <c r="B781" s="6"/>
      <c r="C781" s="7"/>
      <c r="D781" s="35"/>
      <c r="E781" s="35"/>
      <c r="F781" s="35"/>
      <c r="G781" s="35"/>
      <c r="H781" s="35"/>
    </row>
    <row r="782" spans="2:8" x14ac:dyDescent="0.35">
      <c r="B782" s="6"/>
      <c r="C782" s="7"/>
      <c r="D782" s="35"/>
      <c r="E782" s="35"/>
      <c r="F782" s="35"/>
      <c r="G782" s="35"/>
      <c r="H782" s="35"/>
    </row>
    <row r="783" spans="2:8" x14ac:dyDescent="0.35">
      <c r="B783" s="6"/>
      <c r="C783" s="7"/>
      <c r="D783" s="35"/>
      <c r="E783" s="35"/>
      <c r="F783" s="35"/>
      <c r="G783" s="35"/>
      <c r="H783" s="35"/>
    </row>
    <row r="784" spans="2:8" x14ac:dyDescent="0.35">
      <c r="B784" s="6"/>
      <c r="C784" s="7"/>
      <c r="D784" s="35"/>
      <c r="E784" s="35"/>
      <c r="F784" s="35"/>
      <c r="G784" s="35"/>
      <c r="H784" s="35"/>
    </row>
    <row r="785" spans="2:8" x14ac:dyDescent="0.35">
      <c r="B785" s="6"/>
      <c r="C785" s="7"/>
      <c r="D785" s="35"/>
      <c r="E785" s="35"/>
      <c r="F785" s="35"/>
      <c r="G785" s="35"/>
      <c r="H785" s="35"/>
    </row>
    <row r="786" spans="2:8" x14ac:dyDescent="0.35">
      <c r="B786" s="6"/>
      <c r="C786" s="7"/>
      <c r="D786" s="35"/>
      <c r="E786" s="35"/>
      <c r="F786" s="35"/>
      <c r="G786" s="35"/>
      <c r="H786" s="35"/>
    </row>
    <row r="787" spans="2:8" x14ac:dyDescent="0.35">
      <c r="B787" s="6"/>
      <c r="C787" s="7"/>
      <c r="D787" s="35"/>
      <c r="E787" s="35"/>
      <c r="F787" s="35"/>
      <c r="G787" s="35"/>
      <c r="H787" s="35"/>
    </row>
    <row r="788" spans="2:8" x14ac:dyDescent="0.35">
      <c r="B788" s="6"/>
      <c r="C788" s="7"/>
      <c r="D788" s="35"/>
      <c r="E788" s="35"/>
      <c r="F788" s="35"/>
      <c r="G788" s="35"/>
      <c r="H788" s="35"/>
    </row>
    <row r="789" spans="2:8" x14ac:dyDescent="0.35">
      <c r="B789" s="6"/>
      <c r="C789" s="7"/>
      <c r="D789" s="35"/>
      <c r="E789" s="35"/>
      <c r="F789" s="35"/>
      <c r="G789" s="35"/>
      <c r="H789" s="35"/>
    </row>
    <row r="790" spans="2:8" x14ac:dyDescent="0.35">
      <c r="B790" s="6"/>
      <c r="C790" s="7"/>
      <c r="D790" s="35"/>
      <c r="E790" s="35"/>
      <c r="F790" s="35"/>
      <c r="G790" s="35"/>
      <c r="H790" s="35"/>
    </row>
    <row r="791" spans="2:8" x14ac:dyDescent="0.35">
      <c r="B791" s="6"/>
      <c r="C791" s="7"/>
      <c r="D791" s="35"/>
      <c r="E791" s="35"/>
      <c r="F791" s="35"/>
      <c r="G791" s="35"/>
      <c r="H791" s="35"/>
    </row>
    <row r="792" spans="2:8" x14ac:dyDescent="0.35">
      <c r="B792" s="6"/>
      <c r="C792" s="7"/>
      <c r="D792" s="35"/>
      <c r="E792" s="35"/>
      <c r="F792" s="35"/>
      <c r="G792" s="35"/>
      <c r="H792" s="35"/>
    </row>
    <row r="793" spans="2:8" x14ac:dyDescent="0.35">
      <c r="B793" s="6"/>
      <c r="C793" s="7"/>
      <c r="D793" s="35"/>
      <c r="E793" s="35"/>
      <c r="F793" s="35"/>
      <c r="G793" s="35"/>
      <c r="H793" s="35"/>
    </row>
    <row r="794" spans="2:8" x14ac:dyDescent="0.35">
      <c r="B794" s="6"/>
      <c r="C794" s="7"/>
      <c r="D794" s="35"/>
      <c r="E794" s="35"/>
      <c r="F794" s="35"/>
      <c r="G794" s="35"/>
      <c r="H794" s="35"/>
    </row>
    <row r="795" spans="2:8" x14ac:dyDescent="0.35">
      <c r="B795" s="6"/>
      <c r="C795" s="7"/>
      <c r="D795" s="35"/>
      <c r="E795" s="35"/>
      <c r="F795" s="35"/>
      <c r="G795" s="35"/>
      <c r="H795" s="35"/>
    </row>
    <row r="796" spans="2:8" x14ac:dyDescent="0.35">
      <c r="B796" s="6"/>
      <c r="C796" s="7"/>
      <c r="D796" s="35"/>
      <c r="E796" s="35"/>
      <c r="F796" s="35"/>
      <c r="G796" s="35"/>
      <c r="H796" s="35"/>
    </row>
    <row r="797" spans="2:8" x14ac:dyDescent="0.35">
      <c r="B797" s="6"/>
      <c r="C797" s="7"/>
      <c r="D797" s="35"/>
      <c r="E797" s="35"/>
      <c r="F797" s="35"/>
      <c r="G797" s="35"/>
      <c r="H797" s="35"/>
    </row>
    <row r="798" spans="2:8" x14ac:dyDescent="0.35">
      <c r="B798" s="6"/>
      <c r="C798" s="7"/>
      <c r="D798" s="35"/>
      <c r="E798" s="35"/>
      <c r="F798" s="35"/>
      <c r="G798" s="35"/>
      <c r="H798" s="35"/>
    </row>
    <row r="799" spans="2:8" x14ac:dyDescent="0.35">
      <c r="B799" s="6"/>
      <c r="C799" s="7"/>
      <c r="D799" s="35"/>
      <c r="E799" s="35"/>
      <c r="F799" s="35"/>
      <c r="G799" s="35"/>
      <c r="H799" s="35"/>
    </row>
    <row r="800" spans="2:8" x14ac:dyDescent="0.35">
      <c r="B800" s="6"/>
      <c r="C800" s="7"/>
      <c r="D800" s="35"/>
      <c r="E800" s="35"/>
      <c r="F800" s="35"/>
      <c r="G800" s="35"/>
      <c r="H800" s="35"/>
    </row>
    <row r="801" spans="2:8" x14ac:dyDescent="0.35">
      <c r="B801" s="6"/>
      <c r="C801" s="7"/>
      <c r="D801" s="35"/>
      <c r="E801" s="35"/>
      <c r="F801" s="35"/>
      <c r="G801" s="35"/>
      <c r="H801" s="35"/>
    </row>
    <row r="802" spans="2:8" x14ac:dyDescent="0.35">
      <c r="B802" s="6"/>
      <c r="C802" s="7"/>
      <c r="D802" s="35"/>
      <c r="E802" s="35"/>
      <c r="F802" s="35"/>
      <c r="G802" s="35"/>
      <c r="H802" s="35"/>
    </row>
    <row r="803" spans="2:8" x14ac:dyDescent="0.35">
      <c r="B803" s="6"/>
      <c r="C803" s="7"/>
      <c r="D803" s="35"/>
      <c r="E803" s="35"/>
      <c r="F803" s="35"/>
      <c r="G803" s="35"/>
      <c r="H803" s="35"/>
    </row>
    <row r="804" spans="2:8" x14ac:dyDescent="0.35">
      <c r="B804" s="6"/>
      <c r="C804" s="7"/>
      <c r="D804" s="35"/>
      <c r="E804" s="35"/>
      <c r="F804" s="35"/>
      <c r="G804" s="35"/>
      <c r="H804" s="35"/>
    </row>
    <row r="805" spans="2:8" x14ac:dyDescent="0.35">
      <c r="B805" s="6"/>
      <c r="C805" s="7"/>
      <c r="D805" s="35"/>
      <c r="E805" s="35"/>
      <c r="F805" s="35"/>
      <c r="G805" s="35"/>
      <c r="H805" s="35"/>
    </row>
    <row r="806" spans="2:8" x14ac:dyDescent="0.35">
      <c r="B806" s="6"/>
      <c r="C806" s="7"/>
      <c r="D806" s="35"/>
      <c r="E806" s="35"/>
      <c r="F806" s="35"/>
      <c r="G806" s="35"/>
      <c r="H806" s="35"/>
    </row>
    <row r="807" spans="2:8" x14ac:dyDescent="0.35">
      <c r="B807" s="6"/>
      <c r="C807" s="7"/>
      <c r="D807" s="35"/>
      <c r="E807" s="35"/>
      <c r="F807" s="35"/>
      <c r="G807" s="35"/>
      <c r="H807" s="35"/>
    </row>
    <row r="808" spans="2:8" x14ac:dyDescent="0.35">
      <c r="B808" s="6"/>
      <c r="C808" s="7"/>
      <c r="D808" s="35"/>
      <c r="E808" s="35"/>
      <c r="F808" s="35"/>
      <c r="G808" s="35"/>
      <c r="H808" s="35"/>
    </row>
    <row r="809" spans="2:8" x14ac:dyDescent="0.35">
      <c r="B809" s="6"/>
      <c r="C809" s="7"/>
      <c r="D809" s="35"/>
      <c r="E809" s="35"/>
      <c r="F809" s="35"/>
      <c r="G809" s="35"/>
      <c r="H809" s="35"/>
    </row>
    <row r="810" spans="2:8" x14ac:dyDescent="0.35">
      <c r="B810" s="6"/>
      <c r="C810" s="7"/>
      <c r="D810" s="35"/>
      <c r="E810" s="35"/>
      <c r="F810" s="35"/>
      <c r="G810" s="35"/>
      <c r="H810" s="35"/>
    </row>
    <row r="811" spans="2:8" x14ac:dyDescent="0.35">
      <c r="B811" s="6"/>
      <c r="C811" s="7"/>
      <c r="D811" s="35"/>
      <c r="E811" s="35"/>
      <c r="F811" s="35"/>
      <c r="G811" s="35"/>
      <c r="H811" s="35"/>
    </row>
    <row r="812" spans="2:8" x14ac:dyDescent="0.35">
      <c r="B812" s="6"/>
      <c r="C812" s="7"/>
      <c r="D812" s="35"/>
      <c r="E812" s="35"/>
      <c r="F812" s="35"/>
      <c r="G812" s="35"/>
      <c r="H812" s="35"/>
    </row>
    <row r="813" spans="2:8" x14ac:dyDescent="0.35">
      <c r="B813" s="6"/>
      <c r="C813" s="7"/>
      <c r="D813" s="35"/>
      <c r="E813" s="35"/>
      <c r="F813" s="35"/>
      <c r="G813" s="35"/>
      <c r="H813" s="35"/>
    </row>
    <row r="814" spans="2:8" x14ac:dyDescent="0.35">
      <c r="B814" s="6"/>
      <c r="C814" s="7"/>
      <c r="D814" s="35"/>
      <c r="E814" s="35"/>
      <c r="F814" s="35"/>
      <c r="G814" s="35"/>
      <c r="H814" s="35"/>
    </row>
    <row r="815" spans="2:8" x14ac:dyDescent="0.35">
      <c r="B815" s="6"/>
      <c r="C815" s="7"/>
      <c r="D815" s="35"/>
      <c r="E815" s="35"/>
      <c r="F815" s="35"/>
      <c r="G815" s="35"/>
      <c r="H815" s="35"/>
    </row>
    <row r="816" spans="2:8" x14ac:dyDescent="0.35">
      <c r="B816" s="6"/>
      <c r="C816" s="7"/>
      <c r="D816" s="35"/>
      <c r="E816" s="35"/>
      <c r="F816" s="35"/>
      <c r="G816" s="35"/>
      <c r="H816" s="35"/>
    </row>
    <row r="817" spans="2:8" x14ac:dyDescent="0.35">
      <c r="B817" s="6"/>
      <c r="C817" s="7"/>
      <c r="D817" s="35"/>
      <c r="E817" s="35"/>
      <c r="F817" s="35"/>
      <c r="G817" s="35"/>
      <c r="H817" s="35"/>
    </row>
    <row r="818" spans="2:8" x14ac:dyDescent="0.35">
      <c r="B818" s="6"/>
      <c r="C818" s="7"/>
      <c r="D818" s="35"/>
      <c r="E818" s="35"/>
      <c r="F818" s="35"/>
      <c r="G818" s="35"/>
      <c r="H818" s="35"/>
    </row>
    <row r="819" spans="2:8" x14ac:dyDescent="0.35">
      <c r="B819" s="6"/>
      <c r="C819" s="7"/>
      <c r="D819" s="35"/>
      <c r="E819" s="35"/>
      <c r="F819" s="35"/>
      <c r="G819" s="35"/>
      <c r="H819" s="35"/>
    </row>
    <row r="820" spans="2:8" x14ac:dyDescent="0.35">
      <c r="B820" s="6"/>
      <c r="C820" s="7"/>
      <c r="D820" s="35"/>
      <c r="E820" s="35"/>
      <c r="F820" s="35"/>
      <c r="G820" s="35"/>
      <c r="H820" s="35"/>
    </row>
    <row r="821" spans="2:8" x14ac:dyDescent="0.35">
      <c r="B821" s="6"/>
      <c r="C821" s="7"/>
      <c r="D821" s="35"/>
      <c r="E821" s="35"/>
      <c r="F821" s="35"/>
      <c r="G821" s="35"/>
      <c r="H821" s="35"/>
    </row>
    <row r="822" spans="2:8" x14ac:dyDescent="0.35">
      <c r="B822" s="6"/>
      <c r="C822" s="7"/>
      <c r="D822" s="35"/>
      <c r="E822" s="35"/>
      <c r="F822" s="35"/>
      <c r="G822" s="35"/>
      <c r="H822" s="35"/>
    </row>
    <row r="823" spans="2:8" x14ac:dyDescent="0.35">
      <c r="B823" s="6"/>
      <c r="C823" s="7"/>
      <c r="D823" s="35"/>
      <c r="E823" s="35"/>
      <c r="F823" s="35"/>
      <c r="G823" s="35"/>
      <c r="H823" s="35"/>
    </row>
    <row r="824" spans="2:8" x14ac:dyDescent="0.35">
      <c r="B824" s="6"/>
      <c r="C824" s="7"/>
      <c r="D824" s="35"/>
      <c r="E824" s="35"/>
      <c r="F824" s="35"/>
      <c r="G824" s="35"/>
      <c r="H824" s="35"/>
    </row>
    <row r="825" spans="2:8" x14ac:dyDescent="0.35">
      <c r="B825" s="6"/>
      <c r="C825" s="7"/>
      <c r="D825" s="35"/>
      <c r="E825" s="35"/>
      <c r="F825" s="35"/>
      <c r="G825" s="35"/>
      <c r="H825" s="35"/>
    </row>
    <row r="826" spans="2:8" x14ac:dyDescent="0.35">
      <c r="B826" s="6"/>
      <c r="C826" s="7"/>
      <c r="D826" s="35"/>
      <c r="E826" s="35"/>
      <c r="F826" s="35"/>
      <c r="G826" s="35"/>
      <c r="H826" s="35"/>
    </row>
    <row r="827" spans="2:8" x14ac:dyDescent="0.35">
      <c r="B827" s="6"/>
      <c r="C827" s="7"/>
      <c r="D827" s="35"/>
      <c r="E827" s="35"/>
      <c r="F827" s="35"/>
      <c r="G827" s="35"/>
      <c r="H827" s="35"/>
    </row>
    <row r="828" spans="2:8" x14ac:dyDescent="0.35">
      <c r="B828" s="6"/>
      <c r="C828" s="7"/>
      <c r="D828" s="35"/>
      <c r="E828" s="35"/>
      <c r="F828" s="35"/>
      <c r="G828" s="35"/>
      <c r="H828" s="35"/>
    </row>
    <row r="829" spans="2:8" x14ac:dyDescent="0.35">
      <c r="B829" s="6"/>
      <c r="C829" s="7"/>
      <c r="D829" s="35"/>
      <c r="E829" s="35"/>
      <c r="F829" s="35"/>
      <c r="G829" s="35"/>
      <c r="H829" s="35"/>
    </row>
    <row r="830" spans="2:8" x14ac:dyDescent="0.35">
      <c r="B830" s="6"/>
      <c r="C830" s="7"/>
      <c r="D830" s="35"/>
      <c r="E830" s="35"/>
      <c r="F830" s="35"/>
      <c r="G830" s="35"/>
      <c r="H830" s="35"/>
    </row>
    <row r="831" spans="2:8" x14ac:dyDescent="0.35">
      <c r="B831" s="6"/>
      <c r="C831" s="7"/>
      <c r="D831" s="35"/>
      <c r="E831" s="35"/>
      <c r="F831" s="35"/>
      <c r="G831" s="35"/>
      <c r="H831" s="35"/>
    </row>
    <row r="832" spans="2:8" x14ac:dyDescent="0.35">
      <c r="B832" s="6"/>
      <c r="C832" s="7"/>
      <c r="D832" s="35"/>
      <c r="E832" s="35"/>
      <c r="F832" s="35"/>
      <c r="G832" s="35"/>
      <c r="H832" s="35"/>
    </row>
    <row r="833" spans="2:8" x14ac:dyDescent="0.35">
      <c r="B833" s="6"/>
      <c r="C833" s="7"/>
      <c r="D833" s="35"/>
      <c r="E833" s="35"/>
      <c r="F833" s="35"/>
      <c r="G833" s="35"/>
      <c r="H833" s="35"/>
    </row>
    <row r="834" spans="2:8" x14ac:dyDescent="0.35">
      <c r="B834" s="6"/>
      <c r="C834" s="7"/>
      <c r="D834" s="35"/>
      <c r="E834" s="35"/>
      <c r="F834" s="35"/>
      <c r="G834" s="35"/>
      <c r="H834" s="35"/>
    </row>
    <row r="835" spans="2:8" x14ac:dyDescent="0.35">
      <c r="B835" s="6"/>
      <c r="C835" s="7"/>
      <c r="D835" s="35"/>
      <c r="E835" s="35"/>
      <c r="F835" s="35"/>
      <c r="G835" s="35"/>
      <c r="H835" s="35"/>
    </row>
    <row r="836" spans="2:8" x14ac:dyDescent="0.35">
      <c r="B836" s="6"/>
      <c r="C836" s="7"/>
      <c r="D836" s="35"/>
      <c r="E836" s="35"/>
      <c r="F836" s="35"/>
      <c r="G836" s="35"/>
      <c r="H836" s="35"/>
    </row>
    <row r="837" spans="2:8" x14ac:dyDescent="0.35">
      <c r="B837" s="6"/>
      <c r="C837" s="7"/>
      <c r="D837" s="35"/>
      <c r="E837" s="35"/>
      <c r="F837" s="35"/>
      <c r="G837" s="35"/>
      <c r="H837" s="35"/>
    </row>
    <row r="838" spans="2:8" x14ac:dyDescent="0.35">
      <c r="B838" s="6"/>
      <c r="C838" s="7"/>
      <c r="D838" s="35"/>
      <c r="E838" s="35"/>
      <c r="F838" s="35"/>
      <c r="G838" s="35"/>
      <c r="H838" s="35"/>
    </row>
    <row r="839" spans="2:8" x14ac:dyDescent="0.35">
      <c r="B839" s="6"/>
      <c r="C839" s="7"/>
      <c r="D839" s="35"/>
      <c r="E839" s="35"/>
      <c r="F839" s="35"/>
      <c r="G839" s="35"/>
      <c r="H839" s="35"/>
    </row>
    <row r="840" spans="2:8" x14ac:dyDescent="0.35">
      <c r="B840" s="6"/>
      <c r="C840" s="7"/>
      <c r="D840" s="35"/>
      <c r="E840" s="35"/>
      <c r="F840" s="35"/>
      <c r="G840" s="35"/>
      <c r="H840" s="35"/>
    </row>
    <row r="841" spans="2:8" x14ac:dyDescent="0.35">
      <c r="B841" s="6"/>
      <c r="C841" s="7"/>
      <c r="D841" s="35"/>
      <c r="E841" s="35"/>
      <c r="F841" s="35"/>
      <c r="G841" s="35"/>
      <c r="H841" s="35"/>
    </row>
    <row r="842" spans="2:8" x14ac:dyDescent="0.35">
      <c r="B842" s="6"/>
      <c r="C842" s="7"/>
      <c r="D842" s="35"/>
      <c r="E842" s="35"/>
      <c r="F842" s="35"/>
      <c r="G842" s="35"/>
      <c r="H842" s="35"/>
    </row>
    <row r="843" spans="2:8" x14ac:dyDescent="0.35">
      <c r="B843" s="6"/>
      <c r="C843" s="7"/>
      <c r="D843" s="35"/>
      <c r="E843" s="35"/>
      <c r="F843" s="35"/>
      <c r="G843" s="35"/>
      <c r="H843" s="35"/>
    </row>
    <row r="844" spans="2:8" x14ac:dyDescent="0.35">
      <c r="B844" s="6"/>
      <c r="C844" s="7"/>
      <c r="D844" s="35"/>
      <c r="E844" s="35"/>
      <c r="F844" s="35"/>
      <c r="G844" s="35"/>
      <c r="H844" s="35"/>
    </row>
    <row r="845" spans="2:8" x14ac:dyDescent="0.35">
      <c r="B845" s="6"/>
      <c r="C845" s="7"/>
      <c r="D845" s="35"/>
      <c r="E845" s="35"/>
      <c r="F845" s="35"/>
      <c r="G845" s="35"/>
      <c r="H845" s="35"/>
    </row>
    <row r="846" spans="2:8" x14ac:dyDescent="0.35">
      <c r="B846" s="6"/>
      <c r="C846" s="7"/>
      <c r="D846" s="35"/>
      <c r="E846" s="35"/>
      <c r="F846" s="35"/>
      <c r="G846" s="35"/>
      <c r="H846" s="35"/>
    </row>
    <row r="847" spans="2:8" x14ac:dyDescent="0.35">
      <c r="B847" s="6"/>
      <c r="C847" s="7"/>
      <c r="D847" s="35"/>
      <c r="E847" s="35"/>
      <c r="F847" s="35"/>
      <c r="G847" s="35"/>
      <c r="H847" s="35"/>
    </row>
    <row r="848" spans="2:8" x14ac:dyDescent="0.35">
      <c r="B848" s="6"/>
      <c r="C848" s="7"/>
      <c r="D848" s="35"/>
      <c r="E848" s="35"/>
      <c r="F848" s="35"/>
      <c r="G848" s="35"/>
      <c r="H848" s="35"/>
    </row>
    <row r="849" spans="2:8" x14ac:dyDescent="0.35">
      <c r="B849" s="6"/>
      <c r="C849" s="7"/>
      <c r="D849" s="35"/>
      <c r="E849" s="35"/>
      <c r="F849" s="35"/>
      <c r="G849" s="35"/>
      <c r="H849" s="35"/>
    </row>
    <row r="850" spans="2:8" x14ac:dyDescent="0.35">
      <c r="B850" s="6"/>
      <c r="C850" s="7"/>
      <c r="D850" s="35"/>
      <c r="E850" s="35"/>
      <c r="F850" s="35"/>
      <c r="G850" s="35"/>
      <c r="H850" s="35"/>
    </row>
    <row r="851" spans="2:8" x14ac:dyDescent="0.35">
      <c r="B851" s="6"/>
      <c r="C851" s="7"/>
      <c r="D851" s="35"/>
      <c r="E851" s="35"/>
      <c r="F851" s="35"/>
      <c r="G851" s="35"/>
      <c r="H851" s="35"/>
    </row>
    <row r="852" spans="2:8" x14ac:dyDescent="0.35">
      <c r="B852" s="6"/>
      <c r="C852" s="7"/>
      <c r="D852" s="35"/>
      <c r="E852" s="35"/>
      <c r="F852" s="35"/>
      <c r="G852" s="35"/>
      <c r="H852" s="35"/>
    </row>
    <row r="853" spans="2:8" x14ac:dyDescent="0.35">
      <c r="B853" s="6"/>
      <c r="C853" s="7"/>
      <c r="D853" s="35"/>
      <c r="E853" s="35"/>
      <c r="F853" s="35"/>
      <c r="G853" s="35"/>
      <c r="H853" s="35"/>
    </row>
    <row r="854" spans="2:8" x14ac:dyDescent="0.35">
      <c r="B854" s="6"/>
      <c r="C854" s="7"/>
      <c r="D854" s="35"/>
      <c r="E854" s="35"/>
      <c r="F854" s="35"/>
      <c r="G854" s="35"/>
      <c r="H854" s="35"/>
    </row>
    <row r="855" spans="2:8" x14ac:dyDescent="0.35">
      <c r="B855" s="6"/>
      <c r="C855" s="7"/>
      <c r="D855" s="35"/>
      <c r="E855" s="35"/>
      <c r="F855" s="35"/>
      <c r="G855" s="35"/>
      <c r="H855" s="35"/>
    </row>
    <row r="856" spans="2:8" x14ac:dyDescent="0.35">
      <c r="B856" s="6"/>
      <c r="C856" s="7"/>
      <c r="D856" s="35"/>
      <c r="E856" s="35"/>
      <c r="F856" s="35"/>
      <c r="G856" s="35"/>
      <c r="H856" s="35"/>
    </row>
    <row r="857" spans="2:8" x14ac:dyDescent="0.35">
      <c r="B857" s="6"/>
      <c r="C857" s="7"/>
      <c r="D857" s="35"/>
      <c r="E857" s="35"/>
      <c r="F857" s="35"/>
      <c r="G857" s="35"/>
      <c r="H857" s="35"/>
    </row>
    <row r="858" spans="2:8" x14ac:dyDescent="0.35">
      <c r="B858" s="6"/>
      <c r="C858" s="7"/>
      <c r="D858" s="35"/>
      <c r="E858" s="35"/>
      <c r="F858" s="35"/>
      <c r="G858" s="35"/>
      <c r="H858" s="35"/>
    </row>
    <row r="859" spans="2:8" x14ac:dyDescent="0.35">
      <c r="B859" s="6"/>
      <c r="C859" s="7"/>
      <c r="D859" s="35"/>
      <c r="E859" s="35"/>
      <c r="F859" s="35"/>
      <c r="G859" s="35"/>
      <c r="H859" s="35"/>
    </row>
    <row r="860" spans="2:8" x14ac:dyDescent="0.35">
      <c r="B860" s="6"/>
      <c r="C860" s="7"/>
      <c r="D860" s="35"/>
      <c r="E860" s="35"/>
      <c r="F860" s="35"/>
      <c r="G860" s="35"/>
      <c r="H860" s="35"/>
    </row>
    <row r="861" spans="2:8" x14ac:dyDescent="0.35">
      <c r="B861" s="6"/>
      <c r="C861" s="7"/>
      <c r="D861" s="35"/>
      <c r="E861" s="35"/>
      <c r="F861" s="35"/>
      <c r="G861" s="35"/>
      <c r="H861" s="35"/>
    </row>
    <row r="862" spans="2:8" x14ac:dyDescent="0.35">
      <c r="B862" s="6"/>
      <c r="C862" s="7"/>
      <c r="D862" s="35"/>
      <c r="E862" s="35"/>
      <c r="F862" s="35"/>
      <c r="G862" s="35"/>
      <c r="H862" s="35"/>
    </row>
    <row r="863" spans="2:8" x14ac:dyDescent="0.35">
      <c r="B863" s="6"/>
      <c r="C863" s="7"/>
      <c r="D863" s="35"/>
      <c r="E863" s="35"/>
      <c r="F863" s="35"/>
      <c r="G863" s="35"/>
      <c r="H863" s="35"/>
    </row>
    <row r="864" spans="2:8" x14ac:dyDescent="0.35">
      <c r="B864" s="6"/>
      <c r="C864" s="7"/>
      <c r="D864" s="35"/>
      <c r="E864" s="35"/>
      <c r="F864" s="35"/>
      <c r="G864" s="35"/>
      <c r="H864" s="35"/>
    </row>
    <row r="865" spans="2:8" x14ac:dyDescent="0.35">
      <c r="B865" s="6"/>
      <c r="C865" s="7"/>
      <c r="D865" s="35"/>
      <c r="E865" s="35"/>
      <c r="F865" s="35"/>
      <c r="G865" s="35"/>
      <c r="H865" s="35"/>
    </row>
    <row r="866" spans="2:8" x14ac:dyDescent="0.35">
      <c r="B866" s="6"/>
      <c r="C866" s="7"/>
      <c r="D866" s="35"/>
      <c r="E866" s="35"/>
      <c r="F866" s="35"/>
      <c r="G866" s="35"/>
      <c r="H866" s="35"/>
    </row>
    <row r="867" spans="2:8" x14ac:dyDescent="0.35">
      <c r="B867" s="6"/>
      <c r="C867" s="7"/>
      <c r="D867" s="35"/>
      <c r="E867" s="35"/>
      <c r="F867" s="35"/>
      <c r="G867" s="35"/>
      <c r="H867" s="35"/>
    </row>
    <row r="868" spans="2:8" x14ac:dyDescent="0.35">
      <c r="B868" s="6"/>
      <c r="C868" s="7"/>
      <c r="D868" s="35"/>
      <c r="E868" s="35"/>
      <c r="F868" s="35"/>
      <c r="G868" s="35"/>
      <c r="H868" s="35"/>
    </row>
    <row r="869" spans="2:8" x14ac:dyDescent="0.35">
      <c r="B869" s="6"/>
      <c r="C869" s="7"/>
      <c r="D869" s="35"/>
      <c r="E869" s="35"/>
      <c r="F869" s="35"/>
      <c r="G869" s="35"/>
      <c r="H869" s="35"/>
    </row>
    <row r="870" spans="2:8" x14ac:dyDescent="0.35">
      <c r="B870" s="6"/>
      <c r="C870" s="7"/>
      <c r="D870" s="35"/>
      <c r="E870" s="35"/>
      <c r="F870" s="35"/>
      <c r="G870" s="35"/>
      <c r="H870" s="35"/>
    </row>
    <row r="871" spans="2:8" x14ac:dyDescent="0.35">
      <c r="B871" s="6"/>
      <c r="C871" s="7"/>
      <c r="D871" s="35"/>
      <c r="E871" s="35"/>
      <c r="F871" s="35"/>
      <c r="G871" s="35"/>
      <c r="H871" s="35"/>
    </row>
    <row r="872" spans="2:8" x14ac:dyDescent="0.35">
      <c r="B872" s="6"/>
      <c r="C872" s="7"/>
      <c r="D872" s="35"/>
      <c r="E872" s="35"/>
      <c r="F872" s="35"/>
      <c r="G872" s="35"/>
      <c r="H872" s="35"/>
    </row>
    <row r="873" spans="2:8" x14ac:dyDescent="0.35">
      <c r="B873" s="6"/>
      <c r="C873" s="7"/>
      <c r="D873" s="35"/>
      <c r="E873" s="35"/>
      <c r="F873" s="35"/>
      <c r="G873" s="35"/>
      <c r="H873" s="35"/>
    </row>
    <row r="874" spans="2:8" x14ac:dyDescent="0.35">
      <c r="B874" s="6"/>
      <c r="C874" s="7"/>
      <c r="D874" s="35"/>
      <c r="E874" s="35"/>
      <c r="F874" s="35"/>
      <c r="G874" s="35"/>
      <c r="H874" s="35"/>
    </row>
    <row r="875" spans="2:8" x14ac:dyDescent="0.35">
      <c r="B875" s="6"/>
      <c r="C875" s="7"/>
      <c r="D875" s="35"/>
      <c r="E875" s="35"/>
      <c r="F875" s="35"/>
      <c r="G875" s="35"/>
      <c r="H875" s="35"/>
    </row>
    <row r="876" spans="2:8" x14ac:dyDescent="0.35">
      <c r="B876" s="6"/>
      <c r="C876" s="7"/>
      <c r="D876" s="35"/>
      <c r="E876" s="35"/>
      <c r="F876" s="35"/>
      <c r="G876" s="35"/>
      <c r="H876" s="35"/>
    </row>
    <row r="877" spans="2:8" x14ac:dyDescent="0.35">
      <c r="B877" s="6"/>
      <c r="C877" s="7"/>
      <c r="D877" s="35"/>
      <c r="E877" s="35"/>
      <c r="F877" s="35"/>
      <c r="G877" s="35"/>
      <c r="H877" s="35"/>
    </row>
    <row r="878" spans="2:8" x14ac:dyDescent="0.35">
      <c r="B878" s="6"/>
      <c r="C878" s="7"/>
      <c r="D878" s="35"/>
      <c r="E878" s="35"/>
      <c r="F878" s="35"/>
      <c r="G878" s="35"/>
      <c r="H878" s="35"/>
    </row>
    <row r="879" spans="2:8" x14ac:dyDescent="0.35">
      <c r="B879" s="6"/>
      <c r="C879" s="7"/>
      <c r="D879" s="35"/>
      <c r="E879" s="35"/>
      <c r="F879" s="35"/>
      <c r="G879" s="35"/>
      <c r="H879" s="35"/>
    </row>
    <row r="880" spans="2:8" x14ac:dyDescent="0.35">
      <c r="B880" s="6"/>
      <c r="C880" s="7"/>
      <c r="D880" s="35"/>
      <c r="E880" s="35"/>
      <c r="F880" s="35"/>
      <c r="G880" s="35"/>
      <c r="H880" s="35"/>
    </row>
    <row r="881" spans="2:8" x14ac:dyDescent="0.35">
      <c r="B881" s="6"/>
      <c r="C881" s="7"/>
      <c r="D881" s="35"/>
      <c r="E881" s="35"/>
      <c r="F881" s="35"/>
      <c r="G881" s="35"/>
      <c r="H881" s="35"/>
    </row>
    <row r="882" spans="2:8" x14ac:dyDescent="0.35">
      <c r="B882" s="6"/>
      <c r="C882" s="7"/>
      <c r="D882" s="35"/>
      <c r="E882" s="35"/>
      <c r="F882" s="35"/>
      <c r="G882" s="35"/>
      <c r="H882" s="35"/>
    </row>
    <row r="883" spans="2:8" x14ac:dyDescent="0.35">
      <c r="B883" s="6"/>
      <c r="C883" s="7"/>
      <c r="D883" s="35"/>
      <c r="E883" s="35"/>
      <c r="F883" s="35"/>
      <c r="G883" s="35"/>
      <c r="H883" s="35"/>
    </row>
    <row r="884" spans="2:8" x14ac:dyDescent="0.35">
      <c r="B884" s="6"/>
      <c r="C884" s="7"/>
      <c r="D884" s="35"/>
      <c r="E884" s="35"/>
      <c r="F884" s="35"/>
      <c r="G884" s="35"/>
      <c r="H884" s="35"/>
    </row>
    <row r="885" spans="2:8" x14ac:dyDescent="0.35">
      <c r="B885" s="6"/>
      <c r="C885" s="7"/>
      <c r="D885" s="35"/>
      <c r="E885" s="35"/>
      <c r="F885" s="35"/>
      <c r="G885" s="35"/>
      <c r="H885" s="35"/>
    </row>
    <row r="886" spans="2:8" x14ac:dyDescent="0.35">
      <c r="B886" s="6"/>
      <c r="C886" s="7"/>
      <c r="D886" s="35"/>
      <c r="E886" s="35"/>
      <c r="F886" s="35"/>
      <c r="G886" s="35"/>
      <c r="H886" s="35"/>
    </row>
    <row r="887" spans="2:8" x14ac:dyDescent="0.35">
      <c r="B887" s="6"/>
      <c r="C887" s="7"/>
      <c r="D887" s="35"/>
      <c r="E887" s="35"/>
      <c r="F887" s="35"/>
      <c r="G887" s="35"/>
      <c r="H887" s="35"/>
    </row>
    <row r="888" spans="2:8" x14ac:dyDescent="0.35">
      <c r="B888" s="6"/>
      <c r="C888" s="7"/>
      <c r="D888" s="35"/>
      <c r="E888" s="35"/>
      <c r="F888" s="35"/>
      <c r="G888" s="35"/>
      <c r="H888" s="35"/>
    </row>
    <row r="889" spans="2:8" x14ac:dyDescent="0.35">
      <c r="B889" s="6"/>
      <c r="C889" s="7"/>
      <c r="D889" s="35"/>
      <c r="E889" s="35"/>
      <c r="F889" s="35"/>
      <c r="G889" s="35"/>
      <c r="H889" s="35"/>
    </row>
    <row r="890" spans="2:8" x14ac:dyDescent="0.35">
      <c r="B890" s="6"/>
      <c r="C890" s="7"/>
      <c r="D890" s="35"/>
      <c r="E890" s="35"/>
      <c r="F890" s="35"/>
      <c r="G890" s="35"/>
      <c r="H890" s="35"/>
    </row>
    <row r="891" spans="2:8" x14ac:dyDescent="0.35">
      <c r="B891" s="6"/>
      <c r="C891" s="7"/>
      <c r="D891" s="35"/>
      <c r="E891" s="35"/>
      <c r="F891" s="35"/>
      <c r="G891" s="35"/>
      <c r="H891" s="35"/>
    </row>
    <row r="892" spans="2:8" x14ac:dyDescent="0.35">
      <c r="B892" s="6"/>
      <c r="C892" s="7"/>
      <c r="D892" s="35"/>
      <c r="E892" s="35"/>
      <c r="F892" s="35"/>
      <c r="G892" s="35"/>
      <c r="H892" s="35"/>
    </row>
    <row r="893" spans="2:8" x14ac:dyDescent="0.35">
      <c r="B893" s="6"/>
      <c r="C893" s="7"/>
      <c r="D893" s="35"/>
      <c r="E893" s="35"/>
      <c r="F893" s="35"/>
      <c r="G893" s="35"/>
      <c r="H893" s="35"/>
    </row>
    <row r="894" spans="2:8" x14ac:dyDescent="0.35">
      <c r="B894" s="6"/>
      <c r="C894" s="7"/>
      <c r="D894" s="35"/>
      <c r="E894" s="35"/>
      <c r="F894" s="35"/>
      <c r="G894" s="35"/>
      <c r="H894" s="35"/>
    </row>
    <row r="895" spans="2:8" x14ac:dyDescent="0.35">
      <c r="B895" s="6"/>
      <c r="C895" s="7"/>
      <c r="D895" s="35"/>
      <c r="E895" s="35"/>
      <c r="F895" s="35"/>
      <c r="G895" s="35"/>
      <c r="H895" s="35"/>
    </row>
    <row r="896" spans="2:8" x14ac:dyDescent="0.35">
      <c r="B896" s="6"/>
      <c r="C896" s="7"/>
      <c r="D896" s="35"/>
      <c r="E896" s="35"/>
      <c r="F896" s="35"/>
      <c r="G896" s="35"/>
      <c r="H896" s="35"/>
    </row>
    <row r="897" spans="2:8" x14ac:dyDescent="0.35">
      <c r="B897" s="6"/>
      <c r="C897" s="7"/>
      <c r="D897" s="35"/>
      <c r="E897" s="35"/>
      <c r="F897" s="35"/>
      <c r="G897" s="35"/>
      <c r="H897" s="35"/>
    </row>
    <row r="898" spans="2:8" x14ac:dyDescent="0.35">
      <c r="B898" s="6"/>
      <c r="C898" s="7"/>
      <c r="D898" s="35"/>
      <c r="E898" s="35"/>
      <c r="F898" s="35"/>
      <c r="G898" s="35"/>
      <c r="H898" s="35"/>
    </row>
    <row r="899" spans="2:8" x14ac:dyDescent="0.35">
      <c r="B899" s="6"/>
      <c r="C899" s="7"/>
      <c r="D899" s="35"/>
      <c r="E899" s="35"/>
      <c r="F899" s="35"/>
      <c r="G899" s="35"/>
      <c r="H899" s="35"/>
    </row>
    <row r="900" spans="2:8" x14ac:dyDescent="0.35">
      <c r="B900" s="6"/>
      <c r="C900" s="7"/>
      <c r="D900" s="35"/>
      <c r="E900" s="35"/>
      <c r="F900" s="35"/>
      <c r="G900" s="35"/>
      <c r="H900" s="35"/>
    </row>
    <row r="901" spans="2:8" x14ac:dyDescent="0.35">
      <c r="B901" s="6"/>
      <c r="C901" s="7"/>
      <c r="D901" s="35"/>
      <c r="E901" s="35"/>
      <c r="F901" s="35"/>
      <c r="G901" s="35"/>
      <c r="H901" s="35"/>
    </row>
    <row r="902" spans="2:8" x14ac:dyDescent="0.35">
      <c r="B902" s="6"/>
      <c r="C902" s="7"/>
      <c r="D902" s="35"/>
      <c r="E902" s="35"/>
      <c r="F902" s="35"/>
      <c r="G902" s="35"/>
      <c r="H902" s="35"/>
    </row>
    <row r="903" spans="2:8" x14ac:dyDescent="0.35">
      <c r="B903" s="6"/>
      <c r="C903" s="7"/>
      <c r="D903" s="35"/>
      <c r="E903" s="35"/>
      <c r="F903" s="35"/>
      <c r="G903" s="35"/>
      <c r="H903" s="35"/>
    </row>
    <row r="904" spans="2:8" x14ac:dyDescent="0.35">
      <c r="B904" s="6"/>
      <c r="C904" s="7"/>
      <c r="D904" s="35"/>
      <c r="E904" s="35"/>
      <c r="F904" s="35"/>
      <c r="G904" s="35"/>
      <c r="H904" s="35"/>
    </row>
    <row r="905" spans="2:8" x14ac:dyDescent="0.35">
      <c r="B905" s="6"/>
      <c r="C905" s="7"/>
      <c r="D905" s="35"/>
      <c r="E905" s="35"/>
      <c r="F905" s="35"/>
      <c r="G905" s="35"/>
      <c r="H905" s="35"/>
    </row>
    <row r="906" spans="2:8" x14ac:dyDescent="0.35">
      <c r="B906" s="6"/>
      <c r="C906" s="7"/>
      <c r="D906" s="35"/>
      <c r="E906" s="35"/>
      <c r="F906" s="35"/>
      <c r="G906" s="35"/>
      <c r="H906" s="35"/>
    </row>
    <row r="907" spans="2:8" x14ac:dyDescent="0.35">
      <c r="B907" s="6"/>
      <c r="C907" s="7"/>
      <c r="D907" s="35"/>
      <c r="E907" s="35"/>
      <c r="F907" s="35"/>
      <c r="G907" s="35"/>
      <c r="H907" s="35"/>
    </row>
    <row r="908" spans="2:8" x14ac:dyDescent="0.35">
      <c r="B908" s="6"/>
      <c r="C908" s="7"/>
      <c r="D908" s="35"/>
      <c r="E908" s="35"/>
      <c r="F908" s="35"/>
      <c r="G908" s="35"/>
      <c r="H908" s="35"/>
    </row>
    <row r="909" spans="2:8" x14ac:dyDescent="0.35">
      <c r="B909" s="6"/>
      <c r="C909" s="7"/>
      <c r="D909" s="35"/>
      <c r="E909" s="35"/>
      <c r="F909" s="35"/>
      <c r="G909" s="35"/>
      <c r="H909" s="35"/>
    </row>
    <row r="910" spans="2:8" x14ac:dyDescent="0.35">
      <c r="B910" s="6"/>
      <c r="C910" s="7"/>
      <c r="D910" s="35"/>
      <c r="E910" s="35"/>
      <c r="F910" s="35"/>
      <c r="G910" s="35"/>
      <c r="H910" s="35"/>
    </row>
    <row r="911" spans="2:8" x14ac:dyDescent="0.35">
      <c r="B911" s="6"/>
      <c r="C911" s="7"/>
      <c r="D911" s="35"/>
      <c r="E911" s="35"/>
      <c r="F911" s="35"/>
      <c r="G911" s="35"/>
      <c r="H911" s="35"/>
    </row>
    <row r="912" spans="2:8" x14ac:dyDescent="0.35">
      <c r="B912" s="6"/>
      <c r="C912" s="7"/>
      <c r="D912" s="35"/>
      <c r="E912" s="35"/>
      <c r="F912" s="35"/>
      <c r="G912" s="35"/>
      <c r="H912" s="35"/>
    </row>
    <row r="913" spans="2:8" x14ac:dyDescent="0.35">
      <c r="B913" s="6"/>
      <c r="C913" s="7"/>
      <c r="D913" s="35"/>
      <c r="E913" s="35"/>
      <c r="F913" s="35"/>
      <c r="G913" s="35"/>
      <c r="H913" s="35"/>
    </row>
    <row r="914" spans="2:8" x14ac:dyDescent="0.35">
      <c r="B914" s="6"/>
      <c r="C914" s="7"/>
      <c r="D914" s="35"/>
      <c r="E914" s="35"/>
      <c r="F914" s="35"/>
      <c r="G914" s="35"/>
      <c r="H914" s="35"/>
    </row>
    <row r="915" spans="2:8" x14ac:dyDescent="0.35">
      <c r="B915" s="6"/>
      <c r="C915" s="7"/>
      <c r="D915" s="35"/>
      <c r="E915" s="35"/>
      <c r="F915" s="35"/>
      <c r="G915" s="35"/>
      <c r="H915" s="35"/>
    </row>
    <row r="916" spans="2:8" x14ac:dyDescent="0.35">
      <c r="B916" s="6"/>
      <c r="C916" s="7"/>
      <c r="D916" s="35"/>
      <c r="E916" s="35"/>
      <c r="F916" s="35"/>
      <c r="G916" s="35"/>
      <c r="H916" s="35"/>
    </row>
    <row r="917" spans="2:8" x14ac:dyDescent="0.35">
      <c r="B917" s="6"/>
      <c r="C917" s="7"/>
      <c r="D917" s="35"/>
      <c r="E917" s="35"/>
      <c r="F917" s="35"/>
      <c r="G917" s="35"/>
      <c r="H917" s="35"/>
    </row>
    <row r="918" spans="2:8" x14ac:dyDescent="0.35">
      <c r="B918" s="6"/>
      <c r="C918" s="7"/>
      <c r="D918" s="35"/>
      <c r="E918" s="35"/>
      <c r="F918" s="35"/>
      <c r="G918" s="35"/>
      <c r="H918" s="35"/>
    </row>
    <row r="919" spans="2:8" x14ac:dyDescent="0.35">
      <c r="B919" s="6"/>
      <c r="C919" s="7"/>
      <c r="D919" s="35"/>
      <c r="E919" s="35"/>
      <c r="F919" s="35"/>
      <c r="G919" s="35"/>
      <c r="H919" s="35"/>
    </row>
    <row r="920" spans="2:8" x14ac:dyDescent="0.35">
      <c r="B920" s="6"/>
      <c r="C920" s="7"/>
      <c r="D920" s="35"/>
      <c r="E920" s="35"/>
      <c r="F920" s="35"/>
      <c r="G920" s="35"/>
      <c r="H920" s="35"/>
    </row>
    <row r="921" spans="2:8" x14ac:dyDescent="0.35">
      <c r="B921" s="6"/>
      <c r="C921" s="7"/>
      <c r="D921" s="35"/>
      <c r="E921" s="35"/>
      <c r="F921" s="35"/>
      <c r="G921" s="35"/>
      <c r="H921" s="35"/>
    </row>
    <row r="922" spans="2:8" x14ac:dyDescent="0.35">
      <c r="B922" s="6"/>
      <c r="C922" s="7"/>
      <c r="D922" s="35"/>
      <c r="E922" s="35"/>
      <c r="F922" s="35"/>
      <c r="G922" s="35"/>
      <c r="H922" s="35"/>
    </row>
    <row r="923" spans="2:8" x14ac:dyDescent="0.35">
      <c r="B923" s="6"/>
      <c r="C923" s="7"/>
      <c r="D923" s="35"/>
      <c r="E923" s="35"/>
      <c r="F923" s="35"/>
      <c r="G923" s="35"/>
      <c r="H923" s="35"/>
    </row>
    <row r="924" spans="2:8" x14ac:dyDescent="0.35">
      <c r="B924" s="6"/>
      <c r="C924" s="7"/>
      <c r="D924" s="35"/>
      <c r="E924" s="35"/>
      <c r="F924" s="35"/>
      <c r="G924" s="35"/>
      <c r="H924" s="35"/>
    </row>
    <row r="925" spans="2:8" x14ac:dyDescent="0.35">
      <c r="B925" s="6"/>
      <c r="C925" s="7"/>
      <c r="D925" s="35"/>
      <c r="E925" s="35"/>
      <c r="F925" s="35"/>
      <c r="G925" s="35"/>
      <c r="H925" s="35"/>
    </row>
    <row r="926" spans="2:8" x14ac:dyDescent="0.35">
      <c r="B926" s="6"/>
      <c r="C926" s="7"/>
      <c r="D926" s="35"/>
      <c r="E926" s="35"/>
      <c r="F926" s="35"/>
      <c r="G926" s="35"/>
      <c r="H926" s="35"/>
    </row>
    <row r="927" spans="2:8" x14ac:dyDescent="0.35">
      <c r="B927" s="6"/>
      <c r="C927" s="7"/>
      <c r="D927" s="35"/>
      <c r="E927" s="35"/>
      <c r="F927" s="35"/>
      <c r="G927" s="35"/>
      <c r="H927" s="35"/>
    </row>
    <row r="928" spans="2:8" x14ac:dyDescent="0.35">
      <c r="B928" s="6"/>
      <c r="C928" s="7"/>
      <c r="D928" s="35"/>
      <c r="E928" s="35"/>
      <c r="F928" s="35"/>
      <c r="G928" s="35"/>
      <c r="H928" s="35"/>
    </row>
    <row r="929" spans="2:8" x14ac:dyDescent="0.35">
      <c r="B929" s="6"/>
      <c r="C929" s="7"/>
      <c r="D929" s="35"/>
      <c r="E929" s="35"/>
      <c r="F929" s="35"/>
      <c r="G929" s="35"/>
      <c r="H929" s="35"/>
    </row>
    <row r="930" spans="2:8" x14ac:dyDescent="0.35">
      <c r="B930" s="6"/>
      <c r="C930" s="7"/>
      <c r="D930" s="35"/>
      <c r="E930" s="35"/>
      <c r="F930" s="35"/>
      <c r="G930" s="35"/>
      <c r="H930" s="35"/>
    </row>
    <row r="931" spans="2:8" x14ac:dyDescent="0.35">
      <c r="B931" s="6"/>
      <c r="C931" s="7"/>
      <c r="D931" s="35"/>
      <c r="E931" s="35"/>
      <c r="F931" s="35"/>
      <c r="G931" s="35"/>
      <c r="H931" s="35"/>
    </row>
    <row r="932" spans="2:8" x14ac:dyDescent="0.35">
      <c r="B932" s="6"/>
      <c r="C932" s="7"/>
      <c r="D932" s="35"/>
      <c r="E932" s="35"/>
      <c r="F932" s="35"/>
      <c r="G932" s="35"/>
      <c r="H932" s="35"/>
    </row>
    <row r="933" spans="2:8" x14ac:dyDescent="0.35">
      <c r="B933" s="6"/>
      <c r="C933" s="7"/>
      <c r="D933" s="35"/>
      <c r="E933" s="35"/>
      <c r="F933" s="35"/>
      <c r="G933" s="35"/>
      <c r="H933" s="35"/>
    </row>
    <row r="934" spans="2:8" x14ac:dyDescent="0.35">
      <c r="B934" s="6"/>
      <c r="C934" s="7"/>
      <c r="D934" s="35"/>
      <c r="E934" s="35"/>
      <c r="F934" s="35"/>
      <c r="G934" s="35"/>
      <c r="H934" s="35"/>
    </row>
    <row r="935" spans="2:8" x14ac:dyDescent="0.35">
      <c r="B935" s="6"/>
      <c r="C935" s="7"/>
      <c r="D935" s="35"/>
      <c r="E935" s="35"/>
      <c r="F935" s="35"/>
      <c r="G935" s="35"/>
      <c r="H935" s="35"/>
    </row>
    <row r="936" spans="2:8" x14ac:dyDescent="0.35">
      <c r="B936" s="6"/>
      <c r="C936" s="7"/>
      <c r="D936" s="35"/>
      <c r="E936" s="35"/>
      <c r="F936" s="35"/>
      <c r="G936" s="35"/>
      <c r="H936" s="35"/>
    </row>
    <row r="937" spans="2:8" x14ac:dyDescent="0.35">
      <c r="B937" s="6"/>
      <c r="C937" s="7"/>
      <c r="D937" s="35"/>
      <c r="E937" s="35"/>
      <c r="F937" s="35"/>
      <c r="G937" s="35"/>
      <c r="H937" s="35"/>
    </row>
    <row r="938" spans="2:8" x14ac:dyDescent="0.35">
      <c r="B938" s="6"/>
      <c r="C938" s="7"/>
      <c r="D938" s="35"/>
      <c r="E938" s="35"/>
      <c r="F938" s="35"/>
      <c r="G938" s="35"/>
      <c r="H938" s="35"/>
    </row>
    <row r="939" spans="2:8" x14ac:dyDescent="0.35">
      <c r="B939" s="6"/>
      <c r="C939" s="7"/>
      <c r="D939" s="35"/>
      <c r="E939" s="35"/>
      <c r="F939" s="35"/>
      <c r="G939" s="35"/>
      <c r="H939" s="35"/>
    </row>
    <row r="940" spans="2:8" x14ac:dyDescent="0.35">
      <c r="B940" s="6"/>
      <c r="C940" s="7"/>
      <c r="D940" s="35"/>
      <c r="E940" s="35"/>
      <c r="F940" s="35"/>
      <c r="G940" s="35"/>
      <c r="H940" s="35"/>
    </row>
    <row r="941" spans="2:8" x14ac:dyDescent="0.35">
      <c r="B941" s="6"/>
      <c r="C941" s="7"/>
      <c r="D941" s="35"/>
      <c r="E941" s="35"/>
      <c r="F941" s="35"/>
      <c r="G941" s="35"/>
      <c r="H941" s="35"/>
    </row>
    <row r="942" spans="2:8" x14ac:dyDescent="0.35">
      <c r="B942" s="6"/>
      <c r="C942" s="7"/>
      <c r="D942" s="35"/>
      <c r="E942" s="35"/>
      <c r="F942" s="35"/>
      <c r="G942" s="35"/>
      <c r="H942" s="35"/>
    </row>
    <row r="943" spans="2:8" x14ac:dyDescent="0.35">
      <c r="B943" s="6"/>
      <c r="C943" s="7"/>
      <c r="D943" s="35"/>
      <c r="E943" s="35"/>
      <c r="F943" s="35"/>
      <c r="G943" s="35"/>
      <c r="H943" s="35"/>
    </row>
    <row r="944" spans="2:8" x14ac:dyDescent="0.35">
      <c r="B944" s="6"/>
      <c r="C944" s="7"/>
      <c r="D944" s="35"/>
      <c r="E944" s="35"/>
      <c r="F944" s="35"/>
      <c r="G944" s="35"/>
      <c r="H944" s="35"/>
    </row>
    <row r="945" spans="2:8" x14ac:dyDescent="0.35">
      <c r="B945" s="6"/>
      <c r="C945" s="7"/>
      <c r="D945" s="35"/>
      <c r="E945" s="35"/>
      <c r="F945" s="35"/>
      <c r="G945" s="35"/>
      <c r="H945" s="35"/>
    </row>
    <row r="946" spans="2:8" x14ac:dyDescent="0.35">
      <c r="B946" s="6"/>
      <c r="C946" s="7"/>
      <c r="D946" s="35"/>
      <c r="E946" s="35"/>
      <c r="F946" s="35"/>
      <c r="G946" s="35"/>
      <c r="H946" s="35"/>
    </row>
    <row r="947" spans="2:8" x14ac:dyDescent="0.35">
      <c r="B947" s="6"/>
      <c r="C947" s="7"/>
      <c r="D947" s="35"/>
      <c r="E947" s="35"/>
      <c r="F947" s="35"/>
      <c r="G947" s="35"/>
      <c r="H947" s="35"/>
    </row>
    <row r="948" spans="2:8" x14ac:dyDescent="0.35">
      <c r="B948" s="6"/>
      <c r="C948" s="7"/>
      <c r="D948" s="35"/>
      <c r="E948" s="35"/>
      <c r="F948" s="35"/>
      <c r="G948" s="35"/>
      <c r="H948" s="35"/>
    </row>
    <row r="949" spans="2:8" x14ac:dyDescent="0.35">
      <c r="B949" s="6"/>
      <c r="C949" s="7"/>
      <c r="D949" s="35"/>
      <c r="E949" s="35"/>
      <c r="F949" s="35"/>
      <c r="G949" s="35"/>
      <c r="H949" s="35"/>
    </row>
    <row r="950" spans="2:8" x14ac:dyDescent="0.35">
      <c r="B950" s="6"/>
      <c r="C950" s="7"/>
      <c r="D950" s="35"/>
      <c r="E950" s="35"/>
      <c r="F950" s="35"/>
      <c r="G950" s="35"/>
      <c r="H950" s="35"/>
    </row>
    <row r="951" spans="2:8" x14ac:dyDescent="0.35">
      <c r="B951" s="6"/>
      <c r="C951" s="7"/>
      <c r="D951" s="35"/>
      <c r="E951" s="35"/>
      <c r="F951" s="35"/>
      <c r="G951" s="35"/>
      <c r="H951" s="35"/>
    </row>
    <row r="952" spans="2:8" x14ac:dyDescent="0.35">
      <c r="B952" s="6"/>
      <c r="C952" s="7"/>
      <c r="D952" s="35"/>
      <c r="E952" s="35"/>
      <c r="F952" s="35"/>
      <c r="G952" s="35"/>
      <c r="H952" s="35"/>
    </row>
    <row r="953" spans="2:8" x14ac:dyDescent="0.35">
      <c r="B953" s="6"/>
      <c r="C953" s="7"/>
      <c r="D953" s="35"/>
      <c r="E953" s="35"/>
      <c r="F953" s="35"/>
      <c r="G953" s="35"/>
      <c r="H953" s="35"/>
    </row>
    <row r="954" spans="2:8" x14ac:dyDescent="0.35">
      <c r="B954" s="6"/>
      <c r="C954" s="7"/>
      <c r="D954" s="35"/>
      <c r="E954" s="35"/>
      <c r="F954" s="35"/>
      <c r="G954" s="35"/>
      <c r="H954" s="35"/>
    </row>
    <row r="955" spans="2:8" x14ac:dyDescent="0.35">
      <c r="B955" s="6"/>
      <c r="C955" s="7"/>
      <c r="D955" s="35"/>
      <c r="E955" s="35"/>
      <c r="F955" s="35"/>
      <c r="G955" s="35"/>
      <c r="H955" s="35"/>
    </row>
    <row r="956" spans="2:8" x14ac:dyDescent="0.35">
      <c r="B956" s="6"/>
      <c r="C956" s="7"/>
      <c r="D956" s="35"/>
      <c r="E956" s="35"/>
      <c r="F956" s="35"/>
      <c r="G956" s="35"/>
      <c r="H956" s="35"/>
    </row>
    <row r="957" spans="2:8" x14ac:dyDescent="0.35">
      <c r="B957" s="6"/>
      <c r="C957" s="7"/>
      <c r="D957" s="35"/>
      <c r="E957" s="35"/>
      <c r="F957" s="35"/>
      <c r="G957" s="35"/>
      <c r="H957" s="35"/>
    </row>
    <row r="958" spans="2:8" x14ac:dyDescent="0.35">
      <c r="B958" s="6"/>
      <c r="C958" s="7"/>
      <c r="D958" s="35"/>
      <c r="E958" s="35"/>
      <c r="F958" s="35"/>
      <c r="G958" s="35"/>
      <c r="H958" s="35"/>
    </row>
    <row r="959" spans="2:8" x14ac:dyDescent="0.35">
      <c r="B959" s="6"/>
      <c r="C959" s="7"/>
      <c r="D959" s="35"/>
      <c r="E959" s="35"/>
      <c r="F959" s="35"/>
      <c r="G959" s="35"/>
      <c r="H959" s="35"/>
    </row>
    <row r="960" spans="2:8" x14ac:dyDescent="0.35">
      <c r="B960" s="6"/>
      <c r="C960" s="7"/>
      <c r="D960" s="35"/>
      <c r="E960" s="35"/>
      <c r="F960" s="35"/>
      <c r="G960" s="35"/>
      <c r="H960" s="35"/>
    </row>
    <row r="961" spans="2:8" x14ac:dyDescent="0.35">
      <c r="B961" s="6"/>
      <c r="C961" s="7"/>
      <c r="D961" s="35"/>
      <c r="E961" s="35"/>
      <c r="F961" s="35"/>
      <c r="G961" s="35"/>
      <c r="H961" s="35"/>
    </row>
    <row r="962" spans="2:8" x14ac:dyDescent="0.35">
      <c r="B962" s="6"/>
      <c r="C962" s="7"/>
      <c r="D962" s="35"/>
      <c r="E962" s="35"/>
      <c r="F962" s="35"/>
      <c r="G962" s="35"/>
      <c r="H962" s="35"/>
    </row>
    <row r="963" spans="2:8" x14ac:dyDescent="0.35">
      <c r="B963" s="6"/>
      <c r="C963" s="7"/>
      <c r="D963" s="35"/>
      <c r="E963" s="35"/>
      <c r="F963" s="35"/>
      <c r="G963" s="35"/>
      <c r="H963" s="35"/>
    </row>
    <row r="964" spans="2:8" x14ac:dyDescent="0.35">
      <c r="B964" s="6"/>
      <c r="C964" s="7"/>
      <c r="D964" s="35"/>
      <c r="E964" s="35"/>
      <c r="F964" s="35"/>
      <c r="G964" s="35"/>
      <c r="H964" s="35"/>
    </row>
    <row r="965" spans="2:8" x14ac:dyDescent="0.35">
      <c r="B965" s="6"/>
      <c r="C965" s="7"/>
      <c r="D965" s="35"/>
      <c r="E965" s="35"/>
      <c r="F965" s="35"/>
      <c r="G965" s="35"/>
      <c r="H965" s="35"/>
    </row>
    <row r="966" spans="2:8" x14ac:dyDescent="0.35">
      <c r="B966" s="6"/>
      <c r="C966" s="7"/>
      <c r="D966" s="35"/>
      <c r="E966" s="35"/>
      <c r="F966" s="35"/>
      <c r="G966" s="35"/>
      <c r="H966" s="35"/>
    </row>
    <row r="967" spans="2:8" x14ac:dyDescent="0.35">
      <c r="B967" s="6"/>
      <c r="C967" s="7"/>
      <c r="D967" s="35"/>
      <c r="E967" s="35"/>
      <c r="F967" s="35"/>
      <c r="G967" s="35"/>
      <c r="H967" s="35"/>
    </row>
    <row r="968" spans="2:8" x14ac:dyDescent="0.35">
      <c r="B968" s="6"/>
      <c r="C968" s="7"/>
      <c r="D968" s="35"/>
      <c r="E968" s="35"/>
      <c r="F968" s="35"/>
      <c r="G968" s="35"/>
      <c r="H968" s="35"/>
    </row>
    <row r="969" spans="2:8" x14ac:dyDescent="0.35">
      <c r="B969" s="6"/>
      <c r="C969" s="7"/>
      <c r="D969" s="35"/>
      <c r="E969" s="35"/>
      <c r="F969" s="35"/>
      <c r="G969" s="35"/>
      <c r="H969" s="35"/>
    </row>
    <row r="970" spans="2:8" x14ac:dyDescent="0.35">
      <c r="B970" s="6"/>
      <c r="C970" s="7"/>
      <c r="D970" s="35"/>
      <c r="E970" s="35"/>
      <c r="F970" s="35"/>
      <c r="G970" s="35"/>
      <c r="H970" s="35"/>
    </row>
    <row r="971" spans="2:8" x14ac:dyDescent="0.35">
      <c r="B971" s="6"/>
      <c r="C971" s="7"/>
      <c r="D971" s="35"/>
      <c r="E971" s="35"/>
      <c r="F971" s="35"/>
      <c r="G971" s="35"/>
      <c r="H971" s="35"/>
    </row>
    <row r="972" spans="2:8" x14ac:dyDescent="0.35">
      <c r="B972" s="6"/>
      <c r="C972" s="7"/>
      <c r="D972" s="35"/>
      <c r="E972" s="35"/>
      <c r="F972" s="35"/>
      <c r="G972" s="35"/>
      <c r="H972" s="35"/>
    </row>
    <row r="973" spans="2:8" x14ac:dyDescent="0.35">
      <c r="B973" s="6"/>
      <c r="C973" s="7"/>
      <c r="D973" s="35"/>
      <c r="E973" s="35"/>
      <c r="F973" s="35"/>
      <c r="G973" s="35"/>
      <c r="H973" s="35"/>
    </row>
    <row r="974" spans="2:8" x14ac:dyDescent="0.35">
      <c r="B974" s="6"/>
      <c r="C974" s="7"/>
      <c r="D974" s="35"/>
      <c r="E974" s="35"/>
      <c r="F974" s="35"/>
      <c r="G974" s="35"/>
      <c r="H974" s="35"/>
    </row>
    <row r="975" spans="2:8" x14ac:dyDescent="0.35">
      <c r="B975" s="6"/>
      <c r="C975" s="7"/>
      <c r="D975" s="35"/>
      <c r="E975" s="35"/>
      <c r="F975" s="35"/>
      <c r="G975" s="35"/>
      <c r="H975" s="35"/>
    </row>
    <row r="976" spans="2:8" x14ac:dyDescent="0.35">
      <c r="B976" s="6"/>
      <c r="C976" s="7"/>
      <c r="D976" s="35"/>
      <c r="E976" s="35"/>
      <c r="F976" s="35"/>
      <c r="G976" s="35"/>
      <c r="H976" s="35"/>
    </row>
    <row r="977" spans="2:8" x14ac:dyDescent="0.35">
      <c r="B977" s="6"/>
      <c r="C977" s="7"/>
      <c r="D977" s="35"/>
      <c r="E977" s="35"/>
      <c r="F977" s="35"/>
      <c r="G977" s="35"/>
      <c r="H977" s="35"/>
    </row>
    <row r="978" spans="2:8" x14ac:dyDescent="0.35">
      <c r="B978" s="6"/>
      <c r="C978" s="7"/>
      <c r="D978" s="35"/>
      <c r="E978" s="35"/>
      <c r="F978" s="35"/>
      <c r="G978" s="35"/>
      <c r="H978" s="35"/>
    </row>
    <row r="979" spans="2:8" x14ac:dyDescent="0.35">
      <c r="B979" s="6"/>
      <c r="C979" s="7"/>
      <c r="D979" s="35"/>
      <c r="E979" s="35"/>
      <c r="F979" s="35"/>
      <c r="G979" s="35"/>
      <c r="H979" s="35"/>
    </row>
    <row r="980" spans="2:8" x14ac:dyDescent="0.35">
      <c r="B980" s="6"/>
      <c r="C980" s="7"/>
      <c r="D980" s="35"/>
      <c r="E980" s="35"/>
      <c r="F980" s="35"/>
      <c r="G980" s="35"/>
      <c r="H980" s="35"/>
    </row>
    <row r="981" spans="2:8" x14ac:dyDescent="0.35">
      <c r="B981" s="6"/>
      <c r="C981" s="7"/>
      <c r="D981" s="35"/>
      <c r="E981" s="35"/>
      <c r="F981" s="35"/>
      <c r="G981" s="35"/>
      <c r="H981" s="35"/>
    </row>
    <row r="982" spans="2:8" x14ac:dyDescent="0.35">
      <c r="B982" s="6"/>
      <c r="C982" s="7"/>
      <c r="D982" s="35"/>
      <c r="E982" s="35"/>
      <c r="F982" s="35"/>
      <c r="G982" s="35"/>
      <c r="H982" s="35"/>
    </row>
    <row r="983" spans="2:8" x14ac:dyDescent="0.35">
      <c r="B983" s="6"/>
      <c r="C983" s="7"/>
      <c r="D983" s="35"/>
      <c r="E983" s="35"/>
      <c r="F983" s="35"/>
      <c r="G983" s="35"/>
      <c r="H983" s="35"/>
    </row>
    <row r="984" spans="2:8" x14ac:dyDescent="0.35">
      <c r="B984" s="6"/>
      <c r="C984" s="7"/>
      <c r="D984" s="35"/>
      <c r="E984" s="35"/>
      <c r="F984" s="35"/>
      <c r="G984" s="35"/>
      <c r="H984" s="35"/>
    </row>
    <row r="985" spans="2:8" x14ac:dyDescent="0.35">
      <c r="B985" s="6"/>
      <c r="C985" s="7"/>
      <c r="D985" s="35"/>
      <c r="E985" s="35"/>
      <c r="F985" s="35"/>
      <c r="G985" s="35"/>
      <c r="H985" s="35"/>
    </row>
    <row r="986" spans="2:8" x14ac:dyDescent="0.35">
      <c r="B986" s="6"/>
      <c r="C986" s="7"/>
      <c r="D986" s="35"/>
      <c r="E986" s="35"/>
      <c r="F986" s="35"/>
      <c r="G986" s="35"/>
      <c r="H986" s="35"/>
    </row>
    <row r="987" spans="2:8" x14ac:dyDescent="0.35">
      <c r="B987" s="6"/>
      <c r="C987" s="7"/>
      <c r="D987" s="35"/>
      <c r="E987" s="35"/>
      <c r="F987" s="35"/>
      <c r="G987" s="35"/>
      <c r="H987" s="35"/>
    </row>
    <row r="988" spans="2:8" x14ac:dyDescent="0.35">
      <c r="B988" s="6"/>
      <c r="C988" s="7"/>
      <c r="D988" s="35"/>
      <c r="E988" s="35"/>
      <c r="F988" s="35"/>
      <c r="G988" s="35"/>
      <c r="H988" s="35"/>
    </row>
    <row r="989" spans="2:8" x14ac:dyDescent="0.35">
      <c r="B989" s="6"/>
      <c r="C989" s="7"/>
      <c r="D989" s="35"/>
      <c r="E989" s="35"/>
      <c r="F989" s="35"/>
      <c r="G989" s="35"/>
      <c r="H989" s="35"/>
    </row>
    <row r="990" spans="2:8" x14ac:dyDescent="0.35">
      <c r="B990" s="6"/>
      <c r="C990" s="7"/>
      <c r="D990" s="35"/>
      <c r="E990" s="35"/>
      <c r="F990" s="35"/>
      <c r="G990" s="35"/>
      <c r="H990" s="35"/>
    </row>
    <row r="991" spans="2:8" x14ac:dyDescent="0.35">
      <c r="B991" s="6"/>
      <c r="C991" s="7"/>
      <c r="D991" s="35"/>
      <c r="E991" s="35"/>
      <c r="F991" s="35"/>
      <c r="G991" s="35"/>
      <c r="H991" s="35"/>
    </row>
    <row r="992" spans="2:8" x14ac:dyDescent="0.35">
      <c r="B992" s="6"/>
      <c r="C992" s="7"/>
      <c r="D992" s="35"/>
      <c r="E992" s="35"/>
      <c r="F992" s="35"/>
      <c r="G992" s="35"/>
      <c r="H992" s="35"/>
    </row>
    <row r="993" spans="2:8" x14ac:dyDescent="0.35">
      <c r="B993" s="6"/>
      <c r="C993" s="7"/>
      <c r="D993" s="35"/>
      <c r="E993" s="35"/>
      <c r="F993" s="35"/>
      <c r="G993" s="35"/>
      <c r="H993" s="35"/>
    </row>
    <row r="994" spans="2:8" x14ac:dyDescent="0.35">
      <c r="B994" s="6"/>
      <c r="C994" s="7"/>
      <c r="D994" s="35"/>
      <c r="E994" s="35"/>
      <c r="F994" s="35"/>
      <c r="G994" s="35"/>
      <c r="H994" s="35"/>
    </row>
    <row r="995" spans="2:8" x14ac:dyDescent="0.35">
      <c r="B995" s="6"/>
      <c r="C995" s="7"/>
      <c r="D995" s="35"/>
      <c r="E995" s="35"/>
      <c r="F995" s="35"/>
      <c r="G995" s="35"/>
      <c r="H995" s="35"/>
    </row>
    <row r="996" spans="2:8" x14ac:dyDescent="0.35">
      <c r="B996" s="6"/>
      <c r="C996" s="7"/>
      <c r="D996" s="35"/>
      <c r="E996" s="35"/>
      <c r="F996" s="35"/>
      <c r="G996" s="35"/>
      <c r="H996" s="35"/>
    </row>
    <row r="997" spans="2:8" x14ac:dyDescent="0.35">
      <c r="B997" s="6"/>
      <c r="C997" s="7"/>
      <c r="D997" s="35"/>
      <c r="E997" s="35"/>
      <c r="F997" s="35"/>
      <c r="G997" s="35"/>
      <c r="H997" s="35"/>
    </row>
    <row r="998" spans="2:8" x14ac:dyDescent="0.35">
      <c r="B998" s="6"/>
      <c r="C998" s="7"/>
      <c r="D998" s="35"/>
      <c r="E998" s="35"/>
      <c r="F998" s="35"/>
      <c r="G998" s="35"/>
      <c r="H998" s="35"/>
    </row>
    <row r="999" spans="2:8" x14ac:dyDescent="0.35">
      <c r="B999" s="6"/>
      <c r="C999" s="7"/>
      <c r="D999" s="35"/>
      <c r="E999" s="35"/>
      <c r="F999" s="35"/>
      <c r="G999" s="35"/>
      <c r="H999" s="35"/>
    </row>
    <row r="1000" spans="2:8" x14ac:dyDescent="0.35">
      <c r="B1000" s="6"/>
      <c r="C1000" s="7"/>
      <c r="D1000" s="35"/>
      <c r="E1000" s="35"/>
      <c r="F1000" s="35"/>
      <c r="G1000" s="35"/>
      <c r="H1000" s="35"/>
    </row>
  </sheetData>
  <dataValidations count="1">
    <dataValidation type="list" allowBlank="1" showInputMessage="1" showErrorMessage="1" sqref="B1" xr:uid="{BEA75E8C-D70D-4F52-AB10-A1B2827D4AA4}">
      <formula1>EntityList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B08BC-36CE-455C-8D39-C3292568C0B2}">
  <sheetPr codeName="Sheet8"/>
  <dimension ref="A1:AY1000"/>
  <sheetViews>
    <sheetView showGridLines="0" zoomScale="91" zoomScaleNormal="91" workbookViewId="0">
      <pane ySplit="5" topLeftCell="A460" activePane="bottomLeft" state="frozen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8" width="19.26953125" style="32" customWidth="1"/>
    <col min="9" max="9" width="15.26953125" style="40" customWidth="1"/>
    <col min="10" max="10" width="12.1796875" customWidth="1"/>
    <col min="11" max="11" width="18.7265625" style="41" customWidth="1"/>
  </cols>
  <sheetData>
    <row r="1" spans="1:51" x14ac:dyDescent="0.35">
      <c r="A1" s="10" t="s">
        <v>4</v>
      </c>
      <c r="B1" s="15" t="s">
        <v>35</v>
      </c>
      <c r="AY1" t="s">
        <v>2</v>
      </c>
    </row>
    <row r="2" spans="1:51" x14ac:dyDescent="0.35">
      <c r="A2" s="10" t="s">
        <v>0</v>
      </c>
      <c r="B2" s="15">
        <v>44931</v>
      </c>
      <c r="AY2" t="s">
        <v>34</v>
      </c>
    </row>
    <row r="3" spans="1:51" x14ac:dyDescent="0.35">
      <c r="A3" s="10" t="s">
        <v>1</v>
      </c>
      <c r="B3" s="15">
        <f>AMF!EndDate</f>
        <v>45657</v>
      </c>
      <c r="AY3" t="s">
        <v>35</v>
      </c>
    </row>
    <row r="4" spans="1:51" x14ac:dyDescent="0.35">
      <c r="AY4" t="s">
        <v>9</v>
      </c>
    </row>
    <row r="5" spans="1:51" ht="16" x14ac:dyDescent="0.35">
      <c r="B5" s="12" t="s">
        <v>3</v>
      </c>
      <c r="C5" s="13" t="s">
        <v>4</v>
      </c>
      <c r="D5" s="33" t="s">
        <v>5</v>
      </c>
      <c r="E5" s="33" t="s">
        <v>6</v>
      </c>
      <c r="F5" s="33" t="s">
        <v>7</v>
      </c>
      <c r="G5" s="33" t="s">
        <v>8</v>
      </c>
      <c r="H5" s="33" t="s">
        <v>32</v>
      </c>
      <c r="AY5" t="s">
        <v>10</v>
      </c>
    </row>
    <row r="6" spans="1:51" x14ac:dyDescent="0.35">
      <c r="B6" s="4">
        <v>44931</v>
      </c>
      <c r="C6" s="5" t="s">
        <v>35</v>
      </c>
      <c r="D6" s="34">
        <v>4.4848610680769999E-5</v>
      </c>
      <c r="E6" s="34">
        <v>4.4848610680769999E-5</v>
      </c>
      <c r="F6" s="34">
        <v>4.4848610680769951E-5</v>
      </c>
      <c r="G6" s="34">
        <v>4.4848610680769951E-5</v>
      </c>
      <c r="H6" s="34">
        <v>4.4847605011898408E-5</v>
      </c>
      <c r="AY6" t="s">
        <v>11</v>
      </c>
    </row>
    <row r="7" spans="1:51" x14ac:dyDescent="0.35">
      <c r="B7" s="6">
        <v>44932</v>
      </c>
      <c r="C7" s="7" t="s">
        <v>35</v>
      </c>
      <c r="D7" s="35">
        <v>-6.31091522852567E-3</v>
      </c>
      <c r="E7" s="35">
        <v>-6.31091522852567E-3</v>
      </c>
      <c r="F7" s="35">
        <v>-6.2663496536250474E-3</v>
      </c>
      <c r="G7" s="35">
        <v>-6.2663496536250474E-3</v>
      </c>
      <c r="H7" s="35">
        <v>-6.3309132355860998E-3</v>
      </c>
      <c r="AY7" t="s">
        <v>33</v>
      </c>
    </row>
    <row r="8" spans="1:51" x14ac:dyDescent="0.35">
      <c r="B8" s="6">
        <v>44935</v>
      </c>
      <c r="C8" s="7" t="s">
        <v>35</v>
      </c>
      <c r="D8" s="35">
        <v>8.4432631641737609E-3</v>
      </c>
      <c r="E8" s="35">
        <v>8.4432631641737609E-3</v>
      </c>
      <c r="F8" s="35">
        <v>2.1240050713444703E-3</v>
      </c>
      <c r="G8" s="35">
        <v>2.1240050713444703E-3</v>
      </c>
      <c r="H8" s="35">
        <v>8.4078181921446483E-3</v>
      </c>
    </row>
    <row r="9" spans="1:51" x14ac:dyDescent="0.35">
      <c r="B9" s="6">
        <v>44936</v>
      </c>
      <c r="C9" s="7" t="s">
        <v>35</v>
      </c>
      <c r="D9" s="35">
        <v>-1.7229172289221901E-2</v>
      </c>
      <c r="E9" s="35">
        <v>-1.7229172289221901E-2</v>
      </c>
      <c r="F9" s="35">
        <v>-1.5141762067194864E-2</v>
      </c>
      <c r="G9" s="35">
        <v>-1.5141762067194864E-2</v>
      </c>
      <c r="H9" s="35">
        <v>-1.7379321609623192E-2</v>
      </c>
    </row>
    <row r="10" spans="1:51" x14ac:dyDescent="0.35">
      <c r="B10" s="6">
        <v>44937</v>
      </c>
      <c r="C10" s="7" t="s">
        <v>35</v>
      </c>
      <c r="D10" s="35">
        <v>-9.1503314246348406E-3</v>
      </c>
      <c r="E10" s="35">
        <v>-9.1503314246348406E-3</v>
      </c>
      <c r="F10" s="35">
        <v>-2.4153541350561913E-2</v>
      </c>
      <c r="G10" s="35">
        <v>-2.4153541350561913E-2</v>
      </c>
      <c r="H10" s="35">
        <v>-9.1924528541452617E-3</v>
      </c>
    </row>
    <row r="11" spans="1:51" x14ac:dyDescent="0.35">
      <c r="B11" s="6">
        <v>44938</v>
      </c>
      <c r="C11" s="7" t="s">
        <v>35</v>
      </c>
      <c r="D11" s="35">
        <v>-1.76592234537942E-3</v>
      </c>
      <c r="E11" s="35">
        <v>-1.76592234537942E-3</v>
      </c>
      <c r="F11" s="35">
        <v>-2.58768104175503E-2</v>
      </c>
      <c r="G11" s="35">
        <v>-2.58768104175503E-2</v>
      </c>
      <c r="H11" s="35">
        <v>-1.7674834243445732E-3</v>
      </c>
    </row>
    <row r="12" spans="1:51" x14ac:dyDescent="0.35">
      <c r="B12" s="6">
        <v>44939</v>
      </c>
      <c r="C12" s="7" t="s">
        <v>35</v>
      </c>
      <c r="D12" s="35">
        <v>-5.0924734920709796E-3</v>
      </c>
      <c r="E12" s="35">
        <v>-5.0924734920709796E-3</v>
      </c>
      <c r="F12" s="35">
        <v>-3.0837506938510506E-2</v>
      </c>
      <c r="G12" s="35">
        <v>-3.0837506938510506E-2</v>
      </c>
      <c r="H12" s="35">
        <v>-5.1054843255507248E-3</v>
      </c>
    </row>
    <row r="13" spans="1:51" x14ac:dyDescent="0.35">
      <c r="B13" s="6">
        <v>44943</v>
      </c>
      <c r="C13" s="7" t="s">
        <v>35</v>
      </c>
      <c r="D13" s="35">
        <v>3.4573177262817723E-3</v>
      </c>
      <c r="E13" s="35">
        <v>3.4573177262817723E-3</v>
      </c>
      <c r="F13" s="35">
        <v>-2.748680427160155E-2</v>
      </c>
      <c r="G13" s="35">
        <v>-2.748680427160155E-2</v>
      </c>
      <c r="H13" s="35">
        <v>3.4513549428903363E-3</v>
      </c>
    </row>
    <row r="14" spans="1:51" x14ac:dyDescent="0.35">
      <c r="B14" s="6">
        <v>44944</v>
      </c>
      <c r="C14" s="7" t="s">
        <v>35</v>
      </c>
      <c r="D14" s="35">
        <v>1.1364572433742099E-2</v>
      </c>
      <c r="E14" s="35">
        <v>1.1364572433742099E-2</v>
      </c>
      <c r="F14" s="35">
        <v>-1.6434607615976149E-2</v>
      </c>
      <c r="G14" s="35">
        <v>-1.6434607615976149E-2</v>
      </c>
      <c r="H14" s="35">
        <v>1.1300480805969156E-2</v>
      </c>
    </row>
    <row r="15" spans="1:51" x14ac:dyDescent="0.35">
      <c r="B15" s="6">
        <v>44945</v>
      </c>
      <c r="C15" s="7" t="s">
        <v>35</v>
      </c>
      <c r="D15" s="35">
        <v>4.5462851819007E-3</v>
      </c>
      <c r="E15" s="35">
        <v>4.5462851819007E-3</v>
      </c>
      <c r="F15" s="35">
        <v>-1.1963038847150331E-2</v>
      </c>
      <c r="G15" s="35">
        <v>-1.1963038847150331E-2</v>
      </c>
      <c r="H15" s="35">
        <v>4.5359820429596142E-3</v>
      </c>
    </row>
    <row r="16" spans="1:51" x14ac:dyDescent="0.35">
      <c r="B16" s="6">
        <v>44946</v>
      </c>
      <c r="C16" s="7" t="s">
        <v>35</v>
      </c>
      <c r="D16" s="35">
        <v>-2.49032036603467E-2</v>
      </c>
      <c r="E16" s="35">
        <v>-2.49032036603467E-2</v>
      </c>
      <c r="F16" s="35">
        <v>-3.6568324514689832E-2</v>
      </c>
      <c r="G16" s="35">
        <v>-3.6568324514689832E-2</v>
      </c>
      <c r="H16" s="35">
        <v>-2.5218534614973566E-2</v>
      </c>
    </row>
    <row r="17" spans="2:8" x14ac:dyDescent="0.35">
      <c r="B17" s="6">
        <v>44949</v>
      </c>
      <c r="C17" s="7" t="s">
        <v>35</v>
      </c>
      <c r="D17" s="35">
        <v>-5.1189320969746701E-3</v>
      </c>
      <c r="E17" s="35">
        <v>-5.1189320969746701E-3</v>
      </c>
      <c r="F17" s="35">
        <v>-4.1500065841573619E-2</v>
      </c>
      <c r="G17" s="35">
        <v>-4.1500065841573619E-2</v>
      </c>
      <c r="H17" s="35">
        <v>-5.1320787134968284E-3</v>
      </c>
    </row>
    <row r="18" spans="2:8" x14ac:dyDescent="0.35">
      <c r="B18" s="6">
        <v>44950</v>
      </c>
      <c r="C18" s="7" t="s">
        <v>35</v>
      </c>
      <c r="D18" s="35">
        <v>-8.2164009938092697E-3</v>
      </c>
      <c r="E18" s="35">
        <v>-8.2164009938092697E-3</v>
      </c>
      <c r="F18" s="35">
        <v>-4.9375485653159079E-2</v>
      </c>
      <c r="G18" s="35">
        <v>-4.9375485653159079E-2</v>
      </c>
      <c r="H18" s="35">
        <v>-8.2503416577136106E-3</v>
      </c>
    </row>
    <row r="19" spans="2:8" x14ac:dyDescent="0.35">
      <c r="B19" s="6">
        <v>44951</v>
      </c>
      <c r="C19" s="7" t="s">
        <v>35</v>
      </c>
      <c r="D19" s="35">
        <v>-5.65927381974474E-4</v>
      </c>
      <c r="E19" s="35">
        <v>-5.65927381974474E-4</v>
      </c>
      <c r="F19" s="35">
        <v>-4.9913470095804158E-2</v>
      </c>
      <c r="G19" s="35">
        <v>-4.9913470095804158E-2</v>
      </c>
      <c r="H19" s="35">
        <v>-5.6608757931820143E-4</v>
      </c>
    </row>
    <row r="20" spans="2:8" x14ac:dyDescent="0.35">
      <c r="B20" s="6">
        <v>44952</v>
      </c>
      <c r="C20" s="7" t="s">
        <v>35</v>
      </c>
      <c r="D20" s="35">
        <v>-2.6572036427192601E-3</v>
      </c>
      <c r="E20" s="35">
        <v>-2.6572036427192601E-3</v>
      </c>
      <c r="F20" s="35">
        <v>-5.2438043483964081E-2</v>
      </c>
      <c r="G20" s="35">
        <v>-5.2438043483964081E-2</v>
      </c>
      <c r="H20" s="35">
        <v>-2.6607402747422923E-3</v>
      </c>
    </row>
    <row r="21" spans="2:8" x14ac:dyDescent="0.35">
      <c r="B21" s="6">
        <v>44953</v>
      </c>
      <c r="C21" s="7" t="s">
        <v>35</v>
      </c>
      <c r="D21" s="35">
        <v>-6.87812194534665E-3</v>
      </c>
      <c r="E21" s="35">
        <v>-6.87812194534665E-3</v>
      </c>
      <c r="F21" s="35">
        <v>-5.895549017165258E-2</v>
      </c>
      <c r="G21" s="35">
        <v>-5.895549017165258E-2</v>
      </c>
      <c r="H21" s="35">
        <v>-6.9018852534007205E-3</v>
      </c>
    </row>
    <row r="22" spans="2:8" x14ac:dyDescent="0.35">
      <c r="B22" s="6">
        <v>44956</v>
      </c>
      <c r="C22" s="7" t="s">
        <v>35</v>
      </c>
      <c r="D22" s="35">
        <v>2.1179381273124201E-2</v>
      </c>
      <c r="E22" s="35">
        <v>2.1179381273124201E-2</v>
      </c>
      <c r="F22" s="35">
        <v>-3.9024749703017725E-2</v>
      </c>
      <c r="G22" s="35">
        <v>-3.9024749703017725E-2</v>
      </c>
      <c r="H22" s="35">
        <v>2.0958215496989924E-2</v>
      </c>
    </row>
    <row r="23" spans="2:8" x14ac:dyDescent="0.35">
      <c r="B23" s="6">
        <v>44957</v>
      </c>
      <c r="C23" s="7" t="s">
        <v>35</v>
      </c>
      <c r="D23" s="35">
        <v>-1.9491326269479099E-2</v>
      </c>
      <c r="E23" s="35">
        <v>-1.9491326269479099E-2</v>
      </c>
      <c r="F23" s="35">
        <v>-5.7755431843450555E-2</v>
      </c>
      <c r="G23" s="35">
        <v>-5.7755431843450555E-2</v>
      </c>
      <c r="H23" s="35">
        <v>-1.9683787152818006E-2</v>
      </c>
    </row>
    <row r="24" spans="2:8" x14ac:dyDescent="0.35">
      <c r="B24" s="6">
        <v>44958</v>
      </c>
      <c r="C24" s="7" t="s">
        <v>35</v>
      </c>
      <c r="D24" s="35">
        <v>-1.0723050198219401E-2</v>
      </c>
      <c r="E24" s="35">
        <v>-1.0723050198219401E-2</v>
      </c>
      <c r="F24" s="35">
        <v>-6.7859167646792784E-2</v>
      </c>
      <c r="G24" s="35">
        <v>-6.7859167646792784E-2</v>
      </c>
      <c r="H24" s="35">
        <v>-1.0780956427298229E-2</v>
      </c>
    </row>
    <row r="25" spans="2:8" x14ac:dyDescent="0.35">
      <c r="B25" s="6">
        <v>44959</v>
      </c>
      <c r="C25" s="7" t="s">
        <v>35</v>
      </c>
      <c r="D25" s="35">
        <v>-1.3610269364639599E-2</v>
      </c>
      <c r="E25" s="35">
        <v>-1.3610269364639599E-2</v>
      </c>
      <c r="F25" s="35">
        <v>-8.0545855460899318E-2</v>
      </c>
      <c r="G25" s="35">
        <v>-8.0545855460899318E-2</v>
      </c>
      <c r="H25" s="35">
        <v>-1.3703738139805546E-2</v>
      </c>
    </row>
    <row r="26" spans="2:8" x14ac:dyDescent="0.35">
      <c r="B26" s="6">
        <v>44960</v>
      </c>
      <c r="C26" s="7" t="s">
        <v>35</v>
      </c>
      <c r="D26" s="35">
        <v>8.2793743274405304E-3</v>
      </c>
      <c r="E26" s="35">
        <v>8.2793743274405304E-3</v>
      </c>
      <c r="F26" s="35">
        <v>-7.2933350421343524E-2</v>
      </c>
      <c r="G26" s="35">
        <v>-7.2933350421343524E-2</v>
      </c>
      <c r="H26" s="35">
        <v>8.2452883191246711E-3</v>
      </c>
    </row>
    <row r="27" spans="2:8" x14ac:dyDescent="0.35">
      <c r="B27" s="6">
        <v>44963</v>
      </c>
      <c r="C27" s="7" t="s">
        <v>35</v>
      </c>
      <c r="D27" s="35">
        <v>6.0624838318879002E-3</v>
      </c>
      <c r="E27" s="35">
        <v>6.0624838318879002E-3</v>
      </c>
      <c r="F27" s="35">
        <v>-6.7313023847190401E-2</v>
      </c>
      <c r="G27" s="35">
        <v>-6.7313023847190401E-2</v>
      </c>
      <c r="H27" s="35">
        <v>6.0441809136274364E-3</v>
      </c>
    </row>
    <row r="28" spans="2:8" x14ac:dyDescent="0.35">
      <c r="B28" s="6">
        <v>44964</v>
      </c>
      <c r="C28" s="7" t="s">
        <v>35</v>
      </c>
      <c r="D28" s="35">
        <v>-8.1016734411303304E-3</v>
      </c>
      <c r="E28" s="35">
        <v>-8.1016734411303304E-3</v>
      </c>
      <c r="F28" s="35">
        <v>-7.486934915077581E-2</v>
      </c>
      <c r="G28" s="35">
        <v>-7.486934915077581E-2</v>
      </c>
      <c r="H28" s="35">
        <v>-8.1346703383067161E-3</v>
      </c>
    </row>
    <row r="29" spans="2:8" x14ac:dyDescent="0.35">
      <c r="B29" s="6">
        <v>44965</v>
      </c>
      <c r="C29" s="7" t="s">
        <v>35</v>
      </c>
      <c r="D29" s="35">
        <v>2.21039841440849E-2</v>
      </c>
      <c r="E29" s="35">
        <v>2.21039841440849E-2</v>
      </c>
      <c r="F29" s="35">
        <v>-5.4420275913197647E-2</v>
      </c>
      <c r="G29" s="35">
        <v>-5.4420275913197647E-2</v>
      </c>
      <c r="H29" s="35">
        <v>2.1863232343618307E-2</v>
      </c>
    </row>
    <row r="30" spans="2:8" x14ac:dyDescent="0.35">
      <c r="B30" s="6">
        <v>44966</v>
      </c>
      <c r="C30" s="7" t="s">
        <v>35</v>
      </c>
      <c r="D30" s="35">
        <v>1.03732359019335E-2</v>
      </c>
      <c r="E30" s="35">
        <v>1.03732359019335E-2</v>
      </c>
      <c r="F30" s="35">
        <v>-4.4611554371160045E-2</v>
      </c>
      <c r="G30" s="35">
        <v>-4.4611554371160045E-2</v>
      </c>
      <c r="H30" s="35">
        <v>1.0319803086859348E-2</v>
      </c>
    </row>
    <row r="31" spans="2:8" x14ac:dyDescent="0.35">
      <c r="B31" s="6">
        <v>44967</v>
      </c>
      <c r="C31" s="7" t="s">
        <v>35</v>
      </c>
      <c r="D31" s="35">
        <v>1.27920422232952E-3</v>
      </c>
      <c r="E31" s="35">
        <v>1.27920422232952E-3</v>
      </c>
      <c r="F31" s="35">
        <v>-4.3389417437546762E-2</v>
      </c>
      <c r="G31" s="35">
        <v>-4.3389417437546762E-2</v>
      </c>
      <c r="H31" s="35">
        <v>1.2783867376872471E-3</v>
      </c>
    </row>
    <row r="32" spans="2:8" x14ac:dyDescent="0.35">
      <c r="B32" s="6">
        <v>44970</v>
      </c>
      <c r="C32" s="7" t="s">
        <v>35</v>
      </c>
      <c r="D32" s="35">
        <v>-5.0120598007949999E-3</v>
      </c>
      <c r="E32" s="35">
        <v>-5.0120598007949999E-3</v>
      </c>
      <c r="F32" s="35">
        <v>-4.8184006883423169E-2</v>
      </c>
      <c r="G32" s="35">
        <v>-4.8184006883423169E-2</v>
      </c>
      <c r="H32" s="35">
        <v>-5.0246622998060021E-3</v>
      </c>
    </row>
    <row r="33" spans="2:8" x14ac:dyDescent="0.35">
      <c r="B33" s="6">
        <v>44971</v>
      </c>
      <c r="C33" s="7" t="s">
        <v>35</v>
      </c>
      <c r="D33" s="35">
        <v>8.5541255482324301E-5</v>
      </c>
      <c r="E33" s="35">
        <v>8.5541255482324301E-5</v>
      </c>
      <c r="F33" s="35">
        <v>-4.8102587348383796E-2</v>
      </c>
      <c r="G33" s="35">
        <v>-4.8102587348383796E-2</v>
      </c>
      <c r="H33" s="35">
        <v>8.5537597037760001E-5</v>
      </c>
    </row>
    <row r="34" spans="2:8" x14ac:dyDescent="0.35">
      <c r="B34" s="6">
        <v>44972</v>
      </c>
      <c r="C34" s="7" t="s">
        <v>35</v>
      </c>
      <c r="D34" s="35">
        <v>-1.41764988636117E-3</v>
      </c>
      <c r="E34" s="35">
        <v>-1.41764988636117E-3</v>
      </c>
      <c r="F34" s="35">
        <v>-4.9452044607256829E-2</v>
      </c>
      <c r="G34" s="35">
        <v>-4.9452044607256829E-2</v>
      </c>
      <c r="H34" s="35">
        <v>-1.4186557026706259E-3</v>
      </c>
    </row>
    <row r="35" spans="2:8" x14ac:dyDescent="0.35">
      <c r="B35" s="6">
        <v>44973</v>
      </c>
      <c r="C35" s="7" t="s">
        <v>35</v>
      </c>
      <c r="D35" s="35">
        <v>1.42540379098277E-2</v>
      </c>
      <c r="E35" s="35">
        <v>1.42540379098277E-2</v>
      </c>
      <c r="F35" s="35">
        <v>-3.5902898015979456E-2</v>
      </c>
      <c r="G35" s="35">
        <v>-3.5902898015979456E-2</v>
      </c>
      <c r="H35" s="35">
        <v>1.4153404274535326E-2</v>
      </c>
    </row>
    <row r="36" spans="2:8" x14ac:dyDescent="0.35">
      <c r="B36" s="6">
        <v>44974</v>
      </c>
      <c r="C36" s="7" t="s">
        <v>35</v>
      </c>
      <c r="D36" s="35">
        <v>-1.38374700750519E-2</v>
      </c>
      <c r="E36" s="35">
        <v>-1.38374700750519E-2</v>
      </c>
      <c r="F36" s="35">
        <v>-4.9243562814127562E-2</v>
      </c>
      <c r="G36" s="35">
        <v>-4.9243562814127562E-2</v>
      </c>
      <c r="H36" s="35">
        <v>-1.3934100311657422E-2</v>
      </c>
    </row>
    <row r="37" spans="2:8" x14ac:dyDescent="0.35">
      <c r="B37" s="6">
        <v>44978</v>
      </c>
      <c r="C37" s="7" t="s">
        <v>35</v>
      </c>
      <c r="D37" s="35">
        <v>2.7541120800012031E-2</v>
      </c>
      <c r="E37" s="35">
        <v>2.7541120800012031E-2</v>
      </c>
      <c r="F37" s="35">
        <v>-2.3058664926202344E-2</v>
      </c>
      <c r="G37" s="35">
        <v>-2.3058664926202344E-2</v>
      </c>
      <c r="H37" s="35">
        <v>2.7168686830784758E-2</v>
      </c>
    </row>
    <row r="38" spans="2:8" x14ac:dyDescent="0.35">
      <c r="B38" s="6">
        <v>44979</v>
      </c>
      <c r="C38" s="7" t="s">
        <v>35</v>
      </c>
      <c r="D38" s="35">
        <v>7.5146194885267203E-4</v>
      </c>
      <c r="E38" s="35">
        <v>7.5146194885267203E-4</v>
      </c>
      <c r="F38" s="35">
        <v>-2.2324530686633093E-2</v>
      </c>
      <c r="G38" s="35">
        <v>-2.2324530686633093E-2</v>
      </c>
      <c r="H38" s="35">
        <v>7.511797426916632E-4</v>
      </c>
    </row>
    <row r="39" spans="2:8" x14ac:dyDescent="0.35">
      <c r="B39" s="6">
        <v>44980</v>
      </c>
      <c r="C39" s="7" t="s">
        <v>35</v>
      </c>
      <c r="D39" s="35">
        <v>-4.6613570573221796E-3</v>
      </c>
      <c r="E39" s="35">
        <v>-4.6613570573221796E-3</v>
      </c>
      <c r="F39" s="35">
        <v>-2.6881825135287696E-2</v>
      </c>
      <c r="G39" s="35">
        <v>-2.6881825135287696E-2</v>
      </c>
      <c r="H39" s="35">
        <v>-4.6722550616443989E-3</v>
      </c>
    </row>
    <row r="40" spans="2:8" x14ac:dyDescent="0.35">
      <c r="B40" s="6">
        <v>44981</v>
      </c>
      <c r="C40" s="7" t="s">
        <v>35</v>
      </c>
      <c r="D40" s="35">
        <v>1.98823378147641E-2</v>
      </c>
      <c r="E40" s="35">
        <v>1.98823378147641E-2</v>
      </c>
      <c r="F40" s="35">
        <v>-7.5339608489407572E-3</v>
      </c>
      <c r="G40" s="35">
        <v>-7.5339608489407572E-3</v>
      </c>
      <c r="H40" s="35">
        <v>1.9687265558705758E-2</v>
      </c>
    </row>
    <row r="41" spans="2:8" x14ac:dyDescent="0.35">
      <c r="B41" s="6">
        <v>44984</v>
      </c>
      <c r="C41" s="7" t="s">
        <v>35</v>
      </c>
      <c r="D41" s="35">
        <v>-7.0397175850269696E-3</v>
      </c>
      <c r="E41" s="35">
        <v>-7.0397175850269696E-3</v>
      </c>
      <c r="F41" s="35">
        <v>-1.4520641477294483E-2</v>
      </c>
      <c r="G41" s="35">
        <v>-1.4520641477294483E-2</v>
      </c>
      <c r="H41" s="35">
        <v>-7.0646133048915061E-3</v>
      </c>
    </row>
    <row r="42" spans="2:8" x14ac:dyDescent="0.35">
      <c r="B42" s="6">
        <v>44985</v>
      </c>
      <c r="C42" s="7" t="s">
        <v>35</v>
      </c>
      <c r="D42" s="35">
        <v>-3.4648851361900302E-3</v>
      </c>
      <c r="E42" s="35">
        <v>-3.4648851361900302E-3</v>
      </c>
      <c r="F42" s="35">
        <v>-1.7935214258661847E-2</v>
      </c>
      <c r="G42" s="35">
        <v>-1.7935214258661847E-2</v>
      </c>
      <c r="H42" s="35">
        <v>-3.4709017526371173E-3</v>
      </c>
    </row>
    <row r="43" spans="2:8" x14ac:dyDescent="0.35">
      <c r="B43" s="6">
        <v>44986</v>
      </c>
      <c r="C43" s="7" t="s">
        <v>35</v>
      </c>
      <c r="D43" s="35">
        <v>1.5322026867243799E-3</v>
      </c>
      <c r="E43" s="35">
        <v>1.5322026867243799E-3</v>
      </c>
      <c r="F43" s="35">
        <v>-1.6430491955411575E-2</v>
      </c>
      <c r="G43" s="35">
        <v>-1.6430491955411575E-2</v>
      </c>
      <c r="H43" s="35">
        <v>1.5310300618343029E-3</v>
      </c>
    </row>
    <row r="44" spans="2:8" x14ac:dyDescent="0.35">
      <c r="B44" s="6">
        <v>44987</v>
      </c>
      <c r="C44" s="7" t="s">
        <v>35</v>
      </c>
      <c r="D44" s="35">
        <v>3.4287857619099702E-3</v>
      </c>
      <c r="E44" s="35">
        <v>3.4287857619099702E-3</v>
      </c>
      <c r="F44" s="35">
        <v>-1.3058042830379479E-2</v>
      </c>
      <c r="G44" s="35">
        <v>-1.3058042830379479E-2</v>
      </c>
      <c r="H44" s="35">
        <v>3.4229208784716993E-3</v>
      </c>
    </row>
    <row r="45" spans="2:8" x14ac:dyDescent="0.35">
      <c r="B45" s="6">
        <v>44988</v>
      </c>
      <c r="C45" s="7" t="s">
        <v>35</v>
      </c>
      <c r="D45" s="35">
        <v>-1.37610212034152E-2</v>
      </c>
      <c r="E45" s="35">
        <v>-1.37610212034152E-2</v>
      </c>
      <c r="F45" s="35">
        <v>-2.6639372029530706E-2</v>
      </c>
      <c r="G45" s="35">
        <v>-2.6639372029530706E-2</v>
      </c>
      <c r="H45" s="35">
        <v>-1.3856581742200893E-2</v>
      </c>
    </row>
    <row r="46" spans="2:8" x14ac:dyDescent="0.35">
      <c r="B46" s="6">
        <v>44991</v>
      </c>
      <c r="C46" s="7" t="s">
        <v>35</v>
      </c>
      <c r="D46" s="35">
        <v>1.05255010301293E-2</v>
      </c>
      <c r="E46" s="35">
        <v>1.05255010301293E-2</v>
      </c>
      <c r="F46" s="35">
        <v>-1.6394263737140258E-2</v>
      </c>
      <c r="G46" s="35">
        <v>-1.6394263737140258E-2</v>
      </c>
      <c r="H46" s="35">
        <v>1.0470493594702467E-2</v>
      </c>
    </row>
    <row r="47" spans="2:8" x14ac:dyDescent="0.35">
      <c r="B47" s="6">
        <v>44992</v>
      </c>
      <c r="C47" s="7" t="s">
        <v>35</v>
      </c>
      <c r="D47" s="35">
        <v>9.7363105182020106E-3</v>
      </c>
      <c r="E47" s="35">
        <v>9.7363105182020106E-3</v>
      </c>
      <c r="F47" s="35">
        <v>-6.8175728614003894E-3</v>
      </c>
      <c r="G47" s="35">
        <v>-6.8175728614003894E-3</v>
      </c>
      <c r="H47" s="35">
        <v>9.6892180713430819E-3</v>
      </c>
    </row>
    <row r="48" spans="2:8" x14ac:dyDescent="0.35">
      <c r="B48" s="6">
        <v>44993</v>
      </c>
      <c r="C48" s="7" t="s">
        <v>35</v>
      </c>
      <c r="D48" s="35">
        <v>2.5445191316446599E-3</v>
      </c>
      <c r="E48" s="35">
        <v>2.5445191316446599E-3</v>
      </c>
      <c r="F48" s="35">
        <v>-4.2904011743329917E-3</v>
      </c>
      <c r="G48" s="35">
        <v>-4.2904011743329917E-3</v>
      </c>
      <c r="H48" s="35">
        <v>2.5412873239424594E-3</v>
      </c>
    </row>
    <row r="49" spans="2:8" x14ac:dyDescent="0.35">
      <c r="B49" s="6">
        <v>44994</v>
      </c>
      <c r="C49" s="7" t="s">
        <v>35</v>
      </c>
      <c r="D49" s="35">
        <v>2.6992470303486098E-2</v>
      </c>
      <c r="E49" s="35">
        <v>2.6992470303486098E-2</v>
      </c>
      <c r="F49" s="35">
        <v>2.2586260602864838E-2</v>
      </c>
      <c r="G49" s="35">
        <v>2.2586260602864838E-2</v>
      </c>
      <c r="H49" s="35">
        <v>2.6634599179997651E-2</v>
      </c>
    </row>
    <row r="50" spans="2:8" x14ac:dyDescent="0.35">
      <c r="B50" s="6">
        <v>44995</v>
      </c>
      <c r="C50" s="7" t="s">
        <v>35</v>
      </c>
      <c r="D50" s="35">
        <v>3.31241538945806E-2</v>
      </c>
      <c r="E50" s="35">
        <v>3.31241538945806E-2</v>
      </c>
      <c r="F50" s="35">
        <v>5.6458565269557726E-2</v>
      </c>
      <c r="G50" s="35">
        <v>5.6458565269557726E-2</v>
      </c>
      <c r="H50" s="35">
        <v>3.258737061600369E-2</v>
      </c>
    </row>
    <row r="51" spans="2:8" x14ac:dyDescent="0.35">
      <c r="B51" s="6">
        <v>44998</v>
      </c>
      <c r="C51" s="7" t="s">
        <v>35</v>
      </c>
      <c r="D51" s="35">
        <v>-1.23892309218923E-2</v>
      </c>
      <c r="E51" s="35">
        <v>-1.23892309218923E-2</v>
      </c>
      <c r="F51" s="35">
        <v>4.3369856145022201E-2</v>
      </c>
      <c r="G51" s="35">
        <v>4.3369856145022201E-2</v>
      </c>
      <c r="H51" s="35">
        <v>-1.2466617279243855E-2</v>
      </c>
    </row>
    <row r="52" spans="2:8" x14ac:dyDescent="0.35">
      <c r="B52" s="6">
        <v>44999</v>
      </c>
      <c r="C52" s="7" t="s">
        <v>35</v>
      </c>
      <c r="D52" s="35">
        <v>-1.8975069145137399E-2</v>
      </c>
      <c r="E52" s="35">
        <v>-1.8975069145137399E-2</v>
      </c>
      <c r="F52" s="35">
        <v>2.3571840980718406E-2</v>
      </c>
      <c r="G52" s="35">
        <v>2.3571840980718406E-2</v>
      </c>
      <c r="H52" s="35">
        <v>-1.9157406024240653E-2</v>
      </c>
    </row>
    <row r="53" spans="2:8" x14ac:dyDescent="0.35">
      <c r="B53" s="6">
        <v>45000</v>
      </c>
      <c r="C53" s="7" t="s">
        <v>35</v>
      </c>
      <c r="D53" s="35">
        <v>1.8176393314976801E-2</v>
      </c>
      <c r="E53" s="35">
        <v>1.8176393314976801E-2</v>
      </c>
      <c r="F53" s="35">
        <v>4.2176685348518816E-2</v>
      </c>
      <c r="G53" s="35">
        <v>4.2176685348518816E-2</v>
      </c>
      <c r="H53" s="35">
        <v>1.8013177494265269E-2</v>
      </c>
    </row>
    <row r="54" spans="2:8" x14ac:dyDescent="0.35">
      <c r="B54" s="6">
        <v>45001</v>
      </c>
      <c r="C54" s="7" t="s">
        <v>35</v>
      </c>
      <c r="D54" s="35">
        <v>-6.3808625541550397E-3</v>
      </c>
      <c r="E54" s="35">
        <v>-6.3808625541550397E-3</v>
      </c>
      <c r="F54" s="35">
        <v>3.5526699162164999E-2</v>
      </c>
      <c r="G54" s="35">
        <v>3.5526699162164999E-2</v>
      </c>
      <c r="H54" s="35">
        <v>-6.4013072739906836E-3</v>
      </c>
    </row>
    <row r="55" spans="2:8" x14ac:dyDescent="0.35">
      <c r="B55" s="6">
        <v>45002</v>
      </c>
      <c r="C55" s="7" t="s">
        <v>35</v>
      </c>
      <c r="D55" s="35">
        <v>1.88464594479727E-2</v>
      </c>
      <c r="E55" s="35">
        <v>1.88464594479727E-2</v>
      </c>
      <c r="F55" s="35">
        <v>5.5042711105217856E-2</v>
      </c>
      <c r="G55" s="35">
        <v>5.5042711105217856E-2</v>
      </c>
      <c r="H55" s="35">
        <v>1.8671065211386381E-2</v>
      </c>
    </row>
    <row r="56" spans="2:8" x14ac:dyDescent="0.35">
      <c r="B56" s="6">
        <v>45005</v>
      </c>
      <c r="C56" s="7" t="s">
        <v>35</v>
      </c>
      <c r="D56" s="35">
        <v>-7.8883574711730003E-3</v>
      </c>
      <c r="E56" s="35">
        <v>-7.8883574711730003E-3</v>
      </c>
      <c r="F56" s="35">
        <v>4.6720157052664302E-2</v>
      </c>
      <c r="G56" s="35">
        <v>4.6720157052664302E-2</v>
      </c>
      <c r="H56" s="35">
        <v>-7.9196351579367344E-3</v>
      </c>
    </row>
    <row r="57" spans="2:8" x14ac:dyDescent="0.35">
      <c r="B57" s="6">
        <v>45006</v>
      </c>
      <c r="C57" s="7" t="s">
        <v>35</v>
      </c>
      <c r="D57" s="35">
        <v>1.6833507029681401E-2</v>
      </c>
      <c r="E57" s="35">
        <v>1.6833507029681401E-2</v>
      </c>
      <c r="F57" s="35">
        <v>6.4340128174519506E-2</v>
      </c>
      <c r="G57" s="35">
        <v>6.4340128174519506E-2</v>
      </c>
      <c r="H57" s="35">
        <v>1.6693393762509379E-2</v>
      </c>
    </row>
    <row r="58" spans="2:8" x14ac:dyDescent="0.35">
      <c r="B58" s="6">
        <v>45007</v>
      </c>
      <c r="C58" s="7" t="s">
        <v>35</v>
      </c>
      <c r="D58" s="35">
        <v>3.46907486856649E-2</v>
      </c>
      <c r="E58" s="35">
        <v>3.46907486856649E-2</v>
      </c>
      <c r="F58" s="35">
        <v>0.10126288407709017</v>
      </c>
      <c r="G58" s="35">
        <v>0.10126288407709017</v>
      </c>
      <c r="H58" s="35">
        <v>3.4102588529228268E-2</v>
      </c>
    </row>
    <row r="59" spans="2:8" x14ac:dyDescent="0.35">
      <c r="B59" s="6">
        <v>45008</v>
      </c>
      <c r="C59" s="7" t="s">
        <v>35</v>
      </c>
      <c r="D59" s="35">
        <v>-3.7361525817667402E-3</v>
      </c>
      <c r="E59" s="35">
        <v>-3.7361525817667402E-3</v>
      </c>
      <c r="F59" s="35">
        <v>9.7148397909541551E-2</v>
      </c>
      <c r="G59" s="35">
        <v>9.7148397909541551E-2</v>
      </c>
      <c r="H59" s="35">
        <v>-3.7431494327960502E-3</v>
      </c>
    </row>
    <row r="60" spans="2:8" x14ac:dyDescent="0.35">
      <c r="B60" s="6">
        <v>45009</v>
      </c>
      <c r="C60" s="7" t="s">
        <v>35</v>
      </c>
      <c r="D60" s="35">
        <v>-5.07604729534172E-3</v>
      </c>
      <c r="E60" s="35">
        <v>-5.07604729534172E-3</v>
      </c>
      <c r="F60" s="35">
        <v>9.1579220751744295E-2</v>
      </c>
      <c r="G60" s="35">
        <v>9.1579220751744295E-2</v>
      </c>
      <c r="H60" s="35">
        <v>-5.0889741869774513E-3</v>
      </c>
    </row>
    <row r="61" spans="2:8" x14ac:dyDescent="0.35">
      <c r="B61" s="6">
        <v>45012</v>
      </c>
      <c r="C61" s="7" t="s">
        <v>35</v>
      </c>
      <c r="D61" s="35">
        <v>-1.1601395656612799E-2</v>
      </c>
      <c r="E61" s="35">
        <v>-1.1601395656612799E-2</v>
      </c>
      <c r="F61" s="35">
        <v>7.8915378321266161E-2</v>
      </c>
      <c r="G61" s="35">
        <v>7.8915378321266161E-2</v>
      </c>
      <c r="H61" s="35">
        <v>-1.1669216904912051E-2</v>
      </c>
    </row>
    <row r="62" spans="2:8" x14ac:dyDescent="0.35">
      <c r="B62" s="6">
        <v>45013</v>
      </c>
      <c r="C62" s="7" t="s">
        <v>35</v>
      </c>
      <c r="D62" s="35">
        <v>3.5649730893077001E-3</v>
      </c>
      <c r="E62" s="35">
        <v>3.5649730893077001E-3</v>
      </c>
      <c r="F62" s="35">
        <v>8.2761682610621667E-2</v>
      </c>
      <c r="G62" s="35">
        <v>8.2761682610621667E-2</v>
      </c>
      <c r="H62" s="35">
        <v>3.5586336349325929E-3</v>
      </c>
    </row>
    <row r="63" spans="2:8" x14ac:dyDescent="0.35">
      <c r="B63" s="6">
        <v>45014</v>
      </c>
      <c r="C63" s="7" t="s">
        <v>35</v>
      </c>
      <c r="D63" s="35">
        <v>-2.6243108123899399E-2</v>
      </c>
      <c r="E63" s="35">
        <v>-2.6243108123899399E-2</v>
      </c>
      <c r="F63" s="35">
        <v>5.4346650701455834E-2</v>
      </c>
      <c r="G63" s="35">
        <v>5.4346650701455834E-2</v>
      </c>
      <c r="H63" s="35">
        <v>-2.6593604157423945E-2</v>
      </c>
    </row>
    <row r="64" spans="2:8" x14ac:dyDescent="0.35">
      <c r="B64" s="6">
        <v>45015</v>
      </c>
      <c r="C64" s="7" t="s">
        <v>35</v>
      </c>
      <c r="D64" s="35">
        <v>1.5750806060568199E-2</v>
      </c>
      <c r="E64" s="35">
        <v>1.5750806060568199E-2</v>
      </c>
      <c r="F64" s="35">
        <v>7.0953460317264128E-2</v>
      </c>
      <c r="G64" s="35">
        <v>7.0953460317264128E-2</v>
      </c>
      <c r="H64" s="35">
        <v>1.5628049447351446E-2</v>
      </c>
    </row>
    <row r="65" spans="2:8" x14ac:dyDescent="0.35">
      <c r="B65" s="6">
        <v>45016</v>
      </c>
      <c r="C65" s="7" t="s">
        <v>35</v>
      </c>
      <c r="D65" s="35">
        <v>-1.8677243630768899E-2</v>
      </c>
      <c r="E65" s="35">
        <v>-1.8677243630768899E-2</v>
      </c>
      <c r="F65" s="35">
        <v>5.0951001621703629E-2</v>
      </c>
      <c r="G65" s="35">
        <v>5.0951001621703629E-2</v>
      </c>
      <c r="H65" s="35">
        <v>-1.8853866015918857E-2</v>
      </c>
    </row>
    <row r="66" spans="2:8" x14ac:dyDescent="0.35">
      <c r="B66" s="6">
        <v>45019</v>
      </c>
      <c r="C66" s="7" t="s">
        <v>35</v>
      </c>
      <c r="D66" s="35">
        <v>-6.45833018724407E-3</v>
      </c>
      <c r="E66" s="35">
        <v>-6.45833018724407E-3</v>
      </c>
      <c r="F66" s="35">
        <v>4.4163613042615735E-2</v>
      </c>
      <c r="G66" s="35">
        <v>4.4163613042615735E-2</v>
      </c>
      <c r="H66" s="35">
        <v>-6.4792754312181181E-3</v>
      </c>
    </row>
    <row r="67" spans="2:8" x14ac:dyDescent="0.35">
      <c r="B67" s="6">
        <v>45020</v>
      </c>
      <c r="C67" s="7" t="s">
        <v>35</v>
      </c>
      <c r="D67" s="35">
        <v>2.2970318941577101E-2</v>
      </c>
      <c r="E67" s="35">
        <v>2.2970318941577101E-2</v>
      </c>
      <c r="F67" s="35">
        <v>6.8148384261394135E-2</v>
      </c>
      <c r="G67" s="35">
        <v>6.8148384261394135E-2</v>
      </c>
      <c r="H67" s="35">
        <v>2.2710472806233773E-2</v>
      </c>
    </row>
    <row r="68" spans="2:8" x14ac:dyDescent="0.35">
      <c r="B68" s="6">
        <v>45021</v>
      </c>
      <c r="C68" s="7" t="s">
        <v>35</v>
      </c>
      <c r="D68" s="35">
        <v>3.5487981039659098E-3</v>
      </c>
      <c r="E68" s="35">
        <v>3.5487981039659098E-3</v>
      </c>
      <c r="F68" s="35">
        <v>7.1939027222215124E-2</v>
      </c>
      <c r="G68" s="35">
        <v>7.1939027222215124E-2</v>
      </c>
      <c r="H68" s="35">
        <v>3.5425159782513553E-3</v>
      </c>
    </row>
    <row r="69" spans="2:8" x14ac:dyDescent="0.35">
      <c r="B69" s="6">
        <v>45022</v>
      </c>
      <c r="C69" s="7" t="s">
        <v>35</v>
      </c>
      <c r="D69" s="35">
        <v>-1.9281265580592701E-2</v>
      </c>
      <c r="E69" s="35">
        <v>-1.9281265580592701E-2</v>
      </c>
      <c r="F69" s="35">
        <v>5.1270686152141476E-2</v>
      </c>
      <c r="G69" s="35">
        <v>5.1270686152141476E-2</v>
      </c>
      <c r="H69" s="35">
        <v>-1.9469573656905444E-2</v>
      </c>
    </row>
    <row r="70" spans="2:8" x14ac:dyDescent="0.35">
      <c r="B70" s="6">
        <v>45026</v>
      </c>
      <c r="C70" s="7" t="s">
        <v>35</v>
      </c>
      <c r="D70" s="35">
        <v>5.9596518778972651E-3</v>
      </c>
      <c r="E70" s="35">
        <v>5.9596518778972651E-3</v>
      </c>
      <c r="F70" s="35">
        <v>5.7535893471046373E-2</v>
      </c>
      <c r="G70" s="35">
        <v>5.7535893471046373E-2</v>
      </c>
      <c r="H70" s="35">
        <v>5.9419633959817931E-3</v>
      </c>
    </row>
    <row r="71" spans="2:8" x14ac:dyDescent="0.35">
      <c r="B71" s="6">
        <v>45027</v>
      </c>
      <c r="C71" s="7" t="s">
        <v>35</v>
      </c>
      <c r="D71" s="35">
        <v>-1.3620292760084401E-2</v>
      </c>
      <c r="E71" s="35">
        <v>-1.3620292760084401E-2</v>
      </c>
      <c r="F71" s="35">
        <v>4.3131944997673255E-2</v>
      </c>
      <c r="G71" s="35">
        <v>4.3131944997673255E-2</v>
      </c>
      <c r="H71" s="35">
        <v>-1.3713899890340003E-2</v>
      </c>
    </row>
    <row r="72" spans="2:8" x14ac:dyDescent="0.35">
      <c r="B72" s="6">
        <v>45028</v>
      </c>
      <c r="C72" s="7" t="s">
        <v>35</v>
      </c>
      <c r="D72" s="35">
        <v>1.19214151838403E-2</v>
      </c>
      <c r="E72" s="35">
        <v>1.19214151838403E-2</v>
      </c>
      <c r="F72" s="35">
        <v>5.5567554005517383E-2</v>
      </c>
      <c r="G72" s="35">
        <v>5.5567554005517383E-2</v>
      </c>
      <c r="H72" s="35">
        <v>1.1850914869730035E-2</v>
      </c>
    </row>
    <row r="73" spans="2:8" x14ac:dyDescent="0.35">
      <c r="B73" s="6">
        <v>45029</v>
      </c>
      <c r="C73" s="7" t="s">
        <v>35</v>
      </c>
      <c r="D73" s="35">
        <v>-3.5701335242380297E-2</v>
      </c>
      <c r="E73" s="35">
        <v>-3.5701335242380297E-2</v>
      </c>
      <c r="F73" s="35">
        <v>1.7882382888987136E-2</v>
      </c>
      <c r="G73" s="35">
        <v>1.7882382888987136E-2</v>
      </c>
      <c r="H73" s="35">
        <v>-3.6354214142045052E-2</v>
      </c>
    </row>
    <row r="74" spans="2:8" x14ac:dyDescent="0.35">
      <c r="B74" s="6">
        <v>45030</v>
      </c>
      <c r="C74" s="7" t="s">
        <v>35</v>
      </c>
      <c r="D74" s="35">
        <v>1.6281011712913102E-2</v>
      </c>
      <c r="E74" s="35">
        <v>1.6281011712913102E-2</v>
      </c>
      <c r="F74" s="35">
        <v>3.4454537887170567E-2</v>
      </c>
      <c r="G74" s="35">
        <v>3.4454537887170567E-2</v>
      </c>
      <c r="H74" s="35">
        <v>1.6149897244949578E-2</v>
      </c>
    </row>
    <row r="75" spans="2:8" x14ac:dyDescent="0.35">
      <c r="B75" s="6">
        <v>45033</v>
      </c>
      <c r="C75" s="7" t="s">
        <v>35</v>
      </c>
      <c r="D75" s="35">
        <v>-2.9711190615205899E-2</v>
      </c>
      <c r="E75" s="35">
        <v>-2.9711190615205899E-2</v>
      </c>
      <c r="F75" s="35">
        <v>3.7196619292401145E-3</v>
      </c>
      <c r="G75" s="35">
        <v>3.7196619292401145E-3</v>
      </c>
      <c r="H75" s="35">
        <v>-3.016151016714412E-2</v>
      </c>
    </row>
    <row r="76" spans="2:8" x14ac:dyDescent="0.35">
      <c r="B76" s="6">
        <v>45034</v>
      </c>
      <c r="C76" s="7" t="s">
        <v>35</v>
      </c>
      <c r="D76" s="35">
        <v>1.0698983478651899E-3</v>
      </c>
      <c r="E76" s="35">
        <v>1.0698983478651899E-3</v>
      </c>
      <c r="F76" s="35">
        <v>4.7935399372580623E-3</v>
      </c>
      <c r="G76" s="35">
        <v>4.7935399372580623E-3</v>
      </c>
      <c r="H76" s="35">
        <v>1.0693264145318143E-3</v>
      </c>
    </row>
    <row r="77" spans="2:8" x14ac:dyDescent="0.35">
      <c r="B77" s="6">
        <v>45035</v>
      </c>
      <c r="C77" s="7" t="s">
        <v>35</v>
      </c>
      <c r="D77" s="35">
        <v>-1.00725525277658E-2</v>
      </c>
      <c r="E77" s="35">
        <v>-1.00725525277658E-2</v>
      </c>
      <c r="F77" s="35">
        <v>-5.3272957733198067E-3</v>
      </c>
      <c r="G77" s="35">
        <v>-5.3272957733198067E-3</v>
      </c>
      <c r="H77" s="35">
        <v>-1.0123623920587884E-2</v>
      </c>
    </row>
    <row r="78" spans="2:8" x14ac:dyDescent="0.35">
      <c r="B78" s="6">
        <v>45036</v>
      </c>
      <c r="C78" s="7" t="s">
        <v>35</v>
      </c>
      <c r="D78" s="35">
        <v>1.08402790596176E-2</v>
      </c>
      <c r="E78" s="35">
        <v>1.08402790596176E-2</v>
      </c>
      <c r="F78" s="35">
        <v>5.455233913481905E-3</v>
      </c>
      <c r="G78" s="35">
        <v>5.455233913481905E-3</v>
      </c>
      <c r="H78" s="35">
        <v>1.0781944431689366E-2</v>
      </c>
    </row>
    <row r="79" spans="2:8" x14ac:dyDescent="0.35">
      <c r="B79" s="6">
        <v>45037</v>
      </c>
      <c r="C79" s="7" t="s">
        <v>35</v>
      </c>
      <c r="D79" s="35">
        <v>-1.45833600373155E-2</v>
      </c>
      <c r="E79" s="35">
        <v>-1.45833600373155E-2</v>
      </c>
      <c r="F79" s="35">
        <v>-9.2076817640817099E-3</v>
      </c>
      <c r="G79" s="35">
        <v>-9.2076817640817099E-3</v>
      </c>
      <c r="H79" s="35">
        <v>-1.4690742509182562E-2</v>
      </c>
    </row>
    <row r="80" spans="2:8" x14ac:dyDescent="0.35">
      <c r="B80" s="6">
        <v>45040</v>
      </c>
      <c r="C80" s="7" t="s">
        <v>35</v>
      </c>
      <c r="D80" s="35">
        <v>8.2012887820057702E-3</v>
      </c>
      <c r="E80" s="35">
        <v>8.2012887820057702E-3</v>
      </c>
      <c r="F80" s="35">
        <v>-1.0819078392360071E-3</v>
      </c>
      <c r="G80" s="35">
        <v>-1.0819078392360071E-3</v>
      </c>
      <c r="H80" s="35">
        <v>8.1678409655225985E-3</v>
      </c>
    </row>
    <row r="81" spans="2:8" x14ac:dyDescent="0.35">
      <c r="B81" s="6">
        <v>45041</v>
      </c>
      <c r="C81" s="7" t="s">
        <v>35</v>
      </c>
      <c r="D81" s="35">
        <v>1.5692513212232799E-2</v>
      </c>
      <c r="E81" s="35">
        <v>1.5692513212232799E-2</v>
      </c>
      <c r="F81" s="35">
        <v>1.4593627519935204E-2</v>
      </c>
      <c r="G81" s="35">
        <v>1.4593627519935204E-2</v>
      </c>
      <c r="H81" s="35">
        <v>1.5570658874059605E-2</v>
      </c>
    </row>
    <row r="82" spans="2:8" x14ac:dyDescent="0.35">
      <c r="B82" s="6">
        <v>45042</v>
      </c>
      <c r="C82" s="7" t="s">
        <v>35</v>
      </c>
      <c r="D82" s="35">
        <v>7.5193113166724902E-3</v>
      </c>
      <c r="E82" s="35">
        <v>7.5193113166724902E-3</v>
      </c>
      <c r="F82" s="35">
        <v>2.2222672865169546E-2</v>
      </c>
      <c r="G82" s="35">
        <v>2.2222672865169546E-2</v>
      </c>
      <c r="H82" s="35">
        <v>7.491182214978364E-3</v>
      </c>
    </row>
    <row r="83" spans="2:8" x14ac:dyDescent="0.35">
      <c r="B83" s="6">
        <v>45043</v>
      </c>
      <c r="C83" s="7" t="s">
        <v>35</v>
      </c>
      <c r="D83" s="35">
        <v>2.9202212995596E-3</v>
      </c>
      <c r="E83" s="35">
        <v>2.9202212995596E-3</v>
      </c>
      <c r="F83" s="35">
        <v>2.5207789287363225E-2</v>
      </c>
      <c r="G83" s="35">
        <v>2.5207789287363225E-2</v>
      </c>
      <c r="H83" s="35">
        <v>2.9159657361187488E-3</v>
      </c>
    </row>
    <row r="84" spans="2:8" x14ac:dyDescent="0.35">
      <c r="B84" s="6">
        <v>45044</v>
      </c>
      <c r="C84" s="7" t="s">
        <v>35</v>
      </c>
      <c r="D84" s="35">
        <v>-1.34080118755444E-2</v>
      </c>
      <c r="E84" s="35">
        <v>-1.34080118755444E-2</v>
      </c>
      <c r="F84" s="35">
        <v>1.1461791073697603E-2</v>
      </c>
      <c r="G84" s="35">
        <v>1.1461791073697603E-2</v>
      </c>
      <c r="H84" s="35">
        <v>-1.3498710908300493E-2</v>
      </c>
    </row>
    <row r="85" spans="2:8" x14ac:dyDescent="0.35">
      <c r="B85" s="6">
        <v>45047</v>
      </c>
      <c r="C85" s="7" t="s">
        <v>35</v>
      </c>
      <c r="D85" s="35">
        <v>-1.06084599758471E-2</v>
      </c>
      <c r="E85" s="35">
        <v>-1.06084599758471E-2</v>
      </c>
      <c r="F85" s="35">
        <v>7.317391459935596E-4</v>
      </c>
      <c r="G85" s="35">
        <v>7.317391459935596E-4</v>
      </c>
      <c r="H85" s="35">
        <v>-1.0665130837423448E-2</v>
      </c>
    </row>
    <row r="86" spans="2:8" x14ac:dyDescent="0.35">
      <c r="B86" s="6">
        <v>45048</v>
      </c>
      <c r="C86" s="7" t="s">
        <v>35</v>
      </c>
      <c r="D86" s="35">
        <v>2.2219342152701001E-2</v>
      </c>
      <c r="E86" s="35">
        <v>2.2219342152701001E-2</v>
      </c>
      <c r="F86" s="35">
        <v>2.2967340061145869E-2</v>
      </c>
      <c r="G86" s="35">
        <v>2.2967340061145869E-2</v>
      </c>
      <c r="H86" s="35">
        <v>2.1976089255492007E-2</v>
      </c>
    </row>
    <row r="87" spans="2:8" x14ac:dyDescent="0.35">
      <c r="B87" s="6">
        <v>45049</v>
      </c>
      <c r="C87" s="7" t="s">
        <v>35</v>
      </c>
      <c r="D87" s="35">
        <v>-2.2107729120932E-2</v>
      </c>
      <c r="E87" s="35">
        <v>-2.2107729120932E-2</v>
      </c>
      <c r="F87" s="35">
        <v>3.5185520751368493E-4</v>
      </c>
      <c r="G87" s="35">
        <v>3.5185520751368493E-4</v>
      </c>
      <c r="H87" s="35">
        <v>-2.235576748993973E-2</v>
      </c>
    </row>
    <row r="88" spans="2:8" x14ac:dyDescent="0.35">
      <c r="B88" s="6">
        <v>45050</v>
      </c>
      <c r="C88" s="7" t="s">
        <v>35</v>
      </c>
      <c r="D88" s="35">
        <v>-1.62664127564938E-4</v>
      </c>
      <c r="E88" s="35">
        <v>-1.62664127564938E-4</v>
      </c>
      <c r="F88" s="35">
        <v>1.8913384572849523E-4</v>
      </c>
      <c r="G88" s="35">
        <v>1.8913384572849523E-4</v>
      </c>
      <c r="H88" s="35">
        <v>-1.6267735880898785E-4</v>
      </c>
    </row>
    <row r="89" spans="2:8" x14ac:dyDescent="0.35">
      <c r="B89" s="6">
        <v>45051</v>
      </c>
      <c r="C89" s="7" t="s">
        <v>35</v>
      </c>
      <c r="D89" s="35">
        <v>-1.8050148321381999E-2</v>
      </c>
      <c r="E89" s="35">
        <v>-1.8050148321381999E-2</v>
      </c>
      <c r="F89" s="35">
        <v>-1.7864428369621432E-2</v>
      </c>
      <c r="G89" s="35">
        <v>-1.7864428369621432E-2</v>
      </c>
      <c r="H89" s="35">
        <v>-1.8215039468711072E-2</v>
      </c>
    </row>
    <row r="90" spans="2:8" x14ac:dyDescent="0.35">
      <c r="B90" s="6">
        <v>45054</v>
      </c>
      <c r="C90" s="7" t="s">
        <v>35</v>
      </c>
      <c r="D90" s="35">
        <v>4.4851208719687303E-3</v>
      </c>
      <c r="E90" s="35">
        <v>4.4851208719687303E-3</v>
      </c>
      <c r="F90" s="35">
        <v>-1.3459431618199069E-2</v>
      </c>
      <c r="G90" s="35">
        <v>-1.3459431618199069E-2</v>
      </c>
      <c r="H90" s="35">
        <v>4.4750926912386201E-3</v>
      </c>
    </row>
    <row r="91" spans="2:8" x14ac:dyDescent="0.35">
      <c r="B91" s="6">
        <v>45055</v>
      </c>
      <c r="C91" s="7" t="s">
        <v>35</v>
      </c>
      <c r="D91" s="35">
        <v>-7.7371469522202804E-3</v>
      </c>
      <c r="E91" s="35">
        <v>-7.7371469522202804E-3</v>
      </c>
      <c r="F91" s="35">
        <v>-2.1092440970095994E-2</v>
      </c>
      <c r="G91" s="35">
        <v>-2.1092440970095994E-2</v>
      </c>
      <c r="H91" s="35">
        <v>-7.7672339659415118E-3</v>
      </c>
    </row>
    <row r="92" spans="2:8" x14ac:dyDescent="0.35">
      <c r="B92" s="6">
        <v>45056</v>
      </c>
      <c r="C92" s="7" t="s">
        <v>35</v>
      </c>
      <c r="D92" s="35">
        <v>-2.2915153385465502E-3</v>
      </c>
      <c r="E92" s="35">
        <v>-2.2915153385465502E-3</v>
      </c>
      <c r="F92" s="35">
        <v>-2.3335622656632138E-2</v>
      </c>
      <c r="G92" s="35">
        <v>-2.3335622656632138E-2</v>
      </c>
      <c r="H92" s="35">
        <v>-2.2941448776741457E-3</v>
      </c>
    </row>
    <row r="93" spans="2:8" x14ac:dyDescent="0.35">
      <c r="B93" s="6">
        <v>45057</v>
      </c>
      <c r="C93" s="7" t="s">
        <v>35</v>
      </c>
      <c r="D93" s="35">
        <v>1.4343997727667999E-2</v>
      </c>
      <c r="E93" s="35">
        <v>1.4343997727667999E-2</v>
      </c>
      <c r="F93" s="35">
        <v>-9.3263510473245992E-3</v>
      </c>
      <c r="G93" s="35">
        <v>-9.3263510473245992E-3</v>
      </c>
      <c r="H93" s="35">
        <v>1.4242095889452544E-2</v>
      </c>
    </row>
    <row r="94" spans="2:8" x14ac:dyDescent="0.35">
      <c r="B94" s="6">
        <v>45058</v>
      </c>
      <c r="C94" s="7" t="s">
        <v>35</v>
      </c>
      <c r="D94" s="35">
        <v>3.2499731071449199E-3</v>
      </c>
      <c r="E94" s="35">
        <v>3.2499731071449199E-3</v>
      </c>
      <c r="F94" s="35">
        <v>-6.1066883302712816E-3</v>
      </c>
      <c r="G94" s="35">
        <v>-6.1066883302712816E-3</v>
      </c>
      <c r="H94" s="35">
        <v>3.2447033591522594E-3</v>
      </c>
    </row>
    <row r="95" spans="2:8" x14ac:dyDescent="0.35">
      <c r="B95" s="6">
        <v>45061</v>
      </c>
      <c r="C95" s="7" t="s">
        <v>35</v>
      </c>
      <c r="D95" s="35">
        <v>-1.9118198254363301E-2</v>
      </c>
      <c r="E95" s="35">
        <v>-1.9118198254363301E-2</v>
      </c>
      <c r="F95" s="35">
        <v>-2.5108137706458922E-2</v>
      </c>
      <c r="G95" s="35">
        <v>-2.5108137706458922E-2</v>
      </c>
      <c r="H95" s="35">
        <v>-1.9303314193167918E-2</v>
      </c>
    </row>
    <row r="96" spans="2:8" x14ac:dyDescent="0.35">
      <c r="B96" s="6">
        <v>45062</v>
      </c>
      <c r="C96" s="7" t="s">
        <v>35</v>
      </c>
      <c r="D96" s="35">
        <v>2.0444387710639899E-2</v>
      </c>
      <c r="E96" s="35">
        <v>2.0444387710639899E-2</v>
      </c>
      <c r="F96" s="35">
        <v>-5.1770704977819326E-3</v>
      </c>
      <c r="G96" s="35">
        <v>-5.1770704977819326E-3</v>
      </c>
      <c r="H96" s="35">
        <v>2.0238206643838054E-2</v>
      </c>
    </row>
    <row r="97" spans="2:8" x14ac:dyDescent="0.35">
      <c r="B97" s="6">
        <v>45063</v>
      </c>
      <c r="C97" s="7" t="s">
        <v>35</v>
      </c>
      <c r="D97" s="35">
        <v>-1.24274507154742E-2</v>
      </c>
      <c r="E97" s="35">
        <v>-1.24274507154742E-2</v>
      </c>
      <c r="F97" s="35">
        <v>-1.7540183424794464E-2</v>
      </c>
      <c r="G97" s="35">
        <v>-1.7540183424794464E-2</v>
      </c>
      <c r="H97" s="35">
        <v>-1.2505317275574765E-2</v>
      </c>
    </row>
    <row r="98" spans="2:8" x14ac:dyDescent="0.35">
      <c r="B98" s="6">
        <v>45064</v>
      </c>
      <c r="C98" s="7" t="s">
        <v>35</v>
      </c>
      <c r="D98" s="35">
        <v>7.2958131041702696E-3</v>
      </c>
      <c r="E98" s="35">
        <v>7.2958131041702696E-3</v>
      </c>
      <c r="F98" s="35">
        <v>-1.0372340220704324E-2</v>
      </c>
      <c r="G98" s="35">
        <v>-1.0372340220704324E-2</v>
      </c>
      <c r="H98" s="35">
        <v>7.2693274048670114E-3</v>
      </c>
    </row>
    <row r="99" spans="2:8" x14ac:dyDescent="0.35">
      <c r="B99" s="6">
        <v>45065</v>
      </c>
      <c r="C99" s="7" t="s">
        <v>35</v>
      </c>
      <c r="D99" s="35">
        <v>-6.9179217012391696E-3</v>
      </c>
      <c r="E99" s="35">
        <v>-6.9179217012391696E-3</v>
      </c>
      <c r="F99" s="35">
        <v>-1.7218506884438045E-2</v>
      </c>
      <c r="G99" s="35">
        <v>-1.7218506884438045E-2</v>
      </c>
      <c r="H99" s="35">
        <v>-6.9419614558174341E-3</v>
      </c>
    </row>
    <row r="100" spans="2:8" x14ac:dyDescent="0.35">
      <c r="B100" s="6">
        <v>45068</v>
      </c>
      <c r="C100" s="7" t="s">
        <v>35</v>
      </c>
      <c r="D100" s="35">
        <v>-2.2011194344367699E-2</v>
      </c>
      <c r="E100" s="35">
        <v>-2.2011194344367699E-2</v>
      </c>
      <c r="F100" s="35">
        <v>-3.8850701327452608E-2</v>
      </c>
      <c r="G100" s="35">
        <v>-3.8850701327452608E-2</v>
      </c>
      <c r="H100" s="35">
        <v>-2.2257055172712693E-2</v>
      </c>
    </row>
    <row r="101" spans="2:8" x14ac:dyDescent="0.35">
      <c r="B101" s="6">
        <v>45069</v>
      </c>
      <c r="C101" s="7" t="s">
        <v>35</v>
      </c>
      <c r="D101" s="35">
        <v>2.3845287932360302E-3</v>
      </c>
      <c r="E101" s="35">
        <v>2.3845287932360302E-3</v>
      </c>
      <c r="F101" s="35">
        <v>-3.6558813150169289E-2</v>
      </c>
      <c r="G101" s="35">
        <v>-3.6558813150169289E-2</v>
      </c>
      <c r="H101" s="35">
        <v>2.3816903158450208E-3</v>
      </c>
    </row>
    <row r="102" spans="2:8" x14ac:dyDescent="0.35">
      <c r="B102" s="6">
        <v>45070</v>
      </c>
      <c r="C102" s="7" t="s">
        <v>35</v>
      </c>
      <c r="D102" s="35">
        <v>1.8499999767194599E-2</v>
      </c>
      <c r="E102" s="35">
        <v>1.8499999767194599E-2</v>
      </c>
      <c r="F102" s="35">
        <v>-1.8735151417741736E-2</v>
      </c>
      <c r="G102" s="35">
        <v>-1.8735151417741736E-2</v>
      </c>
      <c r="H102" s="35">
        <v>1.8330956456146755E-2</v>
      </c>
    </row>
    <row r="103" spans="2:8" x14ac:dyDescent="0.35">
      <c r="B103" s="6">
        <v>45071</v>
      </c>
      <c r="C103" s="7" t="s">
        <v>35</v>
      </c>
      <c r="D103" s="35">
        <v>2.6288619869038E-2</v>
      </c>
      <c r="E103" s="35">
        <v>2.6288619869038E-2</v>
      </c>
      <c r="F103" s="35">
        <v>7.0609471774862875E-3</v>
      </c>
      <c r="G103" s="35">
        <v>7.0609471774862875E-3</v>
      </c>
      <c r="H103" s="35">
        <v>2.5949013104729128E-2</v>
      </c>
    </row>
    <row r="104" spans="2:8" x14ac:dyDescent="0.35">
      <c r="B104" s="6">
        <v>45072</v>
      </c>
      <c r="C104" s="7" t="s">
        <v>35</v>
      </c>
      <c r="D104" s="35">
        <v>-1.1257031466175699E-2</v>
      </c>
      <c r="E104" s="35">
        <v>-1.1257031466175699E-2</v>
      </c>
      <c r="F104" s="35">
        <v>-4.2755695932473747E-3</v>
      </c>
      <c r="G104" s="35">
        <v>-4.2755695932473747E-3</v>
      </c>
      <c r="H104" s="35">
        <v>-1.1320871395775711E-2</v>
      </c>
    </row>
    <row r="105" spans="2:8" x14ac:dyDescent="0.35">
      <c r="B105" s="6">
        <v>45076</v>
      </c>
      <c r="C105" s="7" t="s">
        <v>35</v>
      </c>
      <c r="D105" s="35">
        <v>1.3523570345788549E-2</v>
      </c>
      <c r="E105" s="35">
        <v>1.3523570345788549E-2</v>
      </c>
      <c r="F105" s="35">
        <v>9.1901797863784829E-3</v>
      </c>
      <c r="G105" s="35">
        <v>9.1901797863784829E-3</v>
      </c>
      <c r="H105" s="35">
        <v>1.3432943024088652E-2</v>
      </c>
    </row>
    <row r="106" spans="2:8" x14ac:dyDescent="0.35">
      <c r="B106" s="6">
        <v>45077</v>
      </c>
      <c r="C106" s="7" t="s">
        <v>35</v>
      </c>
      <c r="D106" s="35">
        <v>-4.1873566256565003E-3</v>
      </c>
      <c r="E106" s="35">
        <v>-4.1873566256565003E-3</v>
      </c>
      <c r="F106" s="35">
        <v>4.9643406005024371E-3</v>
      </c>
      <c r="G106" s="35">
        <v>4.9643406005024371E-3</v>
      </c>
      <c r="H106" s="35">
        <v>-4.1961481541715829E-3</v>
      </c>
    </row>
    <row r="107" spans="2:8" x14ac:dyDescent="0.35">
      <c r="B107" s="6">
        <v>45078</v>
      </c>
      <c r="C107" s="7" t="s">
        <v>35</v>
      </c>
      <c r="D107" s="35">
        <v>-1.53510109394257E-2</v>
      </c>
      <c r="E107" s="35">
        <v>-1.53510109394257E-2</v>
      </c>
      <c r="F107" s="35">
        <v>-1.0462877985788599E-2</v>
      </c>
      <c r="G107" s="35">
        <v>-1.0462877985788599E-2</v>
      </c>
      <c r="H107" s="35">
        <v>-1.5470057603718116E-2</v>
      </c>
    </row>
    <row r="108" spans="2:8" x14ac:dyDescent="0.35">
      <c r="B108" s="6">
        <v>45079</v>
      </c>
      <c r="C108" s="7" t="s">
        <v>35</v>
      </c>
      <c r="D108" s="35">
        <v>-2.5077418880951899E-2</v>
      </c>
      <c r="E108" s="35">
        <v>-2.5077418880951899E-2</v>
      </c>
      <c r="F108" s="35">
        <v>-3.5277914892790641E-2</v>
      </c>
      <c r="G108" s="35">
        <v>-3.5277914892790641E-2</v>
      </c>
      <c r="H108" s="35">
        <v>-2.5397215117416352E-2</v>
      </c>
    </row>
    <row r="109" spans="2:8" x14ac:dyDescent="0.35">
      <c r="B109" s="6">
        <v>45082</v>
      </c>
      <c r="C109" s="7" t="s">
        <v>35</v>
      </c>
      <c r="D109" s="35">
        <v>-1.89298458260678E-3</v>
      </c>
      <c r="E109" s="35">
        <v>-1.89298458260678E-3</v>
      </c>
      <c r="F109" s="35">
        <v>-3.7104118926398866E-2</v>
      </c>
      <c r="G109" s="35">
        <v>-3.7104118926398866E-2</v>
      </c>
      <c r="H109" s="35">
        <v>-1.8947785422378893E-3</v>
      </c>
    </row>
    <row r="110" spans="2:8" x14ac:dyDescent="0.35">
      <c r="B110" s="6">
        <v>45083</v>
      </c>
      <c r="C110" s="7" t="s">
        <v>35</v>
      </c>
      <c r="D110" s="35">
        <v>-1.80755259566967E-2</v>
      </c>
      <c r="E110" s="35">
        <v>-1.80755259566967E-2</v>
      </c>
      <c r="F110" s="35">
        <v>-5.4508968418341075E-2</v>
      </c>
      <c r="G110" s="35">
        <v>-5.4508968418341075E-2</v>
      </c>
      <c r="H110" s="35">
        <v>-1.8240883928291571E-2</v>
      </c>
    </row>
    <row r="111" spans="2:8" x14ac:dyDescent="0.35">
      <c r="B111" s="6">
        <v>45084</v>
      </c>
      <c r="C111" s="7" t="s">
        <v>35</v>
      </c>
      <c r="D111" s="35">
        <v>-7.1289618144736401E-3</v>
      </c>
      <c r="E111" s="35">
        <v>-7.1289618144736401E-3</v>
      </c>
      <c r="F111" s="35">
        <v>-6.1249337878414023E-2</v>
      </c>
      <c r="G111" s="35">
        <v>-6.1249337878414023E-2</v>
      </c>
      <c r="H111" s="35">
        <v>-7.1544942817710188E-3</v>
      </c>
    </row>
    <row r="112" spans="2:8" x14ac:dyDescent="0.35">
      <c r="B112" s="6">
        <v>45085</v>
      </c>
      <c r="C112" s="7" t="s">
        <v>35</v>
      </c>
      <c r="D112" s="35">
        <v>1.9582465536451799E-3</v>
      </c>
      <c r="E112" s="35">
        <v>1.9582465536451799E-3</v>
      </c>
      <c r="F112" s="35">
        <v>-5.941103262958225E-2</v>
      </c>
      <c r="G112" s="35">
        <v>-5.941103262958225E-2</v>
      </c>
      <c r="H112" s="35">
        <v>1.9563316883075307E-3</v>
      </c>
    </row>
    <row r="113" spans="2:8" x14ac:dyDescent="0.35">
      <c r="B113" s="6">
        <v>45086</v>
      </c>
      <c r="C113" s="7" t="s">
        <v>35</v>
      </c>
      <c r="D113" s="35">
        <v>4.4031127228818497E-3</v>
      </c>
      <c r="E113" s="35">
        <v>4.4031127228818497E-3</v>
      </c>
      <c r="F113" s="35">
        <v>-5.5269513380351243E-2</v>
      </c>
      <c r="G113" s="35">
        <v>-5.5269513380351243E-2</v>
      </c>
      <c r="H113" s="35">
        <v>4.3934473833902293E-3</v>
      </c>
    </row>
    <row r="114" spans="2:8" x14ac:dyDescent="0.35">
      <c r="B114" s="6">
        <v>45089</v>
      </c>
      <c r="C114" s="7" t="s">
        <v>35</v>
      </c>
      <c r="D114" s="35">
        <v>-1.01863094360095E-2</v>
      </c>
      <c r="E114" s="35">
        <v>-1.01863094360095E-2</v>
      </c>
      <c r="F114" s="35">
        <v>-6.489283045069083E-2</v>
      </c>
      <c r="G114" s="35">
        <v>-6.489283045069083E-2</v>
      </c>
      <c r="H114" s="35">
        <v>-1.0238544913219986E-2</v>
      </c>
    </row>
    <row r="115" spans="2:8" x14ac:dyDescent="0.35">
      <c r="B115" s="6">
        <v>45090</v>
      </c>
      <c r="C115" s="7" t="s">
        <v>35</v>
      </c>
      <c r="D115" s="35">
        <v>-1.8060426755821299E-2</v>
      </c>
      <c r="E115" s="35">
        <v>-1.8060426755821299E-2</v>
      </c>
      <c r="F115" s="35">
        <v>-8.1781264995179459E-2</v>
      </c>
      <c r="G115" s="35">
        <v>-8.1781264995179459E-2</v>
      </c>
      <c r="H115" s="35">
        <v>-1.8225506895551916E-2</v>
      </c>
    </row>
    <row r="116" spans="2:8" x14ac:dyDescent="0.35">
      <c r="B116" s="6">
        <v>45091</v>
      </c>
      <c r="C116" s="7" t="s">
        <v>35</v>
      </c>
      <c r="D116" s="35">
        <v>1.46141521507546E-2</v>
      </c>
      <c r="E116" s="35">
        <v>1.46141521507546E-2</v>
      </c>
      <c r="F116" s="35">
        <v>-6.8362276694145629E-2</v>
      </c>
      <c r="G116" s="35">
        <v>-6.8362276694145629E-2</v>
      </c>
      <c r="H116" s="35">
        <v>1.4508394555789473E-2</v>
      </c>
    </row>
    <row r="117" spans="2:8" x14ac:dyDescent="0.35">
      <c r="B117" s="6">
        <v>45092</v>
      </c>
      <c r="C117" s="7" t="s">
        <v>35</v>
      </c>
      <c r="D117" s="35">
        <v>-2.1590847158075E-3</v>
      </c>
      <c r="E117" s="35">
        <v>-2.1590847158075E-3</v>
      </c>
      <c r="F117" s="35">
        <v>-7.0373761463204954E-2</v>
      </c>
      <c r="G117" s="35">
        <v>-7.0373761463204954E-2</v>
      </c>
      <c r="H117" s="35">
        <v>-2.1614188996181166E-3</v>
      </c>
    </row>
    <row r="118" spans="2:8" x14ac:dyDescent="0.35">
      <c r="B118" s="6">
        <v>45093</v>
      </c>
      <c r="C118" s="7" t="s">
        <v>35</v>
      </c>
      <c r="D118" s="35">
        <v>9.6065799090414607E-3</v>
      </c>
      <c r="E118" s="35">
        <v>9.6065799090414607E-3</v>
      </c>
      <c r="F118" s="35">
        <v>-6.1443232717159568E-2</v>
      </c>
      <c r="G118" s="35">
        <v>-6.1443232717159568E-2</v>
      </c>
      <c r="H118" s="35">
        <v>9.5607301261268225E-3</v>
      </c>
    </row>
    <row r="119" spans="2:8" x14ac:dyDescent="0.35">
      <c r="B119" s="6">
        <v>45097</v>
      </c>
      <c r="C119" s="7" t="s">
        <v>35</v>
      </c>
      <c r="D119" s="35">
        <v>-2.2903331819268402E-3</v>
      </c>
      <c r="E119" s="35">
        <v>-2.2903331819268402E-3</v>
      </c>
      <c r="F119" s="35">
        <v>-6.3592840424389396E-2</v>
      </c>
      <c r="G119" s="35">
        <v>-6.3592840424389396E-2</v>
      </c>
      <c r="H119" s="35">
        <v>-2.2929600066045617E-3</v>
      </c>
    </row>
    <row r="120" spans="2:8" x14ac:dyDescent="0.35">
      <c r="B120" s="6">
        <v>45098</v>
      </c>
      <c r="C120" s="7" t="s">
        <v>35</v>
      </c>
      <c r="D120" s="35">
        <v>2.36544837364772E-3</v>
      </c>
      <c r="E120" s="35">
        <v>2.36544837364772E-3</v>
      </c>
      <c r="F120" s="35">
        <v>-6.1377817631699139E-2</v>
      </c>
      <c r="G120" s="35">
        <v>-6.1377817631699139E-2</v>
      </c>
      <c r="H120" s="35">
        <v>2.3626551046653662E-3</v>
      </c>
    </row>
    <row r="121" spans="2:8" x14ac:dyDescent="0.35">
      <c r="B121" s="6">
        <v>45099</v>
      </c>
      <c r="C121" s="7" t="s">
        <v>35</v>
      </c>
      <c r="D121" s="35">
        <v>7.8898062928785002E-3</v>
      </c>
      <c r="E121" s="35">
        <v>7.8898062928785002E-3</v>
      </c>
      <c r="F121" s="35">
        <v>-5.3972270430614366E-2</v>
      </c>
      <c r="G121" s="35">
        <v>-5.3972270430614366E-2</v>
      </c>
      <c r="H121" s="35">
        <v>7.8588445195122755E-3</v>
      </c>
    </row>
    <row r="122" spans="2:8" x14ac:dyDescent="0.35">
      <c r="B122" s="6">
        <v>45100</v>
      </c>
      <c r="C122" s="7" t="s">
        <v>35</v>
      </c>
      <c r="D122" s="35">
        <v>2.1183061975489401E-2</v>
      </c>
      <c r="E122" s="35">
        <v>2.1183061975489401E-2</v>
      </c>
      <c r="F122" s="35">
        <v>-3.3932506404614537E-2</v>
      </c>
      <c r="G122" s="35">
        <v>-3.3932506404614537E-2</v>
      </c>
      <c r="H122" s="35">
        <v>2.0961819854656494E-2</v>
      </c>
    </row>
    <row r="123" spans="2:8" x14ac:dyDescent="0.35">
      <c r="B123" s="6">
        <v>45103</v>
      </c>
      <c r="C123" s="7" t="s">
        <v>35</v>
      </c>
      <c r="D123" s="35">
        <v>1.41704838571566E-2</v>
      </c>
      <c r="E123" s="35">
        <v>1.41704838571566E-2</v>
      </c>
      <c r="F123" s="35">
        <v>-2.0242862581697385E-2</v>
      </c>
      <c r="G123" s="35">
        <v>-2.0242862581697385E-2</v>
      </c>
      <c r="H123" s="35">
        <v>1.4071021073364397E-2</v>
      </c>
    </row>
    <row r="124" spans="2:8" x14ac:dyDescent="0.35">
      <c r="B124" s="6">
        <v>45104</v>
      </c>
      <c r="C124" s="7" t="s">
        <v>35</v>
      </c>
      <c r="D124" s="35">
        <v>1.59865088124156E-3</v>
      </c>
      <c r="E124" s="35">
        <v>1.59865088124156E-3</v>
      </c>
      <c r="F124" s="35">
        <v>-1.8676572970560912E-2</v>
      </c>
      <c r="G124" s="35">
        <v>-1.8676572970560912E-2</v>
      </c>
      <c r="H124" s="35">
        <v>1.597374399173217E-3</v>
      </c>
    </row>
    <row r="125" spans="2:8" x14ac:dyDescent="0.35">
      <c r="B125" s="6">
        <v>45105</v>
      </c>
      <c r="C125" s="7" t="s">
        <v>35</v>
      </c>
      <c r="D125" s="35">
        <v>-1.44459254298492E-2</v>
      </c>
      <c r="E125" s="35">
        <v>-1.44459254298492E-2</v>
      </c>
      <c r="F125" s="35">
        <v>-3.2852698019992244E-2</v>
      </c>
      <c r="G125" s="35">
        <v>-3.2852698019992244E-2</v>
      </c>
      <c r="H125" s="35">
        <v>-1.4551283706800904E-2</v>
      </c>
    </row>
    <row r="126" spans="2:8" x14ac:dyDescent="0.35">
      <c r="B126" s="6">
        <v>45106</v>
      </c>
      <c r="C126" s="7" t="s">
        <v>35</v>
      </c>
      <c r="D126" s="35">
        <v>1.1250611022210101E-2</v>
      </c>
      <c r="E126" s="35">
        <v>1.1250611022210101E-2</v>
      </c>
      <c r="F126" s="35">
        <v>-2.19716999242352E-2</v>
      </c>
      <c r="G126" s="35">
        <v>-2.19716999242352E-2</v>
      </c>
      <c r="H126" s="35">
        <v>1.1187793615064315E-2</v>
      </c>
    </row>
    <row r="127" spans="2:8" x14ac:dyDescent="0.35">
      <c r="B127" s="6">
        <v>45107</v>
      </c>
      <c r="C127" s="7" t="s">
        <v>35</v>
      </c>
      <c r="D127" s="35">
        <v>-1.4313022331409899E-2</v>
      </c>
      <c r="E127" s="35">
        <v>-1.4313022331409899E-2</v>
      </c>
      <c r="F127" s="35">
        <v>-3.597024082397049E-2</v>
      </c>
      <c r="G127" s="35">
        <v>-3.597024082397049E-2</v>
      </c>
      <c r="H127" s="35">
        <v>-1.4416441650331126E-2</v>
      </c>
    </row>
    <row r="128" spans="2:8" x14ac:dyDescent="0.35">
      <c r="B128" s="6">
        <v>45110</v>
      </c>
      <c r="C128" s="7" t="s">
        <v>35</v>
      </c>
      <c r="D128" s="35">
        <v>5.0288303581773599E-3</v>
      </c>
      <c r="E128" s="35">
        <v>5.0288303581773599E-3</v>
      </c>
      <c r="F128" s="35">
        <v>-3.1122298704839624E-2</v>
      </c>
      <c r="G128" s="35">
        <v>-3.1122298704839624E-2</v>
      </c>
      <c r="H128" s="35">
        <v>5.0162280231367141E-3</v>
      </c>
    </row>
    <row r="129" spans="2:8" x14ac:dyDescent="0.35">
      <c r="B129" s="6">
        <v>45112</v>
      </c>
      <c r="C129" s="7" t="s">
        <v>35</v>
      </c>
      <c r="D129" s="35">
        <v>-4.240509408512283E-3</v>
      </c>
      <c r="E129" s="35">
        <v>-4.240509408512283E-3</v>
      </c>
      <c r="F129" s="35">
        <v>-3.5230833712879495E-2</v>
      </c>
      <c r="G129" s="35">
        <v>-3.5230833712879495E-2</v>
      </c>
      <c r="H129" s="35">
        <v>-4.2495258671470673E-3</v>
      </c>
    </row>
    <row r="130" spans="2:8" x14ac:dyDescent="0.35">
      <c r="B130" s="6">
        <v>45113</v>
      </c>
      <c r="C130" s="7" t="s">
        <v>35</v>
      </c>
      <c r="D130" s="35">
        <v>2.2626379534014501E-2</v>
      </c>
      <c r="E130" s="35">
        <v>2.2626379534014501E-2</v>
      </c>
      <c r="F130" s="35">
        <v>-1.3401600393752378E-2</v>
      </c>
      <c r="G130" s="35">
        <v>-1.3401600393752378E-2</v>
      </c>
      <c r="H130" s="35">
        <v>2.2374199863419621E-2</v>
      </c>
    </row>
    <row r="131" spans="2:8" x14ac:dyDescent="0.35">
      <c r="B131" s="6">
        <v>45114</v>
      </c>
      <c r="C131" s="7" t="s">
        <v>35</v>
      </c>
      <c r="D131" s="35">
        <v>-4.3754452316977499E-3</v>
      </c>
      <c r="E131" s="35">
        <v>-4.3754452316977499E-3</v>
      </c>
      <c r="F131" s="35">
        <v>-1.7718407656910129E-2</v>
      </c>
      <c r="G131" s="35">
        <v>-1.7718407656910129E-2</v>
      </c>
      <c r="H131" s="35">
        <v>-4.3850455060699574E-3</v>
      </c>
    </row>
    <row r="132" spans="2:8" x14ac:dyDescent="0.35">
      <c r="B132" s="6">
        <v>45117</v>
      </c>
      <c r="C132" s="7" t="s">
        <v>35</v>
      </c>
      <c r="D132" s="35">
        <v>-2.6598450043224399E-2</v>
      </c>
      <c r="E132" s="35">
        <v>-2.6598450043224399E-2</v>
      </c>
      <c r="F132" s="35">
        <v>-4.3845575519226632E-2</v>
      </c>
      <c r="G132" s="35">
        <v>-4.3845575519226632E-2</v>
      </c>
      <c r="H132" s="35">
        <v>-2.6958589271768505E-2</v>
      </c>
    </row>
    <row r="133" spans="2:8" x14ac:dyDescent="0.35">
      <c r="B133" s="6">
        <v>45118</v>
      </c>
      <c r="C133" s="7" t="s">
        <v>35</v>
      </c>
      <c r="D133" s="35">
        <v>3.53558562323775E-3</v>
      </c>
      <c r="E133" s="35">
        <v>3.53558562323775E-3</v>
      </c>
      <c r="F133" s="35">
        <v>-4.046500968243727E-2</v>
      </c>
      <c r="G133" s="35">
        <v>-4.046500968243727E-2</v>
      </c>
      <c r="H133" s="35">
        <v>3.529350133471258E-3</v>
      </c>
    </row>
    <row r="134" spans="2:8" x14ac:dyDescent="0.35">
      <c r="B134" s="6">
        <v>45119</v>
      </c>
      <c r="C134" s="7" t="s">
        <v>35</v>
      </c>
      <c r="D134" s="35">
        <v>-1.8394870292511599E-2</v>
      </c>
      <c r="E134" s="35">
        <v>-1.8394870292511599E-2</v>
      </c>
      <c r="F134" s="35">
        <v>-5.811553137045522E-2</v>
      </c>
      <c r="G134" s="35">
        <v>-5.811553137045522E-2</v>
      </c>
      <c r="H134" s="35">
        <v>-1.8566159735715692E-2</v>
      </c>
    </row>
    <row r="135" spans="2:8" x14ac:dyDescent="0.35">
      <c r="B135" s="6">
        <v>45120</v>
      </c>
      <c r="C135" s="7" t="s">
        <v>35</v>
      </c>
      <c r="D135" s="35">
        <v>9.8443147538373994E-5</v>
      </c>
      <c r="E135" s="35">
        <v>9.8443147538373994E-5</v>
      </c>
      <c r="F135" s="35">
        <v>-5.8022809298745814E-2</v>
      </c>
      <c r="G135" s="35">
        <v>-5.8022809298745814E-2</v>
      </c>
      <c r="H135" s="35">
        <v>9.843830232970784E-5</v>
      </c>
    </row>
    <row r="136" spans="2:8" x14ac:dyDescent="0.35">
      <c r="B136" s="6">
        <v>45121</v>
      </c>
      <c r="C136" s="7" t="s">
        <v>35</v>
      </c>
      <c r="D136" s="35">
        <v>7.1353184840914404E-3</v>
      </c>
      <c r="E136" s="35">
        <v>7.1353184840914404E-3</v>
      </c>
      <c r="F136" s="35">
        <v>-5.1301502038342606E-2</v>
      </c>
      <c r="G136" s="35">
        <v>-5.1301502038342606E-2</v>
      </c>
      <c r="H136" s="35">
        <v>7.1099825477490795E-3</v>
      </c>
    </row>
    <row r="137" spans="2:8" x14ac:dyDescent="0.35">
      <c r="B137" s="6">
        <v>45124</v>
      </c>
      <c r="C137" s="7" t="s">
        <v>35</v>
      </c>
      <c r="D137" s="35">
        <v>-1.9958151539050801E-2</v>
      </c>
      <c r="E137" s="35">
        <v>-1.9958151539050801E-2</v>
      </c>
      <c r="F137" s="35">
        <v>-7.0235770425531197E-2</v>
      </c>
      <c r="G137" s="35">
        <v>-7.0235770425531197E-2</v>
      </c>
      <c r="H137" s="35">
        <v>-2.0160005718073054E-2</v>
      </c>
    </row>
    <row r="138" spans="2:8" x14ac:dyDescent="0.35">
      <c r="B138" s="6">
        <v>45125</v>
      </c>
      <c r="C138" s="7" t="s">
        <v>35</v>
      </c>
      <c r="D138" s="35">
        <v>3.1809444485866299E-3</v>
      </c>
      <c r="E138" s="35">
        <v>3.1809444485866299E-3</v>
      </c>
      <c r="F138" s="35">
        <v>-6.7278242060971882E-2</v>
      </c>
      <c r="G138" s="35">
        <v>-6.7278242060971882E-2</v>
      </c>
      <c r="H138" s="35">
        <v>3.1758959479610319E-3</v>
      </c>
    </row>
    <row r="139" spans="2:8" x14ac:dyDescent="0.35">
      <c r="B139" s="6">
        <v>45126</v>
      </c>
      <c r="C139" s="7" t="s">
        <v>35</v>
      </c>
      <c r="D139" s="35">
        <v>-5.7744610831380596E-3</v>
      </c>
      <c r="E139" s="35">
        <v>-5.7744610831380596E-3</v>
      </c>
      <c r="F139" s="35">
        <v>-7.2664207553586935E-2</v>
      </c>
      <c r="G139" s="35">
        <v>-7.2664207553586935E-2</v>
      </c>
      <c r="H139" s="35">
        <v>-5.791197744772528E-3</v>
      </c>
    </row>
    <row r="140" spans="2:8" x14ac:dyDescent="0.35">
      <c r="B140" s="6">
        <v>45127</v>
      </c>
      <c r="C140" s="7" t="s">
        <v>35</v>
      </c>
      <c r="D140" s="35">
        <v>1.31616316271299E-2</v>
      </c>
      <c r="E140" s="35">
        <v>1.31616316271299E-2</v>
      </c>
      <c r="F140" s="35">
        <v>-6.0458955458754682E-2</v>
      </c>
      <c r="G140" s="35">
        <v>-6.0458955458754682E-2</v>
      </c>
      <c r="H140" s="35">
        <v>1.3075769919795897E-2</v>
      </c>
    </row>
    <row r="141" spans="2:8" x14ac:dyDescent="0.35">
      <c r="B141" s="6">
        <v>45128</v>
      </c>
      <c r="C141" s="7" t="s">
        <v>35</v>
      </c>
      <c r="D141" s="35">
        <v>-7.4008790620072604E-3</v>
      </c>
      <c r="E141" s="35">
        <v>-7.4008790620072604E-3</v>
      </c>
      <c r="F141" s="35">
        <v>-6.7412385103196359E-2</v>
      </c>
      <c r="G141" s="35">
        <v>-6.7412385103196359E-2</v>
      </c>
      <c r="H141" s="35">
        <v>-7.4284014447512014E-3</v>
      </c>
    </row>
    <row r="142" spans="2:8" x14ac:dyDescent="0.35">
      <c r="B142" s="6">
        <v>45131</v>
      </c>
      <c r="C142" s="7" t="s">
        <v>35</v>
      </c>
      <c r="D142" s="35">
        <v>1.6939323293144098E-2</v>
      </c>
      <c r="E142" s="35">
        <v>1.6939323293144098E-2</v>
      </c>
      <c r="F142" s="35">
        <v>-5.1614981995277254E-2</v>
      </c>
      <c r="G142" s="35">
        <v>-5.1614981995277254E-2</v>
      </c>
      <c r="H142" s="35">
        <v>1.6797452841262349E-2</v>
      </c>
    </row>
    <row r="143" spans="2:8" x14ac:dyDescent="0.35">
      <c r="B143" s="6">
        <v>45132</v>
      </c>
      <c r="C143" s="7" t="s">
        <v>35</v>
      </c>
      <c r="D143" s="35">
        <v>6.7555963427543596E-3</v>
      </c>
      <c r="E143" s="35">
        <v>6.7555963427543596E-3</v>
      </c>
      <c r="F143" s="35">
        <v>-4.5208075636121503E-2</v>
      </c>
      <c r="G143" s="35">
        <v>-4.5208075636121503E-2</v>
      </c>
      <c r="H143" s="35">
        <v>6.7328795546908416E-3</v>
      </c>
    </row>
    <row r="144" spans="2:8" x14ac:dyDescent="0.35">
      <c r="B144" s="6">
        <v>45133</v>
      </c>
      <c r="C144" s="7" t="s">
        <v>35</v>
      </c>
      <c r="D144" s="35">
        <v>-2.5209432119848202E-3</v>
      </c>
      <c r="E144" s="35">
        <v>-2.5209432119848202E-3</v>
      </c>
      <c r="F144" s="35">
        <v>-4.761505185670456E-2</v>
      </c>
      <c r="G144" s="35">
        <v>-4.761505185670456E-2</v>
      </c>
      <c r="H144" s="35">
        <v>-2.5241261397692619E-3</v>
      </c>
    </row>
    <row r="145" spans="2:8" x14ac:dyDescent="0.35">
      <c r="B145" s="6">
        <v>45134</v>
      </c>
      <c r="C145" s="7" t="s">
        <v>35</v>
      </c>
      <c r="D145" s="35">
        <v>2.05639443709997E-2</v>
      </c>
      <c r="E145" s="35">
        <v>2.05639443709997E-2</v>
      </c>
      <c r="F145" s="35">
        <v>-2.803026076330839E-2</v>
      </c>
      <c r="G145" s="35">
        <v>-2.803026076330839E-2</v>
      </c>
      <c r="H145" s="35">
        <v>2.0355361148910157E-2</v>
      </c>
    </row>
    <row r="146" spans="2:8" x14ac:dyDescent="0.35">
      <c r="B146" s="6">
        <v>45135</v>
      </c>
      <c r="C146" s="7" t="s">
        <v>35</v>
      </c>
      <c r="D146" s="35">
        <v>-3.3679507724315903E-2</v>
      </c>
      <c r="E146" s="35">
        <v>-3.3679507724315903E-2</v>
      </c>
      <c r="F146" s="35">
        <v>-6.076572310373185E-2</v>
      </c>
      <c r="G146" s="35">
        <v>-6.076572310373185E-2</v>
      </c>
      <c r="H146" s="35">
        <v>-3.4259727251842863E-2</v>
      </c>
    </row>
    <row r="147" spans="2:8" x14ac:dyDescent="0.35">
      <c r="B147" s="6">
        <v>45138</v>
      </c>
      <c r="C147" s="7" t="s">
        <v>35</v>
      </c>
      <c r="D147" s="35">
        <v>-1.13770377022573E-2</v>
      </c>
      <c r="E147" s="35">
        <v>-1.13770377022573E-2</v>
      </c>
      <c r="F147" s="35">
        <v>-7.1451426883233027E-2</v>
      </c>
      <c r="G147" s="35">
        <v>-7.1451426883233027E-2</v>
      </c>
      <c r="H147" s="35">
        <v>-1.1442251292493584E-2</v>
      </c>
    </row>
    <row r="148" spans="2:8" x14ac:dyDescent="0.35">
      <c r="B148" s="6">
        <v>45139</v>
      </c>
      <c r="C148" s="7" t="s">
        <v>35</v>
      </c>
      <c r="D148" s="35">
        <v>1.16876320341346E-2</v>
      </c>
      <c r="E148" s="35">
        <v>1.16876320341346E-2</v>
      </c>
      <c r="F148" s="35">
        <v>-6.0598892834823559E-2</v>
      </c>
      <c r="G148" s="35">
        <v>-6.0598892834823559E-2</v>
      </c>
      <c r="H148" s="35">
        <v>1.1619859220846514E-2</v>
      </c>
    </row>
    <row r="149" spans="2:8" x14ac:dyDescent="0.35">
      <c r="B149" s="6">
        <v>45140</v>
      </c>
      <c r="C149" s="7" t="s">
        <v>35</v>
      </c>
      <c r="D149" s="35">
        <v>2.11275671339415E-2</v>
      </c>
      <c r="E149" s="35">
        <v>2.11275671339415E-2</v>
      </c>
      <c r="F149" s="35">
        <v>-4.0751632877492283E-2</v>
      </c>
      <c r="G149" s="35">
        <v>-4.0751632877492283E-2</v>
      </c>
      <c r="H149" s="35">
        <v>2.090747470189613E-2</v>
      </c>
    </row>
    <row r="150" spans="2:8" x14ac:dyDescent="0.35">
      <c r="B150" s="6">
        <v>45141</v>
      </c>
      <c r="C150" s="7" t="s">
        <v>35</v>
      </c>
      <c r="D150" s="35">
        <v>5.9776166093827897E-3</v>
      </c>
      <c r="E150" s="35">
        <v>5.9776166093827897E-3</v>
      </c>
      <c r="F150" s="35">
        <v>-3.5017613905657496E-2</v>
      </c>
      <c r="G150" s="35">
        <v>-3.5017613905657496E-2</v>
      </c>
      <c r="H150" s="35">
        <v>5.959821538745364E-3</v>
      </c>
    </row>
    <row r="151" spans="2:8" x14ac:dyDescent="0.35">
      <c r="B151" s="6">
        <v>45142</v>
      </c>
      <c r="C151" s="7" t="s">
        <v>35</v>
      </c>
      <c r="D151" s="35">
        <v>2.0099396229356099E-3</v>
      </c>
      <c r="E151" s="35">
        <v>2.0099396229356099E-3</v>
      </c>
      <c r="F151" s="35">
        <v>-3.3078057572411557E-2</v>
      </c>
      <c r="G151" s="35">
        <v>-3.3078057572411557E-2</v>
      </c>
      <c r="H151" s="35">
        <v>2.0079223968412006E-3</v>
      </c>
    </row>
    <row r="152" spans="2:8" x14ac:dyDescent="0.35">
      <c r="B152" s="6">
        <v>45145</v>
      </c>
      <c r="C152" s="7" t="s">
        <v>35</v>
      </c>
      <c r="D152" s="35">
        <v>3.1553294690948301E-2</v>
      </c>
      <c r="E152" s="35">
        <v>3.1553294690948301E-2</v>
      </c>
      <c r="F152" s="35">
        <v>-2.5684845798497058E-3</v>
      </c>
      <c r="G152" s="35">
        <v>-2.5684845798497058E-3</v>
      </c>
      <c r="H152" s="35">
        <v>3.1065719369404665E-2</v>
      </c>
    </row>
    <row r="153" spans="2:8" x14ac:dyDescent="0.35">
      <c r="B153" s="6">
        <v>45146</v>
      </c>
      <c r="C153" s="7" t="s">
        <v>35</v>
      </c>
      <c r="D153" s="35">
        <v>-5.2044538309747902E-3</v>
      </c>
      <c r="E153" s="35">
        <v>-5.2044538309747902E-3</v>
      </c>
      <c r="F153" s="35">
        <v>-7.7595708514131001E-3</v>
      </c>
      <c r="G153" s="35">
        <v>-7.7595708514131001E-3</v>
      </c>
      <c r="H153" s="35">
        <v>-5.2180441748667095E-3</v>
      </c>
    </row>
    <row r="154" spans="2:8" x14ac:dyDescent="0.35">
      <c r="B154" s="6">
        <v>45147</v>
      </c>
      <c r="C154" s="7" t="s">
        <v>35</v>
      </c>
      <c r="D154" s="35">
        <v>-5.2548731989185997E-3</v>
      </c>
      <c r="E154" s="35">
        <v>-5.2548731989185997E-3</v>
      </c>
      <c r="F154" s="35">
        <v>-1.2973668489429491E-2</v>
      </c>
      <c r="G154" s="35">
        <v>-1.2973668489429491E-2</v>
      </c>
      <c r="H154" s="35">
        <v>-5.2687286053381263E-3</v>
      </c>
    </row>
    <row r="155" spans="2:8" x14ac:dyDescent="0.35">
      <c r="B155" s="6">
        <v>45148</v>
      </c>
      <c r="C155" s="7" t="s">
        <v>35</v>
      </c>
      <c r="D155" s="35">
        <v>-7.2886171200463598E-3</v>
      </c>
      <c r="E155" s="35">
        <v>-7.2886171200463598E-3</v>
      </c>
      <c r="F155" s="35">
        <v>-2.0167725507214018E-2</v>
      </c>
      <c r="G155" s="35">
        <v>-2.0167725507214018E-2</v>
      </c>
      <c r="H155" s="35">
        <v>-7.3153088661700059E-3</v>
      </c>
    </row>
    <row r="156" spans="2:8" x14ac:dyDescent="0.35">
      <c r="B156" s="6">
        <v>45149</v>
      </c>
      <c r="C156" s="7" t="s">
        <v>35</v>
      </c>
      <c r="D156" s="35">
        <v>-4.3238621579755299E-4</v>
      </c>
      <c r="E156" s="35">
        <v>-4.3238621579755299E-4</v>
      </c>
      <c r="F156" s="35">
        <v>-2.0591391476498244E-2</v>
      </c>
      <c r="G156" s="35">
        <v>-2.0591391476498244E-2</v>
      </c>
      <c r="H156" s="35">
        <v>-4.324797216720981E-4</v>
      </c>
    </row>
    <row r="157" spans="2:8" x14ac:dyDescent="0.35">
      <c r="B157" s="6">
        <v>45152</v>
      </c>
      <c r="C157" s="7" t="s">
        <v>35</v>
      </c>
      <c r="D157" s="35">
        <v>1.85192743173079E-3</v>
      </c>
      <c r="E157" s="35">
        <v>1.85192743173079E-3</v>
      </c>
      <c r="F157" s="35">
        <v>-1.8777597807500324E-2</v>
      </c>
      <c r="G157" s="35">
        <v>-1.8777597807500324E-2</v>
      </c>
      <c r="H157" s="35">
        <v>1.8502147283335222E-3</v>
      </c>
    </row>
    <row r="158" spans="2:8" x14ac:dyDescent="0.35">
      <c r="B158" s="6">
        <v>45153</v>
      </c>
      <c r="C158" s="7" t="s">
        <v>35</v>
      </c>
      <c r="D158" s="35">
        <v>8.6230966599056807E-3</v>
      </c>
      <c r="E158" s="35">
        <v>8.6230966599056807E-3</v>
      </c>
      <c r="F158" s="35">
        <v>-1.0316422188529573E-2</v>
      </c>
      <c r="G158" s="35">
        <v>-1.0316422188529573E-2</v>
      </c>
      <c r="H158" s="35">
        <v>8.5861301205871886E-3</v>
      </c>
    </row>
    <row r="159" spans="2:8" x14ac:dyDescent="0.35">
      <c r="B159" s="6">
        <v>45154</v>
      </c>
      <c r="C159" s="7" t="s">
        <v>35</v>
      </c>
      <c r="D159" s="35">
        <v>2.83216664682828E-2</v>
      </c>
      <c r="E159" s="35">
        <v>2.83216664682828E-2</v>
      </c>
      <c r="F159" s="35">
        <v>1.7713066011383782E-2</v>
      </c>
      <c r="G159" s="35">
        <v>1.7713066011383782E-2</v>
      </c>
      <c r="H159" s="35">
        <v>2.7928023213163289E-2</v>
      </c>
    </row>
    <row r="160" spans="2:8" x14ac:dyDescent="0.35">
      <c r="B160" s="6">
        <v>45155</v>
      </c>
      <c r="C160" s="7" t="s">
        <v>35</v>
      </c>
      <c r="D160" s="35">
        <v>2.0143495835539298E-2</v>
      </c>
      <c r="E160" s="35">
        <v>2.0143495835539298E-2</v>
      </c>
      <c r="F160" s="35">
        <v>3.8213364918358028E-2</v>
      </c>
      <c r="G160" s="35">
        <v>3.8213364918358028E-2</v>
      </c>
      <c r="H160" s="35">
        <v>1.9943299593073397E-2</v>
      </c>
    </row>
    <row r="161" spans="2:8" x14ac:dyDescent="0.35">
      <c r="B161" s="6">
        <v>45156</v>
      </c>
      <c r="C161" s="7" t="s">
        <v>35</v>
      </c>
      <c r="D161" s="35">
        <v>-7.4160833783465403E-3</v>
      </c>
      <c r="E161" s="35">
        <v>-7.4160833783465403E-3</v>
      </c>
      <c r="F161" s="35">
        <v>3.051388803960986E-2</v>
      </c>
      <c r="G161" s="35">
        <v>3.051388803960986E-2</v>
      </c>
      <c r="H161" s="35">
        <v>-7.4437192427092846E-3</v>
      </c>
    </row>
    <row r="162" spans="2:8" x14ac:dyDescent="0.35">
      <c r="B162" s="6">
        <v>45159</v>
      </c>
      <c r="C162" s="7" t="s">
        <v>35</v>
      </c>
      <c r="D162" s="35">
        <v>-1.51538174692947E-2</v>
      </c>
      <c r="E162" s="35">
        <v>-1.51538174692947E-2</v>
      </c>
      <c r="F162" s="35">
        <v>1.4897668680684539E-2</v>
      </c>
      <c r="G162" s="35">
        <v>1.4897668680684539E-2</v>
      </c>
      <c r="H162" s="35">
        <v>-1.5269809871574001E-2</v>
      </c>
    </row>
    <row r="163" spans="2:8" x14ac:dyDescent="0.35">
      <c r="B163" s="6">
        <v>45160</v>
      </c>
      <c r="C163" s="7" t="s">
        <v>35</v>
      </c>
      <c r="D163" s="35">
        <v>-2.5989285160663601E-3</v>
      </c>
      <c r="E163" s="35">
        <v>-2.5989285160663601E-3</v>
      </c>
      <c r="F163" s="35">
        <v>1.2260022188661068E-2</v>
      </c>
      <c r="G163" s="35">
        <v>1.2260022188661068E-2</v>
      </c>
      <c r="H163" s="35">
        <v>-2.6023115936379326E-3</v>
      </c>
    </row>
    <row r="164" spans="2:8" x14ac:dyDescent="0.35">
      <c r="B164" s="6">
        <v>45161</v>
      </c>
      <c r="C164" s="7" t="s">
        <v>35</v>
      </c>
      <c r="D164" s="35">
        <v>-1.23622009810695E-2</v>
      </c>
      <c r="E164" s="35">
        <v>-1.23622009810695E-2</v>
      </c>
      <c r="F164" s="35">
        <v>-2.537396507370504E-4</v>
      </c>
      <c r="G164" s="35">
        <v>-2.537396507370504E-4</v>
      </c>
      <c r="H164" s="35">
        <v>-1.2439248631812876E-2</v>
      </c>
    </row>
    <row r="165" spans="2:8" x14ac:dyDescent="0.35">
      <c r="B165" s="6">
        <v>45162</v>
      </c>
      <c r="C165" s="7" t="s">
        <v>35</v>
      </c>
      <c r="D165" s="35">
        <v>2.0907167580194001E-2</v>
      </c>
      <c r="E165" s="35">
        <v>2.0907167580194001E-2</v>
      </c>
      <c r="F165" s="35">
        <v>2.0648122952057202E-2</v>
      </c>
      <c r="G165" s="35">
        <v>2.0648122952057202E-2</v>
      </c>
      <c r="H165" s="35">
        <v>2.0691612012729673E-2</v>
      </c>
    </row>
    <row r="166" spans="2:8" x14ac:dyDescent="0.35">
      <c r="B166" s="6">
        <v>45163</v>
      </c>
      <c r="C166" s="7" t="s">
        <v>35</v>
      </c>
      <c r="D166" s="35">
        <v>-1.02852884134226E-2</v>
      </c>
      <c r="E166" s="35">
        <v>-1.02852884134226E-2</v>
      </c>
      <c r="F166" s="35">
        <v>1.0150462638876867E-2</v>
      </c>
      <c r="G166" s="35">
        <v>1.0150462638876867E-2</v>
      </c>
      <c r="H166" s="35">
        <v>-1.0338547497055633E-2</v>
      </c>
    </row>
    <row r="167" spans="2:8" x14ac:dyDescent="0.35">
      <c r="B167" s="6">
        <v>45166</v>
      </c>
      <c r="C167" s="7" t="s">
        <v>35</v>
      </c>
      <c r="D167" s="35">
        <v>-8.1752741635667796E-3</v>
      </c>
      <c r="E167" s="35">
        <v>-8.1752741635667796E-3</v>
      </c>
      <c r="F167" s="35">
        <v>1.8922056603503101E-3</v>
      </c>
      <c r="G167" s="35">
        <v>1.8922056603503101E-3</v>
      </c>
      <c r="H167" s="35">
        <v>-8.208874973254475E-3</v>
      </c>
    </row>
    <row r="168" spans="2:8" x14ac:dyDescent="0.35">
      <c r="B168" s="6">
        <v>45167</v>
      </c>
      <c r="C168" s="7" t="s">
        <v>35</v>
      </c>
      <c r="D168" s="35">
        <v>-9.2753091641346597E-3</v>
      </c>
      <c r="E168" s="35">
        <v>-9.2753091641346597E-3</v>
      </c>
      <c r="F168" s="35">
        <v>-7.4006542962862243E-3</v>
      </c>
      <c r="G168" s="35">
        <v>-7.4006542962862243E-3</v>
      </c>
      <c r="H168" s="35">
        <v>-9.3185926975197664E-3</v>
      </c>
    </row>
    <row r="169" spans="2:8" x14ac:dyDescent="0.35">
      <c r="B169" s="6">
        <v>45168</v>
      </c>
      <c r="C169" s="7" t="s">
        <v>35</v>
      </c>
      <c r="D169" s="35">
        <v>-4.4514294265089998E-3</v>
      </c>
      <c r="E169" s="35">
        <v>-4.4514294265089998E-3</v>
      </c>
      <c r="F169" s="35">
        <v>-1.1819140232485315E-2</v>
      </c>
      <c r="G169" s="35">
        <v>-1.1819140232485315E-2</v>
      </c>
      <c r="H169" s="35">
        <v>-4.4613665390138835E-3</v>
      </c>
    </row>
    <row r="170" spans="2:8" x14ac:dyDescent="0.35">
      <c r="B170" s="6">
        <v>45169</v>
      </c>
      <c r="C170" s="7" t="s">
        <v>35</v>
      </c>
      <c r="D170" s="35">
        <v>1.1965879801858301E-2</v>
      </c>
      <c r="E170" s="35">
        <v>1.1965879801858301E-2</v>
      </c>
      <c r="F170" s="35">
        <v>5.3131579897947034E-6</v>
      </c>
      <c r="G170" s="35">
        <v>5.3131579897947034E-6</v>
      </c>
      <c r="H170" s="35">
        <v>1.1894854686077823E-2</v>
      </c>
    </row>
    <row r="171" spans="2:8" x14ac:dyDescent="0.35">
      <c r="B171" s="6">
        <v>45170</v>
      </c>
      <c r="C171" s="7" t="s">
        <v>35</v>
      </c>
      <c r="D171" s="35">
        <v>-3.1329334972689103E-2</v>
      </c>
      <c r="E171" s="35">
        <v>-3.1329334972689103E-2</v>
      </c>
      <c r="F171" s="35">
        <v>-3.1324188272405684E-2</v>
      </c>
      <c r="G171" s="35">
        <v>-3.1324188272405684E-2</v>
      </c>
      <c r="H171" s="35">
        <v>-3.1830595833447023E-2</v>
      </c>
    </row>
    <row r="172" spans="2:8" x14ac:dyDescent="0.35">
      <c r="B172" s="6">
        <v>45174</v>
      </c>
      <c r="C172" s="7" t="s">
        <v>35</v>
      </c>
      <c r="D172" s="35">
        <v>2.7403748028476116E-2</v>
      </c>
      <c r="E172" s="35">
        <v>2.7403748028476116E-2</v>
      </c>
      <c r="F172" s="35">
        <v>-4.7788404065430834E-3</v>
      </c>
      <c r="G172" s="35">
        <v>-4.7788404065430834E-3</v>
      </c>
      <c r="H172" s="35">
        <v>2.7034987115698128E-2</v>
      </c>
    </row>
    <row r="173" spans="2:8" x14ac:dyDescent="0.35">
      <c r="B173" s="6">
        <v>45175</v>
      </c>
      <c r="C173" s="7" t="s">
        <v>35</v>
      </c>
      <c r="D173" s="35">
        <v>3.4496396827865501E-4</v>
      </c>
      <c r="E173" s="35">
        <v>3.4496396827865501E-4</v>
      </c>
      <c r="F173" s="35">
        <v>-4.4355249660148477E-3</v>
      </c>
      <c r="G173" s="35">
        <v>-4.4355249660148477E-3</v>
      </c>
      <c r="H173" s="35">
        <v>3.4490448188899761E-4</v>
      </c>
    </row>
    <row r="174" spans="2:8" x14ac:dyDescent="0.35">
      <c r="B174" s="6">
        <v>45176</v>
      </c>
      <c r="C174" s="7" t="s">
        <v>35</v>
      </c>
      <c r="D174" s="35">
        <v>2.6752188092876099E-2</v>
      </c>
      <c r="E174" s="35">
        <v>2.6752188092876099E-2</v>
      </c>
      <c r="F174" s="35">
        <v>2.21980031286797E-2</v>
      </c>
      <c r="G174" s="35">
        <v>2.21980031286797E-2</v>
      </c>
      <c r="H174" s="35">
        <v>2.6400604938577217E-2</v>
      </c>
    </row>
    <row r="175" spans="2:8" x14ac:dyDescent="0.35">
      <c r="B175" s="6">
        <v>45177</v>
      </c>
      <c r="C175" s="7" t="s">
        <v>35</v>
      </c>
      <c r="D175" s="35">
        <v>5.0041503939348697E-3</v>
      </c>
      <c r="E175" s="35">
        <v>5.0041503939348697E-3</v>
      </c>
      <c r="F175" s="35">
        <v>2.7313235668715574E-2</v>
      </c>
      <c r="G175" s="35">
        <v>2.7313235668715574E-2</v>
      </c>
      <c r="H175" s="35">
        <v>4.9916712477205251E-3</v>
      </c>
    </row>
    <row r="176" spans="2:8" x14ac:dyDescent="0.35">
      <c r="B176" s="6">
        <v>45180</v>
      </c>
      <c r="C176" s="7" t="s">
        <v>35</v>
      </c>
      <c r="D176" s="35">
        <v>-9.5313544490718306E-3</v>
      </c>
      <c r="E176" s="35">
        <v>-9.5313544490718306E-3</v>
      </c>
      <c r="F176" s="35">
        <v>1.7521549089334121E-2</v>
      </c>
      <c r="G176" s="35">
        <v>1.7521549089334121E-2</v>
      </c>
      <c r="H176" s="35">
        <v>-9.5770685177843928E-3</v>
      </c>
    </row>
    <row r="177" spans="2:8" x14ac:dyDescent="0.35">
      <c r="B177" s="6">
        <v>45181</v>
      </c>
      <c r="C177" s="7" t="s">
        <v>35</v>
      </c>
      <c r="D177" s="35">
        <v>7.67506438335763E-3</v>
      </c>
      <c r="E177" s="35">
        <v>7.67506438335763E-3</v>
      </c>
      <c r="F177" s="35">
        <v>2.5331092490048501E-2</v>
      </c>
      <c r="G177" s="35">
        <v>2.5331092490048501E-2</v>
      </c>
      <c r="H177" s="35">
        <v>7.6457609185251827E-3</v>
      </c>
    </row>
    <row r="178" spans="2:8" x14ac:dyDescent="0.35">
      <c r="B178" s="6">
        <v>45182</v>
      </c>
      <c r="C178" s="7" t="s">
        <v>35</v>
      </c>
      <c r="D178" s="35">
        <v>1.78480304582012E-2</v>
      </c>
      <c r="E178" s="35">
        <v>1.78480304582012E-2</v>
      </c>
      <c r="F178" s="35">
        <v>4.3631233058551544E-2</v>
      </c>
      <c r="G178" s="35">
        <v>4.3631233058551544E-2</v>
      </c>
      <c r="H178" s="35">
        <v>1.7690624527033162E-2</v>
      </c>
    </row>
    <row r="179" spans="2:8" x14ac:dyDescent="0.35">
      <c r="B179" s="6">
        <v>45183</v>
      </c>
      <c r="C179" s="7" t="s">
        <v>35</v>
      </c>
      <c r="D179" s="35">
        <v>-2.2033348469952E-3</v>
      </c>
      <c r="E179" s="35">
        <v>-2.2033348469952E-3</v>
      </c>
      <c r="F179" s="35">
        <v>4.1331763995340998E-2</v>
      </c>
      <c r="G179" s="35">
        <v>4.1331763995340998E-2</v>
      </c>
      <c r="H179" s="35">
        <v>-2.2057657606200558E-3</v>
      </c>
    </row>
    <row r="180" spans="2:8" x14ac:dyDescent="0.35">
      <c r="B180" s="6">
        <v>45184</v>
      </c>
      <c r="C180" s="7" t="s">
        <v>35</v>
      </c>
      <c r="D180" s="35">
        <v>1.1319341168602601E-2</v>
      </c>
      <c r="E180" s="35">
        <v>1.1319341168602601E-2</v>
      </c>
      <c r="F180" s="35">
        <v>5.3118953501706923E-2</v>
      </c>
      <c r="G180" s="35">
        <v>5.3118953501706923E-2</v>
      </c>
      <c r="H180" s="35">
        <v>1.1255756798581823E-2</v>
      </c>
    </row>
    <row r="181" spans="2:8" x14ac:dyDescent="0.35">
      <c r="B181" s="6">
        <v>45187</v>
      </c>
      <c r="C181" s="7" t="s">
        <v>35</v>
      </c>
      <c r="D181" s="35">
        <v>1.7605476053388601E-2</v>
      </c>
      <c r="E181" s="35">
        <v>1.7605476053388601E-2</v>
      </c>
      <c r="F181" s="35">
        <v>7.1659614018950935E-2</v>
      </c>
      <c r="G181" s="35">
        <v>7.1659614018950935E-2</v>
      </c>
      <c r="H181" s="35">
        <v>1.7452294931014647E-2</v>
      </c>
    </row>
    <row r="182" spans="2:8" x14ac:dyDescent="0.35">
      <c r="B182" s="6">
        <v>45188</v>
      </c>
      <c r="C182" s="7" t="s">
        <v>35</v>
      </c>
      <c r="D182" s="35">
        <v>-5.9911977670834603E-4</v>
      </c>
      <c r="E182" s="35">
        <v>-5.9911977670834603E-4</v>
      </c>
      <c r="F182" s="35">
        <v>7.1017561550292596E-2</v>
      </c>
      <c r="G182" s="35">
        <v>7.1017561550292596E-2</v>
      </c>
      <c r="H182" s="35">
        <v>-5.9929932067757713E-4</v>
      </c>
    </row>
    <row r="183" spans="2:8" x14ac:dyDescent="0.35">
      <c r="B183" s="6">
        <v>45189</v>
      </c>
      <c r="C183" s="7" t="s">
        <v>35</v>
      </c>
      <c r="D183" s="35">
        <v>2.8711564391829199E-2</v>
      </c>
      <c r="E183" s="35">
        <v>2.8711564391829199E-2</v>
      </c>
      <c r="F183" s="35">
        <v>0.10176815123352378</v>
      </c>
      <c r="G183" s="35">
        <v>0.10176815123352378</v>
      </c>
      <c r="H183" s="35">
        <v>2.8307110845162912E-2</v>
      </c>
    </row>
    <row r="184" spans="2:8" x14ac:dyDescent="0.35">
      <c r="B184" s="6">
        <v>45190</v>
      </c>
      <c r="C184" s="7" t="s">
        <v>35</v>
      </c>
      <c r="D184" s="35">
        <v>2.4399369707018202E-2</v>
      </c>
      <c r="E184" s="35">
        <v>2.4399369707018202E-2</v>
      </c>
      <c r="F184" s="35">
        <v>0.12865059968688852</v>
      </c>
      <c r="G184" s="35">
        <v>0.12865059968688852</v>
      </c>
      <c r="H184" s="35">
        <v>2.4106460062897579E-2</v>
      </c>
    </row>
    <row r="185" spans="2:8" x14ac:dyDescent="0.35">
      <c r="B185" s="6">
        <v>45191</v>
      </c>
      <c r="C185" s="7" t="s">
        <v>35</v>
      </c>
      <c r="D185" s="35">
        <v>1.2598240280577801E-2</v>
      </c>
      <c r="E185" s="35">
        <v>1.2598240280577801E-2</v>
      </c>
      <c r="F185" s="35">
        <v>0.1428696111345622</v>
      </c>
      <c r="G185" s="35">
        <v>0.1428696111345622</v>
      </c>
      <c r="H185" s="35">
        <v>1.251954272930746E-2</v>
      </c>
    </row>
    <row r="186" spans="2:8" x14ac:dyDescent="0.35">
      <c r="B186" s="6">
        <v>45194</v>
      </c>
      <c r="C186" s="7" t="s">
        <v>35</v>
      </c>
      <c r="D186" s="35">
        <v>1.57840674315484E-2</v>
      </c>
      <c r="E186" s="35">
        <v>1.57840674315484E-2</v>
      </c>
      <c r="F186" s="35">
        <v>0.16090874214217754</v>
      </c>
      <c r="G186" s="35">
        <v>0.16090874214217754</v>
      </c>
      <c r="H186" s="35">
        <v>1.5660794512589671E-2</v>
      </c>
    </row>
    <row r="187" spans="2:8" x14ac:dyDescent="0.35">
      <c r="B187" s="6">
        <v>45195</v>
      </c>
      <c r="C187" s="7" t="s">
        <v>35</v>
      </c>
      <c r="D187" s="35">
        <v>-7.8578031143161607E-3</v>
      </c>
      <c r="E187" s="35">
        <v>-7.8578031143161607E-3</v>
      </c>
      <c r="F187" s="35">
        <v>0.15178654981273598</v>
      </c>
      <c r="G187" s="35">
        <v>0.15178654981273598</v>
      </c>
      <c r="H187" s="35">
        <v>-7.8888383352194672E-3</v>
      </c>
    </row>
    <row r="188" spans="2:8" x14ac:dyDescent="0.35">
      <c r="B188" s="6">
        <v>45196</v>
      </c>
      <c r="C188" s="7" t="s">
        <v>35</v>
      </c>
      <c r="D188" s="35">
        <v>-1.2887202998025401E-2</v>
      </c>
      <c r="E188" s="35">
        <v>-1.2887202998025401E-2</v>
      </c>
      <c r="F188" s="35">
        <v>0.13694324273490399</v>
      </c>
      <c r="G188" s="35">
        <v>0.13694324273490399</v>
      </c>
      <c r="H188" s="35">
        <v>-1.2970963401650413E-2</v>
      </c>
    </row>
    <row r="189" spans="2:8" x14ac:dyDescent="0.35">
      <c r="B189" s="6">
        <v>45197</v>
      </c>
      <c r="C189" s="7" t="s">
        <v>35</v>
      </c>
      <c r="D189" s="35">
        <v>5.84798569000644E-3</v>
      </c>
      <c r="E189" s="35">
        <v>5.84798569000644E-3</v>
      </c>
      <c r="F189" s="35">
        <v>0.14359207054876721</v>
      </c>
      <c r="G189" s="35">
        <v>0.14359207054876721</v>
      </c>
      <c r="H189" s="35">
        <v>5.8309525956246628E-3</v>
      </c>
    </row>
    <row r="190" spans="2:8" x14ac:dyDescent="0.35">
      <c r="B190" s="6">
        <v>45198</v>
      </c>
      <c r="C190" s="7" t="s">
        <v>35</v>
      </c>
      <c r="D190" s="35">
        <v>1.09383747173264E-2</v>
      </c>
      <c r="E190" s="35">
        <v>1.09383747173264E-2</v>
      </c>
      <c r="F190" s="35">
        <v>0.15610110914019271</v>
      </c>
      <c r="G190" s="35">
        <v>0.15610110914019271</v>
      </c>
      <c r="H190" s="35">
        <v>1.0878983400423672E-2</v>
      </c>
    </row>
    <row r="191" spans="2:8" x14ac:dyDescent="0.35">
      <c r="B191" s="6">
        <v>45201</v>
      </c>
      <c r="C191" s="7" t="s">
        <v>35</v>
      </c>
      <c r="D191" s="35">
        <v>3.4223916448069998E-2</v>
      </c>
      <c r="E191" s="35">
        <v>3.4223916448069998E-2</v>
      </c>
      <c r="F191" s="35">
        <v>0.19566741690492773</v>
      </c>
      <c r="G191" s="35">
        <v>0.19566741690492773</v>
      </c>
      <c r="H191" s="35">
        <v>3.3651306266711666E-2</v>
      </c>
    </row>
    <row r="192" spans="2:8" x14ac:dyDescent="0.35">
      <c r="B192" s="6">
        <v>45202</v>
      </c>
      <c r="C192" s="7" t="s">
        <v>35</v>
      </c>
      <c r="D192" s="35">
        <v>8.7512678865504494E-3</v>
      </c>
      <c r="E192" s="35">
        <v>8.7512678865504494E-3</v>
      </c>
      <c r="F192" s="35">
        <v>0.2061310227734825</v>
      </c>
      <c r="G192" s="35">
        <v>0.2061310227734825</v>
      </c>
      <c r="H192" s="35">
        <v>8.7131974900052991E-3</v>
      </c>
    </row>
    <row r="193" spans="2:8" x14ac:dyDescent="0.35">
      <c r="B193" s="6">
        <v>45203</v>
      </c>
      <c r="C193" s="7" t="s">
        <v>35</v>
      </c>
      <c r="D193" s="35">
        <v>1.06105205538829E-2</v>
      </c>
      <c r="E193" s="35">
        <v>1.06105205538829E-2</v>
      </c>
      <c r="F193" s="35">
        <v>0.21892870078129634</v>
      </c>
      <c r="G193" s="35">
        <v>0.21892870078129634</v>
      </c>
      <c r="H193" s="35">
        <v>1.0554624027187789E-2</v>
      </c>
    </row>
    <row r="194" spans="2:8" x14ac:dyDescent="0.35">
      <c r="B194" s="6">
        <v>45204</v>
      </c>
      <c r="C194" s="7" t="s">
        <v>35</v>
      </c>
      <c r="D194" s="35">
        <v>-3.6000563337423602E-2</v>
      </c>
      <c r="E194" s="35">
        <v>-3.6000563337423602E-2</v>
      </c>
      <c r="F194" s="35">
        <v>0.17504658088501568</v>
      </c>
      <c r="G194" s="35">
        <v>0.17504658088501568</v>
      </c>
      <c r="H194" s="35">
        <v>-3.666456874668296E-2</v>
      </c>
    </row>
    <row r="195" spans="2:8" x14ac:dyDescent="0.35">
      <c r="B195" s="6">
        <v>45205</v>
      </c>
      <c r="C195" s="7" t="s">
        <v>35</v>
      </c>
      <c r="D195" s="35">
        <v>-1.53041606748636E-2</v>
      </c>
      <c r="E195" s="35">
        <v>-1.53041606748636E-2</v>
      </c>
      <c r="F195" s="35">
        <v>0.15706347921070218</v>
      </c>
      <c r="G195" s="35">
        <v>0.15706347921070218</v>
      </c>
      <c r="H195" s="35">
        <v>-1.5422478059602094E-2</v>
      </c>
    </row>
    <row r="196" spans="2:8" x14ac:dyDescent="0.35">
      <c r="B196" s="6">
        <v>45208</v>
      </c>
      <c r="C196" s="7" t="s">
        <v>35</v>
      </c>
      <c r="D196" s="35">
        <v>9.2756464847498794E-3</v>
      </c>
      <c r="E196" s="35">
        <v>9.2756464847498794E-3</v>
      </c>
      <c r="F196" s="35">
        <v>0.16779599100427545</v>
      </c>
      <c r="G196" s="35">
        <v>0.16779599100427545</v>
      </c>
      <c r="H196" s="35">
        <v>9.2328918570795896E-3</v>
      </c>
    </row>
    <row r="197" spans="2:8" x14ac:dyDescent="0.35">
      <c r="B197" s="6">
        <v>45209</v>
      </c>
      <c r="C197" s="7" t="s">
        <v>35</v>
      </c>
      <c r="D197" s="35">
        <v>-2.0116702349896501E-2</v>
      </c>
      <c r="E197" s="35">
        <v>-2.0116702349896501E-2</v>
      </c>
      <c r="F197" s="35">
        <v>0.14430378664784005</v>
      </c>
      <c r="G197" s="35">
        <v>0.14430378664784005</v>
      </c>
      <c r="H197" s="35">
        <v>-2.0321798439092188E-2</v>
      </c>
    </row>
    <row r="198" spans="2:8" x14ac:dyDescent="0.35">
      <c r="B198" s="6">
        <v>45210</v>
      </c>
      <c r="C198" s="7" t="s">
        <v>35</v>
      </c>
      <c r="D198" s="35">
        <v>2.0534994883857599E-2</v>
      </c>
      <c r="E198" s="35">
        <v>2.0534994883857599E-2</v>
      </c>
      <c r="F198" s="35">
        <v>0.16780205905223222</v>
      </c>
      <c r="G198" s="35">
        <v>0.16780205905223222</v>
      </c>
      <c r="H198" s="35">
        <v>2.0326994579718101E-2</v>
      </c>
    </row>
    <row r="199" spans="2:8" x14ac:dyDescent="0.35">
      <c r="B199" s="6">
        <v>45211</v>
      </c>
      <c r="C199" s="7" t="s">
        <v>35</v>
      </c>
      <c r="D199" s="35">
        <v>4.6046831567466501E-2</v>
      </c>
      <c r="E199" s="35">
        <v>4.6046831567466501E-2</v>
      </c>
      <c r="F199" s="35">
        <v>0.22157564376955086</v>
      </c>
      <c r="G199" s="35">
        <v>0.22157564376955086</v>
      </c>
      <c r="H199" s="35">
        <v>4.5018136693519929E-2</v>
      </c>
    </row>
    <row r="200" spans="2:8" x14ac:dyDescent="0.35">
      <c r="B200" s="6">
        <v>45212</v>
      </c>
      <c r="C200" s="7" t="s">
        <v>35</v>
      </c>
      <c r="D200" s="35">
        <v>-5.9571799156616896E-3</v>
      </c>
      <c r="E200" s="35">
        <v>-5.9571799156616896E-3</v>
      </c>
      <c r="F200" s="35">
        <v>0.21429849787902544</v>
      </c>
      <c r="G200" s="35">
        <v>0.21429849787902544</v>
      </c>
      <c r="H200" s="35">
        <v>-5.9749946977450067E-3</v>
      </c>
    </row>
    <row r="201" spans="2:8" x14ac:dyDescent="0.35">
      <c r="B201" s="6">
        <v>45215</v>
      </c>
      <c r="C201" s="7" t="s">
        <v>35</v>
      </c>
      <c r="D201" s="35">
        <v>-8.5240400306956197E-3</v>
      </c>
      <c r="E201" s="35">
        <v>-8.5240400306956197E-3</v>
      </c>
      <c r="F201" s="35">
        <v>0.2039477688738911</v>
      </c>
      <c r="G201" s="35">
        <v>0.2039477688738911</v>
      </c>
      <c r="H201" s="35">
        <v>-8.5605774389672738E-3</v>
      </c>
    </row>
    <row r="202" spans="2:8" x14ac:dyDescent="0.35">
      <c r="B202" s="6">
        <v>45216</v>
      </c>
      <c r="C202" s="7" t="s">
        <v>35</v>
      </c>
      <c r="D202" s="35">
        <v>1.13425283454971E-3</v>
      </c>
      <c r="E202" s="35">
        <v>1.13425283454971E-3</v>
      </c>
      <c r="F202" s="35">
        <v>0.20531335004338613</v>
      </c>
      <c r="G202" s="35">
        <v>0.20531335004338613</v>
      </c>
      <c r="H202" s="35">
        <v>1.1336100558065275E-3</v>
      </c>
    </row>
    <row r="203" spans="2:8" x14ac:dyDescent="0.35">
      <c r="B203" s="6">
        <v>45217</v>
      </c>
      <c r="C203" s="7" t="s">
        <v>35</v>
      </c>
      <c r="D203" s="35">
        <v>3.8863702645961097E-2</v>
      </c>
      <c r="E203" s="35">
        <v>3.8863702645961097E-2</v>
      </c>
      <c r="F203" s="35">
        <v>0.2521562896746794</v>
      </c>
      <c r="G203" s="35">
        <v>0.2521562896746794</v>
      </c>
      <c r="H203" s="35">
        <v>3.8127522228108827E-2</v>
      </c>
    </row>
    <row r="204" spans="2:8" x14ac:dyDescent="0.35">
      <c r="B204" s="6">
        <v>45218</v>
      </c>
      <c r="C204" s="7" t="s">
        <v>35</v>
      </c>
      <c r="D204" s="35">
        <v>3.1153395853160699E-2</v>
      </c>
      <c r="E204" s="35">
        <v>3.1153395853160699E-2</v>
      </c>
      <c r="F204" s="35">
        <v>0.29116521023693953</v>
      </c>
      <c r="G204" s="35">
        <v>0.29116521023693953</v>
      </c>
      <c r="H204" s="35">
        <v>3.0677977530362804E-2</v>
      </c>
    </row>
    <row r="205" spans="2:8" x14ac:dyDescent="0.35">
      <c r="B205" s="6">
        <v>45219</v>
      </c>
      <c r="C205" s="7" t="s">
        <v>35</v>
      </c>
      <c r="D205" s="35">
        <v>1.09389879853927E-2</v>
      </c>
      <c r="E205" s="35">
        <v>1.09389879853927E-2</v>
      </c>
      <c r="F205" s="35">
        <v>0.30528925095887849</v>
      </c>
      <c r="G205" s="35">
        <v>0.30528925095887849</v>
      </c>
      <c r="H205" s="35">
        <v>1.0879590032732478E-2</v>
      </c>
    </row>
    <row r="206" spans="2:8" x14ac:dyDescent="0.35">
      <c r="B206" s="6">
        <v>45222</v>
      </c>
      <c r="C206" s="7" t="s">
        <v>35</v>
      </c>
      <c r="D206" s="35">
        <v>2.7768205075851399E-2</v>
      </c>
      <c r="E206" s="35">
        <v>2.7768205075851399E-2</v>
      </c>
      <c r="F206" s="35">
        <v>0.34153479056280922</v>
      </c>
      <c r="G206" s="35">
        <v>0.34153479056280922</v>
      </c>
      <c r="H206" s="35">
        <v>2.7389660164486393E-2</v>
      </c>
    </row>
    <row r="207" spans="2:8" x14ac:dyDescent="0.35">
      <c r="B207" s="6">
        <v>45223</v>
      </c>
      <c r="C207" s="7" t="s">
        <v>35</v>
      </c>
      <c r="D207" s="35">
        <v>-2.4068432948141299E-2</v>
      </c>
      <c r="E207" s="35">
        <v>-2.4068432948141299E-2</v>
      </c>
      <c r="F207" s="35">
        <v>0.30924615040854952</v>
      </c>
      <c r="G207" s="35">
        <v>0.30924615040854952</v>
      </c>
      <c r="H207" s="35">
        <v>-2.4362810752821585E-2</v>
      </c>
    </row>
    <row r="208" spans="2:8" x14ac:dyDescent="0.35">
      <c r="B208" s="6">
        <v>45224</v>
      </c>
      <c r="C208" s="7" t="s">
        <v>35</v>
      </c>
      <c r="D208" s="35">
        <v>2.61585626323666E-2</v>
      </c>
      <c r="E208" s="35">
        <v>2.61585626323666E-2</v>
      </c>
      <c r="F208" s="35">
        <v>0.34349414783519649</v>
      </c>
      <c r="G208" s="35">
        <v>0.34349414783519649</v>
      </c>
      <c r="H208" s="35">
        <v>2.5822279283801337E-2</v>
      </c>
    </row>
    <row r="209" spans="2:8" x14ac:dyDescent="0.35">
      <c r="B209" s="6">
        <v>45225</v>
      </c>
      <c r="C209" s="7" t="s">
        <v>35</v>
      </c>
      <c r="D209" s="35">
        <v>-1.14518430278472E-2</v>
      </c>
      <c r="E209" s="35">
        <v>-1.14518430278472E-2</v>
      </c>
      <c r="F209" s="35">
        <v>0.32810866374535652</v>
      </c>
      <c r="G209" s="35">
        <v>0.32810866374535652</v>
      </c>
      <c r="H209" s="35">
        <v>-1.1517920337925742E-2</v>
      </c>
    </row>
    <row r="210" spans="2:8" x14ac:dyDescent="0.35">
      <c r="B210" s="6">
        <v>45226</v>
      </c>
      <c r="C210" s="7" t="s">
        <v>35</v>
      </c>
      <c r="D210" s="35">
        <v>2.9083126992869499E-2</v>
      </c>
      <c r="E210" s="35">
        <v>2.9083126992869499E-2</v>
      </c>
      <c r="F210" s="35">
        <v>0.3667342166733929</v>
      </c>
      <c r="G210" s="35">
        <v>0.3667342166733929</v>
      </c>
      <c r="H210" s="35">
        <v>2.8668237838671031E-2</v>
      </c>
    </row>
    <row r="211" spans="2:8" x14ac:dyDescent="0.35">
      <c r="B211" s="6">
        <v>45229</v>
      </c>
      <c r="C211" s="7" t="s">
        <v>35</v>
      </c>
      <c r="D211" s="35">
        <v>-2.08758216909961E-2</v>
      </c>
      <c r="E211" s="35">
        <v>-2.08758216909961E-2</v>
      </c>
      <c r="F211" s="35">
        <v>0.33820251686713587</v>
      </c>
      <c r="G211" s="35">
        <v>0.33820251686713587</v>
      </c>
      <c r="H211" s="35">
        <v>-2.1096802504580882E-2</v>
      </c>
    </row>
    <row r="212" spans="2:8" x14ac:dyDescent="0.35">
      <c r="B212" s="6">
        <v>45230</v>
      </c>
      <c r="C212" s="7" t="s">
        <v>35</v>
      </c>
      <c r="D212" s="35">
        <v>-2.3424984862539602E-2</v>
      </c>
      <c r="E212" s="35">
        <v>-2.3424984862539602E-2</v>
      </c>
      <c r="F212" s="35">
        <v>0.30685514316651075</v>
      </c>
      <c r="G212" s="35">
        <v>0.30685514316651075</v>
      </c>
      <c r="H212" s="35">
        <v>-2.3703711198674454E-2</v>
      </c>
    </row>
    <row r="213" spans="2:8" x14ac:dyDescent="0.35">
      <c r="B213" s="6">
        <v>45231</v>
      </c>
      <c r="C213" s="7" t="s">
        <v>35</v>
      </c>
      <c r="D213" s="35">
        <v>-1.8853965402242601E-2</v>
      </c>
      <c r="E213" s="35">
        <v>-1.8853965402242601E-2</v>
      </c>
      <c r="F213" s="35">
        <v>0.28221574151150652</v>
      </c>
      <c r="G213" s="35">
        <v>0.28221574151150652</v>
      </c>
      <c r="H213" s="35">
        <v>-1.9033967501114208E-2</v>
      </c>
    </row>
    <row r="214" spans="2:8" x14ac:dyDescent="0.35">
      <c r="B214" s="6">
        <v>45232</v>
      </c>
      <c r="C214" s="7" t="s">
        <v>35</v>
      </c>
      <c r="D214" s="35">
        <v>-1.82215051601642E-2</v>
      </c>
      <c r="E214" s="35">
        <v>-1.82215051601642E-2</v>
      </c>
      <c r="F214" s="35">
        <v>0.2588518407611109</v>
      </c>
      <c r="G214" s="35">
        <v>0.2588518407611109</v>
      </c>
      <c r="H214" s="35">
        <v>-1.8389561407573904E-2</v>
      </c>
    </row>
    <row r="215" spans="2:8" x14ac:dyDescent="0.35">
      <c r="B215" s="6">
        <v>45233</v>
      </c>
      <c r="C215" s="7" t="s">
        <v>35</v>
      </c>
      <c r="D215" s="35">
        <v>-4.8771940182338498E-2</v>
      </c>
      <c r="E215" s="35">
        <v>-4.8771940182338498E-2</v>
      </c>
      <c r="F215" s="35">
        <v>0.19745519408508327</v>
      </c>
      <c r="G215" s="35">
        <v>0.19745519408508327</v>
      </c>
      <c r="H215" s="35">
        <v>-5.0001434652877978E-2</v>
      </c>
    </row>
    <row r="216" spans="2:8" x14ac:dyDescent="0.35">
      <c r="B216" s="6">
        <v>45236</v>
      </c>
      <c r="C216" s="7" t="s">
        <v>35</v>
      </c>
      <c r="D216" s="35">
        <v>1.7862288608831101E-2</v>
      </c>
      <c r="E216" s="35">
        <v>1.7862288608831101E-2</v>
      </c>
      <c r="F216" s="35">
        <v>0.21884448435797488</v>
      </c>
      <c r="G216" s="35">
        <v>0.21884448435797488</v>
      </c>
      <c r="H216" s="35">
        <v>1.7704632561964882E-2</v>
      </c>
    </row>
    <row r="217" spans="2:8" x14ac:dyDescent="0.35">
      <c r="B217" s="6">
        <v>45237</v>
      </c>
      <c r="C217" s="7" t="s">
        <v>35</v>
      </c>
      <c r="D217" s="35">
        <v>-2.6034633461045301E-2</v>
      </c>
      <c r="E217" s="35">
        <v>-2.6034633461045301E-2</v>
      </c>
      <c r="F217" s="35">
        <v>0.18711231496169822</v>
      </c>
      <c r="G217" s="35">
        <v>0.18711231496169822</v>
      </c>
      <c r="H217" s="35">
        <v>-2.6379533940020471E-2</v>
      </c>
    </row>
    <row r="218" spans="2:8" x14ac:dyDescent="0.35">
      <c r="B218" s="6">
        <v>45238</v>
      </c>
      <c r="C218" s="7" t="s">
        <v>35</v>
      </c>
      <c r="D218" s="35">
        <v>3.0386618442175502E-2</v>
      </c>
      <c r="E218" s="35">
        <v>3.0386618442175502E-2</v>
      </c>
      <c r="F218" s="35">
        <v>0.22318464392444692</v>
      </c>
      <c r="G218" s="35">
        <v>0.22318464392444692</v>
      </c>
      <c r="H218" s="35">
        <v>2.9934089523312366E-2</v>
      </c>
    </row>
    <row r="219" spans="2:8" x14ac:dyDescent="0.35">
      <c r="B219" s="6">
        <v>45239</v>
      </c>
      <c r="C219" s="7" t="s">
        <v>35</v>
      </c>
      <c r="D219" s="35">
        <v>5.7737615606131998E-2</v>
      </c>
      <c r="E219" s="35">
        <v>5.7737615606131998E-2</v>
      </c>
      <c r="F219" s="35">
        <v>0.29380840871068004</v>
      </c>
      <c r="G219" s="35">
        <v>0.29380840871068004</v>
      </c>
      <c r="H219" s="35">
        <v>5.6132302306654024E-2</v>
      </c>
    </row>
    <row r="220" spans="2:8" x14ac:dyDescent="0.35">
      <c r="B220" s="6">
        <v>45240</v>
      </c>
      <c r="C220" s="7" t="s">
        <v>35</v>
      </c>
      <c r="D220" s="35">
        <v>6.8290755522504298E-4</v>
      </c>
      <c r="E220" s="35">
        <v>6.8290755522504298E-4</v>
      </c>
      <c r="F220" s="35">
        <v>0.29469196024800226</v>
      </c>
      <c r="G220" s="35">
        <v>0.29469196024800226</v>
      </c>
      <c r="H220" s="35">
        <v>6.8267447996708439E-4</v>
      </c>
    </row>
    <row r="221" spans="2:8" x14ac:dyDescent="0.35">
      <c r="B221" s="6">
        <v>45243</v>
      </c>
      <c r="C221" s="7" t="s">
        <v>35</v>
      </c>
      <c r="D221" s="35">
        <v>-1.90509353669222E-3</v>
      </c>
      <c r="E221" s="35">
        <v>-1.90509353669222E-3</v>
      </c>
      <c r="F221" s="35">
        <v>0.29222545096252639</v>
      </c>
      <c r="G221" s="35">
        <v>0.29222545096252639</v>
      </c>
      <c r="H221" s="35">
        <v>-1.9069105354524562E-3</v>
      </c>
    </row>
    <row r="222" spans="2:8" x14ac:dyDescent="0.35">
      <c r="B222" s="6">
        <v>45244</v>
      </c>
      <c r="C222" s="7" t="s">
        <v>35</v>
      </c>
      <c r="D222" s="35">
        <v>-6.6425554853097604E-2</v>
      </c>
      <c r="E222" s="35">
        <v>-6.6425554853097604E-2</v>
      </c>
      <c r="F222" s="35">
        <v>0.20638865838704623</v>
      </c>
      <c r="G222" s="35">
        <v>0.20638865838704623</v>
      </c>
      <c r="H222" s="35">
        <v>-6.8734570763488975E-2</v>
      </c>
    </row>
    <row r="223" spans="2:8" x14ac:dyDescent="0.35">
      <c r="B223" s="6">
        <v>45245</v>
      </c>
      <c r="C223" s="7" t="s">
        <v>35</v>
      </c>
      <c r="D223" s="35">
        <v>-5.6076256797423802E-3</v>
      </c>
      <c r="E223" s="35">
        <v>-5.6076256797423802E-3</v>
      </c>
      <c r="F223" s="35">
        <v>0.19962368236652517</v>
      </c>
      <c r="G223" s="35">
        <v>0.19962368236652517</v>
      </c>
      <c r="H223" s="35">
        <v>-5.6234074390767285E-3</v>
      </c>
    </row>
    <row r="224" spans="2:8" x14ac:dyDescent="0.35">
      <c r="B224" s="6">
        <v>45246</v>
      </c>
      <c r="C224" s="7" t="s">
        <v>35</v>
      </c>
      <c r="D224" s="35">
        <v>2.42493231861278E-2</v>
      </c>
      <c r="E224" s="35">
        <v>2.42493231861278E-2</v>
      </c>
      <c r="F224" s="35">
        <v>0.22871374474196382</v>
      </c>
      <c r="G224" s="35">
        <v>0.22871374474196382</v>
      </c>
      <c r="H224" s="35">
        <v>2.3959976654903653E-2</v>
      </c>
    </row>
    <row r="225" spans="2:8" x14ac:dyDescent="0.35">
      <c r="B225" s="6">
        <v>45247</v>
      </c>
      <c r="C225" s="7" t="s">
        <v>35</v>
      </c>
      <c r="D225" s="35">
        <v>-3.4739773362794303E-2</v>
      </c>
      <c r="E225" s="35">
        <v>-3.4739773362794303E-2</v>
      </c>
      <c r="F225" s="35">
        <v>0.18602850772187773</v>
      </c>
      <c r="G225" s="35">
        <v>0.18602850772187773</v>
      </c>
      <c r="H225" s="35">
        <v>-3.5357549087175998E-2</v>
      </c>
    </row>
    <row r="226" spans="2:8" x14ac:dyDescent="0.35">
      <c r="B226" s="6">
        <v>45250</v>
      </c>
      <c r="C226" s="7" t="s">
        <v>35</v>
      </c>
      <c r="D226" s="35">
        <v>-1.32579354683238E-2</v>
      </c>
      <c r="E226" s="35">
        <v>-1.32579354683238E-2</v>
      </c>
      <c r="F226" s="35">
        <v>0.17030421830290865</v>
      </c>
      <c r="G226" s="35">
        <v>0.17030421830290865</v>
      </c>
      <c r="H226" s="35">
        <v>-1.3346606496674915E-2</v>
      </c>
    </row>
    <row r="227" spans="2:8" x14ac:dyDescent="0.35">
      <c r="B227" s="6">
        <v>45251</v>
      </c>
      <c r="C227" s="7" t="s">
        <v>35</v>
      </c>
      <c r="D227" s="35">
        <v>2.65827122342088E-2</v>
      </c>
      <c r="E227" s="35">
        <v>2.65827122342088E-2</v>
      </c>
      <c r="F227" s="35">
        <v>0.20141407856453553</v>
      </c>
      <c r="G227" s="35">
        <v>0.20141407856453553</v>
      </c>
      <c r="H227" s="35">
        <v>2.6235531175865572E-2</v>
      </c>
    </row>
    <row r="228" spans="2:8" x14ac:dyDescent="0.35">
      <c r="B228" s="6">
        <v>45252</v>
      </c>
      <c r="C228" s="7" t="s">
        <v>35</v>
      </c>
      <c r="D228" s="35">
        <v>-8.6680250180608508E-3</v>
      </c>
      <c r="E228" s="35">
        <v>-8.6680250180608508E-3</v>
      </c>
      <c r="F228" s="35">
        <v>0.19100019127448764</v>
      </c>
      <c r="G228" s="35">
        <v>0.19100019127448764</v>
      </c>
      <c r="H228" s="35">
        <v>-8.7058108577773088E-3</v>
      </c>
    </row>
    <row r="229" spans="2:8" x14ac:dyDescent="0.35">
      <c r="B229" s="6">
        <v>45254</v>
      </c>
      <c r="C229" s="7" t="s">
        <v>35</v>
      </c>
      <c r="D229" s="35">
        <v>-1.6849784976260884E-2</v>
      </c>
      <c r="E229" s="35">
        <v>-1.6849784976260884E-2</v>
      </c>
      <c r="F229" s="35">
        <v>0.17093209414482691</v>
      </c>
      <c r="G229" s="35">
        <v>0.17093209414482691</v>
      </c>
      <c r="H229" s="35">
        <v>-1.6993357667609468E-2</v>
      </c>
    </row>
    <row r="230" spans="2:8" x14ac:dyDescent="0.35">
      <c r="B230" s="6">
        <v>45257</v>
      </c>
      <c r="C230" s="7" t="s">
        <v>35</v>
      </c>
      <c r="D230" s="35">
        <v>1.2534081153768001E-2</v>
      </c>
      <c r="E230" s="35">
        <v>1.2534081153768001E-2</v>
      </c>
      <c r="F230" s="35">
        <v>0.18560865203838972</v>
      </c>
      <c r="G230" s="35">
        <v>0.18560865203838972</v>
      </c>
      <c r="H230" s="35">
        <v>1.2456179830841825E-2</v>
      </c>
    </row>
    <row r="231" spans="2:8" x14ac:dyDescent="0.35">
      <c r="B231" s="6">
        <v>45258</v>
      </c>
      <c r="C231" s="7" t="s">
        <v>35</v>
      </c>
      <c r="D231" s="35">
        <v>-7.2722212476978897E-3</v>
      </c>
      <c r="E231" s="35">
        <v>-7.2722212476978897E-3</v>
      </c>
      <c r="F231" s="35">
        <v>0.17698664360758176</v>
      </c>
      <c r="G231" s="35">
        <v>0.17698664360758176</v>
      </c>
      <c r="H231" s="35">
        <v>-7.2987927495690146E-3</v>
      </c>
    </row>
    <row r="232" spans="2:8" x14ac:dyDescent="0.35">
      <c r="B232" s="6">
        <v>45259</v>
      </c>
      <c r="C232" s="7" t="s">
        <v>35</v>
      </c>
      <c r="D232" s="35">
        <v>-1.23890610625939E-2</v>
      </c>
      <c r="E232" s="35">
        <v>-1.23890610625939E-2</v>
      </c>
      <c r="F232" s="35">
        <v>0.16240488421007004</v>
      </c>
      <c r="G232" s="35">
        <v>0.16240488421007004</v>
      </c>
      <c r="H232" s="35">
        <v>-1.2466445289134881E-2</v>
      </c>
    </row>
    <row r="233" spans="2:8" x14ac:dyDescent="0.35">
      <c r="B233" s="6">
        <v>45260</v>
      </c>
      <c r="C233" s="7" t="s">
        <v>35</v>
      </c>
      <c r="D233" s="35">
        <v>-2.46408902799975E-2</v>
      </c>
      <c r="E233" s="35">
        <v>-2.46408902799975E-2</v>
      </c>
      <c r="F233" s="35">
        <v>0.13376219299731651</v>
      </c>
      <c r="G233" s="35">
        <v>0.13376219299731651</v>
      </c>
      <c r="H233" s="35">
        <v>-2.4949558135048278E-2</v>
      </c>
    </row>
    <row r="234" spans="2:8" x14ac:dyDescent="0.35">
      <c r="B234" s="6">
        <v>45261</v>
      </c>
      <c r="C234" s="7" t="s">
        <v>35</v>
      </c>
      <c r="D234" s="35">
        <v>-3.1436262066064598E-2</v>
      </c>
      <c r="E234" s="35">
        <v>-3.1436262066064598E-2</v>
      </c>
      <c r="F234" s="35">
        <v>9.812094757765677E-2</v>
      </c>
      <c r="G234" s="35">
        <v>9.812094757765677E-2</v>
      </c>
      <c r="H234" s="35">
        <v>-3.1940987320734984E-2</v>
      </c>
    </row>
    <row r="235" spans="2:8" x14ac:dyDescent="0.35">
      <c r="B235" s="6">
        <v>45264</v>
      </c>
      <c r="C235" s="7" t="s">
        <v>35</v>
      </c>
      <c r="D235" s="35">
        <v>-3.4817614735654E-2</v>
      </c>
      <c r="E235" s="35">
        <v>-3.4817614735654E-2</v>
      </c>
      <c r="F235" s="35">
        <v>5.9886995491746475E-2</v>
      </c>
      <c r="G235" s="35">
        <v>5.9886995491746475E-2</v>
      </c>
      <c r="H235" s="35">
        <v>-3.5438195227519141E-2</v>
      </c>
    </row>
    <row r="236" spans="2:8" x14ac:dyDescent="0.35">
      <c r="B236" s="6">
        <v>45265</v>
      </c>
      <c r="C236" s="7" t="s">
        <v>35</v>
      </c>
      <c r="D236" s="35">
        <v>2.3040551728294601E-2</v>
      </c>
      <c r="E236" s="35">
        <v>2.3040551728294601E-2</v>
      </c>
      <c r="F236" s="35">
        <v>8.4307376637520859E-2</v>
      </c>
      <c r="G236" s="35">
        <v>8.4307376637520859E-2</v>
      </c>
      <c r="H236" s="35">
        <v>2.2779126191953141E-2</v>
      </c>
    </row>
    <row r="237" spans="2:8" x14ac:dyDescent="0.35">
      <c r="B237" s="6">
        <v>45266</v>
      </c>
      <c r="C237" s="7" t="s">
        <v>35</v>
      </c>
      <c r="D237" s="35">
        <v>-1.8470937766718699E-2</v>
      </c>
      <c r="E237" s="35">
        <v>-1.8470937766718699E-2</v>
      </c>
      <c r="F237" s="35">
        <v>6.4279202563655158E-2</v>
      </c>
      <c r="G237" s="35">
        <v>6.4279202563655158E-2</v>
      </c>
      <c r="H237" s="35">
        <v>-1.8643655685363376E-2</v>
      </c>
    </row>
    <row r="238" spans="2:8" x14ac:dyDescent="0.35">
      <c r="B238" s="6">
        <v>45267</v>
      </c>
      <c r="C238" s="7" t="s">
        <v>35</v>
      </c>
      <c r="D238" s="35">
        <v>-2.7378823873134499E-2</v>
      </c>
      <c r="E238" s="35">
        <v>-2.7378823873134499E-2</v>
      </c>
      <c r="F238" s="35">
        <v>3.5140489724824864E-2</v>
      </c>
      <c r="G238" s="35">
        <v>3.5140489724824864E-2</v>
      </c>
      <c r="H238" s="35">
        <v>-2.776060855066043E-2</v>
      </c>
    </row>
    <row r="239" spans="2:8" x14ac:dyDescent="0.35">
      <c r="B239" s="6">
        <v>45268</v>
      </c>
      <c r="C239" s="7" t="s">
        <v>35</v>
      </c>
      <c r="D239" s="35">
        <v>9.4392082491712203E-4</v>
      </c>
      <c r="E239" s="35">
        <v>9.4392082491712203E-4</v>
      </c>
      <c r="F239" s="35">
        <v>3.6117580389791071E-2</v>
      </c>
      <c r="G239" s="35">
        <v>3.6117580389791071E-2</v>
      </c>
      <c r="H239" s="35">
        <v>9.4347561179719585E-4</v>
      </c>
    </row>
    <row r="240" spans="2:8" x14ac:dyDescent="0.35">
      <c r="B240" s="6">
        <v>45271</v>
      </c>
      <c r="C240" s="7" t="s">
        <v>35</v>
      </c>
      <c r="D240" s="35">
        <v>8.4787054268247192E-3</v>
      </c>
      <c r="E240" s="35">
        <v>8.4787054268247192E-3</v>
      </c>
      <c r="F240" s="35">
        <v>4.490251614147045E-2</v>
      </c>
      <c r="G240" s="35">
        <v>4.490251614147045E-2</v>
      </c>
      <c r="H240" s="35">
        <v>8.4429630943337608E-3</v>
      </c>
    </row>
    <row r="241" spans="2:8" x14ac:dyDescent="0.35">
      <c r="B241" s="6">
        <v>45272</v>
      </c>
      <c r="C241" s="7" t="s">
        <v>35</v>
      </c>
      <c r="D241" s="35">
        <v>-1.1826273404979199E-2</v>
      </c>
      <c r="E241" s="35">
        <v>-1.1826273404979199E-2</v>
      </c>
      <c r="F241" s="35">
        <v>3.2545213304030707E-2</v>
      </c>
      <c r="G241" s="35">
        <v>3.2545213304030707E-2</v>
      </c>
      <c r="H241" s="35">
        <v>-1.1896760057081891E-2</v>
      </c>
    </row>
    <row r="242" spans="2:8" x14ac:dyDescent="0.35">
      <c r="B242" s="6">
        <v>45273</v>
      </c>
      <c r="C242" s="7" t="s">
        <v>35</v>
      </c>
      <c r="D242" s="35">
        <v>-4.3662037142548203E-2</v>
      </c>
      <c r="E242" s="35">
        <v>-4.3662037142548203E-2</v>
      </c>
      <c r="F242" s="35">
        <v>-1.2537814150610282E-2</v>
      </c>
      <c r="G242" s="35">
        <v>-1.2537814150610282E-2</v>
      </c>
      <c r="H242" s="35">
        <v>-4.4643910770053537E-2</v>
      </c>
    </row>
    <row r="243" spans="2:8" x14ac:dyDescent="0.35">
      <c r="B243" s="6">
        <v>45274</v>
      </c>
      <c r="C243" s="7" t="s">
        <v>35</v>
      </c>
      <c r="D243" s="35">
        <v>-1.9904047197832501E-2</v>
      </c>
      <c r="E243" s="35">
        <v>-1.9904047197832501E-2</v>
      </c>
      <c r="F243" s="35">
        <v>-3.2192308103831335E-2</v>
      </c>
      <c r="G243" s="35">
        <v>-3.2192308103831335E-2</v>
      </c>
      <c r="H243" s="35">
        <v>-2.0104801087870824E-2</v>
      </c>
    </row>
    <row r="244" spans="2:8" x14ac:dyDescent="0.35">
      <c r="B244" s="6">
        <v>45275</v>
      </c>
      <c r="C244" s="7" t="s">
        <v>35</v>
      </c>
      <c r="D244" s="35">
        <v>1.1249392410921401E-3</v>
      </c>
      <c r="E244" s="35">
        <v>1.1249392410921401E-3</v>
      </c>
      <c r="F244" s="35">
        <v>-3.110358325338658E-2</v>
      </c>
      <c r="G244" s="35">
        <v>-3.110358325338658E-2</v>
      </c>
      <c r="H244" s="35">
        <v>1.1243069710765393E-3</v>
      </c>
    </row>
    <row r="245" spans="2:8" x14ac:dyDescent="0.35">
      <c r="B245" s="6">
        <v>45278</v>
      </c>
      <c r="C245" s="7" t="s">
        <v>35</v>
      </c>
      <c r="D245" s="35">
        <v>2.65742009367953E-3</v>
      </c>
      <c r="E245" s="35">
        <v>2.65742009367953E-3</v>
      </c>
      <c r="F245" s="35">
        <v>-2.8528818446830084E-2</v>
      </c>
      <c r="G245" s="35">
        <v>-2.8528818446830084E-2</v>
      </c>
      <c r="H245" s="35">
        <v>2.6538953959232684E-3</v>
      </c>
    </row>
    <row r="246" spans="2:8" x14ac:dyDescent="0.35">
      <c r="B246" s="6">
        <v>45279</v>
      </c>
      <c r="C246" s="7" t="s">
        <v>35</v>
      </c>
      <c r="D246" s="35">
        <v>-3.5044729808220799E-2</v>
      </c>
      <c r="E246" s="35">
        <v>-3.5044729808220799E-2</v>
      </c>
      <c r="F246" s="35">
        <v>-6.2573763520833992E-2</v>
      </c>
      <c r="G246" s="35">
        <v>-6.2573763520833992E-2</v>
      </c>
      <c r="H246" s="35">
        <v>-3.567353085031575E-2</v>
      </c>
    </row>
    <row r="247" spans="2:8" x14ac:dyDescent="0.35">
      <c r="B247" s="6">
        <v>45280</v>
      </c>
      <c r="C247" s="7" t="s">
        <v>35</v>
      </c>
      <c r="D247" s="35">
        <v>4.2674740158546998E-2</v>
      </c>
      <c r="E247" s="35">
        <v>4.2674740158546998E-2</v>
      </c>
      <c r="F247" s="35">
        <v>-2.256934246128095E-2</v>
      </c>
      <c r="G247" s="35">
        <v>-2.256934246128095E-2</v>
      </c>
      <c r="H247" s="35">
        <v>4.1789277103788228E-2</v>
      </c>
    </row>
    <row r="248" spans="2:8" x14ac:dyDescent="0.35">
      <c r="B248" s="6">
        <v>45281</v>
      </c>
      <c r="C248" s="7" t="s">
        <v>35</v>
      </c>
      <c r="D248" s="35">
        <v>-5.8385533822286499E-2</v>
      </c>
      <c r="E248" s="35">
        <v>-5.8385533822286499E-2</v>
      </c>
      <c r="F248" s="35">
        <v>-7.963715317594755E-2</v>
      </c>
      <c r="G248" s="35">
        <v>-7.963715317594755E-2</v>
      </c>
      <c r="H248" s="35">
        <v>-6.0159359753795459E-2</v>
      </c>
    </row>
    <row r="249" spans="2:8" x14ac:dyDescent="0.35">
      <c r="B249" s="6">
        <v>45282</v>
      </c>
      <c r="C249" s="7" t="s">
        <v>35</v>
      </c>
      <c r="D249" s="35">
        <v>-3.5234726223336801E-2</v>
      </c>
      <c r="E249" s="35">
        <v>-3.5234726223336801E-2</v>
      </c>
      <c r="F249" s="35">
        <v>-0.11206588610992385</v>
      </c>
      <c r="G249" s="35">
        <v>-0.11206588610992385</v>
      </c>
      <c r="H249" s="35">
        <v>-3.587044684037842E-2</v>
      </c>
    </row>
    <row r="250" spans="2:8" x14ac:dyDescent="0.35">
      <c r="B250" s="6">
        <v>45286</v>
      </c>
      <c r="C250" s="7" t="s">
        <v>35</v>
      </c>
      <c r="D250" s="35">
        <v>-2.9676657602356271E-2</v>
      </c>
      <c r="E250" s="35">
        <v>-2.9676657602356271E-2</v>
      </c>
      <c r="F250" s="35">
        <v>-0.1384168027812912</v>
      </c>
      <c r="G250" s="35">
        <v>-0.1384168027812912</v>
      </c>
      <c r="H250" s="35">
        <v>-3.0125920353052171E-2</v>
      </c>
    </row>
    <row r="251" spans="2:8" x14ac:dyDescent="0.35">
      <c r="B251" s="6">
        <v>45287</v>
      </c>
      <c r="C251" s="7" t="s">
        <v>35</v>
      </c>
      <c r="D251" s="35">
        <v>-4.8206305961197501E-2</v>
      </c>
      <c r="E251" s="35">
        <v>-4.8206305961197501E-2</v>
      </c>
      <c r="F251" s="35">
        <v>-0.17995054599744298</v>
      </c>
      <c r="G251" s="35">
        <v>-0.17995054599744298</v>
      </c>
      <c r="H251" s="35">
        <v>-4.9406975617765123E-2</v>
      </c>
    </row>
    <row r="252" spans="2:8" x14ac:dyDescent="0.35">
      <c r="B252" s="6">
        <v>45288</v>
      </c>
      <c r="C252" s="7" t="s">
        <v>35</v>
      </c>
      <c r="D252" s="35">
        <v>-1.92564531877126E-3</v>
      </c>
      <c r="E252" s="35">
        <v>-1.92564531877126E-3</v>
      </c>
      <c r="F252" s="35">
        <v>-0.18152967038970391</v>
      </c>
      <c r="G252" s="35">
        <v>-0.18152967038970391</v>
      </c>
      <c r="H252" s="35">
        <v>-1.9275017573290923E-3</v>
      </c>
    </row>
    <row r="253" spans="2:8" x14ac:dyDescent="0.35">
      <c r="B253" s="6">
        <v>45289</v>
      </c>
      <c r="C253" s="7" t="s">
        <v>35</v>
      </c>
      <c r="D253" s="35">
        <v>1.3800269669451901E-2</v>
      </c>
      <c r="E253" s="35">
        <v>1.3800269669451901E-2</v>
      </c>
      <c r="F253" s="35">
        <v>-0.17023455912463659</v>
      </c>
      <c r="G253" s="35">
        <v>-0.17023455912463659</v>
      </c>
      <c r="H253" s="35">
        <v>1.370591305474682E-2</v>
      </c>
    </row>
    <row r="254" spans="2:8" x14ac:dyDescent="0.35">
      <c r="B254" s="6">
        <v>45293</v>
      </c>
      <c r="C254" s="7" t="s">
        <v>35</v>
      </c>
      <c r="D254" s="35">
        <v>-2.1658145683057795E-3</v>
      </c>
      <c r="E254" s="35">
        <v>-2.1658145683057795E-3</v>
      </c>
      <c r="F254" s="35">
        <v>-0.17203167720476109</v>
      </c>
      <c r="G254" s="35">
        <v>-0.17203167720476109</v>
      </c>
      <c r="H254" s="35">
        <v>-2.1681633366218041E-3</v>
      </c>
    </row>
    <row r="255" spans="2:8" x14ac:dyDescent="0.35">
      <c r="B255" s="6">
        <v>45294</v>
      </c>
      <c r="C255" s="7" t="s">
        <v>35</v>
      </c>
      <c r="D255" s="35">
        <v>1.8734979999999998E-2</v>
      </c>
      <c r="E255" s="35">
        <v>1.8734979999999998E-2</v>
      </c>
      <c r="F255" s="35">
        <v>-0.15651970723655872</v>
      </c>
      <c r="G255" s="35">
        <v>-0.15651970723655872</v>
      </c>
      <c r="H255" s="35">
        <v>1.8561641905965945E-2</v>
      </c>
    </row>
    <row r="256" spans="2:8" x14ac:dyDescent="0.35">
      <c r="B256" s="6">
        <v>45295</v>
      </c>
      <c r="C256" s="7" t="s">
        <v>35</v>
      </c>
      <c r="D256" s="35">
        <v>-1.4352455E-2</v>
      </c>
      <c r="E256" s="35">
        <v>-1.4352455E-2</v>
      </c>
      <c r="F256" s="35">
        <v>-0.16862572018183286</v>
      </c>
      <c r="G256" s="35">
        <v>-0.16862572018183286</v>
      </c>
      <c r="H256" s="35">
        <v>-1.4456447715402283E-2</v>
      </c>
    </row>
    <row r="257" spans="2:8" x14ac:dyDescent="0.35">
      <c r="B257" s="6">
        <v>45296</v>
      </c>
      <c r="C257" s="7" t="s">
        <v>35</v>
      </c>
      <c r="D257" s="35">
        <v>1.1527573E-3</v>
      </c>
      <c r="E257" s="35">
        <v>1.1527573E-3</v>
      </c>
      <c r="F257" s="35">
        <v>-0.16766734741174016</v>
      </c>
      <c r="G257" s="35">
        <v>-0.16766734741174016</v>
      </c>
      <c r="H257" s="35">
        <v>1.152093385476292E-3</v>
      </c>
    </row>
    <row r="258" spans="2:8" x14ac:dyDescent="0.35">
      <c r="B258" s="6">
        <v>45299</v>
      </c>
      <c r="C258" s="7" t="s">
        <v>35</v>
      </c>
      <c r="D258" s="35">
        <v>-7.6717585000000005E-2</v>
      </c>
      <c r="E258" s="35">
        <v>-7.6717585000000005E-2</v>
      </c>
      <c r="F258" s="35">
        <v>-0.23152189843495552</v>
      </c>
      <c r="G258" s="35">
        <v>-0.23152189843495552</v>
      </c>
      <c r="H258" s="35">
        <v>-7.9820116198856983E-2</v>
      </c>
    </row>
    <row r="259" spans="2:8" x14ac:dyDescent="0.35">
      <c r="B259" s="6">
        <v>45300</v>
      </c>
      <c r="C259" s="7" t="s">
        <v>35</v>
      </c>
      <c r="D259" s="35">
        <v>7.5882270000000003E-3</v>
      </c>
      <c r="E259" s="35">
        <v>7.5882270000000003E-3</v>
      </c>
      <c r="F259" s="35">
        <v>-0.22569051215575087</v>
      </c>
      <c r="G259" s="35">
        <v>-0.22569051215575087</v>
      </c>
      <c r="H259" s="35">
        <v>7.5595812279779396E-3</v>
      </c>
    </row>
    <row r="260" spans="2:8" x14ac:dyDescent="0.35">
      <c r="B260" s="6">
        <v>45301</v>
      </c>
      <c r="C260" s="7" t="s">
        <v>35</v>
      </c>
      <c r="D260" s="35">
        <v>2.4159391999999998E-3</v>
      </c>
      <c r="E260" s="35">
        <v>2.4159391999999998E-3</v>
      </c>
      <c r="F260" s="35">
        <v>-0.22381982751113594</v>
      </c>
      <c r="G260" s="35">
        <v>-0.22381982751113594</v>
      </c>
      <c r="H260" s="35">
        <v>2.4130255108113629E-3</v>
      </c>
    </row>
    <row r="261" spans="2:8" x14ac:dyDescent="0.35">
      <c r="B261" s="6">
        <v>45302</v>
      </c>
      <c r="C261" s="7" t="s">
        <v>35</v>
      </c>
      <c r="D261" s="35">
        <v>5.0855400000000002E-2</v>
      </c>
      <c r="E261" s="35">
        <v>5.0855400000000002E-2</v>
      </c>
      <c r="F261" s="35">
        <v>-0.1843468743671457</v>
      </c>
      <c r="G261" s="35">
        <v>-0.1843468743671457</v>
      </c>
      <c r="H261" s="35">
        <v>4.9604499175326312E-2</v>
      </c>
    </row>
    <row r="262" spans="2:8" x14ac:dyDescent="0.35">
      <c r="B262" s="6">
        <v>45303</v>
      </c>
      <c r="C262" s="7" t="s">
        <v>35</v>
      </c>
      <c r="D262" s="35">
        <v>-6.0415420000000004E-4</v>
      </c>
      <c r="E262" s="35">
        <v>-6.0415420000000004E-4</v>
      </c>
      <c r="F262" s="35">
        <v>-0.18483965462873997</v>
      </c>
      <c r="G262" s="35">
        <v>-0.18483965462873997</v>
      </c>
      <c r="H262" s="35">
        <v>-6.0433677468794186E-4</v>
      </c>
    </row>
    <row r="263" spans="2:8" x14ac:dyDescent="0.35">
      <c r="B263" s="6">
        <v>45307</v>
      </c>
      <c r="C263" s="7" t="s">
        <v>35</v>
      </c>
      <c r="D263" s="35">
        <v>2.3083982286005167E-2</v>
      </c>
      <c r="E263" s="35">
        <v>2.3083982286005167E-2</v>
      </c>
      <c r="F263" s="35">
        <v>-0.16602250765593596</v>
      </c>
      <c r="G263" s="35">
        <v>-0.16602250765593596</v>
      </c>
      <c r="H263" s="35">
        <v>2.2821577721168645E-2</v>
      </c>
    </row>
    <row r="264" spans="2:8" x14ac:dyDescent="0.35">
      <c r="B264" s="6">
        <v>45308</v>
      </c>
      <c r="C264" s="7" t="s">
        <v>35</v>
      </c>
      <c r="D264" s="35">
        <v>2.6255348E-3</v>
      </c>
      <c r="E264" s="35">
        <v>2.6255348E-3</v>
      </c>
      <c r="F264" s="35">
        <v>-0.16383287072736996</v>
      </c>
      <c r="G264" s="35">
        <v>-0.16383287072736996</v>
      </c>
      <c r="H264" s="35">
        <v>2.6220941046347103E-3</v>
      </c>
    </row>
    <row r="265" spans="2:8" x14ac:dyDescent="0.35">
      <c r="B265" s="6">
        <v>45309</v>
      </c>
      <c r="C265" s="7" t="s">
        <v>35</v>
      </c>
      <c r="D265" s="35">
        <v>1.2003221999999999E-2</v>
      </c>
      <c r="E265" s="35">
        <v>1.2003221999999999E-2</v>
      </c>
      <c r="F265" s="35">
        <v>-0.15379617104560794</v>
      </c>
      <c r="G265" s="35">
        <v>-0.15379617104560794</v>
      </c>
      <c r="H265" s="35">
        <v>1.1931754654671868E-2</v>
      </c>
    </row>
    <row r="266" spans="2:8" x14ac:dyDescent="0.35">
      <c r="B266" s="6">
        <v>45310</v>
      </c>
      <c r="C266" s="7" t="s">
        <v>35</v>
      </c>
      <c r="D266" s="35">
        <v>1.8471996000000001E-3</v>
      </c>
      <c r="E266" s="35">
        <v>1.8471996000000001E-3</v>
      </c>
      <c r="F266" s="35">
        <v>-0.15223306367124489</v>
      </c>
      <c r="G266" s="35">
        <v>-0.15223306367124489</v>
      </c>
      <c r="H266" s="35">
        <v>1.8454956248843031E-3</v>
      </c>
    </row>
    <row r="267" spans="2:8" x14ac:dyDescent="0.35">
      <c r="B267" s="6">
        <v>45313</v>
      </c>
      <c r="C267" s="7" t="s">
        <v>35</v>
      </c>
      <c r="D267" s="35">
        <v>-2.9459078E-2</v>
      </c>
      <c r="E267" s="35">
        <v>-2.9459078E-2</v>
      </c>
      <c r="F267" s="35">
        <v>-0.1772074959743748</v>
      </c>
      <c r="G267" s="35">
        <v>-0.1772074959743748</v>
      </c>
      <c r="H267" s="35">
        <v>-2.990171136815931E-2</v>
      </c>
    </row>
    <row r="268" spans="2:8" x14ac:dyDescent="0.35">
      <c r="B268" s="6">
        <v>45314</v>
      </c>
      <c r="C268" s="7" t="s">
        <v>35</v>
      </c>
      <c r="D268" s="35">
        <v>-6.1536639999999997E-3</v>
      </c>
      <c r="E268" s="35">
        <v>-6.1536639999999997E-3</v>
      </c>
      <c r="F268" s="35">
        <v>-0.18227068458586715</v>
      </c>
      <c r="G268" s="35">
        <v>-0.18227068458586715</v>
      </c>
      <c r="H268" s="35">
        <v>-6.172675825363942E-3</v>
      </c>
    </row>
    <row r="269" spans="2:8" x14ac:dyDescent="0.35">
      <c r="B269" s="6">
        <v>45315</v>
      </c>
      <c r="C269" s="7" t="s">
        <v>35</v>
      </c>
      <c r="D269" s="35">
        <v>1.1231499000000001E-2</v>
      </c>
      <c r="E269" s="35">
        <v>1.1231499000000001E-2</v>
      </c>
      <c r="F269" s="35">
        <v>-0.17308635859752264</v>
      </c>
      <c r="G269" s="35">
        <v>-0.17308635859752264</v>
      </c>
      <c r="H269" s="35">
        <v>1.1168894043971917E-2</v>
      </c>
    </row>
    <row r="270" spans="2:8" x14ac:dyDescent="0.35">
      <c r="B270" s="6">
        <v>45316</v>
      </c>
      <c r="C270" s="7" t="s">
        <v>35</v>
      </c>
      <c r="D270" s="35">
        <v>-1.3251397E-2</v>
      </c>
      <c r="E270" s="35">
        <v>-1.3251397E-2</v>
      </c>
      <c r="F270" s="35">
        <v>-0.18404411954446254</v>
      </c>
      <c r="G270" s="35">
        <v>-0.18404411954446254</v>
      </c>
      <c r="H270" s="35">
        <v>-1.3339980198986899E-2</v>
      </c>
    </row>
    <row r="271" spans="2:8" x14ac:dyDescent="0.35">
      <c r="B271" s="6">
        <v>45317</v>
      </c>
      <c r="C271" s="7" t="s">
        <v>35</v>
      </c>
      <c r="D271" s="35">
        <v>-6.9216015000000001E-3</v>
      </c>
      <c r="E271" s="35">
        <v>-6.9216015000000001E-3</v>
      </c>
      <c r="F271" s="35">
        <v>-0.18969184099055736</v>
      </c>
      <c r="G271" s="35">
        <v>-0.18969184099055736</v>
      </c>
      <c r="H271" s="35">
        <v>-6.945666895336349E-3</v>
      </c>
    </row>
    <row r="272" spans="2:8" x14ac:dyDescent="0.35">
      <c r="B272" s="6">
        <v>45320</v>
      </c>
      <c r="C272" s="7" t="s">
        <v>35</v>
      </c>
      <c r="D272" s="35">
        <v>-3.9161010000000003E-2</v>
      </c>
      <c r="E272" s="35">
        <v>-3.9161010000000003E-2</v>
      </c>
      <c r="F272" s="35">
        <v>-0.2214243269086078</v>
      </c>
      <c r="G272" s="35">
        <v>-0.2214243269086078</v>
      </c>
      <c r="H272" s="35">
        <v>-3.9948428273712019E-2</v>
      </c>
    </row>
    <row r="273" spans="2:8" x14ac:dyDescent="0.35">
      <c r="B273" s="6">
        <v>45321</v>
      </c>
      <c r="C273" s="7" t="s">
        <v>35</v>
      </c>
      <c r="D273" s="35">
        <v>2.6790999999999999E-2</v>
      </c>
      <c r="E273" s="35">
        <v>2.6790999999999999E-2</v>
      </c>
      <c r="F273" s="35">
        <v>-0.20056550605081636</v>
      </c>
      <c r="G273" s="35">
        <v>-0.20056550605081636</v>
      </c>
      <c r="H273" s="35">
        <v>2.6438404880992476E-2</v>
      </c>
    </row>
    <row r="274" spans="2:8" x14ac:dyDescent="0.35">
      <c r="B274" s="6">
        <v>45322</v>
      </c>
      <c r="C274" s="7" t="s">
        <v>35</v>
      </c>
      <c r="D274" s="35">
        <v>1.0691592499999999E-2</v>
      </c>
      <c r="E274" s="35">
        <v>1.0691592499999999E-2</v>
      </c>
      <c r="F274" s="35">
        <v>-0.19201827821106798</v>
      </c>
      <c r="G274" s="35">
        <v>-0.19201827821106798</v>
      </c>
      <c r="H274" s="35">
        <v>1.0634841571746774E-2</v>
      </c>
    </row>
    <row r="275" spans="2:8" x14ac:dyDescent="0.35">
      <c r="B275" s="6">
        <v>45323</v>
      </c>
      <c r="C275" s="7" t="s">
        <v>35</v>
      </c>
      <c r="D275" s="35">
        <v>-2.4104075999999999E-2</v>
      </c>
      <c r="E275" s="35">
        <v>-2.4104075999999999E-2</v>
      </c>
      <c r="F275" s="35">
        <v>-0.21149393103967928</v>
      </c>
      <c r="G275" s="35">
        <v>-0.21149393103967928</v>
      </c>
      <c r="H275" s="35">
        <v>-2.4399333500888232E-2</v>
      </c>
    </row>
    <row r="276" spans="2:8" x14ac:dyDescent="0.35">
      <c r="B276" s="6">
        <v>45324</v>
      </c>
      <c r="C276" s="7" t="s">
        <v>35</v>
      </c>
      <c r="D276" s="35">
        <v>1.5267679500000001E-2</v>
      </c>
      <c r="E276" s="35">
        <v>1.5267679500000001E-2</v>
      </c>
      <c r="F276" s="35">
        <v>-0.19945527309498823</v>
      </c>
      <c r="G276" s="35">
        <v>-0.19945527309498823</v>
      </c>
      <c r="H276" s="35">
        <v>1.5152301370103064E-2</v>
      </c>
    </row>
    <row r="277" spans="2:8" x14ac:dyDescent="0.35">
      <c r="B277" s="6">
        <v>45327</v>
      </c>
      <c r="C277" s="7" t="s">
        <v>35</v>
      </c>
      <c r="D277" s="35">
        <v>-1.9046661999999999E-2</v>
      </c>
      <c r="E277" s="35">
        <v>-1.9046661999999999E-2</v>
      </c>
      <c r="F277" s="35">
        <v>-0.21470297792423032</v>
      </c>
      <c r="G277" s="35">
        <v>-0.21470297792423032</v>
      </c>
      <c r="H277" s="35">
        <v>-1.9230386297295614E-2</v>
      </c>
    </row>
    <row r="278" spans="2:8" x14ac:dyDescent="0.35">
      <c r="B278" s="6">
        <v>45328</v>
      </c>
      <c r="C278" s="7" t="s">
        <v>35</v>
      </c>
      <c r="D278" s="35">
        <v>-2.6090827E-2</v>
      </c>
      <c r="E278" s="35">
        <v>-2.6090827E-2</v>
      </c>
      <c r="F278" s="35">
        <v>-0.23519202667082439</v>
      </c>
      <c r="G278" s="35">
        <v>-0.23519202667082439</v>
      </c>
      <c r="H278" s="35">
        <v>-2.6437231227838181E-2</v>
      </c>
    </row>
    <row r="279" spans="2:8" x14ac:dyDescent="0.35">
      <c r="B279" s="6">
        <v>45329</v>
      </c>
      <c r="C279" s="7" t="s">
        <v>35</v>
      </c>
      <c r="D279" s="35">
        <v>1.8901010999999999E-2</v>
      </c>
      <c r="E279" s="35">
        <v>1.8901010999999999E-2</v>
      </c>
      <c r="F279" s="35">
        <v>-0.22073638275404184</v>
      </c>
      <c r="G279" s="35">
        <v>-0.22073638275404184</v>
      </c>
      <c r="H279" s="35">
        <v>1.8724606244150781E-2</v>
      </c>
    </row>
    <row r="280" spans="2:8" x14ac:dyDescent="0.35">
      <c r="B280" s="6">
        <v>45330</v>
      </c>
      <c r="C280" s="7" t="s">
        <v>35</v>
      </c>
      <c r="D280" s="35">
        <v>-8.6189479999999995E-3</v>
      </c>
      <c r="E280" s="35">
        <v>-8.6189479999999995E-3</v>
      </c>
      <c r="F280" s="35">
        <v>-0.22745281534937667</v>
      </c>
      <c r="G280" s="35">
        <v>-0.22745281534937667</v>
      </c>
      <c r="H280" s="35">
        <v>-8.656305944657711E-3</v>
      </c>
    </row>
    <row r="281" spans="2:8" x14ac:dyDescent="0.35">
      <c r="B281" s="6">
        <v>45331</v>
      </c>
      <c r="C281" s="7" t="s">
        <v>35</v>
      </c>
      <c r="D281" s="35">
        <v>-2.2107147000000001E-2</v>
      </c>
      <c r="E281" s="35">
        <v>-2.2107147000000001E-2</v>
      </c>
      <c r="F281" s="35">
        <v>-0.24453162952488416</v>
      </c>
      <c r="G281" s="35">
        <v>-0.24453162952488416</v>
      </c>
      <c r="H281" s="35">
        <v>-2.2355172208868415E-2</v>
      </c>
    </row>
    <row r="282" spans="2:8" x14ac:dyDescent="0.35">
      <c r="B282" s="6">
        <v>45334</v>
      </c>
      <c r="C282" s="7" t="s">
        <v>35</v>
      </c>
      <c r="D282" s="35">
        <v>-2.6606029E-2</v>
      </c>
      <c r="E282" s="35">
        <v>-2.6606029E-2</v>
      </c>
      <c r="F282" s="35">
        <v>-0.26463164289832786</v>
      </c>
      <c r="G282" s="35">
        <v>-0.26463164289832786</v>
      </c>
      <c r="H282" s="35">
        <v>-2.6966375355816946E-2</v>
      </c>
    </row>
    <row r="283" spans="2:8" x14ac:dyDescent="0.35">
      <c r="B283" s="6">
        <v>45335</v>
      </c>
      <c r="C283" s="7" t="s">
        <v>35</v>
      </c>
      <c r="D283" s="35">
        <v>5.2459172999999998E-2</v>
      </c>
      <c r="E283" s="35">
        <v>5.2459172999999998E-2</v>
      </c>
      <c r="F283" s="35">
        <v>-0.22605482703440549</v>
      </c>
      <c r="G283" s="35">
        <v>-0.22605482703440549</v>
      </c>
      <c r="H283" s="35">
        <v>5.1129495323216145E-2</v>
      </c>
    </row>
    <row r="284" spans="2:8" x14ac:dyDescent="0.35">
      <c r="B284" s="6">
        <v>45336</v>
      </c>
      <c r="C284" s="7" t="s">
        <v>35</v>
      </c>
      <c r="D284" s="35">
        <v>-3.2840719999999997E-2</v>
      </c>
      <c r="E284" s="35">
        <v>-3.2840719999999997E-2</v>
      </c>
      <c r="F284" s="35">
        <v>-0.25147174375512016</v>
      </c>
      <c r="G284" s="35">
        <v>-0.25147174375512016</v>
      </c>
      <c r="H284" s="35">
        <v>-3.339208147766521E-2</v>
      </c>
    </row>
    <row r="285" spans="2:8" x14ac:dyDescent="0.35">
      <c r="B285" s="6">
        <v>45337</v>
      </c>
      <c r="C285" s="7" t="s">
        <v>35</v>
      </c>
      <c r="D285" s="35">
        <v>-1.9941749000000002E-2</v>
      </c>
      <c r="E285" s="35">
        <v>-1.9941749000000002E-2</v>
      </c>
      <c r="F285" s="35">
        <v>-0.26639870636056329</v>
      </c>
      <c r="G285" s="35">
        <v>-0.26639870636056329</v>
      </c>
      <c r="H285" s="35">
        <v>-2.014326928807576E-2</v>
      </c>
    </row>
    <row r="286" spans="2:8" x14ac:dyDescent="0.35">
      <c r="B286" s="6">
        <v>45338</v>
      </c>
      <c r="C286" s="7" t="s">
        <v>35</v>
      </c>
      <c r="D286" s="35">
        <v>-2.6153137E-3</v>
      </c>
      <c r="E286" s="35">
        <v>-2.6153137E-3</v>
      </c>
      <c r="F286" s="35">
        <v>-0.2683173038741562</v>
      </c>
      <c r="G286" s="35">
        <v>-0.2683173038741562</v>
      </c>
      <c r="H286" s="35">
        <v>-2.6187396073933797E-3</v>
      </c>
    </row>
    <row r="287" spans="2:8" x14ac:dyDescent="0.35">
      <c r="B287" s="6">
        <v>45342</v>
      </c>
      <c r="C287" s="7" t="s">
        <v>35</v>
      </c>
      <c r="D287" s="35">
        <v>1.6546244281386846E-2</v>
      </c>
      <c r="E287" s="35">
        <v>1.6546244281386846E-2</v>
      </c>
      <c r="F287" s="35">
        <v>-0.25621070324759421</v>
      </c>
      <c r="G287" s="35">
        <v>-0.25621070324759421</v>
      </c>
      <c r="H287" s="35">
        <v>1.6410846687846651E-2</v>
      </c>
    </row>
    <row r="288" spans="2:8" x14ac:dyDescent="0.35">
      <c r="B288" s="6">
        <v>45343</v>
      </c>
      <c r="C288" s="7" t="s">
        <v>35</v>
      </c>
      <c r="D288" s="35">
        <v>5.3370500000000003E-3</v>
      </c>
      <c r="E288" s="35">
        <v>5.3370500000000003E-3</v>
      </c>
      <c r="F288" s="35">
        <v>-0.2522410625813617</v>
      </c>
      <c r="G288" s="35">
        <v>-0.2522410625813617</v>
      </c>
      <c r="H288" s="35">
        <v>5.3228584203684334E-3</v>
      </c>
    </row>
    <row r="289" spans="2:8" x14ac:dyDescent="0.35">
      <c r="B289" s="6">
        <v>45344</v>
      </c>
      <c r="C289" s="7" t="s">
        <v>35</v>
      </c>
      <c r="D289" s="35">
        <v>-1.8801671999999998E-2</v>
      </c>
      <c r="E289" s="35">
        <v>-1.8801671999999998E-2</v>
      </c>
      <c r="F289" s="35">
        <v>-0.26630018085777551</v>
      </c>
      <c r="G289" s="35">
        <v>-0.26630018085777551</v>
      </c>
      <c r="H289" s="35">
        <v>-1.8980670635129173E-2</v>
      </c>
    </row>
    <row r="290" spans="2:8" x14ac:dyDescent="0.35">
      <c r="B290" s="6">
        <v>45345</v>
      </c>
      <c r="C290" s="7" t="s">
        <v>35</v>
      </c>
      <c r="D290" s="35">
        <v>-1.1138929000000001E-2</v>
      </c>
      <c r="E290" s="35">
        <v>-1.1138929000000001E-2</v>
      </c>
      <c r="F290" s="35">
        <v>-0.27447281105051358</v>
      </c>
      <c r="G290" s="35">
        <v>-0.27447281105051358</v>
      </c>
      <c r="H290" s="35">
        <v>-1.1201431443231963E-2</v>
      </c>
    </row>
    <row r="291" spans="2:8" x14ac:dyDescent="0.35">
      <c r="B291" s="6">
        <v>45348</v>
      </c>
      <c r="C291" s="7" t="s">
        <v>35</v>
      </c>
      <c r="D291" s="35">
        <v>-2.6051095E-2</v>
      </c>
      <c r="E291" s="35">
        <v>-2.6051095E-2</v>
      </c>
      <c r="F291" s="35">
        <v>-0.29337358877491959</v>
      </c>
      <c r="G291" s="35">
        <v>-0.29337358877491959</v>
      </c>
      <c r="H291" s="35">
        <v>-2.6396435647858079E-2</v>
      </c>
    </row>
    <row r="292" spans="2:8" x14ac:dyDescent="0.35">
      <c r="B292" s="6">
        <v>45349</v>
      </c>
      <c r="C292" s="7" t="s">
        <v>35</v>
      </c>
      <c r="D292" s="35">
        <v>-4.5512694999999999E-2</v>
      </c>
      <c r="E292" s="35">
        <v>-4.5512694999999999E-2</v>
      </c>
      <c r="F292" s="35">
        <v>-0.32553406110795124</v>
      </c>
      <c r="G292" s="35">
        <v>-0.32553406110795124</v>
      </c>
      <c r="H292" s="35">
        <v>-4.6580936061932955E-2</v>
      </c>
    </row>
    <row r="293" spans="2:8" x14ac:dyDescent="0.35">
      <c r="B293" s="6">
        <v>45350</v>
      </c>
      <c r="C293" s="7" t="s">
        <v>35</v>
      </c>
      <c r="D293" s="35">
        <v>1.62384E-2</v>
      </c>
      <c r="E293" s="35">
        <v>1.62384E-2</v>
      </c>
      <c r="F293" s="35">
        <v>-0.31458181340584657</v>
      </c>
      <c r="G293" s="35">
        <v>-0.31458181340584657</v>
      </c>
      <c r="H293" s="35">
        <v>1.6107967300592076E-2</v>
      </c>
    </row>
    <row r="294" spans="2:8" x14ac:dyDescent="0.35">
      <c r="B294" s="6">
        <v>45351</v>
      </c>
      <c r="C294" s="7" t="s">
        <v>35</v>
      </c>
      <c r="D294" s="35">
        <v>1.7164664E-2</v>
      </c>
      <c r="E294" s="35">
        <v>1.7164664E-2</v>
      </c>
      <c r="F294" s="35">
        <v>-0.30281684053346858</v>
      </c>
      <c r="G294" s="35">
        <v>-0.30281684053346858</v>
      </c>
      <c r="H294" s="35">
        <v>1.7019015464594778E-2</v>
      </c>
    </row>
    <row r="295" spans="2:8" x14ac:dyDescent="0.35">
      <c r="B295" s="6">
        <v>45352</v>
      </c>
      <c r="C295" s="7" t="s">
        <v>35</v>
      </c>
      <c r="D295" s="35">
        <v>-3.8952823999999997E-2</v>
      </c>
      <c r="E295" s="35">
        <v>-3.8952823999999997E-2</v>
      </c>
      <c r="F295" s="35">
        <v>-0.32997409343993234</v>
      </c>
      <c r="G295" s="35">
        <v>-0.32997409343993234</v>
      </c>
      <c r="H295" s="35">
        <v>-3.9731780686048039E-2</v>
      </c>
    </row>
    <row r="296" spans="2:8" x14ac:dyDescent="0.35">
      <c r="B296" s="6">
        <v>45355</v>
      </c>
      <c r="C296" s="7" t="s">
        <v>35</v>
      </c>
      <c r="D296" s="35">
        <v>1.3185004E-2</v>
      </c>
      <c r="E296" s="35">
        <v>1.3185004E-2</v>
      </c>
      <c r="F296" s="35">
        <v>-0.32113979918183433</v>
      </c>
      <c r="G296" s="35">
        <v>-0.32113979918183433</v>
      </c>
      <c r="H296" s="35">
        <v>1.3098838404190504E-2</v>
      </c>
    </row>
    <row r="297" spans="2:8" x14ac:dyDescent="0.35">
      <c r="B297" s="6">
        <v>45356</v>
      </c>
      <c r="C297" s="7" t="s">
        <v>35</v>
      </c>
      <c r="D297" s="35">
        <v>1.2257813500000001E-2</v>
      </c>
      <c r="E297" s="35">
        <v>1.2257813500000001E-2</v>
      </c>
      <c r="F297" s="35">
        <v>-0.3128184574476327</v>
      </c>
      <c r="G297" s="35">
        <v>-0.3128184574476327</v>
      </c>
      <c r="H297" s="35">
        <v>1.2183294843291432E-2</v>
      </c>
    </row>
    <row r="298" spans="2:8" x14ac:dyDescent="0.35">
      <c r="B298" s="6">
        <v>45357</v>
      </c>
      <c r="C298" s="7" t="s">
        <v>35</v>
      </c>
      <c r="D298" s="35">
        <v>-1.2426546E-2</v>
      </c>
      <c r="E298" s="35">
        <v>-1.2426546E-2</v>
      </c>
      <c r="F298" s="35">
        <v>-0.32135775049651072</v>
      </c>
      <c r="G298" s="35">
        <v>-0.32135775049651072</v>
      </c>
      <c r="H298" s="35">
        <v>-1.2504401175729285E-2</v>
      </c>
    </row>
    <row r="299" spans="2:8" x14ac:dyDescent="0.35">
      <c r="B299" s="6">
        <v>45358</v>
      </c>
      <c r="C299" s="7" t="s">
        <v>35</v>
      </c>
      <c r="D299" s="35">
        <v>1.3143838E-2</v>
      </c>
      <c r="E299" s="35">
        <v>1.3143838E-2</v>
      </c>
      <c r="F299" s="35">
        <v>-0.31243778670908129</v>
      </c>
      <c r="G299" s="35">
        <v>-0.31243778670908129</v>
      </c>
      <c r="H299" s="35">
        <v>1.3058207289287201E-2</v>
      </c>
    </row>
    <row r="300" spans="2:8" x14ac:dyDescent="0.35">
      <c r="B300" s="6">
        <v>45359</v>
      </c>
      <c r="C300" s="7" t="s">
        <v>35</v>
      </c>
      <c r="D300" s="35">
        <v>-5.3934879999999999E-4</v>
      </c>
      <c r="E300" s="35">
        <v>-5.3934879999999999E-4</v>
      </c>
      <c r="F300" s="35">
        <v>-0.31280862256374509</v>
      </c>
      <c r="G300" s="35">
        <v>-0.31280862256374509</v>
      </c>
      <c r="H300" s="35">
        <v>-5.3949430088348431E-4</v>
      </c>
    </row>
    <row r="301" spans="2:8" x14ac:dyDescent="0.35">
      <c r="B301" s="6">
        <v>45362</v>
      </c>
      <c r="C301" s="7" t="s">
        <v>35</v>
      </c>
      <c r="D301" s="35">
        <v>2.4832573E-2</v>
      </c>
      <c r="E301" s="35">
        <v>2.4832573E-2</v>
      </c>
      <c r="F301" s="35">
        <v>-0.29574389251858868</v>
      </c>
      <c r="G301" s="35">
        <v>-0.29574389251858868</v>
      </c>
      <c r="H301" s="35">
        <v>2.4529255833748976E-2</v>
      </c>
    </row>
    <row r="302" spans="2:8" x14ac:dyDescent="0.35">
      <c r="B302" s="6">
        <v>45363</v>
      </c>
      <c r="C302" s="7" t="s">
        <v>35</v>
      </c>
      <c r="D302" s="35">
        <v>4.4507664000000002E-3</v>
      </c>
      <c r="E302" s="35">
        <v>4.4507664000000002E-3</v>
      </c>
      <c r="F302" s="35">
        <v>-0.29260941309841559</v>
      </c>
      <c r="G302" s="35">
        <v>-0.29260941309841559</v>
      </c>
      <c r="H302" s="35">
        <v>4.4408910303595801E-3</v>
      </c>
    </row>
    <row r="303" spans="2:8" x14ac:dyDescent="0.35">
      <c r="B303" s="6">
        <v>45364</v>
      </c>
      <c r="C303" s="7" t="s">
        <v>35</v>
      </c>
      <c r="D303" s="35">
        <v>-1.1614957E-2</v>
      </c>
      <c r="E303" s="35">
        <v>-1.1614957E-2</v>
      </c>
      <c r="F303" s="35">
        <v>-0.30082572434748234</v>
      </c>
      <c r="G303" s="35">
        <v>-0.30082572434748234</v>
      </c>
      <c r="H303" s="35">
        <v>-1.1682937519614319E-2</v>
      </c>
    </row>
    <row r="304" spans="2:8" x14ac:dyDescent="0.35">
      <c r="B304" s="6">
        <v>45365</v>
      </c>
      <c r="C304" s="7" t="s">
        <v>35</v>
      </c>
      <c r="D304" s="35">
        <v>4.3322413999999997E-2</v>
      </c>
      <c r="E304" s="35">
        <v>4.3322413999999997E-2</v>
      </c>
      <c r="F304" s="35">
        <v>-0.27053580691951395</v>
      </c>
      <c r="G304" s="35">
        <v>-0.27053580691951395</v>
      </c>
      <c r="H304" s="35">
        <v>4.2410250014488574E-2</v>
      </c>
    </row>
    <row r="305" spans="2:8" x14ac:dyDescent="0.35">
      <c r="B305" s="6">
        <v>45366</v>
      </c>
      <c r="C305" s="7" t="s">
        <v>35</v>
      </c>
      <c r="D305" s="35">
        <v>-1.5625891999999999E-2</v>
      </c>
      <c r="E305" s="35">
        <v>-1.5625891999999999E-2</v>
      </c>
      <c r="F305" s="35">
        <v>-0.28193433561845671</v>
      </c>
      <c r="G305" s="35">
        <v>-0.28193433561845671</v>
      </c>
      <c r="H305" s="35">
        <v>-1.5749263127279863E-2</v>
      </c>
    </row>
    <row r="306" spans="2:8" x14ac:dyDescent="0.35">
      <c r="B306" s="6">
        <v>45369</v>
      </c>
      <c r="C306" s="7" t="s">
        <v>35</v>
      </c>
      <c r="D306" s="35">
        <v>1.6239835000000001E-2</v>
      </c>
      <c r="E306" s="35">
        <v>1.6239835000000001E-2</v>
      </c>
      <c r="F306" s="35">
        <v>-0.27027306770973514</v>
      </c>
      <c r="G306" s="35">
        <v>-0.27027306770973514</v>
      </c>
      <c r="H306" s="35">
        <v>1.6109379369833685E-2</v>
      </c>
    </row>
    <row r="307" spans="2:8" x14ac:dyDescent="0.35">
      <c r="B307" s="6">
        <v>45370</v>
      </c>
      <c r="C307" s="7" t="s">
        <v>35</v>
      </c>
      <c r="D307" s="35">
        <v>-1.0414487E-2</v>
      </c>
      <c r="E307" s="35">
        <v>-1.0414487E-2</v>
      </c>
      <c r="F307" s="35">
        <v>-0.27787279935962195</v>
      </c>
      <c r="G307" s="35">
        <v>-0.27787279935962195</v>
      </c>
      <c r="H307" s="35">
        <v>-1.0469097259194858E-2</v>
      </c>
    </row>
    <row r="308" spans="2:8" x14ac:dyDescent="0.35">
      <c r="B308" s="6">
        <v>45371</v>
      </c>
      <c r="C308" s="7" t="s">
        <v>35</v>
      </c>
      <c r="D308" s="35">
        <v>-1.4238354E-2</v>
      </c>
      <c r="E308" s="35">
        <v>-1.4238354E-2</v>
      </c>
      <c r="F308" s="35">
        <v>-0.28815470207536864</v>
      </c>
      <c r="G308" s="35">
        <v>-0.28815470207536864</v>
      </c>
      <c r="H308" s="35">
        <v>-1.4340691939637011E-2</v>
      </c>
    </row>
    <row r="309" spans="2:8" x14ac:dyDescent="0.35">
      <c r="B309" s="6">
        <v>45372</v>
      </c>
      <c r="C309" s="7" t="s">
        <v>35</v>
      </c>
      <c r="D309" s="35">
        <v>-4.2503410000000004E-3</v>
      </c>
      <c r="E309" s="35">
        <v>-4.2503410000000004E-3</v>
      </c>
      <c r="F309" s="35">
        <v>-0.29118028733079493</v>
      </c>
      <c r="G309" s="35">
        <v>-0.29118028733079493</v>
      </c>
      <c r="H309" s="35">
        <v>-4.259399375877675E-3</v>
      </c>
    </row>
    <row r="310" spans="2:8" x14ac:dyDescent="0.35">
      <c r="B310" s="6">
        <v>45373</v>
      </c>
      <c r="C310" s="7" t="s">
        <v>35</v>
      </c>
      <c r="D310" s="35">
        <v>1.4344427E-2</v>
      </c>
      <c r="E310" s="35">
        <v>1.4344427E-2</v>
      </c>
      <c r="F310" s="35">
        <v>-0.28101267470625058</v>
      </c>
      <c r="G310" s="35">
        <v>-0.28101267470625058</v>
      </c>
      <c r="H310" s="35">
        <v>1.4242519091287455E-2</v>
      </c>
    </row>
    <row r="311" spans="2:8" x14ac:dyDescent="0.35">
      <c r="B311" s="6">
        <v>45376</v>
      </c>
      <c r="C311" s="7" t="s">
        <v>35</v>
      </c>
      <c r="D311" s="35">
        <v>2.0209693000000002E-3</v>
      </c>
      <c r="E311" s="35">
        <v>2.0209693000000002E-3</v>
      </c>
      <c r="F311" s="35">
        <v>-0.27955962339474283</v>
      </c>
      <c r="G311" s="35">
        <v>-0.27955962339474283</v>
      </c>
      <c r="H311" s="35">
        <v>2.0189298888068649E-3</v>
      </c>
    </row>
    <row r="312" spans="2:8" x14ac:dyDescent="0.35">
      <c r="B312" s="6">
        <v>45377</v>
      </c>
      <c r="C312" s="7" t="s">
        <v>35</v>
      </c>
      <c r="D312" s="35">
        <v>1.8002357999999999E-3</v>
      </c>
      <c r="E312" s="35">
        <v>1.8002357999999999E-3</v>
      </c>
      <c r="F312" s="35">
        <v>-0.27826266083701257</v>
      </c>
      <c r="G312" s="35">
        <v>-0.27826266083701257</v>
      </c>
      <c r="H312" s="35">
        <v>1.7986173176742859E-3</v>
      </c>
    </row>
    <row r="313" spans="2:8" x14ac:dyDescent="0.35">
      <c r="B313" s="6">
        <v>45378</v>
      </c>
      <c r="C313" s="7" t="s">
        <v>35</v>
      </c>
      <c r="D313" s="35">
        <v>-3.0142121000000001E-2</v>
      </c>
      <c r="E313" s="35">
        <v>-3.0142121000000001E-2</v>
      </c>
      <c r="F313" s="35">
        <v>-0.3000173550442814</v>
      </c>
      <c r="G313" s="35">
        <v>-0.3000173550442814</v>
      </c>
      <c r="H313" s="35">
        <v>-3.0605734714144104E-2</v>
      </c>
    </row>
    <row r="314" spans="2:8" x14ac:dyDescent="0.35">
      <c r="B314" s="6">
        <v>45379</v>
      </c>
      <c r="C314" s="7" t="s">
        <v>35</v>
      </c>
      <c r="D314" s="35">
        <v>-5.7155502171835071E-4</v>
      </c>
      <c r="E314" s="35">
        <v>-5.7155502171835071E-4</v>
      </c>
      <c r="F314" s="35">
        <v>-0.30041743364012152</v>
      </c>
      <c r="G314" s="35">
        <v>-0.30041743364012152</v>
      </c>
      <c r="H314" s="35">
        <v>-5.7171842155407391E-4</v>
      </c>
    </row>
    <row r="315" spans="2:8" x14ac:dyDescent="0.35">
      <c r="B315" s="6">
        <v>45383</v>
      </c>
      <c r="C315" s="7" t="s">
        <v>35</v>
      </c>
      <c r="D315" s="35">
        <v>1.5275265E-2</v>
      </c>
      <c r="E315" s="35">
        <v>1.5275265E-2</v>
      </c>
      <c r="F315" s="35">
        <v>-0.28973112454959427</v>
      </c>
      <c r="G315" s="35">
        <v>-0.28973112454959427</v>
      </c>
      <c r="H315" s="35">
        <v>1.5159772770814595E-2</v>
      </c>
    </row>
    <row r="316" spans="2:8" x14ac:dyDescent="0.35">
      <c r="B316" s="6">
        <v>45384</v>
      </c>
      <c r="C316" s="7" t="s">
        <v>35</v>
      </c>
      <c r="D316" s="35">
        <v>3.5032522000000003E-2</v>
      </c>
      <c r="E316" s="35">
        <v>3.5032522000000003E-2</v>
      </c>
      <c r="F316" s="35">
        <v>-0.26484861454446262</v>
      </c>
      <c r="G316" s="35">
        <v>-0.26484861454446262</v>
      </c>
      <c r="H316" s="35">
        <v>3.4432848445886996E-2</v>
      </c>
    </row>
    <row r="317" spans="2:8" x14ac:dyDescent="0.35">
      <c r="B317" s="6">
        <v>45385</v>
      </c>
      <c r="C317" s="7" t="s">
        <v>35</v>
      </c>
      <c r="D317" s="35">
        <v>-4.9117585000000002E-3</v>
      </c>
      <c r="E317" s="35">
        <v>-4.9117585000000002E-3</v>
      </c>
      <c r="F317" s="35">
        <v>-0.26845950061076063</v>
      </c>
      <c r="G317" s="35">
        <v>-0.26845950061076063</v>
      </c>
      <c r="H317" s="35">
        <v>-4.9238608311966371E-3</v>
      </c>
    </row>
    <row r="318" spans="2:8" x14ac:dyDescent="0.35">
      <c r="B318" s="6">
        <v>45386</v>
      </c>
      <c r="C318" s="7" t="s">
        <v>35</v>
      </c>
      <c r="D318" s="35">
        <v>2.1511536000000001E-2</v>
      </c>
      <c r="E318" s="35">
        <v>2.1511536000000001E-2</v>
      </c>
      <c r="F318" s="35">
        <v>-0.25272294082269098</v>
      </c>
      <c r="G318" s="35">
        <v>-0.25272294082269098</v>
      </c>
      <c r="H318" s="35">
        <v>2.1283428408052012E-2</v>
      </c>
    </row>
    <row r="319" spans="2:8" x14ac:dyDescent="0.35">
      <c r="B319" s="6">
        <v>45387</v>
      </c>
      <c r="C319" s="7" t="s">
        <v>35</v>
      </c>
      <c r="D319" s="35">
        <v>-5.8168024000000004E-3</v>
      </c>
      <c r="E319" s="35">
        <v>-5.8168024000000004E-3</v>
      </c>
      <c r="F319" s="35">
        <v>-0.25706970381397853</v>
      </c>
      <c r="G319" s="35">
        <v>-0.25706970381397853</v>
      </c>
      <c r="H319" s="35">
        <v>-5.8337858868288267E-3</v>
      </c>
    </row>
    <row r="320" spans="2:8" x14ac:dyDescent="0.35">
      <c r="B320" s="6">
        <v>45390</v>
      </c>
      <c r="C320" s="7" t="s">
        <v>35</v>
      </c>
      <c r="D320" s="35">
        <v>-3.8383645000000002E-4</v>
      </c>
      <c r="E320" s="35">
        <v>-3.8383645000000002E-4</v>
      </c>
      <c r="F320" s="35">
        <v>-0.25735486754146397</v>
      </c>
      <c r="G320" s="35">
        <v>-0.25735486754146397</v>
      </c>
      <c r="H320" s="35">
        <v>-3.8391013406581683E-4</v>
      </c>
    </row>
    <row r="321" spans="2:8" x14ac:dyDescent="0.35">
      <c r="B321" s="6">
        <v>45391</v>
      </c>
      <c r="C321" s="7" t="s">
        <v>35</v>
      </c>
      <c r="D321" s="35">
        <v>-1.3693721000000001E-2</v>
      </c>
      <c r="E321" s="35">
        <v>-1.3693721000000001E-2</v>
      </c>
      <c r="F321" s="35">
        <v>-0.26752444278735921</v>
      </c>
      <c r="G321" s="35">
        <v>-0.26752444278735921</v>
      </c>
      <c r="H321" s="35">
        <v>-1.3788344825278178E-2</v>
      </c>
    </row>
    <row r="322" spans="2:8" x14ac:dyDescent="0.35">
      <c r="B322" s="6">
        <v>45392</v>
      </c>
      <c r="C322" s="7" t="s">
        <v>35</v>
      </c>
      <c r="D322" s="35">
        <v>1.9218834000000001E-2</v>
      </c>
      <c r="E322" s="35">
        <v>1.9218834000000001E-2</v>
      </c>
      <c r="F322" s="35">
        <v>-0.25344711664423203</v>
      </c>
      <c r="G322" s="35">
        <v>-0.25344711664423203</v>
      </c>
      <c r="H322" s="35">
        <v>1.9036484864395513E-2</v>
      </c>
    </row>
    <row r="323" spans="2:8" x14ac:dyDescent="0.35">
      <c r="B323" s="6">
        <v>45393</v>
      </c>
      <c r="C323" s="7" t="s">
        <v>35</v>
      </c>
      <c r="D323" s="35">
        <v>-1.6876228E-2</v>
      </c>
      <c r="E323" s="35">
        <v>-1.6876228E-2</v>
      </c>
      <c r="F323" s="35">
        <v>-0.26604611331780137</v>
      </c>
      <c r="G323" s="35">
        <v>-0.26604611331780137</v>
      </c>
      <c r="H323" s="35">
        <v>-1.7020254248569407E-2</v>
      </c>
    </row>
    <row r="324" spans="2:8" x14ac:dyDescent="0.35">
      <c r="B324" s="6">
        <v>45394</v>
      </c>
      <c r="C324" s="7" t="s">
        <v>35</v>
      </c>
      <c r="D324" s="35">
        <v>3.6283836E-2</v>
      </c>
      <c r="E324" s="35">
        <v>3.6283836E-2</v>
      </c>
      <c r="F324" s="35">
        <v>-0.23941545086186189</v>
      </c>
      <c r="G324" s="35">
        <v>-0.23941545086186189</v>
      </c>
      <c r="H324" s="35">
        <v>3.5641079286522791E-2</v>
      </c>
    </row>
    <row r="325" spans="2:8" x14ac:dyDescent="0.35">
      <c r="B325" s="6">
        <v>45397</v>
      </c>
      <c r="C325" s="7" t="s">
        <v>35</v>
      </c>
      <c r="D325" s="35">
        <v>2.6650001999999999E-2</v>
      </c>
      <c r="E325" s="35">
        <v>2.6650001999999999E-2</v>
      </c>
      <c r="F325" s="35">
        <v>-0.21914587110616146</v>
      </c>
      <c r="G325" s="35">
        <v>-0.21914587110616146</v>
      </c>
      <c r="H325" s="35">
        <v>2.6301076367454209E-2</v>
      </c>
    </row>
    <row r="326" spans="2:8" x14ac:dyDescent="0.35">
      <c r="B326" s="6">
        <v>45398</v>
      </c>
      <c r="C326" s="7" t="s">
        <v>35</v>
      </c>
      <c r="D326" s="35">
        <v>1.2221139000000001E-2</v>
      </c>
      <c r="E326" s="35">
        <v>1.2221139000000001E-2</v>
      </c>
      <c r="F326" s="35">
        <v>-0.2096029442582259</v>
      </c>
      <c r="G326" s="35">
        <v>-0.2096029442582259</v>
      </c>
      <c r="H326" s="35">
        <v>1.2147063792374629E-2</v>
      </c>
    </row>
    <row r="327" spans="2:8" x14ac:dyDescent="0.35">
      <c r="B327" s="6">
        <v>45399</v>
      </c>
      <c r="C327" s="7" t="s">
        <v>35</v>
      </c>
      <c r="D327" s="35">
        <v>1.6324479999999999E-2</v>
      </c>
      <c r="E327" s="35">
        <v>1.6324479999999999E-2</v>
      </c>
      <c r="F327" s="35">
        <v>-0.19670012332971043</v>
      </c>
      <c r="G327" s="35">
        <v>-0.19670012332971043</v>
      </c>
      <c r="H327" s="35">
        <v>1.6192668247262374E-2</v>
      </c>
    </row>
    <row r="328" spans="2:8" x14ac:dyDescent="0.35">
      <c r="B328" s="6">
        <v>45400</v>
      </c>
      <c r="C328" s="7" t="s">
        <v>35</v>
      </c>
      <c r="D328" s="35">
        <v>1.616097E-2</v>
      </c>
      <c r="E328" s="35">
        <v>1.616097E-2</v>
      </c>
      <c r="F328" s="35">
        <v>-0.18371801812183819</v>
      </c>
      <c r="G328" s="35">
        <v>-0.18371801812183819</v>
      </c>
      <c r="H328" s="35">
        <v>1.6031771646154932E-2</v>
      </c>
    </row>
    <row r="329" spans="2:8" x14ac:dyDescent="0.35">
      <c r="B329" s="6">
        <v>45401</v>
      </c>
      <c r="C329" s="7" t="s">
        <v>35</v>
      </c>
      <c r="D329" s="35">
        <v>9.7772829999999995E-3</v>
      </c>
      <c r="E329" s="35">
        <v>9.7772829999999995E-3</v>
      </c>
      <c r="F329" s="35">
        <v>-0.17573699817721455</v>
      </c>
      <c r="G329" s="35">
        <v>-0.17573699817721455</v>
      </c>
      <c r="H329" s="35">
        <v>9.7297946556603593E-3</v>
      </c>
    </row>
    <row r="330" spans="2:8" x14ac:dyDescent="0.35">
      <c r="B330" s="6">
        <v>45404</v>
      </c>
      <c r="C330" s="7" t="s">
        <v>35</v>
      </c>
      <c r="D330" s="35">
        <v>-1.0509289999999999E-2</v>
      </c>
      <c r="E330" s="35">
        <v>-1.0509289999999999E-2</v>
      </c>
      <c r="F330" s="35">
        <v>-0.18439941709964069</v>
      </c>
      <c r="G330" s="35">
        <v>-0.18439941709964069</v>
      </c>
      <c r="H330" s="35">
        <v>-1.0564902563680588E-2</v>
      </c>
    </row>
    <row r="331" spans="2:8" x14ac:dyDescent="0.35">
      <c r="B331" s="6">
        <v>45405</v>
      </c>
      <c r="C331" s="7" t="s">
        <v>35</v>
      </c>
      <c r="D331" s="35">
        <v>-1.6533117999999999E-2</v>
      </c>
      <c r="E331" s="35">
        <v>-1.6533117999999999E-2</v>
      </c>
      <c r="F331" s="35">
        <v>-0.1978838377776011</v>
      </c>
      <c r="G331" s="35">
        <v>-0.1978838377776011</v>
      </c>
      <c r="H331" s="35">
        <v>-1.6671315334633782E-2</v>
      </c>
    </row>
    <row r="332" spans="2:8" x14ac:dyDescent="0.35">
      <c r="B332" s="6">
        <v>45406</v>
      </c>
      <c r="C332" s="7" t="s">
        <v>35</v>
      </c>
      <c r="D332" s="35">
        <v>1.10449055E-2</v>
      </c>
      <c r="E332" s="35">
        <v>1.10449055E-2</v>
      </c>
      <c r="F332" s="35">
        <v>-0.18902454056583207</v>
      </c>
      <c r="G332" s="35">
        <v>-0.18902454056583207</v>
      </c>
      <c r="H332" s="35">
        <v>1.0984355965878963E-2</v>
      </c>
    </row>
    <row r="333" spans="2:8" x14ac:dyDescent="0.35">
      <c r="B333" s="6">
        <v>45407</v>
      </c>
      <c r="C333" s="7" t="s">
        <v>35</v>
      </c>
      <c r="D333" s="35">
        <v>2.3607137E-2</v>
      </c>
      <c r="E333" s="35">
        <v>2.3607137E-2</v>
      </c>
      <c r="F333" s="35">
        <v>-0.16987973179133176</v>
      </c>
      <c r="G333" s="35">
        <v>-0.16987973179133176</v>
      </c>
      <c r="H333" s="35">
        <v>2.3332797729365071E-2</v>
      </c>
    </row>
    <row r="334" spans="2:8" x14ac:dyDescent="0.35">
      <c r="B334" s="6">
        <v>45408</v>
      </c>
      <c r="C334" s="7" t="s">
        <v>35</v>
      </c>
      <c r="D334" s="35">
        <v>-1.929672E-2</v>
      </c>
      <c r="E334" s="35">
        <v>-1.929672E-2</v>
      </c>
      <c r="F334" s="35">
        <v>-0.18589833017327939</v>
      </c>
      <c r="G334" s="35">
        <v>-0.18589833017327939</v>
      </c>
      <c r="H334" s="35">
        <v>-1.9485332039644108E-2</v>
      </c>
    </row>
    <row r="335" spans="2:8" x14ac:dyDescent="0.35">
      <c r="B335" s="6">
        <v>45411</v>
      </c>
      <c r="C335" s="7" t="s">
        <v>35</v>
      </c>
      <c r="D335" s="35">
        <v>-2.1658337E-2</v>
      </c>
      <c r="E335" s="35">
        <v>-2.1658337E-2</v>
      </c>
      <c r="F335" s="35">
        <v>-0.20353041849064923</v>
      </c>
      <c r="G335" s="35">
        <v>-0.20353041849064923</v>
      </c>
      <c r="H335" s="35">
        <v>-2.1896321284601616E-2</v>
      </c>
    </row>
    <row r="336" spans="2:8" x14ac:dyDescent="0.35">
      <c r="B336" s="6">
        <v>45412</v>
      </c>
      <c r="C336" s="7" t="s">
        <v>35</v>
      </c>
      <c r="D336" s="35">
        <v>9.5604590000000003E-3</v>
      </c>
      <c r="E336" s="35">
        <v>9.5604590000000003E-3</v>
      </c>
      <c r="F336" s="35">
        <v>-0.19591580371188189</v>
      </c>
      <c r="G336" s="35">
        <v>-0.19591580371188189</v>
      </c>
      <c r="H336" s="35">
        <v>9.5150470219945611E-3</v>
      </c>
    </row>
    <row r="337" spans="2:8" x14ac:dyDescent="0.35">
      <c r="B337" s="6">
        <v>45413</v>
      </c>
      <c r="C337" s="7" t="s">
        <v>35</v>
      </c>
      <c r="D337" s="35">
        <v>-3.7372519999999999E-2</v>
      </c>
      <c r="E337" s="35">
        <v>-3.7372519999999999E-2</v>
      </c>
      <c r="F337" s="35">
        <v>-0.22596645641934354</v>
      </c>
      <c r="G337" s="35">
        <v>-0.22596645641934354</v>
      </c>
      <c r="H337" s="35">
        <v>-3.8088774837247867E-2</v>
      </c>
    </row>
    <row r="338" spans="2:8" x14ac:dyDescent="0.35">
      <c r="B338" s="6">
        <v>45414</v>
      </c>
      <c r="C338" s="7" t="s">
        <v>35</v>
      </c>
      <c r="D338" s="35">
        <v>-7.8153670000000001E-3</v>
      </c>
      <c r="E338" s="35">
        <v>-7.8153670000000001E-3</v>
      </c>
      <c r="F338" s="35">
        <v>-0.23201581263273685</v>
      </c>
      <c r="G338" s="35">
        <v>-0.23201581263273685</v>
      </c>
      <c r="H338" s="35">
        <v>-7.8460670400038336E-3</v>
      </c>
    </row>
    <row r="339" spans="2:8" x14ac:dyDescent="0.35">
      <c r="B339" s="6">
        <v>45415</v>
      </c>
      <c r="C339" s="7" t="s">
        <v>35</v>
      </c>
      <c r="D339" s="35">
        <v>-1.6951214999999999E-2</v>
      </c>
      <c r="E339" s="35">
        <v>-1.6951214999999999E-2</v>
      </c>
      <c r="F339" s="35">
        <v>-0.24503407770939956</v>
      </c>
      <c r="G339" s="35">
        <v>-0.24503407770939956</v>
      </c>
      <c r="H339" s="35">
        <v>-1.70965313787423E-2</v>
      </c>
    </row>
    <row r="340" spans="2:8" x14ac:dyDescent="0.35">
      <c r="B340" s="6">
        <v>45418</v>
      </c>
      <c r="C340" s="7" t="s">
        <v>35</v>
      </c>
      <c r="D340" s="35">
        <v>-5.8700413999999996E-3</v>
      </c>
      <c r="E340" s="35">
        <v>-5.8700413999999996E-3</v>
      </c>
      <c r="F340" s="35">
        <v>-0.2494657589288346</v>
      </c>
      <c r="G340" s="35">
        <v>-0.2494657589288346</v>
      </c>
      <c r="H340" s="35">
        <v>-5.887337813341705E-3</v>
      </c>
    </row>
    <row r="341" spans="2:8" x14ac:dyDescent="0.35">
      <c r="B341" s="6">
        <v>45419</v>
      </c>
      <c r="C341" s="7" t="s">
        <v>35</v>
      </c>
      <c r="D341" s="35">
        <v>1.9241279E-3</v>
      </c>
      <c r="E341" s="35">
        <v>1.9241279E-3</v>
      </c>
      <c r="F341" s="35">
        <v>-0.24802163505568431</v>
      </c>
      <c r="G341" s="35">
        <v>-0.24802163505568431</v>
      </c>
      <c r="H341" s="35">
        <v>1.9222791370365809E-3</v>
      </c>
    </row>
    <row r="342" spans="2:8" x14ac:dyDescent="0.35">
      <c r="B342" s="6">
        <v>45420</v>
      </c>
      <c r="C342" s="7" t="s">
        <v>35</v>
      </c>
      <c r="D342" s="35">
        <v>1.7141436999999999E-2</v>
      </c>
      <c r="E342" s="35">
        <v>1.7141436999999999E-2</v>
      </c>
      <c r="F342" s="35">
        <v>-0.23513164528762831</v>
      </c>
      <c r="G342" s="35">
        <v>-0.23513164528762831</v>
      </c>
      <c r="H342" s="35">
        <v>1.6996180159731263E-2</v>
      </c>
    </row>
    <row r="343" spans="2:8" x14ac:dyDescent="0.35">
      <c r="B343" s="6">
        <v>45421</v>
      </c>
      <c r="C343" s="7" t="s">
        <v>35</v>
      </c>
      <c r="D343" s="35">
        <v>2.1718893999999999E-3</v>
      </c>
      <c r="E343" s="35">
        <v>2.1718893999999999E-3</v>
      </c>
      <c r="F343" s="35">
        <v>-0.23347043581563309</v>
      </c>
      <c r="G343" s="35">
        <v>-0.23347043581563309</v>
      </c>
      <c r="H343" s="35">
        <v>2.1695342576730585E-3</v>
      </c>
    </row>
    <row r="344" spans="2:8" x14ac:dyDescent="0.35">
      <c r="B344" s="6">
        <v>45422</v>
      </c>
      <c r="C344" s="7" t="s">
        <v>35</v>
      </c>
      <c r="D344" s="35">
        <v>1.2470515999999999E-2</v>
      </c>
      <c r="E344" s="35">
        <v>1.2470515999999999E-2</v>
      </c>
      <c r="F344" s="35">
        <v>-0.22391141662099889</v>
      </c>
      <c r="G344" s="35">
        <v>-0.22391141662099889</v>
      </c>
      <c r="H344" s="35">
        <v>1.2393399574561764E-2</v>
      </c>
    </row>
    <row r="345" spans="2:8" x14ac:dyDescent="0.35">
      <c r="B345" s="6">
        <v>45425</v>
      </c>
      <c r="C345" s="7" t="s">
        <v>35</v>
      </c>
      <c r="D345" s="35">
        <v>-2.4227208E-2</v>
      </c>
      <c r="E345" s="35">
        <v>-2.4227208E-2</v>
      </c>
      <c r="F345" s="35">
        <v>-0.24271387615694728</v>
      </c>
      <c r="G345" s="35">
        <v>-0.24271387615694728</v>
      </c>
      <c r="H345" s="35">
        <v>-2.4525514751992938E-2</v>
      </c>
    </row>
    <row r="346" spans="2:8" x14ac:dyDescent="0.35">
      <c r="B346" s="6">
        <v>45426</v>
      </c>
      <c r="C346" s="7" t="s">
        <v>35</v>
      </c>
      <c r="D346" s="35">
        <v>-9.3584159999999996E-3</v>
      </c>
      <c r="E346" s="35">
        <v>-9.3584159999999996E-3</v>
      </c>
      <c r="F346" s="35">
        <v>-0.24980087473489809</v>
      </c>
      <c r="G346" s="35">
        <v>-0.24980087473489809</v>
      </c>
      <c r="H346" s="35">
        <v>-9.4024811102474369E-3</v>
      </c>
    </row>
    <row r="347" spans="2:8" x14ac:dyDescent="0.35">
      <c r="B347" s="6">
        <v>45427</v>
      </c>
      <c r="C347" s="7" t="s">
        <v>35</v>
      </c>
      <c r="D347" s="35">
        <v>-1.9227277000000001E-2</v>
      </c>
      <c r="E347" s="35">
        <v>-1.9227277000000001E-2</v>
      </c>
      <c r="F347" s="35">
        <v>-0.26422516112152794</v>
      </c>
      <c r="G347" s="35">
        <v>-0.26422516112152794</v>
      </c>
      <c r="H347" s="35">
        <v>-1.9414525157558572E-2</v>
      </c>
    </row>
    <row r="348" spans="2:8" x14ac:dyDescent="0.35">
      <c r="B348" s="6">
        <v>45428</v>
      </c>
      <c r="C348" s="7" t="s">
        <v>35</v>
      </c>
      <c r="D348" s="35">
        <v>-8.7682060000000004E-4</v>
      </c>
      <c r="E348" s="35">
        <v>-8.7682060000000004E-4</v>
      </c>
      <c r="F348" s="35">
        <v>-0.26487030365721831</v>
      </c>
      <c r="G348" s="35">
        <v>-0.26487030365721831</v>
      </c>
      <c r="H348" s="35">
        <v>-8.7720523203430566E-4</v>
      </c>
    </row>
    <row r="349" spans="2:8" x14ac:dyDescent="0.35">
      <c r="B349" s="6">
        <v>45429</v>
      </c>
      <c r="C349" s="7" t="s">
        <v>35</v>
      </c>
      <c r="D349" s="35">
        <v>1.691432E-2</v>
      </c>
      <c r="E349" s="35">
        <v>1.691432E-2</v>
      </c>
      <c r="F349" s="35">
        <v>-0.2524360847317737</v>
      </c>
      <c r="G349" s="35">
        <v>-0.2524360847317737</v>
      </c>
      <c r="H349" s="35">
        <v>1.6772865729768015E-2</v>
      </c>
    </row>
    <row r="350" spans="2:8" x14ac:dyDescent="0.35">
      <c r="B350" s="6">
        <v>45432</v>
      </c>
      <c r="C350" s="7" t="s">
        <v>35</v>
      </c>
      <c r="D350" s="35">
        <v>-1.5004083E-2</v>
      </c>
      <c r="E350" s="35">
        <v>-1.5004083E-2</v>
      </c>
      <c r="F350" s="35">
        <v>-0.26365259576426314</v>
      </c>
      <c r="G350" s="35">
        <v>-0.26365259576426314</v>
      </c>
      <c r="H350" s="35">
        <v>-1.5117782996304419E-2</v>
      </c>
    </row>
    <row r="351" spans="2:8" x14ac:dyDescent="0.35">
      <c r="B351" s="6">
        <v>45433</v>
      </c>
      <c r="C351" s="7" t="s">
        <v>35</v>
      </c>
      <c r="D351" s="35">
        <v>1.0349163999999999E-2</v>
      </c>
      <c r="E351" s="35">
        <v>1.0349163999999999E-2</v>
      </c>
      <c r="F351" s="35">
        <v>-0.25603201571685319</v>
      </c>
      <c r="G351" s="35">
        <v>-0.25603201571685319</v>
      </c>
      <c r="H351" s="35">
        <v>1.0295978040988774E-2</v>
      </c>
    </row>
    <row r="352" spans="2:8" x14ac:dyDescent="0.35">
      <c r="B352" s="6">
        <v>45434</v>
      </c>
      <c r="C352" s="7" t="s">
        <v>35</v>
      </c>
      <c r="D352" s="35">
        <v>-6.0256976000000002E-3</v>
      </c>
      <c r="E352" s="35">
        <v>-6.0256976000000002E-3</v>
      </c>
      <c r="F352" s="35">
        <v>-0.26051494181422497</v>
      </c>
      <c r="G352" s="35">
        <v>-0.26051494181422497</v>
      </c>
      <c r="H352" s="35">
        <v>-6.0439253760480793E-3</v>
      </c>
    </row>
    <row r="353" spans="2:8" x14ac:dyDescent="0.35">
      <c r="B353" s="6">
        <v>45435</v>
      </c>
      <c r="C353" s="7" t="s">
        <v>35</v>
      </c>
      <c r="D353" s="35">
        <v>3.2869410000000002E-2</v>
      </c>
      <c r="E353" s="35">
        <v>3.2869410000000002E-2</v>
      </c>
      <c r="F353" s="35">
        <v>-0.2362085042478429</v>
      </c>
      <c r="G353" s="35">
        <v>-0.2362085042478429</v>
      </c>
      <c r="H353" s="35">
        <v>3.2340763946628229E-2</v>
      </c>
    </row>
    <row r="354" spans="2:8" x14ac:dyDescent="0.35">
      <c r="B354" s="6">
        <v>45436</v>
      </c>
      <c r="C354" s="7" t="s">
        <v>35</v>
      </c>
      <c r="D354" s="35">
        <v>-1.7620602E-3</v>
      </c>
      <c r="E354" s="35">
        <v>-1.7620602E-3</v>
      </c>
      <c r="F354" s="35">
        <v>-0.23755435084360621</v>
      </c>
      <c r="G354" s="35">
        <v>-0.23755435084360621</v>
      </c>
      <c r="H354" s="35">
        <v>-1.7636144541354889E-3</v>
      </c>
    </row>
    <row r="355" spans="2:8" x14ac:dyDescent="0.35">
      <c r="B355" s="6">
        <v>45440</v>
      </c>
      <c r="C355" s="7" t="s">
        <v>35</v>
      </c>
      <c r="D355" s="35">
        <v>-4.1443213406011647E-4</v>
      </c>
      <c r="E355" s="35">
        <v>-4.1443213406011647E-4</v>
      </c>
      <c r="F355" s="35">
        <v>-0.23787033282109094</v>
      </c>
      <c r="G355" s="35">
        <v>-0.23787033282109094</v>
      </c>
      <c r="H355" s="35">
        <v>-4.1451803479115596E-4</v>
      </c>
    </row>
    <row r="356" spans="2:8" x14ac:dyDescent="0.35">
      <c r="B356" s="6">
        <v>45441</v>
      </c>
      <c r="C356" s="7" t="s">
        <v>35</v>
      </c>
      <c r="D356" s="35">
        <v>1.9898220000000001E-2</v>
      </c>
      <c r="E356" s="35">
        <v>1.9898220000000001E-2</v>
      </c>
      <c r="F356" s="35">
        <v>-0.22270530903503827</v>
      </c>
      <c r="G356" s="35">
        <v>-0.22270530903503827</v>
      </c>
      <c r="H356" s="35">
        <v>1.9702838003668351E-2</v>
      </c>
    </row>
    <row r="357" spans="2:8" x14ac:dyDescent="0.35">
      <c r="B357" s="6">
        <v>45442</v>
      </c>
      <c r="C357" s="7" t="s">
        <v>35</v>
      </c>
      <c r="D357" s="35">
        <v>-2.1861462000000002E-2</v>
      </c>
      <c r="E357" s="35">
        <v>-2.1861462000000002E-2</v>
      </c>
      <c r="F357" s="35">
        <v>-0.23969810738437058</v>
      </c>
      <c r="G357" s="35">
        <v>-0.23969810738437058</v>
      </c>
      <c r="H357" s="35">
        <v>-2.2103964582628435E-2</v>
      </c>
    </row>
    <row r="358" spans="2:8" x14ac:dyDescent="0.35">
      <c r="B358" s="6">
        <v>45443</v>
      </c>
      <c r="C358" s="7" t="s">
        <v>35</v>
      </c>
      <c r="D358" s="35">
        <v>-2.7540237999999998E-3</v>
      </c>
      <c r="E358" s="35">
        <v>-2.7540237999999998E-3</v>
      </c>
      <c r="F358" s="35">
        <v>-0.24179199689181907</v>
      </c>
      <c r="G358" s="35">
        <v>-0.24179199689181907</v>
      </c>
      <c r="H358" s="35">
        <v>-2.757823100725166E-3</v>
      </c>
    </row>
    <row r="359" spans="2:8" x14ac:dyDescent="0.35">
      <c r="B359" s="6">
        <v>45446</v>
      </c>
      <c r="C359" s="7" t="s">
        <v>35</v>
      </c>
      <c r="D359" s="35">
        <v>-2.4440777E-2</v>
      </c>
      <c r="E359" s="35">
        <v>-2.4440777E-2</v>
      </c>
      <c r="F359" s="35">
        <v>-0.26032318961540146</v>
      </c>
      <c r="G359" s="35">
        <v>-0.26032318961540146</v>
      </c>
      <c r="H359" s="35">
        <v>-2.474441035685267E-2</v>
      </c>
    </row>
    <row r="360" spans="2:8" x14ac:dyDescent="0.35">
      <c r="B360" s="6">
        <v>45447</v>
      </c>
      <c r="C360" s="7" t="s">
        <v>35</v>
      </c>
      <c r="D360" s="35">
        <v>5.5891140000000001E-3</v>
      </c>
      <c r="E360" s="35">
        <v>5.5891140000000001E-3</v>
      </c>
      <c r="F360" s="35">
        <v>-0.25618905159900562</v>
      </c>
      <c r="G360" s="35">
        <v>-0.25618905159900562</v>
      </c>
      <c r="H360" s="35">
        <v>5.5735528574218894E-3</v>
      </c>
    </row>
    <row r="361" spans="2:8" x14ac:dyDescent="0.35">
      <c r="B361" s="6">
        <v>45448</v>
      </c>
      <c r="C361" s="7" t="s">
        <v>35</v>
      </c>
      <c r="D361" s="35">
        <v>-3.2722420000000002E-2</v>
      </c>
      <c r="E361" s="35">
        <v>-3.2722420000000002E-2</v>
      </c>
      <c r="F361" s="35">
        <v>-0.28052834585318132</v>
      </c>
      <c r="G361" s="35">
        <v>-0.28052834585318132</v>
      </c>
      <c r="H361" s="35">
        <v>-3.3269771980163704E-2</v>
      </c>
    </row>
    <row r="362" spans="2:8" x14ac:dyDescent="0.35">
      <c r="B362" s="6">
        <v>45449</v>
      </c>
      <c r="C362" s="7" t="s">
        <v>35</v>
      </c>
      <c r="D362" s="35">
        <v>1.8512806E-2</v>
      </c>
      <c r="E362" s="35">
        <v>1.8512806E-2</v>
      </c>
      <c r="F362" s="35">
        <v>-0.26720890669746222</v>
      </c>
      <c r="G362" s="35">
        <v>-0.26720890669746222</v>
      </c>
      <c r="H362" s="35">
        <v>1.8343529997922457E-2</v>
      </c>
    </row>
    <row r="363" spans="2:8" x14ac:dyDescent="0.35">
      <c r="B363" s="6">
        <v>45450</v>
      </c>
      <c r="C363" s="7" t="s">
        <v>35</v>
      </c>
      <c r="D363" s="35">
        <v>1.5953492E-2</v>
      </c>
      <c r="E363" s="35">
        <v>1.5953492E-2</v>
      </c>
      <c r="F363" s="35">
        <v>-0.25551832985278899</v>
      </c>
      <c r="G363" s="35">
        <v>-0.25551832985278899</v>
      </c>
      <c r="H363" s="35">
        <v>1.582757251800461E-2</v>
      </c>
    </row>
    <row r="364" spans="2:8" x14ac:dyDescent="0.35">
      <c r="B364" s="6">
        <v>45453</v>
      </c>
      <c r="C364" s="7" t="s">
        <v>35</v>
      </c>
      <c r="D364" s="35">
        <v>-9.3932925000000007E-3</v>
      </c>
      <c r="E364" s="35">
        <v>-9.3932925000000007E-3</v>
      </c>
      <c r="F364" s="35">
        <v>-0.26251146394137026</v>
      </c>
      <c r="G364" s="35">
        <v>-0.26251146394137026</v>
      </c>
      <c r="H364" s="35">
        <v>-9.4376877021251256E-3</v>
      </c>
    </row>
    <row r="365" spans="2:8" x14ac:dyDescent="0.35">
      <c r="B365" s="6">
        <v>45454</v>
      </c>
      <c r="C365" s="7" t="s">
        <v>35</v>
      </c>
      <c r="D365" s="35">
        <v>-1.0185659999999999E-2</v>
      </c>
      <c r="E365" s="35">
        <v>-1.0185659999999999E-2</v>
      </c>
      <c r="F365" s="35">
        <v>-0.2700232714235612</v>
      </c>
      <c r="G365" s="35">
        <v>-0.2700232714235612</v>
      </c>
      <c r="H365" s="35">
        <v>-1.0237888793990011E-2</v>
      </c>
    </row>
    <row r="366" spans="2:8" x14ac:dyDescent="0.35">
      <c r="B366" s="6">
        <v>45455</v>
      </c>
      <c r="C366" s="7" t="s">
        <v>35</v>
      </c>
      <c r="D366" s="35">
        <v>-1.8332620000000001E-2</v>
      </c>
      <c r="E366" s="35">
        <v>-1.8332620000000001E-2</v>
      </c>
      <c r="F366" s="35">
        <v>-0.2834056573973962</v>
      </c>
      <c r="G366" s="35">
        <v>-0.2834056573973962</v>
      </c>
      <c r="H366" s="35">
        <v>-1.8502744909475653E-2</v>
      </c>
    </row>
    <row r="367" spans="2:8" x14ac:dyDescent="0.35">
      <c r="B367" s="6">
        <v>45456</v>
      </c>
      <c r="C367" s="7" t="s">
        <v>35</v>
      </c>
      <c r="D367" s="35">
        <v>-6.0759373999999999E-4</v>
      </c>
      <c r="E367" s="35">
        <v>-6.0759373999999999E-4</v>
      </c>
      <c r="F367" s="35">
        <v>-0.28384105563408091</v>
      </c>
      <c r="G367" s="35">
        <v>-0.28384105563408091</v>
      </c>
      <c r="H367" s="35">
        <v>-6.0777839987899071E-4</v>
      </c>
    </row>
    <row r="368" spans="2:8" x14ac:dyDescent="0.35">
      <c r="B368" s="6">
        <v>45457</v>
      </c>
      <c r="C368" s="7" t="s">
        <v>35</v>
      </c>
      <c r="D368" s="35">
        <v>2.6648615E-2</v>
      </c>
      <c r="E368" s="35">
        <v>2.6648615E-2</v>
      </c>
      <c r="F368" s="35">
        <v>-0.26475641164686703</v>
      </c>
      <c r="G368" s="35">
        <v>-0.26475641164686703</v>
      </c>
      <c r="H368" s="35">
        <v>2.6299725370586554E-2</v>
      </c>
    </row>
    <row r="369" spans="2:8" x14ac:dyDescent="0.35">
      <c r="B369" s="6">
        <v>45460</v>
      </c>
      <c r="C369" s="7" t="s">
        <v>35</v>
      </c>
      <c r="D369" s="35">
        <v>2.3258577999999999E-2</v>
      </c>
      <c r="E369" s="35">
        <v>2.3258577999999999E-2</v>
      </c>
      <c r="F369" s="35">
        <v>-0.24765569129815568</v>
      </c>
      <c r="G369" s="35">
        <v>-0.24765569129815568</v>
      </c>
      <c r="H369" s="35">
        <v>2.2992219448323241E-2</v>
      </c>
    </row>
    <row r="370" spans="2:8" x14ac:dyDescent="0.35">
      <c r="B370" s="6">
        <v>45461</v>
      </c>
      <c r="C370" s="7" t="s">
        <v>35</v>
      </c>
      <c r="D370" s="35">
        <v>1.1797393E-2</v>
      </c>
      <c r="E370" s="35">
        <v>1.1797393E-2</v>
      </c>
      <c r="F370" s="35">
        <v>-0.2387799898170867</v>
      </c>
      <c r="G370" s="35">
        <v>-0.2387799898170867</v>
      </c>
      <c r="H370" s="35">
        <v>1.1728346276213922E-2</v>
      </c>
    </row>
    <row r="371" spans="2:8" x14ac:dyDescent="0.35">
      <c r="B371" s="6">
        <v>45463</v>
      </c>
      <c r="C371" s="7" t="s">
        <v>35</v>
      </c>
      <c r="D371" s="35">
        <v>-4.7906890274929115E-4</v>
      </c>
      <c r="E371" s="35">
        <v>-4.7906890274929115E-4</v>
      </c>
      <c r="F371" s="35">
        <v>-0.23914466665211587</v>
      </c>
      <c r="G371" s="35">
        <v>-0.23914466665211587</v>
      </c>
      <c r="H371" s="35">
        <v>-4.7918369291914632E-4</v>
      </c>
    </row>
    <row r="372" spans="2:8" x14ac:dyDescent="0.35">
      <c r="B372" s="6">
        <v>45464</v>
      </c>
      <c r="C372" s="7" t="s">
        <v>35</v>
      </c>
      <c r="D372" s="35">
        <v>-2.2879355000000001E-2</v>
      </c>
      <c r="E372" s="35">
        <v>-2.2879355000000001E-2</v>
      </c>
      <c r="F372" s="35">
        <v>-0.25655254592742549</v>
      </c>
      <c r="G372" s="35">
        <v>-0.25655254592742549</v>
      </c>
      <c r="H372" s="35">
        <v>-2.3145149404370038E-2</v>
      </c>
    </row>
    <row r="373" spans="2:8" x14ac:dyDescent="0.35">
      <c r="B373" s="6">
        <v>45467</v>
      </c>
      <c r="C373" s="7" t="s">
        <v>35</v>
      </c>
      <c r="D373" s="35">
        <v>-1.7729531999999999E-2</v>
      </c>
      <c r="E373" s="35">
        <v>-1.7729531999999999E-2</v>
      </c>
      <c r="F373" s="35">
        <v>-0.26973352135472373</v>
      </c>
      <c r="G373" s="35">
        <v>-0.26973352135472373</v>
      </c>
      <c r="H373" s="35">
        <v>-1.7888582888441279E-2</v>
      </c>
    </row>
    <row r="374" spans="2:8" x14ac:dyDescent="0.35">
      <c r="B374" s="6">
        <v>45468</v>
      </c>
      <c r="C374" s="7" t="s">
        <v>35</v>
      </c>
      <c r="D374" s="35">
        <v>5.0980486000000002E-3</v>
      </c>
      <c r="E374" s="35">
        <v>5.0980486000000002E-3</v>
      </c>
      <c r="F374" s="35">
        <v>-0.26601058735563921</v>
      </c>
      <c r="G374" s="35">
        <v>-0.26601058735563921</v>
      </c>
      <c r="H374" s="35">
        <v>5.085097548314094E-3</v>
      </c>
    </row>
    <row r="375" spans="2:8" x14ac:dyDescent="0.35">
      <c r="B375" s="6">
        <v>45469</v>
      </c>
      <c r="C375" s="7" t="s">
        <v>35</v>
      </c>
      <c r="D375" s="35">
        <v>1.7639767000000001E-2</v>
      </c>
      <c r="E375" s="35">
        <v>1.7639767000000001E-2</v>
      </c>
      <c r="F375" s="35">
        <v>-0.25306318513612591</v>
      </c>
      <c r="G375" s="35">
        <v>-0.25306318513612591</v>
      </c>
      <c r="H375" s="35">
        <v>1.7485992046123132E-2</v>
      </c>
    </row>
    <row r="376" spans="2:8" x14ac:dyDescent="0.35">
      <c r="B376" s="6">
        <v>45470</v>
      </c>
      <c r="C376" s="7" t="s">
        <v>35</v>
      </c>
      <c r="D376" s="35">
        <v>-1.0946363000000001E-2</v>
      </c>
      <c r="E376" s="35">
        <v>-1.0946363000000001E-2</v>
      </c>
      <c r="F376" s="35">
        <v>-0.26123942664968969</v>
      </c>
      <c r="G376" s="35">
        <v>-0.26123942664968969</v>
      </c>
      <c r="H376" s="35">
        <v>-1.1006715260749863E-2</v>
      </c>
    </row>
    <row r="377" spans="2:8" x14ac:dyDescent="0.35">
      <c r="B377" s="6">
        <v>45471</v>
      </c>
      <c r="C377" s="7" t="s">
        <v>35</v>
      </c>
      <c r="D377" s="35">
        <v>-2.1592896000000002E-3</v>
      </c>
      <c r="E377" s="35">
        <v>-2.1592896000000002E-3</v>
      </c>
      <c r="F377" s="35">
        <v>-0.26283462467261509</v>
      </c>
      <c r="G377" s="35">
        <v>-0.26283462467261509</v>
      </c>
      <c r="H377" s="35">
        <v>-2.1616242271511898E-3</v>
      </c>
    </row>
    <row r="378" spans="2:8" x14ac:dyDescent="0.35">
      <c r="B378" s="6">
        <v>45474</v>
      </c>
      <c r="C378" s="7" t="s">
        <v>35</v>
      </c>
      <c r="D378" s="35">
        <v>-6.9174604000000004E-3</v>
      </c>
      <c r="E378" s="35">
        <v>-6.9174604000000004E-3</v>
      </c>
      <c r="F378" s="35">
        <v>-0.26793393696469336</v>
      </c>
      <c r="G378" s="35">
        <v>-0.26793393696469336</v>
      </c>
      <c r="H378" s="35">
        <v>-6.9414969412096824E-3</v>
      </c>
    </row>
    <row r="379" spans="2:8" x14ac:dyDescent="0.35">
      <c r="B379" s="6">
        <v>45475</v>
      </c>
      <c r="C379" s="7" t="s">
        <v>35</v>
      </c>
      <c r="D379" s="35">
        <v>2.950815E-2</v>
      </c>
      <c r="E379" s="35">
        <v>2.950815E-2</v>
      </c>
      <c r="F379" s="35">
        <v>-0.24633202176673807</v>
      </c>
      <c r="G379" s="35">
        <v>-0.24633202176673807</v>
      </c>
      <c r="H379" s="35">
        <v>2.9081163918675174E-2</v>
      </c>
    </row>
    <row r="380" spans="2:8" x14ac:dyDescent="0.35">
      <c r="B380" s="6">
        <v>45476</v>
      </c>
      <c r="C380" s="7" t="s">
        <v>35</v>
      </c>
      <c r="D380" s="35">
        <v>1.9086419000000001E-4</v>
      </c>
      <c r="E380" s="35">
        <v>1.9086419000000001E-4</v>
      </c>
      <c r="F380" s="35">
        <v>-0.24618817353854372</v>
      </c>
      <c r="G380" s="35">
        <v>-0.24618817353854372</v>
      </c>
      <c r="H380" s="35">
        <v>1.9084597774774633E-4</v>
      </c>
    </row>
    <row r="381" spans="2:8" x14ac:dyDescent="0.35">
      <c r="B381" s="6">
        <v>45478</v>
      </c>
      <c r="C381" s="7" t="s">
        <v>35</v>
      </c>
      <c r="D381" s="35">
        <v>-9.7680616126284425E-3</v>
      </c>
      <c r="E381" s="35">
        <v>-9.7680616126284425E-3</v>
      </c>
      <c r="F381" s="35">
        <v>-0.25355145390374723</v>
      </c>
      <c r="G381" s="35">
        <v>-0.25355145390374723</v>
      </c>
      <c r="H381" s="35">
        <v>-9.816082093690788E-3</v>
      </c>
    </row>
    <row r="382" spans="2:8" x14ac:dyDescent="0.35">
      <c r="B382" s="6">
        <v>45481</v>
      </c>
      <c r="C382" s="7" t="s">
        <v>35</v>
      </c>
      <c r="D382" s="35">
        <v>-9.1954140000000007E-3</v>
      </c>
      <c r="E382" s="35">
        <v>-9.1954140000000007E-3</v>
      </c>
      <c r="F382" s="35">
        <v>-0.26041535731480037</v>
      </c>
      <c r="G382" s="35">
        <v>-0.26041535731480037</v>
      </c>
      <c r="H382" s="35">
        <v>-9.237952794681167E-3</v>
      </c>
    </row>
    <row r="383" spans="2:8" x14ac:dyDescent="0.35">
      <c r="B383" s="6">
        <v>45482</v>
      </c>
      <c r="C383" s="7" t="s">
        <v>35</v>
      </c>
      <c r="D383" s="35">
        <v>-2.8064227000000001E-2</v>
      </c>
      <c r="E383" s="35">
        <v>-2.8064227000000001E-2</v>
      </c>
      <c r="F383" s="35">
        <v>-0.28117122861283173</v>
      </c>
      <c r="G383" s="35">
        <v>-0.28117122861283173</v>
      </c>
      <c r="H383" s="35">
        <v>-2.8465553865383544E-2</v>
      </c>
    </row>
    <row r="384" spans="2:8" x14ac:dyDescent="0.35">
      <c r="B384" s="6">
        <v>45483</v>
      </c>
      <c r="C384" s="7" t="s">
        <v>35</v>
      </c>
      <c r="D384" s="35">
        <v>-1.2157611E-2</v>
      </c>
      <c r="E384" s="35">
        <v>-1.2157611E-2</v>
      </c>
      <c r="F384" s="35">
        <v>-0.28991046919096486</v>
      </c>
      <c r="G384" s="35">
        <v>-0.28991046919096486</v>
      </c>
      <c r="H384" s="35">
        <v>-1.2232119263427606E-2</v>
      </c>
    </row>
    <row r="385" spans="2:8" x14ac:dyDescent="0.35">
      <c r="B385" s="6">
        <v>45484</v>
      </c>
      <c r="C385" s="7" t="s">
        <v>35</v>
      </c>
      <c r="D385" s="35">
        <v>-4.9526210000000001E-2</v>
      </c>
      <c r="E385" s="35">
        <v>-4.9526210000000001E-2</v>
      </c>
      <c r="F385" s="35">
        <v>-0.32507851241261465</v>
      </c>
      <c r="G385" s="35">
        <v>-0.32507851241261465</v>
      </c>
      <c r="H385" s="35">
        <v>-5.0794692394396511E-2</v>
      </c>
    </row>
    <row r="386" spans="2:8" x14ac:dyDescent="0.35">
      <c r="B386" s="6">
        <v>45485</v>
      </c>
      <c r="C386" s="7" t="s">
        <v>35</v>
      </c>
      <c r="D386" s="35">
        <v>-2.1951253E-2</v>
      </c>
      <c r="E386" s="35">
        <v>-2.1951253E-2</v>
      </c>
      <c r="F386" s="35">
        <v>-0.33989388474178173</v>
      </c>
      <c r="G386" s="35">
        <v>-0.33989388474178173</v>
      </c>
      <c r="H386" s="35">
        <v>-2.219576663118639E-2</v>
      </c>
    </row>
    <row r="387" spans="2:8" x14ac:dyDescent="0.35">
      <c r="B387" s="6">
        <v>45488</v>
      </c>
      <c r="C387" s="7" t="s">
        <v>35</v>
      </c>
      <c r="D387" s="35">
        <v>-2.3465678E-2</v>
      </c>
      <c r="E387" s="35">
        <v>-2.3465678E-2</v>
      </c>
      <c r="F387" s="35">
        <v>-0.35538372228826198</v>
      </c>
      <c r="G387" s="35">
        <v>-0.35538372228826198</v>
      </c>
      <c r="H387" s="35">
        <v>-2.3745381305608545E-2</v>
      </c>
    </row>
    <row r="388" spans="2:8" x14ac:dyDescent="0.35">
      <c r="B388" s="6">
        <v>45489</v>
      </c>
      <c r="C388" s="7" t="s">
        <v>35</v>
      </c>
      <c r="D388" s="35">
        <v>-3.6458240000000003E-2</v>
      </c>
      <c r="E388" s="35">
        <v>-3.6458240000000003E-2</v>
      </c>
      <c r="F388" s="35">
        <v>-0.37888529724898312</v>
      </c>
      <c r="G388" s="35">
        <v>-0.37888529724898312</v>
      </c>
      <c r="H388" s="35">
        <v>-3.7139450084596529E-2</v>
      </c>
    </row>
    <row r="389" spans="2:8" x14ac:dyDescent="0.35">
      <c r="B389" s="6">
        <v>45490</v>
      </c>
      <c r="C389" s="7" t="s">
        <v>35</v>
      </c>
      <c r="D389" s="35">
        <v>3.0517576000000001E-2</v>
      </c>
      <c r="E389" s="35">
        <v>3.0517576000000001E-2</v>
      </c>
      <c r="F389" s="35">
        <v>-0.3599303821030615</v>
      </c>
      <c r="G389" s="35">
        <v>-0.3599303821030615</v>
      </c>
      <c r="H389" s="35">
        <v>3.0061177001084478E-2</v>
      </c>
    </row>
    <row r="390" spans="2:8" x14ac:dyDescent="0.35">
      <c r="B390" s="6">
        <v>45491</v>
      </c>
      <c r="C390" s="7" t="s">
        <v>35</v>
      </c>
      <c r="D390" s="35">
        <v>4.1151800000000002E-2</v>
      </c>
      <c r="E390" s="35">
        <v>4.1151800000000002E-2</v>
      </c>
      <c r="F390" s="35">
        <v>-0.33359036520129026</v>
      </c>
      <c r="G390" s="35">
        <v>-0.33359036520129026</v>
      </c>
      <c r="H390" s="35">
        <v>4.0327600327584166E-2</v>
      </c>
    </row>
    <row r="391" spans="2:8" x14ac:dyDescent="0.35">
      <c r="B391" s="6">
        <v>45492</v>
      </c>
      <c r="C391" s="7" t="s">
        <v>35</v>
      </c>
      <c r="D391" s="35">
        <v>-2.5587063000000001E-3</v>
      </c>
      <c r="E391" s="35">
        <v>-2.5587063000000001E-3</v>
      </c>
      <c r="F391" s="35">
        <v>-0.33529551173223038</v>
      </c>
      <c r="G391" s="35">
        <v>-0.33529551173223038</v>
      </c>
      <c r="H391" s="35">
        <v>-2.5619853836337573E-3</v>
      </c>
    </row>
    <row r="392" spans="2:8" x14ac:dyDescent="0.35">
      <c r="B392" s="6">
        <v>45495</v>
      </c>
      <c r="C392" s="7" t="s">
        <v>35</v>
      </c>
      <c r="D392" s="35">
        <v>-2.8843616999999998E-2</v>
      </c>
      <c r="E392" s="35">
        <v>-2.8843616999999998E-2</v>
      </c>
      <c r="F392" s="35">
        <v>-0.3544679934100069</v>
      </c>
      <c r="G392" s="35">
        <v>-0.3544679934100069</v>
      </c>
      <c r="H392" s="35">
        <v>-2.9267770105505238E-2</v>
      </c>
    </row>
    <row r="393" spans="2:8" x14ac:dyDescent="0.35">
      <c r="B393" s="6">
        <v>45496</v>
      </c>
      <c r="C393" s="7" t="s">
        <v>35</v>
      </c>
      <c r="D393" s="35">
        <v>-2.4093092999999999E-2</v>
      </c>
      <c r="E393" s="35">
        <v>-2.4093092999999999E-2</v>
      </c>
      <c r="F393" s="35">
        <v>-0.37002085607925617</v>
      </c>
      <c r="G393" s="35">
        <v>-0.37002085607925617</v>
      </c>
      <c r="H393" s="35">
        <v>-2.4388079290344322E-2</v>
      </c>
    </row>
    <row r="394" spans="2:8" x14ac:dyDescent="0.35">
      <c r="B394" s="6">
        <v>45497</v>
      </c>
      <c r="C394" s="7" t="s">
        <v>35</v>
      </c>
      <c r="D394" s="35">
        <v>2.4933066E-2</v>
      </c>
      <c r="E394" s="35">
        <v>2.4933066E-2</v>
      </c>
      <c r="F394" s="35">
        <v>-0.35431354450525676</v>
      </c>
      <c r="G394" s="35">
        <v>-0.35431354450525676</v>
      </c>
      <c r="H394" s="35">
        <v>2.4627308994723481E-2</v>
      </c>
    </row>
    <row r="395" spans="2:8" x14ac:dyDescent="0.35">
      <c r="B395" s="6">
        <v>45498</v>
      </c>
      <c r="C395" s="7" t="s">
        <v>35</v>
      </c>
      <c r="D395" s="35">
        <v>-2.3762561000000001E-2</v>
      </c>
      <c r="E395" s="35">
        <v>-2.3762561000000001E-2</v>
      </c>
      <c r="F395" s="35">
        <v>-0.36965670829082431</v>
      </c>
      <c r="G395" s="35">
        <v>-0.36965670829082431</v>
      </c>
      <c r="H395" s="35">
        <v>-2.4049444492322474E-2</v>
      </c>
    </row>
    <row r="396" spans="2:8" x14ac:dyDescent="0.35">
      <c r="B396" s="6">
        <v>45499</v>
      </c>
      <c r="C396" s="7" t="s">
        <v>35</v>
      </c>
      <c r="D396" s="35">
        <v>-1.5810363000000001E-2</v>
      </c>
      <c r="E396" s="35">
        <v>-1.5810363000000001E-2</v>
      </c>
      <c r="F396" s="35">
        <v>-0.37962266454736127</v>
      </c>
      <c r="G396" s="35">
        <v>-0.37962266454736127</v>
      </c>
      <c r="H396" s="35">
        <v>-1.5936679969643826E-2</v>
      </c>
    </row>
    <row r="397" spans="2:8" x14ac:dyDescent="0.35">
      <c r="B397" s="6">
        <v>45502</v>
      </c>
      <c r="C397" s="7" t="s">
        <v>35</v>
      </c>
      <c r="D397" s="35">
        <v>1.5745644E-2</v>
      </c>
      <c r="E397" s="35">
        <v>1.5745644E-2</v>
      </c>
      <c r="F397" s="35">
        <v>-0.36985442387765555</v>
      </c>
      <c r="G397" s="35">
        <v>-0.36985442387765555</v>
      </c>
      <c r="H397" s="35">
        <v>1.5622967419698196E-2</v>
      </c>
    </row>
    <row r="398" spans="2:8" x14ac:dyDescent="0.35">
      <c r="B398" s="6">
        <v>45503</v>
      </c>
      <c r="C398" s="7" t="s">
        <v>35</v>
      </c>
      <c r="D398" s="35">
        <v>2.5247763999999999E-2</v>
      </c>
      <c r="E398" s="35">
        <v>2.5247763999999999E-2</v>
      </c>
      <c r="F398" s="35">
        <v>-0.35394465708607459</v>
      </c>
      <c r="G398" s="35">
        <v>-0.35394465708607459</v>
      </c>
      <c r="H398" s="35">
        <v>2.4934304356173172E-2</v>
      </c>
    </row>
    <row r="399" spans="2:8" x14ac:dyDescent="0.35">
      <c r="B399" s="6">
        <v>45504</v>
      </c>
      <c r="C399" s="7" t="s">
        <v>35</v>
      </c>
      <c r="D399" s="35">
        <v>-1.9075261E-2</v>
      </c>
      <c r="E399" s="35">
        <v>-1.9075261E-2</v>
      </c>
      <c r="F399" s="35">
        <v>-0.36626833137260217</v>
      </c>
      <c r="G399" s="35">
        <v>-0.36626833137260217</v>
      </c>
      <c r="H399" s="35">
        <v>-1.9259541014234723E-2</v>
      </c>
    </row>
    <row r="400" spans="2:8" x14ac:dyDescent="0.35">
      <c r="B400" s="6">
        <v>45505</v>
      </c>
      <c r="C400" s="7" t="s">
        <v>35</v>
      </c>
      <c r="D400" s="35">
        <v>3.3978402999999997E-2</v>
      </c>
      <c r="E400" s="35">
        <v>3.3978402999999997E-2</v>
      </c>
      <c r="F400" s="35">
        <v>-0.34473514134211791</v>
      </c>
      <c r="G400" s="35">
        <v>-0.34473514134211791</v>
      </c>
      <c r="H400" s="35">
        <v>3.3413889020908895E-2</v>
      </c>
    </row>
    <row r="401" spans="2:8" x14ac:dyDescent="0.35">
      <c r="B401" s="6">
        <v>45506</v>
      </c>
      <c r="C401" s="7" t="s">
        <v>35</v>
      </c>
      <c r="D401" s="35">
        <v>4.1769500000000001E-2</v>
      </c>
      <c r="E401" s="35">
        <v>4.1769500000000001E-2</v>
      </c>
      <c r="F401" s="35">
        <v>-0.31736505582840746</v>
      </c>
      <c r="G401" s="35">
        <v>-0.31736505582840746</v>
      </c>
      <c r="H401" s="35">
        <v>4.0920709647756619E-2</v>
      </c>
    </row>
    <row r="402" spans="2:8" x14ac:dyDescent="0.35">
      <c r="B402" s="6">
        <v>45509</v>
      </c>
      <c r="C402" s="7" t="s">
        <v>35</v>
      </c>
      <c r="D402" s="35">
        <v>5.4748119999999997E-2</v>
      </c>
      <c r="E402" s="35">
        <v>5.4748119999999997E-2</v>
      </c>
      <c r="F402" s="35">
        <v>-0.27999207598870779</v>
      </c>
      <c r="G402" s="35">
        <v>-0.27999207598870779</v>
      </c>
      <c r="H402" s="35">
        <v>5.3301989607828407E-2</v>
      </c>
    </row>
    <row r="403" spans="2:8" x14ac:dyDescent="0.35">
      <c r="B403" s="6">
        <v>45510</v>
      </c>
      <c r="C403" s="7" t="s">
        <v>35</v>
      </c>
      <c r="D403" s="35">
        <v>-3.1135662000000001E-2</v>
      </c>
      <c r="E403" s="35">
        <v>-3.1135662000000001E-2</v>
      </c>
      <c r="F403" s="35">
        <v>-0.30240999934804502</v>
      </c>
      <c r="G403" s="35">
        <v>-0.30240999934804502</v>
      </c>
      <c r="H403" s="35">
        <v>-3.1630678956558023E-2</v>
      </c>
    </row>
    <row r="404" spans="2:8" x14ac:dyDescent="0.35">
      <c r="B404" s="6">
        <v>45511</v>
      </c>
      <c r="C404" s="7" t="s">
        <v>35</v>
      </c>
      <c r="D404" s="35">
        <v>3.1109147E-2</v>
      </c>
      <c r="E404" s="35">
        <v>3.1109147E-2</v>
      </c>
      <c r="F404" s="35">
        <v>-0.28070856947203326</v>
      </c>
      <c r="G404" s="35">
        <v>-0.28070856947203326</v>
      </c>
      <c r="H404" s="35">
        <v>3.0635064610937669E-2</v>
      </c>
    </row>
    <row r="405" spans="2:8" x14ac:dyDescent="0.35">
      <c r="B405" s="6">
        <v>45512</v>
      </c>
      <c r="C405" s="7" t="s">
        <v>35</v>
      </c>
      <c r="D405" s="35">
        <v>-3.3084344000000002E-2</v>
      </c>
      <c r="E405" s="35">
        <v>-3.3084344000000002E-2</v>
      </c>
      <c r="F405" s="35">
        <v>-0.30450585459587265</v>
      </c>
      <c r="G405" s="35">
        <v>-0.30450585459587265</v>
      </c>
      <c r="H405" s="35">
        <v>-3.3644009670057151E-2</v>
      </c>
    </row>
    <row r="406" spans="2:8" x14ac:dyDescent="0.35">
      <c r="B406" s="6">
        <v>45513</v>
      </c>
      <c r="C406" s="7" t="s">
        <v>35</v>
      </c>
      <c r="D406" s="35">
        <v>7.222226E-4</v>
      </c>
      <c r="E406" s="35">
        <v>7.222226E-4</v>
      </c>
      <c r="F406" s="35">
        <v>-0.30400355300589399</v>
      </c>
      <c r="G406" s="35">
        <v>-0.30400355300589399</v>
      </c>
      <c r="H406" s="35">
        <v>7.2196192276190174E-4</v>
      </c>
    </row>
    <row r="407" spans="2:8" x14ac:dyDescent="0.35">
      <c r="B407" s="6">
        <v>45516</v>
      </c>
      <c r="C407" s="7" t="s">
        <v>35</v>
      </c>
      <c r="D407" s="35">
        <v>-3.7380410000000001E-3</v>
      </c>
      <c r="E407" s="35">
        <v>-3.7380410000000001E-3</v>
      </c>
      <c r="F407" s="35">
        <v>-0.30660521626061221</v>
      </c>
      <c r="G407" s="35">
        <v>-0.30660521626061221</v>
      </c>
      <c r="H407" s="35">
        <v>-3.7450449347033771E-3</v>
      </c>
    </row>
    <row r="408" spans="2:8" x14ac:dyDescent="0.35">
      <c r="B408" s="6">
        <v>45517</v>
      </c>
      <c r="C408" s="7" t="s">
        <v>35</v>
      </c>
      <c r="D408" s="35">
        <v>-2.4881210000000001E-2</v>
      </c>
      <c r="E408" s="35">
        <v>-2.4881210000000001E-2</v>
      </c>
      <c r="F408" s="35">
        <v>-0.32385771748773651</v>
      </c>
      <c r="G408" s="35">
        <v>-0.32385771748773651</v>
      </c>
      <c r="H408" s="35">
        <v>-2.5195979508244128E-2</v>
      </c>
    </row>
    <row r="409" spans="2:8" x14ac:dyDescent="0.35">
      <c r="B409" s="6">
        <v>45518</v>
      </c>
      <c r="C409" s="7" t="s">
        <v>35</v>
      </c>
      <c r="D409" s="35">
        <v>1.3921719000000001E-2</v>
      </c>
      <c r="E409" s="35">
        <v>1.3921719000000001E-2</v>
      </c>
      <c r="F409" s="35">
        <v>-0.31444465462658211</v>
      </c>
      <c r="G409" s="35">
        <v>-0.31444465462658211</v>
      </c>
      <c r="H409" s="35">
        <v>1.3825701991664212E-2</v>
      </c>
    </row>
    <row r="410" spans="2:8" x14ac:dyDescent="0.35">
      <c r="B410" s="6">
        <v>45519</v>
      </c>
      <c r="C410" s="7" t="s">
        <v>35</v>
      </c>
      <c r="D410" s="35">
        <v>-2.7871849000000001E-2</v>
      </c>
      <c r="E410" s="35">
        <v>-2.7871849000000001E-2</v>
      </c>
      <c r="F410" s="35">
        <v>-0.33355234969397285</v>
      </c>
      <c r="G410" s="35">
        <v>-0.33355234969397285</v>
      </c>
      <c r="H410" s="35">
        <v>-2.8267640619576099E-2</v>
      </c>
    </row>
    <row r="411" spans="2:8" x14ac:dyDescent="0.35">
      <c r="B411" s="6">
        <v>45520</v>
      </c>
      <c r="C411" s="7" t="s">
        <v>35</v>
      </c>
      <c r="D411" s="35">
        <v>1.2193570999999999E-3</v>
      </c>
      <c r="E411" s="35">
        <v>1.2193570999999999E-3</v>
      </c>
      <c r="F411" s="35">
        <v>-0.3327397120197938</v>
      </c>
      <c r="G411" s="35">
        <v>-0.3327397120197938</v>
      </c>
      <c r="H411" s="35">
        <v>1.2186142879055852E-3</v>
      </c>
    </row>
    <row r="412" spans="2:8" x14ac:dyDescent="0.35">
      <c r="B412" s="6">
        <v>45523</v>
      </c>
      <c r="C412" s="7" t="s">
        <v>35</v>
      </c>
      <c r="D412" s="35">
        <v>-3.2983862000000003E-2</v>
      </c>
      <c r="E412" s="35">
        <v>-3.2983862000000003E-2</v>
      </c>
      <c r="F412" s="35">
        <v>-0.35474853327661315</v>
      </c>
      <c r="G412" s="35">
        <v>-0.35474853327661315</v>
      </c>
      <c r="H412" s="35">
        <v>-3.3540094940073213E-2</v>
      </c>
    </row>
    <row r="413" spans="2:8" x14ac:dyDescent="0.35">
      <c r="B413" s="6">
        <v>45524</v>
      </c>
      <c r="C413" s="7" t="s">
        <v>35</v>
      </c>
      <c r="D413" s="35">
        <v>4.1254320000000001E-3</v>
      </c>
      <c r="E413" s="35">
        <v>4.1254320000000001E-3</v>
      </c>
      <c r="F413" s="35">
        <v>-0.35208659222774563</v>
      </c>
      <c r="G413" s="35">
        <v>-0.35208659222774563</v>
      </c>
      <c r="H413" s="35">
        <v>4.116945737067482E-3</v>
      </c>
    </row>
    <row r="414" spans="2:8" x14ac:dyDescent="0.35">
      <c r="B414" s="6">
        <v>45525</v>
      </c>
      <c r="C414" s="7" t="s">
        <v>35</v>
      </c>
      <c r="D414" s="35">
        <v>-1.7183337E-2</v>
      </c>
      <c r="E414" s="35">
        <v>-1.7183337E-2</v>
      </c>
      <c r="F414" s="35">
        <v>-0.36321990666031467</v>
      </c>
      <c r="G414" s="35">
        <v>-0.36321990666031467</v>
      </c>
      <c r="H414" s="35">
        <v>-1.7332683859386282E-2</v>
      </c>
    </row>
    <row r="415" spans="2:8" x14ac:dyDescent="0.35">
      <c r="B415" s="6">
        <v>45526</v>
      </c>
      <c r="C415" s="7" t="s">
        <v>35</v>
      </c>
      <c r="D415" s="35">
        <v>2.4930323000000001E-2</v>
      </c>
      <c r="E415" s="35">
        <v>2.4930323000000001E-2</v>
      </c>
      <c r="F415" s="35">
        <v>-0.3473447732533862</v>
      </c>
      <c r="G415" s="35">
        <v>-0.3473447732533862</v>
      </c>
      <c r="H415" s="35">
        <v>2.4624632718816757E-2</v>
      </c>
    </row>
    <row r="416" spans="2:8" x14ac:dyDescent="0.35">
      <c r="B416" s="6">
        <v>45527</v>
      </c>
      <c r="C416" s="7" t="s">
        <v>35</v>
      </c>
      <c r="D416" s="35">
        <v>-3.1585875999999999E-2</v>
      </c>
      <c r="E416" s="35">
        <v>-3.1585875999999999E-2</v>
      </c>
      <c r="F416" s="35">
        <v>-0.36795946031615656</v>
      </c>
      <c r="G416" s="35">
        <v>-0.36795946031615656</v>
      </c>
      <c r="H416" s="35">
        <v>-3.2095469142311893E-2</v>
      </c>
    </row>
    <row r="417" spans="2:8" x14ac:dyDescent="0.35">
      <c r="B417" s="6">
        <v>45530</v>
      </c>
      <c r="C417" s="7" t="s">
        <v>35</v>
      </c>
      <c r="D417" s="35">
        <v>-7.1081390000000003E-3</v>
      </c>
      <c r="E417" s="35">
        <v>-7.1081390000000003E-3</v>
      </c>
      <c r="F417" s="35">
        <v>-0.37245209232586429</v>
      </c>
      <c r="G417" s="35">
        <v>-0.37245209232586429</v>
      </c>
      <c r="H417" s="35">
        <v>-7.1335221763066756E-3</v>
      </c>
    </row>
    <row r="418" spans="2:8" x14ac:dyDescent="0.35">
      <c r="B418" s="6">
        <v>45531</v>
      </c>
      <c r="C418" s="7" t="s">
        <v>35</v>
      </c>
      <c r="D418" s="35">
        <v>1.1665505E-2</v>
      </c>
      <c r="E418" s="35">
        <v>1.1665505E-2</v>
      </c>
      <c r="F418" s="35">
        <v>-0.36513142907115204</v>
      </c>
      <c r="G418" s="35">
        <v>-0.36513142907115204</v>
      </c>
      <c r="H418" s="35">
        <v>1.1597987572511487E-2</v>
      </c>
    </row>
    <row r="419" spans="2:8" x14ac:dyDescent="0.35">
      <c r="B419" s="6">
        <v>45532</v>
      </c>
      <c r="C419" s="7" t="s">
        <v>35</v>
      </c>
      <c r="D419" s="35">
        <v>1.4549609999999999E-2</v>
      </c>
      <c r="E419" s="35">
        <v>1.4549609999999999E-2</v>
      </c>
      <c r="F419" s="35">
        <v>-0.35589433896287992</v>
      </c>
      <c r="G419" s="35">
        <v>-0.35589433896287992</v>
      </c>
      <c r="H419" s="35">
        <v>1.4444780024542442E-2</v>
      </c>
    </row>
    <row r="420" spans="2:8" x14ac:dyDescent="0.35">
      <c r="B420" s="6">
        <v>45533</v>
      </c>
      <c r="C420" s="7" t="s">
        <v>35</v>
      </c>
      <c r="D420" s="35">
        <v>-1.8359390999999999E-2</v>
      </c>
      <c r="E420" s="35">
        <v>-1.8359390999999999E-2</v>
      </c>
      <c r="F420" s="35">
        <v>-0.36771972663917385</v>
      </c>
      <c r="G420" s="35">
        <v>-0.36771972663917385</v>
      </c>
      <c r="H420" s="35">
        <v>-1.8530016229259993E-2</v>
      </c>
    </row>
    <row r="421" spans="2:8" x14ac:dyDescent="0.35">
      <c r="B421" s="6">
        <v>45534</v>
      </c>
      <c r="C421" s="7" t="s">
        <v>35</v>
      </c>
      <c r="D421" s="35">
        <v>-7.0768150000000002E-3</v>
      </c>
      <c r="E421" s="35">
        <v>-7.0768150000000002E-3</v>
      </c>
      <c r="F421" s="35">
        <v>-0.3721942571618978</v>
      </c>
      <c r="G421" s="35">
        <v>-0.3721942571618978</v>
      </c>
      <c r="H421" s="35">
        <v>-7.1019744246007578E-3</v>
      </c>
    </row>
    <row r="422" spans="2:8" x14ac:dyDescent="0.35">
      <c r="B422" s="6">
        <v>45538</v>
      </c>
      <c r="C422" s="7" t="s">
        <v>35</v>
      </c>
      <c r="D422" s="35">
        <v>4.7280356886091779E-2</v>
      </c>
      <c r="E422" s="35">
        <v>4.7280356886091779E-2</v>
      </c>
      <c r="F422" s="35">
        <v>-0.34251137758537442</v>
      </c>
      <c r="G422" s="35">
        <v>-0.34251137758537442</v>
      </c>
      <c r="H422" s="35">
        <v>4.6196667663932121E-2</v>
      </c>
    </row>
    <row r="423" spans="2:8" x14ac:dyDescent="0.35">
      <c r="B423" s="6">
        <v>45539</v>
      </c>
      <c r="C423" s="7" t="s">
        <v>35</v>
      </c>
      <c r="D423" s="35">
        <v>-3.5188586E-4</v>
      </c>
      <c r="E423" s="35">
        <v>-3.5188586E-4</v>
      </c>
      <c r="F423" s="35">
        <v>-0.34274273853471304</v>
      </c>
      <c r="G423" s="35">
        <v>-0.34274273853471304</v>
      </c>
      <c r="H423" s="35">
        <v>-3.5194778635701154E-4</v>
      </c>
    </row>
    <row r="424" spans="2:8" x14ac:dyDescent="0.35">
      <c r="B424" s="6">
        <v>45540</v>
      </c>
      <c r="C424" s="7" t="s">
        <v>35</v>
      </c>
      <c r="D424" s="35">
        <v>1.3703061E-3</v>
      </c>
      <c r="E424" s="35">
        <v>1.3703061E-3</v>
      </c>
      <c r="F424" s="35">
        <v>-0.34184209490005779</v>
      </c>
      <c r="G424" s="35">
        <v>-0.34184209490005779</v>
      </c>
      <c r="H424" s="35">
        <v>1.3693680874080618E-3</v>
      </c>
    </row>
    <row r="425" spans="2:8" x14ac:dyDescent="0.35">
      <c r="B425" s="6">
        <v>45541</v>
      </c>
      <c r="C425" s="7" t="s">
        <v>35</v>
      </c>
      <c r="D425" s="35">
        <v>2.2404774999999998E-2</v>
      </c>
      <c r="E425" s="35">
        <v>2.2404774999999998E-2</v>
      </c>
      <c r="F425" s="35">
        <v>-0.32709621512182219</v>
      </c>
      <c r="G425" s="35">
        <v>-0.32709621512182219</v>
      </c>
      <c r="H425" s="35">
        <v>2.2157475013638721E-2</v>
      </c>
    </row>
    <row r="426" spans="2:8" x14ac:dyDescent="0.35">
      <c r="B426" s="6">
        <v>45544</v>
      </c>
      <c r="C426" s="7" t="s">
        <v>35</v>
      </c>
      <c r="D426" s="35">
        <v>-2.9951680000000001E-2</v>
      </c>
      <c r="E426" s="35">
        <v>-2.9951680000000001E-2</v>
      </c>
      <c r="F426" s="35">
        <v>-0.34725081395728219</v>
      </c>
      <c r="G426" s="35">
        <v>-0.34725081395728219</v>
      </c>
      <c r="H426" s="35">
        <v>-3.0409394292416556E-2</v>
      </c>
    </row>
    <row r="427" spans="2:8" x14ac:dyDescent="0.35">
      <c r="B427" s="6">
        <v>45545</v>
      </c>
      <c r="C427" s="7" t="s">
        <v>35</v>
      </c>
      <c r="D427" s="35">
        <v>-8.5563559999999993E-3</v>
      </c>
      <c r="E427" s="35">
        <v>-8.5563559999999993E-3</v>
      </c>
      <c r="F427" s="35">
        <v>-0.35283596837177389</v>
      </c>
      <c r="G427" s="35">
        <v>-0.35283596837177389</v>
      </c>
      <c r="H427" s="35">
        <v>-8.5931717703184706E-3</v>
      </c>
    </row>
    <row r="428" spans="2:8" x14ac:dyDescent="0.35">
      <c r="B428" s="6">
        <v>45546</v>
      </c>
      <c r="C428" s="7" t="s">
        <v>35</v>
      </c>
      <c r="D428" s="35">
        <v>-5.9104159999999999E-3</v>
      </c>
      <c r="E428" s="35">
        <v>-5.9104159999999999E-3</v>
      </c>
      <c r="F428" s="35">
        <v>-0.35666097701893384</v>
      </c>
      <c r="G428" s="35">
        <v>-0.35666097701893384</v>
      </c>
      <c r="H428" s="35">
        <v>-5.9279516380631942E-3</v>
      </c>
    </row>
    <row r="429" spans="2:8" x14ac:dyDescent="0.35">
      <c r="B429" s="6">
        <v>45547</v>
      </c>
      <c r="C429" s="7" t="s">
        <v>35</v>
      </c>
      <c r="D429" s="35">
        <v>5.2224589999999996E-3</v>
      </c>
      <c r="E429" s="35">
        <v>5.2224589999999996E-3</v>
      </c>
      <c r="F429" s="35">
        <v>-0.35330116534831513</v>
      </c>
      <c r="G429" s="35">
        <v>-0.35330116534831513</v>
      </c>
      <c r="H429" s="35">
        <v>5.2088692550528838E-3</v>
      </c>
    </row>
    <row r="430" spans="2:8" x14ac:dyDescent="0.35">
      <c r="B430" s="6">
        <v>45548</v>
      </c>
      <c r="C430" s="7" t="s">
        <v>35</v>
      </c>
      <c r="D430" s="35">
        <v>-2.7455414000000001E-2</v>
      </c>
      <c r="E430" s="35">
        <v>-2.7455414000000001E-2</v>
      </c>
      <c r="F430" s="35">
        <v>-0.37105654958699463</v>
      </c>
      <c r="G430" s="35">
        <v>-0.37105654958699463</v>
      </c>
      <c r="H430" s="35">
        <v>-2.7839357753835059E-2</v>
      </c>
    </row>
    <row r="431" spans="2:8" x14ac:dyDescent="0.35">
      <c r="B431" s="6">
        <v>45551</v>
      </c>
      <c r="C431" s="7" t="s">
        <v>35</v>
      </c>
      <c r="D431" s="35">
        <v>9.1563159999999994E-3</v>
      </c>
      <c r="E431" s="35">
        <v>9.1563159999999994E-3</v>
      </c>
      <c r="F431" s="35">
        <v>-0.36529774460888276</v>
      </c>
      <c r="G431" s="35">
        <v>-0.36529774460888276</v>
      </c>
      <c r="H431" s="35">
        <v>9.1146510770020693E-3</v>
      </c>
    </row>
    <row r="432" spans="2:8" x14ac:dyDescent="0.35">
      <c r="B432" s="6">
        <v>45552</v>
      </c>
      <c r="C432" s="7" t="s">
        <v>35</v>
      </c>
      <c r="D432" s="35">
        <v>-2.7527573999999999E-3</v>
      </c>
      <c r="E432" s="35">
        <v>-2.7527573999999999E-3</v>
      </c>
      <c r="F432" s="35">
        <v>-0.36704492593920734</v>
      </c>
      <c r="G432" s="35">
        <v>-0.36704492593920734</v>
      </c>
      <c r="H432" s="35">
        <v>-2.7565532042040444E-3</v>
      </c>
    </row>
    <row r="433" spans="2:8" x14ac:dyDescent="0.35">
      <c r="B433" s="6">
        <v>45553</v>
      </c>
      <c r="C433" s="7" t="s">
        <v>35</v>
      </c>
      <c r="D433" s="35">
        <v>-3.5050073999999998E-3</v>
      </c>
      <c r="E433" s="35">
        <v>-3.5050073999999998E-3</v>
      </c>
      <c r="F433" s="35">
        <v>-0.36926343815765794</v>
      </c>
      <c r="G433" s="35">
        <v>-0.36926343815765794</v>
      </c>
      <c r="H433" s="35">
        <v>-3.5111643293690683E-3</v>
      </c>
    </row>
    <row r="434" spans="2:8" x14ac:dyDescent="0.35">
      <c r="B434" s="6">
        <v>45554</v>
      </c>
      <c r="C434" s="7" t="s">
        <v>35</v>
      </c>
      <c r="D434" s="35">
        <v>-2.2837231E-2</v>
      </c>
      <c r="E434" s="35">
        <v>-2.2837231E-2</v>
      </c>
      <c r="F434" s="35">
        <v>-0.38366771472059735</v>
      </c>
      <c r="G434" s="35">
        <v>-0.38366771472059735</v>
      </c>
      <c r="H434" s="35">
        <v>-2.3102039996896393E-2</v>
      </c>
    </row>
    <row r="435" spans="2:8" x14ac:dyDescent="0.35">
      <c r="B435" s="6">
        <v>45555</v>
      </c>
      <c r="C435" s="7" t="s">
        <v>35</v>
      </c>
      <c r="D435" s="35">
        <v>1.2665243E-2</v>
      </c>
      <c r="E435" s="35">
        <v>1.2665243E-2</v>
      </c>
      <c r="F435" s="35">
        <v>-0.37586171655878842</v>
      </c>
      <c r="G435" s="35">
        <v>-0.37586171655878842</v>
      </c>
      <c r="H435" s="35">
        <v>1.2585709645365407E-2</v>
      </c>
    </row>
    <row r="436" spans="2:8" x14ac:dyDescent="0.35">
      <c r="B436" s="6">
        <v>45558</v>
      </c>
      <c r="C436" s="7" t="s">
        <v>35</v>
      </c>
      <c r="D436" s="35">
        <v>2.427812E-2</v>
      </c>
      <c r="E436" s="35">
        <v>2.427812E-2</v>
      </c>
      <c r="F436" s="35">
        <v>-0.36070881241680874</v>
      </c>
      <c r="G436" s="35">
        <v>-0.36070881241680874</v>
      </c>
      <c r="H436" s="35">
        <v>2.3988091302788714E-2</v>
      </c>
    </row>
    <row r="437" spans="2:8" x14ac:dyDescent="0.35">
      <c r="B437" s="6">
        <v>45559</v>
      </c>
      <c r="C437" s="7" t="s">
        <v>35</v>
      </c>
      <c r="D437" s="35">
        <v>1.9829737000000001E-3</v>
      </c>
      <c r="E437" s="35">
        <v>1.9829737000000001E-3</v>
      </c>
      <c r="F437" s="35">
        <v>-0.35944111480518959</v>
      </c>
      <c r="G437" s="35">
        <v>-0.35944111480518959</v>
      </c>
      <c r="H437" s="35">
        <v>1.981010202932659E-3</v>
      </c>
    </row>
    <row r="438" spans="2:8" x14ac:dyDescent="0.35">
      <c r="B438" s="6">
        <v>45560</v>
      </c>
      <c r="C438" s="7" t="s">
        <v>35</v>
      </c>
      <c r="D438" s="35">
        <v>1.7251275E-2</v>
      </c>
      <c r="E438" s="35">
        <v>1.7251275E-2</v>
      </c>
      <c r="F438" s="35">
        <v>-0.34839065732300045</v>
      </c>
      <c r="G438" s="35">
        <v>-0.34839065732300045</v>
      </c>
      <c r="H438" s="35">
        <v>1.7104161278085464E-2</v>
      </c>
    </row>
    <row r="439" spans="2:8" x14ac:dyDescent="0.35">
      <c r="B439" s="6">
        <v>45561</v>
      </c>
      <c r="C439" s="7" t="s">
        <v>35</v>
      </c>
      <c r="D439" s="35">
        <v>-1.0281788E-2</v>
      </c>
      <c r="E439" s="35">
        <v>-1.0281788E-2</v>
      </c>
      <c r="F439" s="35">
        <v>-0.35509036644322467</v>
      </c>
      <c r="G439" s="35">
        <v>-0.35509036644322467</v>
      </c>
      <c r="H439" s="35">
        <v>-1.0335010712978883E-2</v>
      </c>
    </row>
    <row r="440" spans="2:8" x14ac:dyDescent="0.35">
      <c r="B440" s="6">
        <v>45562</v>
      </c>
      <c r="C440" s="7" t="s">
        <v>35</v>
      </c>
      <c r="D440" s="35">
        <v>-7.3903813000000002E-3</v>
      </c>
      <c r="E440" s="35">
        <v>-7.3903813000000002E-3</v>
      </c>
      <c r="F440" s="35">
        <v>-0.3598564945392525</v>
      </c>
      <c r="G440" s="35">
        <v>-0.3598564945392525</v>
      </c>
      <c r="H440" s="35">
        <v>-7.417825466721561E-3</v>
      </c>
    </row>
    <row r="441" spans="2:8" x14ac:dyDescent="0.35">
      <c r="B441" s="6">
        <v>45565</v>
      </c>
      <c r="C441" s="7" t="s">
        <v>35</v>
      </c>
      <c r="D441" s="35">
        <v>-2.247087E-3</v>
      </c>
      <c r="E441" s="35">
        <v>-2.247087E-3</v>
      </c>
      <c r="F441" s="35">
        <v>-0.36129495268850775</v>
      </c>
      <c r="G441" s="35">
        <v>-0.36129495268850775</v>
      </c>
      <c r="H441" s="35">
        <v>-2.2496154885253772E-3</v>
      </c>
    </row>
    <row r="442" spans="2:8" x14ac:dyDescent="0.35">
      <c r="B442" s="6">
        <v>45566</v>
      </c>
      <c r="C442" s="7" t="s">
        <v>35</v>
      </c>
      <c r="D442" s="35">
        <v>9.8308979999999994E-3</v>
      </c>
      <c r="E442" s="35">
        <v>9.8308979999999994E-3</v>
      </c>
      <c r="F442" s="35">
        <v>-0.35501590851630338</v>
      </c>
      <c r="G442" s="35">
        <v>-0.35501590851630338</v>
      </c>
      <c r="H442" s="35">
        <v>9.7828891128099085E-3</v>
      </c>
    </row>
    <row r="443" spans="2:8" x14ac:dyDescent="0.35">
      <c r="B443" s="6">
        <v>45567</v>
      </c>
      <c r="C443" s="7" t="s">
        <v>35</v>
      </c>
      <c r="D443" s="35">
        <v>6.3825470000000001E-4</v>
      </c>
      <c r="E443" s="35">
        <v>6.3825470000000001E-4</v>
      </c>
      <c r="F443" s="35">
        <v>-0.3546042443884887</v>
      </c>
      <c r="G443" s="35">
        <v>-0.3546042443884887</v>
      </c>
      <c r="H443" s="35">
        <v>6.3805110209580007E-4</v>
      </c>
    </row>
    <row r="444" spans="2:8" x14ac:dyDescent="0.35">
      <c r="B444" s="6">
        <v>45568</v>
      </c>
      <c r="C444" s="7" t="s">
        <v>35</v>
      </c>
      <c r="D444" s="35">
        <v>1.2378332000000001E-2</v>
      </c>
      <c r="E444" s="35">
        <v>1.2378332000000001E-2</v>
      </c>
      <c r="F444" s="35">
        <v>-0.34661532145413854</v>
      </c>
      <c r="G444" s="35">
        <v>-0.34661532145413854</v>
      </c>
      <c r="H444" s="35">
        <v>1.2302346852127843E-2</v>
      </c>
    </row>
    <row r="445" spans="2:8" x14ac:dyDescent="0.35">
      <c r="B445" s="6">
        <v>45569</v>
      </c>
      <c r="C445" s="7" t="s">
        <v>35</v>
      </c>
      <c r="D445" s="35">
        <v>-1.9922499999999999E-2</v>
      </c>
      <c r="E445" s="35">
        <v>-1.9922499999999999E-2</v>
      </c>
      <c r="F445" s="35">
        <v>-0.35963237771246848</v>
      </c>
      <c r="G445" s="35">
        <v>-0.35963237771246848</v>
      </c>
      <c r="H445" s="35">
        <v>-2.0123628811653804E-2</v>
      </c>
    </row>
    <row r="446" spans="2:8" x14ac:dyDescent="0.35">
      <c r="B446" s="6">
        <v>45572</v>
      </c>
      <c r="C446" s="7" t="s">
        <v>35</v>
      </c>
      <c r="D446" s="35">
        <v>1.5858346999999998E-2</v>
      </c>
      <c r="E446" s="35">
        <v>1.5858346999999998E-2</v>
      </c>
      <c r="F446" s="35">
        <v>-0.34947720575066787</v>
      </c>
      <c r="G446" s="35">
        <v>-0.34947720575066787</v>
      </c>
      <c r="H446" s="35">
        <v>1.5733917192011098E-2</v>
      </c>
    </row>
    <row r="447" spans="2:8" x14ac:dyDescent="0.35">
      <c r="B447" s="6">
        <v>45573</v>
      </c>
      <c r="C447" s="7" t="s">
        <v>35</v>
      </c>
      <c r="D447" s="35">
        <v>-3.7598112000000001E-3</v>
      </c>
      <c r="E447" s="35">
        <v>-3.7598112000000001E-3</v>
      </c>
      <c r="F447" s="35">
        <v>-0.35192304863834178</v>
      </c>
      <c r="G447" s="35">
        <v>-0.35192304863834178</v>
      </c>
      <c r="H447" s="35">
        <v>-3.766897056694766E-3</v>
      </c>
    </row>
    <row r="448" spans="2:8" x14ac:dyDescent="0.35">
      <c r="B448" s="6">
        <v>45574</v>
      </c>
      <c r="C448" s="7" t="s">
        <v>35</v>
      </c>
      <c r="D448" s="35">
        <v>9.5651780000000006E-3</v>
      </c>
      <c r="E448" s="35">
        <v>9.5651780000000006E-3</v>
      </c>
      <c r="F448" s="35">
        <v>-0.34572407724087029</v>
      </c>
      <c r="G448" s="35">
        <v>-0.34572407724087029</v>
      </c>
      <c r="H448" s="35">
        <v>9.5197213225070298E-3</v>
      </c>
    </row>
    <row r="449" spans="2:8" x14ac:dyDescent="0.35">
      <c r="B449" s="6">
        <v>45575</v>
      </c>
      <c r="C449" s="7" t="s">
        <v>35</v>
      </c>
      <c r="D449" s="35">
        <v>5.397158E-3</v>
      </c>
      <c r="E449" s="35">
        <v>5.397158E-3</v>
      </c>
      <c r="F449" s="35">
        <v>-0.34219284671014338</v>
      </c>
      <c r="G449" s="35">
        <v>-0.34219284671014338</v>
      </c>
      <c r="H449" s="35">
        <v>5.3826455367150493E-3</v>
      </c>
    </row>
    <row r="450" spans="2:8" x14ac:dyDescent="0.35">
      <c r="B450" s="6">
        <v>45576</v>
      </c>
      <c r="C450" s="7" t="s">
        <v>35</v>
      </c>
      <c r="D450" s="35">
        <v>-3.5610929999999999E-2</v>
      </c>
      <c r="E450" s="35">
        <v>-3.5610929999999999E-2</v>
      </c>
      <c r="F450" s="35">
        <v>-0.36561797119944772</v>
      </c>
      <c r="G450" s="35">
        <v>-0.36561797119944772</v>
      </c>
      <c r="H450" s="35">
        <v>-3.6260466210933935E-2</v>
      </c>
    </row>
    <row r="451" spans="2:8" x14ac:dyDescent="0.35">
      <c r="B451" s="6">
        <v>45579</v>
      </c>
      <c r="C451" s="7" t="s">
        <v>35</v>
      </c>
      <c r="D451" s="35">
        <v>-1.7511136000000001E-3</v>
      </c>
      <c r="E451" s="35">
        <v>-1.7511136000000001E-3</v>
      </c>
      <c r="F451" s="35">
        <v>-0.36672884619767598</v>
      </c>
      <c r="G451" s="35">
        <v>-0.36672884619767598</v>
      </c>
      <c r="H451" s="35">
        <v>-1.7526485916449753E-3</v>
      </c>
    </row>
    <row r="452" spans="2:8" x14ac:dyDescent="0.35">
      <c r="B452" s="6">
        <v>45580</v>
      </c>
      <c r="C452" s="7" t="s">
        <v>35</v>
      </c>
      <c r="D452" s="35">
        <v>-4.7823980000000002E-3</v>
      </c>
      <c r="E452" s="35">
        <v>-4.7823980000000002E-3</v>
      </c>
      <c r="F452" s="35">
        <v>-0.36975740089707787</v>
      </c>
      <c r="G452" s="35">
        <v>-0.36975740089707787</v>
      </c>
      <c r="H452" s="35">
        <v>-4.7938702565272868E-3</v>
      </c>
    </row>
    <row r="453" spans="2:8" x14ac:dyDescent="0.35">
      <c r="B453" s="6">
        <v>45581</v>
      </c>
      <c r="C453" s="7" t="s">
        <v>35</v>
      </c>
      <c r="D453" s="35">
        <v>-1.7388872999999999E-2</v>
      </c>
      <c r="E453" s="35">
        <v>-1.7388872999999999E-2</v>
      </c>
      <c r="F453" s="35">
        <v>-0.38071660941206853</v>
      </c>
      <c r="G453" s="35">
        <v>-0.38071660941206853</v>
      </c>
      <c r="H453" s="35">
        <v>-1.7541835273439825E-2</v>
      </c>
    </row>
    <row r="454" spans="2:8" x14ac:dyDescent="0.35">
      <c r="B454" s="6">
        <v>45582</v>
      </c>
      <c r="C454" s="7" t="s">
        <v>35</v>
      </c>
      <c r="D454" s="35">
        <v>7.2070173999999997E-3</v>
      </c>
      <c r="E454" s="35">
        <v>7.2070173999999997E-3</v>
      </c>
      <c r="F454" s="35">
        <v>-0.37625342324057032</v>
      </c>
      <c r="G454" s="35">
        <v>-0.37625342324057032</v>
      </c>
      <c r="H454" s="35">
        <v>7.1811709596308632E-3</v>
      </c>
    </row>
    <row r="455" spans="2:8" x14ac:dyDescent="0.35">
      <c r="B455" s="6">
        <v>45583</v>
      </c>
      <c r="C455" s="7" t="s">
        <v>35</v>
      </c>
      <c r="D455" s="35">
        <v>-9.2398340000000006E-3</v>
      </c>
      <c r="E455" s="35">
        <v>-9.2398340000000006E-3</v>
      </c>
      <c r="F455" s="35">
        <v>-0.38201673806789571</v>
      </c>
      <c r="G455" s="35">
        <v>-0.38201673806789571</v>
      </c>
      <c r="H455" s="35">
        <v>-9.282786050786012E-3</v>
      </c>
    </row>
    <row r="456" spans="2:8" x14ac:dyDescent="0.35">
      <c r="B456" s="6">
        <v>45586</v>
      </c>
      <c r="C456" s="7" t="s">
        <v>35</v>
      </c>
      <c r="D456" s="35">
        <v>1.6601550999999999E-2</v>
      </c>
      <c r="E456" s="35">
        <v>1.6601550999999999E-2</v>
      </c>
      <c r="F456" s="35">
        <v>-0.37175725742778354</v>
      </c>
      <c r="G456" s="35">
        <v>-0.37175725742778354</v>
      </c>
      <c r="H456" s="35">
        <v>1.6465251703315857E-2</v>
      </c>
    </row>
    <row r="457" spans="2:8" x14ac:dyDescent="0.35">
      <c r="B457" s="6">
        <v>45587</v>
      </c>
      <c r="C457" s="7" t="s">
        <v>35</v>
      </c>
      <c r="D457" s="35">
        <v>1.4987446E-3</v>
      </c>
      <c r="E457" s="35">
        <v>1.4987446E-3</v>
      </c>
      <c r="F457" s="35">
        <v>-0.37081568200986414</v>
      </c>
      <c r="G457" s="35">
        <v>-0.37081568200986414</v>
      </c>
      <c r="H457" s="35">
        <v>1.4976226032299173E-3</v>
      </c>
    </row>
    <row r="458" spans="2:8" x14ac:dyDescent="0.35">
      <c r="B458" s="6">
        <v>45588</v>
      </c>
      <c r="C458" s="7" t="s">
        <v>35</v>
      </c>
      <c r="D458" s="35">
        <v>6.6681789999999998E-3</v>
      </c>
      <c r="E458" s="35">
        <v>6.6681789999999998E-3</v>
      </c>
      <c r="F458" s="35">
        <v>-0.36662016835351297</v>
      </c>
      <c r="G458" s="35">
        <v>-0.36662016835351297</v>
      </c>
      <c r="H458" s="35">
        <v>6.6460450354209463E-3</v>
      </c>
    </row>
    <row r="459" spans="2:8" x14ac:dyDescent="0.35">
      <c r="B459" s="6">
        <v>45589</v>
      </c>
      <c r="C459" s="7" t="s">
        <v>35</v>
      </c>
      <c r="D459" s="35">
        <v>1.157936E-3</v>
      </c>
      <c r="E459" s="35">
        <v>1.157936E-3</v>
      </c>
      <c r="F459" s="35">
        <v>-0.36588675504477552</v>
      </c>
      <c r="G459" s="35">
        <v>-0.36588675504477552</v>
      </c>
      <c r="H459" s="35">
        <v>1.1572661091872342E-3</v>
      </c>
    </row>
    <row r="460" spans="2:8" x14ac:dyDescent="0.35">
      <c r="B460" s="6">
        <v>45590</v>
      </c>
      <c r="C460" s="7" t="s">
        <v>35</v>
      </c>
      <c r="D460" s="35">
        <v>4.6583570000000001E-3</v>
      </c>
      <c r="E460" s="35">
        <v>4.6583570000000001E-3</v>
      </c>
      <c r="F460" s="35">
        <v>-0.36293282917134562</v>
      </c>
      <c r="G460" s="35">
        <v>-0.36293282917134562</v>
      </c>
      <c r="H460" s="35">
        <v>4.647540433640897E-3</v>
      </c>
    </row>
    <row r="461" spans="2:8" x14ac:dyDescent="0.35">
      <c r="B461" s="6">
        <v>45593</v>
      </c>
      <c r="C461" s="7" t="s">
        <v>35</v>
      </c>
      <c r="D461" s="35">
        <v>-2.5704254999999999E-2</v>
      </c>
      <c r="E461" s="35">
        <v>-2.5704254999999999E-2</v>
      </c>
      <c r="F461" s="35">
        <v>-0.37930816618245389</v>
      </c>
      <c r="G461" s="35">
        <v>-0.37930816618245389</v>
      </c>
      <c r="H461" s="35">
        <v>-2.60403817983949E-2</v>
      </c>
    </row>
    <row r="462" spans="2:8" x14ac:dyDescent="0.35">
      <c r="B462" s="6">
        <v>45594</v>
      </c>
      <c r="C462" s="7" t="s">
        <v>35</v>
      </c>
      <c r="D462" s="35">
        <v>2.9224580000000002E-3</v>
      </c>
      <c r="E462" s="35">
        <v>2.9224580000000002E-3</v>
      </c>
      <c r="F462" s="35">
        <v>-0.37749422036717917</v>
      </c>
      <c r="G462" s="35">
        <v>-0.37749422036717917</v>
      </c>
      <c r="H462" s="35">
        <v>2.9181959214303892E-3</v>
      </c>
    </row>
    <row r="463" spans="2:8" x14ac:dyDescent="0.35">
      <c r="B463" s="6">
        <v>45595</v>
      </c>
      <c r="C463" s="7" t="s">
        <v>35</v>
      </c>
      <c r="D463" s="35">
        <v>9.3633259999999999E-3</v>
      </c>
      <c r="E463" s="35">
        <v>9.3633259999999999E-3</v>
      </c>
      <c r="F463" s="35">
        <v>-0.37166549581559294</v>
      </c>
      <c r="G463" s="35">
        <v>-0.37166549581559294</v>
      </c>
      <c r="H463" s="35">
        <v>9.3197617892470334E-3</v>
      </c>
    </row>
    <row r="464" spans="2:8" x14ac:dyDescent="0.35">
      <c r="B464" s="6">
        <v>45596</v>
      </c>
      <c r="C464" s="7" t="s">
        <v>35</v>
      </c>
      <c r="D464" s="35">
        <v>1.3592178E-2</v>
      </c>
      <c r="E464" s="35">
        <v>1.3592178E-2</v>
      </c>
      <c r="F464" s="35">
        <v>-0.36312506139117684</v>
      </c>
      <c r="G464" s="35">
        <v>-0.36312506139117684</v>
      </c>
      <c r="H464" s="35">
        <v>1.350063294687035E-2</v>
      </c>
    </row>
    <row r="465" spans="2:8" x14ac:dyDescent="0.35">
      <c r="B465" s="6">
        <v>45597</v>
      </c>
      <c r="C465" s="7" t="s">
        <v>35</v>
      </c>
      <c r="D465" s="35">
        <v>-1.7379208E-2</v>
      </c>
      <c r="E465" s="35">
        <v>-1.7379208E-2</v>
      </c>
      <c r="F465" s="35">
        <v>-0.37419344341924687</v>
      </c>
      <c r="G465" s="35">
        <v>-0.37419344341924687</v>
      </c>
      <c r="H465" s="35">
        <v>-1.7531999284204531E-2</v>
      </c>
    </row>
    <row r="466" spans="2:8" x14ac:dyDescent="0.35">
      <c r="B466" s="6">
        <v>45600</v>
      </c>
      <c r="C466" s="7" t="s">
        <v>35</v>
      </c>
      <c r="D466" s="35">
        <v>-5.3906244999999998E-3</v>
      </c>
      <c r="E466" s="35">
        <v>-5.3906244999999998E-3</v>
      </c>
      <c r="F466" s="35">
        <v>-0.37756693157541177</v>
      </c>
      <c r="G466" s="35">
        <v>-0.37756693157541177</v>
      </c>
      <c r="H466" s="35">
        <v>-5.4052063433532886E-3</v>
      </c>
    </row>
    <row r="467" spans="2:8" x14ac:dyDescent="0.35">
      <c r="B467" s="6">
        <v>45601</v>
      </c>
      <c r="C467" s="7" t="s">
        <v>35</v>
      </c>
      <c r="D467" s="35">
        <v>-1.8754897999999999E-2</v>
      </c>
      <c r="E467" s="35">
        <v>-1.8754897999999999E-2</v>
      </c>
      <c r="F467" s="35">
        <v>-0.38924060028554197</v>
      </c>
      <c r="G467" s="35">
        <v>-0.38924060028554197</v>
      </c>
      <c r="H467" s="35">
        <v>-1.8933001490333553E-2</v>
      </c>
    </row>
    <row r="468" spans="2:8" x14ac:dyDescent="0.35">
      <c r="B468" s="6">
        <v>45602</v>
      </c>
      <c r="C468" s="7" t="s">
        <v>35</v>
      </c>
      <c r="D468" s="35">
        <v>-2.5046773000000001E-2</v>
      </c>
      <c r="E468" s="35">
        <v>-2.5046773000000001E-2</v>
      </c>
      <c r="F468" s="35">
        <v>-0.40453815232780632</v>
      </c>
      <c r="G468" s="35">
        <v>-0.40453815232780632</v>
      </c>
      <c r="H468" s="35">
        <v>-2.5365781442690159E-2</v>
      </c>
    </row>
    <row r="469" spans="2:8" x14ac:dyDescent="0.35">
      <c r="B469" s="6">
        <v>45603</v>
      </c>
      <c r="C469" s="7" t="s">
        <v>35</v>
      </c>
      <c r="D469" s="35">
        <v>-1.7470191999999999E-3</v>
      </c>
      <c r="E469" s="35">
        <v>-1.7470191999999999E-3</v>
      </c>
      <c r="F469" s="35">
        <v>-0.40557843560855711</v>
      </c>
      <c r="G469" s="35">
        <v>-0.40557843560855711</v>
      </c>
      <c r="H469" s="35">
        <v>-1.7485470177197868E-3</v>
      </c>
    </row>
    <row r="470" spans="2:8" x14ac:dyDescent="0.35">
      <c r="B470" s="6">
        <v>45604</v>
      </c>
      <c r="C470" s="7" t="s">
        <v>35</v>
      </c>
      <c r="D470" s="35">
        <v>-1.0766660000000001E-2</v>
      </c>
      <c r="E470" s="35">
        <v>-1.0766660000000001E-2</v>
      </c>
      <c r="F470" s="35">
        <v>-0.41197837048902786</v>
      </c>
      <c r="G470" s="35">
        <v>-0.41197837048902786</v>
      </c>
      <c r="H470" s="35">
        <v>-1.0825039899608169E-2</v>
      </c>
    </row>
    <row r="471" spans="2:8" x14ac:dyDescent="0.35">
      <c r="B471" s="6">
        <v>45607</v>
      </c>
      <c r="C471" s="7" t="s">
        <v>35</v>
      </c>
      <c r="D471" s="35">
        <v>-4.6808724000000001E-3</v>
      </c>
      <c r="E471" s="35">
        <v>-4.6808724000000001E-3</v>
      </c>
      <c r="F471" s="35">
        <v>-0.41473082470520883</v>
      </c>
      <c r="G471" s="35">
        <v>-0.41473082470520883</v>
      </c>
      <c r="H471" s="35">
        <v>-4.691861990537215E-3</v>
      </c>
    </row>
    <row r="472" spans="2:8" x14ac:dyDescent="0.35">
      <c r="B472" s="6">
        <v>45608</v>
      </c>
      <c r="C472" s="7" t="s">
        <v>35</v>
      </c>
      <c r="D472" s="35">
        <v>3.5827405999999999E-2</v>
      </c>
      <c r="E472" s="35">
        <v>3.5827405999999999E-2</v>
      </c>
      <c r="F472" s="35">
        <v>-0.39376214834263723</v>
      </c>
      <c r="G472" s="35">
        <v>-0.39376214834263723</v>
      </c>
      <c r="H472" s="35">
        <v>3.5200533433452148E-2</v>
      </c>
    </row>
    <row r="473" spans="2:8" x14ac:dyDescent="0.35">
      <c r="B473" s="6">
        <v>45609</v>
      </c>
      <c r="C473" s="7" t="s">
        <v>35</v>
      </c>
      <c r="D473" s="35">
        <v>2.6157350999999999E-2</v>
      </c>
      <c r="E473" s="35">
        <v>2.6157350999999999E-2</v>
      </c>
      <c r="F473" s="35">
        <v>-0.37790457206734973</v>
      </c>
      <c r="G473" s="35">
        <v>-0.37790457206734973</v>
      </c>
      <c r="H473" s="35">
        <v>2.5821098537349377E-2</v>
      </c>
    </row>
    <row r="474" spans="2:8" x14ac:dyDescent="0.35">
      <c r="B474" s="6">
        <v>45610</v>
      </c>
      <c r="C474" s="7" t="s">
        <v>35</v>
      </c>
      <c r="D474" s="35">
        <v>4.1899376000000002E-2</v>
      </c>
      <c r="E474" s="35">
        <v>4.1899376000000002E-2</v>
      </c>
      <c r="F474" s="35">
        <v>-0.3518391618245188</v>
      </c>
      <c r="G474" s="35">
        <v>-0.3518391618245188</v>
      </c>
      <c r="H474" s="35">
        <v>4.1045370529976477E-2</v>
      </c>
    </row>
    <row r="475" spans="2:8" x14ac:dyDescent="0.35">
      <c r="B475" s="6">
        <v>45611</v>
      </c>
      <c r="C475" s="7" t="s">
        <v>35</v>
      </c>
      <c r="D475" s="35">
        <v>4.3326396000000003E-2</v>
      </c>
      <c r="E475" s="35">
        <v>4.3326396000000003E-2</v>
      </c>
      <c r="F475" s="35">
        <v>-0.32375668867803586</v>
      </c>
      <c r="G475" s="35">
        <v>-0.32375668867803586</v>
      </c>
      <c r="H475" s="35">
        <v>4.241406666056826E-2</v>
      </c>
    </row>
    <row r="476" spans="2:8" x14ac:dyDescent="0.35">
      <c r="B476" s="6">
        <v>45614</v>
      </c>
      <c r="C476" s="7" t="s">
        <v>35</v>
      </c>
      <c r="D476" s="35">
        <v>1.6224402999999998E-2</v>
      </c>
      <c r="E476" s="35">
        <v>1.6224402999999998E-2</v>
      </c>
      <c r="F476" s="35">
        <v>-0.31278504466909385</v>
      </c>
      <c r="G476" s="35">
        <v>-0.31278504466909385</v>
      </c>
      <c r="H476" s="35">
        <v>1.6094193862790911E-2</v>
      </c>
    </row>
    <row r="477" spans="2:8" x14ac:dyDescent="0.35">
      <c r="B477" s="6">
        <v>45615</v>
      </c>
      <c r="C477" s="7" t="s">
        <v>35</v>
      </c>
      <c r="D477" s="35">
        <v>-2.4930399999999998E-2</v>
      </c>
      <c r="E477" s="35">
        <v>-2.4930399999999998E-2</v>
      </c>
      <c r="F477" s="35">
        <v>-0.32991758839147545</v>
      </c>
      <c r="G477" s="35">
        <v>-0.32991758839147545</v>
      </c>
      <c r="H477" s="35">
        <v>-2.5246425916665691E-2</v>
      </c>
    </row>
    <row r="478" spans="2:8" x14ac:dyDescent="0.35">
      <c r="B478" s="6">
        <v>45616</v>
      </c>
      <c r="C478" s="7" t="s">
        <v>35</v>
      </c>
      <c r="D478" s="35">
        <v>-7.5452113999999997E-3</v>
      </c>
      <c r="E478" s="35">
        <v>-7.5452113999999997E-3</v>
      </c>
      <c r="F478" s="35">
        <v>-0.33497350184248353</v>
      </c>
      <c r="G478" s="35">
        <v>-0.33497350184248353</v>
      </c>
      <c r="H478" s="35">
        <v>-7.5738205062220836E-3</v>
      </c>
    </row>
    <row r="479" spans="2:8" x14ac:dyDescent="0.35">
      <c r="B479" s="6">
        <v>45617</v>
      </c>
      <c r="C479" s="7" t="s">
        <v>35</v>
      </c>
      <c r="D479" s="35">
        <v>1.1156651999999999E-3</v>
      </c>
      <c r="E479" s="35">
        <v>1.1156651999999999E-3</v>
      </c>
      <c r="F479" s="35">
        <v>-0.33423155492141132</v>
      </c>
      <c r="G479" s="35">
        <v>-0.33423155492141132</v>
      </c>
      <c r="H479" s="35">
        <v>1.1150433080865023E-3</v>
      </c>
    </row>
    <row r="480" spans="2:8" x14ac:dyDescent="0.35">
      <c r="B480" s="6">
        <v>45618</v>
      </c>
      <c r="C480" s="7" t="s">
        <v>35</v>
      </c>
      <c r="D480" s="35">
        <v>-2.8936673E-2</v>
      </c>
      <c r="E480" s="35">
        <v>-2.8936673E-2</v>
      </c>
      <c r="F480" s="35">
        <v>-0.35349667871036894</v>
      </c>
      <c r="G480" s="35">
        <v>-0.35349667871036894</v>
      </c>
      <c r="H480" s="35">
        <v>-2.9363594485818201E-2</v>
      </c>
    </row>
    <row r="481" spans="2:8" x14ac:dyDescent="0.35">
      <c r="B481" s="6">
        <v>45621</v>
      </c>
      <c r="C481" s="7" t="s">
        <v>35</v>
      </c>
      <c r="D481" s="35">
        <v>-2.1735379999999999E-2</v>
      </c>
      <c r="E481" s="35">
        <v>-2.1735379999999999E-2</v>
      </c>
      <c r="F481" s="35">
        <v>-0.36754867406986114</v>
      </c>
      <c r="G481" s="35">
        <v>-0.36754867406986114</v>
      </c>
      <c r="H481" s="35">
        <v>-2.1975072948346344E-2</v>
      </c>
    </row>
    <row r="482" spans="2:8" x14ac:dyDescent="0.35">
      <c r="B482" s="6">
        <v>45622</v>
      </c>
      <c r="C482" s="7" t="s">
        <v>35</v>
      </c>
      <c r="D482" s="35">
        <v>-1.0902578E-2</v>
      </c>
      <c r="E482" s="35">
        <v>-1.0902578E-2</v>
      </c>
      <c r="F482" s="35">
        <v>-0.37444402398201793</v>
      </c>
      <c r="G482" s="35">
        <v>-0.37444402398201793</v>
      </c>
      <c r="H482" s="35">
        <v>-1.0962446649606291E-2</v>
      </c>
    </row>
    <row r="483" spans="2:8" x14ac:dyDescent="0.35">
      <c r="B483" s="6">
        <v>45623</v>
      </c>
      <c r="C483" s="7" t="s">
        <v>35</v>
      </c>
      <c r="D483" s="35">
        <v>-2.9380558000000001E-2</v>
      </c>
      <c r="E483" s="35">
        <v>-2.9380558000000001E-2</v>
      </c>
      <c r="F483" s="35">
        <v>-0.39282320761766087</v>
      </c>
      <c r="G483" s="35">
        <v>-0.39282320761766087</v>
      </c>
      <c r="H483" s="35">
        <v>-2.9820811302920899E-2</v>
      </c>
    </row>
    <row r="484" spans="2:8" x14ac:dyDescent="0.35">
      <c r="B484" s="6">
        <v>45625</v>
      </c>
      <c r="C484" s="7" t="s">
        <v>35</v>
      </c>
      <c r="D484" s="35">
        <v>2.2097281084687559E-3</v>
      </c>
      <c r="E484" s="35">
        <v>2.2097281084687559E-3</v>
      </c>
      <c r="F484" s="35">
        <v>-0.39148151199272374</v>
      </c>
      <c r="G484" s="35">
        <v>-0.39148151199272374</v>
      </c>
      <c r="H484" s="35">
        <v>2.2072902499878058E-3</v>
      </c>
    </row>
    <row r="485" spans="2:8" x14ac:dyDescent="0.35">
      <c r="B485" s="6">
        <v>45628</v>
      </c>
      <c r="C485" s="7" t="s">
        <v>35</v>
      </c>
      <c r="D485" s="35">
        <v>4.390687E-4</v>
      </c>
      <c r="E485" s="35">
        <v>4.390687E-4</v>
      </c>
      <c r="F485" s="35">
        <v>-0.39121433057126842</v>
      </c>
      <c r="G485" s="35">
        <v>-0.39121433057126842</v>
      </c>
      <c r="H485" s="35">
        <v>4.3897233754378994E-4</v>
      </c>
    </row>
    <row r="486" spans="2:8" x14ac:dyDescent="0.35">
      <c r="B486" s="6">
        <v>45629</v>
      </c>
      <c r="C486" s="7" t="s">
        <v>35</v>
      </c>
      <c r="D486" s="35">
        <v>3.106853E-2</v>
      </c>
      <c r="E486" s="35">
        <v>3.106853E-2</v>
      </c>
      <c r="F486" s="35">
        <v>-0.37230025473705175</v>
      </c>
      <c r="G486" s="35">
        <v>-0.37230025473705175</v>
      </c>
      <c r="H486" s="35">
        <v>3.0595672272965741E-2</v>
      </c>
    </row>
    <row r="487" spans="2:8" x14ac:dyDescent="0.35">
      <c r="B487" s="6">
        <v>45630</v>
      </c>
      <c r="C487" s="7" t="s">
        <v>35</v>
      </c>
      <c r="D487" s="35">
        <v>-5.2958325999999997E-3</v>
      </c>
      <c r="E487" s="35">
        <v>-5.2958325999999997E-3</v>
      </c>
      <c r="F487" s="35">
        <v>-0.37562444751102697</v>
      </c>
      <c r="G487" s="35">
        <v>-0.37562444751102697</v>
      </c>
      <c r="H487" s="35">
        <v>-5.309905227639156E-3</v>
      </c>
    </row>
    <row r="488" spans="2:8" x14ac:dyDescent="0.35">
      <c r="B488" s="6">
        <v>45631</v>
      </c>
      <c r="C488" s="7" t="s">
        <v>35</v>
      </c>
      <c r="D488" s="35">
        <v>2.2770334E-2</v>
      </c>
      <c r="E488" s="35">
        <v>2.2770334E-2</v>
      </c>
      <c r="F488" s="35">
        <v>-0.36140720763941847</v>
      </c>
      <c r="G488" s="35">
        <v>-0.36140720763941847</v>
      </c>
      <c r="H488" s="35">
        <v>2.2514959321250708E-2</v>
      </c>
    </row>
    <row r="489" spans="2:8" x14ac:dyDescent="0.35">
      <c r="B489" s="6">
        <v>45632</v>
      </c>
      <c r="C489" s="7" t="s">
        <v>35</v>
      </c>
      <c r="D489" s="35">
        <v>-3.2156303999999997E-2</v>
      </c>
      <c r="E489" s="35">
        <v>-3.2156303999999997E-2</v>
      </c>
      <c r="F489" s="35">
        <v>-0.3819419916027742</v>
      </c>
      <c r="G489" s="35">
        <v>-0.3819419916027742</v>
      </c>
      <c r="H489" s="35">
        <v>-3.2684675817797666E-2</v>
      </c>
    </row>
    <row r="490" spans="2:8" x14ac:dyDescent="0.35">
      <c r="B490" s="6">
        <v>45635</v>
      </c>
      <c r="C490" s="7" t="s">
        <v>35</v>
      </c>
      <c r="D490" s="35">
        <v>6.7504085999999996E-3</v>
      </c>
      <c r="E490" s="35">
        <v>6.7504085999999996E-3</v>
      </c>
      <c r="F490" s="35">
        <v>-0.37776984750759068</v>
      </c>
      <c r="G490" s="35">
        <v>-0.37776984750759068</v>
      </c>
      <c r="H490" s="35">
        <v>6.7277266097862413E-3</v>
      </c>
    </row>
    <row r="491" spans="2:8" x14ac:dyDescent="0.35">
      <c r="B491" s="6">
        <v>45636</v>
      </c>
      <c r="C491" s="7" t="s">
        <v>35</v>
      </c>
      <c r="D491" s="35">
        <v>1.0006528000000001E-2</v>
      </c>
      <c r="E491" s="35">
        <v>1.0006528000000001E-2</v>
      </c>
      <c r="F491" s="35">
        <v>-0.37154348406423121</v>
      </c>
      <c r="G491" s="35">
        <v>-0.37154348406423121</v>
      </c>
      <c r="H491" s="35">
        <v>9.9567941986171589E-3</v>
      </c>
    </row>
    <row r="492" spans="2:8" x14ac:dyDescent="0.35">
      <c r="B492" s="6">
        <v>45637</v>
      </c>
      <c r="C492" s="7" t="s">
        <v>35</v>
      </c>
      <c r="D492" s="35">
        <v>9.552629E-3</v>
      </c>
      <c r="E492" s="35">
        <v>9.552629E-3</v>
      </c>
      <c r="F492" s="35">
        <v>-0.36554007212486417</v>
      </c>
      <c r="G492" s="35">
        <v>-0.36554007212486417</v>
      </c>
      <c r="H492" s="35">
        <v>9.5072911414086688E-3</v>
      </c>
    </row>
    <row r="493" spans="2:8" x14ac:dyDescent="0.35">
      <c r="B493" s="6">
        <v>45638</v>
      </c>
      <c r="C493" s="7" t="s">
        <v>35</v>
      </c>
      <c r="D493" s="35">
        <v>4.1703549999999999E-2</v>
      </c>
      <c r="E493" s="35">
        <v>4.1703549999999999E-2</v>
      </c>
      <c r="F493" s="35">
        <v>-0.339080840799727</v>
      </c>
      <c r="G493" s="35">
        <v>-0.339080840799727</v>
      </c>
      <c r="H493" s="35">
        <v>4.0857401893406725E-2</v>
      </c>
    </row>
    <row r="494" spans="2:8" x14ac:dyDescent="0.35">
      <c r="B494" s="6">
        <v>45639</v>
      </c>
      <c r="C494" s="7" t="s">
        <v>35</v>
      </c>
      <c r="D494" s="35">
        <v>1.8839966999999999E-2</v>
      </c>
      <c r="E494" s="35">
        <v>1.8839966999999999E-2</v>
      </c>
      <c r="F494" s="35">
        <v>-0.3266291456507262</v>
      </c>
      <c r="G494" s="35">
        <v>-0.3266291456507262</v>
      </c>
      <c r="H494" s="35">
        <v>1.866469283937806E-2</v>
      </c>
    </row>
    <row r="495" spans="2:8" x14ac:dyDescent="0.35">
      <c r="B495" s="6">
        <v>45642</v>
      </c>
      <c r="C495" s="7" t="s">
        <v>35</v>
      </c>
      <c r="D495" s="35">
        <v>-2.5175089000000001E-2</v>
      </c>
      <c r="E495" s="35">
        <v>-2.5175089000000001E-2</v>
      </c>
      <c r="F495" s="35">
        <v>-0.34358131683897519</v>
      </c>
      <c r="G495" s="35">
        <v>-0.34358131683897519</v>
      </c>
      <c r="H495" s="35">
        <v>-2.5497402571970879E-2</v>
      </c>
    </row>
    <row r="496" spans="2:8" x14ac:dyDescent="0.35">
      <c r="B496" s="6">
        <v>45643</v>
      </c>
      <c r="C496" s="7" t="s">
        <v>35</v>
      </c>
      <c r="D496" s="35">
        <v>3.0889000999999999E-3</v>
      </c>
      <c r="E496" s="35">
        <v>3.0889000999999999E-3</v>
      </c>
      <c r="F496" s="35">
        <v>-0.34155370510291716</v>
      </c>
      <c r="G496" s="35">
        <v>-0.34155370510291716</v>
      </c>
      <c r="H496" s="35">
        <v>3.084139249427938E-3</v>
      </c>
    </row>
    <row r="497" spans="2:8" x14ac:dyDescent="0.35">
      <c r="B497" s="6">
        <v>45644</v>
      </c>
      <c r="C497" s="7" t="s">
        <v>35</v>
      </c>
      <c r="D497" s="35">
        <v>0.10251005000000001</v>
      </c>
      <c r="E497" s="35">
        <v>0.10251005000000001</v>
      </c>
      <c r="F497" s="35">
        <v>-0.27405634249070243</v>
      </c>
      <c r="G497" s="35">
        <v>-0.27405634249070243</v>
      </c>
      <c r="H497" s="35">
        <v>9.7589443943575271E-2</v>
      </c>
    </row>
    <row r="498" spans="2:8" x14ac:dyDescent="0.35">
      <c r="B498" s="6">
        <v>45645</v>
      </c>
      <c r="C498" s="7" t="s">
        <v>35</v>
      </c>
      <c r="D498" s="35">
        <v>-4.8765665999999999E-3</v>
      </c>
      <c r="E498" s="35">
        <v>-4.8765665999999999E-3</v>
      </c>
      <c r="F498" s="35">
        <v>-0.27759645508439412</v>
      </c>
      <c r="G498" s="35">
        <v>-0.27759645508439412</v>
      </c>
      <c r="H498" s="35">
        <v>-4.8884958492226007E-3</v>
      </c>
    </row>
    <row r="499" spans="2:8" x14ac:dyDescent="0.35">
      <c r="B499" s="6">
        <v>45646</v>
      </c>
      <c r="C499" s="7" t="s">
        <v>35</v>
      </c>
      <c r="D499" s="35">
        <v>-2.1557356999999999E-2</v>
      </c>
      <c r="E499" s="35">
        <v>-2.1557356999999999E-2</v>
      </c>
      <c r="F499" s="35">
        <v>-0.2931695662002054</v>
      </c>
      <c r="G499" s="35">
        <v>-0.2931695662002054</v>
      </c>
      <c r="H499" s="35">
        <v>-2.1793111135399248E-2</v>
      </c>
    </row>
    <row r="500" spans="2:8" x14ac:dyDescent="0.35">
      <c r="B500" s="6">
        <v>45649</v>
      </c>
      <c r="C500" s="7" t="s">
        <v>35</v>
      </c>
      <c r="D500" s="35">
        <v>-3.023614E-3</v>
      </c>
      <c r="E500" s="35">
        <v>-3.023614E-3</v>
      </c>
      <c r="F500" s="35">
        <v>-0.29530674859546846</v>
      </c>
      <c r="G500" s="35">
        <v>-0.29530674859546846</v>
      </c>
      <c r="H500" s="35">
        <v>-3.0281943559595185E-3</v>
      </c>
    </row>
    <row r="501" spans="2:8" x14ac:dyDescent="0.35">
      <c r="B501" s="6">
        <v>45650</v>
      </c>
      <c r="C501" s="7" t="s">
        <v>35</v>
      </c>
      <c r="D501" s="35">
        <v>-2.2967309000000002E-3</v>
      </c>
      <c r="E501" s="35">
        <v>-2.2967309000000002E-3</v>
      </c>
      <c r="F501" s="35">
        <v>-0.2969252393609908</v>
      </c>
      <c r="G501" s="35">
        <v>-0.2969252393609908</v>
      </c>
      <c r="H501" s="35">
        <v>-2.299372431780388E-3</v>
      </c>
    </row>
    <row r="502" spans="2:8" x14ac:dyDescent="0.35">
      <c r="B502" s="6">
        <v>45652</v>
      </c>
      <c r="C502" s="7" t="s">
        <v>35</v>
      </c>
      <c r="D502" s="35">
        <v>-1.5998307870504158E-2</v>
      </c>
      <c r="E502" s="35">
        <v>-1.5998307870504158E-2</v>
      </c>
      <c r="F502" s="35">
        <v>-0.30817324583767469</v>
      </c>
      <c r="G502" s="35">
        <v>-0.30817324583767469</v>
      </c>
      <c r="H502" s="35">
        <v>-1.6127662287565629E-2</v>
      </c>
    </row>
    <row r="503" spans="2:8" x14ac:dyDescent="0.35">
      <c r="B503" s="6">
        <v>45653</v>
      </c>
      <c r="C503" s="7" t="s">
        <v>35</v>
      </c>
      <c r="D503" s="35">
        <v>1.9627820000000001E-2</v>
      </c>
      <c r="E503" s="35">
        <v>1.9627820000000001E-2</v>
      </c>
      <c r="F503" s="35">
        <v>-0.2945941948357923</v>
      </c>
      <c r="G503" s="35">
        <v>-0.2945941948357923</v>
      </c>
      <c r="H503" s="35">
        <v>1.9437678357474949E-2</v>
      </c>
    </row>
    <row r="504" spans="2:8" x14ac:dyDescent="0.35">
      <c r="B504" s="6">
        <v>45656</v>
      </c>
      <c r="C504" s="7" t="s">
        <v>35</v>
      </c>
      <c r="D504" s="35">
        <v>1.5619070000000001E-2</v>
      </c>
      <c r="E504" s="35">
        <v>1.5619070000000001E-2</v>
      </c>
      <c r="F504" s="35">
        <v>-0.28357641218652618</v>
      </c>
      <c r="G504" s="35">
        <v>-0.28357641218652618</v>
      </c>
      <c r="H504" s="35">
        <v>1.5498347749688873E-2</v>
      </c>
    </row>
    <row r="505" spans="2:8" x14ac:dyDescent="0.35">
      <c r="B505" s="6">
        <v>45657</v>
      </c>
      <c r="C505" s="7" t="s">
        <v>35</v>
      </c>
      <c r="D505" s="35">
        <v>2.3899004000000001E-3</v>
      </c>
      <c r="E505" s="35">
        <v>2.3899004000000001E-3</v>
      </c>
      <c r="F505" s="35">
        <v>-0.2818642311674413</v>
      </c>
      <c r="G505" s="35">
        <v>-0.2818642311674413</v>
      </c>
      <c r="H505" s="35">
        <v>2.3870491299697941E-3</v>
      </c>
    </row>
    <row r="506" spans="2:8" x14ac:dyDescent="0.35">
      <c r="B506" s="6"/>
      <c r="C506" s="7"/>
      <c r="D506" s="35"/>
      <c r="E506" s="35"/>
      <c r="F506" s="35"/>
      <c r="G506" s="35"/>
      <c r="H506" s="35"/>
    </row>
    <row r="507" spans="2:8" x14ac:dyDescent="0.35">
      <c r="B507" s="6"/>
      <c r="C507" s="7"/>
      <c r="D507" s="35"/>
      <c r="E507" s="35"/>
      <c r="F507" s="35"/>
      <c r="G507" s="35"/>
      <c r="H507" s="35"/>
    </row>
    <row r="508" spans="2:8" x14ac:dyDescent="0.35">
      <c r="B508" s="6"/>
      <c r="C508" s="7"/>
      <c r="D508" s="35"/>
      <c r="E508" s="35"/>
      <c r="F508" s="35"/>
      <c r="G508" s="35"/>
      <c r="H508" s="35"/>
    </row>
    <row r="509" spans="2:8" x14ac:dyDescent="0.35">
      <c r="B509" s="6"/>
      <c r="C509" s="7"/>
      <c r="D509" s="35"/>
      <c r="E509" s="35"/>
      <c r="F509" s="35"/>
      <c r="G509" s="35"/>
      <c r="H509" s="35"/>
    </row>
    <row r="510" spans="2:8" x14ac:dyDescent="0.35">
      <c r="B510" s="6"/>
      <c r="C510" s="7"/>
      <c r="D510" s="35"/>
      <c r="E510" s="35"/>
      <c r="F510" s="35"/>
      <c r="G510" s="35"/>
      <c r="H510" s="35"/>
    </row>
    <row r="511" spans="2:8" x14ac:dyDescent="0.35">
      <c r="B511" s="6"/>
      <c r="C511" s="7"/>
      <c r="D511" s="35"/>
      <c r="E511" s="35"/>
      <c r="F511" s="35"/>
      <c r="G511" s="35"/>
      <c r="H511" s="35"/>
    </row>
    <row r="512" spans="2:8" x14ac:dyDescent="0.35">
      <c r="B512" s="6"/>
      <c r="C512" s="7"/>
      <c r="D512" s="35"/>
      <c r="E512" s="35"/>
      <c r="F512" s="35"/>
      <c r="G512" s="35"/>
      <c r="H512" s="35"/>
    </row>
    <row r="513" spans="2:8" x14ac:dyDescent="0.35">
      <c r="B513" s="6"/>
      <c r="C513" s="7"/>
      <c r="D513" s="35"/>
      <c r="E513" s="35"/>
      <c r="F513" s="35"/>
      <c r="G513" s="35"/>
      <c r="H513" s="35"/>
    </row>
    <row r="514" spans="2:8" x14ac:dyDescent="0.35">
      <c r="B514" s="6"/>
      <c r="C514" s="7"/>
      <c r="D514" s="35"/>
      <c r="E514" s="35"/>
      <c r="F514" s="35"/>
      <c r="G514" s="35"/>
      <c r="H514" s="35"/>
    </row>
    <row r="515" spans="2:8" x14ac:dyDescent="0.35">
      <c r="B515" s="6"/>
      <c r="C515" s="7"/>
      <c r="D515" s="35"/>
      <c r="E515" s="35"/>
      <c r="F515" s="35"/>
      <c r="G515" s="35"/>
      <c r="H515" s="35"/>
    </row>
    <row r="516" spans="2:8" x14ac:dyDescent="0.35">
      <c r="B516" s="6"/>
      <c r="C516" s="7"/>
      <c r="D516" s="35"/>
      <c r="E516" s="35"/>
      <c r="F516" s="35"/>
      <c r="G516" s="35"/>
      <c r="H516" s="35"/>
    </row>
    <row r="517" spans="2:8" x14ac:dyDescent="0.35">
      <c r="B517" s="6"/>
      <c r="C517" s="7"/>
      <c r="D517" s="35"/>
      <c r="E517" s="35"/>
      <c r="F517" s="35"/>
      <c r="G517" s="35"/>
      <c r="H517" s="35"/>
    </row>
    <row r="518" spans="2:8" x14ac:dyDescent="0.35">
      <c r="B518" s="6"/>
      <c r="C518" s="7"/>
      <c r="D518" s="35"/>
      <c r="E518" s="35"/>
      <c r="F518" s="35"/>
      <c r="G518" s="35"/>
      <c r="H518" s="35"/>
    </row>
    <row r="519" spans="2:8" x14ac:dyDescent="0.35">
      <c r="B519" s="6"/>
      <c r="C519" s="7"/>
      <c r="D519" s="35"/>
      <c r="E519" s="35"/>
      <c r="F519" s="35"/>
      <c r="G519" s="35"/>
      <c r="H519" s="35"/>
    </row>
    <row r="520" spans="2:8" x14ac:dyDescent="0.35">
      <c r="B520" s="6"/>
      <c r="C520" s="7"/>
      <c r="D520" s="35"/>
      <c r="E520" s="35"/>
      <c r="F520" s="35"/>
      <c r="G520" s="35"/>
      <c r="H520" s="35"/>
    </row>
    <row r="521" spans="2:8" x14ac:dyDescent="0.35">
      <c r="B521" s="6"/>
      <c r="C521" s="7"/>
      <c r="D521" s="35"/>
      <c r="E521" s="35"/>
      <c r="F521" s="35"/>
      <c r="G521" s="35"/>
      <c r="H521" s="35"/>
    </row>
    <row r="522" spans="2:8" x14ac:dyDescent="0.35">
      <c r="B522" s="6"/>
      <c r="C522" s="7"/>
      <c r="D522" s="35"/>
      <c r="E522" s="35"/>
      <c r="F522" s="35"/>
      <c r="G522" s="35"/>
      <c r="H522" s="35"/>
    </row>
    <row r="523" spans="2:8" x14ac:dyDescent="0.35">
      <c r="B523" s="6"/>
      <c r="C523" s="7"/>
      <c r="D523" s="35"/>
      <c r="E523" s="35"/>
      <c r="F523" s="35"/>
      <c r="G523" s="35"/>
      <c r="H523" s="35"/>
    </row>
    <row r="524" spans="2:8" x14ac:dyDescent="0.35">
      <c r="B524" s="6"/>
      <c r="C524" s="7"/>
      <c r="D524" s="35"/>
      <c r="E524" s="35"/>
      <c r="F524" s="35"/>
      <c r="G524" s="35"/>
      <c r="H524" s="35"/>
    </row>
    <row r="525" spans="2:8" x14ac:dyDescent="0.35">
      <c r="B525" s="6"/>
      <c r="C525" s="7"/>
      <c r="D525" s="35"/>
      <c r="E525" s="35"/>
      <c r="F525" s="35"/>
      <c r="G525" s="35"/>
      <c r="H525" s="35"/>
    </row>
    <row r="526" spans="2:8" x14ac:dyDescent="0.35">
      <c r="B526" s="6"/>
      <c r="C526" s="7"/>
      <c r="D526" s="35"/>
      <c r="E526" s="35"/>
      <c r="F526" s="35"/>
      <c r="G526" s="35"/>
      <c r="H526" s="35"/>
    </row>
    <row r="527" spans="2:8" x14ac:dyDescent="0.35">
      <c r="B527" s="6"/>
      <c r="C527" s="7"/>
      <c r="D527" s="35"/>
      <c r="E527" s="35"/>
      <c r="F527" s="35"/>
      <c r="G527" s="35"/>
      <c r="H527" s="35"/>
    </row>
    <row r="528" spans="2:8" x14ac:dyDescent="0.35">
      <c r="B528" s="6"/>
      <c r="C528" s="7"/>
      <c r="D528" s="35"/>
      <c r="E528" s="35"/>
      <c r="F528" s="35"/>
      <c r="G528" s="35"/>
      <c r="H528" s="35"/>
    </row>
    <row r="529" spans="2:8" x14ac:dyDescent="0.35">
      <c r="B529" s="6"/>
      <c r="C529" s="7"/>
      <c r="D529" s="35"/>
      <c r="E529" s="35"/>
      <c r="F529" s="35"/>
      <c r="G529" s="35"/>
      <c r="H529" s="35"/>
    </row>
    <row r="530" spans="2:8" x14ac:dyDescent="0.35">
      <c r="B530" s="6"/>
      <c r="C530" s="7"/>
      <c r="D530" s="35"/>
      <c r="E530" s="35"/>
      <c r="F530" s="35"/>
      <c r="G530" s="35"/>
      <c r="H530" s="35"/>
    </row>
    <row r="531" spans="2:8" x14ac:dyDescent="0.35">
      <c r="B531" s="6"/>
      <c r="C531" s="7"/>
      <c r="D531" s="35"/>
      <c r="E531" s="35"/>
      <c r="F531" s="35"/>
      <c r="G531" s="35"/>
      <c r="H531" s="35"/>
    </row>
    <row r="532" spans="2:8" x14ac:dyDescent="0.35">
      <c r="B532" s="6"/>
      <c r="C532" s="7"/>
      <c r="D532" s="35"/>
      <c r="E532" s="35"/>
      <c r="F532" s="35"/>
      <c r="G532" s="35"/>
      <c r="H532" s="35"/>
    </row>
    <row r="533" spans="2:8" x14ac:dyDescent="0.35">
      <c r="B533" s="6"/>
      <c r="C533" s="7"/>
      <c r="D533" s="35"/>
      <c r="E533" s="35"/>
      <c r="F533" s="35"/>
      <c r="G533" s="35"/>
      <c r="H533" s="35"/>
    </row>
    <row r="534" spans="2:8" x14ac:dyDescent="0.35">
      <c r="B534" s="6"/>
      <c r="C534" s="7"/>
      <c r="D534" s="35"/>
      <c r="E534" s="35"/>
      <c r="F534" s="35"/>
      <c r="G534" s="35"/>
      <c r="H534" s="35"/>
    </row>
    <row r="535" spans="2:8" x14ac:dyDescent="0.35">
      <c r="B535" s="6"/>
      <c r="C535" s="7"/>
      <c r="D535" s="35"/>
      <c r="E535" s="35"/>
      <c r="F535" s="35"/>
      <c r="G535" s="35"/>
      <c r="H535" s="35"/>
    </row>
    <row r="536" spans="2:8" x14ac:dyDescent="0.35">
      <c r="B536" s="6"/>
      <c r="C536" s="7"/>
      <c r="D536" s="35"/>
      <c r="E536" s="35"/>
      <c r="F536" s="35"/>
      <c r="G536" s="35"/>
      <c r="H536" s="35"/>
    </row>
    <row r="537" spans="2:8" x14ac:dyDescent="0.35">
      <c r="B537" s="6"/>
      <c r="C537" s="7"/>
      <c r="D537" s="35"/>
      <c r="E537" s="35"/>
      <c r="F537" s="35"/>
      <c r="G537" s="35"/>
      <c r="H537" s="35"/>
    </row>
    <row r="538" spans="2:8" x14ac:dyDescent="0.35">
      <c r="B538" s="6"/>
      <c r="C538" s="7"/>
      <c r="D538" s="35"/>
      <c r="E538" s="35"/>
      <c r="F538" s="35"/>
      <c r="G538" s="35"/>
      <c r="H538" s="35"/>
    </row>
    <row r="539" spans="2:8" x14ac:dyDescent="0.35">
      <c r="B539" s="6"/>
      <c r="C539" s="7"/>
      <c r="D539" s="35"/>
      <c r="E539" s="35"/>
      <c r="F539" s="35"/>
      <c r="G539" s="35"/>
      <c r="H539" s="35"/>
    </row>
    <row r="540" spans="2:8" x14ac:dyDescent="0.35">
      <c r="B540" s="6"/>
      <c r="C540" s="7"/>
      <c r="D540" s="35"/>
      <c r="E540" s="35"/>
      <c r="F540" s="35"/>
      <c r="G540" s="35"/>
      <c r="H540" s="35"/>
    </row>
    <row r="541" spans="2:8" x14ac:dyDescent="0.35">
      <c r="B541" s="6"/>
      <c r="C541" s="7"/>
      <c r="D541" s="35"/>
      <c r="E541" s="35"/>
      <c r="F541" s="35"/>
      <c r="G541" s="35"/>
      <c r="H541" s="35"/>
    </row>
    <row r="542" spans="2:8" x14ac:dyDescent="0.35">
      <c r="B542" s="6"/>
      <c r="C542" s="7"/>
      <c r="D542" s="35"/>
      <c r="E542" s="35"/>
      <c r="F542" s="35"/>
      <c r="G542" s="35"/>
      <c r="H542" s="35"/>
    </row>
    <row r="543" spans="2:8" x14ac:dyDescent="0.35">
      <c r="B543" s="6"/>
      <c r="C543" s="7"/>
      <c r="D543" s="35"/>
      <c r="E543" s="35"/>
      <c r="F543" s="35"/>
      <c r="G543" s="35"/>
      <c r="H543" s="35"/>
    </row>
    <row r="544" spans="2:8" x14ac:dyDescent="0.35">
      <c r="B544" s="6"/>
      <c r="C544" s="7"/>
      <c r="D544" s="35"/>
      <c r="E544" s="35"/>
      <c r="F544" s="35"/>
      <c r="G544" s="35"/>
      <c r="H544" s="35"/>
    </row>
    <row r="545" spans="2:8" x14ac:dyDescent="0.35">
      <c r="B545" s="6"/>
      <c r="C545" s="7"/>
      <c r="D545" s="35"/>
      <c r="E545" s="35"/>
      <c r="F545" s="35"/>
      <c r="G545" s="35"/>
      <c r="H545" s="35"/>
    </row>
    <row r="546" spans="2:8" x14ac:dyDescent="0.35">
      <c r="B546" s="6"/>
      <c r="C546" s="7"/>
      <c r="D546" s="35"/>
      <c r="E546" s="35"/>
      <c r="F546" s="35"/>
      <c r="G546" s="35"/>
      <c r="H546" s="35"/>
    </row>
    <row r="547" spans="2:8" x14ac:dyDescent="0.35">
      <c r="B547" s="6"/>
      <c r="C547" s="7"/>
      <c r="D547" s="35"/>
      <c r="E547" s="35"/>
      <c r="F547" s="35"/>
      <c r="G547" s="35"/>
      <c r="H547" s="35"/>
    </row>
    <row r="548" spans="2:8" x14ac:dyDescent="0.35">
      <c r="B548" s="6"/>
      <c r="C548" s="7"/>
      <c r="D548" s="35"/>
      <c r="E548" s="35"/>
      <c r="F548" s="35"/>
      <c r="G548" s="35"/>
      <c r="H548" s="35"/>
    </row>
    <row r="549" spans="2:8" x14ac:dyDescent="0.35">
      <c r="B549" s="6"/>
      <c r="C549" s="7"/>
      <c r="D549" s="35"/>
      <c r="E549" s="35"/>
      <c r="F549" s="35"/>
      <c r="G549" s="35"/>
      <c r="H549" s="35"/>
    </row>
    <row r="550" spans="2:8" x14ac:dyDescent="0.35">
      <c r="B550" s="6"/>
      <c r="C550" s="7"/>
      <c r="D550" s="35"/>
      <c r="E550" s="35"/>
      <c r="F550" s="35"/>
      <c r="G550" s="35"/>
      <c r="H550" s="35"/>
    </row>
    <row r="551" spans="2:8" x14ac:dyDescent="0.35">
      <c r="B551" s="6"/>
      <c r="C551" s="7"/>
      <c r="D551" s="35"/>
      <c r="E551" s="35"/>
      <c r="F551" s="35"/>
      <c r="G551" s="35"/>
      <c r="H551" s="35"/>
    </row>
    <row r="552" spans="2:8" x14ac:dyDescent="0.35">
      <c r="B552" s="6"/>
      <c r="C552" s="7"/>
      <c r="D552" s="35"/>
      <c r="E552" s="35"/>
      <c r="F552" s="35"/>
      <c r="G552" s="35"/>
      <c r="H552" s="35"/>
    </row>
    <row r="553" spans="2:8" x14ac:dyDescent="0.35">
      <c r="B553" s="6"/>
      <c r="C553" s="7"/>
      <c r="D553" s="35"/>
      <c r="E553" s="35"/>
      <c r="F553" s="35"/>
      <c r="G553" s="35"/>
      <c r="H553" s="35"/>
    </row>
    <row r="554" spans="2:8" x14ac:dyDescent="0.35">
      <c r="B554" s="6"/>
      <c r="C554" s="7"/>
      <c r="D554" s="35"/>
      <c r="E554" s="35"/>
      <c r="F554" s="35"/>
      <c r="G554" s="35"/>
      <c r="H554" s="35"/>
    </row>
    <row r="555" spans="2:8" x14ac:dyDescent="0.35">
      <c r="B555" s="6"/>
      <c r="C555" s="7"/>
      <c r="D555" s="35"/>
      <c r="E555" s="35"/>
      <c r="F555" s="35"/>
      <c r="G555" s="35"/>
      <c r="H555" s="35"/>
    </row>
    <row r="556" spans="2:8" x14ac:dyDescent="0.35">
      <c r="B556" s="6"/>
      <c r="C556" s="7"/>
      <c r="D556" s="35"/>
      <c r="E556" s="35"/>
      <c r="F556" s="35"/>
      <c r="G556" s="35"/>
      <c r="H556" s="35"/>
    </row>
    <row r="557" spans="2:8" x14ac:dyDescent="0.35">
      <c r="B557" s="6"/>
      <c r="C557" s="7"/>
      <c r="D557" s="35"/>
      <c r="E557" s="35"/>
      <c r="F557" s="35"/>
      <c r="G557" s="35"/>
      <c r="H557" s="35"/>
    </row>
    <row r="558" spans="2:8" x14ac:dyDescent="0.35">
      <c r="B558" s="6"/>
      <c r="C558" s="7"/>
      <c r="D558" s="35"/>
      <c r="E558" s="35"/>
      <c r="F558" s="35"/>
      <c r="G558" s="35"/>
      <c r="H558" s="35"/>
    </row>
    <row r="559" spans="2:8" x14ac:dyDescent="0.35">
      <c r="B559" s="6"/>
      <c r="C559" s="7"/>
      <c r="D559" s="35"/>
      <c r="E559" s="35"/>
      <c r="F559" s="35"/>
      <c r="G559" s="35"/>
      <c r="H559" s="35"/>
    </row>
    <row r="560" spans="2:8" x14ac:dyDescent="0.35">
      <c r="B560" s="6"/>
      <c r="C560" s="7"/>
      <c r="D560" s="35"/>
      <c r="E560" s="35"/>
      <c r="F560" s="35"/>
      <c r="G560" s="35"/>
      <c r="H560" s="35"/>
    </row>
    <row r="561" spans="2:8" x14ac:dyDescent="0.35">
      <c r="B561" s="6"/>
      <c r="C561" s="7"/>
      <c r="D561" s="35"/>
      <c r="E561" s="35"/>
      <c r="F561" s="35"/>
      <c r="G561" s="35"/>
      <c r="H561" s="35"/>
    </row>
    <row r="562" spans="2:8" x14ac:dyDescent="0.35">
      <c r="B562" s="6"/>
      <c r="C562" s="7"/>
      <c r="D562" s="35"/>
      <c r="E562" s="35"/>
      <c r="F562" s="35"/>
      <c r="G562" s="35"/>
      <c r="H562" s="35"/>
    </row>
    <row r="563" spans="2:8" x14ac:dyDescent="0.35">
      <c r="B563" s="6"/>
      <c r="C563" s="7"/>
      <c r="D563" s="35"/>
      <c r="E563" s="35"/>
      <c r="F563" s="35"/>
      <c r="G563" s="35"/>
      <c r="H563" s="35"/>
    </row>
    <row r="564" spans="2:8" x14ac:dyDescent="0.35">
      <c r="B564" s="6"/>
      <c r="C564" s="7"/>
      <c r="D564" s="35"/>
      <c r="E564" s="35"/>
      <c r="F564" s="35"/>
      <c r="G564" s="35"/>
      <c r="H564" s="35"/>
    </row>
    <row r="565" spans="2:8" x14ac:dyDescent="0.35">
      <c r="B565" s="6"/>
      <c r="C565" s="7"/>
      <c r="D565" s="35"/>
      <c r="E565" s="35"/>
      <c r="F565" s="35"/>
      <c r="G565" s="35"/>
      <c r="H565" s="35"/>
    </row>
    <row r="566" spans="2:8" x14ac:dyDescent="0.35">
      <c r="B566" s="6"/>
      <c r="C566" s="7"/>
      <c r="D566" s="35"/>
      <c r="E566" s="35"/>
      <c r="F566" s="35"/>
      <c r="G566" s="35"/>
      <c r="H566" s="35"/>
    </row>
    <row r="567" spans="2:8" x14ac:dyDescent="0.35">
      <c r="B567" s="6"/>
      <c r="C567" s="7"/>
      <c r="D567" s="35"/>
      <c r="E567" s="35"/>
      <c r="F567" s="35"/>
      <c r="G567" s="35"/>
      <c r="H567" s="35"/>
    </row>
    <row r="568" spans="2:8" x14ac:dyDescent="0.35">
      <c r="B568" s="6"/>
      <c r="C568" s="7"/>
      <c r="D568" s="35"/>
      <c r="E568" s="35"/>
      <c r="F568" s="35"/>
      <c r="G568" s="35"/>
      <c r="H568" s="35"/>
    </row>
    <row r="569" spans="2:8" x14ac:dyDescent="0.35">
      <c r="B569" s="6"/>
      <c r="C569" s="7"/>
      <c r="D569" s="35"/>
      <c r="E569" s="35"/>
      <c r="F569" s="35"/>
      <c r="G569" s="35"/>
      <c r="H569" s="35"/>
    </row>
    <row r="570" spans="2:8" x14ac:dyDescent="0.35">
      <c r="B570" s="6"/>
      <c r="C570" s="7"/>
      <c r="D570" s="35"/>
      <c r="E570" s="35"/>
      <c r="F570" s="35"/>
      <c r="G570" s="35"/>
      <c r="H570" s="35"/>
    </row>
    <row r="571" spans="2:8" x14ac:dyDescent="0.35">
      <c r="B571" s="6"/>
      <c r="C571" s="7"/>
      <c r="D571" s="35"/>
      <c r="E571" s="35"/>
      <c r="F571" s="35"/>
      <c r="G571" s="35"/>
      <c r="H571" s="35"/>
    </row>
    <row r="572" spans="2:8" x14ac:dyDescent="0.35">
      <c r="B572" s="6"/>
      <c r="C572" s="7"/>
      <c r="D572" s="35"/>
      <c r="E572" s="35"/>
      <c r="F572" s="35"/>
      <c r="G572" s="35"/>
      <c r="H572" s="35"/>
    </row>
    <row r="573" spans="2:8" x14ac:dyDescent="0.35">
      <c r="B573" s="6"/>
      <c r="C573" s="7"/>
      <c r="D573" s="35"/>
      <c r="E573" s="35"/>
      <c r="F573" s="35"/>
      <c r="G573" s="35"/>
      <c r="H573" s="35"/>
    </row>
    <row r="574" spans="2:8" x14ac:dyDescent="0.35">
      <c r="B574" s="6"/>
      <c r="C574" s="7"/>
      <c r="D574" s="35"/>
      <c r="E574" s="35"/>
      <c r="F574" s="35"/>
      <c r="G574" s="35"/>
      <c r="H574" s="35"/>
    </row>
    <row r="575" spans="2:8" x14ac:dyDescent="0.35">
      <c r="B575" s="6"/>
      <c r="C575" s="7"/>
      <c r="D575" s="35"/>
      <c r="E575" s="35"/>
      <c r="F575" s="35"/>
      <c r="G575" s="35"/>
      <c r="H575" s="35"/>
    </row>
    <row r="576" spans="2:8" x14ac:dyDescent="0.35">
      <c r="B576" s="6"/>
      <c r="C576" s="7"/>
      <c r="D576" s="35"/>
      <c r="E576" s="35"/>
      <c r="F576" s="35"/>
      <c r="G576" s="35"/>
      <c r="H576" s="35"/>
    </row>
    <row r="577" spans="2:8" x14ac:dyDescent="0.35">
      <c r="B577" s="6"/>
      <c r="C577" s="7"/>
      <c r="D577" s="35"/>
      <c r="E577" s="35"/>
      <c r="F577" s="35"/>
      <c r="G577" s="35"/>
      <c r="H577" s="35"/>
    </row>
    <row r="578" spans="2:8" x14ac:dyDescent="0.35">
      <c r="B578" s="6"/>
      <c r="C578" s="7"/>
      <c r="D578" s="35"/>
      <c r="E578" s="35"/>
      <c r="F578" s="35"/>
      <c r="G578" s="35"/>
      <c r="H578" s="35"/>
    </row>
    <row r="579" spans="2:8" x14ac:dyDescent="0.35">
      <c r="B579" s="6"/>
      <c r="C579" s="7"/>
      <c r="D579" s="35"/>
      <c r="E579" s="35"/>
      <c r="F579" s="35"/>
      <c r="G579" s="35"/>
      <c r="H579" s="35"/>
    </row>
    <row r="580" spans="2:8" x14ac:dyDescent="0.35">
      <c r="B580" s="6"/>
      <c r="C580" s="7"/>
      <c r="D580" s="35"/>
      <c r="E580" s="35"/>
      <c r="F580" s="35"/>
      <c r="G580" s="35"/>
      <c r="H580" s="35"/>
    </row>
    <row r="581" spans="2:8" x14ac:dyDescent="0.35">
      <c r="B581" s="6"/>
      <c r="C581" s="7"/>
      <c r="D581" s="35"/>
      <c r="E581" s="35"/>
      <c r="F581" s="35"/>
      <c r="G581" s="35"/>
      <c r="H581" s="35"/>
    </row>
    <row r="582" spans="2:8" x14ac:dyDescent="0.35">
      <c r="B582" s="6"/>
      <c r="C582" s="7"/>
      <c r="D582" s="35"/>
      <c r="E582" s="35"/>
      <c r="F582" s="35"/>
      <c r="G582" s="35"/>
      <c r="H582" s="35"/>
    </row>
    <row r="583" spans="2:8" x14ac:dyDescent="0.35">
      <c r="B583" s="6"/>
      <c r="C583" s="7"/>
      <c r="D583" s="35"/>
      <c r="E583" s="35"/>
      <c r="F583" s="35"/>
      <c r="G583" s="35"/>
      <c r="H583" s="35"/>
    </row>
    <row r="584" spans="2:8" x14ac:dyDescent="0.35">
      <c r="B584" s="6"/>
      <c r="C584" s="7"/>
      <c r="D584" s="35"/>
      <c r="E584" s="35"/>
      <c r="F584" s="35"/>
      <c r="G584" s="35"/>
      <c r="H584" s="35"/>
    </row>
    <row r="585" spans="2:8" x14ac:dyDescent="0.35">
      <c r="B585" s="6"/>
      <c r="C585" s="7"/>
      <c r="D585" s="35"/>
      <c r="E585" s="35"/>
      <c r="F585" s="35"/>
      <c r="G585" s="35"/>
      <c r="H585" s="35"/>
    </row>
    <row r="586" spans="2:8" x14ac:dyDescent="0.35">
      <c r="B586" s="6"/>
      <c r="C586" s="7"/>
      <c r="D586" s="35"/>
      <c r="E586" s="35"/>
      <c r="F586" s="35"/>
      <c r="G586" s="35"/>
      <c r="H586" s="35"/>
    </row>
    <row r="587" spans="2:8" x14ac:dyDescent="0.35">
      <c r="B587" s="6"/>
      <c r="C587" s="7"/>
      <c r="D587" s="35"/>
      <c r="E587" s="35"/>
      <c r="F587" s="35"/>
      <c r="G587" s="35"/>
      <c r="H587" s="35"/>
    </row>
    <row r="588" spans="2:8" x14ac:dyDescent="0.35">
      <c r="B588" s="6"/>
      <c r="C588" s="7"/>
      <c r="D588" s="35"/>
      <c r="E588" s="35"/>
      <c r="F588" s="35"/>
      <c r="G588" s="35"/>
      <c r="H588" s="35"/>
    </row>
    <row r="589" spans="2:8" x14ac:dyDescent="0.35">
      <c r="B589" s="6"/>
      <c r="C589" s="7"/>
      <c r="D589" s="35"/>
      <c r="E589" s="35"/>
      <c r="F589" s="35"/>
      <c r="G589" s="35"/>
      <c r="H589" s="35"/>
    </row>
    <row r="590" spans="2:8" x14ac:dyDescent="0.35">
      <c r="B590" s="6"/>
      <c r="C590" s="7"/>
      <c r="D590" s="35"/>
      <c r="E590" s="35"/>
      <c r="F590" s="35"/>
      <c r="G590" s="35"/>
      <c r="H590" s="35"/>
    </row>
    <row r="591" spans="2:8" x14ac:dyDescent="0.35">
      <c r="B591" s="6"/>
      <c r="C591" s="7"/>
      <c r="D591" s="35"/>
      <c r="E591" s="35"/>
      <c r="F591" s="35"/>
      <c r="G591" s="35"/>
      <c r="H591" s="35"/>
    </row>
    <row r="592" spans="2:8" x14ac:dyDescent="0.35">
      <c r="B592" s="6"/>
      <c r="C592" s="7"/>
      <c r="D592" s="35"/>
      <c r="E592" s="35"/>
      <c r="F592" s="35"/>
      <c r="G592" s="35"/>
      <c r="H592" s="35"/>
    </row>
    <row r="593" spans="2:8" x14ac:dyDescent="0.35">
      <c r="B593" s="6"/>
      <c r="C593" s="7"/>
      <c r="D593" s="35"/>
      <c r="E593" s="35"/>
      <c r="F593" s="35"/>
      <c r="G593" s="35"/>
      <c r="H593" s="35"/>
    </row>
    <row r="594" spans="2:8" x14ac:dyDescent="0.35">
      <c r="B594" s="6"/>
      <c r="C594" s="7"/>
      <c r="D594" s="35"/>
      <c r="E594" s="35"/>
      <c r="F594" s="35"/>
      <c r="G594" s="35"/>
      <c r="H594" s="35"/>
    </row>
    <row r="595" spans="2:8" x14ac:dyDescent="0.35">
      <c r="B595" s="6"/>
      <c r="C595" s="7"/>
      <c r="D595" s="35"/>
      <c r="E595" s="35"/>
      <c r="F595" s="35"/>
      <c r="G595" s="35"/>
      <c r="H595" s="35"/>
    </row>
    <row r="596" spans="2:8" x14ac:dyDescent="0.35">
      <c r="B596" s="6"/>
      <c r="C596" s="7"/>
      <c r="D596" s="35"/>
      <c r="E596" s="35"/>
      <c r="F596" s="35"/>
      <c r="G596" s="35"/>
      <c r="H596" s="35"/>
    </row>
    <row r="597" spans="2:8" x14ac:dyDescent="0.35">
      <c r="B597" s="6"/>
      <c r="C597" s="7"/>
      <c r="D597" s="35"/>
      <c r="E597" s="35"/>
      <c r="F597" s="35"/>
      <c r="G597" s="35"/>
      <c r="H597" s="35"/>
    </row>
    <row r="598" spans="2:8" x14ac:dyDescent="0.35">
      <c r="B598" s="6"/>
      <c r="C598" s="7"/>
      <c r="D598" s="35"/>
      <c r="E598" s="35"/>
      <c r="F598" s="35"/>
      <c r="G598" s="35"/>
      <c r="H598" s="35"/>
    </row>
    <row r="599" spans="2:8" x14ac:dyDescent="0.35">
      <c r="B599" s="6"/>
      <c r="C599" s="7"/>
      <c r="D599" s="35"/>
      <c r="E599" s="35"/>
      <c r="F599" s="35"/>
      <c r="G599" s="35"/>
      <c r="H599" s="35"/>
    </row>
    <row r="600" spans="2:8" x14ac:dyDescent="0.35">
      <c r="B600" s="6"/>
      <c r="C600" s="7"/>
      <c r="D600" s="35"/>
      <c r="E600" s="35"/>
      <c r="F600" s="35"/>
      <c r="G600" s="35"/>
      <c r="H600" s="35"/>
    </row>
    <row r="601" spans="2:8" x14ac:dyDescent="0.35">
      <c r="B601" s="6"/>
      <c r="C601" s="7"/>
      <c r="D601" s="35"/>
      <c r="E601" s="35"/>
      <c r="F601" s="35"/>
      <c r="G601" s="35"/>
      <c r="H601" s="35"/>
    </row>
    <row r="602" spans="2:8" x14ac:dyDescent="0.35">
      <c r="B602" s="6"/>
      <c r="C602" s="7"/>
      <c r="D602" s="35"/>
      <c r="E602" s="35"/>
      <c r="F602" s="35"/>
      <c r="G602" s="35"/>
      <c r="H602" s="35"/>
    </row>
    <row r="603" spans="2:8" x14ac:dyDescent="0.35">
      <c r="B603" s="6"/>
      <c r="C603" s="7"/>
      <c r="D603" s="35"/>
      <c r="E603" s="35"/>
      <c r="F603" s="35"/>
      <c r="G603" s="35"/>
      <c r="H603" s="35"/>
    </row>
    <row r="604" spans="2:8" x14ac:dyDescent="0.35">
      <c r="B604" s="6"/>
      <c r="C604" s="7"/>
      <c r="D604" s="35"/>
      <c r="E604" s="35"/>
      <c r="F604" s="35"/>
      <c r="G604" s="35"/>
      <c r="H604" s="35"/>
    </row>
    <row r="605" spans="2:8" x14ac:dyDescent="0.35">
      <c r="B605" s="6"/>
      <c r="C605" s="7"/>
      <c r="D605" s="35"/>
      <c r="E605" s="35"/>
      <c r="F605" s="35"/>
      <c r="G605" s="35"/>
      <c r="H605" s="35"/>
    </row>
    <row r="606" spans="2:8" x14ac:dyDescent="0.35">
      <c r="B606" s="6"/>
      <c r="C606" s="7"/>
      <c r="D606" s="35"/>
      <c r="E606" s="35"/>
      <c r="F606" s="35"/>
      <c r="G606" s="35"/>
      <c r="H606" s="35"/>
    </row>
    <row r="607" spans="2:8" x14ac:dyDescent="0.35">
      <c r="B607" s="6"/>
      <c r="C607" s="7"/>
      <c r="D607" s="35"/>
      <c r="E607" s="35"/>
      <c r="F607" s="35"/>
      <c r="G607" s="35"/>
      <c r="H607" s="35"/>
    </row>
    <row r="608" spans="2:8" x14ac:dyDescent="0.35">
      <c r="B608" s="6"/>
      <c r="C608" s="7"/>
      <c r="D608" s="35"/>
      <c r="E608" s="35"/>
      <c r="F608" s="35"/>
      <c r="G608" s="35"/>
      <c r="H608" s="35"/>
    </row>
    <row r="609" spans="2:8" x14ac:dyDescent="0.35">
      <c r="B609" s="6"/>
      <c r="C609" s="7"/>
      <c r="D609" s="35"/>
      <c r="E609" s="35"/>
      <c r="F609" s="35"/>
      <c r="G609" s="35"/>
      <c r="H609" s="35"/>
    </row>
    <row r="610" spans="2:8" x14ac:dyDescent="0.35">
      <c r="B610" s="6"/>
      <c r="C610" s="7"/>
      <c r="D610" s="35"/>
      <c r="E610" s="35"/>
      <c r="F610" s="35"/>
      <c r="G610" s="35"/>
      <c r="H610" s="35"/>
    </row>
    <row r="611" spans="2:8" x14ac:dyDescent="0.35">
      <c r="B611" s="6"/>
      <c r="C611" s="7"/>
      <c r="D611" s="35"/>
      <c r="E611" s="35"/>
      <c r="F611" s="35"/>
      <c r="G611" s="35"/>
      <c r="H611" s="35"/>
    </row>
    <row r="612" spans="2:8" x14ac:dyDescent="0.35">
      <c r="B612" s="6"/>
      <c r="C612" s="7"/>
      <c r="D612" s="35"/>
      <c r="E612" s="35"/>
      <c r="F612" s="35"/>
      <c r="G612" s="35"/>
      <c r="H612" s="35"/>
    </row>
    <row r="613" spans="2:8" x14ac:dyDescent="0.35">
      <c r="B613" s="6"/>
      <c r="C613" s="7"/>
      <c r="D613" s="35"/>
      <c r="E613" s="35"/>
      <c r="F613" s="35"/>
      <c r="G613" s="35"/>
      <c r="H613" s="35"/>
    </row>
    <row r="614" spans="2:8" x14ac:dyDescent="0.35">
      <c r="B614" s="6"/>
      <c r="C614" s="7"/>
      <c r="D614" s="35"/>
      <c r="E614" s="35"/>
      <c r="F614" s="35"/>
      <c r="G614" s="35"/>
      <c r="H614" s="35"/>
    </row>
    <row r="615" spans="2:8" x14ac:dyDescent="0.35">
      <c r="B615" s="6"/>
      <c r="C615" s="7"/>
      <c r="D615" s="35"/>
      <c r="E615" s="35"/>
      <c r="F615" s="35"/>
      <c r="G615" s="35"/>
      <c r="H615" s="35"/>
    </row>
    <row r="616" spans="2:8" x14ac:dyDescent="0.35">
      <c r="B616" s="6"/>
      <c r="C616" s="7"/>
      <c r="D616" s="35"/>
      <c r="E616" s="35"/>
      <c r="F616" s="35"/>
      <c r="G616" s="35"/>
      <c r="H616" s="35"/>
    </row>
    <row r="617" spans="2:8" x14ac:dyDescent="0.35">
      <c r="B617" s="6"/>
      <c r="C617" s="7"/>
      <c r="D617" s="35"/>
      <c r="E617" s="35"/>
      <c r="F617" s="35"/>
      <c r="G617" s="35"/>
      <c r="H617" s="35"/>
    </row>
    <row r="618" spans="2:8" x14ac:dyDescent="0.35">
      <c r="B618" s="6"/>
      <c r="C618" s="7"/>
      <c r="D618" s="35"/>
      <c r="E618" s="35"/>
      <c r="F618" s="35"/>
      <c r="G618" s="35"/>
      <c r="H618" s="35"/>
    </row>
    <row r="619" spans="2:8" x14ac:dyDescent="0.35">
      <c r="B619" s="6"/>
      <c r="C619" s="7"/>
      <c r="D619" s="35"/>
      <c r="E619" s="35"/>
      <c r="F619" s="35"/>
      <c r="G619" s="35"/>
      <c r="H619" s="35"/>
    </row>
    <row r="620" spans="2:8" x14ac:dyDescent="0.35">
      <c r="B620" s="6"/>
      <c r="C620" s="7"/>
      <c r="D620" s="35"/>
      <c r="E620" s="35"/>
      <c r="F620" s="35"/>
      <c r="G620" s="35"/>
      <c r="H620" s="35"/>
    </row>
    <row r="621" spans="2:8" x14ac:dyDescent="0.35">
      <c r="B621" s="6"/>
      <c r="C621" s="7"/>
      <c r="D621" s="35"/>
      <c r="E621" s="35"/>
      <c r="F621" s="35"/>
      <c r="G621" s="35"/>
      <c r="H621" s="35"/>
    </row>
    <row r="622" spans="2:8" x14ac:dyDescent="0.35">
      <c r="B622" s="6"/>
      <c r="C622" s="7"/>
      <c r="D622" s="35"/>
      <c r="E622" s="35"/>
      <c r="F622" s="35"/>
      <c r="G622" s="35"/>
      <c r="H622" s="35"/>
    </row>
    <row r="623" spans="2:8" x14ac:dyDescent="0.35">
      <c r="B623" s="6"/>
      <c r="C623" s="7"/>
      <c r="D623" s="35"/>
      <c r="E623" s="35"/>
      <c r="F623" s="35"/>
      <c r="G623" s="35"/>
      <c r="H623" s="35"/>
    </row>
    <row r="624" spans="2:8" x14ac:dyDescent="0.35">
      <c r="B624" s="6"/>
      <c r="C624" s="7"/>
      <c r="D624" s="35"/>
      <c r="E624" s="35"/>
      <c r="F624" s="35"/>
      <c r="G624" s="35"/>
      <c r="H624" s="35"/>
    </row>
    <row r="625" spans="2:8" x14ac:dyDescent="0.35">
      <c r="B625" s="6"/>
      <c r="C625" s="7"/>
      <c r="D625" s="35"/>
      <c r="E625" s="35"/>
      <c r="F625" s="35"/>
      <c r="G625" s="35"/>
      <c r="H625" s="35"/>
    </row>
    <row r="626" spans="2:8" x14ac:dyDescent="0.35">
      <c r="B626" s="6"/>
      <c r="C626" s="7"/>
      <c r="D626" s="35"/>
      <c r="E626" s="35"/>
      <c r="F626" s="35"/>
      <c r="G626" s="35"/>
      <c r="H626" s="35"/>
    </row>
    <row r="627" spans="2:8" x14ac:dyDescent="0.35">
      <c r="B627" s="6"/>
      <c r="C627" s="7"/>
      <c r="D627" s="35"/>
      <c r="E627" s="35"/>
      <c r="F627" s="35"/>
      <c r="G627" s="35"/>
      <c r="H627" s="35"/>
    </row>
    <row r="628" spans="2:8" x14ac:dyDescent="0.35">
      <c r="B628" s="6"/>
      <c r="C628" s="7"/>
      <c r="D628" s="35"/>
      <c r="E628" s="35"/>
      <c r="F628" s="35"/>
      <c r="G628" s="35"/>
      <c r="H628" s="35"/>
    </row>
    <row r="629" spans="2:8" x14ac:dyDescent="0.35">
      <c r="B629" s="6"/>
      <c r="C629" s="7"/>
      <c r="D629" s="35"/>
      <c r="E629" s="35"/>
      <c r="F629" s="35"/>
      <c r="G629" s="35"/>
      <c r="H629" s="35"/>
    </row>
    <row r="630" spans="2:8" x14ac:dyDescent="0.35">
      <c r="B630" s="6"/>
      <c r="C630" s="7"/>
      <c r="D630" s="35"/>
      <c r="E630" s="35"/>
      <c r="F630" s="35"/>
      <c r="G630" s="35"/>
      <c r="H630" s="35"/>
    </row>
    <row r="631" spans="2:8" x14ac:dyDescent="0.35">
      <c r="B631" s="6"/>
      <c r="C631" s="7"/>
      <c r="D631" s="35"/>
      <c r="E631" s="35"/>
      <c r="F631" s="35"/>
      <c r="G631" s="35"/>
      <c r="H631" s="35"/>
    </row>
    <row r="632" spans="2:8" x14ac:dyDescent="0.35">
      <c r="B632" s="6"/>
      <c r="C632" s="7"/>
      <c r="D632" s="35"/>
      <c r="E632" s="35"/>
      <c r="F632" s="35"/>
      <c r="G632" s="35"/>
      <c r="H632" s="35"/>
    </row>
    <row r="633" spans="2:8" x14ac:dyDescent="0.35">
      <c r="B633" s="6"/>
      <c r="C633" s="7"/>
      <c r="D633" s="35"/>
      <c r="E633" s="35"/>
      <c r="F633" s="35"/>
      <c r="G633" s="35"/>
      <c r="H633" s="35"/>
    </row>
    <row r="634" spans="2:8" x14ac:dyDescent="0.35">
      <c r="B634" s="6"/>
      <c r="C634" s="7"/>
      <c r="D634" s="35"/>
      <c r="E634" s="35"/>
      <c r="F634" s="35"/>
      <c r="G634" s="35"/>
      <c r="H634" s="35"/>
    </row>
    <row r="635" spans="2:8" x14ac:dyDescent="0.35">
      <c r="B635" s="6"/>
      <c r="C635" s="7"/>
      <c r="D635" s="35"/>
      <c r="E635" s="35"/>
      <c r="F635" s="35"/>
      <c r="G635" s="35"/>
      <c r="H635" s="35"/>
    </row>
    <row r="636" spans="2:8" x14ac:dyDescent="0.35">
      <c r="B636" s="6"/>
      <c r="C636" s="7"/>
      <c r="D636" s="35"/>
      <c r="E636" s="35"/>
      <c r="F636" s="35"/>
      <c r="G636" s="35"/>
      <c r="H636" s="35"/>
    </row>
    <row r="637" spans="2:8" x14ac:dyDescent="0.35">
      <c r="B637" s="6"/>
      <c r="C637" s="7"/>
      <c r="D637" s="35"/>
      <c r="E637" s="35"/>
      <c r="F637" s="35"/>
      <c r="G637" s="35"/>
      <c r="H637" s="35"/>
    </row>
    <row r="638" spans="2:8" x14ac:dyDescent="0.35">
      <c r="B638" s="6"/>
      <c r="C638" s="7"/>
      <c r="D638" s="35"/>
      <c r="E638" s="35"/>
      <c r="F638" s="35"/>
      <c r="G638" s="35"/>
      <c r="H638" s="35"/>
    </row>
    <row r="639" spans="2:8" x14ac:dyDescent="0.35">
      <c r="B639" s="6"/>
      <c r="C639" s="7"/>
      <c r="D639" s="35"/>
      <c r="E639" s="35"/>
      <c r="F639" s="35"/>
      <c r="G639" s="35"/>
      <c r="H639" s="35"/>
    </row>
    <row r="640" spans="2:8" x14ac:dyDescent="0.35">
      <c r="B640" s="6"/>
      <c r="C640" s="7"/>
      <c r="D640" s="35"/>
      <c r="E640" s="35"/>
      <c r="F640" s="35"/>
      <c r="G640" s="35"/>
      <c r="H640" s="35"/>
    </row>
    <row r="641" spans="2:8" x14ac:dyDescent="0.35">
      <c r="B641" s="6"/>
      <c r="C641" s="7"/>
      <c r="D641" s="35"/>
      <c r="E641" s="35"/>
      <c r="F641" s="35"/>
      <c r="G641" s="35"/>
      <c r="H641" s="35"/>
    </row>
    <row r="642" spans="2:8" x14ac:dyDescent="0.35">
      <c r="B642" s="6"/>
      <c r="C642" s="7"/>
      <c r="D642" s="35"/>
      <c r="E642" s="35"/>
      <c r="F642" s="35"/>
      <c r="G642" s="35"/>
      <c r="H642" s="35"/>
    </row>
    <row r="643" spans="2:8" x14ac:dyDescent="0.35">
      <c r="B643" s="6"/>
      <c r="C643" s="7"/>
      <c r="D643" s="35"/>
      <c r="E643" s="35"/>
      <c r="F643" s="35"/>
      <c r="G643" s="35"/>
      <c r="H643" s="35"/>
    </row>
    <row r="644" spans="2:8" x14ac:dyDescent="0.35">
      <c r="B644" s="6"/>
      <c r="C644" s="7"/>
      <c r="D644" s="35"/>
      <c r="E644" s="35"/>
      <c r="F644" s="35"/>
      <c r="G644" s="35"/>
      <c r="H644" s="35"/>
    </row>
    <row r="645" spans="2:8" x14ac:dyDescent="0.35">
      <c r="B645" s="6"/>
      <c r="C645" s="7"/>
      <c r="D645" s="35"/>
      <c r="E645" s="35"/>
      <c r="F645" s="35"/>
      <c r="G645" s="35"/>
      <c r="H645" s="35"/>
    </row>
    <row r="646" spans="2:8" x14ac:dyDescent="0.35">
      <c r="B646" s="6"/>
      <c r="C646" s="7"/>
      <c r="D646" s="35"/>
      <c r="E646" s="35"/>
      <c r="F646" s="35"/>
      <c r="G646" s="35"/>
      <c r="H646" s="35"/>
    </row>
    <row r="647" spans="2:8" x14ac:dyDescent="0.35">
      <c r="B647" s="6"/>
      <c r="C647" s="7"/>
      <c r="D647" s="35"/>
      <c r="E647" s="35"/>
      <c r="F647" s="35"/>
      <c r="G647" s="35"/>
      <c r="H647" s="35"/>
    </row>
    <row r="648" spans="2:8" x14ac:dyDescent="0.35">
      <c r="B648" s="6"/>
      <c r="C648" s="7"/>
      <c r="D648" s="35"/>
      <c r="E648" s="35"/>
      <c r="F648" s="35"/>
      <c r="G648" s="35"/>
      <c r="H648" s="35"/>
    </row>
    <row r="649" spans="2:8" x14ac:dyDescent="0.35">
      <c r="B649" s="6"/>
      <c r="C649" s="7"/>
      <c r="D649" s="35"/>
      <c r="E649" s="35"/>
      <c r="F649" s="35"/>
      <c r="G649" s="35"/>
      <c r="H649" s="35"/>
    </row>
    <row r="650" spans="2:8" x14ac:dyDescent="0.35">
      <c r="B650" s="6"/>
      <c r="C650" s="7"/>
      <c r="D650" s="35"/>
      <c r="E650" s="35"/>
      <c r="F650" s="35"/>
      <c r="G650" s="35"/>
      <c r="H650" s="35"/>
    </row>
    <row r="651" spans="2:8" x14ac:dyDescent="0.35">
      <c r="B651" s="6"/>
      <c r="C651" s="7"/>
      <c r="D651" s="35"/>
      <c r="E651" s="35"/>
      <c r="F651" s="35"/>
      <c r="G651" s="35"/>
      <c r="H651" s="35"/>
    </row>
    <row r="652" spans="2:8" x14ac:dyDescent="0.35">
      <c r="B652" s="6"/>
      <c r="C652" s="7"/>
      <c r="D652" s="35"/>
      <c r="E652" s="35"/>
      <c r="F652" s="35"/>
      <c r="G652" s="35"/>
      <c r="H652" s="35"/>
    </row>
    <row r="653" spans="2:8" x14ac:dyDescent="0.35">
      <c r="B653" s="6"/>
      <c r="C653" s="7"/>
      <c r="D653" s="35"/>
      <c r="E653" s="35"/>
      <c r="F653" s="35"/>
      <c r="G653" s="35"/>
      <c r="H653" s="35"/>
    </row>
    <row r="654" spans="2:8" x14ac:dyDescent="0.35">
      <c r="B654" s="6"/>
      <c r="C654" s="7"/>
      <c r="D654" s="35"/>
      <c r="E654" s="35"/>
      <c r="F654" s="35"/>
      <c r="G654" s="35"/>
      <c r="H654" s="35"/>
    </row>
    <row r="655" spans="2:8" x14ac:dyDescent="0.35">
      <c r="B655" s="6"/>
      <c r="C655" s="7"/>
      <c r="D655" s="35"/>
      <c r="E655" s="35"/>
      <c r="F655" s="35"/>
      <c r="G655" s="35"/>
      <c r="H655" s="35"/>
    </row>
    <row r="656" spans="2:8" x14ac:dyDescent="0.35">
      <c r="B656" s="6"/>
      <c r="C656" s="7"/>
      <c r="D656" s="35"/>
      <c r="E656" s="35"/>
      <c r="F656" s="35"/>
      <c r="G656" s="35"/>
      <c r="H656" s="35"/>
    </row>
    <row r="657" spans="2:8" x14ac:dyDescent="0.35">
      <c r="B657" s="6"/>
      <c r="C657" s="7"/>
      <c r="D657" s="35"/>
      <c r="E657" s="35"/>
      <c r="F657" s="35"/>
      <c r="G657" s="35"/>
      <c r="H657" s="35"/>
    </row>
    <row r="658" spans="2:8" x14ac:dyDescent="0.35">
      <c r="B658" s="6"/>
      <c r="C658" s="7"/>
      <c r="D658" s="35"/>
      <c r="E658" s="35"/>
      <c r="F658" s="35"/>
      <c r="G658" s="35"/>
      <c r="H658" s="35"/>
    </row>
    <row r="659" spans="2:8" x14ac:dyDescent="0.35">
      <c r="B659" s="6"/>
      <c r="C659" s="7"/>
      <c r="D659" s="35"/>
      <c r="E659" s="35"/>
      <c r="F659" s="35"/>
      <c r="G659" s="35"/>
      <c r="H659" s="35"/>
    </row>
    <row r="660" spans="2:8" x14ac:dyDescent="0.35">
      <c r="B660" s="6"/>
      <c r="C660" s="7"/>
      <c r="D660" s="35"/>
      <c r="E660" s="35"/>
      <c r="F660" s="35"/>
      <c r="G660" s="35"/>
      <c r="H660" s="35"/>
    </row>
    <row r="661" spans="2:8" x14ac:dyDescent="0.35">
      <c r="B661" s="6"/>
      <c r="C661" s="7"/>
      <c r="D661" s="35"/>
      <c r="E661" s="35"/>
      <c r="F661" s="35"/>
      <c r="G661" s="35"/>
      <c r="H661" s="35"/>
    </row>
    <row r="662" spans="2:8" x14ac:dyDescent="0.35">
      <c r="B662" s="6"/>
      <c r="C662" s="7"/>
      <c r="D662" s="35"/>
      <c r="E662" s="35"/>
      <c r="F662" s="35"/>
      <c r="G662" s="35"/>
      <c r="H662" s="35"/>
    </row>
    <row r="663" spans="2:8" x14ac:dyDescent="0.35">
      <c r="B663" s="6"/>
      <c r="C663" s="7"/>
      <c r="D663" s="35"/>
      <c r="E663" s="35"/>
      <c r="F663" s="35"/>
      <c r="G663" s="35"/>
      <c r="H663" s="35"/>
    </row>
    <row r="664" spans="2:8" x14ac:dyDescent="0.35">
      <c r="B664" s="6"/>
      <c r="C664" s="7"/>
      <c r="D664" s="35"/>
      <c r="E664" s="35"/>
      <c r="F664" s="35"/>
      <c r="G664" s="35"/>
      <c r="H664" s="35"/>
    </row>
    <row r="665" spans="2:8" x14ac:dyDescent="0.35">
      <c r="B665" s="6"/>
      <c r="C665" s="7"/>
      <c r="D665" s="35"/>
      <c r="E665" s="35"/>
      <c r="F665" s="35"/>
      <c r="G665" s="35"/>
      <c r="H665" s="35"/>
    </row>
    <row r="666" spans="2:8" x14ac:dyDescent="0.35">
      <c r="B666" s="6"/>
      <c r="C666" s="7"/>
      <c r="D666" s="35"/>
      <c r="E666" s="35"/>
      <c r="F666" s="35"/>
      <c r="G666" s="35"/>
      <c r="H666" s="35"/>
    </row>
    <row r="667" spans="2:8" x14ac:dyDescent="0.35">
      <c r="B667" s="6"/>
      <c r="C667" s="7"/>
      <c r="D667" s="35"/>
      <c r="E667" s="35"/>
      <c r="F667" s="35"/>
      <c r="G667" s="35"/>
      <c r="H667" s="35"/>
    </row>
    <row r="668" spans="2:8" x14ac:dyDescent="0.35">
      <c r="B668" s="6"/>
      <c r="C668" s="7"/>
      <c r="D668" s="35"/>
      <c r="E668" s="35"/>
      <c r="F668" s="35"/>
      <c r="G668" s="35"/>
      <c r="H668" s="35"/>
    </row>
    <row r="669" spans="2:8" x14ac:dyDescent="0.35">
      <c r="B669" s="6"/>
      <c r="C669" s="7"/>
      <c r="D669" s="35"/>
      <c r="E669" s="35"/>
      <c r="F669" s="35"/>
      <c r="G669" s="35"/>
      <c r="H669" s="35"/>
    </row>
    <row r="670" spans="2:8" x14ac:dyDescent="0.35">
      <c r="B670" s="6"/>
      <c r="C670" s="7"/>
      <c r="D670" s="35"/>
      <c r="E670" s="35"/>
      <c r="F670" s="35"/>
      <c r="G670" s="35"/>
      <c r="H670" s="35"/>
    </row>
    <row r="671" spans="2:8" x14ac:dyDescent="0.35">
      <c r="B671" s="6"/>
      <c r="C671" s="7"/>
      <c r="D671" s="35"/>
      <c r="E671" s="35"/>
      <c r="F671" s="35"/>
      <c r="G671" s="35"/>
      <c r="H671" s="35"/>
    </row>
    <row r="672" spans="2:8" x14ac:dyDescent="0.35">
      <c r="B672" s="6"/>
      <c r="C672" s="7"/>
      <c r="D672" s="35"/>
      <c r="E672" s="35"/>
      <c r="F672" s="35"/>
      <c r="G672" s="35"/>
      <c r="H672" s="35"/>
    </row>
    <row r="673" spans="2:8" x14ac:dyDescent="0.35">
      <c r="B673" s="6"/>
      <c r="C673" s="7"/>
      <c r="D673" s="35"/>
      <c r="E673" s="35"/>
      <c r="F673" s="35"/>
      <c r="G673" s="35"/>
      <c r="H673" s="35"/>
    </row>
    <row r="674" spans="2:8" x14ac:dyDescent="0.35">
      <c r="B674" s="6"/>
      <c r="C674" s="7"/>
      <c r="D674" s="35"/>
      <c r="E674" s="35"/>
      <c r="F674" s="35"/>
      <c r="G674" s="35"/>
      <c r="H674" s="35"/>
    </row>
    <row r="675" spans="2:8" x14ac:dyDescent="0.35">
      <c r="B675" s="6"/>
      <c r="C675" s="7"/>
      <c r="D675" s="35"/>
      <c r="E675" s="35"/>
      <c r="F675" s="35"/>
      <c r="G675" s="35"/>
      <c r="H675" s="35"/>
    </row>
    <row r="676" spans="2:8" x14ac:dyDescent="0.35">
      <c r="B676" s="6"/>
      <c r="C676" s="7"/>
      <c r="D676" s="35"/>
      <c r="E676" s="35"/>
      <c r="F676" s="35"/>
      <c r="G676" s="35"/>
      <c r="H676" s="35"/>
    </row>
    <row r="677" spans="2:8" x14ac:dyDescent="0.35">
      <c r="B677" s="6"/>
      <c r="C677" s="7"/>
      <c r="D677" s="35"/>
      <c r="E677" s="35"/>
      <c r="F677" s="35"/>
      <c r="G677" s="35"/>
      <c r="H677" s="35"/>
    </row>
    <row r="678" spans="2:8" x14ac:dyDescent="0.35">
      <c r="B678" s="6"/>
      <c r="C678" s="7"/>
      <c r="D678" s="35"/>
      <c r="E678" s="35"/>
      <c r="F678" s="35"/>
      <c r="G678" s="35"/>
      <c r="H678" s="35"/>
    </row>
    <row r="679" spans="2:8" x14ac:dyDescent="0.35">
      <c r="B679" s="6"/>
      <c r="C679" s="7"/>
      <c r="D679" s="35"/>
      <c r="E679" s="35"/>
      <c r="F679" s="35"/>
      <c r="G679" s="35"/>
      <c r="H679" s="35"/>
    </row>
    <row r="680" spans="2:8" x14ac:dyDescent="0.35">
      <c r="B680" s="6"/>
      <c r="C680" s="7"/>
      <c r="D680" s="35"/>
      <c r="E680" s="35"/>
      <c r="F680" s="35"/>
      <c r="G680" s="35"/>
      <c r="H680" s="35"/>
    </row>
    <row r="681" spans="2:8" x14ac:dyDescent="0.35">
      <c r="B681" s="6"/>
      <c r="C681" s="7"/>
      <c r="D681" s="35"/>
      <c r="E681" s="35"/>
      <c r="F681" s="35"/>
      <c r="G681" s="35"/>
      <c r="H681" s="35"/>
    </row>
    <row r="682" spans="2:8" x14ac:dyDescent="0.35">
      <c r="B682" s="6"/>
      <c r="C682" s="7"/>
      <c r="D682" s="35"/>
      <c r="E682" s="35"/>
      <c r="F682" s="35"/>
      <c r="G682" s="35"/>
      <c r="H682" s="35"/>
    </row>
    <row r="683" spans="2:8" x14ac:dyDescent="0.35">
      <c r="B683" s="6"/>
      <c r="C683" s="7"/>
      <c r="D683" s="35"/>
      <c r="E683" s="35"/>
      <c r="F683" s="35"/>
      <c r="G683" s="35"/>
      <c r="H683" s="35"/>
    </row>
    <row r="684" spans="2:8" x14ac:dyDescent="0.35">
      <c r="B684" s="6"/>
      <c r="C684" s="7"/>
      <c r="D684" s="35"/>
      <c r="E684" s="35"/>
      <c r="F684" s="35"/>
      <c r="G684" s="35"/>
      <c r="H684" s="35"/>
    </row>
    <row r="685" spans="2:8" x14ac:dyDescent="0.35">
      <c r="B685" s="6"/>
      <c r="C685" s="7"/>
      <c r="D685" s="35"/>
      <c r="E685" s="35"/>
      <c r="F685" s="35"/>
      <c r="G685" s="35"/>
      <c r="H685" s="35"/>
    </row>
    <row r="686" spans="2:8" x14ac:dyDescent="0.35">
      <c r="B686" s="6"/>
      <c r="C686" s="7"/>
      <c r="D686" s="35"/>
      <c r="E686" s="35"/>
      <c r="F686" s="35"/>
      <c r="G686" s="35"/>
      <c r="H686" s="35"/>
    </row>
    <row r="687" spans="2:8" x14ac:dyDescent="0.35">
      <c r="B687" s="6"/>
      <c r="C687" s="7"/>
      <c r="D687" s="35"/>
      <c r="E687" s="35"/>
      <c r="F687" s="35"/>
      <c r="G687" s="35"/>
      <c r="H687" s="35"/>
    </row>
    <row r="688" spans="2:8" x14ac:dyDescent="0.35">
      <c r="B688" s="6"/>
      <c r="C688" s="7"/>
      <c r="D688" s="35"/>
      <c r="E688" s="35"/>
      <c r="F688" s="35"/>
      <c r="G688" s="35"/>
      <c r="H688" s="35"/>
    </row>
    <row r="689" spans="2:8" x14ac:dyDescent="0.35">
      <c r="B689" s="6"/>
      <c r="C689" s="7"/>
      <c r="D689" s="35"/>
      <c r="E689" s="35"/>
      <c r="F689" s="35"/>
      <c r="G689" s="35"/>
      <c r="H689" s="35"/>
    </row>
    <row r="690" spans="2:8" x14ac:dyDescent="0.35">
      <c r="B690" s="6"/>
      <c r="C690" s="7"/>
      <c r="D690" s="35"/>
      <c r="E690" s="35"/>
      <c r="F690" s="35"/>
      <c r="G690" s="35"/>
      <c r="H690" s="35"/>
    </row>
    <row r="691" spans="2:8" x14ac:dyDescent="0.35">
      <c r="B691" s="6"/>
      <c r="C691" s="7"/>
      <c r="D691" s="35"/>
      <c r="E691" s="35"/>
      <c r="F691" s="35"/>
      <c r="G691" s="35"/>
      <c r="H691" s="35"/>
    </row>
    <row r="692" spans="2:8" x14ac:dyDescent="0.35">
      <c r="B692" s="6"/>
      <c r="C692" s="7"/>
      <c r="D692" s="35"/>
      <c r="E692" s="35"/>
      <c r="F692" s="35"/>
      <c r="G692" s="35"/>
      <c r="H692" s="35"/>
    </row>
    <row r="693" spans="2:8" x14ac:dyDescent="0.35">
      <c r="B693" s="6"/>
      <c r="C693" s="7"/>
      <c r="D693" s="35"/>
      <c r="E693" s="35"/>
      <c r="F693" s="35"/>
      <c r="G693" s="35"/>
      <c r="H693" s="35"/>
    </row>
    <row r="694" spans="2:8" x14ac:dyDescent="0.35">
      <c r="B694" s="6"/>
      <c r="C694" s="7"/>
      <c r="D694" s="35"/>
      <c r="E694" s="35"/>
      <c r="F694" s="35"/>
      <c r="G694" s="35"/>
      <c r="H694" s="35"/>
    </row>
    <row r="695" spans="2:8" x14ac:dyDescent="0.35">
      <c r="B695" s="6"/>
      <c r="C695" s="7"/>
      <c r="D695" s="35"/>
      <c r="E695" s="35"/>
      <c r="F695" s="35"/>
      <c r="G695" s="35"/>
      <c r="H695" s="35"/>
    </row>
    <row r="696" spans="2:8" x14ac:dyDescent="0.35">
      <c r="B696" s="6"/>
      <c r="C696" s="7"/>
      <c r="D696" s="35"/>
      <c r="E696" s="35"/>
      <c r="F696" s="35"/>
      <c r="G696" s="35"/>
      <c r="H696" s="35"/>
    </row>
    <row r="697" spans="2:8" x14ac:dyDescent="0.35">
      <c r="B697" s="6"/>
      <c r="C697" s="7"/>
      <c r="D697" s="35"/>
      <c r="E697" s="35"/>
      <c r="F697" s="35"/>
      <c r="G697" s="35"/>
      <c r="H697" s="35"/>
    </row>
    <row r="698" spans="2:8" x14ac:dyDescent="0.35">
      <c r="B698" s="6"/>
      <c r="C698" s="7"/>
      <c r="D698" s="35"/>
      <c r="E698" s="35"/>
      <c r="F698" s="35"/>
      <c r="G698" s="35"/>
      <c r="H698" s="35"/>
    </row>
    <row r="699" spans="2:8" x14ac:dyDescent="0.35">
      <c r="B699" s="6"/>
      <c r="C699" s="7"/>
      <c r="D699" s="35"/>
      <c r="E699" s="35"/>
      <c r="F699" s="35"/>
      <c r="G699" s="35"/>
      <c r="H699" s="35"/>
    </row>
    <row r="700" spans="2:8" x14ac:dyDescent="0.35">
      <c r="B700" s="6"/>
      <c r="C700" s="7"/>
      <c r="D700" s="35"/>
      <c r="E700" s="35"/>
      <c r="F700" s="35"/>
      <c r="G700" s="35"/>
      <c r="H700" s="35"/>
    </row>
    <row r="701" spans="2:8" x14ac:dyDescent="0.35">
      <c r="B701" s="6"/>
      <c r="C701" s="7"/>
      <c r="D701" s="35"/>
      <c r="E701" s="35"/>
      <c r="F701" s="35"/>
      <c r="G701" s="35"/>
      <c r="H701" s="35"/>
    </row>
    <row r="702" spans="2:8" x14ac:dyDescent="0.35">
      <c r="B702" s="6"/>
      <c r="C702" s="7"/>
      <c r="D702" s="35"/>
      <c r="E702" s="35"/>
      <c r="F702" s="35"/>
      <c r="G702" s="35"/>
      <c r="H702" s="35"/>
    </row>
    <row r="703" spans="2:8" x14ac:dyDescent="0.35">
      <c r="B703" s="6"/>
      <c r="C703" s="7"/>
      <c r="D703" s="35"/>
      <c r="E703" s="35"/>
      <c r="F703" s="35"/>
      <c r="G703" s="35"/>
      <c r="H703" s="35"/>
    </row>
    <row r="704" spans="2:8" x14ac:dyDescent="0.35">
      <c r="B704" s="6"/>
      <c r="C704" s="7"/>
      <c r="D704" s="35"/>
      <c r="E704" s="35"/>
      <c r="F704" s="35"/>
      <c r="G704" s="35"/>
      <c r="H704" s="35"/>
    </row>
    <row r="705" spans="2:8" x14ac:dyDescent="0.35">
      <c r="B705" s="6"/>
      <c r="C705" s="7"/>
      <c r="D705" s="35"/>
      <c r="E705" s="35"/>
      <c r="F705" s="35"/>
      <c r="G705" s="35"/>
      <c r="H705" s="35"/>
    </row>
    <row r="706" spans="2:8" x14ac:dyDescent="0.35">
      <c r="B706" s="6"/>
      <c r="C706" s="7"/>
      <c r="D706" s="35"/>
      <c r="E706" s="35"/>
      <c r="F706" s="35"/>
      <c r="G706" s="35"/>
      <c r="H706" s="35"/>
    </row>
    <row r="707" spans="2:8" x14ac:dyDescent="0.35">
      <c r="B707" s="6"/>
      <c r="C707" s="7"/>
      <c r="D707" s="35"/>
      <c r="E707" s="35"/>
      <c r="F707" s="35"/>
      <c r="G707" s="35"/>
      <c r="H707" s="35"/>
    </row>
    <row r="708" spans="2:8" x14ac:dyDescent="0.35">
      <c r="B708" s="6"/>
      <c r="C708" s="7"/>
      <c r="D708" s="35"/>
      <c r="E708" s="35"/>
      <c r="F708" s="35"/>
      <c r="G708" s="35"/>
      <c r="H708" s="35"/>
    </row>
    <row r="709" spans="2:8" x14ac:dyDescent="0.35">
      <c r="B709" s="6"/>
      <c r="C709" s="7"/>
      <c r="D709" s="35"/>
      <c r="E709" s="35"/>
      <c r="F709" s="35"/>
      <c r="G709" s="35"/>
      <c r="H709" s="35"/>
    </row>
    <row r="710" spans="2:8" x14ac:dyDescent="0.35">
      <c r="B710" s="6"/>
      <c r="C710" s="7"/>
      <c r="D710" s="35"/>
      <c r="E710" s="35"/>
      <c r="F710" s="35"/>
      <c r="G710" s="35"/>
      <c r="H710" s="35"/>
    </row>
    <row r="711" spans="2:8" x14ac:dyDescent="0.35">
      <c r="B711" s="6"/>
      <c r="C711" s="7"/>
      <c r="D711" s="35"/>
      <c r="E711" s="35"/>
      <c r="F711" s="35"/>
      <c r="G711" s="35"/>
      <c r="H711" s="35"/>
    </row>
    <row r="712" spans="2:8" x14ac:dyDescent="0.35">
      <c r="B712" s="6"/>
      <c r="C712" s="7"/>
      <c r="D712" s="35"/>
      <c r="E712" s="35"/>
      <c r="F712" s="35"/>
      <c r="G712" s="35"/>
      <c r="H712" s="35"/>
    </row>
    <row r="713" spans="2:8" x14ac:dyDescent="0.35">
      <c r="B713" s="6"/>
      <c r="C713" s="7"/>
      <c r="D713" s="35"/>
      <c r="E713" s="35"/>
      <c r="F713" s="35"/>
      <c r="G713" s="35"/>
      <c r="H713" s="35"/>
    </row>
    <row r="714" spans="2:8" x14ac:dyDescent="0.35">
      <c r="B714" s="6"/>
      <c r="C714" s="7"/>
      <c r="D714" s="35"/>
      <c r="E714" s="35"/>
      <c r="F714" s="35"/>
      <c r="G714" s="35"/>
      <c r="H714" s="35"/>
    </row>
    <row r="715" spans="2:8" x14ac:dyDescent="0.35">
      <c r="B715" s="6"/>
      <c r="C715" s="7"/>
      <c r="D715" s="35"/>
      <c r="E715" s="35"/>
      <c r="F715" s="35"/>
      <c r="G715" s="35"/>
      <c r="H715" s="35"/>
    </row>
    <row r="716" spans="2:8" x14ac:dyDescent="0.35">
      <c r="B716" s="6"/>
      <c r="C716" s="7"/>
      <c r="D716" s="35"/>
      <c r="E716" s="35"/>
      <c r="F716" s="35"/>
      <c r="G716" s="35"/>
      <c r="H716" s="35"/>
    </row>
    <row r="717" spans="2:8" x14ac:dyDescent="0.35">
      <c r="B717" s="6"/>
      <c r="C717" s="7"/>
      <c r="D717" s="35"/>
      <c r="E717" s="35"/>
      <c r="F717" s="35"/>
      <c r="G717" s="35"/>
      <c r="H717" s="35"/>
    </row>
    <row r="718" spans="2:8" x14ac:dyDescent="0.35">
      <c r="B718" s="6"/>
      <c r="C718" s="7"/>
      <c r="D718" s="35"/>
      <c r="E718" s="35"/>
      <c r="F718" s="35"/>
      <c r="G718" s="35"/>
      <c r="H718" s="35"/>
    </row>
    <row r="719" spans="2:8" x14ac:dyDescent="0.35">
      <c r="B719" s="6"/>
      <c r="C719" s="7"/>
      <c r="D719" s="35"/>
      <c r="E719" s="35"/>
      <c r="F719" s="35"/>
      <c r="G719" s="35"/>
      <c r="H719" s="35"/>
    </row>
    <row r="720" spans="2:8" x14ac:dyDescent="0.35">
      <c r="B720" s="6"/>
      <c r="C720" s="7"/>
      <c r="D720" s="35"/>
      <c r="E720" s="35"/>
      <c r="F720" s="35"/>
      <c r="G720" s="35"/>
      <c r="H720" s="35"/>
    </row>
    <row r="721" spans="2:8" x14ac:dyDescent="0.35">
      <c r="B721" s="6"/>
      <c r="C721" s="7"/>
      <c r="D721" s="35"/>
      <c r="E721" s="35"/>
      <c r="F721" s="35"/>
      <c r="G721" s="35"/>
      <c r="H721" s="35"/>
    </row>
    <row r="722" spans="2:8" x14ac:dyDescent="0.35">
      <c r="B722" s="6"/>
      <c r="C722" s="7"/>
      <c r="D722" s="35"/>
      <c r="E722" s="35"/>
      <c r="F722" s="35"/>
      <c r="G722" s="35"/>
      <c r="H722" s="35"/>
    </row>
    <row r="723" spans="2:8" x14ac:dyDescent="0.35">
      <c r="B723" s="6"/>
      <c r="C723" s="7"/>
      <c r="D723" s="35"/>
      <c r="E723" s="35"/>
      <c r="F723" s="35"/>
      <c r="G723" s="35"/>
      <c r="H723" s="35"/>
    </row>
    <row r="724" spans="2:8" x14ac:dyDescent="0.35">
      <c r="B724" s="6"/>
      <c r="C724" s="7"/>
      <c r="D724" s="35"/>
      <c r="E724" s="35"/>
      <c r="F724" s="35"/>
      <c r="G724" s="35"/>
      <c r="H724" s="35"/>
    </row>
    <row r="725" spans="2:8" x14ac:dyDescent="0.35">
      <c r="B725" s="6"/>
      <c r="C725" s="7"/>
      <c r="D725" s="35"/>
      <c r="E725" s="35"/>
      <c r="F725" s="35"/>
      <c r="G725" s="35"/>
      <c r="H725" s="35"/>
    </row>
    <row r="726" spans="2:8" x14ac:dyDescent="0.35">
      <c r="B726" s="6"/>
      <c r="C726" s="7"/>
      <c r="D726" s="35"/>
      <c r="E726" s="35"/>
      <c r="F726" s="35"/>
      <c r="G726" s="35"/>
      <c r="H726" s="35"/>
    </row>
    <row r="727" spans="2:8" x14ac:dyDescent="0.35">
      <c r="B727" s="6"/>
      <c r="C727" s="7"/>
      <c r="D727" s="35"/>
      <c r="E727" s="35"/>
      <c r="F727" s="35"/>
      <c r="G727" s="35"/>
      <c r="H727" s="35"/>
    </row>
    <row r="728" spans="2:8" x14ac:dyDescent="0.35">
      <c r="B728" s="6"/>
      <c r="C728" s="7"/>
      <c r="D728" s="35"/>
      <c r="E728" s="35"/>
      <c r="F728" s="35"/>
      <c r="G728" s="35"/>
      <c r="H728" s="35"/>
    </row>
    <row r="729" spans="2:8" x14ac:dyDescent="0.35">
      <c r="B729" s="6"/>
      <c r="C729" s="7"/>
      <c r="D729" s="35"/>
      <c r="E729" s="35"/>
      <c r="F729" s="35"/>
      <c r="G729" s="35"/>
      <c r="H729" s="35"/>
    </row>
    <row r="730" spans="2:8" x14ac:dyDescent="0.35">
      <c r="B730" s="6"/>
      <c r="C730" s="7"/>
      <c r="D730" s="35"/>
      <c r="E730" s="35"/>
      <c r="F730" s="35"/>
      <c r="G730" s="35"/>
      <c r="H730" s="35"/>
    </row>
    <row r="731" spans="2:8" x14ac:dyDescent="0.35">
      <c r="B731" s="6"/>
      <c r="C731" s="7"/>
      <c r="D731" s="35"/>
      <c r="E731" s="35"/>
      <c r="F731" s="35"/>
      <c r="G731" s="35"/>
      <c r="H731" s="35"/>
    </row>
    <row r="732" spans="2:8" x14ac:dyDescent="0.35">
      <c r="B732" s="6"/>
      <c r="C732" s="7"/>
      <c r="D732" s="35"/>
      <c r="E732" s="35"/>
      <c r="F732" s="35"/>
      <c r="G732" s="35"/>
      <c r="H732" s="35"/>
    </row>
    <row r="733" spans="2:8" x14ac:dyDescent="0.35">
      <c r="B733" s="6"/>
      <c r="C733" s="7"/>
      <c r="D733" s="35"/>
      <c r="E733" s="35"/>
      <c r="F733" s="35"/>
      <c r="G733" s="35"/>
      <c r="H733" s="35"/>
    </row>
    <row r="734" spans="2:8" x14ac:dyDescent="0.35">
      <c r="B734" s="6"/>
      <c r="C734" s="7"/>
      <c r="D734" s="35"/>
      <c r="E734" s="35"/>
      <c r="F734" s="35"/>
      <c r="G734" s="35"/>
      <c r="H734" s="35"/>
    </row>
    <row r="735" spans="2:8" x14ac:dyDescent="0.35">
      <c r="B735" s="6"/>
      <c r="C735" s="7"/>
      <c r="D735" s="35"/>
      <c r="E735" s="35"/>
      <c r="F735" s="35"/>
      <c r="G735" s="35"/>
      <c r="H735" s="35"/>
    </row>
    <row r="736" spans="2:8" x14ac:dyDescent="0.35">
      <c r="B736" s="6"/>
      <c r="C736" s="7"/>
      <c r="D736" s="35"/>
      <c r="E736" s="35"/>
      <c r="F736" s="35"/>
      <c r="G736" s="35"/>
      <c r="H736" s="35"/>
    </row>
    <row r="737" spans="2:8" x14ac:dyDescent="0.35">
      <c r="B737" s="6"/>
      <c r="C737" s="7"/>
      <c r="D737" s="35"/>
      <c r="E737" s="35"/>
      <c r="F737" s="35"/>
      <c r="G737" s="35"/>
      <c r="H737" s="35"/>
    </row>
    <row r="738" spans="2:8" x14ac:dyDescent="0.35">
      <c r="B738" s="6"/>
      <c r="C738" s="7"/>
      <c r="D738" s="35"/>
      <c r="E738" s="35"/>
      <c r="F738" s="35"/>
      <c r="G738" s="35"/>
      <c r="H738" s="35"/>
    </row>
    <row r="739" spans="2:8" x14ac:dyDescent="0.35">
      <c r="B739" s="6"/>
      <c r="C739" s="7"/>
      <c r="D739" s="35"/>
      <c r="E739" s="35"/>
      <c r="F739" s="35"/>
      <c r="G739" s="35"/>
      <c r="H739" s="35"/>
    </row>
    <row r="740" spans="2:8" x14ac:dyDescent="0.35">
      <c r="B740" s="6"/>
      <c r="C740" s="7"/>
      <c r="D740" s="35"/>
      <c r="E740" s="35"/>
      <c r="F740" s="35"/>
      <c r="G740" s="35"/>
      <c r="H740" s="35"/>
    </row>
    <row r="741" spans="2:8" x14ac:dyDescent="0.35">
      <c r="B741" s="6"/>
      <c r="C741" s="7"/>
      <c r="D741" s="35"/>
      <c r="E741" s="35"/>
      <c r="F741" s="35"/>
      <c r="G741" s="35"/>
      <c r="H741" s="35"/>
    </row>
    <row r="742" spans="2:8" x14ac:dyDescent="0.35">
      <c r="B742" s="6"/>
      <c r="C742" s="7"/>
      <c r="D742" s="35"/>
      <c r="E742" s="35"/>
      <c r="F742" s="35"/>
      <c r="G742" s="35"/>
      <c r="H742" s="35"/>
    </row>
    <row r="743" spans="2:8" x14ac:dyDescent="0.35">
      <c r="B743" s="6"/>
      <c r="C743" s="7"/>
      <c r="D743" s="35"/>
      <c r="E743" s="35"/>
      <c r="F743" s="35"/>
      <c r="G743" s="35"/>
      <c r="H743" s="35"/>
    </row>
    <row r="744" spans="2:8" x14ac:dyDescent="0.35">
      <c r="B744" s="6"/>
      <c r="C744" s="7"/>
      <c r="D744" s="35"/>
      <c r="E744" s="35"/>
      <c r="F744" s="35"/>
      <c r="G744" s="35"/>
      <c r="H744" s="35"/>
    </row>
    <row r="745" spans="2:8" x14ac:dyDescent="0.35">
      <c r="B745" s="6"/>
      <c r="C745" s="7"/>
      <c r="D745" s="35"/>
      <c r="E745" s="35"/>
      <c r="F745" s="35"/>
      <c r="G745" s="35"/>
      <c r="H745" s="35"/>
    </row>
    <row r="746" spans="2:8" x14ac:dyDescent="0.35">
      <c r="B746" s="6"/>
      <c r="C746" s="7"/>
      <c r="D746" s="35"/>
      <c r="E746" s="35"/>
      <c r="F746" s="35"/>
      <c r="G746" s="35"/>
      <c r="H746" s="35"/>
    </row>
    <row r="747" spans="2:8" x14ac:dyDescent="0.35">
      <c r="B747" s="6"/>
      <c r="C747" s="7"/>
      <c r="D747" s="35"/>
      <c r="E747" s="35"/>
      <c r="F747" s="35"/>
      <c r="G747" s="35"/>
      <c r="H747" s="35"/>
    </row>
    <row r="748" spans="2:8" x14ac:dyDescent="0.35">
      <c r="B748" s="6"/>
      <c r="C748" s="7"/>
      <c r="D748" s="35"/>
      <c r="E748" s="35"/>
      <c r="F748" s="35"/>
      <c r="G748" s="35"/>
      <c r="H748" s="35"/>
    </row>
    <row r="749" spans="2:8" x14ac:dyDescent="0.35">
      <c r="B749" s="6"/>
      <c r="C749" s="7"/>
      <c r="D749" s="35"/>
      <c r="E749" s="35"/>
      <c r="F749" s="35"/>
      <c r="G749" s="35"/>
      <c r="H749" s="35"/>
    </row>
    <row r="750" spans="2:8" x14ac:dyDescent="0.35">
      <c r="B750" s="6"/>
      <c r="C750" s="7"/>
      <c r="D750" s="35"/>
      <c r="E750" s="35"/>
      <c r="F750" s="35"/>
      <c r="G750" s="35"/>
      <c r="H750" s="35"/>
    </row>
    <row r="751" spans="2:8" x14ac:dyDescent="0.35">
      <c r="B751" s="6"/>
      <c r="C751" s="7"/>
      <c r="D751" s="35"/>
      <c r="E751" s="35"/>
      <c r="F751" s="35"/>
      <c r="G751" s="35"/>
      <c r="H751" s="35"/>
    </row>
    <row r="752" spans="2:8" x14ac:dyDescent="0.35">
      <c r="B752" s="6"/>
      <c r="C752" s="7"/>
      <c r="D752" s="35"/>
      <c r="E752" s="35"/>
      <c r="F752" s="35"/>
      <c r="G752" s="35"/>
      <c r="H752" s="35"/>
    </row>
    <row r="753" spans="2:8" x14ac:dyDescent="0.35">
      <c r="B753" s="6"/>
      <c r="C753" s="7"/>
      <c r="D753" s="35"/>
      <c r="E753" s="35"/>
      <c r="F753" s="35"/>
      <c r="G753" s="35"/>
      <c r="H753" s="35"/>
    </row>
    <row r="754" spans="2:8" x14ac:dyDescent="0.35">
      <c r="B754" s="6"/>
      <c r="C754" s="7"/>
      <c r="D754" s="35"/>
      <c r="E754" s="35"/>
      <c r="F754" s="35"/>
      <c r="G754" s="35"/>
      <c r="H754" s="35"/>
    </row>
    <row r="755" spans="2:8" x14ac:dyDescent="0.35">
      <c r="B755" s="6"/>
      <c r="C755" s="7"/>
      <c r="D755" s="35"/>
      <c r="E755" s="35"/>
      <c r="F755" s="35"/>
      <c r="G755" s="35"/>
      <c r="H755" s="35"/>
    </row>
    <row r="756" spans="2:8" x14ac:dyDescent="0.35">
      <c r="B756" s="6"/>
      <c r="C756" s="7"/>
      <c r="D756" s="35"/>
      <c r="E756" s="35"/>
      <c r="F756" s="35"/>
      <c r="G756" s="35"/>
      <c r="H756" s="35"/>
    </row>
    <row r="757" spans="2:8" x14ac:dyDescent="0.35">
      <c r="B757" s="6"/>
      <c r="C757" s="7"/>
      <c r="D757" s="35"/>
      <c r="E757" s="35"/>
      <c r="F757" s="35"/>
      <c r="G757" s="35"/>
      <c r="H757" s="35"/>
    </row>
    <row r="758" spans="2:8" x14ac:dyDescent="0.35">
      <c r="B758" s="6"/>
      <c r="C758" s="7"/>
      <c r="D758" s="35"/>
      <c r="E758" s="35"/>
      <c r="F758" s="35"/>
      <c r="G758" s="35"/>
      <c r="H758" s="35"/>
    </row>
    <row r="759" spans="2:8" x14ac:dyDescent="0.35">
      <c r="B759" s="6"/>
      <c r="C759" s="7"/>
      <c r="D759" s="35"/>
      <c r="E759" s="35"/>
      <c r="F759" s="35"/>
      <c r="G759" s="35"/>
      <c r="H759" s="35"/>
    </row>
    <row r="760" spans="2:8" x14ac:dyDescent="0.35">
      <c r="B760" s="6"/>
      <c r="C760" s="7"/>
      <c r="D760" s="35"/>
      <c r="E760" s="35"/>
      <c r="F760" s="35"/>
      <c r="G760" s="35"/>
      <c r="H760" s="35"/>
    </row>
    <row r="761" spans="2:8" x14ac:dyDescent="0.35">
      <c r="B761" s="6"/>
      <c r="C761" s="7"/>
      <c r="D761" s="35"/>
      <c r="E761" s="35"/>
      <c r="F761" s="35"/>
      <c r="G761" s="35"/>
      <c r="H761" s="35"/>
    </row>
    <row r="762" spans="2:8" x14ac:dyDescent="0.35">
      <c r="B762" s="6"/>
      <c r="C762" s="7"/>
      <c r="D762" s="35"/>
      <c r="E762" s="35"/>
      <c r="F762" s="35"/>
      <c r="G762" s="35"/>
      <c r="H762" s="35"/>
    </row>
    <row r="763" spans="2:8" x14ac:dyDescent="0.35">
      <c r="B763" s="6"/>
      <c r="C763" s="7"/>
      <c r="D763" s="35"/>
      <c r="E763" s="35"/>
      <c r="F763" s="35"/>
      <c r="G763" s="35"/>
      <c r="H763" s="35"/>
    </row>
    <row r="764" spans="2:8" x14ac:dyDescent="0.35">
      <c r="B764" s="6"/>
      <c r="C764" s="7"/>
      <c r="D764" s="35"/>
      <c r="E764" s="35"/>
      <c r="F764" s="35"/>
      <c r="G764" s="35"/>
      <c r="H764" s="35"/>
    </row>
    <row r="765" spans="2:8" x14ac:dyDescent="0.35">
      <c r="B765" s="6"/>
      <c r="C765" s="7"/>
      <c r="D765" s="35"/>
      <c r="E765" s="35"/>
      <c r="F765" s="35"/>
      <c r="G765" s="35"/>
      <c r="H765" s="35"/>
    </row>
    <row r="766" spans="2:8" x14ac:dyDescent="0.35">
      <c r="B766" s="6"/>
      <c r="C766" s="7"/>
      <c r="D766" s="35"/>
      <c r="E766" s="35"/>
      <c r="F766" s="35"/>
      <c r="G766" s="35"/>
      <c r="H766" s="35"/>
    </row>
    <row r="767" spans="2:8" x14ac:dyDescent="0.35">
      <c r="B767" s="6"/>
      <c r="C767" s="7"/>
      <c r="D767" s="35"/>
      <c r="E767" s="35"/>
      <c r="F767" s="35"/>
      <c r="G767" s="35"/>
      <c r="H767" s="35"/>
    </row>
    <row r="768" spans="2:8" x14ac:dyDescent="0.35">
      <c r="B768" s="6"/>
      <c r="C768" s="7"/>
      <c r="D768" s="35"/>
      <c r="E768" s="35"/>
      <c r="F768" s="35"/>
      <c r="G768" s="35"/>
      <c r="H768" s="35"/>
    </row>
    <row r="769" spans="2:8" x14ac:dyDescent="0.35">
      <c r="B769" s="6"/>
      <c r="C769" s="7"/>
      <c r="D769" s="35"/>
      <c r="E769" s="35"/>
      <c r="F769" s="35"/>
      <c r="G769" s="35"/>
      <c r="H769" s="35"/>
    </row>
    <row r="770" spans="2:8" x14ac:dyDescent="0.35">
      <c r="B770" s="6"/>
      <c r="C770" s="7"/>
      <c r="D770" s="35"/>
      <c r="E770" s="35"/>
      <c r="F770" s="35"/>
      <c r="G770" s="35"/>
      <c r="H770" s="35"/>
    </row>
    <row r="771" spans="2:8" x14ac:dyDescent="0.35">
      <c r="B771" s="6"/>
      <c r="C771" s="7"/>
      <c r="D771" s="35"/>
      <c r="E771" s="35"/>
      <c r="F771" s="35"/>
      <c r="G771" s="35"/>
      <c r="H771" s="35"/>
    </row>
    <row r="772" spans="2:8" x14ac:dyDescent="0.35">
      <c r="B772" s="6"/>
      <c r="C772" s="7"/>
      <c r="D772" s="35"/>
      <c r="E772" s="35"/>
      <c r="F772" s="35"/>
      <c r="G772" s="35"/>
      <c r="H772" s="35"/>
    </row>
    <row r="773" spans="2:8" x14ac:dyDescent="0.35">
      <c r="B773" s="6"/>
      <c r="C773" s="7"/>
      <c r="D773" s="35"/>
      <c r="E773" s="35"/>
      <c r="F773" s="35"/>
      <c r="G773" s="35"/>
      <c r="H773" s="35"/>
    </row>
    <row r="774" spans="2:8" x14ac:dyDescent="0.35">
      <c r="B774" s="6"/>
      <c r="C774" s="7"/>
      <c r="D774" s="35"/>
      <c r="E774" s="35"/>
      <c r="F774" s="35"/>
      <c r="G774" s="35"/>
      <c r="H774" s="35"/>
    </row>
    <row r="775" spans="2:8" x14ac:dyDescent="0.35">
      <c r="B775" s="6"/>
      <c r="C775" s="7"/>
      <c r="D775" s="35"/>
      <c r="E775" s="35"/>
      <c r="F775" s="35"/>
      <c r="G775" s="35"/>
      <c r="H775" s="35"/>
    </row>
    <row r="776" spans="2:8" x14ac:dyDescent="0.35">
      <c r="B776" s="6"/>
      <c r="C776" s="7"/>
      <c r="D776" s="35"/>
      <c r="E776" s="35"/>
      <c r="F776" s="35"/>
      <c r="G776" s="35"/>
      <c r="H776" s="35"/>
    </row>
    <row r="777" spans="2:8" x14ac:dyDescent="0.35">
      <c r="B777" s="6"/>
      <c r="C777" s="7"/>
      <c r="D777" s="35"/>
      <c r="E777" s="35"/>
      <c r="F777" s="35"/>
      <c r="G777" s="35"/>
      <c r="H777" s="35"/>
    </row>
    <row r="778" spans="2:8" x14ac:dyDescent="0.35">
      <c r="B778" s="6"/>
      <c r="C778" s="7"/>
      <c r="D778" s="35"/>
      <c r="E778" s="35"/>
      <c r="F778" s="35"/>
      <c r="G778" s="35"/>
      <c r="H778" s="35"/>
    </row>
    <row r="779" spans="2:8" x14ac:dyDescent="0.35">
      <c r="B779" s="6"/>
      <c r="C779" s="7"/>
      <c r="D779" s="35"/>
      <c r="E779" s="35"/>
      <c r="F779" s="35"/>
      <c r="G779" s="35"/>
      <c r="H779" s="35"/>
    </row>
    <row r="780" spans="2:8" x14ac:dyDescent="0.35">
      <c r="B780" s="6"/>
      <c r="C780" s="7"/>
      <c r="D780" s="35"/>
      <c r="E780" s="35"/>
      <c r="F780" s="35"/>
      <c r="G780" s="35"/>
      <c r="H780" s="35"/>
    </row>
    <row r="781" spans="2:8" x14ac:dyDescent="0.35">
      <c r="B781" s="6"/>
      <c r="C781" s="7"/>
      <c r="D781" s="35"/>
      <c r="E781" s="35"/>
      <c r="F781" s="35"/>
      <c r="G781" s="35"/>
      <c r="H781" s="35"/>
    </row>
    <row r="782" spans="2:8" x14ac:dyDescent="0.35">
      <c r="B782" s="6"/>
      <c r="C782" s="7"/>
      <c r="D782" s="35"/>
      <c r="E782" s="35"/>
      <c r="F782" s="35"/>
      <c r="G782" s="35"/>
      <c r="H782" s="35"/>
    </row>
    <row r="783" spans="2:8" x14ac:dyDescent="0.35">
      <c r="B783" s="6"/>
      <c r="C783" s="7"/>
      <c r="D783" s="35"/>
      <c r="E783" s="35"/>
      <c r="F783" s="35"/>
      <c r="G783" s="35"/>
      <c r="H783" s="35"/>
    </row>
    <row r="784" spans="2:8" x14ac:dyDescent="0.35">
      <c r="B784" s="6"/>
      <c r="C784" s="7"/>
      <c r="D784" s="35"/>
      <c r="E784" s="35"/>
      <c r="F784" s="35"/>
      <c r="G784" s="35"/>
      <c r="H784" s="35"/>
    </row>
    <row r="785" spans="2:8" x14ac:dyDescent="0.35">
      <c r="B785" s="6"/>
      <c r="C785" s="7"/>
      <c r="D785" s="35"/>
      <c r="E785" s="35"/>
      <c r="F785" s="35"/>
      <c r="G785" s="35"/>
      <c r="H785" s="35"/>
    </row>
    <row r="786" spans="2:8" x14ac:dyDescent="0.35">
      <c r="B786" s="6"/>
      <c r="C786" s="7"/>
      <c r="D786" s="35"/>
      <c r="E786" s="35"/>
      <c r="F786" s="35"/>
      <c r="G786" s="35"/>
      <c r="H786" s="35"/>
    </row>
    <row r="787" spans="2:8" x14ac:dyDescent="0.35">
      <c r="B787" s="6"/>
      <c r="C787" s="7"/>
      <c r="D787" s="35"/>
      <c r="E787" s="35"/>
      <c r="F787" s="35"/>
      <c r="G787" s="35"/>
      <c r="H787" s="35"/>
    </row>
    <row r="788" spans="2:8" x14ac:dyDescent="0.35">
      <c r="B788" s="6"/>
      <c r="C788" s="7"/>
      <c r="D788" s="35"/>
      <c r="E788" s="35"/>
      <c r="F788" s="35"/>
      <c r="G788" s="35"/>
      <c r="H788" s="35"/>
    </row>
    <row r="789" spans="2:8" x14ac:dyDescent="0.35">
      <c r="B789" s="6"/>
      <c r="C789" s="7"/>
      <c r="D789" s="35"/>
      <c r="E789" s="35"/>
      <c r="F789" s="35"/>
      <c r="G789" s="35"/>
      <c r="H789" s="35"/>
    </row>
    <row r="790" spans="2:8" x14ac:dyDescent="0.35">
      <c r="B790" s="6"/>
      <c r="C790" s="7"/>
      <c r="D790" s="35"/>
      <c r="E790" s="35"/>
      <c r="F790" s="35"/>
      <c r="G790" s="35"/>
      <c r="H790" s="35"/>
    </row>
    <row r="791" spans="2:8" x14ac:dyDescent="0.35">
      <c r="B791" s="6"/>
      <c r="C791" s="7"/>
      <c r="D791" s="35"/>
      <c r="E791" s="35"/>
      <c r="F791" s="35"/>
      <c r="G791" s="35"/>
      <c r="H791" s="35"/>
    </row>
    <row r="792" spans="2:8" x14ac:dyDescent="0.35">
      <c r="B792" s="6"/>
      <c r="C792" s="7"/>
      <c r="D792" s="35"/>
      <c r="E792" s="35"/>
      <c r="F792" s="35"/>
      <c r="G792" s="35"/>
      <c r="H792" s="35"/>
    </row>
    <row r="793" spans="2:8" x14ac:dyDescent="0.35">
      <c r="B793" s="6"/>
      <c r="C793" s="7"/>
      <c r="D793" s="35"/>
      <c r="E793" s="35"/>
      <c r="F793" s="35"/>
      <c r="G793" s="35"/>
      <c r="H793" s="35"/>
    </row>
    <row r="794" spans="2:8" x14ac:dyDescent="0.35">
      <c r="B794" s="6"/>
      <c r="C794" s="7"/>
      <c r="D794" s="35"/>
      <c r="E794" s="35"/>
      <c r="F794" s="35"/>
      <c r="G794" s="35"/>
      <c r="H794" s="35"/>
    </row>
    <row r="795" spans="2:8" x14ac:dyDescent="0.35">
      <c r="B795" s="6"/>
      <c r="C795" s="7"/>
      <c r="D795" s="35"/>
      <c r="E795" s="35"/>
      <c r="F795" s="35"/>
      <c r="G795" s="35"/>
      <c r="H795" s="35"/>
    </row>
    <row r="796" spans="2:8" x14ac:dyDescent="0.35">
      <c r="B796" s="6"/>
      <c r="C796" s="7"/>
      <c r="D796" s="35"/>
      <c r="E796" s="35"/>
      <c r="F796" s="35"/>
      <c r="G796" s="35"/>
      <c r="H796" s="35"/>
    </row>
    <row r="797" spans="2:8" x14ac:dyDescent="0.35">
      <c r="B797" s="6"/>
      <c r="C797" s="7"/>
      <c r="D797" s="35"/>
      <c r="E797" s="35"/>
      <c r="F797" s="35"/>
      <c r="G797" s="35"/>
      <c r="H797" s="35"/>
    </row>
    <row r="798" spans="2:8" x14ac:dyDescent="0.35">
      <c r="B798" s="6"/>
      <c r="C798" s="7"/>
      <c r="D798" s="35"/>
      <c r="E798" s="35"/>
      <c r="F798" s="35"/>
      <c r="G798" s="35"/>
      <c r="H798" s="35"/>
    </row>
    <row r="799" spans="2:8" x14ac:dyDescent="0.35">
      <c r="B799" s="6"/>
      <c r="C799" s="7"/>
      <c r="D799" s="35"/>
      <c r="E799" s="35"/>
      <c r="F799" s="35"/>
      <c r="G799" s="35"/>
      <c r="H799" s="35"/>
    </row>
    <row r="800" spans="2:8" x14ac:dyDescent="0.35">
      <c r="B800" s="6"/>
      <c r="C800" s="7"/>
      <c r="D800" s="35"/>
      <c r="E800" s="35"/>
      <c r="F800" s="35"/>
      <c r="G800" s="35"/>
      <c r="H800" s="35"/>
    </row>
    <row r="801" spans="2:8" x14ac:dyDescent="0.35">
      <c r="B801" s="6"/>
      <c r="C801" s="7"/>
      <c r="D801" s="35"/>
      <c r="E801" s="35"/>
      <c r="F801" s="35"/>
      <c r="G801" s="35"/>
      <c r="H801" s="35"/>
    </row>
    <row r="802" spans="2:8" x14ac:dyDescent="0.35">
      <c r="B802" s="6"/>
      <c r="C802" s="7"/>
      <c r="D802" s="35"/>
      <c r="E802" s="35"/>
      <c r="F802" s="35"/>
      <c r="G802" s="35"/>
      <c r="H802" s="35"/>
    </row>
    <row r="803" spans="2:8" x14ac:dyDescent="0.35">
      <c r="B803" s="6"/>
      <c r="C803" s="7"/>
      <c r="D803" s="35"/>
      <c r="E803" s="35"/>
      <c r="F803" s="35"/>
      <c r="G803" s="35"/>
      <c r="H803" s="35"/>
    </row>
    <row r="804" spans="2:8" x14ac:dyDescent="0.35">
      <c r="B804" s="6"/>
      <c r="C804" s="7"/>
      <c r="D804" s="35"/>
      <c r="E804" s="35"/>
      <c r="F804" s="35"/>
      <c r="G804" s="35"/>
      <c r="H804" s="35"/>
    </row>
    <row r="805" spans="2:8" x14ac:dyDescent="0.35">
      <c r="B805" s="6"/>
      <c r="C805" s="7"/>
      <c r="D805" s="35"/>
      <c r="E805" s="35"/>
      <c r="F805" s="35"/>
      <c r="G805" s="35"/>
      <c r="H805" s="35"/>
    </row>
    <row r="806" spans="2:8" x14ac:dyDescent="0.35">
      <c r="B806" s="6"/>
      <c r="C806" s="7"/>
      <c r="D806" s="35"/>
      <c r="E806" s="35"/>
      <c r="F806" s="35"/>
      <c r="G806" s="35"/>
      <c r="H806" s="35"/>
    </row>
    <row r="807" spans="2:8" x14ac:dyDescent="0.35">
      <c r="B807" s="6"/>
      <c r="C807" s="7"/>
      <c r="D807" s="35"/>
      <c r="E807" s="35"/>
      <c r="F807" s="35"/>
      <c r="G807" s="35"/>
      <c r="H807" s="35"/>
    </row>
    <row r="808" spans="2:8" x14ac:dyDescent="0.35">
      <c r="B808" s="6"/>
      <c r="C808" s="7"/>
      <c r="D808" s="35"/>
      <c r="E808" s="35"/>
      <c r="F808" s="35"/>
      <c r="G808" s="35"/>
      <c r="H808" s="35"/>
    </row>
    <row r="809" spans="2:8" x14ac:dyDescent="0.35">
      <c r="B809" s="6"/>
      <c r="C809" s="7"/>
      <c r="D809" s="35"/>
      <c r="E809" s="35"/>
      <c r="F809" s="35"/>
      <c r="G809" s="35"/>
      <c r="H809" s="35"/>
    </row>
    <row r="810" spans="2:8" x14ac:dyDescent="0.35">
      <c r="B810" s="6"/>
      <c r="C810" s="7"/>
      <c r="D810" s="35"/>
      <c r="E810" s="35"/>
      <c r="F810" s="35"/>
      <c r="G810" s="35"/>
      <c r="H810" s="35"/>
    </row>
    <row r="811" spans="2:8" x14ac:dyDescent="0.35">
      <c r="B811" s="6"/>
      <c r="C811" s="7"/>
      <c r="D811" s="35"/>
      <c r="E811" s="35"/>
      <c r="F811" s="35"/>
      <c r="G811" s="35"/>
      <c r="H811" s="35"/>
    </row>
    <row r="812" spans="2:8" x14ac:dyDescent="0.35">
      <c r="B812" s="6"/>
      <c r="C812" s="7"/>
      <c r="D812" s="35"/>
      <c r="E812" s="35"/>
      <c r="F812" s="35"/>
      <c r="G812" s="35"/>
      <c r="H812" s="35"/>
    </row>
    <row r="813" spans="2:8" x14ac:dyDescent="0.35">
      <c r="B813" s="6"/>
      <c r="C813" s="7"/>
      <c r="D813" s="35"/>
      <c r="E813" s="35"/>
      <c r="F813" s="35"/>
      <c r="G813" s="35"/>
      <c r="H813" s="35"/>
    </row>
    <row r="814" spans="2:8" x14ac:dyDescent="0.35">
      <c r="B814" s="6"/>
      <c r="C814" s="7"/>
      <c r="D814" s="35"/>
      <c r="E814" s="35"/>
      <c r="F814" s="35"/>
      <c r="G814" s="35"/>
      <c r="H814" s="35"/>
    </row>
    <row r="815" spans="2:8" x14ac:dyDescent="0.35">
      <c r="B815" s="6"/>
      <c r="C815" s="7"/>
      <c r="D815" s="35"/>
      <c r="E815" s="35"/>
      <c r="F815" s="35"/>
      <c r="G815" s="35"/>
      <c r="H815" s="35"/>
    </row>
    <row r="816" spans="2:8" x14ac:dyDescent="0.35">
      <c r="B816" s="6"/>
      <c r="C816" s="7"/>
      <c r="D816" s="35"/>
      <c r="E816" s="35"/>
      <c r="F816" s="35"/>
      <c r="G816" s="35"/>
      <c r="H816" s="35"/>
    </row>
    <row r="817" spans="2:8" x14ac:dyDescent="0.35">
      <c r="B817" s="6"/>
      <c r="C817" s="7"/>
      <c r="D817" s="35"/>
      <c r="E817" s="35"/>
      <c r="F817" s="35"/>
      <c r="G817" s="35"/>
      <c r="H817" s="35"/>
    </row>
    <row r="818" spans="2:8" x14ac:dyDescent="0.35">
      <c r="B818" s="6"/>
      <c r="C818" s="7"/>
      <c r="D818" s="35"/>
      <c r="E818" s="35"/>
      <c r="F818" s="35"/>
      <c r="G818" s="35"/>
      <c r="H818" s="35"/>
    </row>
    <row r="819" spans="2:8" x14ac:dyDescent="0.35">
      <c r="B819" s="6"/>
      <c r="C819" s="7"/>
      <c r="D819" s="35"/>
      <c r="E819" s="35"/>
      <c r="F819" s="35"/>
      <c r="G819" s="35"/>
      <c r="H819" s="35"/>
    </row>
    <row r="820" spans="2:8" x14ac:dyDescent="0.35">
      <c r="B820" s="6"/>
      <c r="C820" s="7"/>
      <c r="D820" s="35"/>
      <c r="E820" s="35"/>
      <c r="F820" s="35"/>
      <c r="G820" s="35"/>
      <c r="H820" s="35"/>
    </row>
    <row r="821" spans="2:8" x14ac:dyDescent="0.35">
      <c r="B821" s="6"/>
      <c r="C821" s="7"/>
      <c r="D821" s="35"/>
      <c r="E821" s="35"/>
      <c r="F821" s="35"/>
      <c r="G821" s="35"/>
      <c r="H821" s="35"/>
    </row>
    <row r="822" spans="2:8" x14ac:dyDescent="0.35">
      <c r="B822" s="6"/>
      <c r="C822" s="7"/>
      <c r="D822" s="35"/>
      <c r="E822" s="35"/>
      <c r="F822" s="35"/>
      <c r="G822" s="35"/>
      <c r="H822" s="35"/>
    </row>
    <row r="823" spans="2:8" x14ac:dyDescent="0.35">
      <c r="B823" s="6"/>
      <c r="C823" s="7"/>
      <c r="D823" s="35"/>
      <c r="E823" s="35"/>
      <c r="F823" s="35"/>
      <c r="G823" s="35"/>
      <c r="H823" s="35"/>
    </row>
    <row r="824" spans="2:8" x14ac:dyDescent="0.35">
      <c r="B824" s="6"/>
      <c r="C824" s="7"/>
      <c r="D824" s="35"/>
      <c r="E824" s="35"/>
      <c r="F824" s="35"/>
      <c r="G824" s="35"/>
      <c r="H824" s="35"/>
    </row>
    <row r="825" spans="2:8" x14ac:dyDescent="0.35">
      <c r="B825" s="6"/>
      <c r="C825" s="7"/>
      <c r="D825" s="35"/>
      <c r="E825" s="35"/>
      <c r="F825" s="35"/>
      <c r="G825" s="35"/>
      <c r="H825" s="35"/>
    </row>
    <row r="826" spans="2:8" x14ac:dyDescent="0.35">
      <c r="B826" s="6"/>
      <c r="C826" s="7"/>
      <c r="D826" s="35"/>
      <c r="E826" s="35"/>
      <c r="F826" s="35"/>
      <c r="G826" s="35"/>
      <c r="H826" s="35"/>
    </row>
    <row r="827" spans="2:8" x14ac:dyDescent="0.35">
      <c r="B827" s="6"/>
      <c r="C827" s="7"/>
      <c r="D827" s="35"/>
      <c r="E827" s="35"/>
      <c r="F827" s="35"/>
      <c r="G827" s="35"/>
      <c r="H827" s="35"/>
    </row>
    <row r="828" spans="2:8" x14ac:dyDescent="0.35">
      <c r="B828" s="6"/>
      <c r="C828" s="7"/>
      <c r="D828" s="35"/>
      <c r="E828" s="35"/>
      <c r="F828" s="35"/>
      <c r="G828" s="35"/>
      <c r="H828" s="35"/>
    </row>
    <row r="829" spans="2:8" x14ac:dyDescent="0.35">
      <c r="B829" s="6"/>
      <c r="C829" s="7"/>
      <c r="D829" s="35"/>
      <c r="E829" s="35"/>
      <c r="F829" s="35"/>
      <c r="G829" s="35"/>
      <c r="H829" s="35"/>
    </row>
    <row r="830" spans="2:8" x14ac:dyDescent="0.35">
      <c r="B830" s="6"/>
      <c r="C830" s="7"/>
      <c r="D830" s="35"/>
      <c r="E830" s="35"/>
      <c r="F830" s="35"/>
      <c r="G830" s="35"/>
      <c r="H830" s="35"/>
    </row>
    <row r="831" spans="2:8" x14ac:dyDescent="0.35">
      <c r="B831" s="6"/>
      <c r="C831" s="7"/>
      <c r="D831" s="35"/>
      <c r="E831" s="35"/>
      <c r="F831" s="35"/>
      <c r="G831" s="35"/>
      <c r="H831" s="35"/>
    </row>
    <row r="832" spans="2:8" x14ac:dyDescent="0.35">
      <c r="B832" s="6"/>
      <c r="C832" s="7"/>
      <c r="D832" s="35"/>
      <c r="E832" s="35"/>
      <c r="F832" s="35"/>
      <c r="G832" s="35"/>
      <c r="H832" s="35"/>
    </row>
    <row r="833" spans="2:8" x14ac:dyDescent="0.35">
      <c r="B833" s="6"/>
      <c r="C833" s="7"/>
      <c r="D833" s="35"/>
      <c r="E833" s="35"/>
      <c r="F833" s="35"/>
      <c r="G833" s="35"/>
      <c r="H833" s="35"/>
    </row>
    <row r="834" spans="2:8" x14ac:dyDescent="0.35">
      <c r="B834" s="6"/>
      <c r="C834" s="7"/>
      <c r="D834" s="35"/>
      <c r="E834" s="35"/>
      <c r="F834" s="35"/>
      <c r="G834" s="35"/>
      <c r="H834" s="35"/>
    </row>
    <row r="835" spans="2:8" x14ac:dyDescent="0.35">
      <c r="B835" s="6"/>
      <c r="C835" s="7"/>
      <c r="D835" s="35"/>
      <c r="E835" s="35"/>
      <c r="F835" s="35"/>
      <c r="G835" s="35"/>
      <c r="H835" s="35"/>
    </row>
    <row r="836" spans="2:8" x14ac:dyDescent="0.35">
      <c r="B836" s="6"/>
      <c r="C836" s="7"/>
      <c r="D836" s="35"/>
      <c r="E836" s="35"/>
      <c r="F836" s="35"/>
      <c r="G836" s="35"/>
      <c r="H836" s="35"/>
    </row>
    <row r="837" spans="2:8" x14ac:dyDescent="0.35">
      <c r="B837" s="6"/>
      <c r="C837" s="7"/>
      <c r="D837" s="35"/>
      <c r="E837" s="35"/>
      <c r="F837" s="35"/>
      <c r="G837" s="35"/>
      <c r="H837" s="35"/>
    </row>
    <row r="838" spans="2:8" x14ac:dyDescent="0.35">
      <c r="B838" s="6"/>
      <c r="C838" s="7"/>
      <c r="D838" s="35"/>
      <c r="E838" s="35"/>
      <c r="F838" s="35"/>
      <c r="G838" s="35"/>
      <c r="H838" s="35"/>
    </row>
    <row r="839" spans="2:8" x14ac:dyDescent="0.35">
      <c r="B839" s="6"/>
      <c r="C839" s="7"/>
      <c r="D839" s="35"/>
      <c r="E839" s="35"/>
      <c r="F839" s="35"/>
      <c r="G839" s="35"/>
      <c r="H839" s="35"/>
    </row>
    <row r="840" spans="2:8" x14ac:dyDescent="0.35">
      <c r="B840" s="6"/>
      <c r="C840" s="7"/>
      <c r="D840" s="35"/>
      <c r="E840" s="35"/>
      <c r="F840" s="35"/>
      <c r="G840" s="35"/>
      <c r="H840" s="35"/>
    </row>
    <row r="841" spans="2:8" x14ac:dyDescent="0.35">
      <c r="B841" s="6"/>
      <c r="C841" s="7"/>
      <c r="D841" s="35"/>
      <c r="E841" s="35"/>
      <c r="F841" s="35"/>
      <c r="G841" s="35"/>
      <c r="H841" s="35"/>
    </row>
    <row r="842" spans="2:8" x14ac:dyDescent="0.35">
      <c r="B842" s="6"/>
      <c r="C842" s="7"/>
      <c r="D842" s="35"/>
      <c r="E842" s="35"/>
      <c r="F842" s="35"/>
      <c r="G842" s="35"/>
      <c r="H842" s="35"/>
    </row>
    <row r="843" spans="2:8" x14ac:dyDescent="0.35">
      <c r="B843" s="6"/>
      <c r="C843" s="7"/>
      <c r="D843" s="35"/>
      <c r="E843" s="35"/>
      <c r="F843" s="35"/>
      <c r="G843" s="35"/>
      <c r="H843" s="35"/>
    </row>
    <row r="844" spans="2:8" x14ac:dyDescent="0.35">
      <c r="B844" s="6"/>
      <c r="C844" s="7"/>
      <c r="D844" s="35"/>
      <c r="E844" s="35"/>
      <c r="F844" s="35"/>
      <c r="G844" s="35"/>
      <c r="H844" s="35"/>
    </row>
    <row r="845" spans="2:8" x14ac:dyDescent="0.35">
      <c r="B845" s="6"/>
      <c r="C845" s="7"/>
      <c r="D845" s="35"/>
      <c r="E845" s="35"/>
      <c r="F845" s="35"/>
      <c r="G845" s="35"/>
      <c r="H845" s="35"/>
    </row>
    <row r="846" spans="2:8" x14ac:dyDescent="0.35">
      <c r="B846" s="6"/>
      <c r="C846" s="7"/>
      <c r="D846" s="35"/>
      <c r="E846" s="35"/>
      <c r="F846" s="35"/>
      <c r="G846" s="35"/>
      <c r="H846" s="35"/>
    </row>
    <row r="847" spans="2:8" x14ac:dyDescent="0.35">
      <c r="B847" s="6"/>
      <c r="C847" s="7"/>
      <c r="D847" s="35"/>
      <c r="E847" s="35"/>
      <c r="F847" s="35"/>
      <c r="G847" s="35"/>
      <c r="H847" s="35"/>
    </row>
    <row r="848" spans="2:8" x14ac:dyDescent="0.35">
      <c r="B848" s="6"/>
      <c r="C848" s="7"/>
      <c r="D848" s="35"/>
      <c r="E848" s="35"/>
      <c r="F848" s="35"/>
      <c r="G848" s="35"/>
      <c r="H848" s="35"/>
    </row>
    <row r="849" spans="2:8" x14ac:dyDescent="0.35">
      <c r="B849" s="6"/>
      <c r="C849" s="7"/>
      <c r="D849" s="35"/>
      <c r="E849" s="35"/>
      <c r="F849" s="35"/>
      <c r="G849" s="35"/>
      <c r="H849" s="35"/>
    </row>
    <row r="850" spans="2:8" x14ac:dyDescent="0.35">
      <c r="B850" s="6"/>
      <c r="C850" s="7"/>
      <c r="D850" s="35"/>
      <c r="E850" s="35"/>
      <c r="F850" s="35"/>
      <c r="G850" s="35"/>
      <c r="H850" s="35"/>
    </row>
    <row r="851" spans="2:8" x14ac:dyDescent="0.35">
      <c r="B851" s="6"/>
      <c r="C851" s="7"/>
      <c r="D851" s="35"/>
      <c r="E851" s="35"/>
      <c r="F851" s="35"/>
      <c r="G851" s="35"/>
      <c r="H851" s="35"/>
    </row>
    <row r="852" spans="2:8" x14ac:dyDescent="0.35">
      <c r="B852" s="6"/>
      <c r="C852" s="7"/>
      <c r="D852" s="35"/>
      <c r="E852" s="35"/>
      <c r="F852" s="35"/>
      <c r="G852" s="35"/>
      <c r="H852" s="35"/>
    </row>
    <row r="853" spans="2:8" x14ac:dyDescent="0.35">
      <c r="B853" s="6"/>
      <c r="C853" s="7"/>
      <c r="D853" s="35"/>
      <c r="E853" s="35"/>
      <c r="F853" s="35"/>
      <c r="G853" s="35"/>
      <c r="H853" s="35"/>
    </row>
    <row r="854" spans="2:8" x14ac:dyDescent="0.35">
      <c r="B854" s="6"/>
      <c r="C854" s="7"/>
      <c r="D854" s="35"/>
      <c r="E854" s="35"/>
      <c r="F854" s="35"/>
      <c r="G854" s="35"/>
      <c r="H854" s="35"/>
    </row>
    <row r="855" spans="2:8" x14ac:dyDescent="0.35">
      <c r="B855" s="6"/>
      <c r="C855" s="7"/>
      <c r="D855" s="35"/>
      <c r="E855" s="35"/>
      <c r="F855" s="35"/>
      <c r="G855" s="35"/>
      <c r="H855" s="35"/>
    </row>
    <row r="856" spans="2:8" x14ac:dyDescent="0.35">
      <c r="B856" s="6"/>
      <c r="C856" s="7"/>
      <c r="D856" s="35"/>
      <c r="E856" s="35"/>
      <c r="F856" s="35"/>
      <c r="G856" s="35"/>
      <c r="H856" s="35"/>
    </row>
    <row r="857" spans="2:8" x14ac:dyDescent="0.35">
      <c r="B857" s="6"/>
      <c r="C857" s="7"/>
      <c r="D857" s="35"/>
      <c r="E857" s="35"/>
      <c r="F857" s="35"/>
      <c r="G857" s="35"/>
      <c r="H857" s="35"/>
    </row>
    <row r="858" spans="2:8" x14ac:dyDescent="0.35">
      <c r="B858" s="6"/>
      <c r="C858" s="7"/>
      <c r="D858" s="35"/>
      <c r="E858" s="35"/>
      <c r="F858" s="35"/>
      <c r="G858" s="35"/>
      <c r="H858" s="35"/>
    </row>
    <row r="859" spans="2:8" x14ac:dyDescent="0.35">
      <c r="B859" s="6"/>
      <c r="C859" s="7"/>
      <c r="D859" s="35"/>
      <c r="E859" s="35"/>
      <c r="F859" s="35"/>
      <c r="G859" s="35"/>
      <c r="H859" s="35"/>
    </row>
    <row r="860" spans="2:8" x14ac:dyDescent="0.35">
      <c r="B860" s="6"/>
      <c r="C860" s="7"/>
      <c r="D860" s="35"/>
      <c r="E860" s="35"/>
      <c r="F860" s="35"/>
      <c r="G860" s="35"/>
      <c r="H860" s="35"/>
    </row>
    <row r="861" spans="2:8" x14ac:dyDescent="0.35">
      <c r="B861" s="6"/>
      <c r="C861" s="7"/>
      <c r="D861" s="35"/>
      <c r="E861" s="35"/>
      <c r="F861" s="35"/>
      <c r="G861" s="35"/>
      <c r="H861" s="35"/>
    </row>
    <row r="862" spans="2:8" x14ac:dyDescent="0.35">
      <c r="B862" s="6"/>
      <c r="C862" s="7"/>
      <c r="D862" s="35"/>
      <c r="E862" s="35"/>
      <c r="F862" s="35"/>
      <c r="G862" s="35"/>
      <c r="H862" s="35"/>
    </row>
    <row r="863" spans="2:8" x14ac:dyDescent="0.35">
      <c r="B863" s="6"/>
      <c r="C863" s="7"/>
      <c r="D863" s="35"/>
      <c r="E863" s="35"/>
      <c r="F863" s="35"/>
      <c r="G863" s="35"/>
      <c r="H863" s="35"/>
    </row>
    <row r="864" spans="2:8" x14ac:dyDescent="0.35">
      <c r="B864" s="6"/>
      <c r="C864" s="7"/>
      <c r="D864" s="35"/>
      <c r="E864" s="35"/>
      <c r="F864" s="35"/>
      <c r="G864" s="35"/>
      <c r="H864" s="35"/>
    </row>
    <row r="865" spans="2:8" x14ac:dyDescent="0.35">
      <c r="B865" s="6"/>
      <c r="C865" s="7"/>
      <c r="D865" s="35"/>
      <c r="E865" s="35"/>
      <c r="F865" s="35"/>
      <c r="G865" s="35"/>
      <c r="H865" s="35"/>
    </row>
    <row r="866" spans="2:8" x14ac:dyDescent="0.35">
      <c r="B866" s="6"/>
      <c r="C866" s="7"/>
      <c r="D866" s="35"/>
      <c r="E866" s="35"/>
      <c r="F866" s="35"/>
      <c r="G866" s="35"/>
      <c r="H866" s="35"/>
    </row>
    <row r="867" spans="2:8" x14ac:dyDescent="0.35">
      <c r="B867" s="6"/>
      <c r="C867" s="7"/>
      <c r="D867" s="35"/>
      <c r="E867" s="35"/>
      <c r="F867" s="35"/>
      <c r="G867" s="35"/>
      <c r="H867" s="35"/>
    </row>
    <row r="868" spans="2:8" x14ac:dyDescent="0.35">
      <c r="B868" s="6"/>
      <c r="C868" s="7"/>
      <c r="D868" s="35"/>
      <c r="E868" s="35"/>
      <c r="F868" s="35"/>
      <c r="G868" s="35"/>
      <c r="H868" s="35"/>
    </row>
    <row r="869" spans="2:8" x14ac:dyDescent="0.35">
      <c r="B869" s="6"/>
      <c r="C869" s="7"/>
      <c r="D869" s="35"/>
      <c r="E869" s="35"/>
      <c r="F869" s="35"/>
      <c r="G869" s="35"/>
      <c r="H869" s="35"/>
    </row>
    <row r="870" spans="2:8" x14ac:dyDescent="0.35">
      <c r="B870" s="6"/>
      <c r="C870" s="7"/>
      <c r="D870" s="35"/>
      <c r="E870" s="35"/>
      <c r="F870" s="35"/>
      <c r="G870" s="35"/>
      <c r="H870" s="35"/>
    </row>
    <row r="871" spans="2:8" x14ac:dyDescent="0.35">
      <c r="B871" s="6"/>
      <c r="C871" s="7"/>
      <c r="D871" s="35"/>
      <c r="E871" s="35"/>
      <c r="F871" s="35"/>
      <c r="G871" s="35"/>
      <c r="H871" s="35"/>
    </row>
    <row r="872" spans="2:8" x14ac:dyDescent="0.35">
      <c r="B872" s="6"/>
      <c r="C872" s="7"/>
      <c r="D872" s="35"/>
      <c r="E872" s="35"/>
      <c r="F872" s="35"/>
      <c r="G872" s="35"/>
      <c r="H872" s="35"/>
    </row>
    <row r="873" spans="2:8" x14ac:dyDescent="0.35">
      <c r="B873" s="6"/>
      <c r="C873" s="7"/>
      <c r="D873" s="35"/>
      <c r="E873" s="35"/>
      <c r="F873" s="35"/>
      <c r="G873" s="35"/>
      <c r="H873" s="35"/>
    </row>
    <row r="874" spans="2:8" x14ac:dyDescent="0.35">
      <c r="B874" s="6"/>
      <c r="C874" s="7"/>
      <c r="D874" s="35"/>
      <c r="E874" s="35"/>
      <c r="F874" s="35"/>
      <c r="G874" s="35"/>
      <c r="H874" s="35"/>
    </row>
    <row r="875" spans="2:8" x14ac:dyDescent="0.35">
      <c r="B875" s="6"/>
      <c r="C875" s="7"/>
      <c r="D875" s="35"/>
      <c r="E875" s="35"/>
      <c r="F875" s="35"/>
      <c r="G875" s="35"/>
      <c r="H875" s="35"/>
    </row>
    <row r="876" spans="2:8" x14ac:dyDescent="0.35">
      <c r="B876" s="6"/>
      <c r="C876" s="7"/>
      <c r="D876" s="35"/>
      <c r="E876" s="35"/>
      <c r="F876" s="35"/>
      <c r="G876" s="35"/>
      <c r="H876" s="35"/>
    </row>
    <row r="877" spans="2:8" x14ac:dyDescent="0.35">
      <c r="B877" s="6"/>
      <c r="C877" s="7"/>
      <c r="D877" s="35"/>
      <c r="E877" s="35"/>
      <c r="F877" s="35"/>
      <c r="G877" s="35"/>
      <c r="H877" s="35"/>
    </row>
    <row r="878" spans="2:8" x14ac:dyDescent="0.35">
      <c r="B878" s="6"/>
      <c r="C878" s="7"/>
      <c r="D878" s="35"/>
      <c r="E878" s="35"/>
      <c r="F878" s="35"/>
      <c r="G878" s="35"/>
      <c r="H878" s="35"/>
    </row>
    <row r="879" spans="2:8" x14ac:dyDescent="0.35">
      <c r="B879" s="6"/>
      <c r="C879" s="7"/>
      <c r="D879" s="35"/>
      <c r="E879" s="35"/>
      <c r="F879" s="35"/>
      <c r="G879" s="35"/>
      <c r="H879" s="35"/>
    </row>
    <row r="880" spans="2:8" x14ac:dyDescent="0.35">
      <c r="B880" s="6"/>
      <c r="C880" s="7"/>
      <c r="D880" s="35"/>
      <c r="E880" s="35"/>
      <c r="F880" s="35"/>
      <c r="G880" s="35"/>
      <c r="H880" s="35"/>
    </row>
    <row r="881" spans="2:8" x14ac:dyDescent="0.35">
      <c r="B881" s="6"/>
      <c r="C881" s="7"/>
      <c r="D881" s="35"/>
      <c r="E881" s="35"/>
      <c r="F881" s="35"/>
      <c r="G881" s="35"/>
      <c r="H881" s="35"/>
    </row>
    <row r="882" spans="2:8" x14ac:dyDescent="0.35">
      <c r="B882" s="6"/>
      <c r="C882" s="7"/>
      <c r="D882" s="35"/>
      <c r="E882" s="35"/>
      <c r="F882" s="35"/>
      <c r="G882" s="35"/>
      <c r="H882" s="35"/>
    </row>
    <row r="883" spans="2:8" x14ac:dyDescent="0.35">
      <c r="B883" s="6"/>
      <c r="C883" s="7"/>
      <c r="D883" s="35"/>
      <c r="E883" s="35"/>
      <c r="F883" s="35"/>
      <c r="G883" s="35"/>
      <c r="H883" s="35"/>
    </row>
    <row r="884" spans="2:8" x14ac:dyDescent="0.35">
      <c r="B884" s="6"/>
      <c r="C884" s="7"/>
      <c r="D884" s="35"/>
      <c r="E884" s="35"/>
      <c r="F884" s="35"/>
      <c r="G884" s="35"/>
      <c r="H884" s="35"/>
    </row>
    <row r="885" spans="2:8" x14ac:dyDescent="0.35">
      <c r="B885" s="6"/>
      <c r="C885" s="7"/>
      <c r="D885" s="35"/>
      <c r="E885" s="35"/>
      <c r="F885" s="35"/>
      <c r="G885" s="35"/>
      <c r="H885" s="35"/>
    </row>
    <row r="886" spans="2:8" x14ac:dyDescent="0.35">
      <c r="B886" s="6"/>
      <c r="C886" s="7"/>
      <c r="D886" s="35"/>
      <c r="E886" s="35"/>
      <c r="F886" s="35"/>
      <c r="G886" s="35"/>
      <c r="H886" s="35"/>
    </row>
    <row r="887" spans="2:8" x14ac:dyDescent="0.35">
      <c r="B887" s="6"/>
      <c r="C887" s="7"/>
      <c r="D887" s="35"/>
      <c r="E887" s="35"/>
      <c r="F887" s="35"/>
      <c r="G887" s="35"/>
      <c r="H887" s="35"/>
    </row>
    <row r="888" spans="2:8" x14ac:dyDescent="0.35">
      <c r="B888" s="6"/>
      <c r="C888" s="7"/>
      <c r="D888" s="35"/>
      <c r="E888" s="35"/>
      <c r="F888" s="35"/>
      <c r="G888" s="35"/>
      <c r="H888" s="35"/>
    </row>
    <row r="889" spans="2:8" x14ac:dyDescent="0.35">
      <c r="B889" s="6"/>
      <c r="C889" s="7"/>
      <c r="D889" s="35"/>
      <c r="E889" s="35"/>
      <c r="F889" s="35"/>
      <c r="G889" s="35"/>
      <c r="H889" s="35"/>
    </row>
    <row r="890" spans="2:8" x14ac:dyDescent="0.35">
      <c r="B890" s="6"/>
      <c r="C890" s="7"/>
      <c r="D890" s="35"/>
      <c r="E890" s="35"/>
      <c r="F890" s="35"/>
      <c r="G890" s="35"/>
      <c r="H890" s="35"/>
    </row>
    <row r="891" spans="2:8" x14ac:dyDescent="0.35">
      <c r="B891" s="6"/>
      <c r="C891" s="7"/>
      <c r="D891" s="35"/>
      <c r="E891" s="35"/>
      <c r="F891" s="35"/>
      <c r="G891" s="35"/>
      <c r="H891" s="35"/>
    </row>
    <row r="892" spans="2:8" x14ac:dyDescent="0.35">
      <c r="B892" s="6"/>
      <c r="C892" s="7"/>
      <c r="D892" s="35"/>
      <c r="E892" s="35"/>
      <c r="F892" s="35"/>
      <c r="G892" s="35"/>
      <c r="H892" s="35"/>
    </row>
    <row r="893" spans="2:8" x14ac:dyDescent="0.35">
      <c r="B893" s="6"/>
      <c r="C893" s="7"/>
      <c r="D893" s="35"/>
      <c r="E893" s="35"/>
      <c r="F893" s="35"/>
      <c r="G893" s="35"/>
      <c r="H893" s="35"/>
    </row>
    <row r="894" spans="2:8" x14ac:dyDescent="0.35">
      <c r="B894" s="6"/>
      <c r="C894" s="7"/>
      <c r="D894" s="35"/>
      <c r="E894" s="35"/>
      <c r="F894" s="35"/>
      <c r="G894" s="35"/>
      <c r="H894" s="35"/>
    </row>
    <row r="895" spans="2:8" x14ac:dyDescent="0.35">
      <c r="B895" s="6"/>
      <c r="C895" s="7"/>
      <c r="D895" s="35"/>
      <c r="E895" s="35"/>
      <c r="F895" s="35"/>
      <c r="G895" s="35"/>
      <c r="H895" s="35"/>
    </row>
    <row r="896" spans="2:8" x14ac:dyDescent="0.35">
      <c r="B896" s="6"/>
      <c r="C896" s="7"/>
      <c r="D896" s="35"/>
      <c r="E896" s="35"/>
      <c r="F896" s="35"/>
      <c r="G896" s="35"/>
      <c r="H896" s="35"/>
    </row>
    <row r="897" spans="2:8" x14ac:dyDescent="0.35">
      <c r="B897" s="6"/>
      <c r="C897" s="7"/>
      <c r="D897" s="35"/>
      <c r="E897" s="35"/>
      <c r="F897" s="35"/>
      <c r="G897" s="35"/>
      <c r="H897" s="35"/>
    </row>
    <row r="898" spans="2:8" x14ac:dyDescent="0.35">
      <c r="B898" s="6"/>
      <c r="C898" s="7"/>
      <c r="D898" s="35"/>
      <c r="E898" s="35"/>
      <c r="F898" s="35"/>
      <c r="G898" s="35"/>
      <c r="H898" s="35"/>
    </row>
    <row r="899" spans="2:8" x14ac:dyDescent="0.35">
      <c r="B899" s="6"/>
      <c r="C899" s="7"/>
      <c r="D899" s="35"/>
      <c r="E899" s="35"/>
      <c r="F899" s="35"/>
      <c r="G899" s="35"/>
      <c r="H899" s="35"/>
    </row>
    <row r="900" spans="2:8" x14ac:dyDescent="0.35">
      <c r="B900" s="6"/>
      <c r="C900" s="7"/>
      <c r="D900" s="35"/>
      <c r="E900" s="35"/>
      <c r="F900" s="35"/>
      <c r="G900" s="35"/>
      <c r="H900" s="35"/>
    </row>
    <row r="901" spans="2:8" x14ac:dyDescent="0.35">
      <c r="B901" s="6"/>
      <c r="C901" s="7"/>
      <c r="D901" s="35"/>
      <c r="E901" s="35"/>
      <c r="F901" s="35"/>
      <c r="G901" s="35"/>
      <c r="H901" s="35"/>
    </row>
    <row r="902" spans="2:8" x14ac:dyDescent="0.35">
      <c r="B902" s="6"/>
      <c r="C902" s="7"/>
      <c r="D902" s="35"/>
      <c r="E902" s="35"/>
      <c r="F902" s="35"/>
      <c r="G902" s="35"/>
      <c r="H902" s="35"/>
    </row>
    <row r="903" spans="2:8" x14ac:dyDescent="0.35">
      <c r="B903" s="6"/>
      <c r="C903" s="7"/>
      <c r="D903" s="35"/>
      <c r="E903" s="35"/>
      <c r="F903" s="35"/>
      <c r="G903" s="35"/>
      <c r="H903" s="35"/>
    </row>
    <row r="904" spans="2:8" x14ac:dyDescent="0.35">
      <c r="B904" s="6"/>
      <c r="C904" s="7"/>
      <c r="D904" s="35"/>
      <c r="E904" s="35"/>
      <c r="F904" s="35"/>
      <c r="G904" s="35"/>
      <c r="H904" s="35"/>
    </row>
    <row r="905" spans="2:8" x14ac:dyDescent="0.35">
      <c r="B905" s="6"/>
      <c r="C905" s="7"/>
      <c r="D905" s="35"/>
      <c r="E905" s="35"/>
      <c r="F905" s="35"/>
      <c r="G905" s="35"/>
      <c r="H905" s="35"/>
    </row>
    <row r="906" spans="2:8" x14ac:dyDescent="0.35">
      <c r="B906" s="6"/>
      <c r="C906" s="7"/>
      <c r="D906" s="35"/>
      <c r="E906" s="35"/>
      <c r="F906" s="35"/>
      <c r="G906" s="35"/>
      <c r="H906" s="35"/>
    </row>
    <row r="907" spans="2:8" x14ac:dyDescent="0.35">
      <c r="B907" s="6"/>
      <c r="C907" s="7"/>
      <c r="D907" s="35"/>
      <c r="E907" s="35"/>
      <c r="F907" s="35"/>
      <c r="G907" s="35"/>
      <c r="H907" s="35"/>
    </row>
    <row r="908" spans="2:8" x14ac:dyDescent="0.35">
      <c r="B908" s="6"/>
      <c r="C908" s="7"/>
      <c r="D908" s="35"/>
      <c r="E908" s="35"/>
      <c r="F908" s="35"/>
      <c r="G908" s="35"/>
      <c r="H908" s="35"/>
    </row>
    <row r="909" spans="2:8" x14ac:dyDescent="0.35">
      <c r="B909" s="6"/>
      <c r="C909" s="7"/>
      <c r="D909" s="35"/>
      <c r="E909" s="35"/>
      <c r="F909" s="35"/>
      <c r="G909" s="35"/>
      <c r="H909" s="35"/>
    </row>
    <row r="910" spans="2:8" x14ac:dyDescent="0.35">
      <c r="B910" s="6"/>
      <c r="C910" s="7"/>
      <c r="D910" s="35"/>
      <c r="E910" s="35"/>
      <c r="F910" s="35"/>
      <c r="G910" s="35"/>
      <c r="H910" s="35"/>
    </row>
    <row r="911" spans="2:8" x14ac:dyDescent="0.35">
      <c r="B911" s="6"/>
      <c r="C911" s="7"/>
      <c r="D911" s="35"/>
      <c r="E911" s="35"/>
      <c r="F911" s="35"/>
      <c r="G911" s="35"/>
      <c r="H911" s="35"/>
    </row>
    <row r="912" spans="2:8" x14ac:dyDescent="0.35">
      <c r="B912" s="6"/>
      <c r="C912" s="7"/>
      <c r="D912" s="35"/>
      <c r="E912" s="35"/>
      <c r="F912" s="35"/>
      <c r="G912" s="35"/>
      <c r="H912" s="35"/>
    </row>
    <row r="913" spans="2:8" x14ac:dyDescent="0.35">
      <c r="B913" s="6"/>
      <c r="C913" s="7"/>
      <c r="D913" s="35"/>
      <c r="E913" s="35"/>
      <c r="F913" s="35"/>
      <c r="G913" s="35"/>
      <c r="H913" s="35"/>
    </row>
    <row r="914" spans="2:8" x14ac:dyDescent="0.35">
      <c r="B914" s="6"/>
      <c r="C914" s="7"/>
      <c r="D914" s="35"/>
      <c r="E914" s="35"/>
      <c r="F914" s="35"/>
      <c r="G914" s="35"/>
      <c r="H914" s="35"/>
    </row>
    <row r="915" spans="2:8" x14ac:dyDescent="0.35">
      <c r="B915" s="6"/>
      <c r="C915" s="7"/>
      <c r="D915" s="35"/>
      <c r="E915" s="35"/>
      <c r="F915" s="35"/>
      <c r="G915" s="35"/>
      <c r="H915" s="35"/>
    </row>
    <row r="916" spans="2:8" x14ac:dyDescent="0.35">
      <c r="B916" s="6"/>
      <c r="C916" s="7"/>
      <c r="D916" s="35"/>
      <c r="E916" s="35"/>
      <c r="F916" s="35"/>
      <c r="G916" s="35"/>
      <c r="H916" s="35"/>
    </row>
    <row r="917" spans="2:8" x14ac:dyDescent="0.35">
      <c r="B917" s="6"/>
      <c r="C917" s="7"/>
      <c r="D917" s="35"/>
      <c r="E917" s="35"/>
      <c r="F917" s="35"/>
      <c r="G917" s="35"/>
      <c r="H917" s="35"/>
    </row>
    <row r="918" spans="2:8" x14ac:dyDescent="0.35">
      <c r="B918" s="6"/>
      <c r="C918" s="7"/>
      <c r="D918" s="35"/>
      <c r="E918" s="35"/>
      <c r="F918" s="35"/>
      <c r="G918" s="35"/>
      <c r="H918" s="35"/>
    </row>
    <row r="919" spans="2:8" x14ac:dyDescent="0.35">
      <c r="B919" s="6"/>
      <c r="C919" s="7"/>
      <c r="D919" s="35"/>
      <c r="E919" s="35"/>
      <c r="F919" s="35"/>
      <c r="G919" s="35"/>
      <c r="H919" s="35"/>
    </row>
    <row r="920" spans="2:8" x14ac:dyDescent="0.35">
      <c r="B920" s="6"/>
      <c r="C920" s="7"/>
      <c r="D920" s="35"/>
      <c r="E920" s="35"/>
      <c r="F920" s="35"/>
      <c r="G920" s="35"/>
      <c r="H920" s="35"/>
    </row>
    <row r="921" spans="2:8" x14ac:dyDescent="0.35">
      <c r="B921" s="6"/>
      <c r="C921" s="7"/>
      <c r="D921" s="35"/>
      <c r="E921" s="35"/>
      <c r="F921" s="35"/>
      <c r="G921" s="35"/>
      <c r="H921" s="35"/>
    </row>
    <row r="922" spans="2:8" x14ac:dyDescent="0.35">
      <c r="B922" s="6"/>
      <c r="C922" s="7"/>
      <c r="D922" s="35"/>
      <c r="E922" s="35"/>
      <c r="F922" s="35"/>
      <c r="G922" s="35"/>
      <c r="H922" s="35"/>
    </row>
    <row r="923" spans="2:8" x14ac:dyDescent="0.35">
      <c r="B923" s="6"/>
      <c r="C923" s="7"/>
      <c r="D923" s="35"/>
      <c r="E923" s="35"/>
      <c r="F923" s="35"/>
      <c r="G923" s="35"/>
      <c r="H923" s="35"/>
    </row>
    <row r="924" spans="2:8" x14ac:dyDescent="0.35">
      <c r="B924" s="6"/>
      <c r="C924" s="7"/>
      <c r="D924" s="35"/>
      <c r="E924" s="35"/>
      <c r="F924" s="35"/>
      <c r="G924" s="35"/>
      <c r="H924" s="35"/>
    </row>
    <row r="925" spans="2:8" x14ac:dyDescent="0.35">
      <c r="B925" s="6"/>
      <c r="C925" s="7"/>
      <c r="D925" s="35"/>
      <c r="E925" s="35"/>
      <c r="F925" s="35"/>
      <c r="G925" s="35"/>
      <c r="H925" s="35"/>
    </row>
    <row r="926" spans="2:8" x14ac:dyDescent="0.35">
      <c r="B926" s="6"/>
      <c r="C926" s="7"/>
      <c r="D926" s="35"/>
      <c r="E926" s="35"/>
      <c r="F926" s="35"/>
      <c r="G926" s="35"/>
      <c r="H926" s="35"/>
    </row>
    <row r="927" spans="2:8" x14ac:dyDescent="0.35">
      <c r="B927" s="6"/>
      <c r="C927" s="7"/>
      <c r="D927" s="35"/>
      <c r="E927" s="35"/>
      <c r="F927" s="35"/>
      <c r="G927" s="35"/>
      <c r="H927" s="35"/>
    </row>
    <row r="928" spans="2:8" x14ac:dyDescent="0.35">
      <c r="B928" s="6"/>
      <c r="C928" s="7"/>
      <c r="D928" s="35"/>
      <c r="E928" s="35"/>
      <c r="F928" s="35"/>
      <c r="G928" s="35"/>
      <c r="H928" s="35"/>
    </row>
    <row r="929" spans="2:8" x14ac:dyDescent="0.35">
      <c r="B929" s="6"/>
      <c r="C929" s="7"/>
      <c r="D929" s="35"/>
      <c r="E929" s="35"/>
      <c r="F929" s="35"/>
      <c r="G929" s="35"/>
      <c r="H929" s="35"/>
    </row>
    <row r="930" spans="2:8" x14ac:dyDescent="0.35">
      <c r="B930" s="6"/>
      <c r="C930" s="7"/>
      <c r="D930" s="35"/>
      <c r="E930" s="35"/>
      <c r="F930" s="35"/>
      <c r="G930" s="35"/>
      <c r="H930" s="35"/>
    </row>
    <row r="931" spans="2:8" x14ac:dyDescent="0.35">
      <c r="B931" s="6"/>
      <c r="C931" s="7"/>
      <c r="D931" s="35"/>
      <c r="E931" s="35"/>
      <c r="F931" s="35"/>
      <c r="G931" s="35"/>
      <c r="H931" s="35"/>
    </row>
    <row r="932" spans="2:8" x14ac:dyDescent="0.35">
      <c r="B932" s="6"/>
      <c r="C932" s="7"/>
      <c r="D932" s="35"/>
      <c r="E932" s="35"/>
      <c r="F932" s="35"/>
      <c r="G932" s="35"/>
      <c r="H932" s="35"/>
    </row>
    <row r="933" spans="2:8" x14ac:dyDescent="0.35">
      <c r="B933" s="6"/>
      <c r="C933" s="7"/>
      <c r="D933" s="35"/>
      <c r="E933" s="35"/>
      <c r="F933" s="35"/>
      <c r="G933" s="35"/>
      <c r="H933" s="35"/>
    </row>
    <row r="934" spans="2:8" x14ac:dyDescent="0.35">
      <c r="B934" s="6"/>
      <c r="C934" s="7"/>
      <c r="D934" s="35"/>
      <c r="E934" s="35"/>
      <c r="F934" s="35"/>
      <c r="G934" s="35"/>
      <c r="H934" s="35"/>
    </row>
    <row r="935" spans="2:8" x14ac:dyDescent="0.35">
      <c r="B935" s="6"/>
      <c r="C935" s="7"/>
      <c r="D935" s="35"/>
      <c r="E935" s="35"/>
      <c r="F935" s="35"/>
      <c r="G935" s="35"/>
      <c r="H935" s="35"/>
    </row>
    <row r="936" spans="2:8" x14ac:dyDescent="0.35">
      <c r="B936" s="6"/>
      <c r="C936" s="7"/>
      <c r="D936" s="35"/>
      <c r="E936" s="35"/>
      <c r="F936" s="35"/>
      <c r="G936" s="35"/>
      <c r="H936" s="35"/>
    </row>
    <row r="937" spans="2:8" x14ac:dyDescent="0.35">
      <c r="B937" s="6"/>
      <c r="C937" s="7"/>
      <c r="D937" s="35"/>
      <c r="E937" s="35"/>
      <c r="F937" s="35"/>
      <c r="G937" s="35"/>
      <c r="H937" s="35"/>
    </row>
    <row r="938" spans="2:8" x14ac:dyDescent="0.35">
      <c r="B938" s="6"/>
      <c r="C938" s="7"/>
      <c r="D938" s="35"/>
      <c r="E938" s="35"/>
      <c r="F938" s="35"/>
      <c r="G938" s="35"/>
      <c r="H938" s="35"/>
    </row>
    <row r="939" spans="2:8" x14ac:dyDescent="0.35">
      <c r="B939" s="6"/>
      <c r="C939" s="7"/>
      <c r="D939" s="35"/>
      <c r="E939" s="35"/>
      <c r="F939" s="35"/>
      <c r="G939" s="35"/>
      <c r="H939" s="35"/>
    </row>
    <row r="940" spans="2:8" x14ac:dyDescent="0.35">
      <c r="B940" s="6"/>
      <c r="C940" s="7"/>
      <c r="D940" s="35"/>
      <c r="E940" s="35"/>
      <c r="F940" s="35"/>
      <c r="G940" s="35"/>
      <c r="H940" s="35"/>
    </row>
    <row r="941" spans="2:8" x14ac:dyDescent="0.35">
      <c r="B941" s="6"/>
      <c r="C941" s="7"/>
      <c r="D941" s="35"/>
      <c r="E941" s="35"/>
      <c r="F941" s="35"/>
      <c r="G941" s="35"/>
      <c r="H941" s="35"/>
    </row>
    <row r="942" spans="2:8" x14ac:dyDescent="0.35">
      <c r="B942" s="6"/>
      <c r="C942" s="7"/>
      <c r="D942" s="35"/>
      <c r="E942" s="35"/>
      <c r="F942" s="35"/>
      <c r="G942" s="35"/>
      <c r="H942" s="35"/>
    </row>
    <row r="943" spans="2:8" x14ac:dyDescent="0.35">
      <c r="B943" s="6"/>
      <c r="C943" s="7"/>
      <c r="D943" s="35"/>
      <c r="E943" s="35"/>
      <c r="F943" s="35"/>
      <c r="G943" s="35"/>
      <c r="H943" s="35"/>
    </row>
    <row r="944" spans="2:8" x14ac:dyDescent="0.35">
      <c r="B944" s="6"/>
      <c r="C944" s="7"/>
      <c r="D944" s="35"/>
      <c r="E944" s="35"/>
      <c r="F944" s="35"/>
      <c r="G944" s="35"/>
      <c r="H944" s="35"/>
    </row>
    <row r="945" spans="2:8" x14ac:dyDescent="0.35">
      <c r="B945" s="6"/>
      <c r="C945" s="7"/>
      <c r="D945" s="35"/>
      <c r="E945" s="35"/>
      <c r="F945" s="35"/>
      <c r="G945" s="35"/>
      <c r="H945" s="35"/>
    </row>
    <row r="946" spans="2:8" x14ac:dyDescent="0.35">
      <c r="B946" s="6"/>
      <c r="C946" s="7"/>
      <c r="D946" s="35"/>
      <c r="E946" s="35"/>
      <c r="F946" s="35"/>
      <c r="G946" s="35"/>
      <c r="H946" s="35"/>
    </row>
    <row r="947" spans="2:8" x14ac:dyDescent="0.35">
      <c r="B947" s="6"/>
      <c r="C947" s="7"/>
      <c r="D947" s="35"/>
      <c r="E947" s="35"/>
      <c r="F947" s="35"/>
      <c r="G947" s="35"/>
      <c r="H947" s="35"/>
    </row>
    <row r="948" spans="2:8" x14ac:dyDescent="0.35">
      <c r="B948" s="6"/>
      <c r="C948" s="7"/>
      <c r="D948" s="35"/>
      <c r="E948" s="35"/>
      <c r="F948" s="35"/>
      <c r="G948" s="35"/>
      <c r="H948" s="35"/>
    </row>
    <row r="949" spans="2:8" x14ac:dyDescent="0.35">
      <c r="B949" s="6"/>
      <c r="C949" s="7"/>
      <c r="D949" s="35"/>
      <c r="E949" s="35"/>
      <c r="F949" s="35"/>
      <c r="G949" s="35"/>
      <c r="H949" s="35"/>
    </row>
    <row r="950" spans="2:8" x14ac:dyDescent="0.35">
      <c r="B950" s="6"/>
      <c r="C950" s="7"/>
      <c r="D950" s="35"/>
      <c r="E950" s="35"/>
      <c r="F950" s="35"/>
      <c r="G950" s="35"/>
      <c r="H950" s="35"/>
    </row>
    <row r="951" spans="2:8" x14ac:dyDescent="0.35">
      <c r="B951" s="6"/>
      <c r="C951" s="7"/>
      <c r="D951" s="35"/>
      <c r="E951" s="35"/>
      <c r="F951" s="35"/>
      <c r="G951" s="35"/>
      <c r="H951" s="35"/>
    </row>
    <row r="952" spans="2:8" x14ac:dyDescent="0.35">
      <c r="B952" s="6"/>
      <c r="C952" s="7"/>
      <c r="D952" s="35"/>
      <c r="E952" s="35"/>
      <c r="F952" s="35"/>
      <c r="G952" s="35"/>
      <c r="H952" s="35"/>
    </row>
    <row r="953" spans="2:8" x14ac:dyDescent="0.35">
      <c r="B953" s="6"/>
      <c r="C953" s="7"/>
      <c r="D953" s="35"/>
      <c r="E953" s="35"/>
      <c r="F953" s="35"/>
      <c r="G953" s="35"/>
      <c r="H953" s="35"/>
    </row>
    <row r="954" spans="2:8" x14ac:dyDescent="0.35">
      <c r="B954" s="6"/>
      <c r="C954" s="7"/>
      <c r="D954" s="35"/>
      <c r="E954" s="35"/>
      <c r="F954" s="35"/>
      <c r="G954" s="35"/>
      <c r="H954" s="35"/>
    </row>
    <row r="955" spans="2:8" x14ac:dyDescent="0.35">
      <c r="B955" s="6"/>
      <c r="C955" s="7"/>
      <c r="D955" s="35"/>
      <c r="E955" s="35"/>
      <c r="F955" s="35"/>
      <c r="G955" s="35"/>
      <c r="H955" s="35"/>
    </row>
    <row r="956" spans="2:8" x14ac:dyDescent="0.35">
      <c r="B956" s="6"/>
      <c r="C956" s="7"/>
      <c r="D956" s="35"/>
      <c r="E956" s="35"/>
      <c r="F956" s="35"/>
      <c r="G956" s="35"/>
      <c r="H956" s="35"/>
    </row>
    <row r="957" spans="2:8" x14ac:dyDescent="0.35">
      <c r="B957" s="6"/>
      <c r="C957" s="7"/>
      <c r="D957" s="35"/>
      <c r="E957" s="35"/>
      <c r="F957" s="35"/>
      <c r="G957" s="35"/>
      <c r="H957" s="35"/>
    </row>
    <row r="958" spans="2:8" x14ac:dyDescent="0.35">
      <c r="B958" s="6"/>
      <c r="C958" s="7"/>
      <c r="D958" s="35"/>
      <c r="E958" s="35"/>
      <c r="F958" s="35"/>
      <c r="G958" s="35"/>
      <c r="H958" s="35"/>
    </row>
    <row r="959" spans="2:8" x14ac:dyDescent="0.35">
      <c r="B959" s="6"/>
      <c r="C959" s="7"/>
      <c r="D959" s="35"/>
      <c r="E959" s="35"/>
      <c r="F959" s="35"/>
      <c r="G959" s="35"/>
      <c r="H959" s="35"/>
    </row>
    <row r="960" spans="2:8" x14ac:dyDescent="0.35">
      <c r="B960" s="6"/>
      <c r="C960" s="7"/>
      <c r="D960" s="35"/>
      <c r="E960" s="35"/>
      <c r="F960" s="35"/>
      <c r="G960" s="35"/>
      <c r="H960" s="35"/>
    </row>
    <row r="961" spans="2:8" x14ac:dyDescent="0.35">
      <c r="B961" s="6"/>
      <c r="C961" s="7"/>
      <c r="D961" s="35"/>
      <c r="E961" s="35"/>
      <c r="F961" s="35"/>
      <c r="G961" s="35"/>
      <c r="H961" s="35"/>
    </row>
    <row r="962" spans="2:8" x14ac:dyDescent="0.35">
      <c r="B962" s="6"/>
      <c r="C962" s="7"/>
      <c r="D962" s="35"/>
      <c r="E962" s="35"/>
      <c r="F962" s="35"/>
      <c r="G962" s="35"/>
      <c r="H962" s="35"/>
    </row>
    <row r="963" spans="2:8" x14ac:dyDescent="0.35">
      <c r="B963" s="6"/>
      <c r="C963" s="7"/>
      <c r="D963" s="35"/>
      <c r="E963" s="35"/>
      <c r="F963" s="35"/>
      <c r="G963" s="35"/>
      <c r="H963" s="35"/>
    </row>
    <row r="964" spans="2:8" x14ac:dyDescent="0.35">
      <c r="B964" s="6"/>
      <c r="C964" s="7"/>
      <c r="D964" s="35"/>
      <c r="E964" s="35"/>
      <c r="F964" s="35"/>
      <c r="G964" s="35"/>
      <c r="H964" s="35"/>
    </row>
    <row r="965" spans="2:8" x14ac:dyDescent="0.35">
      <c r="B965" s="6"/>
      <c r="C965" s="7"/>
      <c r="D965" s="35"/>
      <c r="E965" s="35"/>
      <c r="F965" s="35"/>
      <c r="G965" s="35"/>
      <c r="H965" s="35"/>
    </row>
    <row r="966" spans="2:8" x14ac:dyDescent="0.35">
      <c r="B966" s="6"/>
      <c r="C966" s="7"/>
      <c r="D966" s="35"/>
      <c r="E966" s="35"/>
      <c r="F966" s="35"/>
      <c r="G966" s="35"/>
      <c r="H966" s="35"/>
    </row>
    <row r="967" spans="2:8" x14ac:dyDescent="0.35">
      <c r="B967" s="6"/>
      <c r="C967" s="7"/>
      <c r="D967" s="35"/>
      <c r="E967" s="35"/>
      <c r="F967" s="35"/>
      <c r="G967" s="35"/>
      <c r="H967" s="35"/>
    </row>
    <row r="968" spans="2:8" x14ac:dyDescent="0.35">
      <c r="B968" s="6"/>
      <c r="C968" s="7"/>
      <c r="D968" s="35"/>
      <c r="E968" s="35"/>
      <c r="F968" s="35"/>
      <c r="G968" s="35"/>
      <c r="H968" s="35"/>
    </row>
    <row r="969" spans="2:8" x14ac:dyDescent="0.35">
      <c r="B969" s="6"/>
      <c r="C969" s="7"/>
      <c r="D969" s="35"/>
      <c r="E969" s="35"/>
      <c r="F969" s="35"/>
      <c r="G969" s="35"/>
      <c r="H969" s="35"/>
    </row>
    <row r="970" spans="2:8" x14ac:dyDescent="0.35">
      <c r="B970" s="6"/>
      <c r="C970" s="7"/>
      <c r="D970" s="35"/>
      <c r="E970" s="35"/>
      <c r="F970" s="35"/>
      <c r="G970" s="35"/>
      <c r="H970" s="35"/>
    </row>
    <row r="971" spans="2:8" x14ac:dyDescent="0.35">
      <c r="B971" s="6"/>
      <c r="C971" s="7"/>
      <c r="D971" s="35"/>
      <c r="E971" s="35"/>
      <c r="F971" s="35"/>
      <c r="G971" s="35"/>
      <c r="H971" s="35"/>
    </row>
    <row r="972" spans="2:8" x14ac:dyDescent="0.35">
      <c r="B972" s="6"/>
      <c r="C972" s="7"/>
      <c r="D972" s="35"/>
      <c r="E972" s="35"/>
      <c r="F972" s="35"/>
      <c r="G972" s="35"/>
      <c r="H972" s="35"/>
    </row>
    <row r="973" spans="2:8" x14ac:dyDescent="0.35">
      <c r="B973" s="6"/>
      <c r="C973" s="7"/>
      <c r="D973" s="35"/>
      <c r="E973" s="35"/>
      <c r="F973" s="35"/>
      <c r="G973" s="35"/>
      <c r="H973" s="35"/>
    </row>
    <row r="974" spans="2:8" x14ac:dyDescent="0.35">
      <c r="B974" s="6"/>
      <c r="C974" s="7"/>
      <c r="D974" s="35"/>
      <c r="E974" s="35"/>
      <c r="F974" s="35"/>
      <c r="G974" s="35"/>
      <c r="H974" s="35"/>
    </row>
    <row r="975" spans="2:8" x14ac:dyDescent="0.35">
      <c r="B975" s="6"/>
      <c r="C975" s="7"/>
      <c r="D975" s="35"/>
      <c r="E975" s="35"/>
      <c r="F975" s="35"/>
      <c r="G975" s="35"/>
      <c r="H975" s="35"/>
    </row>
    <row r="976" spans="2:8" x14ac:dyDescent="0.35">
      <c r="B976" s="6"/>
      <c r="C976" s="7"/>
      <c r="D976" s="35"/>
      <c r="E976" s="35"/>
      <c r="F976" s="35"/>
      <c r="G976" s="35"/>
      <c r="H976" s="35"/>
    </row>
    <row r="977" spans="2:8" x14ac:dyDescent="0.35">
      <c r="B977" s="6"/>
      <c r="C977" s="7"/>
      <c r="D977" s="35"/>
      <c r="E977" s="35"/>
      <c r="F977" s="35"/>
      <c r="G977" s="35"/>
      <c r="H977" s="35"/>
    </row>
    <row r="978" spans="2:8" x14ac:dyDescent="0.35">
      <c r="B978" s="6"/>
      <c r="C978" s="7"/>
      <c r="D978" s="35"/>
      <c r="E978" s="35"/>
      <c r="F978" s="35"/>
      <c r="G978" s="35"/>
      <c r="H978" s="35"/>
    </row>
    <row r="979" spans="2:8" x14ac:dyDescent="0.35">
      <c r="B979" s="6"/>
      <c r="C979" s="7"/>
      <c r="D979" s="35"/>
      <c r="E979" s="35"/>
      <c r="F979" s="35"/>
      <c r="G979" s="35"/>
      <c r="H979" s="35"/>
    </row>
    <row r="980" spans="2:8" x14ac:dyDescent="0.35">
      <c r="B980" s="6"/>
      <c r="C980" s="7"/>
      <c r="D980" s="35"/>
      <c r="E980" s="35"/>
      <c r="F980" s="35"/>
      <c r="G980" s="35"/>
      <c r="H980" s="35"/>
    </row>
    <row r="981" spans="2:8" x14ac:dyDescent="0.35">
      <c r="B981" s="6"/>
      <c r="C981" s="7"/>
      <c r="D981" s="35"/>
      <c r="E981" s="35"/>
      <c r="F981" s="35"/>
      <c r="G981" s="35"/>
      <c r="H981" s="35"/>
    </row>
    <row r="982" spans="2:8" x14ac:dyDescent="0.35">
      <c r="B982" s="6"/>
      <c r="C982" s="7"/>
      <c r="D982" s="35"/>
      <c r="E982" s="35"/>
      <c r="F982" s="35"/>
      <c r="G982" s="35"/>
      <c r="H982" s="35"/>
    </row>
    <row r="983" spans="2:8" x14ac:dyDescent="0.35">
      <c r="B983" s="6"/>
      <c r="C983" s="7"/>
      <c r="D983" s="35"/>
      <c r="E983" s="35"/>
      <c r="F983" s="35"/>
      <c r="G983" s="35"/>
      <c r="H983" s="35"/>
    </row>
    <row r="984" spans="2:8" x14ac:dyDescent="0.35">
      <c r="B984" s="6"/>
      <c r="C984" s="7"/>
      <c r="D984" s="35"/>
      <c r="E984" s="35"/>
      <c r="F984" s="35"/>
      <c r="G984" s="35"/>
      <c r="H984" s="35"/>
    </row>
    <row r="985" spans="2:8" x14ac:dyDescent="0.35">
      <c r="B985" s="6"/>
      <c r="C985" s="7"/>
      <c r="D985" s="35"/>
      <c r="E985" s="35"/>
      <c r="F985" s="35"/>
      <c r="G985" s="35"/>
      <c r="H985" s="35"/>
    </row>
    <row r="986" spans="2:8" x14ac:dyDescent="0.35">
      <c r="B986" s="6"/>
      <c r="C986" s="7"/>
      <c r="D986" s="35"/>
      <c r="E986" s="35"/>
      <c r="F986" s="35"/>
      <c r="G986" s="35"/>
      <c r="H986" s="35"/>
    </row>
    <row r="987" spans="2:8" x14ac:dyDescent="0.35">
      <c r="B987" s="6"/>
      <c r="C987" s="7"/>
      <c r="D987" s="35"/>
      <c r="E987" s="35"/>
      <c r="F987" s="35"/>
      <c r="G987" s="35"/>
      <c r="H987" s="35"/>
    </row>
    <row r="988" spans="2:8" x14ac:dyDescent="0.35">
      <c r="B988" s="6"/>
      <c r="C988" s="7"/>
      <c r="D988" s="35"/>
      <c r="E988" s="35"/>
      <c r="F988" s="35"/>
      <c r="G988" s="35"/>
      <c r="H988" s="35"/>
    </row>
    <row r="989" spans="2:8" x14ac:dyDescent="0.35">
      <c r="B989" s="6"/>
      <c r="C989" s="7"/>
      <c r="D989" s="35"/>
      <c r="E989" s="35"/>
      <c r="F989" s="35"/>
      <c r="G989" s="35"/>
      <c r="H989" s="35"/>
    </row>
    <row r="990" spans="2:8" x14ac:dyDescent="0.35">
      <c r="B990" s="6"/>
      <c r="C990" s="7"/>
      <c r="D990" s="35"/>
      <c r="E990" s="35"/>
      <c r="F990" s="35"/>
      <c r="G990" s="35"/>
      <c r="H990" s="35"/>
    </row>
    <row r="991" spans="2:8" x14ac:dyDescent="0.35">
      <c r="B991" s="6"/>
      <c r="C991" s="7"/>
      <c r="D991" s="35"/>
      <c r="E991" s="35"/>
      <c r="F991" s="35"/>
      <c r="G991" s="35"/>
      <c r="H991" s="35"/>
    </row>
    <row r="992" spans="2:8" x14ac:dyDescent="0.35">
      <c r="B992" s="6"/>
      <c r="C992" s="7"/>
      <c r="D992" s="35"/>
      <c r="E992" s="35"/>
      <c r="F992" s="35"/>
      <c r="G992" s="35"/>
      <c r="H992" s="35"/>
    </row>
    <row r="993" spans="2:8" x14ac:dyDescent="0.35">
      <c r="B993" s="6"/>
      <c r="C993" s="7"/>
      <c r="D993" s="35"/>
      <c r="E993" s="35"/>
      <c r="F993" s="35"/>
      <c r="G993" s="35"/>
      <c r="H993" s="35"/>
    </row>
    <row r="994" spans="2:8" x14ac:dyDescent="0.35">
      <c r="B994" s="6"/>
      <c r="C994" s="7"/>
      <c r="D994" s="35"/>
      <c r="E994" s="35"/>
      <c r="F994" s="35"/>
      <c r="G994" s="35"/>
      <c r="H994" s="35"/>
    </row>
    <row r="995" spans="2:8" x14ac:dyDescent="0.35">
      <c r="B995" s="6"/>
      <c r="C995" s="7"/>
      <c r="D995" s="35"/>
      <c r="E995" s="35"/>
      <c r="F995" s="35"/>
      <c r="G995" s="35"/>
      <c r="H995" s="35"/>
    </row>
    <row r="996" spans="2:8" x14ac:dyDescent="0.35">
      <c r="B996" s="6"/>
      <c r="C996" s="7"/>
      <c r="D996" s="35"/>
      <c r="E996" s="35"/>
      <c r="F996" s="35"/>
      <c r="G996" s="35"/>
      <c r="H996" s="35"/>
    </row>
    <row r="997" spans="2:8" x14ac:dyDescent="0.35">
      <c r="B997" s="6"/>
      <c r="C997" s="7"/>
      <c r="D997" s="35"/>
      <c r="E997" s="35"/>
      <c r="F997" s="35"/>
      <c r="G997" s="35"/>
      <c r="H997" s="35"/>
    </row>
    <row r="998" spans="2:8" x14ac:dyDescent="0.35">
      <c r="B998" s="6"/>
      <c r="C998" s="7"/>
      <c r="D998" s="35"/>
      <c r="E998" s="35"/>
      <c r="F998" s="35"/>
      <c r="G998" s="35"/>
      <c r="H998" s="35"/>
    </row>
    <row r="999" spans="2:8" x14ac:dyDescent="0.35">
      <c r="B999" s="6"/>
      <c r="C999" s="7"/>
      <c r="D999" s="35"/>
      <c r="E999" s="35"/>
      <c r="F999" s="35"/>
      <c r="G999" s="35"/>
      <c r="H999" s="35"/>
    </row>
    <row r="1000" spans="2:8" x14ac:dyDescent="0.35">
      <c r="B1000" s="6"/>
      <c r="C1000" s="7"/>
      <c r="D1000" s="35"/>
      <c r="E1000" s="35"/>
      <c r="F1000" s="35"/>
      <c r="G1000" s="35"/>
      <c r="H1000" s="35"/>
    </row>
  </sheetData>
  <dataValidations count="1">
    <dataValidation type="list" allowBlank="1" showInputMessage="1" showErrorMessage="1" sqref="B1" xr:uid="{EBB986FF-2109-4C1E-8F1D-3EE41980F300}">
      <formula1>EntityList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FA4B3-04B5-4A33-A4F3-4EAA34E5C392}">
  <sheetPr codeName="Sheet5"/>
  <dimension ref="A1:AY1000"/>
  <sheetViews>
    <sheetView showGridLines="0" zoomScale="91" zoomScaleNormal="91" workbookViewId="0">
      <pane ySplit="5" topLeftCell="A460" activePane="bottomLeft" state="frozen"/>
      <selection activeCell="H1" sqref="H1:H1048576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7" width="19.26953125" customWidth="1"/>
    <col min="8" max="8" width="19.26953125" style="32" customWidth="1"/>
    <col min="9" max="9" width="13.453125" bestFit="1" customWidth="1"/>
    <col min="10" max="10" width="24.26953125" bestFit="1" customWidth="1"/>
    <col min="12" max="12" width="13.453125" style="42" bestFit="1" customWidth="1"/>
    <col min="13" max="13" width="24.26953125" style="42" bestFit="1" customWidth="1"/>
  </cols>
  <sheetData>
    <row r="1" spans="1:51" x14ac:dyDescent="0.35">
      <c r="A1" s="10" t="s">
        <v>4</v>
      </c>
      <c r="B1" s="15" t="s">
        <v>11</v>
      </c>
      <c r="AY1" t="s">
        <v>2</v>
      </c>
    </row>
    <row r="2" spans="1:51" x14ac:dyDescent="0.35">
      <c r="A2" s="10" t="s">
        <v>0</v>
      </c>
      <c r="B2" s="15">
        <f>AMF!BegDate</f>
        <v>44931</v>
      </c>
      <c r="AY2" t="s">
        <v>9</v>
      </c>
    </row>
    <row r="3" spans="1:51" x14ac:dyDescent="0.35">
      <c r="A3" s="10" t="s">
        <v>1</v>
      </c>
      <c r="B3" s="15">
        <f>AMF!EndDate</f>
        <v>45657</v>
      </c>
      <c r="AY3" t="s">
        <v>10</v>
      </c>
    </row>
    <row r="4" spans="1:51" x14ac:dyDescent="0.35">
      <c r="AY4" t="s">
        <v>11</v>
      </c>
    </row>
    <row r="5" spans="1:51" ht="16" x14ac:dyDescent="0.35">
      <c r="B5" s="12" t="s">
        <v>3</v>
      </c>
      <c r="C5" s="13" t="s">
        <v>4</v>
      </c>
      <c r="D5" s="14" t="s">
        <v>5</v>
      </c>
      <c r="E5" s="14" t="s">
        <v>6</v>
      </c>
      <c r="F5" s="14" t="s">
        <v>7</v>
      </c>
      <c r="G5" s="14" t="s">
        <v>8</v>
      </c>
      <c r="H5" s="33" t="s">
        <v>32</v>
      </c>
    </row>
    <row r="6" spans="1:51" x14ac:dyDescent="0.35">
      <c r="B6" s="4">
        <v>44931</v>
      </c>
      <c r="C6" s="5" t="s">
        <v>11</v>
      </c>
      <c r="D6" s="8">
        <v>-1.08010023330067E-5</v>
      </c>
      <c r="E6" s="8">
        <v>-1.08010023330067E-5</v>
      </c>
      <c r="F6" s="8">
        <v>-1.0801002332971876E-5</v>
      </c>
      <c r="G6" s="8">
        <v>-1.0801002332971876E-5</v>
      </c>
      <c r="H6" s="34">
        <v>-1.0801060664217599E-5</v>
      </c>
      <c r="I6" s="42"/>
      <c r="J6" s="42"/>
    </row>
    <row r="7" spans="1:51" x14ac:dyDescent="0.35">
      <c r="B7" s="6">
        <v>44932</v>
      </c>
      <c r="C7" s="7" t="s">
        <v>11</v>
      </c>
      <c r="D7" s="9">
        <v>1.45815106445018E-3</v>
      </c>
      <c r="E7" s="9">
        <v>1.45815106445018E-3</v>
      </c>
      <c r="F7" s="9">
        <v>1.4473343126242266E-3</v>
      </c>
      <c r="G7" s="9">
        <v>1.4473343126242266E-3</v>
      </c>
      <c r="H7" s="35">
        <v>1.4570889945004579E-3</v>
      </c>
      <c r="I7" s="42"/>
      <c r="J7" s="42"/>
    </row>
    <row r="8" spans="1:51" x14ac:dyDescent="0.35">
      <c r="B8" s="6">
        <v>44935</v>
      </c>
      <c r="C8" s="7" t="s">
        <v>11</v>
      </c>
      <c r="D8" s="9">
        <v>-3.7748872926498498E-4</v>
      </c>
      <c r="E8" s="9">
        <v>-3.7748872926498498E-4</v>
      </c>
      <c r="F8" s="9">
        <v>1.0692992309686566E-3</v>
      </c>
      <c r="G8" s="9">
        <v>1.0692992309686566E-3</v>
      </c>
      <c r="H8" s="35">
        <v>-3.7755999607088801E-4</v>
      </c>
      <c r="I8" s="42"/>
      <c r="J8" s="42"/>
    </row>
    <row r="9" spans="1:51" x14ac:dyDescent="0.35">
      <c r="B9" s="6">
        <v>44936</v>
      </c>
      <c r="C9" s="7" t="s">
        <v>11</v>
      </c>
      <c r="D9" s="9">
        <v>-1.4026304716076E-3</v>
      </c>
      <c r="E9" s="9">
        <v>-1.4026304716076E-3</v>
      </c>
      <c r="F9" s="9">
        <v>-3.3483107232357145E-4</v>
      </c>
      <c r="G9" s="9">
        <v>-3.3483107232357145E-4</v>
      </c>
      <c r="H9" s="35">
        <v>-1.4036150785283529E-3</v>
      </c>
      <c r="I9" s="42"/>
      <c r="J9" s="42"/>
    </row>
    <row r="10" spans="1:51" x14ac:dyDescent="0.35">
      <c r="B10" s="6">
        <v>44937</v>
      </c>
      <c r="C10" s="7" t="s">
        <v>11</v>
      </c>
      <c r="D10" s="9">
        <v>-1.37218674705302E-3</v>
      </c>
      <c r="E10" s="9">
        <v>-1.37218674705302E-3</v>
      </c>
      <c r="F10" s="9">
        <v>-1.7065583686165509E-3</v>
      </c>
      <c r="G10" s="9">
        <v>-1.7065583686165509E-3</v>
      </c>
      <c r="H10" s="35">
        <v>-1.3731290574031921E-3</v>
      </c>
      <c r="I10" s="42"/>
      <c r="J10" s="42"/>
    </row>
    <row r="11" spans="1:51" x14ac:dyDescent="0.35">
      <c r="B11" s="6">
        <v>44938</v>
      </c>
      <c r="C11" s="7" t="s">
        <v>11</v>
      </c>
      <c r="D11" s="9">
        <v>-1.14686343669524E-3</v>
      </c>
      <c r="E11" s="9">
        <v>-1.14686343669524E-3</v>
      </c>
      <c r="F11" s="9">
        <v>-2.8514646159162327E-3</v>
      </c>
      <c r="G11" s="9">
        <v>-2.8514646159162327E-3</v>
      </c>
      <c r="H11" s="35">
        <v>-1.1475215878208773E-3</v>
      </c>
      <c r="I11" s="42"/>
      <c r="J11" s="42"/>
    </row>
    <row r="12" spans="1:51" x14ac:dyDescent="0.35">
      <c r="B12" s="6">
        <v>44939</v>
      </c>
      <c r="C12" s="7" t="s">
        <v>11</v>
      </c>
      <c r="D12" s="9">
        <v>4.3327556325820798E-4</v>
      </c>
      <c r="E12" s="9">
        <v>4.3327556325820798E-4</v>
      </c>
      <c r="F12" s="9">
        <v>-2.4194245225956923E-3</v>
      </c>
      <c r="G12" s="9">
        <v>-2.4194245225956923E-3</v>
      </c>
      <c r="H12" s="35">
        <v>4.3318172650506215E-4</v>
      </c>
      <c r="I12" s="42"/>
      <c r="J12" s="42"/>
    </row>
    <row r="13" spans="1:51" x14ac:dyDescent="0.35">
      <c r="B13" s="6">
        <v>44943</v>
      </c>
      <c r="C13" s="7" t="s">
        <v>11</v>
      </c>
      <c r="D13" s="9">
        <v>1.9380684278909044E-3</v>
      </c>
      <c r="E13" s="9">
        <v>1.9380684278909044E-3</v>
      </c>
      <c r="F13" s="9">
        <v>-4.8604510498573283E-4</v>
      </c>
      <c r="G13" s="9">
        <v>-4.8604510498573283E-4</v>
      </c>
      <c r="H13" s="35">
        <v>1.9361927962859189E-3</v>
      </c>
      <c r="I13" s="42"/>
      <c r="J13" s="42"/>
    </row>
    <row r="14" spans="1:51" x14ac:dyDescent="0.35">
      <c r="B14" s="6">
        <v>44944</v>
      </c>
      <c r="C14" s="7" t="s">
        <v>11</v>
      </c>
      <c r="D14" s="9">
        <v>-2.1828634413598399E-3</v>
      </c>
      <c r="E14" s="9">
        <v>-2.1828634413598399E-3</v>
      </c>
      <c r="F14" s="9">
        <v>-2.6678475762550447E-3</v>
      </c>
      <c r="G14" s="9">
        <v>-2.6678475762550447E-3</v>
      </c>
      <c r="H14" s="35">
        <v>-2.1852493604844338E-3</v>
      </c>
      <c r="I14" s="42"/>
      <c r="J14" s="42"/>
    </row>
    <row r="15" spans="1:51" x14ac:dyDescent="0.35">
      <c r="B15" s="6">
        <v>44945</v>
      </c>
      <c r="C15" s="7" t="s">
        <v>11</v>
      </c>
      <c r="D15" s="9">
        <v>3.79046319460263E-4</v>
      </c>
      <c r="E15" s="9">
        <v>3.79046319460263E-4</v>
      </c>
      <c r="F15" s="9">
        <v>-2.2898124945995857E-3</v>
      </c>
      <c r="G15" s="9">
        <v>-2.2898124945995857E-3</v>
      </c>
      <c r="H15" s="35">
        <v>3.7897449955216777E-4</v>
      </c>
      <c r="I15" s="42"/>
      <c r="J15" s="42"/>
    </row>
    <row r="16" spans="1:51" x14ac:dyDescent="0.35">
      <c r="B16" s="6">
        <v>44946</v>
      </c>
      <c r="C16" s="7" t="s">
        <v>11</v>
      </c>
      <c r="D16" s="9">
        <v>-2.0352487766855699E-3</v>
      </c>
      <c r="E16" s="9">
        <v>-2.0352487766855699E-3</v>
      </c>
      <c r="F16" s="9">
        <v>-4.3204009332067361E-3</v>
      </c>
      <c r="G16" s="9">
        <v>-4.3204009332067361E-3</v>
      </c>
      <c r="H16" s="35">
        <v>-2.0373227099349479E-3</v>
      </c>
      <c r="I16" s="42"/>
      <c r="J16" s="42"/>
    </row>
    <row r="17" spans="2:10" x14ac:dyDescent="0.35">
      <c r="B17" s="6">
        <v>44949</v>
      </c>
      <c r="C17" s="7" t="s">
        <v>11</v>
      </c>
      <c r="D17" s="9">
        <v>2.49500998004012E-4</v>
      </c>
      <c r="E17" s="9">
        <v>2.49500998004012E-4</v>
      </c>
      <c r="F17" s="9">
        <v>-4.0719778795473838E-3</v>
      </c>
      <c r="G17" s="9">
        <v>-4.0719778795473838E-3</v>
      </c>
      <c r="H17" s="35">
        <v>2.4946987780615219E-4</v>
      </c>
      <c r="I17" s="42"/>
      <c r="J17" s="42"/>
    </row>
    <row r="18" spans="2:10" x14ac:dyDescent="0.35">
      <c r="B18" s="6">
        <v>44950</v>
      </c>
      <c r="C18" s="7" t="s">
        <v>11</v>
      </c>
      <c r="D18" s="9">
        <v>1.0628260327305999E-3</v>
      </c>
      <c r="E18" s="9">
        <v>1.0628260327305999E-3</v>
      </c>
      <c r="F18" s="9">
        <v>-3.013479650911921E-3</v>
      </c>
      <c r="G18" s="9">
        <v>-3.013479650911921E-3</v>
      </c>
      <c r="H18" s="35">
        <v>1.0622616330130416E-3</v>
      </c>
      <c r="I18" s="42"/>
      <c r="J18" s="42"/>
    </row>
    <row r="19" spans="2:10" x14ac:dyDescent="0.35">
      <c r="B19" s="6">
        <v>44951</v>
      </c>
      <c r="C19" s="7" t="s">
        <v>11</v>
      </c>
      <c r="D19" s="9">
        <v>-2.38340284924883E-4</v>
      </c>
      <c r="E19" s="9">
        <v>-2.38340284924883E-4</v>
      </c>
      <c r="F19" s="9">
        <v>-3.2511017022381905E-3</v>
      </c>
      <c r="G19" s="9">
        <v>-3.2511017022381905E-3</v>
      </c>
      <c r="H19" s="35">
        <v>-2.3836869248444094E-4</v>
      </c>
      <c r="I19" s="42"/>
      <c r="J19" s="42"/>
    </row>
    <row r="20" spans="2:10" x14ac:dyDescent="0.35">
      <c r="B20" s="6">
        <v>44952</v>
      </c>
      <c r="C20" s="7" t="s">
        <v>11</v>
      </c>
      <c r="D20" s="9">
        <v>1.3220203070987201E-3</v>
      </c>
      <c r="E20" s="9">
        <v>1.3220203070987201E-3</v>
      </c>
      <c r="F20" s="9">
        <v>-1.9333794176102925E-3</v>
      </c>
      <c r="G20" s="9">
        <v>-1.9333794176102925E-3</v>
      </c>
      <c r="H20" s="35">
        <v>1.3211472076712575E-3</v>
      </c>
      <c r="I20" s="42"/>
      <c r="J20" s="42"/>
    </row>
    <row r="21" spans="2:10" x14ac:dyDescent="0.35">
      <c r="B21" s="6">
        <v>44953</v>
      </c>
      <c r="C21" s="7" t="s">
        <v>11</v>
      </c>
      <c r="D21" s="9">
        <v>2.27260429630471E-4</v>
      </c>
      <c r="E21" s="9">
        <v>2.27260429630471E-4</v>
      </c>
      <c r="F21" s="9">
        <v>-1.7065583686168839E-3</v>
      </c>
      <c r="G21" s="9">
        <v>-1.7065583686168839E-3</v>
      </c>
      <c r="H21" s="35">
        <v>2.2723460989086284E-4</v>
      </c>
      <c r="I21" s="42"/>
      <c r="J21" s="42"/>
    </row>
    <row r="22" spans="2:10" x14ac:dyDescent="0.35">
      <c r="B22" s="6">
        <v>44956</v>
      </c>
      <c r="C22" s="7" t="s">
        <v>11</v>
      </c>
      <c r="D22" s="9">
        <v>1.2983359660702E-3</v>
      </c>
      <c r="E22" s="9">
        <v>1.2983359660702E-3</v>
      </c>
      <c r="F22" s="9">
        <v>-4.104380886549297E-4</v>
      </c>
      <c r="G22" s="9">
        <v>-4.104380886549297E-4</v>
      </c>
      <c r="H22" s="35">
        <v>1.2974938567447761E-3</v>
      </c>
      <c r="I22" s="42"/>
      <c r="J22" s="42"/>
    </row>
    <row r="23" spans="2:10" x14ac:dyDescent="0.35">
      <c r="B23" s="6">
        <v>44957</v>
      </c>
      <c r="C23" s="7" t="s">
        <v>11</v>
      </c>
      <c r="D23" s="9">
        <v>-6.4832623776348098E-5</v>
      </c>
      <c r="E23" s="9">
        <v>-6.4832623776348098E-5</v>
      </c>
      <c r="F23" s="9">
        <v>-4.7524410265309402E-4</v>
      </c>
      <c r="G23" s="9">
        <v>-4.7524410265309402E-4</v>
      </c>
      <c r="H23" s="35">
        <v>-6.4834725501716642E-5</v>
      </c>
      <c r="I23" s="42"/>
      <c r="J23" s="42"/>
    </row>
    <row r="24" spans="2:10" x14ac:dyDescent="0.35">
      <c r="B24" s="6">
        <v>44958</v>
      </c>
      <c r="C24" s="7" t="s">
        <v>11</v>
      </c>
      <c r="D24" s="9">
        <v>-2.2584828182407998E-3</v>
      </c>
      <c r="E24" s="9">
        <v>-2.2584828182407998E-3</v>
      </c>
      <c r="F24" s="9">
        <v>-2.732653590253542E-3</v>
      </c>
      <c r="G24" s="9">
        <v>-2.732653590253542E-3</v>
      </c>
      <c r="H24" s="35">
        <v>-2.2610370370585091E-3</v>
      </c>
      <c r="I24" s="42"/>
      <c r="J24" s="42"/>
    </row>
    <row r="25" spans="2:10" x14ac:dyDescent="0.35">
      <c r="B25" s="6">
        <v>44959</v>
      </c>
      <c r="C25" s="7" t="s">
        <v>11</v>
      </c>
      <c r="D25" s="9">
        <v>-4.0614744776943804E-3</v>
      </c>
      <c r="E25" s="9">
        <v>-4.0614744776943804E-3</v>
      </c>
      <c r="F25" s="9">
        <v>-6.783029465134649E-3</v>
      </c>
      <c r="G25" s="9">
        <v>-6.783029465134649E-3</v>
      </c>
      <c r="H25" s="35">
        <v>-4.0697446655274579E-3</v>
      </c>
      <c r="I25" s="42"/>
      <c r="J25" s="42"/>
    </row>
    <row r="26" spans="2:10" x14ac:dyDescent="0.35">
      <c r="B26" s="6">
        <v>44960</v>
      </c>
      <c r="C26" s="7" t="s">
        <v>11</v>
      </c>
      <c r="D26" s="9">
        <v>2.5011962242813798E-4</v>
      </c>
      <c r="E26" s="9">
        <v>2.5011962242813798E-4</v>
      </c>
      <c r="F26" s="9">
        <v>-6.5346064114752966E-3</v>
      </c>
      <c r="G26" s="9">
        <v>-6.5346064114752966E-3</v>
      </c>
      <c r="H26" s="35">
        <v>2.5008834773011996E-4</v>
      </c>
      <c r="I26" s="42"/>
      <c r="J26" s="42"/>
    </row>
    <row r="27" spans="2:10" x14ac:dyDescent="0.35">
      <c r="B27" s="6">
        <v>44963</v>
      </c>
      <c r="C27" s="7" t="s">
        <v>11</v>
      </c>
      <c r="D27" s="9">
        <v>-1.5220865632371101E-4</v>
      </c>
      <c r="E27" s="9">
        <v>-1.5220865632371101E-4</v>
      </c>
      <c r="F27" s="9">
        <v>-6.685820444137458E-3</v>
      </c>
      <c r="G27" s="9">
        <v>-6.685820444137458E-3</v>
      </c>
      <c r="H27" s="35">
        <v>-1.5222024123679882E-4</v>
      </c>
      <c r="I27" s="42"/>
      <c r="J27" s="42"/>
    </row>
    <row r="28" spans="2:10" x14ac:dyDescent="0.35">
      <c r="B28" s="6">
        <v>44964</v>
      </c>
      <c r="C28" s="7" t="s">
        <v>11</v>
      </c>
      <c r="D28" s="9">
        <v>-5.21937693687836E-4</v>
      </c>
      <c r="E28" s="9">
        <v>-5.21937693687836E-4</v>
      </c>
      <c r="F28" s="9">
        <v>-7.2042685561222175E-3</v>
      </c>
      <c r="G28" s="9">
        <v>-7.2042685561222175E-3</v>
      </c>
      <c r="H28" s="35">
        <v>-5.2207395057964913E-4</v>
      </c>
      <c r="I28" s="42"/>
      <c r="J28" s="42"/>
    </row>
    <row r="29" spans="2:10" x14ac:dyDescent="0.35">
      <c r="B29" s="6">
        <v>44965</v>
      </c>
      <c r="C29" s="7" t="s">
        <v>11</v>
      </c>
      <c r="D29" s="9">
        <v>1.3381637781912099E-3</v>
      </c>
      <c r="E29" s="9">
        <v>1.3381637781912099E-3</v>
      </c>
      <c r="F29" s="9">
        <v>-5.8757452691611256E-3</v>
      </c>
      <c r="G29" s="9">
        <v>-5.8757452691611256E-3</v>
      </c>
      <c r="H29" s="35">
        <v>1.3372692349839452E-3</v>
      </c>
      <c r="I29" s="42"/>
      <c r="J29" s="42"/>
    </row>
    <row r="30" spans="2:10" x14ac:dyDescent="0.35">
      <c r="B30" s="6">
        <v>44966</v>
      </c>
      <c r="C30" s="7" t="s">
        <v>11</v>
      </c>
      <c r="D30" s="9">
        <v>-2.9769665362885801E-3</v>
      </c>
      <c r="E30" s="9">
        <v>-2.9769665362885801E-3</v>
      </c>
      <c r="F30" s="9">
        <v>-8.8352199084076322E-3</v>
      </c>
      <c r="G30" s="9">
        <v>-8.8352199084076322E-3</v>
      </c>
      <c r="H30" s="35">
        <v>-2.9814065151361055E-3</v>
      </c>
      <c r="I30" s="42"/>
      <c r="J30" s="42"/>
    </row>
    <row r="31" spans="2:10" x14ac:dyDescent="0.35">
      <c r="B31" s="6">
        <v>44967</v>
      </c>
      <c r="C31" s="7" t="s">
        <v>11</v>
      </c>
      <c r="D31" s="9">
        <v>2.04868905694919E-3</v>
      </c>
      <c r="E31" s="9">
        <v>2.04868905694919E-3</v>
      </c>
      <c r="F31" s="9">
        <v>-6.8046314698005927E-3</v>
      </c>
      <c r="G31" s="9">
        <v>-6.8046314698005927E-3</v>
      </c>
      <c r="H31" s="35">
        <v>2.0465933553289275E-3</v>
      </c>
      <c r="I31" s="42"/>
      <c r="J31" s="42"/>
    </row>
    <row r="32" spans="2:10" x14ac:dyDescent="0.35">
      <c r="B32" s="6">
        <v>44970</v>
      </c>
      <c r="C32" s="7" t="s">
        <v>11</v>
      </c>
      <c r="D32" s="9">
        <v>-7.5037518759373304E-4</v>
      </c>
      <c r="E32" s="9">
        <v>-7.5037518759373304E-4</v>
      </c>
      <c r="F32" s="9">
        <v>-7.5499006307786498E-3</v>
      </c>
      <c r="G32" s="9">
        <v>-7.5499006307786498E-3</v>
      </c>
      <c r="H32" s="35">
        <v>-7.5065685997022246E-4</v>
      </c>
      <c r="I32" s="42"/>
      <c r="J32" s="42"/>
    </row>
    <row r="33" spans="2:10" x14ac:dyDescent="0.35">
      <c r="B33" s="6">
        <v>44971</v>
      </c>
      <c r="C33" s="7" t="s">
        <v>11</v>
      </c>
      <c r="D33" s="9">
        <v>-1.4148119932523901E-4</v>
      </c>
      <c r="E33" s="9">
        <v>-1.4148119932523901E-4</v>
      </c>
      <c r="F33" s="9">
        <v>-7.6903136611078393E-3</v>
      </c>
      <c r="G33" s="9">
        <v>-7.6903136611078393E-3</v>
      </c>
      <c r="H33" s="35">
        <v>-1.414912087342097E-4</v>
      </c>
      <c r="I33" s="42"/>
      <c r="J33" s="42"/>
    </row>
    <row r="34" spans="2:10" x14ac:dyDescent="0.35">
      <c r="B34" s="6">
        <v>44972</v>
      </c>
      <c r="C34" s="7" t="s">
        <v>11</v>
      </c>
      <c r="D34" s="9">
        <v>2.0463253221873899E-3</v>
      </c>
      <c r="E34" s="9">
        <v>2.0463253221873899E-3</v>
      </c>
      <c r="F34" s="9">
        <v>-5.6597252225006889E-3</v>
      </c>
      <c r="G34" s="9">
        <v>-5.6597252225006889E-3</v>
      </c>
      <c r="H34" s="35">
        <v>2.0442344504419409E-3</v>
      </c>
      <c r="I34" s="42"/>
      <c r="J34" s="42"/>
    </row>
    <row r="35" spans="2:10" x14ac:dyDescent="0.35">
      <c r="B35" s="6">
        <v>44973</v>
      </c>
      <c r="C35" s="7" t="s">
        <v>11</v>
      </c>
      <c r="D35" s="9">
        <v>8.6899847925261205E-4</v>
      </c>
      <c r="E35" s="9">
        <v>8.6899847925261205E-4</v>
      </c>
      <c r="F35" s="9">
        <v>-4.795645035859275E-3</v>
      </c>
      <c r="G35" s="9">
        <v>-4.795645035859275E-3</v>
      </c>
      <c r="H35" s="35">
        <v>8.6862111867558529E-4</v>
      </c>
      <c r="I35" s="42"/>
      <c r="J35" s="42"/>
    </row>
    <row r="36" spans="2:10" x14ac:dyDescent="0.35">
      <c r="B36" s="6">
        <v>44974</v>
      </c>
      <c r="C36" s="7" t="s">
        <v>11</v>
      </c>
      <c r="D36" s="9">
        <v>1.4108964619058699E-3</v>
      </c>
      <c r="E36" s="9">
        <v>1.4108964619058699E-3</v>
      </c>
      <c r="F36" s="9">
        <v>-3.3915147325669359E-3</v>
      </c>
      <c r="G36" s="9">
        <v>-3.3915147325669359E-3</v>
      </c>
      <c r="H36" s="35">
        <v>1.4099020826936987E-3</v>
      </c>
      <c r="I36" s="42"/>
      <c r="J36" s="42"/>
    </row>
    <row r="37" spans="2:10" x14ac:dyDescent="0.35">
      <c r="B37" s="6">
        <v>44978</v>
      </c>
      <c r="C37" s="7" t="s">
        <v>11</v>
      </c>
      <c r="D37" s="43">
        <v>-5.4188793757448117E-4</v>
      </c>
      <c r="E37" s="43">
        <v>-5.4188793757448117E-4</v>
      </c>
      <c r="F37" s="43">
        <v>-3.9315648492177502E-3</v>
      </c>
      <c r="G37" s="43">
        <v>-3.9315648492177502E-3</v>
      </c>
      <c r="H37" s="44">
        <v>-5.420348119049409E-4</v>
      </c>
      <c r="I37" s="42"/>
      <c r="J37" s="42"/>
    </row>
    <row r="38" spans="2:10" x14ac:dyDescent="0.35">
      <c r="B38" s="6">
        <v>44979</v>
      </c>
      <c r="C38" s="7" t="s">
        <v>11</v>
      </c>
      <c r="D38" s="43">
        <v>1.71329429624802E-3</v>
      </c>
      <c r="E38" s="43">
        <v>1.71329429624802E-3</v>
      </c>
      <c r="F38" s="43">
        <v>-2.2250064806010883E-3</v>
      </c>
      <c r="G38" s="43">
        <v>-2.2250064806010883E-3</v>
      </c>
      <c r="H38" s="44">
        <v>1.7118282818125946E-3</v>
      </c>
      <c r="I38" s="42"/>
      <c r="J38" s="42"/>
    </row>
    <row r="39" spans="2:10" x14ac:dyDescent="0.35">
      <c r="B39" s="6">
        <v>44980</v>
      </c>
      <c r="C39" s="7" t="s">
        <v>11</v>
      </c>
      <c r="D39" s="9">
        <v>4.9795405832561495E-4</v>
      </c>
      <c r="E39" s="9">
        <v>4.9795405832561495E-4</v>
      </c>
      <c r="F39" s="43">
        <v>-1.7281603732822726E-3</v>
      </c>
      <c r="G39" s="43">
        <v>-1.7281603732822726E-3</v>
      </c>
      <c r="H39" s="35">
        <v>4.9783012034544986E-4</v>
      </c>
      <c r="I39" s="42"/>
      <c r="J39" s="42"/>
    </row>
    <row r="40" spans="2:10" x14ac:dyDescent="0.35">
      <c r="B40" s="6">
        <v>44981</v>
      </c>
      <c r="C40" s="7" t="s">
        <v>11</v>
      </c>
      <c r="D40" s="9">
        <v>1.29836406128283E-4</v>
      </c>
      <c r="E40" s="9">
        <v>1.29836406128283E-4</v>
      </c>
      <c r="F40" s="43">
        <v>-1.598548345286166E-3</v>
      </c>
      <c r="G40" s="43">
        <v>-1.598548345286166E-3</v>
      </c>
      <c r="H40" s="35">
        <v>1.2982797811150382E-4</v>
      </c>
      <c r="I40" s="42"/>
      <c r="J40" s="42"/>
    </row>
    <row r="41" spans="2:10" x14ac:dyDescent="0.35">
      <c r="B41" s="6">
        <v>44984</v>
      </c>
      <c r="C41" s="7" t="s">
        <v>11</v>
      </c>
      <c r="D41" s="9">
        <v>-5.3009649919945605E-4</v>
      </c>
      <c r="E41" s="9">
        <v>-5.3009649919945605E-4</v>
      </c>
      <c r="F41" s="43">
        <v>-2.1277974596040083E-3</v>
      </c>
      <c r="G41" s="43">
        <v>-2.1277974596040083E-3</v>
      </c>
      <c r="H41" s="35">
        <v>-5.3023705002119836E-4</v>
      </c>
      <c r="I41" s="42"/>
      <c r="J41" s="42"/>
    </row>
    <row r="42" spans="2:10" x14ac:dyDescent="0.35">
      <c r="B42" s="6">
        <v>44985</v>
      </c>
      <c r="C42" s="7" t="s">
        <v>11</v>
      </c>
      <c r="D42" s="9">
        <v>2.0565664000339999E-4</v>
      </c>
      <c r="E42" s="9">
        <v>2.0565664000339999E-4</v>
      </c>
      <c r="F42" s="43">
        <v>-1.9225784152766545E-3</v>
      </c>
      <c r="G42" s="43">
        <v>-1.9225784152766545E-3</v>
      </c>
      <c r="H42" s="35">
        <v>2.0563549557564936E-4</v>
      </c>
      <c r="I42" s="42"/>
      <c r="J42" s="42"/>
    </row>
    <row r="43" spans="2:10" x14ac:dyDescent="0.35">
      <c r="B43" s="6">
        <v>44986</v>
      </c>
      <c r="C43" s="7" t="s">
        <v>11</v>
      </c>
      <c r="D43" s="9">
        <v>-7.7917018375420796E-4</v>
      </c>
      <c r="E43" s="9">
        <v>-7.7917018375420796E-4</v>
      </c>
      <c r="F43" s="9">
        <v>-2.7002505832537382E-3</v>
      </c>
      <c r="G43" s="9">
        <v>-2.7002505832537382E-3</v>
      </c>
      <c r="H43" s="35">
        <v>-7.7947389461367864E-4</v>
      </c>
    </row>
    <row r="44" spans="2:10" x14ac:dyDescent="0.35">
      <c r="B44" s="6">
        <v>44987</v>
      </c>
      <c r="C44" s="7" t="s">
        <v>11</v>
      </c>
      <c r="D44" s="9">
        <v>7.6894751662434505E-4</v>
      </c>
      <c r="E44" s="9">
        <v>7.6894751662434505E-4</v>
      </c>
      <c r="F44" s="9">
        <v>-1.9333794176096264E-3</v>
      </c>
      <c r="G44" s="9">
        <v>-1.9333794176096264E-3</v>
      </c>
      <c r="H44" s="35">
        <v>7.6865202794986528E-4</v>
      </c>
    </row>
    <row r="45" spans="2:10" x14ac:dyDescent="0.35">
      <c r="B45" s="6">
        <v>44988</v>
      </c>
      <c r="C45" s="7" t="s">
        <v>11</v>
      </c>
      <c r="D45" s="9">
        <v>1.40685027866453E-4</v>
      </c>
      <c r="E45" s="9">
        <v>1.40685027866453E-4</v>
      </c>
      <c r="F45" s="9">
        <v>-1.7929663872804369E-3</v>
      </c>
      <c r="G45" s="9">
        <v>-1.7929663872804369E-3</v>
      </c>
      <c r="H45" s="35">
        <v>1.4067513265598883E-4</v>
      </c>
    </row>
    <row r="46" spans="2:10" x14ac:dyDescent="0.35">
      <c r="B46" s="6">
        <v>44991</v>
      </c>
      <c r="C46" s="7" t="s">
        <v>11</v>
      </c>
      <c r="D46" s="9">
        <v>-1.09286069813239E-3</v>
      </c>
      <c r="E46" s="9">
        <v>-1.09286069813239E-3</v>
      </c>
      <c r="F46" s="9">
        <v>-2.8838676229151483E-3</v>
      </c>
      <c r="G46" s="9">
        <v>-2.8838676229151483E-3</v>
      </c>
      <c r="H46" s="35">
        <v>-1.0934583058261587E-3</v>
      </c>
    </row>
    <row r="47" spans="2:10" x14ac:dyDescent="0.35">
      <c r="B47" s="6">
        <v>44992</v>
      </c>
      <c r="C47" s="7" t="s">
        <v>11</v>
      </c>
      <c r="D47" s="9">
        <v>1.0182306617416701E-3</v>
      </c>
      <c r="E47" s="9">
        <v>1.0182306617416701E-3</v>
      </c>
      <c r="F47" s="9">
        <v>-1.8685734036115731E-3</v>
      </c>
      <c r="G47" s="9">
        <v>-1.8685734036115731E-3</v>
      </c>
      <c r="H47" s="35">
        <v>1.0177126165312701E-3</v>
      </c>
    </row>
    <row r="48" spans="2:10" x14ac:dyDescent="0.35">
      <c r="B48" s="6">
        <v>44993</v>
      </c>
      <c r="C48" s="7" t="s">
        <v>11</v>
      </c>
      <c r="D48" s="9">
        <v>1.9045351743839901E-3</v>
      </c>
      <c r="E48" s="9">
        <v>1.9045351743839901E-3</v>
      </c>
      <c r="F48" s="9">
        <v>3.2403006999359718E-5</v>
      </c>
      <c r="G48" s="9">
        <v>3.2403006999359718E-5</v>
      </c>
      <c r="H48" s="35">
        <v>1.9027238467289977E-3</v>
      </c>
    </row>
    <row r="49" spans="2:8" x14ac:dyDescent="0.35">
      <c r="B49" s="6">
        <v>44994</v>
      </c>
      <c r="C49" s="7" t="s">
        <v>11</v>
      </c>
      <c r="D49" s="9">
        <v>4.3202609437607598E-4</v>
      </c>
      <c r="E49" s="9">
        <v>4.3202609437607598E-4</v>
      </c>
      <c r="F49" s="9">
        <v>4.6444310032001113E-4</v>
      </c>
      <c r="G49" s="9">
        <v>4.6444310032001113E-4</v>
      </c>
      <c r="H49" s="35">
        <v>4.3193279797289029E-4</v>
      </c>
    </row>
    <row r="50" spans="2:8" x14ac:dyDescent="0.35">
      <c r="B50" s="6">
        <v>44995</v>
      </c>
      <c r="C50" s="7" t="s">
        <v>11</v>
      </c>
      <c r="D50" s="9">
        <v>1.5114383495091799E-4</v>
      </c>
      <c r="E50" s="9">
        <v>1.5114383495091799E-4</v>
      </c>
      <c r="F50" s="9">
        <v>6.1565713298206148E-4</v>
      </c>
      <c r="G50" s="9">
        <v>6.1565713298206148E-4</v>
      </c>
      <c r="H50" s="35">
        <v>1.5113241387223168E-4</v>
      </c>
    </row>
    <row r="51" spans="2:8" x14ac:dyDescent="0.35">
      <c r="B51" s="6">
        <v>44998</v>
      </c>
      <c r="C51" s="7" t="s">
        <v>11</v>
      </c>
      <c r="D51" s="9">
        <v>-1.6731252900982899E-3</v>
      </c>
      <c r="E51" s="9">
        <v>-1.6731252900982899E-3</v>
      </c>
      <c r="F51" s="9">
        <v>-1.0584982286354627E-3</v>
      </c>
      <c r="G51" s="9">
        <v>-1.0584982286354627E-3</v>
      </c>
      <c r="H51" s="35">
        <v>-1.6745265273983387E-3</v>
      </c>
    </row>
    <row r="52" spans="2:8" x14ac:dyDescent="0.35">
      <c r="B52" s="6">
        <v>44999</v>
      </c>
      <c r="C52" s="7" t="s">
        <v>11</v>
      </c>
      <c r="D52" s="9">
        <v>-6.0549704820195402E-4</v>
      </c>
      <c r="E52" s="9">
        <v>-6.0549704820195402E-4</v>
      </c>
      <c r="F52" s="9">
        <v>-1.6633543592845523E-3</v>
      </c>
      <c r="G52" s="9">
        <v>-1.6633543592845523E-3</v>
      </c>
      <c r="H52" s="35">
        <v>-6.0568043557044228E-4</v>
      </c>
    </row>
    <row r="53" spans="2:8" x14ac:dyDescent="0.35">
      <c r="B53" s="6">
        <v>45000</v>
      </c>
      <c r="C53" s="7" t="s">
        <v>11</v>
      </c>
      <c r="D53" s="9">
        <v>-8.2224386021853405E-4</v>
      </c>
      <c r="E53" s="9">
        <v>-8.2224386021853405E-4</v>
      </c>
      <c r="F53" s="9">
        <v>-2.4842305365938566E-3</v>
      </c>
      <c r="G53" s="9">
        <v>-2.4842305365938566E-3</v>
      </c>
      <c r="H53" s="35">
        <v>-8.2258208811798218E-4</v>
      </c>
    </row>
    <row r="54" spans="2:8" x14ac:dyDescent="0.35">
      <c r="B54" s="6">
        <v>45001</v>
      </c>
      <c r="C54" s="7" t="s">
        <v>11</v>
      </c>
      <c r="D54" s="9">
        <v>-6.3884617883353E-4</v>
      </c>
      <c r="E54" s="9">
        <v>-6.3884617883353E-4</v>
      </c>
      <c r="F54" s="9">
        <v>-3.1214896742417508E-3</v>
      </c>
      <c r="G54" s="9">
        <v>-3.1214896742417508E-3</v>
      </c>
      <c r="H54" s="35">
        <v>-6.3905032800493284E-4</v>
      </c>
    </row>
    <row r="55" spans="2:8" x14ac:dyDescent="0.35">
      <c r="B55" s="6">
        <v>45002</v>
      </c>
      <c r="C55" s="7" t="s">
        <v>11</v>
      </c>
      <c r="D55" s="9">
        <v>-6.5008938729139301E-5</v>
      </c>
      <c r="E55" s="9">
        <v>-6.5008938729139301E-5</v>
      </c>
      <c r="F55" s="9">
        <v>-3.1862956882399152E-3</v>
      </c>
      <c r="G55" s="9">
        <v>-3.1862956882399152E-3</v>
      </c>
      <c r="H55" s="35">
        <v>-6.501105190182426E-5</v>
      </c>
    </row>
    <row r="56" spans="2:8" x14ac:dyDescent="0.35">
      <c r="B56" s="6">
        <v>45005</v>
      </c>
      <c r="C56" s="7" t="s">
        <v>11</v>
      </c>
      <c r="D56" s="9">
        <v>9.4269089490622295E-4</v>
      </c>
      <c r="E56" s="9">
        <v>9.4269089490622295E-4</v>
      </c>
      <c r="F56" s="9">
        <v>-2.2466084852674761E-3</v>
      </c>
      <c r="G56" s="9">
        <v>-2.2466084852674761E-3</v>
      </c>
      <c r="H56" s="35">
        <v>9.4224684089304139E-4</v>
      </c>
    </row>
    <row r="57" spans="2:8" x14ac:dyDescent="0.35">
      <c r="B57" s="6">
        <v>45006</v>
      </c>
      <c r="C57" s="7" t="s">
        <v>11</v>
      </c>
      <c r="D57" s="9">
        <v>2.2733177448691901E-4</v>
      </c>
      <c r="E57" s="9">
        <v>2.2733177448691901E-4</v>
      </c>
      <c r="F57" s="9">
        <v>-2.0197874362740675E-3</v>
      </c>
      <c r="G57" s="9">
        <v>-2.0197874362740675E-3</v>
      </c>
      <c r="H57" s="35">
        <v>2.2730593853460723E-4</v>
      </c>
    </row>
    <row r="58" spans="2:8" x14ac:dyDescent="0.35">
      <c r="B58" s="6">
        <v>45007</v>
      </c>
      <c r="C58" s="7" t="s">
        <v>11</v>
      </c>
      <c r="D58" s="9">
        <v>-5.4114311070779599E-5</v>
      </c>
      <c r="E58" s="9">
        <v>-5.4114311070779599E-5</v>
      </c>
      <c r="F58" s="9">
        <v>-2.07379244793926E-3</v>
      </c>
      <c r="G58" s="9">
        <v>-2.07379244793926E-3</v>
      </c>
      <c r="H58" s="35">
        <v>-5.411577530298527E-5</v>
      </c>
    </row>
    <row r="59" spans="2:8" x14ac:dyDescent="0.35">
      <c r="B59" s="6">
        <v>45008</v>
      </c>
      <c r="C59" s="7" t="s">
        <v>11</v>
      </c>
      <c r="D59" s="9">
        <v>1.08234479175711E-4</v>
      </c>
      <c r="E59" s="9">
        <v>1.08234479175711E-4</v>
      </c>
      <c r="F59" s="9">
        <v>-1.9657824246090971E-3</v>
      </c>
      <c r="G59" s="9">
        <v>-1.9657824246090971E-3</v>
      </c>
      <c r="H59" s="35">
        <v>1.0822862224699785E-4</v>
      </c>
    </row>
    <row r="60" spans="2:8" x14ac:dyDescent="0.35">
      <c r="B60" s="6">
        <v>45009</v>
      </c>
      <c r="C60" s="7" t="s">
        <v>11</v>
      </c>
      <c r="D60" s="9">
        <v>-5.7358065842727697E-4</v>
      </c>
      <c r="E60" s="9">
        <v>-5.7358065842727697E-4</v>
      </c>
      <c r="F60" s="9">
        <v>-2.538235548258938E-3</v>
      </c>
      <c r="G60" s="9">
        <v>-2.538235548258938E-3</v>
      </c>
      <c r="H60" s="35">
        <v>-5.7374521874188709E-4</v>
      </c>
    </row>
    <row r="61" spans="2:8" x14ac:dyDescent="0.35">
      <c r="B61" s="6">
        <v>45012</v>
      </c>
      <c r="C61" s="7" t="s">
        <v>11</v>
      </c>
      <c r="D61" s="9">
        <v>1.40770338606802E-3</v>
      </c>
      <c r="E61" s="9">
        <v>1.40770338606802E-3</v>
      </c>
      <c r="F61" s="9">
        <v>-1.134105244966821E-3</v>
      </c>
      <c r="G61" s="9">
        <v>-1.134105244966821E-3</v>
      </c>
      <c r="H61" s="35">
        <v>1.4067135005243455E-3</v>
      </c>
    </row>
    <row r="62" spans="2:8" x14ac:dyDescent="0.35">
      <c r="B62" s="6">
        <v>45013</v>
      </c>
      <c r="C62" s="7" t="s">
        <v>11</v>
      </c>
      <c r="D62" s="9">
        <v>-1.08132657143686E-4</v>
      </c>
      <c r="E62" s="9">
        <v>-1.08132657143686E-4</v>
      </c>
      <c r="F62" s="9">
        <v>-1.2421152682968728E-3</v>
      </c>
      <c r="G62" s="9">
        <v>-1.2421152682968728E-3</v>
      </c>
      <c r="H62" s="35">
        <v>-1.0813850390096922E-4</v>
      </c>
    </row>
    <row r="63" spans="2:8" x14ac:dyDescent="0.35">
      <c r="B63" s="6">
        <v>45014</v>
      </c>
      <c r="C63" s="7" t="s">
        <v>11</v>
      </c>
      <c r="D63" s="9">
        <v>3.0280418302347002E-4</v>
      </c>
      <c r="E63" s="9">
        <v>3.0280418302347002E-4</v>
      </c>
      <c r="F63" s="9">
        <v>-9.39687202972328E-4</v>
      </c>
      <c r="G63" s="9">
        <v>-9.39687202972328E-4</v>
      </c>
      <c r="H63" s="35">
        <v>3.0275834708954393E-4</v>
      </c>
    </row>
    <row r="64" spans="2:8" x14ac:dyDescent="0.35">
      <c r="B64" s="6">
        <v>45015</v>
      </c>
      <c r="C64" s="7" t="s">
        <v>11</v>
      </c>
      <c r="D64" s="9">
        <v>-8.6489291544598001E-4</v>
      </c>
      <c r="E64" s="9">
        <v>-8.6489291544598001E-4</v>
      </c>
      <c r="F64" s="9">
        <v>-1.8037673896137418E-3</v>
      </c>
      <c r="G64" s="9">
        <v>-1.8037673896137418E-3</v>
      </c>
      <c r="H64" s="35">
        <v>-8.6526715112167981E-4</v>
      </c>
    </row>
    <row r="65" spans="2:8" x14ac:dyDescent="0.35">
      <c r="B65" s="6">
        <v>45016</v>
      </c>
      <c r="C65" s="7" t="s">
        <v>11</v>
      </c>
      <c r="D65" s="9">
        <v>-1.94769360615417E-4</v>
      </c>
      <c r="E65" s="9">
        <v>-1.94769360615417E-4</v>
      </c>
      <c r="F65" s="9">
        <v>-1.9981854316080128E-3</v>
      </c>
      <c r="G65" s="9">
        <v>-1.9981854316080128E-3</v>
      </c>
      <c r="H65" s="35">
        <v>-1.9478833063060787E-4</v>
      </c>
    </row>
    <row r="66" spans="2:8" x14ac:dyDescent="0.35">
      <c r="B66" s="6">
        <v>45019</v>
      </c>
      <c r="C66" s="7" t="s">
        <v>11</v>
      </c>
      <c r="D66" s="9">
        <v>3.7879197826818799E-4</v>
      </c>
      <c r="E66" s="9">
        <v>3.7879197826818799E-4</v>
      </c>
      <c r="F66" s="9">
        <v>-1.6201503499523318E-3</v>
      </c>
      <c r="G66" s="9">
        <v>-1.6201503499523318E-3</v>
      </c>
      <c r="H66" s="35">
        <v>3.7872025469852592E-4</v>
      </c>
    </row>
    <row r="67" spans="2:8" x14ac:dyDescent="0.35">
      <c r="B67" s="6">
        <v>45020</v>
      </c>
      <c r="C67" s="7" t="s">
        <v>11</v>
      </c>
      <c r="D67" s="9">
        <v>1.0818529978136699E-5</v>
      </c>
      <c r="E67" s="9">
        <v>1.0818529978136699E-5</v>
      </c>
      <c r="F67" s="9">
        <v>-1.6093493476193599E-3</v>
      </c>
      <c r="G67" s="9">
        <v>-1.6093493476193599E-3</v>
      </c>
      <c r="H67" s="35">
        <v>1.0818471458211589E-5</v>
      </c>
    </row>
    <row r="68" spans="2:8" x14ac:dyDescent="0.35">
      <c r="B68" s="6">
        <v>45021</v>
      </c>
      <c r="C68" s="7" t="s">
        <v>11</v>
      </c>
      <c r="D68" s="9">
        <v>-2.0879536971926899E-3</v>
      </c>
      <c r="E68" s="9">
        <v>-2.0879536971926899E-3</v>
      </c>
      <c r="F68" s="9">
        <v>-3.6939427978915917E-3</v>
      </c>
      <c r="G68" s="9">
        <v>-3.6939427978915917E-3</v>
      </c>
      <c r="H68" s="35">
        <v>-2.0901365114528651E-3</v>
      </c>
    </row>
    <row r="69" spans="2:8" x14ac:dyDescent="0.35">
      <c r="B69" s="6">
        <v>45022</v>
      </c>
      <c r="C69" s="7" t="s">
        <v>11</v>
      </c>
      <c r="D69" s="9">
        <v>-2.8186726220159002E-4</v>
      </c>
      <c r="E69" s="9">
        <v>-2.8186726220159002E-4</v>
      </c>
      <c r="F69" s="9">
        <v>-3.9747688585499708E-3</v>
      </c>
      <c r="G69" s="9">
        <v>-3.9747688585499708E-3</v>
      </c>
      <c r="H69" s="35">
        <v>-2.8190699424461899E-4</v>
      </c>
    </row>
    <row r="70" spans="2:8" x14ac:dyDescent="0.35">
      <c r="B70" s="6">
        <v>45026</v>
      </c>
      <c r="C70" s="7" t="s">
        <v>11</v>
      </c>
      <c r="D70" s="9"/>
      <c r="E70" s="9"/>
      <c r="F70" s="9"/>
      <c r="G70" s="9"/>
      <c r="H70" s="35"/>
    </row>
    <row r="71" spans="2:8" x14ac:dyDescent="0.35">
      <c r="B71" s="6">
        <v>45027</v>
      </c>
      <c r="C71" s="7" t="s">
        <v>11</v>
      </c>
      <c r="D71" s="9">
        <v>-4.0123189034441402E-4</v>
      </c>
      <c r="E71" s="9">
        <v>-4.0123189034441402E-4</v>
      </c>
      <c r="F71" s="9">
        <v>-4.3744059448715955E-3</v>
      </c>
      <c r="G71" s="9">
        <v>-4.3744059448715955E-3</v>
      </c>
      <c r="H71" s="35">
        <v>-4.0131240539690612E-4</v>
      </c>
    </row>
    <row r="72" spans="2:8" x14ac:dyDescent="0.35">
      <c r="B72" s="6">
        <v>45028</v>
      </c>
      <c r="C72" s="7" t="s">
        <v>11</v>
      </c>
      <c r="D72" s="9">
        <v>-7.5939205241905806E-5</v>
      </c>
      <c r="E72" s="9">
        <v>-7.5939205241905806E-5</v>
      </c>
      <c r="F72" s="9">
        <v>-4.4500129612027317E-3</v>
      </c>
      <c r="G72" s="9">
        <v>-4.4500129612027317E-3</v>
      </c>
      <c r="H72" s="35">
        <v>-7.5942088769388581E-5</v>
      </c>
    </row>
    <row r="73" spans="2:8" x14ac:dyDescent="0.35">
      <c r="B73" s="6">
        <v>45029</v>
      </c>
      <c r="C73" s="7" t="s">
        <v>11</v>
      </c>
      <c r="D73" s="9">
        <v>1.6165429848544099E-3</v>
      </c>
      <c r="E73" s="9">
        <v>1.6165429848544099E-3</v>
      </c>
      <c r="F73" s="9">
        <v>-2.8406636135831498E-3</v>
      </c>
      <c r="G73" s="9">
        <v>-2.8406636135831498E-3</v>
      </c>
      <c r="H73" s="35">
        <v>1.6152377856612761E-3</v>
      </c>
    </row>
    <row r="74" spans="2:8" x14ac:dyDescent="0.35">
      <c r="B74" s="6">
        <v>45030</v>
      </c>
      <c r="C74" s="7" t="s">
        <v>11</v>
      </c>
      <c r="D74" s="9">
        <v>-1.19149489281977E-4</v>
      </c>
      <c r="E74" s="9">
        <v>-1.19149489281977E-4</v>
      </c>
      <c r="F74" s="9">
        <v>-2.9594746392462845E-3</v>
      </c>
      <c r="G74" s="9">
        <v>-2.9594746392462845E-3</v>
      </c>
      <c r="H74" s="35">
        <v>-1.1915658814622107E-4</v>
      </c>
    </row>
    <row r="75" spans="2:8" x14ac:dyDescent="0.35">
      <c r="B75" s="6">
        <v>45033</v>
      </c>
      <c r="C75" s="7" t="s">
        <v>11</v>
      </c>
      <c r="D75" s="9">
        <v>-1.75495612609685E-3</v>
      </c>
      <c r="E75" s="9">
        <v>-1.75495612609685E-3</v>
      </c>
      <c r="F75" s="9">
        <v>-4.7092370171949449E-3</v>
      </c>
      <c r="G75" s="9">
        <v>-4.7092370171949449E-3</v>
      </c>
      <c r="H75" s="35">
        <v>-1.7564978656533787E-3</v>
      </c>
    </row>
    <row r="76" spans="2:8" x14ac:dyDescent="0.35">
      <c r="B76" s="6">
        <v>45034</v>
      </c>
      <c r="C76" s="7" t="s">
        <v>11</v>
      </c>
      <c r="D76" s="9">
        <v>1.89911880887268E-3</v>
      </c>
      <c r="E76" s="9">
        <v>1.89911880887268E-3</v>
      </c>
      <c r="F76" s="9">
        <v>-2.819061608917095E-3</v>
      </c>
      <c r="G76" s="9">
        <v>-2.819061608917095E-3</v>
      </c>
      <c r="H76" s="35">
        <v>1.8973177626541624E-3</v>
      </c>
    </row>
    <row r="77" spans="2:8" x14ac:dyDescent="0.35">
      <c r="B77" s="6">
        <v>45035</v>
      </c>
      <c r="C77" s="7" t="s">
        <v>11</v>
      </c>
      <c r="D77" s="9">
        <v>-4.9825070675783498E-4</v>
      </c>
      <c r="E77" s="9">
        <v>-4.9825070675783498E-4</v>
      </c>
      <c r="F77" s="9">
        <v>-3.3159077162357997E-3</v>
      </c>
      <c r="G77" s="9">
        <v>-3.3159077162357997E-3</v>
      </c>
      <c r="H77" s="35">
        <v>-4.9837487488747431E-4</v>
      </c>
    </row>
    <row r="78" spans="2:8" x14ac:dyDescent="0.35">
      <c r="B78" s="6">
        <v>45036</v>
      </c>
      <c r="C78" s="7" t="s">
        <v>11</v>
      </c>
      <c r="D78" s="9">
        <v>1.51717112606594E-4</v>
      </c>
      <c r="E78" s="9">
        <v>1.51717112606594E-4</v>
      </c>
      <c r="F78" s="9">
        <v>-3.1646936835735273E-3</v>
      </c>
      <c r="G78" s="9">
        <v>-3.1646936835735273E-3</v>
      </c>
      <c r="H78" s="35">
        <v>1.5170560472945959E-4</v>
      </c>
    </row>
    <row r="79" spans="2:8" x14ac:dyDescent="0.35">
      <c r="B79" s="6">
        <v>45037</v>
      </c>
      <c r="C79" s="7" t="s">
        <v>11</v>
      </c>
      <c r="D79" s="9">
        <v>4.4424700133283E-4</v>
      </c>
      <c r="E79" s="9">
        <v>4.4424700133283E-4</v>
      </c>
      <c r="F79" s="9">
        <v>-2.721852587919793E-3</v>
      </c>
      <c r="G79" s="9">
        <v>-2.721852587919793E-3</v>
      </c>
      <c r="H79" s="35">
        <v>4.4414835284884899E-4</v>
      </c>
    </row>
    <row r="80" spans="2:8" x14ac:dyDescent="0.35">
      <c r="B80" s="6">
        <v>45040</v>
      </c>
      <c r="C80" s="7" t="s">
        <v>11</v>
      </c>
      <c r="D80" s="9">
        <v>-1.3863016072435199E-3</v>
      </c>
      <c r="E80" s="9">
        <v>-1.3863016072435199E-3</v>
      </c>
      <c r="F80" s="9">
        <v>-4.1043808865459663E-3</v>
      </c>
      <c r="G80" s="9">
        <v>-4.1043808865459663E-3</v>
      </c>
      <c r="H80" s="35">
        <v>-1.3872634123206842E-3</v>
      </c>
    </row>
    <row r="81" spans="2:8" x14ac:dyDescent="0.35">
      <c r="B81" s="6">
        <v>45041</v>
      </c>
      <c r="C81" s="7" t="s">
        <v>11</v>
      </c>
      <c r="D81" s="9">
        <v>6.3988547134618005E-4</v>
      </c>
      <c r="E81" s="9">
        <v>6.3988547134618005E-4</v>
      </c>
      <c r="F81" s="9">
        <v>-3.4671217488980721E-3</v>
      </c>
      <c r="G81" s="9">
        <v>-3.4671217488980721E-3</v>
      </c>
      <c r="H81" s="35">
        <v>6.3968083193039925E-4</v>
      </c>
    </row>
    <row r="82" spans="2:8" x14ac:dyDescent="0.35">
      <c r="B82" s="6">
        <v>45042</v>
      </c>
      <c r="C82" s="7" t="s">
        <v>11</v>
      </c>
      <c r="D82" s="9">
        <v>7.9121641394710605E-4</v>
      </c>
      <c r="E82" s="9">
        <v>7.9121641394710605E-4</v>
      </c>
      <c r="F82" s="9">
        <v>-2.6786485785877945E-3</v>
      </c>
      <c r="G82" s="9">
        <v>-2.6786485785877945E-3</v>
      </c>
      <c r="H82" s="35">
        <v>7.9090356724909603E-4</v>
      </c>
    </row>
    <row r="83" spans="2:8" x14ac:dyDescent="0.35">
      <c r="B83" s="6">
        <v>45043</v>
      </c>
      <c r="C83" s="7" t="s">
        <v>11</v>
      </c>
      <c r="D83" s="9">
        <v>-3.5739040027729299E-4</v>
      </c>
      <c r="E83" s="9">
        <v>-3.5739040027729299E-4</v>
      </c>
      <c r="F83" s="9">
        <v>-3.0350816555773097E-3</v>
      </c>
      <c r="G83" s="9">
        <v>-3.0350816555773097E-3</v>
      </c>
      <c r="H83" s="35">
        <v>-3.5745427944669527E-4</v>
      </c>
    </row>
    <row r="84" spans="2:8" x14ac:dyDescent="0.35">
      <c r="B84" s="6">
        <v>45044</v>
      </c>
      <c r="C84" s="7" t="s">
        <v>11</v>
      </c>
      <c r="D84" s="9">
        <v>-4.4418924628665199E-4</v>
      </c>
      <c r="E84" s="9">
        <v>-4.4418924628665199E-4</v>
      </c>
      <c r="F84" s="9">
        <v>-3.477922751230933E-3</v>
      </c>
      <c r="G84" s="9">
        <v>-3.477922751230933E-3</v>
      </c>
      <c r="H84" s="35">
        <v>-4.4428792755308666E-4</v>
      </c>
    </row>
    <row r="85" spans="2:8" x14ac:dyDescent="0.35">
      <c r="B85" s="6">
        <v>45047</v>
      </c>
      <c r="C85" s="7" t="s">
        <v>11</v>
      </c>
      <c r="D85" s="9"/>
      <c r="E85" s="9"/>
      <c r="F85" s="9"/>
      <c r="G85" s="9"/>
      <c r="H85" s="35"/>
    </row>
    <row r="86" spans="2:8" x14ac:dyDescent="0.35">
      <c r="B86" s="6">
        <v>45048</v>
      </c>
      <c r="C86" s="7" t="s">
        <v>11</v>
      </c>
      <c r="D86" s="9">
        <v>-1.26812772322295E-3</v>
      </c>
      <c r="E86" s="9">
        <v>-1.26812772322295E-3</v>
      </c>
      <c r="F86" s="9">
        <v>-4.7416400241937495E-3</v>
      </c>
      <c r="G86" s="9">
        <v>-4.7416400241937495E-3</v>
      </c>
      <c r="H86" s="35">
        <v>-1.2689324776103165E-3</v>
      </c>
    </row>
    <row r="87" spans="2:8" x14ac:dyDescent="0.35">
      <c r="B87" s="6">
        <v>45049</v>
      </c>
      <c r="C87" s="7" t="s">
        <v>11</v>
      </c>
      <c r="D87" s="9">
        <v>-1.7038363448912601E-3</v>
      </c>
      <c r="E87" s="9">
        <v>-1.7038363448912601E-3</v>
      </c>
      <c r="F87" s="9">
        <v>-6.4373973904773285E-3</v>
      </c>
      <c r="G87" s="9">
        <v>-6.4373973904773285E-3</v>
      </c>
      <c r="H87" s="35">
        <v>-1.7052895249248818E-3</v>
      </c>
    </row>
    <row r="88" spans="2:8" x14ac:dyDescent="0.35">
      <c r="B88" s="6">
        <v>45050</v>
      </c>
      <c r="C88" s="7" t="s">
        <v>11</v>
      </c>
      <c r="D88" s="9">
        <v>7.60968822020807E-5</v>
      </c>
      <c r="E88" s="9">
        <v>7.60968822020807E-5</v>
      </c>
      <c r="F88" s="9">
        <v>-6.3617903741461923E-3</v>
      </c>
      <c r="G88" s="9">
        <v>-6.3617903741461923E-3</v>
      </c>
      <c r="H88" s="35">
        <v>7.609398698114043E-5</v>
      </c>
    </row>
    <row r="89" spans="2:8" x14ac:dyDescent="0.35">
      <c r="B89" s="6">
        <v>45051</v>
      </c>
      <c r="C89" s="7" t="s">
        <v>11</v>
      </c>
      <c r="D89" s="9">
        <v>-3.6958530354914E-4</v>
      </c>
      <c r="E89" s="9">
        <v>-3.6958530354914E-4</v>
      </c>
      <c r="F89" s="9">
        <v>-6.7290244534687904E-3</v>
      </c>
      <c r="G89" s="9">
        <v>-6.7290244534687904E-3</v>
      </c>
      <c r="H89" s="35">
        <v>-3.6965361702972642E-4</v>
      </c>
    </row>
    <row r="90" spans="2:8" x14ac:dyDescent="0.35">
      <c r="B90" s="6">
        <v>45054</v>
      </c>
      <c r="C90" s="7" t="s">
        <v>11</v>
      </c>
      <c r="D90" s="9">
        <v>4.6758952164499101E-4</v>
      </c>
      <c r="E90" s="9">
        <v>4.6758952164499101E-4</v>
      </c>
      <c r="F90" s="9">
        <v>-6.2645813531491124E-3</v>
      </c>
      <c r="G90" s="9">
        <v>-6.2645813531491124E-3</v>
      </c>
      <c r="H90" s="35">
        <v>4.6748023573064669E-4</v>
      </c>
    </row>
    <row r="91" spans="2:8" x14ac:dyDescent="0.35">
      <c r="B91" s="6">
        <v>45055</v>
      </c>
      <c r="C91" s="7" t="s">
        <v>11</v>
      </c>
      <c r="D91" s="9">
        <v>1.02169470892576E-3</v>
      </c>
      <c r="E91" s="9">
        <v>1.02169470892576E-3</v>
      </c>
      <c r="F91" s="9">
        <v>-5.2492871338456482E-3</v>
      </c>
      <c r="G91" s="9">
        <v>-5.2492871338456482E-3</v>
      </c>
      <c r="H91" s="35">
        <v>1.0211731341164523E-3</v>
      </c>
    </row>
    <row r="92" spans="2:8" x14ac:dyDescent="0.35">
      <c r="B92" s="6">
        <v>45056</v>
      </c>
      <c r="C92" s="7" t="s">
        <v>11</v>
      </c>
      <c r="D92" s="9">
        <v>1.19437989967211E-3</v>
      </c>
      <c r="E92" s="9">
        <v>1.19437989967211E-3</v>
      </c>
      <c r="F92" s="9">
        <v>-4.0611768772138568E-3</v>
      </c>
      <c r="G92" s="9">
        <v>-4.0611768772138568E-3</v>
      </c>
      <c r="H92" s="35">
        <v>1.1936671954363401E-3</v>
      </c>
    </row>
    <row r="93" spans="2:8" x14ac:dyDescent="0.35">
      <c r="B93" s="6">
        <v>45057</v>
      </c>
      <c r="C93" s="7" t="s">
        <v>11</v>
      </c>
      <c r="D93" s="9">
        <v>1.0845045982995E-3</v>
      </c>
      <c r="E93" s="9">
        <v>1.0845045982995E-3</v>
      </c>
      <c r="F93" s="9">
        <v>-2.9810766439122283E-3</v>
      </c>
      <c r="G93" s="9">
        <v>-2.9810766439122283E-3</v>
      </c>
      <c r="H93" s="35">
        <v>1.0839169480221615E-3</v>
      </c>
    </row>
    <row r="94" spans="2:8" x14ac:dyDescent="0.35">
      <c r="B94" s="6">
        <v>45058</v>
      </c>
      <c r="C94" s="7" t="s">
        <v>11</v>
      </c>
      <c r="D94" s="9">
        <v>-3.7916540278201498E-4</v>
      </c>
      <c r="E94" s="9">
        <v>-3.7916540278201498E-4</v>
      </c>
      <c r="F94" s="9">
        <v>-3.3591117255679093E-3</v>
      </c>
      <c r="G94" s="9">
        <v>-3.3591117255679093E-3</v>
      </c>
      <c r="H94" s="35">
        <v>-3.7923730415896211E-4</v>
      </c>
    </row>
    <row r="95" spans="2:8" x14ac:dyDescent="0.35">
      <c r="B95" s="6">
        <v>45061</v>
      </c>
      <c r="C95" s="7" t="s">
        <v>11</v>
      </c>
      <c r="D95" s="9">
        <v>1.19211470310928E-3</v>
      </c>
      <c r="E95" s="9">
        <v>1.19211470310928E-3</v>
      </c>
      <c r="F95" s="9">
        <v>-2.1710014689360069E-3</v>
      </c>
      <c r="G95" s="9">
        <v>-2.1710014689360069E-3</v>
      </c>
      <c r="H95" s="35">
        <v>1.1914046985918257E-3</v>
      </c>
    </row>
    <row r="96" spans="2:8" x14ac:dyDescent="0.35">
      <c r="B96" s="6">
        <v>45062</v>
      </c>
      <c r="C96" s="7" t="s">
        <v>11</v>
      </c>
      <c r="D96" s="9">
        <v>-2.1649004687014401E-4</v>
      </c>
      <c r="E96" s="9">
        <v>-2.1649004687014401E-4</v>
      </c>
      <c r="F96" s="9">
        <v>-2.3870215155964436E-3</v>
      </c>
      <c r="G96" s="9">
        <v>-2.3870215155964436E-3</v>
      </c>
      <c r="H96" s="35">
        <v>-2.1651348422308174E-4</v>
      </c>
    </row>
    <row r="97" spans="2:8" x14ac:dyDescent="0.35">
      <c r="B97" s="6">
        <v>45063</v>
      </c>
      <c r="C97" s="7" t="s">
        <v>11</v>
      </c>
      <c r="D97" s="9">
        <v>-9.7441616231642406E-5</v>
      </c>
      <c r="E97" s="9">
        <v>-9.7441616231642406E-5</v>
      </c>
      <c r="F97" s="9">
        <v>-2.4842305365936346E-3</v>
      </c>
      <c r="G97" s="9">
        <v>-2.4842305365936346E-3</v>
      </c>
      <c r="H97" s="35">
        <v>-9.7446363974305097E-5</v>
      </c>
    </row>
    <row r="98" spans="2:8" x14ac:dyDescent="0.35">
      <c r="B98" s="6">
        <v>45064</v>
      </c>
      <c r="C98" s="7" t="s">
        <v>11</v>
      </c>
      <c r="D98" s="9">
        <v>2.4687615046452599E-3</v>
      </c>
      <c r="E98" s="9">
        <v>2.4687615046452599E-3</v>
      </c>
      <c r="F98" s="9">
        <v>-2.160200466583273E-5</v>
      </c>
      <c r="G98" s="9">
        <v>-2.160200466583273E-5</v>
      </c>
      <c r="H98" s="35">
        <v>2.4657191192157392E-3</v>
      </c>
    </row>
    <row r="99" spans="2:8" x14ac:dyDescent="0.35">
      <c r="B99" s="6">
        <v>45065</v>
      </c>
      <c r="C99" s="7" t="s">
        <v>11</v>
      </c>
      <c r="D99" s="9">
        <v>-2.4410792594673999E-3</v>
      </c>
      <c r="E99" s="9">
        <v>-2.4410792594673999E-3</v>
      </c>
      <c r="F99" s="9">
        <v>-2.4626285319275798E-3</v>
      </c>
      <c r="G99" s="9">
        <v>-2.4626285319275798E-3</v>
      </c>
      <c r="H99" s="35">
        <v>-2.4440635510269027E-3</v>
      </c>
    </row>
    <row r="100" spans="2:8" x14ac:dyDescent="0.35">
      <c r="B100" s="6">
        <v>45068</v>
      </c>
      <c r="C100" s="7" t="s">
        <v>11</v>
      </c>
      <c r="D100" s="9">
        <v>6.0634934384345301E-4</v>
      </c>
      <c r="E100" s="9">
        <v>6.0634934384345301E-4</v>
      </c>
      <c r="F100" s="9">
        <v>-1.8577724012784902E-3</v>
      </c>
      <c r="G100" s="9">
        <v>-1.8577724012784902E-3</v>
      </c>
      <c r="H100" s="35">
        <v>6.0616558835638616E-4</v>
      </c>
    </row>
    <row r="101" spans="2:8" x14ac:dyDescent="0.35">
      <c r="B101" s="6">
        <v>45069</v>
      </c>
      <c r="C101" s="7" t="s">
        <v>11</v>
      </c>
      <c r="D101" s="9">
        <v>-1.7854824048824599E-3</v>
      </c>
      <c r="E101" s="9">
        <v>-1.7854824048824599E-3</v>
      </c>
      <c r="F101" s="9">
        <v>-3.6399377862261773E-3</v>
      </c>
      <c r="G101" s="9">
        <v>-3.6399377862261773E-3</v>
      </c>
      <c r="H101" s="35">
        <v>-1.7870782784772104E-3</v>
      </c>
    </row>
    <row r="102" spans="2:8" x14ac:dyDescent="0.35">
      <c r="B102" s="6">
        <v>45070</v>
      </c>
      <c r="C102" s="7" t="s">
        <v>11</v>
      </c>
      <c r="D102" s="9">
        <v>6.5042765618396597E-4</v>
      </c>
      <c r="E102" s="9">
        <v>6.5042765618396597E-4</v>
      </c>
      <c r="F102" s="9">
        <v>-2.9918776462450891E-3</v>
      </c>
      <c r="G102" s="9">
        <v>-2.9918776462450891E-3</v>
      </c>
      <c r="H102" s="35">
        <v>6.5021621979384546E-4</v>
      </c>
    </row>
    <row r="103" spans="2:8" x14ac:dyDescent="0.35">
      <c r="B103" s="6">
        <v>45071</v>
      </c>
      <c r="C103" s="7" t="s">
        <v>11</v>
      </c>
      <c r="D103" s="9">
        <v>1.3000097500730501E-3</v>
      </c>
      <c r="E103" s="9">
        <v>1.3000097500730501E-3</v>
      </c>
      <c r="F103" s="9">
        <v>-1.6957573662831349E-3</v>
      </c>
      <c r="G103" s="9">
        <v>-1.6957573662831349E-3</v>
      </c>
      <c r="H103" s="35">
        <v>1.2991654690344141E-3</v>
      </c>
    </row>
    <row r="104" spans="2:8" x14ac:dyDescent="0.35">
      <c r="B104" s="6">
        <v>45072</v>
      </c>
      <c r="C104" s="7" t="s">
        <v>11</v>
      </c>
      <c r="D104" s="9">
        <v>-4.9769006891929504E-4</v>
      </c>
      <c r="E104" s="9">
        <v>-4.9769006891929504E-4</v>
      </c>
      <c r="F104" s="9">
        <v>-2.1926034736019506E-3</v>
      </c>
      <c r="G104" s="9">
        <v>-2.1926034736019506E-3</v>
      </c>
      <c r="H104" s="35">
        <v>-4.9781395772885222E-4</v>
      </c>
    </row>
    <row r="105" spans="2:8" x14ac:dyDescent="0.35">
      <c r="B105" s="6">
        <v>45076</v>
      </c>
      <c r="C105" s="7" t="s">
        <v>11</v>
      </c>
      <c r="D105" s="9">
        <v>1.3314426126584955E-3</v>
      </c>
      <c r="E105" s="9">
        <v>1.3314426126584955E-3</v>
      </c>
      <c r="F105" s="9">
        <v>-8.6408018664085873E-4</v>
      </c>
      <c r="G105" s="9">
        <v>-8.6408018664085873E-4</v>
      </c>
      <c r="H105" s="35">
        <v>1.3305570289252186E-3</v>
      </c>
    </row>
    <row r="106" spans="2:8" x14ac:dyDescent="0.35">
      <c r="B106" s="6">
        <v>45077</v>
      </c>
      <c r="C106" s="7" t="s">
        <v>11</v>
      </c>
      <c r="D106" s="9">
        <v>-7.8915506356483898E-4</v>
      </c>
      <c r="E106" s="9">
        <v>-7.8915506356483898E-4</v>
      </c>
      <c r="F106" s="9">
        <v>-1.6525533569510253E-3</v>
      </c>
      <c r="G106" s="9">
        <v>-1.6525533569510253E-3</v>
      </c>
      <c r="H106" s="35">
        <v>-7.8946661033857369E-4</v>
      </c>
    </row>
    <row r="107" spans="2:8" x14ac:dyDescent="0.35">
      <c r="B107" s="6">
        <v>45078</v>
      </c>
      <c r="C107" s="7" t="s">
        <v>11</v>
      </c>
      <c r="D107" s="9">
        <v>1.78511538336715E-3</v>
      </c>
      <c r="E107" s="9">
        <v>1.78511538336715E-3</v>
      </c>
      <c r="F107" s="9">
        <v>1.2961202799677274E-4</v>
      </c>
      <c r="G107" s="9">
        <v>1.2961202799677274E-4</v>
      </c>
      <c r="H107" s="35">
        <v>1.7835239585377559E-3</v>
      </c>
    </row>
    <row r="108" spans="2:8" x14ac:dyDescent="0.35">
      <c r="B108" s="6">
        <v>45079</v>
      </c>
      <c r="C108" s="7" t="s">
        <v>11</v>
      </c>
      <c r="D108" s="9">
        <v>2.26791654067047E-4</v>
      </c>
      <c r="E108" s="9">
        <v>2.26791654067047E-4</v>
      </c>
      <c r="F108" s="9">
        <v>3.5643307699007032E-4</v>
      </c>
      <c r="G108" s="9">
        <v>3.5643307699007032E-4</v>
      </c>
      <c r="H108" s="35">
        <v>2.2676594072748991E-4</v>
      </c>
    </row>
    <row r="109" spans="2:8" x14ac:dyDescent="0.35">
      <c r="B109" s="6">
        <v>45082</v>
      </c>
      <c r="C109" s="7" t="s">
        <v>11</v>
      </c>
      <c r="D109" s="9">
        <v>8.2058369413821495E-4</v>
      </c>
      <c r="E109" s="9">
        <v>8.2058369413821495E-4</v>
      </c>
      <c r="F109" s="9">
        <v>1.1773092542992636E-3</v>
      </c>
      <c r="G109" s="9">
        <v>1.1773092542992636E-3</v>
      </c>
      <c r="H109" s="35">
        <v>8.2024719940744495E-4</v>
      </c>
    </row>
    <row r="110" spans="2:8" x14ac:dyDescent="0.35">
      <c r="B110" s="6">
        <v>45083</v>
      </c>
      <c r="C110" s="7" t="s">
        <v>11</v>
      </c>
      <c r="D110" s="9">
        <v>-2.8049583032158901E-4</v>
      </c>
      <c r="E110" s="9">
        <v>-2.8049583032158901E-4</v>
      </c>
      <c r="F110" s="9">
        <v>8.9648319364088458E-4</v>
      </c>
      <c r="G110" s="9">
        <v>8.9648319364088458E-4</v>
      </c>
      <c r="H110" s="35">
        <v>-2.8053517663487361E-4</v>
      </c>
    </row>
    <row r="111" spans="2:8" x14ac:dyDescent="0.35">
      <c r="B111" s="6">
        <v>45084</v>
      </c>
      <c r="C111" s="7" t="s">
        <v>11</v>
      </c>
      <c r="D111" s="9">
        <v>-1.8453171031757999E-3</v>
      </c>
      <c r="E111" s="9">
        <v>-1.8453171031757999E-3</v>
      </c>
      <c r="F111" s="9">
        <v>-9.5048820530485578E-4</v>
      </c>
      <c r="G111" s="9">
        <v>-9.5048820530485578E-4</v>
      </c>
      <c r="H111" s="35">
        <v>-1.8470217982395631E-3</v>
      </c>
    </row>
    <row r="112" spans="2:8" x14ac:dyDescent="0.35">
      <c r="B112" s="6">
        <v>45085</v>
      </c>
      <c r="C112" s="7" t="s">
        <v>11</v>
      </c>
      <c r="D112" s="9">
        <v>5.62186472928539E-4</v>
      </c>
      <c r="E112" s="9">
        <v>5.62186472928539E-4</v>
      </c>
      <c r="F112" s="9">
        <v>-3.8883608398798675E-4</v>
      </c>
      <c r="G112" s="9">
        <v>-3.8883608398798675E-4</v>
      </c>
      <c r="H112" s="35">
        <v>5.6202850531549724E-4</v>
      </c>
    </row>
    <row r="113" spans="2:8" x14ac:dyDescent="0.35">
      <c r="B113" s="6">
        <v>45086</v>
      </c>
      <c r="C113" s="7" t="s">
        <v>11</v>
      </c>
      <c r="D113" s="9">
        <v>1.48031291870165E-3</v>
      </c>
      <c r="E113" s="9">
        <v>1.48031291870165E-3</v>
      </c>
      <c r="F113" s="9">
        <v>1.0909012356352665E-3</v>
      </c>
      <c r="G113" s="9">
        <v>1.0909012356352665E-3</v>
      </c>
      <c r="H113" s="35">
        <v>1.4792183356167432E-3</v>
      </c>
    </row>
    <row r="114" spans="2:8" x14ac:dyDescent="0.35">
      <c r="B114" s="6">
        <v>45089</v>
      </c>
      <c r="C114" s="7" t="s">
        <v>11</v>
      </c>
      <c r="D114" s="9">
        <v>-1.8341694988409401E-4</v>
      </c>
      <c r="E114" s="9">
        <v>-1.8341694988409401E-4</v>
      </c>
      <c r="F114" s="9">
        <v>9.0728419597385646E-4</v>
      </c>
      <c r="G114" s="9">
        <v>9.0728419597385646E-4</v>
      </c>
      <c r="H114" s="35">
        <v>-1.8343377282996706E-4</v>
      </c>
    </row>
    <row r="115" spans="2:8" x14ac:dyDescent="0.35">
      <c r="B115" s="6">
        <v>45090</v>
      </c>
      <c r="C115" s="7" t="s">
        <v>11</v>
      </c>
      <c r="D115" s="9">
        <v>3.8848361894074898E-4</v>
      </c>
      <c r="E115" s="9">
        <v>3.8848361894074898E-4</v>
      </c>
      <c r="F115" s="9">
        <v>1.2961202799623983E-3</v>
      </c>
      <c r="G115" s="9">
        <v>1.2961202799623983E-3</v>
      </c>
      <c r="H115" s="35">
        <v>3.8840817871719602E-4</v>
      </c>
    </row>
    <row r="116" spans="2:8" x14ac:dyDescent="0.35">
      <c r="B116" s="6">
        <v>45091</v>
      </c>
      <c r="C116" s="7" t="s">
        <v>11</v>
      </c>
      <c r="D116" s="9">
        <v>1.9955988954090701E-3</v>
      </c>
      <c r="E116" s="9">
        <v>1.9955988954090701E-3</v>
      </c>
      <c r="F116" s="9">
        <v>3.2943057115704111E-3</v>
      </c>
      <c r="G116" s="9">
        <v>3.2943057115704111E-3</v>
      </c>
      <c r="H116" s="35">
        <v>1.9936103330757049E-3</v>
      </c>
    </row>
    <row r="117" spans="2:8" x14ac:dyDescent="0.35">
      <c r="B117" s="6">
        <v>45092</v>
      </c>
      <c r="C117" s="7" t="s">
        <v>11</v>
      </c>
      <c r="D117" s="9">
        <v>9.5813282519995502E-4</v>
      </c>
      <c r="E117" s="9">
        <v>9.5813282519995502E-4</v>
      </c>
      <c r="F117" s="9">
        <v>4.2555949192089049E-3</v>
      </c>
      <c r="G117" s="9">
        <v>4.2555949192089049E-3</v>
      </c>
      <c r="H117" s="35">
        <v>9.5767410892862983E-4</v>
      </c>
    </row>
    <row r="118" spans="2:8" x14ac:dyDescent="0.35">
      <c r="B118" s="6">
        <v>45093</v>
      </c>
      <c r="C118" s="7" t="s">
        <v>11</v>
      </c>
      <c r="D118" s="9">
        <v>4.3020929682373597E-5</v>
      </c>
      <c r="E118" s="9">
        <v>4.3020929682373597E-5</v>
      </c>
      <c r="F118" s="9">
        <v>4.2987989285412365E-3</v>
      </c>
      <c r="G118" s="9">
        <v>4.2987989285412365E-3</v>
      </c>
      <c r="H118" s="35">
        <v>4.3020004308791684E-5</v>
      </c>
    </row>
    <row r="119" spans="2:8" x14ac:dyDescent="0.35">
      <c r="B119" s="6">
        <v>45097</v>
      </c>
      <c r="C119" s="7" t="s">
        <v>11</v>
      </c>
      <c r="D119" s="9">
        <v>2.3337850336624388E-3</v>
      </c>
      <c r="E119" s="9">
        <v>2.3337850336624388E-3</v>
      </c>
      <c r="F119" s="9">
        <v>6.6426164348059036E-3</v>
      </c>
      <c r="G119" s="9">
        <v>6.6426164348059036E-3</v>
      </c>
      <c r="H119" s="35">
        <v>2.3310659869959856E-3</v>
      </c>
    </row>
    <row r="120" spans="2:8" x14ac:dyDescent="0.35">
      <c r="B120" s="6">
        <v>45098</v>
      </c>
      <c r="C120" s="7" t="s">
        <v>11</v>
      </c>
      <c r="D120" s="9">
        <v>-3.5408105237184998E-4</v>
      </c>
      <c r="E120" s="9">
        <v>-3.5408105237184998E-4</v>
      </c>
      <c r="F120" s="9">
        <v>6.2861833578162774E-3</v>
      </c>
      <c r="G120" s="9">
        <v>6.2861833578162774E-3</v>
      </c>
      <c r="H120" s="35">
        <v>-3.541437538690933E-4</v>
      </c>
    </row>
    <row r="121" spans="2:8" x14ac:dyDescent="0.35">
      <c r="B121" s="6">
        <v>45099</v>
      </c>
      <c r="C121" s="7" t="s">
        <v>11</v>
      </c>
      <c r="D121" s="9">
        <v>2.8443852907712899E-3</v>
      </c>
      <c r="E121" s="9">
        <v>2.8443852907712899E-3</v>
      </c>
      <c r="F121" s="9">
        <v>9.1484489760655929E-3</v>
      </c>
      <c r="G121" s="9">
        <v>9.1484489760655929E-3</v>
      </c>
      <c r="H121" s="35">
        <v>2.8403476814624785E-3</v>
      </c>
    </row>
    <row r="122" spans="2:8" x14ac:dyDescent="0.35">
      <c r="B122" s="6">
        <v>45100</v>
      </c>
      <c r="C122" s="7" t="s">
        <v>11</v>
      </c>
      <c r="D122" s="9">
        <v>3.9601417088547101E-4</v>
      </c>
      <c r="E122" s="9">
        <v>3.9601417088547101E-4</v>
      </c>
      <c r="F122" s="9">
        <v>9.5480860623871067E-3</v>
      </c>
      <c r="G122" s="9">
        <v>9.5480860623871067E-3</v>
      </c>
      <c r="H122" s="35">
        <v>3.9593577796943354E-4</v>
      </c>
    </row>
    <row r="123" spans="2:8" x14ac:dyDescent="0.35">
      <c r="B123" s="6">
        <v>45103</v>
      </c>
      <c r="C123" s="7" t="s">
        <v>11</v>
      </c>
      <c r="D123" s="9">
        <v>-6.5262977703588404E-4</v>
      </c>
      <c r="E123" s="9">
        <v>-6.5262977703588404E-4</v>
      </c>
      <c r="F123" s="9">
        <v>8.8892249200731577E-3</v>
      </c>
      <c r="G123" s="9">
        <v>8.8892249200731577E-3</v>
      </c>
      <c r="H123" s="35">
        <v>-6.5284283255140276E-4</v>
      </c>
    </row>
    <row r="124" spans="2:8" x14ac:dyDescent="0.35">
      <c r="B124" s="6">
        <v>45104</v>
      </c>
      <c r="C124" s="7" t="s">
        <v>11</v>
      </c>
      <c r="D124" s="9">
        <v>-3.42586744034227E-4</v>
      </c>
      <c r="E124" s="9">
        <v>-3.42586744034227E-4</v>
      </c>
      <c r="F124" s="9">
        <v>8.5435928454165033E-3</v>
      </c>
      <c r="G124" s="9">
        <v>8.5435928454165033E-3</v>
      </c>
      <c r="H124" s="35">
        <v>-3.4264544027888153E-4</v>
      </c>
    </row>
    <row r="125" spans="2:8" x14ac:dyDescent="0.35">
      <c r="B125" s="6">
        <v>45105</v>
      </c>
      <c r="C125" s="7" t="s">
        <v>11</v>
      </c>
      <c r="D125" s="9">
        <v>9.8527443105751993E-4</v>
      </c>
      <c r="E125" s="9">
        <v>9.8527443105751993E-4</v>
      </c>
      <c r="F125" s="9">
        <v>9.5372850600539127E-3</v>
      </c>
      <c r="G125" s="9">
        <v>9.5372850600539127E-3</v>
      </c>
      <c r="H125" s="35">
        <v>9.8478936679333162E-4</v>
      </c>
    </row>
    <row r="126" spans="2:8" x14ac:dyDescent="0.35">
      <c r="B126" s="6">
        <v>45106</v>
      </c>
      <c r="C126" s="7" t="s">
        <v>11</v>
      </c>
      <c r="D126" s="9">
        <v>4.3865749408890999E-4</v>
      </c>
      <c r="E126" s="9">
        <v>4.3865749408890999E-4</v>
      </c>
      <c r="F126" s="9">
        <v>9.9801261557077581E-3</v>
      </c>
      <c r="G126" s="9">
        <v>9.9801261557077581E-3</v>
      </c>
      <c r="H126" s="35">
        <v>4.3856131201662631E-4</v>
      </c>
    </row>
    <row r="127" spans="2:8" x14ac:dyDescent="0.35">
      <c r="B127" s="6">
        <v>45107</v>
      </c>
      <c r="C127" s="7" t="s">
        <v>11</v>
      </c>
      <c r="D127" s="9">
        <v>-8.5554177182744701E-5</v>
      </c>
      <c r="E127" s="9">
        <v>-8.5554177182744701E-5</v>
      </c>
      <c r="F127" s="9">
        <v>9.893718137043539E-3</v>
      </c>
      <c r="G127" s="9">
        <v>9.893718137043539E-3</v>
      </c>
      <c r="H127" s="35">
        <v>-8.5557837150069163E-5</v>
      </c>
    </row>
    <row r="128" spans="2:8" x14ac:dyDescent="0.35">
      <c r="B128" s="6">
        <v>45110</v>
      </c>
      <c r="C128" s="7" t="s">
        <v>11</v>
      </c>
      <c r="D128" s="9">
        <v>-7.1657754010690802E-4</v>
      </c>
      <c r="E128" s="9">
        <v>-7.1657754010690802E-4</v>
      </c>
      <c r="F128" s="9">
        <v>9.1700509807315367E-3</v>
      </c>
      <c r="G128" s="9">
        <v>9.1700509807315367E-3</v>
      </c>
      <c r="H128" s="35">
        <v>-7.1683440450856354E-4</v>
      </c>
    </row>
    <row r="129" spans="2:8" x14ac:dyDescent="0.35">
      <c r="B129" s="6">
        <v>45112</v>
      </c>
      <c r="C129" s="7" t="s">
        <v>11</v>
      </c>
      <c r="D129" s="9">
        <v>5.779542559909423E-4</v>
      </c>
      <c r="E129" s="9">
        <v>5.779542559909423E-4</v>
      </c>
      <c r="F129" s="9">
        <v>9.7533051067144605E-3</v>
      </c>
      <c r="G129" s="9">
        <v>9.7533051067144605E-3</v>
      </c>
      <c r="H129" s="35">
        <v>5.777873047536215E-4</v>
      </c>
    </row>
    <row r="130" spans="2:8" x14ac:dyDescent="0.35">
      <c r="B130" s="6">
        <v>45113</v>
      </c>
      <c r="C130" s="7" t="s">
        <v>11</v>
      </c>
      <c r="D130" s="9">
        <v>-6.6319381304353003E-4</v>
      </c>
      <c r="E130" s="9">
        <v>-6.6319381304353003E-4</v>
      </c>
      <c r="F130" s="9">
        <v>9.0836429620673176E-3</v>
      </c>
      <c r="G130" s="9">
        <v>9.0836429620673176E-3</v>
      </c>
      <c r="H130" s="35">
        <v>-6.6341382333876843E-4</v>
      </c>
    </row>
    <row r="131" spans="2:8" x14ac:dyDescent="0.35">
      <c r="B131" s="6">
        <v>45114</v>
      </c>
      <c r="C131" s="7" t="s">
        <v>11</v>
      </c>
      <c r="D131" s="9">
        <v>-4.2815092320003898E-5</v>
      </c>
      <c r="E131" s="9">
        <v>-4.2815092320003898E-5</v>
      </c>
      <c r="F131" s="9">
        <v>9.0404389527354301E-3</v>
      </c>
      <c r="G131" s="9">
        <v>9.0404389527354301E-3</v>
      </c>
      <c r="H131" s="35">
        <v>-4.2816008912186769E-5</v>
      </c>
    </row>
    <row r="132" spans="2:8" x14ac:dyDescent="0.35">
      <c r="B132" s="6">
        <v>45117</v>
      </c>
      <c r="C132" s="7" t="s">
        <v>11</v>
      </c>
      <c r="D132" s="9">
        <v>2.8901424733195102E-4</v>
      </c>
      <c r="E132" s="9">
        <v>2.8901424733195102E-4</v>
      </c>
      <c r="F132" s="9">
        <v>9.332066015726781E-3</v>
      </c>
      <c r="G132" s="9">
        <v>9.332066015726781E-3</v>
      </c>
      <c r="H132" s="35">
        <v>2.889724907596866E-4</v>
      </c>
    </row>
    <row r="133" spans="2:8" x14ac:dyDescent="0.35">
      <c r="B133" s="6">
        <v>45118</v>
      </c>
      <c r="C133" s="7" t="s">
        <v>11</v>
      </c>
      <c r="D133" s="9">
        <v>4.4944782124813699E-4</v>
      </c>
      <c r="E133" s="9">
        <v>4.4944782124813699E-4</v>
      </c>
      <c r="F133" s="9">
        <v>9.7857081137135982E-3</v>
      </c>
      <c r="G133" s="9">
        <v>9.7857081137135982E-3</v>
      </c>
      <c r="H133" s="35">
        <v>4.4934684982933867E-4</v>
      </c>
    </row>
    <row r="134" spans="2:8" x14ac:dyDescent="0.35">
      <c r="B134" s="6">
        <v>45119</v>
      </c>
      <c r="C134" s="7" t="s">
        <v>11</v>
      </c>
      <c r="D134" s="9">
        <v>1.3156487324847801E-3</v>
      </c>
      <c r="E134" s="9">
        <v>1.3156487324847801E-3</v>
      </c>
      <c r="F134" s="9">
        <v>1.111423140067469E-2</v>
      </c>
      <c r="G134" s="9">
        <v>1.111423140067469E-2</v>
      </c>
      <c r="H134" s="35">
        <v>1.3147840250422259E-3</v>
      </c>
    </row>
    <row r="135" spans="2:8" x14ac:dyDescent="0.35">
      <c r="B135" s="6">
        <v>45120</v>
      </c>
      <c r="C135" s="7" t="s">
        <v>11</v>
      </c>
      <c r="D135" s="9">
        <v>2.9910375695682799E-3</v>
      </c>
      <c r="E135" s="9">
        <v>2.9910375695682799E-3</v>
      </c>
      <c r="F135" s="9">
        <v>1.413851205391925E-2</v>
      </c>
      <c r="G135" s="9">
        <v>1.413851205391925E-2</v>
      </c>
      <c r="H135" s="35">
        <v>2.9865733163145511E-3</v>
      </c>
    </row>
    <row r="136" spans="2:8" x14ac:dyDescent="0.35">
      <c r="B136" s="6">
        <v>45121</v>
      </c>
      <c r="C136" s="7" t="s">
        <v>11</v>
      </c>
      <c r="D136" s="9">
        <v>1.7147178170896799E-3</v>
      </c>
      <c r="E136" s="9">
        <v>1.7147178170896799E-3</v>
      </c>
      <c r="F136" s="9">
        <v>1.5877473429535049E-2</v>
      </c>
      <c r="G136" s="9">
        <v>1.5877473429535049E-2</v>
      </c>
      <c r="H136" s="35">
        <v>1.7132493669057862E-3</v>
      </c>
    </row>
    <row r="137" spans="2:8" x14ac:dyDescent="0.35">
      <c r="B137" s="6">
        <v>45124</v>
      </c>
      <c r="C137" s="7" t="s">
        <v>11</v>
      </c>
      <c r="D137" s="9">
        <v>-3.8275884066601501E-4</v>
      </c>
      <c r="E137" s="9">
        <v>-3.8275884066601501E-4</v>
      </c>
      <c r="F137" s="9">
        <v>1.5488637345546508E-2</v>
      </c>
      <c r="G137" s="9">
        <v>1.5488637345546508E-2</v>
      </c>
      <c r="H137" s="35">
        <v>-3.8283211152832834E-4</v>
      </c>
    </row>
    <row r="138" spans="2:8" x14ac:dyDescent="0.35">
      <c r="B138" s="6">
        <v>45125</v>
      </c>
      <c r="C138" s="7" t="s">
        <v>11</v>
      </c>
      <c r="D138" s="9">
        <v>-1.7018017826370301E-4</v>
      </c>
      <c r="E138" s="9">
        <v>-1.7018017826370301E-4</v>
      </c>
      <c r="F138" s="9">
        <v>1.5315821308218291E-2</v>
      </c>
      <c r="G138" s="9">
        <v>1.5315821308218291E-2</v>
      </c>
      <c r="H138" s="35">
        <v>-1.7019466055338286E-4</v>
      </c>
    </row>
    <row r="139" spans="2:8" x14ac:dyDescent="0.35">
      <c r="B139" s="6">
        <v>45126</v>
      </c>
      <c r="C139" s="7" t="s">
        <v>11</v>
      </c>
      <c r="D139" s="9">
        <v>-2.01059551924426E-3</v>
      </c>
      <c r="E139" s="9">
        <v>-2.01059551924426E-3</v>
      </c>
      <c r="F139" s="9">
        <v>1.3274431867278169E-2</v>
      </c>
      <c r="G139" s="9">
        <v>1.3274431867278169E-2</v>
      </c>
      <c r="H139" s="35">
        <v>-2.0126194797809023E-3</v>
      </c>
    </row>
    <row r="140" spans="2:8" x14ac:dyDescent="0.35">
      <c r="B140" s="6">
        <v>45127</v>
      </c>
      <c r="C140" s="7" t="s">
        <v>11</v>
      </c>
      <c r="D140" s="9">
        <v>-3.41104111370497E-3</v>
      </c>
      <c r="E140" s="9">
        <v>-3.41104111370497E-3</v>
      </c>
      <c r="F140" s="9">
        <v>9.8181111207129579E-3</v>
      </c>
      <c r="G140" s="9">
        <v>9.8181111207129579E-3</v>
      </c>
      <c r="H140" s="35">
        <v>-3.4168719777652656E-3</v>
      </c>
    </row>
    <row r="141" spans="2:8" x14ac:dyDescent="0.35">
      <c r="B141" s="6">
        <v>45128</v>
      </c>
      <c r="C141" s="7" t="s">
        <v>11</v>
      </c>
      <c r="D141" s="9">
        <v>-1.17655867284075E-4</v>
      </c>
      <c r="E141" s="9">
        <v>-1.17655867284075E-4</v>
      </c>
      <c r="F141" s="9">
        <v>9.6993000950498232E-3</v>
      </c>
      <c r="G141" s="9">
        <v>9.6993000950498232E-3</v>
      </c>
      <c r="H141" s="35">
        <v>-1.1766278927857286E-4</v>
      </c>
    </row>
    <row r="142" spans="2:8" x14ac:dyDescent="0.35">
      <c r="B142" s="6">
        <v>45131</v>
      </c>
      <c r="C142" s="7" t="s">
        <v>11</v>
      </c>
      <c r="D142" s="9">
        <v>-1.7329539376564501E-3</v>
      </c>
      <c r="E142" s="9">
        <v>-1.7329539376564501E-3</v>
      </c>
      <c r="F142" s="9">
        <v>7.9495377171010517E-3</v>
      </c>
      <c r="G142" s="9">
        <v>7.9495377171010517E-3</v>
      </c>
      <c r="H142" s="35">
        <v>-1.7344572393509466E-3</v>
      </c>
    </row>
    <row r="143" spans="2:8" x14ac:dyDescent="0.35">
      <c r="B143" s="6">
        <v>45132</v>
      </c>
      <c r="C143" s="7" t="s">
        <v>11</v>
      </c>
      <c r="D143" s="9">
        <v>8.3583369052718905E-4</v>
      </c>
      <c r="E143" s="9">
        <v>8.3583369052718905E-4</v>
      </c>
      <c r="F143" s="9">
        <v>8.7920158990764108E-3</v>
      </c>
      <c r="G143" s="9">
        <v>8.7920158990764108E-3</v>
      </c>
      <c r="H143" s="35">
        <v>8.3548457606896244E-4</v>
      </c>
    </row>
    <row r="144" spans="2:8" x14ac:dyDescent="0.35">
      <c r="B144" s="6">
        <v>45133</v>
      </c>
      <c r="C144" s="7" t="s">
        <v>11</v>
      </c>
      <c r="D144" s="9">
        <v>-6.4241204308445904E-4</v>
      </c>
      <c r="E144" s="9">
        <v>-6.4241204308445904E-4</v>
      </c>
      <c r="F144" s="9">
        <v>8.1439557590954337E-3</v>
      </c>
      <c r="G144" s="9">
        <v>8.1439557590954337E-3</v>
      </c>
      <c r="H144" s="35">
        <v>-6.4261847811664672E-4</v>
      </c>
    </row>
    <row r="145" spans="2:8" x14ac:dyDescent="0.35">
      <c r="B145" s="6">
        <v>45134</v>
      </c>
      <c r="C145" s="7" t="s">
        <v>11</v>
      </c>
      <c r="D145" s="9">
        <v>-1.43564250358914E-3</v>
      </c>
      <c r="E145" s="9">
        <v>-1.43564250358914E-3</v>
      </c>
      <c r="F145" s="9">
        <v>6.6966214464712071E-3</v>
      </c>
      <c r="G145" s="9">
        <v>6.6966214464712071E-3</v>
      </c>
      <c r="H145" s="35">
        <v>-1.4366740256710742E-3</v>
      </c>
    </row>
    <row r="146" spans="2:8" x14ac:dyDescent="0.35">
      <c r="B146" s="6">
        <v>45135</v>
      </c>
      <c r="C146" s="7" t="s">
        <v>11</v>
      </c>
      <c r="D146" s="9">
        <v>-1.92051843268525E-3</v>
      </c>
      <c r="E146" s="9">
        <v>-1.92051843268525E-3</v>
      </c>
      <c r="F146" s="9">
        <v>4.7632420288612476E-3</v>
      </c>
      <c r="G146" s="9">
        <v>4.7632420288612476E-3</v>
      </c>
      <c r="H146" s="35">
        <v>-1.9223649928243579E-3</v>
      </c>
    </row>
    <row r="147" spans="2:8" x14ac:dyDescent="0.35">
      <c r="B147" s="6">
        <v>45138</v>
      </c>
      <c r="C147" s="7" t="s">
        <v>11</v>
      </c>
      <c r="D147" s="9">
        <v>-3.8699274388606701E-4</v>
      </c>
      <c r="E147" s="9">
        <v>-3.8699274388606701E-4</v>
      </c>
      <c r="F147" s="9">
        <v>4.3744059448727057E-3</v>
      </c>
      <c r="G147" s="9">
        <v>4.3744059448727057E-3</v>
      </c>
      <c r="H147" s="35">
        <v>-3.8706764490272779E-4</v>
      </c>
    </row>
    <row r="148" spans="2:8" x14ac:dyDescent="0.35">
      <c r="B148" s="6">
        <v>45139</v>
      </c>
      <c r="C148" s="7" t="s">
        <v>11</v>
      </c>
      <c r="D148" s="9">
        <v>9.8936433341573595E-4</v>
      </c>
      <c r="E148" s="9">
        <v>9.8936433341573595E-4</v>
      </c>
      <c r="F148" s="9">
        <v>5.3680981595103372E-3</v>
      </c>
      <c r="G148" s="9">
        <v>5.3680981595103372E-3</v>
      </c>
      <c r="H148" s="35">
        <v>9.8887523509470971E-4</v>
      </c>
    </row>
    <row r="149" spans="2:8" x14ac:dyDescent="0.35">
      <c r="B149" s="6">
        <v>45140</v>
      </c>
      <c r="C149" s="7" t="s">
        <v>11</v>
      </c>
      <c r="D149" s="9">
        <v>-1.16027975634117E-3</v>
      </c>
      <c r="E149" s="9">
        <v>-1.16027975634117E-3</v>
      </c>
      <c r="F149" s="9">
        <v>4.2015899075447116E-3</v>
      </c>
      <c r="G149" s="9">
        <v>4.2015899075447116E-3</v>
      </c>
      <c r="H149" s="35">
        <v>-1.1609534020263455E-3</v>
      </c>
    </row>
    <row r="150" spans="2:8" x14ac:dyDescent="0.35">
      <c r="B150" s="6">
        <v>45141</v>
      </c>
      <c r="C150" s="7" t="s">
        <v>11</v>
      </c>
      <c r="D150" s="9">
        <v>-2.5813945984319E-4</v>
      </c>
      <c r="E150" s="9">
        <v>-2.5813945984319E-4</v>
      </c>
      <c r="F150" s="9">
        <v>3.9423658515522764E-3</v>
      </c>
      <c r="G150" s="9">
        <v>3.9423658515522764E-3</v>
      </c>
      <c r="H150" s="35">
        <v>-2.5817278356847603E-4</v>
      </c>
    </row>
    <row r="151" spans="2:8" x14ac:dyDescent="0.35">
      <c r="B151" s="6">
        <v>45142</v>
      </c>
      <c r="C151" s="7" t="s">
        <v>11</v>
      </c>
      <c r="D151" s="9">
        <v>-1.1511689205909201E-3</v>
      </c>
      <c r="E151" s="9">
        <v>-1.1511689205909201E-3</v>
      </c>
      <c r="F151" s="9">
        <v>2.7866586019194006E-3</v>
      </c>
      <c r="G151" s="9">
        <v>2.7866586019194006E-3</v>
      </c>
      <c r="H151" s="35">
        <v>-1.1518320244780793E-3</v>
      </c>
    </row>
    <row r="152" spans="2:8" x14ac:dyDescent="0.35">
      <c r="B152" s="6">
        <v>45145</v>
      </c>
      <c r="C152" s="7" t="s">
        <v>11</v>
      </c>
      <c r="D152" s="9">
        <v>9.5861786691366698E-4</v>
      </c>
      <c r="E152" s="9">
        <v>9.5861786691366698E-4</v>
      </c>
      <c r="F152" s="9">
        <v>3.7479478095578944E-3</v>
      </c>
      <c r="G152" s="9">
        <v>3.7479478095578944E-3</v>
      </c>
      <c r="H152" s="35">
        <v>9.581586862353683E-4</v>
      </c>
    </row>
    <row r="153" spans="2:8" x14ac:dyDescent="0.35">
      <c r="B153" s="6">
        <v>45146</v>
      </c>
      <c r="C153" s="7" t="s">
        <v>11</v>
      </c>
      <c r="D153" s="9">
        <v>1.8400748942764399E-3</v>
      </c>
      <c r="E153" s="9">
        <v>1.8400748942764399E-3</v>
      </c>
      <c r="F153" s="9">
        <v>5.5949192085036348E-3</v>
      </c>
      <c r="G153" s="9">
        <v>5.5949192085036348E-3</v>
      </c>
      <c r="H153" s="35">
        <v>1.8383840303612066E-3</v>
      </c>
    </row>
    <row r="154" spans="2:8" x14ac:dyDescent="0.35">
      <c r="B154" s="6">
        <v>45147</v>
      </c>
      <c r="C154" s="7" t="s">
        <v>11</v>
      </c>
      <c r="D154" s="9">
        <v>-5.6926811454101204E-4</v>
      </c>
      <c r="E154" s="9">
        <v>-5.6926811454101204E-4</v>
      </c>
      <c r="F154" s="9">
        <v>5.0224660848536828E-3</v>
      </c>
      <c r="G154" s="9">
        <v>5.0224660848536828E-3</v>
      </c>
      <c r="H154" s="35">
        <v>-5.6943020915395381E-4</v>
      </c>
    </row>
    <row r="155" spans="2:8" x14ac:dyDescent="0.35">
      <c r="B155" s="6">
        <v>45148</v>
      </c>
      <c r="C155" s="7" t="s">
        <v>11</v>
      </c>
      <c r="D155" s="9">
        <v>7.8453288052533396E-4</v>
      </c>
      <c r="E155" s="9">
        <v>7.8453288052533396E-4</v>
      </c>
      <c r="F155" s="9">
        <v>5.8109392551639605E-3</v>
      </c>
      <c r="G155" s="9">
        <v>5.8109392551639605E-3</v>
      </c>
      <c r="H155" s="35">
        <v>7.8422529546828064E-4</v>
      </c>
    </row>
    <row r="156" spans="2:8" x14ac:dyDescent="0.35">
      <c r="B156" s="6">
        <v>45149</v>
      </c>
      <c r="C156" s="7" t="s">
        <v>11</v>
      </c>
      <c r="D156" s="9">
        <v>-1.50340413650895E-4</v>
      </c>
      <c r="E156" s="9">
        <v>-1.50340413650895E-4</v>
      </c>
      <c r="F156" s="9">
        <v>5.6597252225016881E-3</v>
      </c>
      <c r="G156" s="9">
        <v>5.6597252225016881E-3</v>
      </c>
      <c r="H156" s="35">
        <v>-1.5035171590371067E-4</v>
      </c>
    </row>
    <row r="157" spans="2:8" x14ac:dyDescent="0.35">
      <c r="B157" s="6">
        <v>45152</v>
      </c>
      <c r="C157" s="7" t="s">
        <v>11</v>
      </c>
      <c r="D157" s="9">
        <v>9.6661940971686801E-5</v>
      </c>
      <c r="E157" s="9">
        <v>9.6661940971686801E-5</v>
      </c>
      <c r="F157" s="9">
        <v>5.756934243498657E-3</v>
      </c>
      <c r="G157" s="9">
        <v>5.756934243498657E-3</v>
      </c>
      <c r="H157" s="35">
        <v>9.6657269507303918E-5</v>
      </c>
    </row>
    <row r="158" spans="2:8" x14ac:dyDescent="0.35">
      <c r="B158" s="6">
        <v>45153</v>
      </c>
      <c r="C158" s="7" t="s">
        <v>11</v>
      </c>
      <c r="D158" s="9">
        <v>3.3291450540723897E-4</v>
      </c>
      <c r="E158" s="9">
        <v>3.3291450540723897E-4</v>
      </c>
      <c r="F158" s="9">
        <v>6.0917653158221174E-3</v>
      </c>
      <c r="G158" s="9">
        <v>6.0917653158221174E-3</v>
      </c>
      <c r="H158" s="35">
        <v>3.3285910166935367E-4</v>
      </c>
    </row>
    <row r="159" spans="2:8" x14ac:dyDescent="0.35">
      <c r="B159" s="6">
        <v>45154</v>
      </c>
      <c r="C159" s="7" t="s">
        <v>11</v>
      </c>
      <c r="D159" s="9">
        <v>6.8707862756042695E-4</v>
      </c>
      <c r="E159" s="9">
        <v>6.8707862756042695E-4</v>
      </c>
      <c r="F159" s="9">
        <v>6.7830294651349821E-3</v>
      </c>
      <c r="G159" s="9">
        <v>6.7830294651349821E-3</v>
      </c>
      <c r="H159" s="35">
        <v>6.8684269710245097E-4</v>
      </c>
    </row>
    <row r="160" spans="2:8" x14ac:dyDescent="0.35">
      <c r="B160" s="6">
        <v>45155</v>
      </c>
      <c r="C160" s="7" t="s">
        <v>11</v>
      </c>
      <c r="D160" s="9">
        <v>8.90443290563491E-4</v>
      </c>
      <c r="E160" s="9">
        <v>8.90443290563491E-4</v>
      </c>
      <c r="F160" s="9">
        <v>7.6795126587754226E-3</v>
      </c>
      <c r="G160" s="9">
        <v>7.6795126587754226E-3</v>
      </c>
      <c r="H160" s="35">
        <v>8.9004708112048602E-4</v>
      </c>
    </row>
    <row r="161" spans="2:8" x14ac:dyDescent="0.35">
      <c r="B161" s="6">
        <v>45156</v>
      </c>
      <c r="C161" s="7" t="s">
        <v>11</v>
      </c>
      <c r="D161" s="9">
        <v>3.5371670507522099E-4</v>
      </c>
      <c r="E161" s="9">
        <v>3.5371670507522099E-4</v>
      </c>
      <c r="F161" s="9">
        <v>8.0359457357648267E-3</v>
      </c>
      <c r="G161" s="9">
        <v>8.0359457357648267E-3</v>
      </c>
      <c r="H161" s="35">
        <v>3.5365416206929138E-4</v>
      </c>
    </row>
    <row r="162" spans="2:8" x14ac:dyDescent="0.35">
      <c r="B162" s="6">
        <v>45159</v>
      </c>
      <c r="C162" s="7" t="s">
        <v>11</v>
      </c>
      <c r="D162" s="9">
        <v>1.4893708211897701E-3</v>
      </c>
      <c r="E162" s="9">
        <v>1.4893708211897701E-3</v>
      </c>
      <c r="F162" s="9">
        <v>9.5372850600541348E-3</v>
      </c>
      <c r="G162" s="9">
        <v>9.5372850600541348E-3</v>
      </c>
      <c r="H162" s="35">
        <v>1.4882628084930717E-3</v>
      </c>
    </row>
    <row r="163" spans="2:8" x14ac:dyDescent="0.35">
      <c r="B163" s="6">
        <v>45160</v>
      </c>
      <c r="C163" s="7" t="s">
        <v>11</v>
      </c>
      <c r="D163" s="9">
        <v>-7.4892742893145506E-5</v>
      </c>
      <c r="E163" s="9">
        <v>-7.4892742893145506E-5</v>
      </c>
      <c r="F163" s="9">
        <v>9.4616780437231096E-3</v>
      </c>
      <c r="G163" s="9">
        <v>9.4616780437231096E-3</v>
      </c>
      <c r="H163" s="35">
        <v>-7.4895547494683928E-5</v>
      </c>
    </row>
    <row r="164" spans="2:8" x14ac:dyDescent="0.35">
      <c r="B164" s="6">
        <v>45161</v>
      </c>
      <c r="C164" s="7" t="s">
        <v>11</v>
      </c>
      <c r="D164" s="9">
        <v>6.6338540552108303E-4</v>
      </c>
      <c r="E164" s="9">
        <v>6.6338540552108303E-4</v>
      </c>
      <c r="F164" s="9">
        <v>1.0131340188370253E-2</v>
      </c>
      <c r="G164" s="9">
        <v>1.0131340188370253E-2</v>
      </c>
      <c r="H164" s="35">
        <v>6.6316546268887166E-4</v>
      </c>
    </row>
    <row r="165" spans="2:8" x14ac:dyDescent="0.35">
      <c r="B165" s="6">
        <v>45162</v>
      </c>
      <c r="C165" s="7" t="s">
        <v>11</v>
      </c>
      <c r="D165" s="9">
        <v>-8.7679904193671001E-4</v>
      </c>
      <c r="E165" s="9">
        <v>-8.7679904193671001E-4</v>
      </c>
      <c r="F165" s="9">
        <v>9.2456579970627839E-3</v>
      </c>
      <c r="G165" s="9">
        <v>9.2456579970627839E-3</v>
      </c>
      <c r="H165" s="35">
        <v>-8.7718365505206123E-4</v>
      </c>
    </row>
    <row r="166" spans="2:8" x14ac:dyDescent="0.35">
      <c r="B166" s="6">
        <v>45163</v>
      </c>
      <c r="C166" s="7" t="s">
        <v>11</v>
      </c>
      <c r="D166" s="9">
        <v>3.9597602739726499E-4</v>
      </c>
      <c r="E166" s="9">
        <v>3.9597602739726499E-4</v>
      </c>
      <c r="F166" s="9">
        <v>9.6452950833842976E-3</v>
      </c>
      <c r="G166" s="9">
        <v>9.6452950833842976E-3</v>
      </c>
      <c r="H166" s="35">
        <v>3.9589764957994315E-4</v>
      </c>
    </row>
    <row r="167" spans="2:8" x14ac:dyDescent="0.35">
      <c r="B167" s="6">
        <v>45166</v>
      </c>
      <c r="C167" s="7" t="s">
        <v>11</v>
      </c>
      <c r="D167" s="9">
        <v>1.78653572536568E-3</v>
      </c>
      <c r="E167" s="9">
        <v>1.78653572536568E-3</v>
      </c>
      <c r="F167" s="9">
        <v>1.144906247299815E-2</v>
      </c>
      <c r="G167" s="9">
        <v>1.144906247299815E-2</v>
      </c>
      <c r="H167" s="35">
        <v>1.7849417685748201E-3</v>
      </c>
    </row>
    <row r="168" spans="2:8" x14ac:dyDescent="0.35">
      <c r="B168" s="6">
        <v>45167</v>
      </c>
      <c r="C168" s="7" t="s">
        <v>11</v>
      </c>
      <c r="D168" s="9">
        <v>2.3493229678347099E-4</v>
      </c>
      <c r="E168" s="9">
        <v>2.3493229678347099E-4</v>
      </c>
      <c r="F168" s="9">
        <v>1.168668452432442E-2</v>
      </c>
      <c r="G168" s="9">
        <v>1.168668452432442E-2</v>
      </c>
      <c r="H168" s="35">
        <v>2.3490470451281977E-4</v>
      </c>
    </row>
    <row r="169" spans="2:8" x14ac:dyDescent="0.35">
      <c r="B169" s="6">
        <v>45168</v>
      </c>
      <c r="C169" s="7" t="s">
        <v>11</v>
      </c>
      <c r="D169" s="9">
        <v>-2.9893451198937998E-4</v>
      </c>
      <c r="E169" s="9">
        <v>-2.9893451198937998E-4</v>
      </c>
      <c r="F169" s="9">
        <v>1.1384256459000097E-2</v>
      </c>
      <c r="G169" s="9">
        <v>1.1384256459000097E-2</v>
      </c>
      <c r="H169" s="35">
        <v>-2.9897920181704056E-4</v>
      </c>
    </row>
    <row r="170" spans="2:8" x14ac:dyDescent="0.35">
      <c r="B170" s="6">
        <v>45169</v>
      </c>
      <c r="C170" s="7" t="s">
        <v>11</v>
      </c>
      <c r="D170" s="9">
        <v>-4.1649757577050597E-4</v>
      </c>
      <c r="E170" s="9">
        <v>-4.1649757577050597E-4</v>
      </c>
      <c r="F170" s="9">
        <v>1.0963017368012418E-2</v>
      </c>
      <c r="G170" s="9">
        <v>1.0963017368012418E-2</v>
      </c>
      <c r="H170" s="35">
        <v>-4.1658433497670507E-4</v>
      </c>
    </row>
    <row r="171" spans="2:8" x14ac:dyDescent="0.35">
      <c r="B171" s="6">
        <v>45170</v>
      </c>
      <c r="C171" s="7" t="s">
        <v>11</v>
      </c>
      <c r="D171" s="9">
        <v>2.4145557110652801E-3</v>
      </c>
      <c r="E171" s="9">
        <v>2.4145557110652801E-3</v>
      </c>
      <c r="F171" s="9">
        <v>1.3404043895274054E-2</v>
      </c>
      <c r="G171" s="9">
        <v>1.3404043895274054E-2</v>
      </c>
      <c r="H171" s="35">
        <v>2.4116453552937172E-3</v>
      </c>
    </row>
    <row r="172" spans="2:8" x14ac:dyDescent="0.35">
      <c r="B172" s="6">
        <v>45174</v>
      </c>
      <c r="C172" s="7" t="s">
        <v>11</v>
      </c>
      <c r="D172" s="9">
        <v>9.2406075139872534E-4</v>
      </c>
      <c r="E172" s="9">
        <v>9.2406075139872534E-4</v>
      </c>
      <c r="F172" s="9">
        <v>1.4340490797546401E-2</v>
      </c>
      <c r="G172" s="9">
        <v>1.4340490797546401E-2</v>
      </c>
      <c r="H172" s="35">
        <v>9.2363407009532039E-4</v>
      </c>
    </row>
    <row r="173" spans="2:8" x14ac:dyDescent="0.35">
      <c r="B173" s="6">
        <v>45175</v>
      </c>
      <c r="C173" s="7" t="s">
        <v>11</v>
      </c>
      <c r="D173" s="9">
        <v>-7.9436321565894401E-4</v>
      </c>
      <c r="E173" s="9">
        <v>-7.9436321565894401E-4</v>
      </c>
      <c r="F173" s="9">
        <v>1.3534736023503413E-2</v>
      </c>
      <c r="G173" s="9">
        <v>1.3534736023503413E-2</v>
      </c>
      <c r="H173" s="35">
        <v>-7.9467888930224257E-4</v>
      </c>
    </row>
    <row r="174" spans="2:8" x14ac:dyDescent="0.35">
      <c r="B174" s="6">
        <v>45176</v>
      </c>
      <c r="C174" s="7" t="s">
        <v>11</v>
      </c>
      <c r="D174" s="9">
        <v>-1.08699011371833E-3</v>
      </c>
      <c r="E174" s="9">
        <v>-1.08699011371833E-3</v>
      </c>
      <c r="F174" s="9">
        <v>1.2433033785535619E-2</v>
      </c>
      <c r="G174" s="9">
        <v>1.2433033785535619E-2</v>
      </c>
      <c r="H174" s="35">
        <v>-1.0875813159315093E-3</v>
      </c>
    </row>
    <row r="175" spans="2:8" x14ac:dyDescent="0.35">
      <c r="B175" s="6">
        <v>45177</v>
      </c>
      <c r="C175" s="7" t="s">
        <v>11</v>
      </c>
      <c r="D175" s="9">
        <v>1.4679666421649701E-3</v>
      </c>
      <c r="E175" s="9">
        <v>1.4679666421649701E-3</v>
      </c>
      <c r="F175" s="9">
        <v>1.39192517065585E-2</v>
      </c>
      <c r="G175" s="9">
        <v>1.39192517065585E-2</v>
      </c>
      <c r="H175" s="35">
        <v>1.4668902324272367E-3</v>
      </c>
    </row>
    <row r="176" spans="2:8" x14ac:dyDescent="0.35">
      <c r="B176" s="6">
        <v>45180</v>
      </c>
      <c r="C176" s="7" t="s">
        <v>11</v>
      </c>
      <c r="D176" s="9">
        <v>1.7363940741024801E-3</v>
      </c>
      <c r="E176" s="9">
        <v>1.7363940741024801E-3</v>
      </c>
      <c r="F176" s="9">
        <v>1.5679815086840021E-2</v>
      </c>
      <c r="G176" s="9">
        <v>1.5679815086840021E-2</v>
      </c>
      <c r="H176" s="35">
        <v>1.7348882847559388E-3</v>
      </c>
    </row>
    <row r="177" spans="2:8" x14ac:dyDescent="0.35">
      <c r="B177" s="6">
        <v>45181</v>
      </c>
      <c r="C177" s="7" t="s">
        <v>11</v>
      </c>
      <c r="D177" s="9">
        <v>-6.8378286118986201E-4</v>
      </c>
      <c r="E177" s="9">
        <v>-6.8378286118986201E-4</v>
      </c>
      <c r="F177" s="9">
        <v>1.4985310636827176E-2</v>
      </c>
      <c r="G177" s="9">
        <v>1.4985310636827176E-2</v>
      </c>
      <c r="H177" s="35">
        <v>-6.8401674731478511E-4</v>
      </c>
    </row>
    <row r="178" spans="2:8" x14ac:dyDescent="0.35">
      <c r="B178" s="6">
        <v>45182</v>
      </c>
      <c r="C178" s="7" t="s">
        <v>11</v>
      </c>
      <c r="D178" s="9">
        <v>4.4694449587764298E-5</v>
      </c>
      <c r="E178" s="9">
        <v>4.4694449587764298E-5</v>
      </c>
      <c r="F178" s="9">
        <v>1.5030674846625791E-2</v>
      </c>
      <c r="G178" s="9">
        <v>1.5030674846625791E-2</v>
      </c>
      <c r="H178" s="35">
        <v>4.4693450820615174E-5</v>
      </c>
    </row>
    <row r="179" spans="2:8" x14ac:dyDescent="0.35">
      <c r="B179" s="6">
        <v>45183</v>
      </c>
      <c r="C179" s="7" t="s">
        <v>11</v>
      </c>
      <c r="D179" s="9">
        <v>2.19205836408618E-4</v>
      </c>
      <c r="E179" s="9">
        <v>2.19205836408618E-4</v>
      </c>
      <c r="F179" s="9">
        <v>1.5253175494685856E-2</v>
      </c>
      <c r="G179" s="9">
        <v>1.5253175494685856E-2</v>
      </c>
      <c r="H179" s="35">
        <v>2.1918181431965312E-4</v>
      </c>
    </row>
    <row r="180" spans="2:8" x14ac:dyDescent="0.35">
      <c r="B180" s="6">
        <v>45184</v>
      </c>
      <c r="C180" s="7" t="s">
        <v>11</v>
      </c>
      <c r="D180" s="9">
        <v>-1.36175717741778E-3</v>
      </c>
      <c r="E180" s="9">
        <v>-1.36175717741778E-3</v>
      </c>
      <c r="F180" s="9">
        <v>1.3870647196059682E-2</v>
      </c>
      <c r="G180" s="9">
        <v>1.3870647196059682E-2</v>
      </c>
      <c r="H180" s="35">
        <v>-1.3626852113231773E-3</v>
      </c>
    </row>
    <row r="181" spans="2:8" x14ac:dyDescent="0.35">
      <c r="B181" s="6">
        <v>45187</v>
      </c>
      <c r="C181" s="7" t="s">
        <v>11</v>
      </c>
      <c r="D181" s="9">
        <v>-1.4445786752062899E-3</v>
      </c>
      <c r="E181" s="9">
        <v>-1.4445786752062899E-3</v>
      </c>
      <c r="F181" s="9">
        <v>1.2406031279702745E-2</v>
      </c>
      <c r="G181" s="9">
        <v>1.2406031279702745E-2</v>
      </c>
      <c r="H181" s="35">
        <v>-1.4456230849232525E-3</v>
      </c>
    </row>
    <row r="182" spans="2:8" x14ac:dyDescent="0.35">
      <c r="B182" s="6">
        <v>45188</v>
      </c>
      <c r="C182" s="7" t="s">
        <v>11</v>
      </c>
      <c r="D182" s="9">
        <v>8.9403259911702596E-4</v>
      </c>
      <c r="E182" s="9">
        <v>8.9403259911702596E-4</v>
      </c>
      <c r="F182" s="9">
        <v>1.3311155275209652E-2</v>
      </c>
      <c r="G182" s="9">
        <v>1.3311155275209652E-2</v>
      </c>
      <c r="H182" s="35">
        <v>8.9363319001177141E-4</v>
      </c>
    </row>
    <row r="183" spans="2:8" x14ac:dyDescent="0.35">
      <c r="B183" s="6">
        <v>45189</v>
      </c>
      <c r="C183" s="7" t="s">
        <v>11</v>
      </c>
      <c r="D183" s="9">
        <v>1.3249282641415101E-3</v>
      </c>
      <c r="E183" s="9">
        <v>1.3249282641415101E-3</v>
      </c>
      <c r="F183" s="9">
        <v>1.4653719865203696E-2</v>
      </c>
      <c r="G183" s="9">
        <v>1.4653719865203696E-2</v>
      </c>
      <c r="H183" s="35">
        <v>1.3240513211944084E-3</v>
      </c>
    </row>
    <row r="184" spans="2:8" x14ac:dyDescent="0.35">
      <c r="B184" s="6">
        <v>45190</v>
      </c>
      <c r="C184" s="7" t="s">
        <v>11</v>
      </c>
      <c r="D184" s="9">
        <v>-1.9267474055445599E-4</v>
      </c>
      <c r="E184" s="9">
        <v>-1.9267474055445599E-4</v>
      </c>
      <c r="F184" s="9">
        <v>1.4458221722976061E-2</v>
      </c>
      <c r="G184" s="9">
        <v>1.4458221722976061E-2</v>
      </c>
      <c r="H184" s="35">
        <v>-1.92693304716936E-4</v>
      </c>
    </row>
    <row r="185" spans="2:8" x14ac:dyDescent="0.35">
      <c r="B185" s="6">
        <v>45191</v>
      </c>
      <c r="C185" s="7" t="s">
        <v>11</v>
      </c>
      <c r="D185" s="9">
        <v>2.17093649451781E-3</v>
      </c>
      <c r="E185" s="9">
        <v>2.17093649451781E-3</v>
      </c>
      <c r="F185" s="9">
        <v>1.6660546098677953E-2</v>
      </c>
      <c r="G185" s="9">
        <v>1.6660546098677953E-2</v>
      </c>
      <c r="H185" s="35">
        <v>2.1685834168588144E-3</v>
      </c>
    </row>
    <row r="186" spans="2:8" x14ac:dyDescent="0.35">
      <c r="B186" s="6">
        <v>45194</v>
      </c>
      <c r="C186" s="7" t="s">
        <v>11</v>
      </c>
      <c r="D186" s="9">
        <v>6.3319044052419205E-4</v>
      </c>
      <c r="E186" s="9">
        <v>6.3319044052419205E-4</v>
      </c>
      <c r="F186" s="9">
        <v>1.7304285837725697E-2</v>
      </c>
      <c r="G186" s="9">
        <v>1.7304285837725697E-2</v>
      </c>
      <c r="H186" s="35">
        <v>6.3299006003868078E-4</v>
      </c>
    </row>
    <row r="187" spans="2:8" x14ac:dyDescent="0.35">
      <c r="B187" s="6">
        <v>45195</v>
      </c>
      <c r="C187" s="7" t="s">
        <v>11</v>
      </c>
      <c r="D187" s="9">
        <v>5.2661698488416103E-4</v>
      </c>
      <c r="E187" s="9">
        <v>5.2661698488416103E-4</v>
      </c>
      <c r="F187" s="9">
        <v>1.7840015553443278E-2</v>
      </c>
      <c r="G187" s="9">
        <v>1.7840015553443278E-2</v>
      </c>
      <c r="H187" s="35">
        <v>5.2647837082192561E-4</v>
      </c>
    </row>
    <row r="188" spans="2:8" x14ac:dyDescent="0.35">
      <c r="B188" s="6">
        <v>45196</v>
      </c>
      <c r="C188" s="7" t="s">
        <v>11</v>
      </c>
      <c r="D188" s="9">
        <v>1.1832033931938801E-3</v>
      </c>
      <c r="E188" s="9">
        <v>1.1832033931938801E-3</v>
      </c>
      <c r="F188" s="9">
        <v>1.9044327313574527E-2</v>
      </c>
      <c r="G188" s="9">
        <v>1.9044327313574527E-2</v>
      </c>
      <c r="H188" s="35">
        <v>1.1825039597192861E-3</v>
      </c>
    </row>
    <row r="189" spans="2:8" x14ac:dyDescent="0.35">
      <c r="B189" s="6">
        <v>45197</v>
      </c>
      <c r="C189" s="7" t="s">
        <v>11</v>
      </c>
      <c r="D189" s="9">
        <v>2.27881696542167E-4</v>
      </c>
      <c r="E189" s="9">
        <v>2.27881696542167E-4</v>
      </c>
      <c r="F189" s="9">
        <v>1.9276548863734533E-2</v>
      </c>
      <c r="G189" s="9">
        <v>1.9276548863734533E-2</v>
      </c>
      <c r="H189" s="35">
        <v>2.2785573545235191E-4</v>
      </c>
    </row>
    <row r="190" spans="2:8" x14ac:dyDescent="0.35">
      <c r="B190" s="6">
        <v>45198</v>
      </c>
      <c r="C190" s="7" t="s">
        <v>11</v>
      </c>
      <c r="D190" s="9">
        <v>-2.7657475412924801E-4</v>
      </c>
      <c r="E190" s="9">
        <v>-2.7657475412924801E-4</v>
      </c>
      <c r="F190" s="9">
        <v>1.8994642702842901E-2</v>
      </c>
      <c r="G190" s="9">
        <v>1.8994642702842901E-2</v>
      </c>
      <c r="H190" s="35">
        <v>-2.7661300798007259E-4</v>
      </c>
    </row>
    <row r="191" spans="2:8" x14ac:dyDescent="0.35">
      <c r="B191" s="6">
        <v>45201</v>
      </c>
      <c r="C191" s="7" t="s">
        <v>11</v>
      </c>
      <c r="D191" s="9">
        <v>1.9715377782676098E-3</v>
      </c>
      <c r="E191" s="9">
        <v>1.9715377782676098E-3</v>
      </c>
      <c r="F191" s="9">
        <v>2.1003629136783886E-2</v>
      </c>
      <c r="G191" s="9">
        <v>2.1003629136783886E-2</v>
      </c>
      <c r="H191" s="35">
        <v>1.9695968483211929E-3</v>
      </c>
    </row>
    <row r="192" spans="2:8" x14ac:dyDescent="0.35">
      <c r="B192" s="6">
        <v>45202</v>
      </c>
      <c r="C192" s="7" t="s">
        <v>11</v>
      </c>
      <c r="D192" s="9">
        <v>4.4748361871433799E-4</v>
      </c>
      <c r="E192" s="9">
        <v>4.4748361871433799E-4</v>
      </c>
      <c r="F192" s="9">
        <v>2.1460511535470461E-2</v>
      </c>
      <c r="G192" s="9">
        <v>2.1460511535470461E-2</v>
      </c>
      <c r="H192" s="35">
        <v>4.4738352777802033E-4</v>
      </c>
    </row>
    <row r="193" spans="2:8" x14ac:dyDescent="0.35">
      <c r="B193" s="6">
        <v>45203</v>
      </c>
      <c r="C193" s="7" t="s">
        <v>11</v>
      </c>
      <c r="D193" s="9">
        <v>2.13596359979654E-4</v>
      </c>
      <c r="E193" s="9">
        <v>2.13596359979654E-4</v>
      </c>
      <c r="F193" s="9">
        <v>2.1678691782597292E-2</v>
      </c>
      <c r="G193" s="9">
        <v>2.1678691782597292E-2</v>
      </c>
      <c r="H193" s="35">
        <v>2.1357355152495228E-4</v>
      </c>
    </row>
    <row r="194" spans="2:8" x14ac:dyDescent="0.35">
      <c r="B194" s="6">
        <v>45204</v>
      </c>
      <c r="C194" s="7" t="s">
        <v>11</v>
      </c>
      <c r="D194" s="9">
        <v>-2.43363276249024E-3</v>
      </c>
      <c r="E194" s="9">
        <v>-2.43363276249024E-3</v>
      </c>
      <c r="F194" s="9">
        <v>1.9192301045537041E-2</v>
      </c>
      <c r="G194" s="9">
        <v>1.9192301045537041E-2</v>
      </c>
      <c r="H194" s="35">
        <v>-2.4365988599400292E-3</v>
      </c>
    </row>
    <row r="195" spans="2:8" x14ac:dyDescent="0.35">
      <c r="B195" s="6">
        <v>45205</v>
      </c>
      <c r="C195" s="7" t="s">
        <v>11</v>
      </c>
      <c r="D195" s="9">
        <v>2.3293546373550698E-3</v>
      </c>
      <c r="E195" s="9">
        <v>2.3293546373550698E-3</v>
      </c>
      <c r="F195" s="9">
        <v>2.1566361358334118E-2</v>
      </c>
      <c r="G195" s="9">
        <v>2.1566361358334118E-2</v>
      </c>
      <c r="H195" s="35">
        <v>2.3266458964384174E-3</v>
      </c>
    </row>
    <row r="196" spans="2:8" x14ac:dyDescent="0.35">
      <c r="B196" s="6">
        <v>45208</v>
      </c>
      <c r="C196" s="7" t="s">
        <v>11</v>
      </c>
      <c r="D196" s="9">
        <v>3.22475938537091E-4</v>
      </c>
      <c r="E196" s="9">
        <v>3.22475938537091E-4</v>
      </c>
      <c r="F196" s="9">
        <v>2.1895791929491093E-2</v>
      </c>
      <c r="G196" s="9">
        <v>2.1895791929491093E-2</v>
      </c>
      <c r="H196" s="35">
        <v>3.2242395434718013E-4</v>
      </c>
    </row>
    <row r="197" spans="2:8" x14ac:dyDescent="0.35">
      <c r="B197" s="6">
        <v>45209</v>
      </c>
      <c r="C197" s="7" t="s">
        <v>11</v>
      </c>
      <c r="D197" s="9">
        <v>1.1901339376311599E-3</v>
      </c>
      <c r="E197" s="9">
        <v>1.1901339376311599E-3</v>
      </c>
      <c r="F197" s="9">
        <v>2.3111984792189011E-2</v>
      </c>
      <c r="G197" s="9">
        <v>2.3111984792189011E-2</v>
      </c>
      <c r="H197" s="35">
        <v>1.1894262896447554E-3</v>
      </c>
    </row>
    <row r="198" spans="2:8" x14ac:dyDescent="0.35">
      <c r="B198" s="6">
        <v>45210</v>
      </c>
      <c r="C198" s="7" t="s">
        <v>11</v>
      </c>
      <c r="D198" s="9">
        <v>-1.1433240642795999E-3</v>
      </c>
      <c r="E198" s="9">
        <v>-1.1433240642795999E-3</v>
      </c>
      <c r="F198" s="9">
        <v>2.1942236239523183E-2</v>
      </c>
      <c r="G198" s="9">
        <v>2.1942236239523183E-2</v>
      </c>
      <c r="H198" s="35">
        <v>-1.1439781578457587E-3</v>
      </c>
    </row>
    <row r="199" spans="2:8" x14ac:dyDescent="0.35">
      <c r="B199" s="6">
        <v>45211</v>
      </c>
      <c r="C199" s="7" t="s">
        <v>11</v>
      </c>
      <c r="D199" s="9">
        <v>1.12560838340447E-3</v>
      </c>
      <c r="E199" s="9">
        <v>1.12560838340447E-3</v>
      </c>
      <c r="F199" s="9">
        <v>2.3092542987989351E-2</v>
      </c>
      <c r="G199" s="9">
        <v>2.3092542987989351E-2</v>
      </c>
      <c r="H199" s="35">
        <v>1.124975361266788E-3</v>
      </c>
    </row>
    <row r="200" spans="2:8" x14ac:dyDescent="0.35">
      <c r="B200" s="6">
        <v>45212</v>
      </c>
      <c r="C200" s="7" t="s">
        <v>11</v>
      </c>
      <c r="D200" s="9">
        <v>-9.4064736808774797E-4</v>
      </c>
      <c r="E200" s="9">
        <v>-9.4064736808774797E-4</v>
      </c>
      <c r="F200" s="9">
        <v>2.2130173680117604E-2</v>
      </c>
      <c r="G200" s="9">
        <v>2.2130173680117604E-2</v>
      </c>
      <c r="H200" s="35">
        <v>-9.4109005445290356E-4</v>
      </c>
    </row>
    <row r="201" spans="2:8" x14ac:dyDescent="0.35">
      <c r="B201" s="6">
        <v>45215</v>
      </c>
      <c r="C201" s="7" t="s">
        <v>11</v>
      </c>
      <c r="D201" s="9">
        <v>3.3814878335129797E-4</v>
      </c>
      <c r="E201" s="9">
        <v>3.3814878335129797E-4</v>
      </c>
      <c r="F201" s="9">
        <v>2.2475805754774258E-2</v>
      </c>
      <c r="G201" s="9">
        <v>2.2475805754774258E-2</v>
      </c>
      <c r="H201" s="35">
        <v>3.3809162393675328E-4</v>
      </c>
    </row>
    <row r="202" spans="2:8" x14ac:dyDescent="0.35">
      <c r="B202" s="6">
        <v>45216</v>
      </c>
      <c r="C202" s="7" t="s">
        <v>11</v>
      </c>
      <c r="D202" s="9">
        <v>-7.9438102189930196E-4</v>
      </c>
      <c r="E202" s="9">
        <v>-7.9438102189930196E-4</v>
      </c>
      <c r="F202" s="9">
        <v>2.1663570379331532E-2</v>
      </c>
      <c r="G202" s="9">
        <v>2.1663570379331532E-2</v>
      </c>
      <c r="H202" s="35">
        <v>-7.9469670969863971E-4</v>
      </c>
    </row>
    <row r="203" spans="2:8" x14ac:dyDescent="0.35">
      <c r="B203" s="6">
        <v>45217</v>
      </c>
      <c r="C203" s="7" t="s">
        <v>11</v>
      </c>
      <c r="D203" s="9">
        <v>9.3773423533423102E-4</v>
      </c>
      <c r="E203" s="9">
        <v>9.3773423533423102E-4</v>
      </c>
      <c r="F203" s="9">
        <v>2.2621619286270045E-2</v>
      </c>
      <c r="G203" s="9">
        <v>2.2621619286270045E-2</v>
      </c>
      <c r="H203" s="35">
        <v>9.372948372571747E-4</v>
      </c>
    </row>
    <row r="204" spans="2:8" x14ac:dyDescent="0.35">
      <c r="B204" s="6">
        <v>45218</v>
      </c>
      <c r="C204" s="7" t="s">
        <v>11</v>
      </c>
      <c r="D204" s="9">
        <v>1.5843106769865101E-3</v>
      </c>
      <c r="E204" s="9">
        <v>1.5843106769865101E-3</v>
      </c>
      <c r="F204" s="9">
        <v>2.424176963622271E-2</v>
      </c>
      <c r="G204" s="9">
        <v>2.424176963622271E-2</v>
      </c>
      <c r="H204" s="35">
        <v>1.5830569808141491E-3</v>
      </c>
    </row>
    <row r="205" spans="2:8" x14ac:dyDescent="0.35">
      <c r="B205" s="6">
        <v>45219</v>
      </c>
      <c r="C205" s="7" t="s">
        <v>11</v>
      </c>
      <c r="D205" s="9">
        <v>4.49232508404702E-4</v>
      </c>
      <c r="E205" s="9">
        <v>4.49232508404702E-4</v>
      </c>
      <c r="F205" s="9">
        <v>2.4701892335609266E-2</v>
      </c>
      <c r="G205" s="9">
        <v>2.4701892335609266E-2</v>
      </c>
      <c r="H205" s="35">
        <v>4.4913163369103928E-4</v>
      </c>
    </row>
    <row r="206" spans="2:8" x14ac:dyDescent="0.35">
      <c r="B206" s="6">
        <v>45222</v>
      </c>
      <c r="C206" s="7" t="s">
        <v>11</v>
      </c>
      <c r="D206" s="9">
        <v>1.8024475340192001E-4</v>
      </c>
      <c r="E206" s="9">
        <v>1.8024475340192001E-4</v>
      </c>
      <c r="F206" s="9">
        <v>2.4886589475503706E-2</v>
      </c>
      <c r="G206" s="9">
        <v>2.4886589475503706E-2</v>
      </c>
      <c r="H206" s="35">
        <v>1.8022851126794952E-4</v>
      </c>
    </row>
    <row r="207" spans="2:8" x14ac:dyDescent="0.35">
      <c r="B207" s="6">
        <v>45223</v>
      </c>
      <c r="C207" s="7" t="s">
        <v>11</v>
      </c>
      <c r="D207" s="9">
        <v>3.9520234887198701E-4</v>
      </c>
      <c r="E207" s="9">
        <v>3.9520234887198701E-4</v>
      </c>
      <c r="F207" s="9">
        <v>2.5291627062991928E-2</v>
      </c>
      <c r="G207" s="9">
        <v>2.5291627062991928E-2</v>
      </c>
      <c r="H207" s="35">
        <v>3.9512427699253162E-4</v>
      </c>
    </row>
    <row r="208" spans="2:8" x14ac:dyDescent="0.35">
      <c r="B208" s="6">
        <v>45224</v>
      </c>
      <c r="C208" s="7" t="s">
        <v>11</v>
      </c>
      <c r="D208" s="9">
        <v>-2.7115972930378701E-3</v>
      </c>
      <c r="E208" s="9">
        <v>-2.7115972930378701E-3</v>
      </c>
      <c r="F208" s="9">
        <v>2.2511449062473599E-2</v>
      </c>
      <c r="G208" s="9">
        <v>2.2511449062473599E-2</v>
      </c>
      <c r="H208" s="35">
        <v>-2.7152803324307154E-3</v>
      </c>
    </row>
    <row r="209" spans="2:8" x14ac:dyDescent="0.35">
      <c r="B209" s="6">
        <v>45225</v>
      </c>
      <c r="C209" s="7" t="s">
        <v>11</v>
      </c>
      <c r="D209" s="9">
        <v>-6.6653849972849605E-4</v>
      </c>
      <c r="E209" s="9">
        <v>-6.6653849972849605E-4</v>
      </c>
      <c r="F209" s="9">
        <v>2.1829905815260231E-2</v>
      </c>
      <c r="G209" s="9">
        <v>2.1829905815260231E-2</v>
      </c>
      <c r="H209" s="35">
        <v>-6.6676073527219184E-4</v>
      </c>
    </row>
    <row r="210" spans="2:8" x14ac:dyDescent="0.35">
      <c r="B210" s="6">
        <v>45226</v>
      </c>
      <c r="C210" s="7" t="s">
        <v>11</v>
      </c>
      <c r="D210" s="9">
        <v>5.41197039060202E-4</v>
      </c>
      <c r="E210" s="9">
        <v>5.41197039060202E-4</v>
      </c>
      <c r="F210" s="9">
        <v>2.2382917134710745E-2</v>
      </c>
      <c r="G210" s="9">
        <v>2.2382917134710745E-2</v>
      </c>
      <c r="H210" s="35">
        <v>5.4105064475915346E-4</v>
      </c>
    </row>
    <row r="211" spans="2:8" x14ac:dyDescent="0.35">
      <c r="B211" s="6">
        <v>45229</v>
      </c>
      <c r="C211" s="7" t="s">
        <v>11</v>
      </c>
      <c r="D211" s="9">
        <v>4.6167027445612402E-4</v>
      </c>
      <c r="E211" s="9">
        <v>4.6167027445612402E-4</v>
      </c>
      <c r="F211" s="9">
        <v>2.2854920936663747E-2</v>
      </c>
      <c r="G211" s="9">
        <v>2.2854920936663747E-2</v>
      </c>
      <c r="H211" s="35">
        <v>4.6156373752374223E-4</v>
      </c>
    </row>
    <row r="212" spans="2:8" x14ac:dyDescent="0.35">
      <c r="B212" s="6">
        <v>45230</v>
      </c>
      <c r="C212" s="7" t="s">
        <v>11</v>
      </c>
      <c r="D212" s="9">
        <v>3.7697993664199698E-4</v>
      </c>
      <c r="E212" s="9">
        <v>3.7697993664199698E-4</v>
      </c>
      <c r="F212" s="9">
        <v>2.3240516719952309E-2</v>
      </c>
      <c r="G212" s="9">
        <v>2.3240516719952309E-2</v>
      </c>
      <c r="H212" s="35">
        <v>3.7690889755864906E-4</v>
      </c>
    </row>
    <row r="213" spans="2:8" x14ac:dyDescent="0.35">
      <c r="B213" s="6">
        <v>45231</v>
      </c>
      <c r="C213" s="7" t="s">
        <v>11</v>
      </c>
      <c r="D213" s="9">
        <v>1.64668651838753E-3</v>
      </c>
      <c r="E213" s="9">
        <v>1.64668651838753E-3</v>
      </c>
      <c r="F213" s="9">
        <v>2.4925473083903027E-2</v>
      </c>
      <c r="G213" s="9">
        <v>2.4925473083903027E-2</v>
      </c>
      <c r="H213" s="35">
        <v>1.6453322166789946E-3</v>
      </c>
    </row>
    <row r="214" spans="2:8" x14ac:dyDescent="0.35">
      <c r="B214" s="6">
        <v>45232</v>
      </c>
      <c r="C214" s="7" t="s">
        <v>11</v>
      </c>
      <c r="D214" s="9">
        <v>-5.0373214938721203E-4</v>
      </c>
      <c r="E214" s="9">
        <v>-5.0373214938721203E-4</v>
      </c>
      <c r="F214" s="9">
        <v>2.4409185172384662E-2</v>
      </c>
      <c r="G214" s="9">
        <v>2.4409185172384662E-2</v>
      </c>
      <c r="H214" s="35">
        <v>-5.0385906504921152E-4</v>
      </c>
    </row>
    <row r="215" spans="2:8" x14ac:dyDescent="0.35">
      <c r="B215" s="6">
        <v>45233</v>
      </c>
      <c r="C215" s="7" t="s">
        <v>11</v>
      </c>
      <c r="D215" s="9">
        <v>3.37396500987824E-5</v>
      </c>
      <c r="E215" s="9">
        <v>3.37396500987824E-5</v>
      </c>
      <c r="F215" s="9">
        <v>2.4443748379850305E-2</v>
      </c>
      <c r="G215" s="9">
        <v>2.4443748379850305E-2</v>
      </c>
      <c r="H215" s="35">
        <v>3.373908092948214E-5</v>
      </c>
    </row>
    <row r="216" spans="2:8" x14ac:dyDescent="0.35">
      <c r="B216" s="6">
        <v>45236</v>
      </c>
      <c r="C216" s="7" t="s">
        <v>11</v>
      </c>
      <c r="D216" s="9">
        <v>8.2448488145661701E-4</v>
      </c>
      <c r="E216" s="9">
        <v>8.2448488145661701E-4</v>
      </c>
      <c r="F216" s="9">
        <v>2.5288386762292392E-2</v>
      </c>
      <c r="G216" s="9">
        <v>2.5288386762292392E-2</v>
      </c>
      <c r="H216" s="35">
        <v>8.2414518050286816E-4</v>
      </c>
    </row>
    <row r="217" spans="2:8" x14ac:dyDescent="0.35">
      <c r="B217" s="6">
        <v>45237</v>
      </c>
      <c r="C217" s="7" t="s">
        <v>11</v>
      </c>
      <c r="D217" s="9">
        <v>1.90676247533581E-3</v>
      </c>
      <c r="E217" s="9">
        <v>1.90676247533581E-3</v>
      </c>
      <c r="F217" s="9">
        <v>2.7243368184568295E-2</v>
      </c>
      <c r="G217" s="9">
        <v>2.7243368184568295E-2</v>
      </c>
      <c r="H217" s="35">
        <v>1.9049469113002846E-3</v>
      </c>
    </row>
    <row r="218" spans="2:8" x14ac:dyDescent="0.35">
      <c r="B218" s="6">
        <v>45238</v>
      </c>
      <c r="C218" s="7" t="s">
        <v>11</v>
      </c>
      <c r="D218" s="9">
        <v>3.2784368648554798E-3</v>
      </c>
      <c r="E218" s="9">
        <v>3.2784368648554798E-3</v>
      </c>
      <c r="F218" s="9">
        <v>3.0611120712003004E-2</v>
      </c>
      <c r="G218" s="9">
        <v>3.0611120712003004E-2</v>
      </c>
      <c r="H218" s="35">
        <v>3.2730745076204751E-3</v>
      </c>
    </row>
    <row r="219" spans="2:8" x14ac:dyDescent="0.35">
      <c r="B219" s="6">
        <v>45239</v>
      </c>
      <c r="C219" s="7" t="s">
        <v>11</v>
      </c>
      <c r="D219" s="9">
        <v>7.2942135716380098E-4</v>
      </c>
      <c r="E219" s="9">
        <v>7.2942135716380098E-4</v>
      </c>
      <c r="F219" s="9">
        <v>3.1362870474380911E-2</v>
      </c>
      <c r="G219" s="9">
        <v>3.1362870474380911E-2</v>
      </c>
      <c r="H219" s="35">
        <v>7.2915545869915244E-4</v>
      </c>
    </row>
    <row r="220" spans="2:8" x14ac:dyDescent="0.35">
      <c r="B220" s="6">
        <v>45240</v>
      </c>
      <c r="C220" s="7" t="s">
        <v>11</v>
      </c>
      <c r="D220" s="9">
        <v>3.21507377389985E-4</v>
      </c>
      <c r="E220" s="9">
        <v>3.21507377389985E-4</v>
      </c>
      <c r="F220" s="9">
        <v>3.1694461246004391E-2</v>
      </c>
      <c r="G220" s="9">
        <v>3.1694461246004391E-2</v>
      </c>
      <c r="H220" s="35">
        <v>3.2145570496811758E-4</v>
      </c>
    </row>
    <row r="221" spans="2:8" x14ac:dyDescent="0.35">
      <c r="B221" s="6">
        <v>45243</v>
      </c>
      <c r="C221" s="7" t="s">
        <v>11</v>
      </c>
      <c r="D221" s="9">
        <v>9.6316521214768298E-4</v>
      </c>
      <c r="E221" s="9">
        <v>9.6316521214768298E-4</v>
      </c>
      <c r="F221" s="9">
        <v>3.2688153460642022E-2</v>
      </c>
      <c r="G221" s="9">
        <v>3.2688153460642022E-2</v>
      </c>
      <c r="H221" s="35">
        <v>9.6270166615854418E-4</v>
      </c>
    </row>
    <row r="222" spans="2:8" x14ac:dyDescent="0.35">
      <c r="B222" s="6">
        <v>45244</v>
      </c>
      <c r="C222" s="7" t="s">
        <v>11</v>
      </c>
      <c r="D222" s="9">
        <v>-6.5264866583554005E-4</v>
      </c>
      <c r="E222" s="9">
        <v>-6.5264866583554005E-4</v>
      </c>
      <c r="F222" s="9">
        <v>3.2014170915061646E-2</v>
      </c>
      <c r="G222" s="9">
        <v>3.2014170915061646E-2</v>
      </c>
      <c r="H222" s="35">
        <v>-6.5286173368677162E-4</v>
      </c>
    </row>
    <row r="223" spans="2:8" x14ac:dyDescent="0.35">
      <c r="B223" s="6">
        <v>45245</v>
      </c>
      <c r="C223" s="7" t="s">
        <v>11</v>
      </c>
      <c r="D223" s="9">
        <v>-1.7970025536902801E-3</v>
      </c>
      <c r="E223" s="9">
        <v>-1.7970025536902801E-3</v>
      </c>
      <c r="F223" s="9">
        <v>3.0159638814482692E-2</v>
      </c>
      <c r="G223" s="9">
        <v>3.0159638814482692E-2</v>
      </c>
      <c r="H223" s="35">
        <v>-1.7986190996944458E-3</v>
      </c>
    </row>
    <row r="224" spans="2:8" x14ac:dyDescent="0.35">
      <c r="B224" s="6">
        <v>45246</v>
      </c>
      <c r="C224" s="7" t="s">
        <v>11</v>
      </c>
      <c r="D224" s="9">
        <v>2.2605196469143302E-3</v>
      </c>
      <c r="E224" s="9">
        <v>2.2605196469143302E-3</v>
      </c>
      <c r="F224" s="9">
        <v>3.2488334917480932E-2</v>
      </c>
      <c r="G224" s="9">
        <v>3.2488334917480932E-2</v>
      </c>
      <c r="H224" s="35">
        <v>2.2579685162412537E-3</v>
      </c>
    </row>
    <row r="225" spans="2:8" x14ac:dyDescent="0.35">
      <c r="B225" s="6">
        <v>45247</v>
      </c>
      <c r="C225" s="7" t="s">
        <v>11</v>
      </c>
      <c r="D225" s="9">
        <v>6.4231383621418995E-4</v>
      </c>
      <c r="E225" s="9">
        <v>6.4231383621418995E-4</v>
      </c>
      <c r="F225" s="9">
        <v>3.3151516460728114E-2</v>
      </c>
      <c r="G225" s="9">
        <v>3.3151516460728114E-2</v>
      </c>
      <c r="H225" s="35">
        <v>6.4210764097204307E-4</v>
      </c>
    </row>
    <row r="226" spans="2:8" x14ac:dyDescent="0.35">
      <c r="B226" s="6">
        <v>45250</v>
      </c>
      <c r="C226" s="7" t="s">
        <v>11</v>
      </c>
      <c r="D226" s="9">
        <v>-1.7145252699069199E-4</v>
      </c>
      <c r="E226" s="9">
        <v>-1.7145252699069199E-4</v>
      </c>
      <c r="F226" s="9">
        <v>3.2974380022466665E-2</v>
      </c>
      <c r="G226" s="9">
        <v>3.2974380022466665E-2</v>
      </c>
      <c r="H226" s="35">
        <v>-1.7146722665541589E-4</v>
      </c>
    </row>
    <row r="227" spans="2:8" x14ac:dyDescent="0.35">
      <c r="B227" s="6">
        <v>45251</v>
      </c>
      <c r="C227" s="7" t="s">
        <v>11</v>
      </c>
      <c r="D227" s="9">
        <v>1.0142528668325699E-4</v>
      </c>
      <c r="E227" s="9">
        <v>1.0142528668325699E-4</v>
      </c>
      <c r="F227" s="9">
        <v>3.307914974509707E-2</v>
      </c>
      <c r="G227" s="9">
        <v>3.307914974509707E-2</v>
      </c>
      <c r="H227" s="35">
        <v>1.0142014348670651E-4</v>
      </c>
    </row>
    <row r="228" spans="2:8" x14ac:dyDescent="0.35">
      <c r="B228" s="6">
        <v>45252</v>
      </c>
      <c r="C228" s="7" t="s">
        <v>11</v>
      </c>
      <c r="D228" s="9">
        <v>5.8653417894628302E-4</v>
      </c>
      <c r="E228" s="9">
        <v>5.8653417894628302E-4</v>
      </c>
      <c r="F228" s="9">
        <v>3.3685085975979412E-2</v>
      </c>
      <c r="G228" s="9">
        <v>3.3685085975979412E-2</v>
      </c>
      <c r="H228" s="35">
        <v>5.8636223500556253E-4</v>
      </c>
    </row>
    <row r="229" spans="2:8" x14ac:dyDescent="0.35">
      <c r="B229" s="6">
        <v>45254</v>
      </c>
      <c r="C229" s="7" t="s">
        <v>11</v>
      </c>
      <c r="D229" s="9">
        <v>4.9841853991572371E-4</v>
      </c>
      <c r="E229" s="9">
        <v>4.9841853991572371E-4</v>
      </c>
      <c r="F229" s="9">
        <v>3.4200293787264302E-2</v>
      </c>
      <c r="G229" s="9">
        <v>3.4200293787264302E-2</v>
      </c>
      <c r="H229" s="35">
        <v>4.9829437065238653E-4</v>
      </c>
    </row>
    <row r="230" spans="2:8" x14ac:dyDescent="0.35">
      <c r="B230" s="6">
        <v>45257</v>
      </c>
      <c r="C230" s="7" t="s">
        <v>11</v>
      </c>
      <c r="D230" s="9">
        <v>1.33263150858895E-3</v>
      </c>
      <c r="E230" s="9">
        <v>1.33263150858895E-3</v>
      </c>
      <c r="F230" s="9">
        <v>3.557850168495702E-2</v>
      </c>
      <c r="G230" s="9">
        <v>3.557850168495702E-2</v>
      </c>
      <c r="H230" s="35">
        <v>1.3317443433088277E-3</v>
      </c>
    </row>
    <row r="231" spans="2:8" x14ac:dyDescent="0.35">
      <c r="B231" s="6">
        <v>45258</v>
      </c>
      <c r="C231" s="7" t="s">
        <v>11</v>
      </c>
      <c r="D231" s="9">
        <v>4.6413150044853901E-4</v>
      </c>
      <c r="E231" s="9">
        <v>4.6413150044853901E-4</v>
      </c>
      <c r="F231" s="9">
        <v>3.6059146288776267E-2</v>
      </c>
      <c r="G231" s="9">
        <v>3.6059146288776267E-2</v>
      </c>
      <c r="H231" s="35">
        <v>4.6402382473953322E-4</v>
      </c>
    </row>
    <row r="232" spans="2:8" x14ac:dyDescent="0.35">
      <c r="B232" s="6">
        <v>45259</v>
      </c>
      <c r="C232" s="7" t="s">
        <v>11</v>
      </c>
      <c r="D232" s="9">
        <v>-8.0690140477990095E-4</v>
      </c>
      <c r="E232" s="9">
        <v>-8.0690140477990095E-4</v>
      </c>
      <c r="F232" s="9">
        <v>3.5223148708200869E-2</v>
      </c>
      <c r="G232" s="9">
        <v>3.5223148708200869E-2</v>
      </c>
      <c r="H232" s="35">
        <v>-8.0722712494624746E-4</v>
      </c>
    </row>
    <row r="233" spans="2:8" x14ac:dyDescent="0.35">
      <c r="B233" s="6">
        <v>45260</v>
      </c>
      <c r="C233" s="7" t="s">
        <v>11</v>
      </c>
      <c r="D233" s="9">
        <v>1.45756016739503E-3</v>
      </c>
      <c r="E233" s="9">
        <v>1.45756016739503E-3</v>
      </c>
      <c r="F233" s="9">
        <v>3.6732048734123168E-2</v>
      </c>
      <c r="G233" s="9">
        <v>3.6732048734123168E-2</v>
      </c>
      <c r="H233" s="35">
        <v>1.4564989576337317E-3</v>
      </c>
    </row>
    <row r="234" spans="2:8" x14ac:dyDescent="0.35">
      <c r="B234" s="6">
        <v>45261</v>
      </c>
      <c r="C234" s="7" t="s">
        <v>11</v>
      </c>
      <c r="D234" s="9">
        <v>3.1359131862549502E-4</v>
      </c>
      <c r="E234" s="9">
        <v>3.1359131862549502E-4</v>
      </c>
      <c r="F234" s="9">
        <v>3.705715890434691E-2</v>
      </c>
      <c r="G234" s="9">
        <v>3.705715890434691E-2</v>
      </c>
      <c r="H234" s="35">
        <v>3.1354215914490286E-4</v>
      </c>
    </row>
    <row r="235" spans="2:8" x14ac:dyDescent="0.35">
      <c r="B235" s="6">
        <v>45264</v>
      </c>
      <c r="C235" s="7" t="s">
        <v>11</v>
      </c>
      <c r="D235" s="9">
        <v>-4.1139448148150098E-4</v>
      </c>
      <c r="E235" s="9">
        <v>-4.1139448148150098E-4</v>
      </c>
      <c r="F235" s="9">
        <v>3.6630519312192744E-2</v>
      </c>
      <c r="G235" s="9">
        <v>3.6630519312192744E-2</v>
      </c>
      <c r="H235" s="35">
        <v>-4.1147912740726797E-4</v>
      </c>
    </row>
    <row r="236" spans="2:8" x14ac:dyDescent="0.35">
      <c r="B236" s="6">
        <v>45265</v>
      </c>
      <c r="C236" s="7" t="s">
        <v>11</v>
      </c>
      <c r="D236" s="9">
        <v>3.4279617485308798E-4</v>
      </c>
      <c r="E236" s="9">
        <v>3.4279617485308798E-4</v>
      </c>
      <c r="F236" s="9">
        <v>3.6985872288948896E-2</v>
      </c>
      <c r="G236" s="9">
        <v>3.6985872288948896E-2</v>
      </c>
      <c r="H236" s="35">
        <v>3.4273743366803819E-4</v>
      </c>
    </row>
    <row r="237" spans="2:8" x14ac:dyDescent="0.35">
      <c r="B237" s="6">
        <v>45266</v>
      </c>
      <c r="C237" s="7" t="s">
        <v>11</v>
      </c>
      <c r="D237" s="9">
        <v>-1.4332094204355E-3</v>
      </c>
      <c r="E237" s="9">
        <v>-1.4332094204355E-3</v>
      </c>
      <c r="F237" s="9">
        <v>3.5499654367925793E-2</v>
      </c>
      <c r="G237" s="9">
        <v>3.5499654367925793E-2</v>
      </c>
      <c r="H237" s="35">
        <v>-1.4342374474262502E-3</v>
      </c>
    </row>
    <row r="238" spans="2:8" x14ac:dyDescent="0.35">
      <c r="B238" s="6">
        <v>45267</v>
      </c>
      <c r="C238" s="7" t="s">
        <v>11</v>
      </c>
      <c r="D238" s="9">
        <v>-1.78678157142898E-3</v>
      </c>
      <c r="E238" s="9">
        <v>-1.78678157142898E-3</v>
      </c>
      <c r="F238" s="9">
        <v>3.3649442668280072E-2</v>
      </c>
      <c r="G238" s="9">
        <v>3.3649442668280072E-2</v>
      </c>
      <c r="H238" s="35">
        <v>-1.7883797696588066E-3</v>
      </c>
    </row>
    <row r="239" spans="2:8" x14ac:dyDescent="0.35">
      <c r="B239" s="6">
        <v>45268</v>
      </c>
      <c r="C239" s="7" t="s">
        <v>11</v>
      </c>
      <c r="D239" s="9">
        <v>-3.56324073087196E-4</v>
      </c>
      <c r="E239" s="9">
        <v>-3.56324073087196E-4</v>
      </c>
      <c r="F239" s="9">
        <v>3.3281128488724221E-2</v>
      </c>
      <c r="G239" s="9">
        <v>3.3281128488724221E-2</v>
      </c>
      <c r="H239" s="35">
        <v>-3.5638757159417618E-4</v>
      </c>
    </row>
    <row r="240" spans="2:8" x14ac:dyDescent="0.35">
      <c r="B240" s="6">
        <v>45271</v>
      </c>
      <c r="C240" s="7" t="s">
        <v>11</v>
      </c>
      <c r="D240" s="9">
        <v>1.40803405205438E-3</v>
      </c>
      <c r="E240" s="9">
        <v>1.40803405205438E-3</v>
      </c>
      <c r="F240" s="9">
        <v>3.4736023502981439E-2</v>
      </c>
      <c r="G240" s="9">
        <v>3.4736023502981439E-2</v>
      </c>
      <c r="H240" s="35">
        <v>1.4070437016309066E-3</v>
      </c>
    </row>
    <row r="241" spans="2:8" x14ac:dyDescent="0.35">
      <c r="B241" s="6">
        <v>45272</v>
      </c>
      <c r="C241" s="7" t="s">
        <v>11</v>
      </c>
      <c r="D241" s="9">
        <v>1.67327766179536E-3</v>
      </c>
      <c r="E241" s="9">
        <v>1.67327766179536E-3</v>
      </c>
      <c r="F241" s="9">
        <v>3.6467424176964025E-2</v>
      </c>
      <c r="G241" s="9">
        <v>3.6467424176964025E-2</v>
      </c>
      <c r="H241" s="35">
        <v>1.6718792924181464E-3</v>
      </c>
    </row>
    <row r="242" spans="2:8" x14ac:dyDescent="0.35">
      <c r="B242" s="6">
        <v>45273</v>
      </c>
      <c r="C242" s="7" t="s">
        <v>11</v>
      </c>
      <c r="D242" s="9">
        <v>1.77260804728624E-3</v>
      </c>
      <c r="E242" s="9">
        <v>1.77260804728624E-3</v>
      </c>
      <c r="F242" s="9">
        <v>3.8304674673810046E-2</v>
      </c>
      <c r="G242" s="9">
        <v>3.8304674673810046E-2</v>
      </c>
      <c r="H242" s="35">
        <v>1.7710388317705638E-3</v>
      </c>
    </row>
    <row r="243" spans="2:8" x14ac:dyDescent="0.35">
      <c r="B243" s="6">
        <v>45274</v>
      </c>
      <c r="C243" s="7" t="s">
        <v>11</v>
      </c>
      <c r="D243" s="9">
        <v>-1.8807786090560201E-3</v>
      </c>
      <c r="E243" s="9">
        <v>-1.8807786090560201E-3</v>
      </c>
      <c r="F243" s="9">
        <v>3.6351853452000649E-2</v>
      </c>
      <c r="G243" s="9">
        <v>3.6351853452000649E-2</v>
      </c>
      <c r="H243" s="35">
        <v>-1.8825494939207501E-3</v>
      </c>
    </row>
    <row r="244" spans="2:8" x14ac:dyDescent="0.35">
      <c r="B244" s="6">
        <v>45275</v>
      </c>
      <c r="C244" s="7" t="s">
        <v>11</v>
      </c>
      <c r="D244" s="9">
        <v>3.3976170823017698E-4</v>
      </c>
      <c r="E244" s="9">
        <v>3.3976170823017698E-4</v>
      </c>
      <c r="F244" s="9">
        <v>3.6703966128057042E-2</v>
      </c>
      <c r="G244" s="9">
        <v>3.6703966128057042E-2</v>
      </c>
      <c r="H244" s="35">
        <v>3.3970400229142099E-4</v>
      </c>
    </row>
    <row r="245" spans="2:8" x14ac:dyDescent="0.35">
      <c r="B245" s="6">
        <v>45278</v>
      </c>
      <c r="C245" s="7" t="s">
        <v>11</v>
      </c>
      <c r="D245" s="9">
        <v>1.6492641343915501E-3</v>
      </c>
      <c r="E245" s="9">
        <v>1.6492641343915501E-3</v>
      </c>
      <c r="F245" s="9">
        <v>3.8413764797373462E-2</v>
      </c>
      <c r="G245" s="9">
        <v>3.8413764797373462E-2</v>
      </c>
      <c r="H245" s="35">
        <v>1.6479055918242247E-3</v>
      </c>
    </row>
    <row r="246" spans="2:8" x14ac:dyDescent="0.35">
      <c r="B246" s="6">
        <v>45279</v>
      </c>
      <c r="C246" s="7" t="s">
        <v>11</v>
      </c>
      <c r="D246" s="9">
        <v>1.84833654911306E-3</v>
      </c>
      <c r="E246" s="9">
        <v>1.84833654911306E-3</v>
      </c>
      <c r="F246" s="9">
        <v>4.0333102911950469E-2</v>
      </c>
      <c r="G246" s="9">
        <v>4.0333102911950469E-2</v>
      </c>
      <c r="H246" s="35">
        <v>1.8466304770537738E-3</v>
      </c>
    </row>
    <row r="247" spans="2:8" x14ac:dyDescent="0.35">
      <c r="B247" s="6">
        <v>45280</v>
      </c>
      <c r="C247" s="7" t="s">
        <v>11</v>
      </c>
      <c r="D247" s="9">
        <v>1.6684281890649601E-3</v>
      </c>
      <c r="E247" s="9">
        <v>1.6684281890649601E-3</v>
      </c>
      <c r="F247" s="9">
        <v>4.2068823986866066E-2</v>
      </c>
      <c r="G247" s="9">
        <v>4.2068823986866066E-2</v>
      </c>
      <c r="H247" s="35">
        <v>1.6670379089274107E-3</v>
      </c>
    </row>
    <row r="248" spans="2:8" x14ac:dyDescent="0.35">
      <c r="B248" s="6">
        <v>45281</v>
      </c>
      <c r="C248" s="7" t="s">
        <v>11</v>
      </c>
      <c r="D248" s="9">
        <v>1.6469922439000201E-3</v>
      </c>
      <c r="E248" s="9">
        <v>1.6469922439000201E-3</v>
      </c>
      <c r="F248" s="9">
        <v>4.3785103257582447E-2</v>
      </c>
      <c r="G248" s="9">
        <v>4.3785103257582447E-2</v>
      </c>
      <c r="H248" s="35">
        <v>1.6456374395384312E-3</v>
      </c>
    </row>
    <row r="249" spans="2:8" x14ac:dyDescent="0.35">
      <c r="B249" s="6">
        <v>45282</v>
      </c>
      <c r="C249" s="7" t="s">
        <v>11</v>
      </c>
      <c r="D249" s="9">
        <v>-6.5088402260814996E-4</v>
      </c>
      <c r="E249" s="9">
        <v>-6.5088402260814996E-4</v>
      </c>
      <c r="F249" s="9">
        <v>4.3105720210835585E-2</v>
      </c>
      <c r="G249" s="9">
        <v>4.3105720210835585E-2</v>
      </c>
      <c r="H249" s="35">
        <v>-6.5109593957416671E-4</v>
      </c>
    </row>
    <row r="250" spans="2:8" x14ac:dyDescent="0.35">
      <c r="B250" s="6">
        <v>45286</v>
      </c>
      <c r="C250" s="7" t="s">
        <v>11</v>
      </c>
      <c r="D250" s="9"/>
      <c r="E250" s="9"/>
      <c r="F250" s="9"/>
      <c r="G250" s="9"/>
      <c r="H250" s="35"/>
    </row>
    <row r="251" spans="2:8" x14ac:dyDescent="0.35">
      <c r="B251" s="6">
        <v>45287</v>
      </c>
      <c r="C251" s="7" t="s">
        <v>11</v>
      </c>
      <c r="D251" s="9">
        <v>-1.04582039432605E-4</v>
      </c>
      <c r="E251" s="9">
        <v>-1.04582039432605E-4</v>
      </c>
      <c r="F251" s="9">
        <v>4.299663008727217E-2</v>
      </c>
      <c r="G251" s="9">
        <v>4.299663008727217E-2</v>
      </c>
      <c r="H251" s="35">
        <v>-1.0458750851544471E-4</v>
      </c>
    </row>
    <row r="252" spans="2:8" x14ac:dyDescent="0.35">
      <c r="B252" s="6">
        <v>45288</v>
      </c>
      <c r="C252" s="7" t="s">
        <v>11</v>
      </c>
      <c r="D252" s="9">
        <v>1.6672742034358701E-4</v>
      </c>
      <c r="E252" s="9">
        <v>1.6672742034358701E-4</v>
      </c>
      <c r="F252" s="9">
        <v>4.3170526224833639E-2</v>
      </c>
      <c r="G252" s="9">
        <v>4.3170526224833639E-2</v>
      </c>
      <c r="H252" s="35">
        <v>1.6671352287198413E-4</v>
      </c>
    </row>
    <row r="253" spans="2:8" x14ac:dyDescent="0.35">
      <c r="B253" s="6">
        <v>45289</v>
      </c>
      <c r="C253" s="7" t="s">
        <v>11</v>
      </c>
      <c r="D253" s="9"/>
      <c r="E253" s="9"/>
      <c r="F253" s="9"/>
      <c r="G253" s="9"/>
      <c r="H253" s="35"/>
    </row>
    <row r="254" spans="2:8" x14ac:dyDescent="0.35">
      <c r="B254" s="6">
        <v>45293</v>
      </c>
      <c r="C254" s="7" t="s">
        <v>11</v>
      </c>
      <c r="D254" s="9">
        <v>-2.6769823033235898E-3</v>
      </c>
      <c r="E254" s="9">
        <v>-2.6769823033235898E-3</v>
      </c>
      <c r="F254" s="9">
        <v>4.0377977186780933E-2</v>
      </c>
      <c r="G254" s="9">
        <v>4.0377977186780933E-2</v>
      </c>
      <c r="H254" s="35">
        <v>-2.6805718279434465E-3</v>
      </c>
    </row>
    <row r="255" spans="2:8" x14ac:dyDescent="0.35">
      <c r="B255" s="6">
        <v>45294</v>
      </c>
      <c r="C255" s="7" t="s">
        <v>11</v>
      </c>
      <c r="D255" s="9">
        <v>-6.5234418011351895E-4</v>
      </c>
      <c r="E255" s="9">
        <v>-6.5234418011351895E-4</v>
      </c>
      <c r="F255" s="9">
        <v>3.9699292668244901E-2</v>
      </c>
      <c r="G255" s="9">
        <v>3.9699292668244901E-2</v>
      </c>
      <c r="H255" s="35">
        <v>-6.5255704915912697E-4</v>
      </c>
    </row>
    <row r="256" spans="2:8" x14ac:dyDescent="0.35">
      <c r="B256" s="6">
        <v>45295</v>
      </c>
      <c r="C256" s="7" t="s">
        <v>11</v>
      </c>
      <c r="D256" s="9">
        <v>5.9975843351828305E-4</v>
      </c>
      <c r="E256" s="9">
        <v>5.9975843351828305E-4</v>
      </c>
      <c r="F256" s="9">
        <v>4.0322861087345618E-2</v>
      </c>
      <c r="G256" s="9">
        <v>4.0322861087345618E-2</v>
      </c>
      <c r="H256" s="35">
        <v>5.9957865030967777E-4</v>
      </c>
    </row>
    <row r="257" spans="2:8" x14ac:dyDescent="0.35">
      <c r="B257" s="6">
        <v>45296</v>
      </c>
      <c r="C257" s="7" t="s">
        <v>11</v>
      </c>
      <c r="D257" s="9">
        <v>-8.8299670382444194E-5</v>
      </c>
      <c r="E257" s="9">
        <v>-8.8299670382444194E-5</v>
      </c>
      <c r="F257" s="9">
        <v>4.0231000921620241E-2</v>
      </c>
      <c r="G257" s="9">
        <v>4.0231000921620241E-2</v>
      </c>
      <c r="H257" s="35">
        <v>-8.8303569027881575E-5</v>
      </c>
    </row>
    <row r="258" spans="2:8" x14ac:dyDescent="0.35">
      <c r="B258" s="6">
        <v>45299</v>
      </c>
      <c r="C258" s="7" t="s">
        <v>11</v>
      </c>
      <c r="D258" s="9">
        <v>1.0960515133821699E-3</v>
      </c>
      <c r="E258" s="9">
        <v>1.0960515133821699E-3</v>
      </c>
      <c r="F258" s="9">
        <v>4.1371147684447385E-2</v>
      </c>
      <c r="G258" s="9">
        <v>4.1371147684447385E-2</v>
      </c>
      <c r="H258" s="35">
        <v>1.0954512874678639E-3</v>
      </c>
    </row>
    <row r="259" spans="2:8" x14ac:dyDescent="0.35">
      <c r="B259" s="6">
        <v>45300</v>
      </c>
      <c r="C259" s="7" t="s">
        <v>11</v>
      </c>
      <c r="D259" s="9">
        <v>6.1021107284027899E-4</v>
      </c>
      <c r="E259" s="9">
        <v>6.1021107284027899E-4</v>
      </c>
      <c r="F259" s="9">
        <v>4.20066038897009E-2</v>
      </c>
      <c r="G259" s="9">
        <v>4.20066038897009E-2</v>
      </c>
      <c r="H259" s="35">
        <v>6.1002496976786315E-4</v>
      </c>
    </row>
    <row r="260" spans="2:8" x14ac:dyDescent="0.35">
      <c r="B260" s="6">
        <v>45301</v>
      </c>
      <c r="C260" s="7" t="s">
        <v>11</v>
      </c>
      <c r="D260" s="9">
        <v>7.8096721700832801E-4</v>
      </c>
      <c r="E260" s="9">
        <v>7.8096721700832801E-4</v>
      </c>
      <c r="F260" s="9">
        <v>4.2820376887244826E-2</v>
      </c>
      <c r="G260" s="9">
        <v>4.2820376887244826E-2</v>
      </c>
      <c r="H260" s="35">
        <v>7.8066242079149052E-4</v>
      </c>
    </row>
    <row r="261" spans="2:8" x14ac:dyDescent="0.35">
      <c r="B261" s="6">
        <v>45302</v>
      </c>
      <c r="C261" s="7" t="s">
        <v>11</v>
      </c>
      <c r="D261" s="9">
        <v>1.10162061553957E-3</v>
      </c>
      <c r="E261" s="9">
        <v>1.10162061553957E-3</v>
      </c>
      <c r="F261" s="9">
        <v>4.3969169312728651E-2</v>
      </c>
      <c r="G261" s="9">
        <v>4.3969169312728651E-2</v>
      </c>
      <c r="H261" s="35">
        <v>1.101014276811993E-3</v>
      </c>
    </row>
    <row r="262" spans="2:8" x14ac:dyDescent="0.35">
      <c r="B262" s="6">
        <v>45303</v>
      </c>
      <c r="C262" s="7" t="s">
        <v>11</v>
      </c>
      <c r="D262" s="9">
        <v>4.55484184864524E-4</v>
      </c>
      <c r="E262" s="9">
        <v>4.55484184864524E-4</v>
      </c>
      <c r="F262" s="9">
        <v>4.4444680758836785E-2</v>
      </c>
      <c r="G262" s="9">
        <v>4.4444680758836785E-2</v>
      </c>
      <c r="H262" s="35">
        <v>4.5538048343156786E-4</v>
      </c>
    </row>
    <row r="263" spans="2:8" x14ac:dyDescent="0.35">
      <c r="B263" s="6">
        <v>45307</v>
      </c>
      <c r="C263" s="7" t="s">
        <v>11</v>
      </c>
      <c r="D263" s="9">
        <v>-1.1402614737519023E-3</v>
      </c>
      <c r="E263" s="9">
        <v>-1.1402614737519023E-3</v>
      </c>
      <c r="F263" s="9">
        <v>4.3253740727902334E-2</v>
      </c>
      <c r="G263" s="9">
        <v>4.3253740727902334E-2</v>
      </c>
      <c r="H263" s="35">
        <v>-1.1409120664770665E-3</v>
      </c>
    </row>
    <row r="264" spans="2:8" x14ac:dyDescent="0.35">
      <c r="B264" s="6">
        <v>45308</v>
      </c>
      <c r="C264" s="7" t="s">
        <v>11</v>
      </c>
      <c r="D264" s="9">
        <v>6.5986908280275195E-4</v>
      </c>
      <c r="E264" s="9">
        <v>6.5986908280275195E-4</v>
      </c>
      <c r="F264" s="9">
        <v>4.3942151616926939E-2</v>
      </c>
      <c r="G264" s="9">
        <v>4.3942151616926939E-2</v>
      </c>
      <c r="H264" s="35">
        <v>6.5965146492718988E-4</v>
      </c>
    </row>
    <row r="265" spans="2:8" x14ac:dyDescent="0.35">
      <c r="B265" s="6">
        <v>45309</v>
      </c>
      <c r="C265" s="7" t="s">
        <v>11</v>
      </c>
      <c r="D265" s="9">
        <v>1.73916644236936E-3</v>
      </c>
      <c r="E265" s="9">
        <v>1.73916644236936E-3</v>
      </c>
      <c r="F265" s="9">
        <v>4.5757740774793998E-2</v>
      </c>
      <c r="G265" s="9">
        <v>4.5757740774793998E-2</v>
      </c>
      <c r="H265" s="35">
        <v>1.7376558436137507E-3</v>
      </c>
    </row>
    <row r="266" spans="2:8" x14ac:dyDescent="0.35">
      <c r="B266" s="6">
        <v>45310</v>
      </c>
      <c r="C266" s="7" t="s">
        <v>11</v>
      </c>
      <c r="D266" s="9">
        <v>3.34725006717239E-3</v>
      </c>
      <c r="E266" s="9">
        <v>3.34725006717239E-3</v>
      </c>
      <c r="F266" s="9">
        <v>4.9258153442848451E-2</v>
      </c>
      <c r="G266" s="9">
        <v>4.9258153442848451E-2</v>
      </c>
      <c r="H266" s="35">
        <v>3.341660495323005E-3</v>
      </c>
    </row>
    <row r="267" spans="2:8" x14ac:dyDescent="0.35">
      <c r="B267" s="6">
        <v>45313</v>
      </c>
      <c r="C267" s="7" t="s">
        <v>11</v>
      </c>
      <c r="D267" s="9">
        <v>1.2627472064550499E-3</v>
      </c>
      <c r="E267" s="9">
        <v>1.2627472064550499E-3</v>
      </c>
      <c r="F267" s="9">
        <v>5.0583101244958462E-2</v>
      </c>
      <c r="G267" s="9">
        <v>5.0583101244958462E-2</v>
      </c>
      <c r="H267" s="35">
        <v>1.2619506117293141E-3</v>
      </c>
    </row>
    <row r="268" spans="2:8" x14ac:dyDescent="0.35">
      <c r="B268" s="6">
        <v>45314</v>
      </c>
      <c r="C268" s="7" t="s">
        <v>11</v>
      </c>
      <c r="D268" s="9">
        <v>-1.9441944194415801E-4</v>
      </c>
      <c r="E268" s="9">
        <v>-1.9441944194415801E-4</v>
      </c>
      <c r="F268" s="9">
        <v>5.0378847464698451E-2</v>
      </c>
      <c r="G268" s="9">
        <v>5.0378847464698451E-2</v>
      </c>
      <c r="H268" s="35">
        <v>-1.9443834385387982E-4</v>
      </c>
    </row>
    <row r="269" spans="2:8" x14ac:dyDescent="0.35">
      <c r="B269" s="6">
        <v>45315</v>
      </c>
      <c r="C269" s="7" t="s">
        <v>11</v>
      </c>
      <c r="D269" s="9">
        <v>1.9507457281137399E-3</v>
      </c>
      <c r="E269" s="9">
        <v>1.9507457281137399E-3</v>
      </c>
      <c r="F269" s="9">
        <v>5.2427869514291237E-2</v>
      </c>
      <c r="G269" s="9">
        <v>5.2427869514291237E-2</v>
      </c>
      <c r="H269" s="35">
        <v>1.9488454945130178E-3</v>
      </c>
    </row>
    <row r="270" spans="2:8" x14ac:dyDescent="0.35">
      <c r="B270" s="6">
        <v>45316</v>
      </c>
      <c r="C270" s="7" t="s">
        <v>11</v>
      </c>
      <c r="D270" s="9">
        <v>2.2313910407544598E-3</v>
      </c>
      <c r="E270" s="9">
        <v>2.2313910407544598E-3</v>
      </c>
      <c r="F270" s="9">
        <v>5.4776247633365749E-2</v>
      </c>
      <c r="G270" s="9">
        <v>5.4776247633365749E-2</v>
      </c>
      <c r="H270" s="35">
        <v>2.2289051850234833E-3</v>
      </c>
    </row>
    <row r="271" spans="2:8" x14ac:dyDescent="0.35">
      <c r="B271" s="6">
        <v>45317</v>
      </c>
      <c r="C271" s="7" t="s">
        <v>11</v>
      </c>
      <c r="D271" s="9">
        <v>-9.7540483911455196E-4</v>
      </c>
      <c r="E271" s="9">
        <v>-9.7540483911455196E-4</v>
      </c>
      <c r="F271" s="9">
        <v>5.3747413777241126E-2</v>
      </c>
      <c r="G271" s="9">
        <v>5.3747413777241126E-2</v>
      </c>
      <c r="H271" s="35">
        <v>-9.7588085597920629E-4</v>
      </c>
    </row>
    <row r="272" spans="2:8" x14ac:dyDescent="0.35">
      <c r="B272" s="6">
        <v>45320</v>
      </c>
      <c r="C272" s="7" t="s">
        <v>11</v>
      </c>
      <c r="D272" s="9">
        <v>1.9578422916497798E-3</v>
      </c>
      <c r="E272" s="9">
        <v>1.9578422916497798E-3</v>
      </c>
      <c r="F272" s="9">
        <v>5.5810485028650714E-2</v>
      </c>
      <c r="G272" s="9">
        <v>5.5810485028650714E-2</v>
      </c>
      <c r="H272" s="35">
        <v>1.955928216328155E-3</v>
      </c>
    </row>
    <row r="273" spans="2:8" x14ac:dyDescent="0.35">
      <c r="B273" s="6">
        <v>45321</v>
      </c>
      <c r="C273" s="7" t="s">
        <v>11</v>
      </c>
      <c r="D273" s="9">
        <v>3.8793729950603898E-4</v>
      </c>
      <c r="E273" s="9">
        <v>3.8793729950603898E-4</v>
      </c>
      <c r="F273" s="9">
        <v>5.622007329700307E-2</v>
      </c>
      <c r="G273" s="9">
        <v>5.622007329700307E-2</v>
      </c>
      <c r="H273" s="35">
        <v>3.8786207128723213E-4</v>
      </c>
    </row>
    <row r="274" spans="2:8" x14ac:dyDescent="0.35">
      <c r="B274" s="6">
        <v>45322</v>
      </c>
      <c r="C274" s="7" t="s">
        <v>11</v>
      </c>
      <c r="D274" s="9">
        <v>-2.17631307803515E-3</v>
      </c>
      <c r="E274" s="9">
        <v>-2.17631307803515E-3</v>
      </c>
      <c r="F274" s="9">
        <v>5.3921407738203531E-2</v>
      </c>
      <c r="G274" s="9">
        <v>5.3921407738203531E-2</v>
      </c>
      <c r="H274" s="35">
        <v>-2.1786846888784961E-3</v>
      </c>
    </row>
    <row r="275" spans="2:8" x14ac:dyDescent="0.35">
      <c r="B275" s="6">
        <v>45323</v>
      </c>
      <c r="C275" s="7" t="s">
        <v>11</v>
      </c>
      <c r="D275" s="9">
        <v>2.3840921069631202E-3</v>
      </c>
      <c r="E275" s="9">
        <v>2.3840921069631202E-3</v>
      </c>
      <c r="F275" s="9">
        <v>5.6434053447751653E-2</v>
      </c>
      <c r="G275" s="9">
        <v>5.6434053447751653E-2</v>
      </c>
      <c r="H275" s="35">
        <v>2.3812546682911162E-3</v>
      </c>
    </row>
    <row r="276" spans="2:8" x14ac:dyDescent="0.35">
      <c r="B276" s="6">
        <v>45324</v>
      </c>
      <c r="C276" s="7" t="s">
        <v>11</v>
      </c>
      <c r="D276" s="9">
        <v>4.2760442294374599E-4</v>
      </c>
      <c r="E276" s="9">
        <v>4.2760442294374599E-4</v>
      </c>
      <c r="F276" s="9">
        <v>5.6885789321554192E-2</v>
      </c>
      <c r="G276" s="9">
        <v>5.6885789321554192E-2</v>
      </c>
      <c r="H276" s="35">
        <v>4.2751302622588889E-4</v>
      </c>
    </row>
    <row r="277" spans="2:8" x14ac:dyDescent="0.35">
      <c r="B277" s="6">
        <v>45327</v>
      </c>
      <c r="C277" s="7" t="s">
        <v>11</v>
      </c>
      <c r="D277" s="9">
        <v>1.3405497378719501E-3</v>
      </c>
      <c r="E277" s="9">
        <v>1.3405497378719501E-3</v>
      </c>
      <c r="F277" s="9">
        <v>5.8302597289389801E-2</v>
      </c>
      <c r="G277" s="9">
        <v>5.8302597289389801E-2</v>
      </c>
      <c r="H277" s="35">
        <v>1.3396520032878331E-3</v>
      </c>
    </row>
    <row r="278" spans="2:8" x14ac:dyDescent="0.35">
      <c r="B278" s="6">
        <v>45328</v>
      </c>
      <c r="C278" s="7" t="s">
        <v>11</v>
      </c>
      <c r="D278" s="9">
        <v>-3.7885440962022698E-4</v>
      </c>
      <c r="E278" s="9">
        <v>-3.7885440962022698E-4</v>
      </c>
      <c r="F278" s="9">
        <v>5.7901654683694126E-2</v>
      </c>
      <c r="G278" s="9">
        <v>5.7901654683694126E-2</v>
      </c>
      <c r="H278" s="35">
        <v>-3.7892619308300398E-4</v>
      </c>
    </row>
    <row r="279" spans="2:8" x14ac:dyDescent="0.35">
      <c r="B279" s="6">
        <v>45329</v>
      </c>
      <c r="C279" s="7" t="s">
        <v>11</v>
      </c>
      <c r="D279" s="9">
        <v>2.58147690717198E-3</v>
      </c>
      <c r="E279" s="9">
        <v>2.58147690717198E-3</v>
      </c>
      <c r="F279" s="9">
        <v>6.0632603375319061E-2</v>
      </c>
      <c r="G279" s="9">
        <v>6.0632603375319061E-2</v>
      </c>
      <c r="H279" s="35">
        <v>2.5781506189218812E-3</v>
      </c>
    </row>
    <row r="280" spans="2:8" x14ac:dyDescent="0.35">
      <c r="B280" s="6">
        <v>45330</v>
      </c>
      <c r="C280" s="7" t="s">
        <v>11</v>
      </c>
      <c r="D280" s="9">
        <v>6.3886760462355402E-4</v>
      </c>
      <c r="E280" s="9">
        <v>6.3886760462355402E-4</v>
      </c>
      <c r="F280" s="9">
        <v>6.1310207186023202E-2</v>
      </c>
      <c r="G280" s="9">
        <v>6.1310207186023202E-2</v>
      </c>
      <c r="H280" s="35">
        <v>6.3866361559219628E-4</v>
      </c>
    </row>
    <row r="281" spans="2:8" x14ac:dyDescent="0.35">
      <c r="B281" s="6">
        <v>45331</v>
      </c>
      <c r="C281" s="7" t="s">
        <v>11</v>
      </c>
      <c r="D281" s="9">
        <v>6.71044579151176E-4</v>
      </c>
      <c r="E281" s="9">
        <v>6.71044579151176E-4</v>
      </c>
      <c r="F281" s="9">
        <v>6.202239364735318E-2</v>
      </c>
      <c r="G281" s="9">
        <v>6.202239364735318E-2</v>
      </c>
      <c r="H281" s="35">
        <v>6.7081952941083225E-4</v>
      </c>
    </row>
    <row r="282" spans="2:8" x14ac:dyDescent="0.35">
      <c r="B282" s="6">
        <v>45334</v>
      </c>
      <c r="C282" s="7" t="s">
        <v>11</v>
      </c>
      <c r="D282" s="9">
        <v>-2.23870724832356E-3</v>
      </c>
      <c r="E282" s="9">
        <v>-2.23870724832356E-3</v>
      </c>
      <c r="F282" s="9">
        <v>5.9644836416812952E-2</v>
      </c>
      <c r="G282" s="9">
        <v>5.9644836416812952E-2</v>
      </c>
      <c r="H282" s="35">
        <v>-2.2412168996781092E-3</v>
      </c>
    </row>
    <row r="283" spans="2:8" x14ac:dyDescent="0.35">
      <c r="B283" s="6">
        <v>45335</v>
      </c>
      <c r="C283" s="7" t="s">
        <v>11</v>
      </c>
      <c r="D283" s="9">
        <v>-8.6893555394639097E-4</v>
      </c>
      <c r="E283" s="9">
        <v>-8.6893555394639097E-4</v>
      </c>
      <c r="F283" s="9">
        <v>5.8724073343894734E-2</v>
      </c>
      <c r="G283" s="9">
        <v>5.8724073343894734E-2</v>
      </c>
      <c r="H283" s="35">
        <v>-8.6931329728378995E-4</v>
      </c>
    </row>
    <row r="284" spans="2:8" x14ac:dyDescent="0.35">
      <c r="B284" s="6">
        <v>45336</v>
      </c>
      <c r="C284" s="7" t="s">
        <v>11</v>
      </c>
      <c r="D284" s="9">
        <v>3.1766187792065899E-3</v>
      </c>
      <c r="E284" s="9">
        <v>3.1766187792065899E-3</v>
      </c>
      <c r="F284" s="9">
        <v>6.2087236117277067E-2</v>
      </c>
      <c r="G284" s="9">
        <v>6.2087236117277067E-2</v>
      </c>
      <c r="H284" s="35">
        <v>3.1715839853684114E-3</v>
      </c>
    </row>
    <row r="285" spans="2:8" x14ac:dyDescent="0.35">
      <c r="B285" s="6">
        <v>45337</v>
      </c>
      <c r="C285" s="7" t="s">
        <v>11</v>
      </c>
      <c r="D285" s="9">
        <v>3.9581997822482401E-4</v>
      </c>
      <c r="E285" s="9">
        <v>3.9581997822482401E-4</v>
      </c>
      <c r="F285" s="9">
        <v>6.2507631463949886E-2</v>
      </c>
      <c r="G285" s="9">
        <v>6.2507631463949886E-2</v>
      </c>
      <c r="H285" s="35">
        <v>3.9574166216257734E-4</v>
      </c>
    </row>
    <row r="286" spans="2:8" x14ac:dyDescent="0.35">
      <c r="B286" s="6">
        <v>45338</v>
      </c>
      <c r="C286" s="7" t="s">
        <v>11</v>
      </c>
      <c r="D286" s="9">
        <v>-5.8484944958042901E-4</v>
      </c>
      <c r="E286" s="9">
        <v>-5.8484944958042901E-4</v>
      </c>
      <c r="F286" s="9">
        <v>6.1886224460513173E-2</v>
      </c>
      <c r="G286" s="9">
        <v>6.1886224460513173E-2</v>
      </c>
      <c r="H286" s="35">
        <v>-5.8502054073144888E-4</v>
      </c>
    </row>
    <row r="287" spans="2:8" x14ac:dyDescent="0.35">
      <c r="B287" s="6">
        <v>45342</v>
      </c>
      <c r="C287" s="7" t="s">
        <v>11</v>
      </c>
      <c r="D287" s="9">
        <v>-9.4037761657017604E-4</v>
      </c>
      <c r="E287" s="9">
        <v>-9.4037761657017604E-4</v>
      </c>
      <c r="F287" s="9">
        <v>6.0887650423686379E-2</v>
      </c>
      <c r="G287" s="9">
        <v>6.0887650423686379E-2</v>
      </c>
      <c r="H287" s="35">
        <v>-9.4082004899182685E-4</v>
      </c>
    </row>
    <row r="288" spans="2:8" x14ac:dyDescent="0.35">
      <c r="B288" s="6">
        <v>45343</v>
      </c>
      <c r="C288" s="7" t="s">
        <v>11</v>
      </c>
      <c r="D288" s="9">
        <v>-2.6730232463378599E-3</v>
      </c>
      <c r="E288" s="9">
        <v>-2.6730232463378599E-3</v>
      </c>
      <c r="F288" s="9">
        <v>5.8051873072351157E-2</v>
      </c>
      <c r="G288" s="9">
        <v>5.8051873072351157E-2</v>
      </c>
      <c r="H288" s="35">
        <v>-2.6766021520637563E-3</v>
      </c>
    </row>
    <row r="289" spans="2:8" x14ac:dyDescent="0.35">
      <c r="B289" s="6">
        <v>45344</v>
      </c>
      <c r="C289" s="7" t="s">
        <v>11</v>
      </c>
      <c r="D289" s="9">
        <v>5.07846493898089E-3</v>
      </c>
      <c r="E289" s="9">
        <v>5.07846493898089E-3</v>
      </c>
      <c r="F289" s="9">
        <v>6.3425152413371988E-2</v>
      </c>
      <c r="G289" s="9">
        <v>6.3425152413371988E-2</v>
      </c>
      <c r="H289" s="35">
        <v>5.0656130295287996E-3</v>
      </c>
    </row>
    <row r="290" spans="2:8" x14ac:dyDescent="0.35">
      <c r="B290" s="6">
        <v>45345</v>
      </c>
      <c r="C290" s="7" t="s">
        <v>11</v>
      </c>
      <c r="D290" s="9">
        <v>2.1158364566141699E-3</v>
      </c>
      <c r="E290" s="9">
        <v>2.1158364566141699E-3</v>
      </c>
      <c r="F290" s="9">
        <v>6.5675186119728668E-2</v>
      </c>
      <c r="G290" s="9">
        <v>6.5675186119728668E-2</v>
      </c>
      <c r="H290" s="35">
        <v>2.113601227023369E-3</v>
      </c>
    </row>
    <row r="291" spans="2:8" x14ac:dyDescent="0.35">
      <c r="B291" s="6">
        <v>45348</v>
      </c>
      <c r="C291" s="7" t="s">
        <v>11</v>
      </c>
      <c r="D291" s="9">
        <v>-8.1128497398858998E-5</v>
      </c>
      <c r="E291" s="9">
        <v>-8.1128497398858998E-5</v>
      </c>
      <c r="F291" s="9">
        <v>6.5588729493163633E-2</v>
      </c>
      <c r="G291" s="9">
        <v>6.5588729493163633E-2</v>
      </c>
      <c r="H291" s="35">
        <v>-8.1131788493377544E-5</v>
      </c>
    </row>
    <row r="292" spans="2:8" x14ac:dyDescent="0.35">
      <c r="B292" s="6">
        <v>45349</v>
      </c>
      <c r="C292" s="7" t="s">
        <v>11</v>
      </c>
      <c r="D292" s="9">
        <v>1.2433950974128001E-3</v>
      </c>
      <c r="E292" s="9">
        <v>1.2433950974128001E-3</v>
      </c>
      <c r="F292" s="9">
        <v>6.6913677295273866E-2</v>
      </c>
      <c r="G292" s="9">
        <v>6.6913677295273866E-2</v>
      </c>
      <c r="H292" s="35">
        <v>1.2426227219077381E-3</v>
      </c>
    </row>
    <row r="293" spans="2:8" x14ac:dyDescent="0.35">
      <c r="B293" s="6">
        <v>45350</v>
      </c>
      <c r="C293" s="7" t="s">
        <v>11</v>
      </c>
      <c r="D293" s="9">
        <v>-9.49114497445405E-4</v>
      </c>
      <c r="E293" s="9">
        <v>-9.49114497445405E-4</v>
      </c>
      <c r="F293" s="9">
        <v>6.5901054056630048E-2</v>
      </c>
      <c r="G293" s="9">
        <v>6.5901054056630048E-2</v>
      </c>
      <c r="H293" s="35">
        <v>-9.4956519180628969E-4</v>
      </c>
    </row>
    <row r="294" spans="2:8" x14ac:dyDescent="0.35">
      <c r="B294" s="6">
        <v>45351</v>
      </c>
      <c r="C294" s="7" t="s">
        <v>11</v>
      </c>
      <c r="D294" s="9">
        <v>1.4072811591617101E-3</v>
      </c>
      <c r="E294" s="9">
        <v>1.4072811591617101E-3</v>
      </c>
      <c r="F294" s="9">
        <v>6.7401076527534576E-2</v>
      </c>
      <c r="G294" s="9">
        <v>6.7401076527534576E-2</v>
      </c>
      <c r="H294" s="35">
        <v>1.4062918670638561E-3</v>
      </c>
    </row>
    <row r="295" spans="2:8" x14ac:dyDescent="0.35">
      <c r="B295" s="6">
        <v>45352</v>
      </c>
      <c r="C295" s="7" t="s">
        <v>11</v>
      </c>
      <c r="D295" s="9">
        <v>8.0794826701171695E-4</v>
      </c>
      <c r="E295" s="9">
        <v>8.0794826701171695E-4</v>
      </c>
      <c r="F295" s="9">
        <v>6.8263481377521584E-2</v>
      </c>
      <c r="G295" s="9">
        <v>6.8263481377521584E-2</v>
      </c>
      <c r="H295" s="35">
        <v>8.0762205250852382E-4</v>
      </c>
    </row>
    <row r="296" spans="2:8" x14ac:dyDescent="0.35">
      <c r="B296" s="6">
        <v>45355</v>
      </c>
      <c r="C296" s="7" t="s">
        <v>11</v>
      </c>
      <c r="D296" s="9">
        <v>7.8402808338009903E-4</v>
      </c>
      <c r="E296" s="9">
        <v>7.8402808338009903E-4</v>
      </c>
      <c r="F296" s="9">
        <v>6.9101029947371106E-2</v>
      </c>
      <c r="G296" s="9">
        <v>6.9101029947371106E-2</v>
      </c>
      <c r="H296" s="35">
        <v>7.8372089391537815E-4</v>
      </c>
    </row>
    <row r="297" spans="2:8" x14ac:dyDescent="0.35">
      <c r="B297" s="6">
        <v>45356</v>
      </c>
      <c r="C297" s="7" t="s">
        <v>11</v>
      </c>
      <c r="D297" s="9">
        <v>-5.6709055253425296E-4</v>
      </c>
      <c r="E297" s="9">
        <v>-5.6709055253425296E-4</v>
      </c>
      <c r="F297" s="9">
        <v>6.8494752853583307E-2</v>
      </c>
      <c r="G297" s="9">
        <v>6.8494752853583307E-2</v>
      </c>
      <c r="H297" s="35">
        <v>-5.6725140919802405E-4</v>
      </c>
    </row>
    <row r="298" spans="2:8" x14ac:dyDescent="0.35">
      <c r="B298" s="6">
        <v>45357</v>
      </c>
      <c r="C298" s="7" t="s">
        <v>11</v>
      </c>
      <c r="D298" s="9">
        <v>2.54880403439334E-4</v>
      </c>
      <c r="E298" s="9">
        <v>2.54880403439334E-4</v>
      </c>
      <c r="F298" s="9">
        <v>6.8767091227263322E-2</v>
      </c>
      <c r="G298" s="9">
        <v>6.8767091227263322E-2</v>
      </c>
      <c r="H298" s="35">
        <v>2.5484792694750768E-4</v>
      </c>
    </row>
    <row r="299" spans="2:8" x14ac:dyDescent="0.35">
      <c r="B299" s="6">
        <v>45358</v>
      </c>
      <c r="C299" s="7" t="s">
        <v>11</v>
      </c>
      <c r="D299" s="9">
        <v>9.4241271812255199E-4</v>
      </c>
      <c r="E299" s="9">
        <v>9.4241271812255199E-4</v>
      </c>
      <c r="F299" s="9">
        <v>6.9774310926746796E-2</v>
      </c>
      <c r="G299" s="9">
        <v>6.9774310926746796E-2</v>
      </c>
      <c r="H299" s="35">
        <v>9.4196892605856268E-4</v>
      </c>
    </row>
    <row r="300" spans="2:8" x14ac:dyDescent="0.35">
      <c r="B300" s="6">
        <v>45359</v>
      </c>
      <c r="C300" s="7" t="s">
        <v>11</v>
      </c>
      <c r="D300" s="9">
        <v>1.31328651971996E-4</v>
      </c>
      <c r="E300" s="9">
        <v>1.31328651971996E-4</v>
      </c>
      <c r="F300" s="9">
        <v>6.9914802944915033E-2</v>
      </c>
      <c r="G300" s="9">
        <v>6.9914802944915033E-2</v>
      </c>
      <c r="H300" s="35">
        <v>1.313200291194916E-4</v>
      </c>
    </row>
    <row r="301" spans="2:8" x14ac:dyDescent="0.35">
      <c r="B301" s="6">
        <v>45362</v>
      </c>
      <c r="C301" s="7" t="s">
        <v>11</v>
      </c>
      <c r="D301" s="9">
        <v>-2.5151184883430901E-3</v>
      </c>
      <c r="E301" s="9">
        <v>-2.5151184883430901E-3</v>
      </c>
      <c r="F301" s="9">
        <v>6.7223840443076277E-2</v>
      </c>
      <c r="G301" s="9">
        <v>6.7223840443076277E-2</v>
      </c>
      <c r="H301" s="35">
        <v>-2.5182867122689068E-3</v>
      </c>
    </row>
    <row r="302" spans="2:8" x14ac:dyDescent="0.35">
      <c r="B302" s="6">
        <v>45363</v>
      </c>
      <c r="C302" s="7" t="s">
        <v>11</v>
      </c>
      <c r="D302" s="9">
        <v>4.2024337660992602E-4</v>
      </c>
      <c r="E302" s="9">
        <v>4.2024337660992602E-4</v>
      </c>
      <c r="F302" s="9">
        <v>6.7672334193382699E-2</v>
      </c>
      <c r="G302" s="9">
        <v>6.7672334193382699E-2</v>
      </c>
      <c r="H302" s="35">
        <v>4.2015509909321087E-4</v>
      </c>
    </row>
    <row r="303" spans="2:8" x14ac:dyDescent="0.35">
      <c r="B303" s="6">
        <v>45364</v>
      </c>
      <c r="C303" s="7" t="s">
        <v>11</v>
      </c>
      <c r="D303" s="9">
        <v>1.5729732027718101E-3</v>
      </c>
      <c r="E303" s="9">
        <v>1.5729732027718101E-3</v>
      </c>
      <c r="F303" s="9">
        <v>6.9351754164409751E-2</v>
      </c>
      <c r="G303" s="9">
        <v>6.9351754164409751E-2</v>
      </c>
      <c r="H303" s="35">
        <v>1.5717373762018333E-3</v>
      </c>
    </row>
    <row r="304" spans="2:8" x14ac:dyDescent="0.35">
      <c r="B304" s="6">
        <v>45365</v>
      </c>
      <c r="C304" s="7" t="s">
        <v>11</v>
      </c>
      <c r="D304" s="9">
        <v>1.1288620827657799E-3</v>
      </c>
      <c r="E304" s="9">
        <v>1.1288620827657799E-3</v>
      </c>
      <c r="F304" s="9">
        <v>7.0558904812825007E-2</v>
      </c>
      <c r="G304" s="9">
        <v>7.0558904812825007E-2</v>
      </c>
      <c r="H304" s="35">
        <v>1.1282253970734148E-3</v>
      </c>
    </row>
    <row r="305" spans="2:8" x14ac:dyDescent="0.35">
      <c r="B305" s="6">
        <v>45366</v>
      </c>
      <c r="C305" s="7" t="s">
        <v>11</v>
      </c>
      <c r="D305" s="9">
        <v>-4.1085837096174098E-4</v>
      </c>
      <c r="E305" s="9">
        <v>-4.1085837096174098E-4</v>
      </c>
      <c r="F305" s="9">
        <v>7.0119056725175044E-2</v>
      </c>
      <c r="G305" s="9">
        <v>7.0119056725175044E-2</v>
      </c>
      <c r="H305" s="35">
        <v>-4.1094279638765712E-4</v>
      </c>
    </row>
    <row r="306" spans="2:8" x14ac:dyDescent="0.35">
      <c r="B306" s="6">
        <v>45369</v>
      </c>
      <c r="C306" s="7" t="s">
        <v>11</v>
      </c>
      <c r="D306" s="9">
        <v>1.7188412061377399E-3</v>
      </c>
      <c r="E306" s="9">
        <v>1.7188412061377399E-3</v>
      </c>
      <c r="F306" s="9">
        <v>7.1958421455347477E-2</v>
      </c>
      <c r="G306" s="9">
        <v>7.1958421455347477E-2</v>
      </c>
      <c r="H306" s="35">
        <v>1.7173656891361069E-3</v>
      </c>
    </row>
    <row r="307" spans="2:8" x14ac:dyDescent="0.35">
      <c r="B307" s="6">
        <v>45370</v>
      </c>
      <c r="C307" s="7" t="s">
        <v>11</v>
      </c>
      <c r="D307" s="9">
        <v>3.0345678614063899E-4</v>
      </c>
      <c r="E307" s="9">
        <v>3.0345678614063899E-4</v>
      </c>
      <c r="F307" s="9">
        <v>7.2283714512798802E-2</v>
      </c>
      <c r="G307" s="9">
        <v>7.2283714512798802E-2</v>
      </c>
      <c r="H307" s="35">
        <v>3.0341075244269479E-4</v>
      </c>
    </row>
    <row r="308" spans="2:8" x14ac:dyDescent="0.35">
      <c r="B308" s="6">
        <v>45371</v>
      </c>
      <c r="C308" s="7" t="s">
        <v>11</v>
      </c>
      <c r="D308" s="9">
        <v>1.8776361739760901E-3</v>
      </c>
      <c r="E308" s="9">
        <v>1.8776361739760901E-3</v>
      </c>
      <c r="F308" s="9">
        <v>7.4297073203933417E-2</v>
      </c>
      <c r="G308" s="9">
        <v>7.4297073203933417E-2</v>
      </c>
      <c r="H308" s="35">
        <v>1.875875618618962E-3</v>
      </c>
    </row>
    <row r="309" spans="2:8" x14ac:dyDescent="0.35">
      <c r="B309" s="6">
        <v>45372</v>
      </c>
      <c r="C309" s="7" t="s">
        <v>11</v>
      </c>
      <c r="D309" s="9">
        <v>1.0079793334058301E-3</v>
      </c>
      <c r="E309" s="9">
        <v>1.0079793334058301E-3</v>
      </c>
      <c r="F309" s="9">
        <v>7.5379942451661464E-2</v>
      </c>
      <c r="G309" s="9">
        <v>7.5379942451661464E-2</v>
      </c>
      <c r="H309" s="35">
        <v>1.007471663356258E-3</v>
      </c>
    </row>
    <row r="310" spans="2:8" x14ac:dyDescent="0.35">
      <c r="B310" s="6">
        <v>45373</v>
      </c>
      <c r="C310" s="7" t="s">
        <v>11</v>
      </c>
      <c r="D310" s="9">
        <v>6.9341855346854097E-4</v>
      </c>
      <c r="E310" s="9">
        <v>6.9341855346854097E-4</v>
      </c>
      <c r="F310" s="9">
        <v>7.6125630855785387E-2</v>
      </c>
      <c r="G310" s="9">
        <v>7.6125630855785387E-2</v>
      </c>
      <c r="H310" s="35">
        <v>6.9317824990434138E-4</v>
      </c>
    </row>
    <row r="311" spans="2:8" x14ac:dyDescent="0.35">
      <c r="B311" s="6">
        <v>45376</v>
      </c>
      <c r="C311" s="7" t="s">
        <v>11</v>
      </c>
      <c r="D311" s="9">
        <v>-4.37856511609259E-4</v>
      </c>
      <c r="E311" s="9">
        <v>-4.37856511609259E-4</v>
      </c>
      <c r="F311" s="9">
        <v>7.5654442241005704E-2</v>
      </c>
      <c r="G311" s="9">
        <v>7.5654442241005704E-2</v>
      </c>
      <c r="H311" s="35">
        <v>-4.3795239876249083E-4</v>
      </c>
    </row>
    <row r="312" spans="2:8" x14ac:dyDescent="0.35">
      <c r="B312" s="6">
        <v>45377</v>
      </c>
      <c r="C312" s="7" t="s">
        <v>11</v>
      </c>
      <c r="D312" s="9">
        <v>-3.51644288693613E-5</v>
      </c>
      <c r="E312" s="9">
        <v>-3.51644288693613E-5</v>
      </c>
      <c r="F312" s="9">
        <v>7.5616617466883529E-2</v>
      </c>
      <c r="G312" s="9">
        <v>7.5616617466883529E-2</v>
      </c>
      <c r="H312" s="35">
        <v>-3.5165047152439674E-5</v>
      </c>
    </row>
    <row r="313" spans="2:8" x14ac:dyDescent="0.35">
      <c r="B313" s="6">
        <v>45378</v>
      </c>
      <c r="C313" s="7" t="s">
        <v>11</v>
      </c>
      <c r="D313" s="9">
        <v>-1.6236490104884001E-3</v>
      </c>
      <c r="E313" s="9">
        <v>-1.6236490104884001E-3</v>
      </c>
      <c r="F313" s="9">
        <v>7.3870193610268586E-2</v>
      </c>
      <c r="G313" s="9">
        <v>7.3870193610268586E-2</v>
      </c>
      <c r="H313" s="35">
        <v>-1.6249685570567678E-3</v>
      </c>
    </row>
    <row r="314" spans="2:8" x14ac:dyDescent="0.35">
      <c r="B314" s="6">
        <v>45379</v>
      </c>
      <c r="C314" s="7" t="s">
        <v>11</v>
      </c>
      <c r="D314" s="9">
        <v>-2.94865614744495E-4</v>
      </c>
      <c r="E314" s="9">
        <v>-2.94865614744495E-4</v>
      </c>
      <c r="F314" s="9">
        <v>7.3553546215473942E-2</v>
      </c>
      <c r="G314" s="9">
        <v>7.3553546215473942E-2</v>
      </c>
      <c r="H314" s="35">
        <v>-2.9490909615749347E-4</v>
      </c>
    </row>
    <row r="315" spans="2:8" x14ac:dyDescent="0.35">
      <c r="B315" s="6">
        <v>45383</v>
      </c>
      <c r="C315" s="7" t="s">
        <v>11</v>
      </c>
      <c r="D315" s="9"/>
      <c r="E315" s="9"/>
      <c r="F315" s="9"/>
      <c r="G315" s="9"/>
      <c r="H315" s="35"/>
    </row>
    <row r="316" spans="2:8" x14ac:dyDescent="0.35">
      <c r="B316" s="6">
        <v>45384</v>
      </c>
      <c r="C316" s="7" t="s">
        <v>11</v>
      </c>
      <c r="D316" s="9">
        <v>2.3455273913306502E-3</v>
      </c>
      <c r="E316" s="9">
        <v>2.3455273913306502E-3</v>
      </c>
      <c r="F316" s="9">
        <v>7.6071595464182407E-2</v>
      </c>
      <c r="G316" s="9">
        <v>7.6071595464182407E-2</v>
      </c>
      <c r="H316" s="35">
        <v>2.3427809357117876E-3</v>
      </c>
    </row>
    <row r="317" spans="2:8" x14ac:dyDescent="0.35">
      <c r="B317" s="6">
        <v>45385</v>
      </c>
      <c r="C317" s="7" t="s">
        <v>11</v>
      </c>
      <c r="D317" s="9">
        <v>1.3387432083638499E-3</v>
      </c>
      <c r="E317" s="9">
        <v>1.3387432083638499E-3</v>
      </c>
      <c r="F317" s="9">
        <v>7.7512179004323389E-2</v>
      </c>
      <c r="G317" s="9">
        <v>7.7512179004323389E-2</v>
      </c>
      <c r="H317" s="35">
        <v>1.3378478906527532E-3</v>
      </c>
    </row>
    <row r="318" spans="2:8" x14ac:dyDescent="0.35">
      <c r="B318" s="6">
        <v>45386</v>
      </c>
      <c r="C318" s="7" t="s">
        <v>11</v>
      </c>
      <c r="D318" s="9">
        <v>-7.8231330042934197E-4</v>
      </c>
      <c r="E318" s="9">
        <v>-7.8231330042934197E-4</v>
      </c>
      <c r="F318" s="9">
        <v>7.6669226895313747E-2</v>
      </c>
      <c r="G318" s="9">
        <v>7.6669226895313747E-2</v>
      </c>
      <c r="H318" s="35">
        <v>-7.8261946716863041E-4</v>
      </c>
    </row>
    <row r="319" spans="2:8" x14ac:dyDescent="0.35">
      <c r="B319" s="6">
        <v>45387</v>
      </c>
      <c r="C319" s="7" t="s">
        <v>11</v>
      </c>
      <c r="D319" s="9">
        <v>3.12166566458778E-4</v>
      </c>
      <c r="E319" s="9">
        <v>3.12166566458778E-4</v>
      </c>
      <c r="F319" s="9">
        <v>7.7005327031085313E-2</v>
      </c>
      <c r="G319" s="9">
        <v>7.7005327031085313E-2</v>
      </c>
      <c r="H319" s="35">
        <v>3.1211785261373406E-4</v>
      </c>
    </row>
    <row r="320" spans="2:8" x14ac:dyDescent="0.35">
      <c r="B320" s="6">
        <v>45390</v>
      </c>
      <c r="C320" s="7" t="s">
        <v>11</v>
      </c>
      <c r="D320" s="9">
        <v>5.98048915584797E-4</v>
      </c>
      <c r="E320" s="9">
        <v>5.98048915584797E-4</v>
      </c>
      <c r="F320" s="9">
        <v>7.7649428898995287E-2</v>
      </c>
      <c r="G320" s="9">
        <v>7.7649428898995287E-2</v>
      </c>
      <c r="H320" s="35">
        <v>5.9787015560000209E-4</v>
      </c>
    </row>
    <row r="321" spans="2:8" x14ac:dyDescent="0.35">
      <c r="B321" s="6">
        <v>45391</v>
      </c>
      <c r="C321" s="7" t="s">
        <v>11</v>
      </c>
      <c r="D321" s="9">
        <v>-2.5873221216033798E-4</v>
      </c>
      <c r="E321" s="9">
        <v>-2.5873221216033798E-4</v>
      </c>
      <c r="F321" s="9">
        <v>7.737060627832304E-2</v>
      </c>
      <c r="G321" s="9">
        <v>7.737060627832304E-2</v>
      </c>
      <c r="H321" s="35">
        <v>-2.5876568911363529E-4</v>
      </c>
    </row>
    <row r="322" spans="2:8" x14ac:dyDescent="0.35">
      <c r="B322" s="6">
        <v>45392</v>
      </c>
      <c r="C322" s="7" t="s">
        <v>11</v>
      </c>
      <c r="D322" s="9">
        <v>3.28012903847078E-4</v>
      </c>
      <c r="E322" s="9">
        <v>3.28012903847078E-4</v>
      </c>
      <c r="F322" s="9">
        <v>7.7723997739407746E-2</v>
      </c>
      <c r="G322" s="9">
        <v>7.7723997739407746E-2</v>
      </c>
      <c r="H322" s="35">
        <v>3.2795911937545316E-4</v>
      </c>
    </row>
    <row r="323" spans="2:8" x14ac:dyDescent="0.35">
      <c r="B323" s="6">
        <v>45393</v>
      </c>
      <c r="C323" s="7" t="s">
        <v>11</v>
      </c>
      <c r="D323" s="9">
        <v>1.2213722086680901E-3</v>
      </c>
      <c r="E323" s="9">
        <v>1.2213722086680901E-3</v>
      </c>
      <c r="F323" s="9">
        <v>7.9040299878861298E-2</v>
      </c>
      <c r="G323" s="9">
        <v>7.9040299878861298E-2</v>
      </c>
      <c r="H323" s="35">
        <v>1.2206269404035459E-3</v>
      </c>
    </row>
    <row r="324" spans="2:8" x14ac:dyDescent="0.35">
      <c r="B324" s="6">
        <v>45394</v>
      </c>
      <c r="C324" s="7" t="s">
        <v>11</v>
      </c>
      <c r="D324" s="9">
        <v>7.8521158147019997E-4</v>
      </c>
      <c r="E324" s="9">
        <v>7.8521158147019997E-4</v>
      </c>
      <c r="F324" s="9">
        <v>7.988757481919917E-2</v>
      </c>
      <c r="G324" s="9">
        <v>7.988757481919917E-2</v>
      </c>
      <c r="H324" s="35">
        <v>7.849034641373028E-4</v>
      </c>
    </row>
    <row r="325" spans="2:8" x14ac:dyDescent="0.35">
      <c r="B325" s="6">
        <v>45397</v>
      </c>
      <c r="C325" s="7" t="s">
        <v>11</v>
      </c>
      <c r="D325" s="9">
        <v>-8.5364791877029804E-4</v>
      </c>
      <c r="E325" s="9">
        <v>-8.5364791877029804E-4</v>
      </c>
      <c r="F325" s="9">
        <v>7.8965731038448839E-2</v>
      </c>
      <c r="G325" s="9">
        <v>7.8965731038448839E-2</v>
      </c>
      <c r="H325" s="35">
        <v>-8.540124836430345E-4</v>
      </c>
    </row>
    <row r="326" spans="2:8" x14ac:dyDescent="0.35">
      <c r="B326" s="6">
        <v>45398</v>
      </c>
      <c r="C326" s="7" t="s">
        <v>11</v>
      </c>
      <c r="D326" s="9">
        <v>3.0248761002738499E-4</v>
      </c>
      <c r="E326" s="9">
        <v>3.0248761002738499E-4</v>
      </c>
      <c r="F326" s="9">
        <v>7.9292104803732277E-2</v>
      </c>
      <c r="G326" s="9">
        <v>7.9292104803732277E-2</v>
      </c>
      <c r="H326" s="35">
        <v>3.0244186987403486E-4</v>
      </c>
    </row>
    <row r="327" spans="2:8" x14ac:dyDescent="0.35">
      <c r="B327" s="6">
        <v>45399</v>
      </c>
      <c r="C327" s="7" t="s">
        <v>11</v>
      </c>
      <c r="D327" s="9">
        <v>-5.1467422323244404E-4</v>
      </c>
      <c r="E327" s="9">
        <v>-5.1467422323244404E-4</v>
      </c>
      <c r="F327" s="9">
        <v>7.8736620978051564E-2</v>
      </c>
      <c r="G327" s="9">
        <v>7.8736620978051564E-2</v>
      </c>
      <c r="H327" s="35">
        <v>-5.1480671347200178E-4</v>
      </c>
    </row>
    <row r="328" spans="2:8" x14ac:dyDescent="0.35">
      <c r="B328" s="6">
        <v>45400</v>
      </c>
      <c r="C328" s="7" t="s">
        <v>11</v>
      </c>
      <c r="D328" s="9">
        <v>3.4362677523799498E-4</v>
      </c>
      <c r="E328" s="9">
        <v>3.4362677523799498E-4</v>
      </c>
      <c r="F328" s="9">
        <v>7.9107303764449188E-2</v>
      </c>
      <c r="G328" s="9">
        <v>7.9107303764449188E-2</v>
      </c>
      <c r="H328" s="35">
        <v>3.4356774907917691E-4</v>
      </c>
    </row>
    <row r="329" spans="2:8" x14ac:dyDescent="0.35">
      <c r="B329" s="6">
        <v>45401</v>
      </c>
      <c r="C329" s="7" t="s">
        <v>11</v>
      </c>
      <c r="D329" s="9">
        <v>-3.2337892418672501E-3</v>
      </c>
      <c r="E329" s="9">
        <v>-3.2337892418672501E-3</v>
      </c>
      <c r="F329" s="9">
        <v>7.561769817471542E-2</v>
      </c>
      <c r="G329" s="9">
        <v>7.561769817471542E-2</v>
      </c>
      <c r="H329" s="35">
        <v>-3.2390292380426724E-3</v>
      </c>
    </row>
    <row r="330" spans="2:8" x14ac:dyDescent="0.35">
      <c r="B330" s="6">
        <v>45404</v>
      </c>
      <c r="C330" s="7" t="s">
        <v>11</v>
      </c>
      <c r="D330" s="9">
        <v>-9.3641049342404396E-4</v>
      </c>
      <c r="E330" s="9">
        <v>-9.3641049342404396E-4</v>
      </c>
      <c r="F330" s="9">
        <v>7.4610478475231945E-2</v>
      </c>
      <c r="G330" s="9">
        <v>7.4610478475231945E-2</v>
      </c>
      <c r="H330" s="35">
        <v>-9.3684919962428381E-4</v>
      </c>
    </row>
    <row r="331" spans="2:8" x14ac:dyDescent="0.35">
      <c r="B331" s="6">
        <v>45405</v>
      </c>
      <c r="C331" s="7" t="s">
        <v>11</v>
      </c>
      <c r="D331" s="9">
        <v>5.5814907709302204E-4</v>
      </c>
      <c r="E331" s="9">
        <v>5.5814907709302204E-4</v>
      </c>
      <c r="F331" s="9">
        <v>7.5210271322027289E-2</v>
      </c>
      <c r="G331" s="9">
        <v>7.5210271322027289E-2</v>
      </c>
      <c r="H331" s="35">
        <v>5.5799336983270277E-4</v>
      </c>
    </row>
    <row r="332" spans="2:8" x14ac:dyDescent="0.35">
      <c r="B332" s="6">
        <v>45406</v>
      </c>
      <c r="C332" s="7" t="s">
        <v>11</v>
      </c>
      <c r="D332" s="9">
        <v>-7.6790633954929705E-4</v>
      </c>
      <c r="E332" s="9">
        <v>-7.6790633954929705E-4</v>
      </c>
      <c r="F332" s="9">
        <v>7.4384610538330564E-2</v>
      </c>
      <c r="G332" s="9">
        <v>7.4384610538330564E-2</v>
      </c>
      <c r="H332" s="35">
        <v>-7.6820133064911414E-4</v>
      </c>
    </row>
    <row r="333" spans="2:8" x14ac:dyDescent="0.35">
      <c r="B333" s="6">
        <v>45407</v>
      </c>
      <c r="C333" s="7" t="s">
        <v>11</v>
      </c>
      <c r="D333" s="9">
        <v>-2.3296306690446101E-3</v>
      </c>
      <c r="E333" s="9">
        <v>-2.3296306690446101E-3</v>
      </c>
      <c r="F333" s="9">
        <v>7.1881691199271014E-2</v>
      </c>
      <c r="G333" s="9">
        <v>7.1881691199271014E-2</v>
      </c>
      <c r="H333" s="35">
        <v>-2.3323484803898873E-3</v>
      </c>
    </row>
    <row r="334" spans="2:8" x14ac:dyDescent="0.35">
      <c r="B334" s="6">
        <v>45408</v>
      </c>
      <c r="C334" s="7" t="s">
        <v>11</v>
      </c>
      <c r="D334" s="9">
        <v>8.5296617474918E-4</v>
      </c>
      <c r="E334" s="9">
        <v>8.5296617474918E-4</v>
      </c>
      <c r="F334" s="9">
        <v>7.2795970025196999E-2</v>
      </c>
      <c r="G334" s="9">
        <v>7.2795970025196999E-2</v>
      </c>
      <c r="H334" s="35">
        <v>8.526026058281763E-4</v>
      </c>
    </row>
    <row r="335" spans="2:8" x14ac:dyDescent="0.35">
      <c r="B335" s="6">
        <v>45411</v>
      </c>
      <c r="C335" s="7" t="s">
        <v>11</v>
      </c>
      <c r="D335" s="9">
        <v>-6.5378637001488001E-4</v>
      </c>
      <c r="E335" s="9">
        <v>-6.5378637001488001E-4</v>
      </c>
      <c r="F335" s="9">
        <v>7.2094590642187706E-2</v>
      </c>
      <c r="G335" s="9">
        <v>7.2094590642187706E-2</v>
      </c>
      <c r="H335" s="35">
        <v>-6.5400018152015011E-4</v>
      </c>
    </row>
    <row r="336" spans="2:8" x14ac:dyDescent="0.35">
      <c r="B336" s="6">
        <v>45412</v>
      </c>
      <c r="C336" s="7" t="s">
        <v>11</v>
      </c>
      <c r="D336" s="9">
        <v>6.6530246061138196E-5</v>
      </c>
      <c r="E336" s="9">
        <v>6.6530246061138196E-5</v>
      </c>
      <c r="F336" s="9">
        <v>7.2165917359104048E-2</v>
      </c>
      <c r="G336" s="9">
        <v>7.2165917359104048E-2</v>
      </c>
      <c r="H336" s="35">
        <v>6.6528033022515506E-5</v>
      </c>
    </row>
    <row r="337" spans="2:8" x14ac:dyDescent="0.35">
      <c r="B337" s="6">
        <v>45413</v>
      </c>
      <c r="C337" s="7" t="s">
        <v>11</v>
      </c>
      <c r="D337" s="9"/>
      <c r="E337" s="9"/>
      <c r="F337" s="9"/>
      <c r="G337" s="9"/>
      <c r="H337" s="35"/>
    </row>
    <row r="338" spans="2:8" x14ac:dyDescent="0.35">
      <c r="B338" s="6">
        <v>45414</v>
      </c>
      <c r="C338" s="7" t="s">
        <v>11</v>
      </c>
      <c r="D338" s="9">
        <v>3.6669838402735599E-3</v>
      </c>
      <c r="E338" s="9">
        <v>3.6669838402735599E-3</v>
      </c>
      <c r="F338" s="9">
        <v>7.6097532452152006E-2</v>
      </c>
      <c r="G338" s="9">
        <v>7.6097532452152006E-2</v>
      </c>
      <c r="H338" s="35">
        <v>3.6602768463228808E-3</v>
      </c>
    </row>
    <row r="339" spans="2:8" x14ac:dyDescent="0.35">
      <c r="B339" s="6">
        <v>45415</v>
      </c>
      <c r="C339" s="7" t="s">
        <v>11</v>
      </c>
      <c r="D339" s="9">
        <v>-5.3026209811056003E-4</v>
      </c>
      <c r="E339" s="9">
        <v>-5.3026209811056003E-4</v>
      </c>
      <c r="F339" s="9">
        <v>7.5526918716822378E-2</v>
      </c>
      <c r="G339" s="9">
        <v>7.5526918716822378E-2</v>
      </c>
      <c r="H339" s="35">
        <v>-5.3040273677602519E-4</v>
      </c>
    </row>
    <row r="340" spans="2:8" x14ac:dyDescent="0.35">
      <c r="B340" s="6">
        <v>45418</v>
      </c>
      <c r="C340" s="7" t="s">
        <v>11</v>
      </c>
      <c r="D340" s="9">
        <v>8.1490666254025303E-4</v>
      </c>
      <c r="E340" s="9">
        <v>8.1490666254025303E-4</v>
      </c>
      <c r="F340" s="9">
        <v>7.6403372768626188E-2</v>
      </c>
      <c r="G340" s="9">
        <v>7.6403372768626188E-2</v>
      </c>
      <c r="H340" s="35">
        <v>8.1457480638154811E-4</v>
      </c>
    </row>
    <row r="341" spans="2:8" x14ac:dyDescent="0.35">
      <c r="B341" s="6">
        <v>45419</v>
      </c>
      <c r="C341" s="7" t="s">
        <v>11</v>
      </c>
      <c r="D341" s="9">
        <v>8.7046707034113004E-4</v>
      </c>
      <c r="E341" s="9">
        <v>8.7046707034113004E-4</v>
      </c>
      <c r="F341" s="9">
        <v>7.7340346459025433E-2</v>
      </c>
      <c r="G341" s="9">
        <v>7.7340346459025433E-2</v>
      </c>
      <c r="H341" s="35">
        <v>8.7008843359222753E-4</v>
      </c>
    </row>
    <row r="342" spans="2:8" x14ac:dyDescent="0.35">
      <c r="B342" s="6">
        <v>45420</v>
      </c>
      <c r="C342" s="7" t="s">
        <v>11</v>
      </c>
      <c r="D342" s="9">
        <v>-7.8544745426751303E-4</v>
      </c>
      <c r="E342" s="9">
        <v>-7.8544745426751303E-4</v>
      </c>
      <c r="F342" s="9">
        <v>7.6494152226519452E-2</v>
      </c>
      <c r="G342" s="9">
        <v>7.6494152226519452E-2</v>
      </c>
      <c r="H342" s="35">
        <v>-7.8575607973591153E-4</v>
      </c>
    </row>
    <row r="343" spans="2:8" x14ac:dyDescent="0.35">
      <c r="B343" s="6">
        <v>45421</v>
      </c>
      <c r="C343" s="7" t="s">
        <v>11</v>
      </c>
      <c r="D343" s="9">
        <v>-7.5293569627979504E-4</v>
      </c>
      <c r="E343" s="9">
        <v>-7.5293569627979504E-4</v>
      </c>
      <c r="F343" s="9">
        <v>7.5683621352471642E-2</v>
      </c>
      <c r="G343" s="9">
        <v>7.5683621352471642E-2</v>
      </c>
      <c r="H343" s="35">
        <v>-7.5321929472432943E-4</v>
      </c>
    </row>
    <row r="344" spans="2:8" x14ac:dyDescent="0.35">
      <c r="B344" s="6">
        <v>45422</v>
      </c>
      <c r="C344" s="7" t="s">
        <v>11</v>
      </c>
      <c r="D344" s="9">
        <v>-2.5920504425075999E-4</v>
      </c>
      <c r="E344" s="9">
        <v>-2.5920504425075999E-4</v>
      </c>
      <c r="F344" s="9">
        <v>7.5404798731799172E-2</v>
      </c>
      <c r="G344" s="9">
        <v>7.5404798731799172E-2</v>
      </c>
      <c r="H344" s="35">
        <v>-2.5923864368451293E-4</v>
      </c>
    </row>
    <row r="345" spans="2:8" x14ac:dyDescent="0.35">
      <c r="B345" s="6">
        <v>45425</v>
      </c>
      <c r="C345" s="7" t="s">
        <v>11</v>
      </c>
      <c r="D345" s="9">
        <v>-5.8386502568103405E-4</v>
      </c>
      <c r="E345" s="9">
        <v>-5.8386502568103405E-4</v>
      </c>
      <c r="F345" s="9">
        <v>7.4776907481370003E-2</v>
      </c>
      <c r="G345" s="9">
        <v>7.4776907481370003E-2</v>
      </c>
      <c r="H345" s="35">
        <v>-5.8403554124046987E-4</v>
      </c>
    </row>
    <row r="346" spans="2:8" x14ac:dyDescent="0.35">
      <c r="B346" s="6">
        <v>45426</v>
      </c>
      <c r="C346" s="7" t="s">
        <v>11</v>
      </c>
      <c r="D346" s="9">
        <v>-3.16738259568453E-4</v>
      </c>
      <c r="E346" s="9">
        <v>-3.16738259568453E-4</v>
      </c>
      <c r="F346" s="9">
        <v>7.4436484514269985E-2</v>
      </c>
      <c r="G346" s="9">
        <v>7.4436484514269985E-2</v>
      </c>
      <c r="H346" s="35">
        <v>-3.1678843172557231E-4</v>
      </c>
    </row>
    <row r="347" spans="2:8" x14ac:dyDescent="0.35">
      <c r="B347" s="6">
        <v>45427</v>
      </c>
      <c r="C347" s="7" t="s">
        <v>11</v>
      </c>
      <c r="D347" s="9">
        <v>1.40917745678166E-3</v>
      </c>
      <c r="E347" s="9">
        <v>1.40917745678166E-3</v>
      </c>
      <c r="F347" s="9">
        <v>7.5950556186991314E-2</v>
      </c>
      <c r="G347" s="9">
        <v>7.5950556186991314E-2</v>
      </c>
      <c r="H347" s="35">
        <v>1.4081854980172903E-3</v>
      </c>
    </row>
    <row r="348" spans="2:8" x14ac:dyDescent="0.35">
      <c r="B348" s="6">
        <v>45428</v>
      </c>
      <c r="C348" s="7" t="s">
        <v>11</v>
      </c>
      <c r="D348" s="9">
        <v>-2.00884292651523E-6</v>
      </c>
      <c r="E348" s="9">
        <v>-2.00884292651523E-6</v>
      </c>
      <c r="F348" s="9">
        <v>7.5948394771327088E-2</v>
      </c>
      <c r="G348" s="9">
        <v>7.5948394771327088E-2</v>
      </c>
      <c r="H348" s="35">
        <v>-2.0088449442873268E-6</v>
      </c>
    </row>
    <row r="349" spans="2:8" x14ac:dyDescent="0.35">
      <c r="B349" s="6">
        <v>45429</v>
      </c>
      <c r="C349" s="7" t="s">
        <v>11</v>
      </c>
      <c r="D349" s="9">
        <v>-3.05344738227126E-4</v>
      </c>
      <c r="E349" s="9">
        <v>-3.05344738227126E-4</v>
      </c>
      <c r="F349" s="9">
        <v>7.5619859590379868E-2</v>
      </c>
      <c r="G349" s="9">
        <v>7.5619859590379868E-2</v>
      </c>
      <c r="H349" s="35">
        <v>-3.0539136542347817E-4</v>
      </c>
    </row>
    <row r="350" spans="2:8" x14ac:dyDescent="0.35">
      <c r="B350" s="6">
        <v>45432</v>
      </c>
      <c r="C350" s="7" t="s">
        <v>11</v>
      </c>
      <c r="D350" s="9">
        <v>-3.7175019994167098E-5</v>
      </c>
      <c r="E350" s="9">
        <v>-3.7175019994167098E-5</v>
      </c>
      <c r="F350" s="9">
        <v>7.5579873400593467E-2</v>
      </c>
      <c r="G350" s="9">
        <v>7.5579873400593467E-2</v>
      </c>
      <c r="H350" s="35">
        <v>-3.7175711002299207E-5</v>
      </c>
    </row>
    <row r="351" spans="2:8" x14ac:dyDescent="0.35">
      <c r="B351" s="6">
        <v>45433</v>
      </c>
      <c r="C351" s="7" t="s">
        <v>11</v>
      </c>
      <c r="D351" s="9">
        <v>-2.2074744663427999E-3</v>
      </c>
      <c r="E351" s="9">
        <v>-2.2074744663427999E-3</v>
      </c>
      <c r="F351" s="9">
        <v>7.3205558293549355E-2</v>
      </c>
      <c r="G351" s="9">
        <v>7.3205558293549355E-2</v>
      </c>
      <c r="H351" s="35">
        <v>-2.209914529682314E-3</v>
      </c>
    </row>
    <row r="352" spans="2:8" x14ac:dyDescent="0.35">
      <c r="B352" s="6">
        <v>45434</v>
      </c>
      <c r="C352" s="7" t="s">
        <v>11</v>
      </c>
      <c r="D352" s="9">
        <v>-1.52659764082255E-3</v>
      </c>
      <c r="E352" s="9">
        <v>-1.52659764082255E-3</v>
      </c>
      <c r="F352" s="9">
        <v>7.1567205220140817E-2</v>
      </c>
      <c r="G352" s="9">
        <v>7.1567205220140817E-2</v>
      </c>
      <c r="H352" s="35">
        <v>-1.5277640782725909E-3</v>
      </c>
    </row>
    <row r="353" spans="2:8" x14ac:dyDescent="0.35">
      <c r="B353" s="6">
        <v>45435</v>
      </c>
      <c r="C353" s="7" t="s">
        <v>11</v>
      </c>
      <c r="D353" s="9">
        <v>1.8556954723044399E-4</v>
      </c>
      <c r="E353" s="9">
        <v>1.8556954723044399E-4</v>
      </c>
      <c r="F353" s="9">
        <v>7.1766055461240486E-2</v>
      </c>
      <c r="G353" s="9">
        <v>7.1766055461240486E-2</v>
      </c>
      <c r="H353" s="35">
        <v>1.855523313317371E-4</v>
      </c>
    </row>
    <row r="354" spans="2:8" x14ac:dyDescent="0.35">
      <c r="B354" s="6">
        <v>45436</v>
      </c>
      <c r="C354" s="7" t="s">
        <v>11</v>
      </c>
      <c r="D354" s="9">
        <v>-1.0688436120460099E-4</v>
      </c>
      <c r="E354" s="9">
        <v>-1.0688436120460099E-4</v>
      </c>
      <c r="F354" s="9">
        <v>7.1651500431041626E-2</v>
      </c>
      <c r="G354" s="9">
        <v>7.1651500431041626E-2</v>
      </c>
      <c r="H354" s="35">
        <v>-1.068900737450439E-4</v>
      </c>
    </row>
    <row r="355" spans="2:8" x14ac:dyDescent="0.35">
      <c r="B355" s="6">
        <v>45440</v>
      </c>
      <c r="C355" s="7" t="s">
        <v>11</v>
      </c>
      <c r="D355" s="9">
        <v>2.3759101268630012E-3</v>
      </c>
      <c r="E355" s="9">
        <v>2.3759101268630012E-3</v>
      </c>
      <c r="F355" s="9">
        <v>7.4197648083383694E-2</v>
      </c>
      <c r="G355" s="9">
        <v>7.4197648083383694E-2</v>
      </c>
      <c r="H355" s="35">
        <v>2.3730921150767297E-3</v>
      </c>
    </row>
    <row r="356" spans="2:8" x14ac:dyDescent="0.35">
      <c r="B356" s="6">
        <v>45441</v>
      </c>
      <c r="C356" s="7" t="s">
        <v>11</v>
      </c>
      <c r="D356" s="9">
        <v>1.04227868680928E-3</v>
      </c>
      <c r="E356" s="9">
        <v>1.04227868680928E-3</v>
      </c>
      <c r="F356" s="9">
        <v>7.531726139740158E-2</v>
      </c>
      <c r="G356" s="9">
        <v>7.531726139740158E-2</v>
      </c>
      <c r="H356" s="35">
        <v>1.0417358915085922E-3</v>
      </c>
    </row>
    <row r="357" spans="2:8" x14ac:dyDescent="0.35">
      <c r="B357" s="6">
        <v>45442</v>
      </c>
      <c r="C357" s="7" t="s">
        <v>11</v>
      </c>
      <c r="D357" s="9">
        <v>-2.1778631815494898E-3</v>
      </c>
      <c r="E357" s="9">
        <v>-2.1778631815494898E-3</v>
      </c>
      <c r="F357" s="9">
        <v>7.2975367525319523E-2</v>
      </c>
      <c r="G357" s="9">
        <v>7.2975367525319523E-2</v>
      </c>
      <c r="H357" s="35">
        <v>-2.1802381744678578E-3</v>
      </c>
    </row>
    <row r="358" spans="2:8" x14ac:dyDescent="0.35">
      <c r="B358" s="6">
        <v>45443</v>
      </c>
      <c r="C358" s="7" t="s">
        <v>11</v>
      </c>
      <c r="D358" s="9">
        <v>-6.9900135469290101E-4</v>
      </c>
      <c r="E358" s="9">
        <v>-6.9900135469290101E-4</v>
      </c>
      <c r="F358" s="9">
        <v>7.2225356289867149E-2</v>
      </c>
      <c r="G358" s="9">
        <v>7.2225356289867149E-2</v>
      </c>
      <c r="H358" s="35">
        <v>-6.9924577004426135E-4</v>
      </c>
    </row>
    <row r="359" spans="2:8" x14ac:dyDescent="0.35">
      <c r="B359" s="6">
        <v>45446</v>
      </c>
      <c r="C359" s="7" t="s">
        <v>11</v>
      </c>
      <c r="D359" s="9">
        <v>-6.7933207747608798E-4</v>
      </c>
      <c r="E359" s="9">
        <v>-6.7933207747608798E-4</v>
      </c>
      <c r="F359" s="9">
        <v>7.1496959211056144E-2</v>
      </c>
      <c r="G359" s="9">
        <v>7.1496959211056144E-2</v>
      </c>
      <c r="H359" s="35">
        <v>-6.7956292806719729E-4</v>
      </c>
    </row>
    <row r="360" spans="2:8" x14ac:dyDescent="0.35">
      <c r="B360" s="6">
        <v>45447</v>
      </c>
      <c r="C360" s="7" t="s">
        <v>11</v>
      </c>
      <c r="D360" s="9">
        <v>9.0067646551561899E-4</v>
      </c>
      <c r="E360" s="9">
        <v>9.0067646551561899E-4</v>
      </c>
      <c r="F360" s="9">
        <v>7.2462031305089214E-2</v>
      </c>
      <c r="G360" s="9">
        <v>7.2462031305089214E-2</v>
      </c>
      <c r="H360" s="35">
        <v>9.0027109985190801E-4</v>
      </c>
    </row>
    <row r="361" spans="2:8" x14ac:dyDescent="0.35">
      <c r="B361" s="6">
        <v>45448</v>
      </c>
      <c r="C361" s="7" t="s">
        <v>11</v>
      </c>
      <c r="D361" s="9">
        <v>2.0919616675232201E-3</v>
      </c>
      <c r="E361" s="9">
        <v>2.0919616675232201E-3</v>
      </c>
      <c r="F361" s="9">
        <v>7.4705580764453661E-2</v>
      </c>
      <c r="G361" s="9">
        <v>7.4705580764453661E-2</v>
      </c>
      <c r="H361" s="35">
        <v>2.0897765626205038E-3</v>
      </c>
    </row>
    <row r="362" spans="2:8" x14ac:dyDescent="0.35">
      <c r="B362" s="6">
        <v>45449</v>
      </c>
      <c r="C362" s="7" t="s">
        <v>11</v>
      </c>
      <c r="D362" s="9">
        <v>2.1610022062535299E-3</v>
      </c>
      <c r="E362" s="9">
        <v>2.1610022062535299E-3</v>
      </c>
      <c r="F362" s="9">
        <v>7.7028021895558574E-2</v>
      </c>
      <c r="G362" s="9">
        <v>7.7028021895558574E-2</v>
      </c>
      <c r="H362" s="35">
        <v>2.1586705994531747E-3</v>
      </c>
    </row>
    <row r="363" spans="2:8" x14ac:dyDescent="0.35">
      <c r="B363" s="6">
        <v>45450</v>
      </c>
      <c r="C363" s="7" t="s">
        <v>11</v>
      </c>
      <c r="D363" s="9">
        <v>3.8631540395044197E-4</v>
      </c>
      <c r="E363" s="9">
        <v>3.8631540395044197E-4</v>
      </c>
      <c r="F363" s="9">
        <v>7.7444094410903164E-2</v>
      </c>
      <c r="G363" s="9">
        <v>7.7444094410903164E-2</v>
      </c>
      <c r="H363" s="35">
        <v>3.8624080336713002E-4</v>
      </c>
    </row>
    <row r="364" spans="2:8" x14ac:dyDescent="0.35">
      <c r="B364" s="6">
        <v>45453</v>
      </c>
      <c r="C364" s="7" t="s">
        <v>11</v>
      </c>
      <c r="D364" s="9">
        <v>8.3050813456636498E-4</v>
      </c>
      <c r="E364" s="9">
        <v>8.3050813456636498E-4</v>
      </c>
      <c r="F364" s="9">
        <v>7.8338920495851783E-2</v>
      </c>
      <c r="G364" s="9">
        <v>7.8338920495851783E-2</v>
      </c>
      <c r="H364" s="35">
        <v>8.3016345351259702E-4</v>
      </c>
    </row>
    <row r="365" spans="2:8" x14ac:dyDescent="0.35">
      <c r="B365" s="6">
        <v>45454</v>
      </c>
      <c r="C365" s="7" t="s">
        <v>11</v>
      </c>
      <c r="D365" s="9">
        <v>2.8161730513291401E-4</v>
      </c>
      <c r="E365" s="9">
        <v>2.8161730513291401E-4</v>
      </c>
      <c r="F365" s="9">
        <v>7.8642599396661739E-2</v>
      </c>
      <c r="G365" s="9">
        <v>7.8642599396661739E-2</v>
      </c>
      <c r="H365" s="35">
        <v>2.8157765842300278E-4</v>
      </c>
    </row>
    <row r="366" spans="2:8" x14ac:dyDescent="0.35">
      <c r="B366" s="6">
        <v>45455</v>
      </c>
      <c r="C366" s="7" t="s">
        <v>11</v>
      </c>
      <c r="D366" s="9">
        <v>3.4876649276767801E-3</v>
      </c>
      <c r="E366" s="9">
        <v>3.4876649276767801E-3</v>
      </c>
      <c r="F366" s="9">
        <v>8.2404543360075522E-2</v>
      </c>
      <c r="G366" s="9">
        <v>8.2404543360075522E-2</v>
      </c>
      <c r="H366" s="35">
        <v>3.4815971285601442E-3</v>
      </c>
    </row>
    <row r="367" spans="2:8" x14ac:dyDescent="0.35">
      <c r="B367" s="6">
        <v>45456</v>
      </c>
      <c r="C367" s="7" t="s">
        <v>11</v>
      </c>
      <c r="D367" s="9">
        <v>-7.8876164421865403E-4</v>
      </c>
      <c r="E367" s="9">
        <v>-7.8876164421865403E-4</v>
      </c>
      <c r="F367" s="9">
        <v>8.1550784172744972E-2</v>
      </c>
      <c r="G367" s="9">
        <v>8.1550784172744972E-2</v>
      </c>
      <c r="H367" s="35">
        <v>-7.8907288035591396E-4</v>
      </c>
    </row>
    <row r="368" spans="2:8" x14ac:dyDescent="0.35">
      <c r="B368" s="6">
        <v>45457</v>
      </c>
      <c r="C368" s="7" t="s">
        <v>11</v>
      </c>
      <c r="D368" s="9">
        <v>8.91304782269882E-4</v>
      </c>
      <c r="E368" s="9">
        <v>8.91304782269882E-4</v>
      </c>
      <c r="F368" s="9">
        <v>8.251477555894593E-2</v>
      </c>
      <c r="G368" s="9">
        <v>8.251477555894593E-2</v>
      </c>
      <c r="H368" s="35">
        <v>8.9090780602942867E-4</v>
      </c>
    </row>
    <row r="369" spans="2:8" x14ac:dyDescent="0.35">
      <c r="B369" s="6">
        <v>45460</v>
      </c>
      <c r="C369" s="7" t="s">
        <v>11</v>
      </c>
      <c r="D369" s="9">
        <v>-2.9550591411165399E-4</v>
      </c>
      <c r="E369" s="9">
        <v>-2.9550591411165399E-4</v>
      </c>
      <c r="F369" s="9">
        <v>8.2194886040654946E-2</v>
      </c>
      <c r="G369" s="9">
        <v>8.2194886040654946E-2</v>
      </c>
      <c r="H369" s="35">
        <v>-2.9554958458775427E-4</v>
      </c>
    </row>
    <row r="370" spans="2:8" x14ac:dyDescent="0.35">
      <c r="B370" s="6">
        <v>45461</v>
      </c>
      <c r="C370" s="7" t="s">
        <v>11</v>
      </c>
      <c r="D370" s="9">
        <v>6.1914805228006702E-4</v>
      </c>
      <c r="E370" s="9">
        <v>6.1914805228006702E-4</v>
      </c>
      <c r="F370" s="9">
        <v>8.286492489653452E-2</v>
      </c>
      <c r="G370" s="9">
        <v>8.286492489653452E-2</v>
      </c>
      <c r="H370" s="35">
        <v>6.1895645920372511E-4</v>
      </c>
    </row>
    <row r="371" spans="2:8" x14ac:dyDescent="0.35">
      <c r="B371" s="6">
        <v>45463</v>
      </c>
      <c r="C371" s="7" t="s">
        <v>11</v>
      </c>
      <c r="D371" s="9">
        <v>5.8882470588716984E-4</v>
      </c>
      <c r="E371" s="9">
        <v>5.8882470588716984E-4</v>
      </c>
      <c r="F371" s="9">
        <v>8.3502542517452261E-2</v>
      </c>
      <c r="G371" s="9">
        <v>8.3502542517452261E-2</v>
      </c>
      <c r="H371" s="35">
        <v>5.8865141664136088E-4</v>
      </c>
    </row>
    <row r="372" spans="2:8" x14ac:dyDescent="0.35">
      <c r="B372" s="6">
        <v>45464</v>
      </c>
      <c r="C372" s="7" t="s">
        <v>11</v>
      </c>
      <c r="D372" s="9">
        <v>-8.1788494952047606E-5</v>
      </c>
      <c r="E372" s="9">
        <v>-8.1788494952047606E-5</v>
      </c>
      <c r="F372" s="9">
        <v>8.3413924475223E-2</v>
      </c>
      <c r="G372" s="9">
        <v>8.3413924475223E-2</v>
      </c>
      <c r="H372" s="35">
        <v>-8.1791839813330643E-5</v>
      </c>
    </row>
    <row r="373" spans="2:8" x14ac:dyDescent="0.35">
      <c r="B373" s="6">
        <v>45467</v>
      </c>
      <c r="C373" s="7" t="s">
        <v>11</v>
      </c>
      <c r="D373" s="9">
        <v>-4.9775362492321602E-4</v>
      </c>
      <c r="E373" s="9">
        <v>-4.9775362492321602E-4</v>
      </c>
      <c r="F373" s="9">
        <v>8.2874651267023092E-2</v>
      </c>
      <c r="G373" s="9">
        <v>8.2874651267023092E-2</v>
      </c>
      <c r="H373" s="35">
        <v>-4.9787754538172045E-4</v>
      </c>
    </row>
    <row r="374" spans="2:8" x14ac:dyDescent="0.35">
      <c r="B374" s="6">
        <v>45468</v>
      </c>
      <c r="C374" s="7" t="s">
        <v>11</v>
      </c>
      <c r="D374" s="9">
        <v>2.27942974336455E-3</v>
      </c>
      <c r="E374" s="9">
        <v>2.27942974336455E-3</v>
      </c>
      <c r="F374" s="9">
        <v>8.5342987955456806E-2</v>
      </c>
      <c r="G374" s="9">
        <v>8.5342987955456806E-2</v>
      </c>
      <c r="H374" s="35">
        <v>2.276835784470643E-3</v>
      </c>
    </row>
    <row r="375" spans="2:8" x14ac:dyDescent="0.35">
      <c r="B375" s="6">
        <v>45469</v>
      </c>
      <c r="C375" s="7" t="s">
        <v>11</v>
      </c>
      <c r="D375" s="9">
        <v>8.6927169370574304E-4</v>
      </c>
      <c r="E375" s="9">
        <v>8.6927169370574304E-4</v>
      </c>
      <c r="F375" s="9">
        <v>8.6286445892848507E-2</v>
      </c>
      <c r="G375" s="9">
        <v>8.6286445892848507E-2</v>
      </c>
      <c r="H375" s="35">
        <v>8.6889409587458534E-4</v>
      </c>
    </row>
    <row r="376" spans="2:8" x14ac:dyDescent="0.35">
      <c r="B376" s="6">
        <v>45470</v>
      </c>
      <c r="C376" s="7" t="s">
        <v>11</v>
      </c>
      <c r="D376" s="9">
        <v>9.3815723236650799E-4</v>
      </c>
      <c r="E376" s="9">
        <v>9.3815723236650799E-4</v>
      </c>
      <c r="F376" s="9">
        <v>8.7305553378484557E-2</v>
      </c>
      <c r="G376" s="9">
        <v>8.7305553378484557E-2</v>
      </c>
      <c r="H376" s="35">
        <v>9.3771743791298248E-4</v>
      </c>
    </row>
    <row r="377" spans="2:8" x14ac:dyDescent="0.35">
      <c r="B377" s="6">
        <v>45471</v>
      </c>
      <c r="C377" s="7" t="s">
        <v>11</v>
      </c>
      <c r="D377" s="9">
        <v>-2.2065291396025299E-4</v>
      </c>
      <c r="E377" s="9">
        <v>-2.2065291396025299E-4</v>
      </c>
      <c r="F377" s="9">
        <v>8.7065636239766375E-2</v>
      </c>
      <c r="G377" s="9">
        <v>8.7065636239766375E-2</v>
      </c>
      <c r="H377" s="35">
        <v>-2.2067726139606922E-4</v>
      </c>
    </row>
    <row r="378" spans="2:8" x14ac:dyDescent="0.35">
      <c r="B378" s="6">
        <v>45474</v>
      </c>
      <c r="C378" s="7" t="s">
        <v>11</v>
      </c>
      <c r="D378" s="9">
        <v>3.7807578018517001E-3</v>
      </c>
      <c r="E378" s="9">
        <v>3.7807578018517001E-3</v>
      </c>
      <c r="F378" s="9">
        <v>9.1175568125104745E-2</v>
      </c>
      <c r="G378" s="9">
        <v>9.1175568125104745E-2</v>
      </c>
      <c r="H378" s="35">
        <v>3.7736287003609027E-3</v>
      </c>
    </row>
    <row r="379" spans="2:8" x14ac:dyDescent="0.35">
      <c r="B379" s="6">
        <v>45475</v>
      </c>
      <c r="C379" s="7" t="s">
        <v>11</v>
      </c>
      <c r="D379" s="9">
        <v>5.3779095679251405E-4</v>
      </c>
      <c r="E379" s="9">
        <v>5.3779095679251405E-4</v>
      </c>
      <c r="F379" s="9">
        <v>9.17623924779154E-2</v>
      </c>
      <c r="G379" s="9">
        <v>9.17623924779154E-2</v>
      </c>
      <c r="H379" s="35">
        <v>5.3764639906148429E-4</v>
      </c>
    </row>
    <row r="380" spans="2:8" x14ac:dyDescent="0.35">
      <c r="B380" s="6">
        <v>45476</v>
      </c>
      <c r="C380" s="7" t="s">
        <v>11</v>
      </c>
      <c r="D380" s="9">
        <v>-2.32620524653335E-4</v>
      </c>
      <c r="E380" s="9">
        <v>-2.32620524653335E-4</v>
      </c>
      <c r="F380" s="9">
        <v>9.1508426137380416E-2</v>
      </c>
      <c r="G380" s="9">
        <v>9.1508426137380416E-2</v>
      </c>
      <c r="H380" s="35">
        <v>-2.3264758500419252E-4</v>
      </c>
    </row>
    <row r="381" spans="2:8" x14ac:dyDescent="0.35">
      <c r="B381" s="6">
        <v>45478</v>
      </c>
      <c r="C381" s="7" t="s">
        <v>11</v>
      </c>
      <c r="D381" s="9">
        <v>-2.4158559357789766E-4</v>
      </c>
      <c r="E381" s="9">
        <v>-2.4158559357789766E-4</v>
      </c>
      <c r="F381" s="9">
        <v>9.1244733426356639E-2</v>
      </c>
      <c r="G381" s="9">
        <v>9.1244733426356639E-2</v>
      </c>
      <c r="H381" s="35">
        <v>-2.416147800781965E-4</v>
      </c>
    </row>
    <row r="382" spans="2:8" x14ac:dyDescent="0.35">
      <c r="B382" s="6">
        <v>45481</v>
      </c>
      <c r="C382" s="7" t="s">
        <v>11</v>
      </c>
      <c r="D382" s="9">
        <v>1.20821985639968E-4</v>
      </c>
      <c r="E382" s="9">
        <v>1.20821985639968E-4</v>
      </c>
      <c r="F382" s="9">
        <v>9.1376579781868195E-2</v>
      </c>
      <c r="G382" s="9">
        <v>9.1376579781868195E-2</v>
      </c>
      <c r="H382" s="35">
        <v>1.2081468725165382E-4</v>
      </c>
    </row>
    <row r="383" spans="2:8" x14ac:dyDescent="0.35">
      <c r="B383" s="6">
        <v>45482</v>
      </c>
      <c r="C383" s="7" t="s">
        <v>11</v>
      </c>
      <c r="D383" s="9">
        <v>-4.3668900613138802E-4</v>
      </c>
      <c r="E383" s="9">
        <v>-4.3668900613138802E-4</v>
      </c>
      <c r="F383" s="9">
        <v>9.0899987627928169E-2</v>
      </c>
      <c r="G383" s="9">
        <v>9.0899987627928169E-2</v>
      </c>
      <c r="H383" s="35">
        <v>-4.3678438254296558E-4</v>
      </c>
    </row>
    <row r="384" spans="2:8" x14ac:dyDescent="0.35">
      <c r="B384" s="6">
        <v>45483</v>
      </c>
      <c r="C384" s="7" t="s">
        <v>11</v>
      </c>
      <c r="D384" s="9">
        <v>-6.9841326450251803E-4</v>
      </c>
      <c r="E384" s="9">
        <v>-6.9841326450251803E-4</v>
      </c>
      <c r="F384" s="9">
        <v>9.0138088606323219E-2</v>
      </c>
      <c r="G384" s="9">
        <v>9.0138088606323219E-2</v>
      </c>
      <c r="H384" s="35">
        <v>-6.9865726866361066E-4</v>
      </c>
    </row>
    <row r="385" spans="2:8" x14ac:dyDescent="0.35">
      <c r="B385" s="6">
        <v>45484</v>
      </c>
      <c r="C385" s="7" t="s">
        <v>11</v>
      </c>
      <c r="D385" s="9">
        <v>9.1600692358477704E-4</v>
      </c>
      <c r="E385" s="9">
        <v>9.1600692358477704E-4</v>
      </c>
      <c r="F385" s="9">
        <v>9.1136662643150013E-2</v>
      </c>
      <c r="G385" s="9">
        <v>9.1136662643150013E-2</v>
      </c>
      <c r="H385" s="35">
        <v>9.1558764526440033E-4</v>
      </c>
    </row>
    <row r="386" spans="2:8" x14ac:dyDescent="0.35">
      <c r="B386" s="6">
        <v>45485</v>
      </c>
      <c r="C386" s="7" t="s">
        <v>11</v>
      </c>
      <c r="D386" s="9">
        <v>-2.1066706284355498E-3</v>
      </c>
      <c r="E386" s="9">
        <v>-2.1066706284355498E-3</v>
      </c>
      <c r="F386" s="9">
        <v>8.8837997084350473E-2</v>
      </c>
      <c r="G386" s="9">
        <v>8.8837997084350473E-2</v>
      </c>
      <c r="H386" s="35">
        <v>-2.1088927804472843E-3</v>
      </c>
    </row>
    <row r="387" spans="2:8" x14ac:dyDescent="0.35">
      <c r="B387" s="6">
        <v>45488</v>
      </c>
      <c r="C387" s="7" t="s">
        <v>11</v>
      </c>
      <c r="D387" s="9">
        <v>2.9299579265188E-3</v>
      </c>
      <c r="E387" s="9">
        <v>2.9299579265188E-3</v>
      </c>
      <c r="F387" s="9">
        <v>9.2028246604602515E-2</v>
      </c>
      <c r="G387" s="9">
        <v>9.2028246604602515E-2</v>
      </c>
      <c r="H387" s="35">
        <v>2.9256739656366355E-3</v>
      </c>
    </row>
    <row r="388" spans="2:8" x14ac:dyDescent="0.35">
      <c r="B388" s="6">
        <v>45489</v>
      </c>
      <c r="C388" s="7" t="s">
        <v>11</v>
      </c>
      <c r="D388" s="9">
        <v>2.5186174818772901E-3</v>
      </c>
      <c r="E388" s="9">
        <v>2.5186174818772901E-3</v>
      </c>
      <c r="F388" s="9">
        <v>9.4778648037204594E-2</v>
      </c>
      <c r="G388" s="9">
        <v>9.4778648037204594E-2</v>
      </c>
      <c r="H388" s="35">
        <v>2.5154510803889075E-3</v>
      </c>
    </row>
    <row r="389" spans="2:8" x14ac:dyDescent="0.35">
      <c r="B389" s="6">
        <v>45490</v>
      </c>
      <c r="C389" s="7" t="s">
        <v>11</v>
      </c>
      <c r="D389" s="9">
        <v>-1.50046395925054E-3</v>
      </c>
      <c r="E389" s="9">
        <v>-1.50046395925054E-3</v>
      </c>
      <c r="F389" s="9">
        <v>9.3135972132467826E-2</v>
      </c>
      <c r="G389" s="9">
        <v>9.3135972132467826E-2</v>
      </c>
      <c r="H389" s="35">
        <v>-1.5015907826099704E-3</v>
      </c>
    </row>
    <row r="390" spans="2:8" x14ac:dyDescent="0.35">
      <c r="B390" s="6">
        <v>45491</v>
      </c>
      <c r="C390" s="7" t="s">
        <v>11</v>
      </c>
      <c r="D390" s="9">
        <v>-2.0415224913495301E-3</v>
      </c>
      <c r="E390" s="9">
        <v>-2.0415224913495301E-3</v>
      </c>
      <c r="F390" s="9">
        <v>9.0904310459256177E-2</v>
      </c>
      <c r="G390" s="9">
        <v>9.0904310459256177E-2</v>
      </c>
      <c r="H390" s="35">
        <v>-2.0436092389693248E-3</v>
      </c>
    </row>
    <row r="391" spans="2:8" x14ac:dyDescent="0.35">
      <c r="B391" s="6">
        <v>45492</v>
      </c>
      <c r="C391" s="7" t="s">
        <v>11</v>
      </c>
      <c r="D391" s="9">
        <v>2.8927073065628802E-4</v>
      </c>
      <c r="E391" s="9">
        <v>2.8927073065628802E-4</v>
      </c>
      <c r="F391" s="9">
        <v>9.1219877146218931E-2</v>
      </c>
      <c r="G391" s="9">
        <v>9.1219877146218931E-2</v>
      </c>
      <c r="H391" s="35">
        <v>2.8922889994525329E-4</v>
      </c>
    </row>
    <row r="392" spans="2:8" x14ac:dyDescent="0.35">
      <c r="B392" s="6">
        <v>45495</v>
      </c>
      <c r="C392" s="7" t="s">
        <v>11</v>
      </c>
      <c r="D392" s="9">
        <v>1.87179306882037E-4</v>
      </c>
      <c r="E392" s="9">
        <v>1.87179306882037E-4</v>
      </c>
      <c r="F392" s="9">
        <v>9.1424130926478941E-2</v>
      </c>
      <c r="G392" s="9">
        <v>9.1424130926478941E-2</v>
      </c>
      <c r="H392" s="35">
        <v>1.8716179102118736E-4</v>
      </c>
    </row>
    <row r="393" spans="2:8" x14ac:dyDescent="0.35">
      <c r="B393" s="6">
        <v>45496</v>
      </c>
      <c r="C393" s="7" t="s">
        <v>11</v>
      </c>
      <c r="D393" s="9">
        <v>2.29821094031574E-3</v>
      </c>
      <c r="E393" s="9">
        <v>2.29821094031574E-3</v>
      </c>
      <c r="F393" s="9">
        <v>9.3932453804698834E-2</v>
      </c>
      <c r="G393" s="9">
        <v>9.3932453804698834E-2</v>
      </c>
      <c r="H393" s="35">
        <v>2.2955740928011148E-3</v>
      </c>
    </row>
    <row r="394" spans="2:8" x14ac:dyDescent="0.35">
      <c r="B394" s="6">
        <v>45497</v>
      </c>
      <c r="C394" s="7" t="s">
        <v>11</v>
      </c>
      <c r="D394" s="9">
        <v>1.4235796557525899E-3</v>
      </c>
      <c r="E394" s="9">
        <v>1.4235796557525899E-3</v>
      </c>
      <c r="F394" s="9">
        <v>9.5489753790702903E-2</v>
      </c>
      <c r="G394" s="9">
        <v>9.5489753790702903E-2</v>
      </c>
      <c r="H394" s="35">
        <v>1.4225673268745207E-3</v>
      </c>
    </row>
    <row r="395" spans="2:8" x14ac:dyDescent="0.35">
      <c r="B395" s="6">
        <v>45498</v>
      </c>
      <c r="C395" s="7" t="s">
        <v>11</v>
      </c>
      <c r="D395" s="9">
        <v>-2.5550519987610899E-4</v>
      </c>
      <c r="E395" s="9">
        <v>-2.5550519987610899E-4</v>
      </c>
      <c r="F395" s="9">
        <v>9.520985046219832E-2</v>
      </c>
      <c r="G395" s="9">
        <v>9.520985046219832E-2</v>
      </c>
      <c r="H395" s="35">
        <v>-2.555378468908487E-4</v>
      </c>
    </row>
    <row r="396" spans="2:8" x14ac:dyDescent="0.35">
      <c r="B396" s="6">
        <v>45499</v>
      </c>
      <c r="C396" s="7" t="s">
        <v>11</v>
      </c>
      <c r="D396" s="9">
        <v>1.8087286699775399E-3</v>
      </c>
      <c r="E396" s="9">
        <v>1.8087286699775399E-3</v>
      </c>
      <c r="F396" s="9">
        <v>9.7190787918371102E-2</v>
      </c>
      <c r="G396" s="9">
        <v>9.7190787918371102E-2</v>
      </c>
      <c r="H396" s="35">
        <v>1.8070948900231428E-3</v>
      </c>
    </row>
    <row r="397" spans="2:8" x14ac:dyDescent="0.35">
      <c r="B397" s="6">
        <v>45502</v>
      </c>
      <c r="C397" s="7" t="s">
        <v>11</v>
      </c>
      <c r="D397" s="9">
        <v>-1.11400913270791E-3</v>
      </c>
      <c r="E397" s="9">
        <v>-1.11400913270791E-3</v>
      </c>
      <c r="F397" s="9">
        <v>9.5968507360307154E-2</v>
      </c>
      <c r="G397" s="9">
        <v>9.5968507360307154E-2</v>
      </c>
      <c r="H397" s="35">
        <v>-1.1146301021016389E-3</v>
      </c>
    </row>
    <row r="398" spans="2:8" x14ac:dyDescent="0.35">
      <c r="B398" s="6">
        <v>45503</v>
      </c>
      <c r="C398" s="7" t="s">
        <v>11</v>
      </c>
      <c r="D398" s="9">
        <v>4.4570618298999602E-4</v>
      </c>
      <c r="E398" s="9">
        <v>4.4570618298999602E-4</v>
      </c>
      <c r="F398" s="9">
        <v>9.6456987300399755E-2</v>
      </c>
      <c r="G398" s="9">
        <v>9.6456987300399755E-2</v>
      </c>
      <c r="H398" s="35">
        <v>4.4560688549302339E-4</v>
      </c>
    </row>
    <row r="399" spans="2:8" x14ac:dyDescent="0.35">
      <c r="B399" s="6">
        <v>45504</v>
      </c>
      <c r="C399" s="7" t="s">
        <v>11</v>
      </c>
      <c r="D399" s="9">
        <v>3.4497271265811502E-5</v>
      </c>
      <c r="E399" s="9">
        <v>3.4497271265811502E-5</v>
      </c>
      <c r="F399" s="9">
        <v>9.649481207452193E-2</v>
      </c>
      <c r="G399" s="9">
        <v>9.649481207452193E-2</v>
      </c>
      <c r="H399" s="35">
        <v>3.4496676248631694E-5</v>
      </c>
    </row>
    <row r="400" spans="2:8" x14ac:dyDescent="0.35">
      <c r="B400" s="6">
        <v>45505</v>
      </c>
      <c r="C400" s="7" t="s">
        <v>11</v>
      </c>
      <c r="D400" s="9">
        <v>-1.3246495198144901E-3</v>
      </c>
      <c r="E400" s="9">
        <v>-1.3246495198144901E-3</v>
      </c>
      <c r="F400" s="9">
        <v>9.5042340748228371E-2</v>
      </c>
      <c r="G400" s="9">
        <v>9.5042340748228371E-2</v>
      </c>
      <c r="H400" s="35">
        <v>-1.3255276435461018E-3</v>
      </c>
    </row>
    <row r="401" spans="2:8" x14ac:dyDescent="0.35">
      <c r="B401" s="6">
        <v>45506</v>
      </c>
      <c r="C401" s="7" t="s">
        <v>11</v>
      </c>
      <c r="D401" s="9">
        <v>-1.8425602804402E-3</v>
      </c>
      <c r="E401" s="9">
        <v>-1.8425602804402E-3</v>
      </c>
      <c r="F401" s="9">
        <v>9.3024659225765527E-2</v>
      </c>
      <c r="G401" s="9">
        <v>9.3024659225765527E-2</v>
      </c>
      <c r="H401" s="35">
        <v>-1.8442598827009863E-3</v>
      </c>
    </row>
    <row r="402" spans="2:8" x14ac:dyDescent="0.35">
      <c r="B402" s="6">
        <v>45509</v>
      </c>
      <c r="C402" s="7" t="s">
        <v>11</v>
      </c>
      <c r="D402" s="9">
        <v>-4.1625593115265699E-3</v>
      </c>
      <c r="E402" s="9">
        <v>-4.1625593115265699E-3</v>
      </c>
      <c r="F402" s="9">
        <v>8.8474879252777194E-2</v>
      </c>
      <c r="G402" s="9">
        <v>8.8474879252777194E-2</v>
      </c>
      <c r="H402" s="35">
        <v>-4.1712468782600411E-3</v>
      </c>
    </row>
    <row r="403" spans="2:8" x14ac:dyDescent="0.35">
      <c r="B403" s="6">
        <v>45510</v>
      </c>
      <c r="C403" s="7" t="s">
        <v>11</v>
      </c>
      <c r="D403" s="9">
        <v>-1.23810176263192E-3</v>
      </c>
      <c r="E403" s="9">
        <v>-1.23810176263192E-3</v>
      </c>
      <c r="F403" s="9">
        <v>8.7127236586193701E-2</v>
      </c>
      <c r="G403" s="9">
        <v>8.7127236586193701E-2</v>
      </c>
      <c r="H403" s="35">
        <v>-1.2388688438343595E-3</v>
      </c>
    </row>
    <row r="404" spans="2:8" x14ac:dyDescent="0.35">
      <c r="B404" s="6">
        <v>45511</v>
      </c>
      <c r="C404" s="7" t="s">
        <v>11</v>
      </c>
      <c r="D404" s="9">
        <v>4.6652881881623001E-3</v>
      </c>
      <c r="E404" s="9">
        <v>4.6652881881623001E-3</v>
      </c>
      <c r="F404" s="9">
        <v>9.2198998442068802E-2</v>
      </c>
      <c r="G404" s="9">
        <v>9.2198998442068802E-2</v>
      </c>
      <c r="H404" s="35">
        <v>4.6544394597673585E-3</v>
      </c>
    </row>
    <row r="405" spans="2:8" x14ac:dyDescent="0.35">
      <c r="B405" s="6">
        <v>45512</v>
      </c>
      <c r="C405" s="7" t="s">
        <v>11</v>
      </c>
      <c r="D405" s="9">
        <v>1.64748232048623E-3</v>
      </c>
      <c r="E405" s="9">
        <v>1.64748232048623E-3</v>
      </c>
      <c r="F405" s="9">
        <v>9.3998376982454834E-2</v>
      </c>
      <c r="G405" s="9">
        <v>9.3998376982454834E-2</v>
      </c>
      <c r="H405" s="35">
        <v>1.6461267101797912E-3</v>
      </c>
    </row>
    <row r="406" spans="2:8" x14ac:dyDescent="0.35">
      <c r="B406" s="6">
        <v>45513</v>
      </c>
      <c r="C406" s="7" t="s">
        <v>11</v>
      </c>
      <c r="D406" s="9">
        <v>1.24864417394879E-3</v>
      </c>
      <c r="E406" s="9">
        <v>1.24864417394879E-3</v>
      </c>
      <c r="F406" s="9">
        <v>9.5364391682183358E-2</v>
      </c>
      <c r="G406" s="9">
        <v>9.5364391682183358E-2</v>
      </c>
      <c r="H406" s="35">
        <v>1.2478652661305812E-3</v>
      </c>
    </row>
    <row r="407" spans="2:8" x14ac:dyDescent="0.35">
      <c r="B407" s="6">
        <v>45516</v>
      </c>
      <c r="C407" s="7" t="s">
        <v>11</v>
      </c>
      <c r="D407" s="9">
        <v>4.0944707871838501E-4</v>
      </c>
      <c r="E407" s="9">
        <v>4.0944707871838501E-4</v>
      </c>
      <c r="F407" s="9">
        <v>9.5812885432489781E-2</v>
      </c>
      <c r="G407" s="9">
        <v>9.5812885432489781E-2</v>
      </c>
      <c r="H407" s="35">
        <v>4.0936327813705868E-4</v>
      </c>
    </row>
    <row r="408" spans="2:8" x14ac:dyDescent="0.35">
      <c r="B408" s="6">
        <v>45517</v>
      </c>
      <c r="C408" s="7" t="s">
        <v>11</v>
      </c>
      <c r="D408" s="9">
        <v>1.2238936386130899E-3</v>
      </c>
      <c r="E408" s="9">
        <v>1.2238936386130899E-3</v>
      </c>
      <c r="F408" s="9">
        <v>9.7154043852080818E-2</v>
      </c>
      <c r="G408" s="9">
        <v>9.7154043852080818E-2</v>
      </c>
      <c r="H408" s="35">
        <v>1.2231452913298486E-3</v>
      </c>
    </row>
    <row r="409" spans="2:8" x14ac:dyDescent="0.35">
      <c r="B409" s="6">
        <v>45518</v>
      </c>
      <c r="C409" s="7" t="s">
        <v>11</v>
      </c>
      <c r="D409" s="9">
        <v>3.90064005957412E-4</v>
      </c>
      <c r="E409" s="9">
        <v>3.90064005957412E-4</v>
      </c>
      <c r="F409" s="9">
        <v>9.7582004153577984E-2</v>
      </c>
      <c r="G409" s="9">
        <v>9.7582004153577984E-2</v>
      </c>
      <c r="H409" s="35">
        <v>3.8998795076989305E-4</v>
      </c>
    </row>
    <row r="410" spans="2:8" x14ac:dyDescent="0.35">
      <c r="B410" s="6">
        <v>45519</v>
      </c>
      <c r="C410" s="7" t="s">
        <v>11</v>
      </c>
      <c r="D410" s="9">
        <v>2.5078425464791902E-3</v>
      </c>
      <c r="E410" s="9">
        <v>2.5078425464791902E-3</v>
      </c>
      <c r="F410" s="9">
        <v>0.10033456700184429</v>
      </c>
      <c r="G410" s="9">
        <v>0.10033456700184429</v>
      </c>
      <c r="H410" s="35">
        <v>2.504703156994552E-3</v>
      </c>
    </row>
    <row r="411" spans="2:8" x14ac:dyDescent="0.35">
      <c r="B411" s="6">
        <v>45520</v>
      </c>
      <c r="C411" s="7" t="s">
        <v>11</v>
      </c>
      <c r="D411" s="9">
        <v>1.61074721974236E-3</v>
      </c>
      <c r="E411" s="9">
        <v>1.61074721974236E-3</v>
      </c>
      <c r="F411" s="9">
        <v>0.10210692784642905</v>
      </c>
      <c r="G411" s="9">
        <v>0.10210692784642905</v>
      </c>
      <c r="H411" s="35">
        <v>1.609451357790194E-3</v>
      </c>
    </row>
    <row r="412" spans="2:8" x14ac:dyDescent="0.35">
      <c r="B412" s="6">
        <v>45523</v>
      </c>
      <c r="C412" s="7" t="s">
        <v>11</v>
      </c>
      <c r="D412" s="9">
        <v>-7.53088102482768E-4</v>
      </c>
      <c r="E412" s="9">
        <v>-7.53088102482768E-4</v>
      </c>
      <c r="F412" s="9">
        <v>0.1012769442314041</v>
      </c>
      <c r="G412" s="9">
        <v>0.1012769442314041</v>
      </c>
      <c r="H412" s="35">
        <v>-7.533718157774886E-4</v>
      </c>
    </row>
    <row r="413" spans="2:8" x14ac:dyDescent="0.35">
      <c r="B413" s="6">
        <v>45524</v>
      </c>
      <c r="C413" s="7" t="s">
        <v>11</v>
      </c>
      <c r="D413" s="9">
        <v>-3.1304187401189201E-4</v>
      </c>
      <c r="E413" s="9">
        <v>-3.1304187401189201E-4</v>
      </c>
      <c r="F413" s="9">
        <v>0.10093219843297585</v>
      </c>
      <c r="G413" s="9">
        <v>0.10093219843297585</v>
      </c>
      <c r="H413" s="35">
        <v>-3.1309088184731135E-4</v>
      </c>
    </row>
    <row r="414" spans="2:8" x14ac:dyDescent="0.35">
      <c r="B414" s="6">
        <v>45525</v>
      </c>
      <c r="C414" s="7" t="s">
        <v>11</v>
      </c>
      <c r="D414" s="9">
        <v>1.13869054513825E-3</v>
      </c>
      <c r="E414" s="9">
        <v>1.13869054513825E-3</v>
      </c>
      <c r="F414" s="9">
        <v>0.10218581951816974</v>
      </c>
      <c r="G414" s="9">
        <v>0.10218581951816974</v>
      </c>
      <c r="H414" s="35">
        <v>1.1380427287877375E-3</v>
      </c>
    </row>
    <row r="415" spans="2:8" x14ac:dyDescent="0.35">
      <c r="B415" s="6">
        <v>45526</v>
      </c>
      <c r="C415" s="7" t="s">
        <v>11</v>
      </c>
      <c r="D415" s="9">
        <v>2.4905037288921902E-4</v>
      </c>
      <c r="E415" s="9">
        <v>2.4905037288921902E-4</v>
      </c>
      <c r="F415" s="9">
        <v>0.10246031930751376</v>
      </c>
      <c r="G415" s="9">
        <v>0.10246031930751376</v>
      </c>
      <c r="H415" s="35">
        <v>2.4901936499326397E-4</v>
      </c>
    </row>
    <row r="416" spans="2:8" x14ac:dyDescent="0.35">
      <c r="B416" s="6">
        <v>45527</v>
      </c>
      <c r="C416" s="7" t="s">
        <v>11</v>
      </c>
      <c r="D416" s="9">
        <v>9.0576868785091505E-4</v>
      </c>
      <c r="E416" s="9">
        <v>9.0576868785091505E-4</v>
      </c>
      <c r="F416" s="9">
        <v>0.10345889334434055</v>
      </c>
      <c r="G416" s="9">
        <v>0.10345889334434055</v>
      </c>
      <c r="H416" s="35">
        <v>9.0535872692741734E-4</v>
      </c>
    </row>
    <row r="417" spans="2:8" x14ac:dyDescent="0.35">
      <c r="B417" s="6">
        <v>45530</v>
      </c>
      <c r="C417" s="7" t="s">
        <v>11</v>
      </c>
      <c r="D417" s="9">
        <v>1.6238154374116299E-3</v>
      </c>
      <c r="E417" s="9">
        <v>1.6238154374116299E-3</v>
      </c>
      <c r="F417" s="9">
        <v>0.10525070692990224</v>
      </c>
      <c r="G417" s="9">
        <v>0.10525070692990224</v>
      </c>
      <c r="H417" s="35">
        <v>1.6224984746010794E-3</v>
      </c>
    </row>
    <row r="418" spans="2:8" x14ac:dyDescent="0.35">
      <c r="B418" s="6">
        <v>45531</v>
      </c>
      <c r="C418" s="7" t="s">
        <v>11</v>
      </c>
      <c r="D418" s="9">
        <v>-1.67985059303231E-3</v>
      </c>
      <c r="E418" s="9">
        <v>-1.67985059303231E-3</v>
      </c>
      <c r="F418" s="9">
        <v>0.10339405087441667</v>
      </c>
      <c r="G418" s="9">
        <v>0.10339405087441667</v>
      </c>
      <c r="H418" s="35">
        <v>-1.6812631241555913E-3</v>
      </c>
    </row>
    <row r="419" spans="2:8" x14ac:dyDescent="0.35">
      <c r="B419" s="6">
        <v>45532</v>
      </c>
      <c r="C419" s="7" t="s">
        <v>11</v>
      </c>
      <c r="D419" s="9">
        <v>2.8560458847866101E-3</v>
      </c>
      <c r="E419" s="9">
        <v>2.8560458847866101E-3</v>
      </c>
      <c r="F419" s="9">
        <v>0.10654539491271464</v>
      </c>
      <c r="G419" s="9">
        <v>0.10654539491271464</v>
      </c>
      <c r="H419" s="35">
        <v>2.8519751347293129E-3</v>
      </c>
    </row>
    <row r="420" spans="2:8" x14ac:dyDescent="0.35">
      <c r="B420" s="6">
        <v>45533</v>
      </c>
      <c r="C420" s="7" t="s">
        <v>11</v>
      </c>
      <c r="D420" s="9">
        <v>7.0123487657090399E-4</v>
      </c>
      <c r="E420" s="9">
        <v>7.0123487657090399E-4</v>
      </c>
      <c r="F420" s="9">
        <v>0.10732134313613639</v>
      </c>
      <c r="G420" s="9">
        <v>0.10732134313613639</v>
      </c>
      <c r="H420" s="35">
        <v>7.0098912627393744E-4</v>
      </c>
    </row>
    <row r="421" spans="2:8" x14ac:dyDescent="0.35">
      <c r="B421" s="6">
        <v>45534</v>
      </c>
      <c r="C421" s="7" t="s">
        <v>11</v>
      </c>
      <c r="D421" s="9">
        <v>5.0652628373670501E-4</v>
      </c>
      <c r="E421" s="9">
        <v>5.0652628373670501E-4</v>
      </c>
      <c r="F421" s="9">
        <v>0.10788223050097745</v>
      </c>
      <c r="G421" s="9">
        <v>0.10788223050097745</v>
      </c>
      <c r="H421" s="35">
        <v>5.0639804260182606E-4</v>
      </c>
    </row>
    <row r="422" spans="2:8" x14ac:dyDescent="0.35">
      <c r="B422" s="6">
        <v>45538</v>
      </c>
      <c r="C422" s="7" t="s">
        <v>11</v>
      </c>
      <c r="D422" s="9">
        <v>-9.5888874256822021E-4</v>
      </c>
      <c r="E422" s="9">
        <v>-9.5888874256822021E-4</v>
      </c>
      <c r="F422" s="9">
        <v>0.10681989470205866</v>
      </c>
      <c r="G422" s="9">
        <v>0.10681989470205866</v>
      </c>
      <c r="H422" s="35">
        <v>-9.5934877047909985E-4</v>
      </c>
    </row>
    <row r="423" spans="2:8" x14ac:dyDescent="0.35">
      <c r="B423" s="6">
        <v>45539</v>
      </c>
      <c r="C423" s="7" t="s">
        <v>11</v>
      </c>
      <c r="D423" s="9">
        <v>-1.5427246861349E-4</v>
      </c>
      <c r="E423" s="9">
        <v>-1.5427246861349E-4</v>
      </c>
      <c r="F423" s="9">
        <v>0.10664914286459259</v>
      </c>
      <c r="G423" s="9">
        <v>0.10664914286459259</v>
      </c>
      <c r="H423" s="35">
        <v>-1.5428436983475898E-4</v>
      </c>
    </row>
    <row r="424" spans="2:8" x14ac:dyDescent="0.35">
      <c r="B424" s="6">
        <v>45540</v>
      </c>
      <c r="C424" s="7" t="s">
        <v>11</v>
      </c>
      <c r="D424" s="9">
        <v>-1.3281198120318901E-3</v>
      </c>
      <c r="E424" s="9">
        <v>-1.3281198120318901E-3</v>
      </c>
      <c r="F424" s="9">
        <v>0.10517938021298612</v>
      </c>
      <c r="G424" s="9">
        <v>0.10517938021298612</v>
      </c>
      <c r="H424" s="35">
        <v>-1.3290025448192363E-3</v>
      </c>
    </row>
    <row r="425" spans="2:8" x14ac:dyDescent="0.35">
      <c r="B425" s="6">
        <v>45541</v>
      </c>
      <c r="C425" s="7" t="s">
        <v>11</v>
      </c>
      <c r="D425" s="9">
        <v>-4.41013686092151E-4</v>
      </c>
      <c r="E425" s="9">
        <v>-4.41013686092151E-4</v>
      </c>
      <c r="F425" s="9">
        <v>0.10469198098072541</v>
      </c>
      <c r="G425" s="9">
        <v>0.10469198098072541</v>
      </c>
      <c r="H425" s="35">
        <v>-4.4111096122866246E-4</v>
      </c>
    </row>
    <row r="426" spans="2:8" x14ac:dyDescent="0.35">
      <c r="B426" s="6">
        <v>45544</v>
      </c>
      <c r="C426" s="7" t="s">
        <v>11</v>
      </c>
      <c r="D426" s="9">
        <v>-3.1500900514873701E-4</v>
      </c>
      <c r="E426" s="9">
        <v>-3.1500900514873701E-4</v>
      </c>
      <c r="F426" s="9">
        <v>0.10434399305880082</v>
      </c>
      <c r="G426" s="9">
        <v>0.10434399305880082</v>
      </c>
      <c r="H426" s="35">
        <v>-3.1505863090733528E-4</v>
      </c>
    </row>
    <row r="427" spans="2:8" x14ac:dyDescent="0.35">
      <c r="B427" s="6">
        <v>45545</v>
      </c>
      <c r="C427" s="7" t="s">
        <v>11</v>
      </c>
      <c r="D427" s="9">
        <v>1.3739503322826401E-3</v>
      </c>
      <c r="E427" s="9">
        <v>1.3739503322826401E-3</v>
      </c>
      <c r="F427" s="9">
        <v>0.10586130685501849</v>
      </c>
      <c r="G427" s="9">
        <v>0.10586130685501849</v>
      </c>
      <c r="H427" s="35">
        <v>1.373007326188457E-3</v>
      </c>
    </row>
    <row r="428" spans="2:8" x14ac:dyDescent="0.35">
      <c r="B428" s="6">
        <v>45546</v>
      </c>
      <c r="C428" s="7" t="s">
        <v>11</v>
      </c>
      <c r="D428" s="9">
        <v>-1.75319440033225E-3</v>
      </c>
      <c r="E428" s="9">
        <v>-1.75319440033225E-3</v>
      </c>
      <c r="F428" s="9">
        <v>0.10392251700429611</v>
      </c>
      <c r="G428" s="9">
        <v>0.10392251700429611</v>
      </c>
      <c r="H428" s="35">
        <v>-1.7547330442592227E-3</v>
      </c>
    </row>
    <row r="429" spans="2:8" x14ac:dyDescent="0.35">
      <c r="B429" s="6">
        <v>45547</v>
      </c>
      <c r="C429" s="7" t="s">
        <v>11</v>
      </c>
      <c r="D429" s="9">
        <v>5.5801331595991502E-4</v>
      </c>
      <c r="E429" s="9">
        <v>5.5801331595991502E-4</v>
      </c>
      <c r="F429" s="9">
        <v>0.10453852046857248</v>
      </c>
      <c r="G429" s="9">
        <v>0.10453852046857248</v>
      </c>
      <c r="H429" s="35">
        <v>5.5785768442317626E-4</v>
      </c>
    </row>
    <row r="430" spans="2:8" x14ac:dyDescent="0.35">
      <c r="B430" s="6">
        <v>45548</v>
      </c>
      <c r="C430" s="7" t="s">
        <v>11</v>
      </c>
      <c r="D430" s="9">
        <v>6.2521341889984895E-4</v>
      </c>
      <c r="E430" s="9">
        <v>6.2521341889984895E-4</v>
      </c>
      <c r="F430" s="9">
        <v>0.10522909277326109</v>
      </c>
      <c r="G430" s="9">
        <v>0.10522909277326109</v>
      </c>
      <c r="H430" s="35">
        <v>6.2501805441559895E-4</v>
      </c>
    </row>
    <row r="431" spans="2:8" x14ac:dyDescent="0.35">
      <c r="B431" s="6">
        <v>45551</v>
      </c>
      <c r="C431" s="7" t="s">
        <v>11</v>
      </c>
      <c r="D431" s="9">
        <v>-1.1176407317955901E-3</v>
      </c>
      <c r="E431" s="9">
        <v>-1.1176407317955901E-3</v>
      </c>
      <c r="F431" s="9">
        <v>0.10399384372121223</v>
      </c>
      <c r="G431" s="9">
        <v>0.10399384372121223</v>
      </c>
      <c r="H431" s="35">
        <v>-1.1182657579447499E-3</v>
      </c>
    </row>
    <row r="432" spans="2:8" x14ac:dyDescent="0.35">
      <c r="B432" s="6">
        <v>45552</v>
      </c>
      <c r="C432" s="7" t="s">
        <v>11</v>
      </c>
      <c r="D432" s="9">
        <v>4.1114114181755698E-5</v>
      </c>
      <c r="E432" s="9">
        <v>4.1114114181755698E-5</v>
      </c>
      <c r="F432" s="9">
        <v>0.10403923345015897</v>
      </c>
      <c r="G432" s="9">
        <v>0.10403923345015897</v>
      </c>
      <c r="H432" s="35">
        <v>4.1113269019812243E-5</v>
      </c>
    </row>
    <row r="433" spans="2:8" x14ac:dyDescent="0.35">
      <c r="B433" s="6">
        <v>45553</v>
      </c>
      <c r="C433" s="7" t="s">
        <v>11</v>
      </c>
      <c r="D433" s="9">
        <v>-3.9546236304434601E-4</v>
      </c>
      <c r="E433" s="9">
        <v>-3.9546236304434601E-4</v>
      </c>
      <c r="F433" s="9">
        <v>0.10360262748600513</v>
      </c>
      <c r="G433" s="9">
        <v>0.10360262748600513</v>
      </c>
      <c r="H433" s="35">
        <v>-3.9554057890625496E-4</v>
      </c>
    </row>
    <row r="434" spans="2:8" x14ac:dyDescent="0.35">
      <c r="B434" s="6">
        <v>45554</v>
      </c>
      <c r="C434" s="7" t="s">
        <v>11</v>
      </c>
      <c r="D434" s="9">
        <v>2.9358049716751099E-3</v>
      </c>
      <c r="E434" s="9">
        <v>2.9358049716751099E-3</v>
      </c>
      <c r="F434" s="9">
        <v>0.10684258956653214</v>
      </c>
      <c r="G434" s="9">
        <v>0.10684258956653214</v>
      </c>
      <c r="H434" s="35">
        <v>2.9315039122506494E-3</v>
      </c>
    </row>
    <row r="435" spans="2:8" x14ac:dyDescent="0.35">
      <c r="B435" s="6">
        <v>45555</v>
      </c>
      <c r="C435" s="7" t="s">
        <v>11</v>
      </c>
      <c r="D435" s="9">
        <v>1.0037268730295501E-3</v>
      </c>
      <c r="E435" s="9">
        <v>1.0037268730295501E-3</v>
      </c>
      <c r="F435" s="9">
        <v>0.10795355721789379</v>
      </c>
      <c r="G435" s="9">
        <v>0.10795355721789379</v>
      </c>
      <c r="H435" s="35">
        <v>1.0032234760323792E-3</v>
      </c>
    </row>
    <row r="436" spans="2:8" x14ac:dyDescent="0.35">
      <c r="B436" s="6">
        <v>45558</v>
      </c>
      <c r="C436" s="7" t="s">
        <v>11</v>
      </c>
      <c r="D436" s="9">
        <v>-1.4436052675977001E-4</v>
      </c>
      <c r="E436" s="9">
        <v>-1.4436052675977001E-4</v>
      </c>
      <c r="F436" s="9">
        <v>0.10779361245874841</v>
      </c>
      <c r="G436" s="9">
        <v>0.10779361245874841</v>
      </c>
      <c r="H436" s="35">
        <v>-1.4437094774358687E-4</v>
      </c>
    </row>
    <row r="437" spans="2:8" x14ac:dyDescent="0.35">
      <c r="B437" s="6">
        <v>45559</v>
      </c>
      <c r="C437" s="7" t="s">
        <v>11</v>
      </c>
      <c r="D437" s="9">
        <v>-3.1510258393883402E-4</v>
      </c>
      <c r="E437" s="9">
        <v>-3.1510258393883402E-4</v>
      </c>
      <c r="F437" s="9">
        <v>0.10744454382899171</v>
      </c>
      <c r="G437" s="9">
        <v>0.10744454382899171</v>
      </c>
      <c r="H437" s="35">
        <v>-3.151522391893282E-4</v>
      </c>
    </row>
    <row r="438" spans="2:8" x14ac:dyDescent="0.35">
      <c r="B438" s="6">
        <v>45560</v>
      </c>
      <c r="C438" s="7" t="s">
        <v>11</v>
      </c>
      <c r="D438" s="9">
        <v>4.2937720787717299E-4</v>
      </c>
      <c r="E438" s="9">
        <v>4.2937720787717299E-4</v>
      </c>
      <c r="F438" s="9">
        <v>0.10792005527509985</v>
      </c>
      <c r="G438" s="9">
        <v>0.10792005527509985</v>
      </c>
      <c r="H438" s="35">
        <v>4.2928505186269741E-4</v>
      </c>
    </row>
    <row r="439" spans="2:8" x14ac:dyDescent="0.35">
      <c r="B439" s="6">
        <v>45561</v>
      </c>
      <c r="C439" s="7" t="s">
        <v>11</v>
      </c>
      <c r="D439" s="9">
        <v>2.9068066095710201E-4</v>
      </c>
      <c r="E439" s="9">
        <v>2.9068066095710201E-4</v>
      </c>
      <c r="F439" s="9">
        <v>0.10824210620905483</v>
      </c>
      <c r="G439" s="9">
        <v>0.10824210620905483</v>
      </c>
      <c r="H439" s="35">
        <v>2.9063842151898754E-4</v>
      </c>
    </row>
    <row r="440" spans="2:8" x14ac:dyDescent="0.35">
      <c r="B440" s="6">
        <v>45562</v>
      </c>
      <c r="C440" s="7" t="s">
        <v>11</v>
      </c>
      <c r="D440" s="9">
        <v>-2.2506577420481999E-3</v>
      </c>
      <c r="E440" s="9">
        <v>-2.2506577420481999E-3</v>
      </c>
      <c r="F440" s="9">
        <v>0.10574783253265152</v>
      </c>
      <c r="G440" s="9">
        <v>0.10574783253265152</v>
      </c>
      <c r="H440" s="35">
        <v>-2.2531942788162522E-3</v>
      </c>
    </row>
    <row r="441" spans="2:8" x14ac:dyDescent="0.35">
      <c r="B441" s="6">
        <v>45565</v>
      </c>
      <c r="C441" s="7" t="s">
        <v>11</v>
      </c>
      <c r="D441" s="9">
        <v>-1.58429195539351E-3</v>
      </c>
      <c r="E441" s="9">
        <v>-1.58429195539351E-3</v>
      </c>
      <c r="F441" s="9">
        <v>0.10399600513687624</v>
      </c>
      <c r="G441" s="9">
        <v>0.10399600513687624</v>
      </c>
      <c r="H441" s="35">
        <v>-1.5855482729847552E-3</v>
      </c>
    </row>
    <row r="442" spans="2:8" x14ac:dyDescent="0.35">
      <c r="B442" s="6">
        <v>45566</v>
      </c>
      <c r="C442" s="7" t="s">
        <v>11</v>
      </c>
      <c r="D442" s="9">
        <v>5.49166021404784E-4</v>
      </c>
      <c r="E442" s="9">
        <v>5.49166021404784E-4</v>
      </c>
      <c r="F442" s="9">
        <v>0.10460228223066403</v>
      </c>
      <c r="G442" s="9">
        <v>0.10460228223066403</v>
      </c>
      <c r="H442" s="35">
        <v>5.4901528492893291E-4</v>
      </c>
    </row>
    <row r="443" spans="2:8" x14ac:dyDescent="0.35">
      <c r="B443" s="6">
        <v>45567</v>
      </c>
      <c r="C443" s="7" t="s">
        <v>11</v>
      </c>
      <c r="D443" s="9">
        <v>-4.6276819520410701E-4</v>
      </c>
      <c r="E443" s="9">
        <v>-4.6276819520410701E-4</v>
      </c>
      <c r="F443" s="9">
        <v>0.10409110742609795</v>
      </c>
      <c r="G443" s="9">
        <v>0.10409110742609795</v>
      </c>
      <c r="H443" s="35">
        <v>-4.6287530545140887E-4</v>
      </c>
    </row>
    <row r="444" spans="2:8" x14ac:dyDescent="0.35">
      <c r="B444" s="6">
        <v>45568</v>
      </c>
      <c r="C444" s="7" t="s">
        <v>11</v>
      </c>
      <c r="D444" s="9">
        <v>-5.38351684599814E-5</v>
      </c>
      <c r="E444" s="9">
        <v>-5.38351684599814E-5</v>
      </c>
      <c r="F444" s="9">
        <v>0.10403166849533441</v>
      </c>
      <c r="G444" s="9">
        <v>0.10403166849533441</v>
      </c>
      <c r="H444" s="35">
        <v>-5.3836617624718259E-5</v>
      </c>
    </row>
    <row r="445" spans="2:8" x14ac:dyDescent="0.35">
      <c r="B445" s="6">
        <v>45569</v>
      </c>
      <c r="C445" s="7" t="s">
        <v>11</v>
      </c>
      <c r="D445" s="9">
        <v>-2.8387344334567698E-4</v>
      </c>
      <c r="E445" s="9">
        <v>-2.8387344334567698E-4</v>
      </c>
      <c r="F445" s="9">
        <v>0.10371826322403588</v>
      </c>
      <c r="G445" s="9">
        <v>0.10371826322403588</v>
      </c>
      <c r="H445" s="35">
        <v>-2.8391374303845748E-4</v>
      </c>
    </row>
    <row r="446" spans="2:8" x14ac:dyDescent="0.35">
      <c r="B446" s="6">
        <v>45572</v>
      </c>
      <c r="C446" s="7" t="s">
        <v>11</v>
      </c>
      <c r="D446" s="9">
        <v>-1.46481123909713E-3</v>
      </c>
      <c r="E446" s="9">
        <v>-1.46481123909713E-3</v>
      </c>
      <c r="F446" s="9">
        <v>0.10210152430726849</v>
      </c>
      <c r="G446" s="9">
        <v>0.10210152430726849</v>
      </c>
      <c r="H446" s="35">
        <v>-1.4658851239006986E-3</v>
      </c>
    </row>
    <row r="447" spans="2:8" x14ac:dyDescent="0.35">
      <c r="B447" s="6">
        <v>45573</v>
      </c>
      <c r="C447" s="7" t="s">
        <v>11</v>
      </c>
      <c r="D447" s="9">
        <v>2.4671600986863702E-3</v>
      </c>
      <c r="E447" s="9">
        <v>2.4671600986863702E-3</v>
      </c>
      <c r="F447" s="9">
        <v>0.10482058521274062</v>
      </c>
      <c r="G447" s="9">
        <v>0.10482058521274062</v>
      </c>
      <c r="H447" s="35">
        <v>2.4641216557340431E-3</v>
      </c>
    </row>
    <row r="448" spans="2:8" x14ac:dyDescent="0.35">
      <c r="B448" s="6">
        <v>45574</v>
      </c>
      <c r="C448" s="7" t="s">
        <v>11</v>
      </c>
      <c r="D448" s="9">
        <v>1.79592922708517E-3</v>
      </c>
      <c r="E448" s="9">
        <v>1.79592922708517E-3</v>
      </c>
      <c r="F448" s="9">
        <v>0.10680476479240975</v>
      </c>
      <c r="G448" s="9">
        <v>0.10680476479240975</v>
      </c>
      <c r="H448" s="35">
        <v>1.7943184744344122E-3</v>
      </c>
    </row>
    <row r="449" spans="2:8" x14ac:dyDescent="0.35">
      <c r="B449" s="6">
        <v>45575</v>
      </c>
      <c r="C449" s="7" t="s">
        <v>11</v>
      </c>
      <c r="D449" s="9">
        <v>1.2478665192921499E-3</v>
      </c>
      <c r="E449" s="9">
        <v>1.2478665192921499E-3</v>
      </c>
      <c r="F449" s="9">
        <v>0.10818590940178718</v>
      </c>
      <c r="G449" s="9">
        <v>0.10818590940178718</v>
      </c>
      <c r="H449" s="35">
        <v>1.2470885809753095E-3</v>
      </c>
    </row>
    <row r="450" spans="2:8" x14ac:dyDescent="0.35">
      <c r="B450" s="6">
        <v>45576</v>
      </c>
      <c r="C450" s="7" t="s">
        <v>11</v>
      </c>
      <c r="D450" s="9">
        <v>1.2404600624522501E-3</v>
      </c>
      <c r="E450" s="9">
        <v>1.2404600624522501E-3</v>
      </c>
      <c r="F450" s="9">
        <v>0.10956056976417239</v>
      </c>
      <c r="G450" s="9">
        <v>0.10956056976417239</v>
      </c>
      <c r="H450" s="35">
        <v>1.2396913275266384E-3</v>
      </c>
    </row>
    <row r="451" spans="2:8" x14ac:dyDescent="0.35">
      <c r="B451" s="6">
        <v>45579</v>
      </c>
      <c r="C451" s="7" t="s">
        <v>11</v>
      </c>
      <c r="D451" s="9">
        <v>9.3503639823960805E-4</v>
      </c>
      <c r="E451" s="9">
        <v>9.3503639823960805E-4</v>
      </c>
      <c r="F451" s="9">
        <v>0.11059804928295347</v>
      </c>
      <c r="G451" s="9">
        <v>0.11059804928295347</v>
      </c>
      <c r="H451" s="35">
        <v>9.3459952401430606E-4</v>
      </c>
    </row>
    <row r="452" spans="2:8" x14ac:dyDescent="0.35">
      <c r="B452" s="6">
        <v>45580</v>
      </c>
      <c r="C452" s="7" t="s">
        <v>11</v>
      </c>
      <c r="D452" s="9">
        <v>2.6662566729409502E-4</v>
      </c>
      <c r="E452" s="9">
        <v>2.6662566729409502E-4</v>
      </c>
      <c r="F452" s="9">
        <v>0.11089416322893908</v>
      </c>
      <c r="G452" s="9">
        <v>0.11089416322893908</v>
      </c>
      <c r="H452" s="35">
        <v>2.6659012898765311E-4</v>
      </c>
    </row>
    <row r="453" spans="2:8" x14ac:dyDescent="0.35">
      <c r="B453" s="6">
        <v>45581</v>
      </c>
      <c r="C453" s="7" t="s">
        <v>11</v>
      </c>
      <c r="D453" s="9">
        <v>3.8134818256465702E-4</v>
      </c>
      <c r="E453" s="9">
        <v>3.8134818256465702E-4</v>
      </c>
      <c r="F453" s="9">
        <v>0.11131780069910824</v>
      </c>
      <c r="G453" s="9">
        <v>0.11131780069910824</v>
      </c>
      <c r="H453" s="35">
        <v>3.8127548782732209E-4</v>
      </c>
    </row>
    <row r="454" spans="2:8" x14ac:dyDescent="0.35">
      <c r="B454" s="6">
        <v>45582</v>
      </c>
      <c r="C454" s="7" t="s">
        <v>11</v>
      </c>
      <c r="D454" s="9">
        <v>2.49921231051531E-4</v>
      </c>
      <c r="E454" s="9">
        <v>2.49921231051531E-4</v>
      </c>
      <c r="F454" s="9">
        <v>0.11159554261194859</v>
      </c>
      <c r="G454" s="9">
        <v>0.11159554261194859</v>
      </c>
      <c r="H454" s="35">
        <v>2.4989000594318009E-4</v>
      </c>
    </row>
    <row r="455" spans="2:8" x14ac:dyDescent="0.35">
      <c r="B455" s="6">
        <v>45583</v>
      </c>
      <c r="C455" s="7" t="s">
        <v>11</v>
      </c>
      <c r="D455" s="9">
        <v>-2.21664603954222E-4</v>
      </c>
      <c r="E455" s="9">
        <v>-2.21664603954222E-4</v>
      </c>
      <c r="F455" s="9">
        <v>0.11134914122623818</v>
      </c>
      <c r="G455" s="9">
        <v>0.11134914122623818</v>
      </c>
      <c r="H455" s="35">
        <v>-2.2168917518366834E-4</v>
      </c>
    </row>
    <row r="456" spans="2:8" x14ac:dyDescent="0.35">
      <c r="B456" s="6">
        <v>45586</v>
      </c>
      <c r="C456" s="7" t="s">
        <v>11</v>
      </c>
      <c r="D456" s="9">
        <v>-5.9512638169974697E-4</v>
      </c>
      <c r="E456" s="9">
        <v>-5.9512638169974697E-4</v>
      </c>
      <c r="F456" s="9">
        <v>0.11068774803301507</v>
      </c>
      <c r="G456" s="9">
        <v>0.11068774803301507</v>
      </c>
      <c r="H456" s="35">
        <v>-5.9530353969596689E-4</v>
      </c>
    </row>
    <row r="457" spans="2:8" x14ac:dyDescent="0.35">
      <c r="B457" s="6">
        <v>45587</v>
      </c>
      <c r="C457" s="7" t="s">
        <v>11</v>
      </c>
      <c r="D457" s="9">
        <v>-4.5439463833796501E-4</v>
      </c>
      <c r="E457" s="9">
        <v>-4.5439463833796501E-4</v>
      </c>
      <c r="F457" s="9">
        <v>0.11018305747544122</v>
      </c>
      <c r="G457" s="9">
        <v>0.11018305747544122</v>
      </c>
      <c r="H457" s="35">
        <v>-4.5449790686593298E-4</v>
      </c>
    </row>
    <row r="458" spans="2:8" x14ac:dyDescent="0.35">
      <c r="B458" s="6">
        <v>45588</v>
      </c>
      <c r="C458" s="7" t="s">
        <v>11</v>
      </c>
      <c r="D458" s="9">
        <v>-9.1991036471276099E-4</v>
      </c>
      <c r="E458" s="9">
        <v>-9.1991036471276099E-4</v>
      </c>
      <c r="F458" s="9">
        <v>0.10916178857414116</v>
      </c>
      <c r="G458" s="9">
        <v>0.10916178857414116</v>
      </c>
      <c r="H458" s="35">
        <v>-9.2033374191824826E-4</v>
      </c>
    </row>
    <row r="459" spans="2:8" x14ac:dyDescent="0.35">
      <c r="B459" s="6">
        <v>45589</v>
      </c>
      <c r="C459" s="7" t="s">
        <v>11</v>
      </c>
      <c r="D459" s="9">
        <v>-7.5316979253232702E-4</v>
      </c>
      <c r="E459" s="9">
        <v>-7.5316979253232702E-4</v>
      </c>
      <c r="F459" s="9">
        <v>0.10832640141995586</v>
      </c>
      <c r="G459" s="9">
        <v>0.10832640141995586</v>
      </c>
      <c r="H459" s="35">
        <v>-7.5345356739661305E-4</v>
      </c>
    </row>
    <row r="460" spans="2:8" x14ac:dyDescent="0.35">
      <c r="B460" s="6">
        <v>45590</v>
      </c>
      <c r="C460" s="7" t="s">
        <v>11</v>
      </c>
      <c r="D460" s="9">
        <v>4.80714851261109E-4</v>
      </c>
      <c r="E460" s="9">
        <v>4.80714851261109E-4</v>
      </c>
      <c r="F460" s="9">
        <v>0.10885919038116332</v>
      </c>
      <c r="G460" s="9">
        <v>0.10885919038116332</v>
      </c>
      <c r="H460" s="35">
        <v>4.8059934489260087E-4</v>
      </c>
    </row>
    <row r="461" spans="2:8" x14ac:dyDescent="0.35">
      <c r="B461" s="6">
        <v>45593</v>
      </c>
      <c r="C461" s="7" t="s">
        <v>11</v>
      </c>
      <c r="D461" s="9">
        <v>-2.6704377666162798E-4</v>
      </c>
      <c r="E461" s="9">
        <v>-2.6704377666162798E-4</v>
      </c>
      <c r="F461" s="9">
        <v>0.10856307643517793</v>
      </c>
      <c r="G461" s="9">
        <v>0.10856307643517793</v>
      </c>
      <c r="H461" s="35">
        <v>-2.6707943920008703E-4</v>
      </c>
    </row>
    <row r="462" spans="2:8" x14ac:dyDescent="0.35">
      <c r="B462" s="6">
        <v>45594</v>
      </c>
      <c r="C462" s="7" t="s">
        <v>11</v>
      </c>
      <c r="D462" s="9">
        <v>1.21859082157393E-4</v>
      </c>
      <c r="E462" s="9">
        <v>1.21859082157393E-4</v>
      </c>
      <c r="F462" s="9">
        <v>0.10869816491418605</v>
      </c>
      <c r="G462" s="9">
        <v>0.10869816491418605</v>
      </c>
      <c r="H462" s="35">
        <v>1.2185165794262987E-4</v>
      </c>
    </row>
    <row r="463" spans="2:8" x14ac:dyDescent="0.35">
      <c r="B463" s="6">
        <v>45595</v>
      </c>
      <c r="C463" s="7" t="s">
        <v>11</v>
      </c>
      <c r="D463" s="9">
        <v>-2.3647528998928199E-3</v>
      </c>
      <c r="E463" s="9">
        <v>-2.3647528998928199E-3</v>
      </c>
      <c r="F463" s="9">
        <v>0.10607636771359941</v>
      </c>
      <c r="G463" s="9">
        <v>0.10607636771359941</v>
      </c>
      <c r="H463" s="35">
        <v>-2.367553343807931E-3</v>
      </c>
    </row>
    <row r="464" spans="2:8" x14ac:dyDescent="0.35">
      <c r="B464" s="6">
        <v>45596</v>
      </c>
      <c r="C464" s="7" t="s">
        <v>11</v>
      </c>
      <c r="D464" s="9">
        <v>9.3700475048701397E-4</v>
      </c>
      <c r="E464" s="9">
        <v>9.3700475048701397E-4</v>
      </c>
      <c r="F464" s="9">
        <v>0.1071127665245486</v>
      </c>
      <c r="G464" s="9">
        <v>0.1071127665245486</v>
      </c>
      <c r="H464" s="35">
        <v>9.3656603556645094E-4</v>
      </c>
    </row>
    <row r="465" spans="2:8" x14ac:dyDescent="0.35">
      <c r="B465" s="6">
        <v>45597</v>
      </c>
      <c r="C465" s="7" t="s">
        <v>11</v>
      </c>
      <c r="D465" s="9">
        <v>-1.2104256696143199E-3</v>
      </c>
      <c r="E465" s="9">
        <v>-1.2104256696143199E-3</v>
      </c>
      <c r="F465" s="9">
        <v>0.10577268881278967</v>
      </c>
      <c r="G465" s="9">
        <v>0.10577268881278967</v>
      </c>
      <c r="H465" s="35">
        <v>-1.2111588264460459E-3</v>
      </c>
    </row>
    <row r="466" spans="2:8" x14ac:dyDescent="0.35">
      <c r="B466" s="6">
        <v>45600</v>
      </c>
      <c r="C466" s="7" t="s">
        <v>11</v>
      </c>
      <c r="D466" s="9">
        <v>-1.11220463783473E-3</v>
      </c>
      <c r="E466" s="9">
        <v>-1.11220463783473E-3</v>
      </c>
      <c r="F466" s="9">
        <v>0.10454284329990116</v>
      </c>
      <c r="G466" s="9">
        <v>0.10454284329990116</v>
      </c>
      <c r="H466" s="35">
        <v>-1.1128235963945054E-3</v>
      </c>
    </row>
    <row r="467" spans="2:8" x14ac:dyDescent="0.35">
      <c r="B467" s="6">
        <v>45601</v>
      </c>
      <c r="C467" s="7" t="s">
        <v>11</v>
      </c>
      <c r="D467" s="9">
        <v>7.9252095043814595E-4</v>
      </c>
      <c r="E467" s="9">
        <v>7.9252095043814595E-4</v>
      </c>
      <c r="F467" s="9">
        <v>0.10541821664387285</v>
      </c>
      <c r="G467" s="9">
        <v>0.10541821664387285</v>
      </c>
      <c r="H467" s="35">
        <v>7.9220707153592796E-4</v>
      </c>
    </row>
    <row r="468" spans="2:8" x14ac:dyDescent="0.35">
      <c r="B468" s="6">
        <v>45602</v>
      </c>
      <c r="C468" s="7" t="s">
        <v>11</v>
      </c>
      <c r="D468" s="9">
        <v>4.8589012235241502E-3</v>
      </c>
      <c r="E468" s="9">
        <v>4.8589012235241502E-3</v>
      </c>
      <c r="F468" s="9">
        <v>0.11078933456922946</v>
      </c>
      <c r="G468" s="9">
        <v>0.11078933456922946</v>
      </c>
      <c r="H468" s="35">
        <v>4.8471348619734626E-3</v>
      </c>
    </row>
    <row r="469" spans="2:8" x14ac:dyDescent="0.35">
      <c r="B469" s="6">
        <v>45603</v>
      </c>
      <c r="C469" s="7" t="s">
        <v>11</v>
      </c>
      <c r="D469" s="9">
        <v>3.4538617579671702E-4</v>
      </c>
      <c r="E469" s="9">
        <v>3.4538617579671702E-4</v>
      </c>
      <c r="F469" s="9">
        <v>0.11117298584961199</v>
      </c>
      <c r="G469" s="9">
        <v>0.11117298584961199</v>
      </c>
      <c r="H469" s="35">
        <v>3.4532654372183228E-4</v>
      </c>
    </row>
    <row r="470" spans="2:8" x14ac:dyDescent="0.35">
      <c r="B470" s="6">
        <v>45604</v>
      </c>
      <c r="C470" s="7" t="s">
        <v>11</v>
      </c>
      <c r="D470" s="9">
        <v>1.54543420963046E-3</v>
      </c>
      <c r="E470" s="9">
        <v>1.54543420963046E-3</v>
      </c>
      <c r="F470" s="9">
        <v>0.11289023059476122</v>
      </c>
      <c r="G470" s="9">
        <v>0.11289023059476122</v>
      </c>
      <c r="H470" s="35">
        <v>1.5442412551125552E-3</v>
      </c>
    </row>
    <row r="471" spans="2:8" x14ac:dyDescent="0.35">
      <c r="B471" s="6">
        <v>45607</v>
      </c>
      <c r="C471" s="7" t="s">
        <v>11</v>
      </c>
      <c r="D471" s="9">
        <v>2.2237781116146501E-4</v>
      </c>
      <c r="E471" s="9">
        <v>2.2237781116146501E-4</v>
      </c>
      <c r="F471" s="9">
        <v>0.11313771268830375</v>
      </c>
      <c r="G471" s="9">
        <v>0.11313771268830375</v>
      </c>
      <c r="H471" s="35">
        <v>2.2235308888101965E-4</v>
      </c>
    </row>
    <row r="472" spans="2:8" x14ac:dyDescent="0.35">
      <c r="B472" s="6">
        <v>45608</v>
      </c>
      <c r="C472" s="7" t="s">
        <v>11</v>
      </c>
      <c r="D472" s="9">
        <v>-1.8252285419143399E-3</v>
      </c>
      <c r="E472" s="9">
        <v>-1.8252285419143399E-3</v>
      </c>
      <c r="F472" s="9">
        <v>0.11110598196402388</v>
      </c>
      <c r="G472" s="9">
        <v>0.11110598196402388</v>
      </c>
      <c r="H472" s="35">
        <v>-1.8268963011996721E-3</v>
      </c>
    </row>
    <row r="473" spans="2:8" x14ac:dyDescent="0.35">
      <c r="B473" s="6">
        <v>45609</v>
      </c>
      <c r="C473" s="7" t="s">
        <v>11</v>
      </c>
      <c r="D473" s="9">
        <v>1.6836425036571301E-3</v>
      </c>
      <c r="E473" s="9">
        <v>1.6836425036571301E-3</v>
      </c>
      <c r="F473" s="9">
        <v>0.11297668722132603</v>
      </c>
      <c r="G473" s="9">
        <v>0.11297668722132603</v>
      </c>
      <c r="H473" s="35">
        <v>1.6822267664577826E-3</v>
      </c>
    </row>
    <row r="474" spans="2:8" x14ac:dyDescent="0.35">
      <c r="B474" s="6">
        <v>45610</v>
      </c>
      <c r="C474" s="7" t="s">
        <v>11</v>
      </c>
      <c r="D474" s="9">
        <v>2.7673691252888202E-4</v>
      </c>
      <c r="E474" s="9">
        <v>2.7673691252888202E-4</v>
      </c>
      <c r="F474" s="9">
        <v>0.11328468895346444</v>
      </c>
      <c r="G474" s="9">
        <v>0.11328468895346444</v>
      </c>
      <c r="H474" s="35">
        <v>2.7669862793257407E-4</v>
      </c>
    </row>
    <row r="475" spans="2:8" x14ac:dyDescent="0.35">
      <c r="B475" s="6">
        <v>45611</v>
      </c>
      <c r="C475" s="7" t="s">
        <v>11</v>
      </c>
      <c r="D475" s="9">
        <v>-1.1813882331014899E-3</v>
      </c>
      <c r="E475" s="9">
        <v>-1.1813882331014899E-3</v>
      </c>
      <c r="F475" s="9">
        <v>0.11196946752184278</v>
      </c>
      <c r="G475" s="9">
        <v>0.11196946752184278</v>
      </c>
      <c r="H475" s="35">
        <v>-1.1820866222802232E-3</v>
      </c>
    </row>
    <row r="476" spans="2:8" x14ac:dyDescent="0.35">
      <c r="B476" s="6">
        <v>45614</v>
      </c>
      <c r="C476" s="7" t="s">
        <v>11</v>
      </c>
      <c r="D476" s="9">
        <v>7.9597483592148705E-4</v>
      </c>
      <c r="E476" s="9">
        <v>7.9597483592148705E-4</v>
      </c>
      <c r="F476" s="9">
        <v>0.11285456723630305</v>
      </c>
      <c r="G476" s="9">
        <v>0.11285456723630305</v>
      </c>
      <c r="H476" s="35">
        <v>7.9565821595492092E-4</v>
      </c>
    </row>
    <row r="477" spans="2:8" x14ac:dyDescent="0.35">
      <c r="B477" s="6">
        <v>45615</v>
      </c>
      <c r="C477" s="7" t="s">
        <v>11</v>
      </c>
      <c r="D477" s="9">
        <v>9.6819992502990401E-4</v>
      </c>
      <c r="E477" s="9">
        <v>9.6819992502990401E-4</v>
      </c>
      <c r="F477" s="9">
        <v>0.11393203294487053</v>
      </c>
      <c r="G477" s="9">
        <v>0.11393203294487053</v>
      </c>
      <c r="H477" s="35">
        <v>9.6773152179679945E-4</v>
      </c>
    </row>
    <row r="478" spans="2:8" x14ac:dyDescent="0.35">
      <c r="B478" s="6">
        <v>45616</v>
      </c>
      <c r="C478" s="7" t="s">
        <v>11</v>
      </c>
      <c r="D478" s="9">
        <v>-1.7463130964734801E-4</v>
      </c>
      <c r="E478" s="9">
        <v>-1.7463130964734801E-4</v>
      </c>
      <c r="F478" s="9">
        <v>0.11373750553509931</v>
      </c>
      <c r="G478" s="9">
        <v>0.11373750553509931</v>
      </c>
      <c r="H478" s="35">
        <v>-1.7464655946992203E-4</v>
      </c>
    </row>
    <row r="479" spans="2:8" x14ac:dyDescent="0.35">
      <c r="B479" s="6">
        <v>45617</v>
      </c>
      <c r="C479" s="7" t="s">
        <v>11</v>
      </c>
      <c r="D479" s="9">
        <v>2.81108481480505E-3</v>
      </c>
      <c r="E479" s="9">
        <v>2.81108481480505E-3</v>
      </c>
      <c r="F479" s="9">
        <v>0.11686831612458781</v>
      </c>
      <c r="G479" s="9">
        <v>0.11686831612458781</v>
      </c>
      <c r="H479" s="35">
        <v>2.8071411048936853E-3</v>
      </c>
    </row>
    <row r="480" spans="2:8" x14ac:dyDescent="0.35">
      <c r="B480" s="6">
        <v>45618</v>
      </c>
      <c r="C480" s="7" t="s">
        <v>11</v>
      </c>
      <c r="D480" s="9">
        <v>3.0189847696079003E-4</v>
      </c>
      <c r="E480" s="9">
        <v>3.0189847696079003E-4</v>
      </c>
      <c r="F480" s="9">
        <v>0.11720549696819149</v>
      </c>
      <c r="G480" s="9">
        <v>0.11720549696819149</v>
      </c>
      <c r="H480" s="35">
        <v>3.0185291478539042E-4</v>
      </c>
    </row>
    <row r="481" spans="2:8" x14ac:dyDescent="0.35">
      <c r="B481" s="6">
        <v>45621</v>
      </c>
      <c r="C481" s="7" t="s">
        <v>11</v>
      </c>
      <c r="D481" s="9">
        <v>9.8280858835417891E-4</v>
      </c>
      <c r="E481" s="9">
        <v>9.8280858835417891E-4</v>
      </c>
      <c r="F481" s="9">
        <v>0.11830349612556823</v>
      </c>
      <c r="G481" s="9">
        <v>0.11830349612556823</v>
      </c>
      <c r="H481" s="35">
        <v>9.8232594819612712E-4</v>
      </c>
    </row>
    <row r="482" spans="2:8" x14ac:dyDescent="0.35">
      <c r="B482" s="6">
        <v>45622</v>
      </c>
      <c r="C482" s="7" t="s">
        <v>11</v>
      </c>
      <c r="D482" s="9">
        <v>5.0155200872063202E-4</v>
      </c>
      <c r="E482" s="9">
        <v>5.0155200872063202E-4</v>
      </c>
      <c r="F482" s="9">
        <v>0.11886438349040929</v>
      </c>
      <c r="G482" s="9">
        <v>0.11886438349040929</v>
      </c>
      <c r="H482" s="35">
        <v>5.0142627355193113E-4</v>
      </c>
    </row>
    <row r="483" spans="2:8" x14ac:dyDescent="0.35">
      <c r="B483" s="6">
        <v>45623</v>
      </c>
      <c r="C483" s="7" t="s">
        <v>11</v>
      </c>
      <c r="D483" s="9">
        <v>-1.7907731716293299E-3</v>
      </c>
      <c r="E483" s="9">
        <v>-1.7907731716293299E-3</v>
      </c>
      <c r="F483" s="9">
        <v>0.11686075116976302</v>
      </c>
      <c r="G483" s="9">
        <v>0.11686075116976302</v>
      </c>
      <c r="H483" s="35">
        <v>-1.7923785227382052E-3</v>
      </c>
    </row>
    <row r="484" spans="2:8" x14ac:dyDescent="0.35">
      <c r="B484" s="6">
        <v>45625</v>
      </c>
      <c r="C484" s="7" t="s">
        <v>11</v>
      </c>
      <c r="D484" s="9">
        <v>1.6285210841711084E-3</v>
      </c>
      <c r="E484" s="9">
        <v>1.6285210841711084E-3</v>
      </c>
      <c r="F484" s="9">
        <v>0.1186795824511262</v>
      </c>
      <c r="G484" s="9">
        <v>0.1186795824511262</v>
      </c>
      <c r="H484" s="35">
        <v>1.6271964816107838E-3</v>
      </c>
    </row>
    <row r="485" spans="2:8" x14ac:dyDescent="0.35">
      <c r="B485" s="6">
        <v>45628</v>
      </c>
      <c r="C485" s="7" t="s">
        <v>11</v>
      </c>
      <c r="D485" s="9">
        <v>-9.3417676517855701E-4</v>
      </c>
      <c r="E485" s="9">
        <v>-9.3417676517855701E-4</v>
      </c>
      <c r="F485" s="9">
        <v>0.11763453797752077</v>
      </c>
      <c r="G485" s="9">
        <v>0.11763453797752077</v>
      </c>
      <c r="H485" s="35">
        <v>-9.3461338023116615E-4</v>
      </c>
    </row>
    <row r="486" spans="2:8" x14ac:dyDescent="0.35">
      <c r="B486" s="6">
        <v>45629</v>
      </c>
      <c r="C486" s="7" t="s">
        <v>11</v>
      </c>
      <c r="D486" s="9">
        <v>1.8488274160217599E-3</v>
      </c>
      <c r="E486" s="9">
        <v>1.8488274160217599E-3</v>
      </c>
      <c r="F486" s="9">
        <v>0.11970085135242647</v>
      </c>
      <c r="G486" s="9">
        <v>0.11970085135242647</v>
      </c>
      <c r="H486" s="35">
        <v>1.8471204382290486E-3</v>
      </c>
    </row>
    <row r="487" spans="2:8" x14ac:dyDescent="0.35">
      <c r="B487" s="6">
        <v>45630</v>
      </c>
      <c r="C487" s="7" t="s">
        <v>11</v>
      </c>
      <c r="D487" s="9">
        <v>1.0105387513138699E-3</v>
      </c>
      <c r="E487" s="9">
        <v>1.0105387513138699E-3</v>
      </c>
      <c r="F487" s="9">
        <v>0.12083235245259738</v>
      </c>
      <c r="G487" s="9">
        <v>0.12083235245259738</v>
      </c>
      <c r="H487" s="35">
        <v>1.0100285007530513E-3</v>
      </c>
    </row>
    <row r="488" spans="2:8" x14ac:dyDescent="0.35">
      <c r="B488" s="6">
        <v>45631</v>
      </c>
      <c r="C488" s="7" t="s">
        <v>11</v>
      </c>
      <c r="D488" s="9">
        <v>-4.9367098371651697E-4</v>
      </c>
      <c r="E488" s="9">
        <v>-4.9367098371651697E-4</v>
      </c>
      <c r="F488" s="9">
        <v>0.12027903004258067</v>
      </c>
      <c r="G488" s="9">
        <v>0.12027903004258067</v>
      </c>
      <c r="H488" s="35">
        <v>-4.937928793558471E-4</v>
      </c>
    </row>
    <row r="489" spans="2:8" x14ac:dyDescent="0.35">
      <c r="B489" s="6">
        <v>45632</v>
      </c>
      <c r="C489" s="7" t="s">
        <v>11</v>
      </c>
      <c r="D489" s="9">
        <v>1.0013351134846599E-3</v>
      </c>
      <c r="E489" s="9">
        <v>1.0013351134846599E-3</v>
      </c>
      <c r="F489" s="9">
        <v>0.121400804772263</v>
      </c>
      <c r="G489" s="9">
        <v>0.121400804772263</v>
      </c>
      <c r="H489" s="35">
        <v>1.000834111899114E-3</v>
      </c>
    </row>
    <row r="490" spans="2:8" x14ac:dyDescent="0.35">
      <c r="B490" s="6">
        <v>45635</v>
      </c>
      <c r="C490" s="7" t="s">
        <v>11</v>
      </c>
      <c r="D490" s="9">
        <v>-5.30041805843409E-5</v>
      </c>
      <c r="E490" s="9">
        <v>-5.30041805843409E-5</v>
      </c>
      <c r="F490" s="9">
        <v>0.12134136584149946</v>
      </c>
      <c r="G490" s="9">
        <v>0.12134136584149946</v>
      </c>
      <c r="H490" s="35">
        <v>-5.3005585355511991E-5</v>
      </c>
    </row>
    <row r="491" spans="2:8" x14ac:dyDescent="0.35">
      <c r="B491" s="6">
        <v>45636</v>
      </c>
      <c r="C491" s="7" t="s">
        <v>11</v>
      </c>
      <c r="D491" s="9">
        <v>1.35216013122605E-3</v>
      </c>
      <c r="E491" s="9">
        <v>1.35216013122605E-3</v>
      </c>
      <c r="F491" s="9">
        <v>0.12285759892988501</v>
      </c>
      <c r="G491" s="9">
        <v>0.12285759892988501</v>
      </c>
      <c r="H491" s="35">
        <v>1.3512467859491787E-3</v>
      </c>
    </row>
    <row r="492" spans="2:8" x14ac:dyDescent="0.35">
      <c r="B492" s="6">
        <v>45637</v>
      </c>
      <c r="C492" s="7" t="s">
        <v>11</v>
      </c>
      <c r="D492" s="9">
        <v>2.0298324738548599E-3</v>
      </c>
      <c r="E492" s="9">
        <v>2.0298324738548599E-3</v>
      </c>
      <c r="F492" s="9">
        <v>0.12513681174770763</v>
      </c>
      <c r="G492" s="9">
        <v>0.12513681174770763</v>
      </c>
      <c r="H492" s="35">
        <v>2.0277751474670324E-3</v>
      </c>
    </row>
    <row r="493" spans="2:8" x14ac:dyDescent="0.35">
      <c r="B493" s="6">
        <v>45638</v>
      </c>
      <c r="C493" s="7" t="s">
        <v>11</v>
      </c>
      <c r="D493" s="9">
        <v>-1.94791909796364E-3</v>
      </c>
      <c r="E493" s="9">
        <v>-1.94791909796364E-3</v>
      </c>
      <c r="F493" s="9">
        <v>0.12294513626428238</v>
      </c>
      <c r="G493" s="9">
        <v>0.12294513626428238</v>
      </c>
      <c r="H493" s="35">
        <v>-1.9498187596955388E-3</v>
      </c>
    </row>
    <row r="494" spans="2:8" x14ac:dyDescent="0.35">
      <c r="B494" s="6">
        <v>45639</v>
      </c>
      <c r="C494" s="7" t="s">
        <v>11</v>
      </c>
      <c r="D494" s="9">
        <v>-1.5090228595790599E-3</v>
      </c>
      <c r="E494" s="9">
        <v>-1.5090228595790599E-3</v>
      </c>
      <c r="F494" s="9">
        <v>0.12125058638360642</v>
      </c>
      <c r="G494" s="9">
        <v>0.12125058638360642</v>
      </c>
      <c r="H494" s="35">
        <v>-1.5101625812961842E-3</v>
      </c>
    </row>
    <row r="495" spans="2:8" x14ac:dyDescent="0.35">
      <c r="B495" s="6">
        <v>45642</v>
      </c>
      <c r="C495" s="7" t="s">
        <v>11</v>
      </c>
      <c r="D495" s="9">
        <v>1.2655238719439001E-3</v>
      </c>
      <c r="E495" s="9">
        <v>1.2655238719439001E-3</v>
      </c>
      <c r="F495" s="9">
        <v>0.12266955576710603</v>
      </c>
      <c r="G495" s="9">
        <v>0.12266955576710603</v>
      </c>
      <c r="H495" s="35">
        <v>1.264723771568276E-3</v>
      </c>
    </row>
    <row r="496" spans="2:8" x14ac:dyDescent="0.35">
      <c r="B496" s="6">
        <v>45643</v>
      </c>
      <c r="C496" s="7" t="s">
        <v>11</v>
      </c>
      <c r="D496" s="9">
        <v>-3.1448902031905699E-3</v>
      </c>
      <c r="E496" s="9">
        <v>-3.1448902031905699E-3</v>
      </c>
      <c r="F496" s="9">
        <v>0.11913888327975375</v>
      </c>
      <c r="G496" s="9">
        <v>0.11913888327975375</v>
      </c>
      <c r="H496" s="35">
        <v>-3.1498457629072023E-3</v>
      </c>
    </row>
    <row r="497" spans="2:8" x14ac:dyDescent="0.35">
      <c r="B497" s="6">
        <v>45644</v>
      </c>
      <c r="C497" s="7" t="s">
        <v>11</v>
      </c>
      <c r="D497" s="9">
        <v>-8.6619716269725701E-4</v>
      </c>
      <c r="E497" s="9">
        <v>-8.6619716269725701E-4</v>
      </c>
      <c r="F497" s="9">
        <v>0.11816948835439267</v>
      </c>
      <c r="G497" s="9">
        <v>0.11816948835439267</v>
      </c>
      <c r="H497" s="35">
        <v>-8.6657252823556425E-4</v>
      </c>
    </row>
    <row r="498" spans="2:8" x14ac:dyDescent="0.35">
      <c r="B498" s="6">
        <v>45645</v>
      </c>
      <c r="C498" s="7" t="s">
        <v>11</v>
      </c>
      <c r="D498" s="9">
        <v>1.9716545661195399E-4</v>
      </c>
      <c r="E498" s="9">
        <v>1.9716545661195399E-4</v>
      </c>
      <c r="F498" s="9">
        <v>0.11838995275213371</v>
      </c>
      <c r="G498" s="9">
        <v>0.11838995275213371</v>
      </c>
      <c r="H498" s="35">
        <v>1.9714602205783563E-4</v>
      </c>
    </row>
    <row r="499" spans="2:8" x14ac:dyDescent="0.35">
      <c r="B499" s="6">
        <v>45646</v>
      </c>
      <c r="C499" s="7" t="s">
        <v>11</v>
      </c>
      <c r="D499" s="9">
        <v>3.5560090755552002E-4</v>
      </c>
      <c r="E499" s="9">
        <v>3.5560090755552002E-4</v>
      </c>
      <c r="F499" s="9">
        <v>0.11878765323433349</v>
      </c>
      <c r="G499" s="9">
        <v>0.11878765323433349</v>
      </c>
      <c r="H499" s="35">
        <v>3.5553769653769011E-4</v>
      </c>
    </row>
    <row r="500" spans="2:8" x14ac:dyDescent="0.35">
      <c r="B500" s="6">
        <v>45649</v>
      </c>
      <c r="C500" s="7" t="s">
        <v>11</v>
      </c>
      <c r="D500" s="9">
        <v>5.1196055778583098E-4</v>
      </c>
      <c r="E500" s="9">
        <v>5.1196055778583098E-4</v>
      </c>
      <c r="F500" s="9">
        <v>0.11936042838532734</v>
      </c>
      <c r="G500" s="9">
        <v>0.11936042838532734</v>
      </c>
      <c r="H500" s="35">
        <v>5.1182955069127871E-4</v>
      </c>
    </row>
    <row r="501" spans="2:8" x14ac:dyDescent="0.35">
      <c r="B501" s="6">
        <v>45650</v>
      </c>
      <c r="C501" s="7" t="s">
        <v>11</v>
      </c>
      <c r="D501" s="9">
        <v>-2.8674430324998601E-4</v>
      </c>
      <c r="E501" s="9">
        <v>-2.8674430324998601E-4</v>
      </c>
      <c r="F501" s="9">
        <v>0.11903945815920447</v>
      </c>
      <c r="G501" s="9">
        <v>0.11903945815920447</v>
      </c>
      <c r="H501" s="35">
        <v>-2.8678542225826922E-4</v>
      </c>
    </row>
    <row r="502" spans="2:8" x14ac:dyDescent="0.35">
      <c r="B502" s="6">
        <v>45652</v>
      </c>
      <c r="C502" s="7" t="s">
        <v>11</v>
      </c>
      <c r="D502" s="9"/>
      <c r="E502" s="9"/>
      <c r="F502" s="9"/>
      <c r="G502" s="9"/>
      <c r="H502" s="35"/>
    </row>
    <row r="503" spans="2:8" x14ac:dyDescent="0.35">
      <c r="B503" s="6">
        <v>45653</v>
      </c>
      <c r="C503" s="7" t="s">
        <v>11</v>
      </c>
      <c r="D503" s="9">
        <v>-2.77169089562348E-4</v>
      </c>
      <c r="E503" s="9">
        <v>-2.77169089562348E-4</v>
      </c>
      <c r="F503" s="9">
        <v>0.11872929501140206</v>
      </c>
      <c r="G503" s="9">
        <v>0.11872929501140206</v>
      </c>
      <c r="H503" s="35">
        <v>-2.7720750801353002E-4</v>
      </c>
    </row>
    <row r="504" spans="2:8" x14ac:dyDescent="0.35">
      <c r="B504" s="6">
        <v>45656</v>
      </c>
      <c r="C504" s="7" t="s">
        <v>11</v>
      </c>
      <c r="D504" s="9">
        <v>-1.73882467044504E-4</v>
      </c>
      <c r="E504" s="9">
        <v>-1.73882467044504E-4</v>
      </c>
      <c r="F504" s="9">
        <v>0.1185347676016304</v>
      </c>
      <c r="G504" s="9">
        <v>0.1185347676016304</v>
      </c>
      <c r="H504" s="35">
        <v>-1.7389758635338154E-4</v>
      </c>
    </row>
    <row r="505" spans="2:8" x14ac:dyDescent="0.35">
      <c r="B505" s="6">
        <v>45657</v>
      </c>
      <c r="C505" s="7" t="s">
        <v>11</v>
      </c>
      <c r="D505" s="9">
        <v>-1.2850216714560799E-4</v>
      </c>
      <c r="E505" s="9">
        <v>-1.2850216714560799E-4</v>
      </c>
      <c r="F505" s="9">
        <v>0.11839103345996582</v>
      </c>
      <c r="G505" s="9">
        <v>0.11839103345996582</v>
      </c>
      <c r="H505" s="35">
        <v>-1.2851042425652022E-4</v>
      </c>
    </row>
    <row r="506" spans="2:8" x14ac:dyDescent="0.35">
      <c r="B506" s="6"/>
      <c r="C506" s="7"/>
      <c r="D506" s="9"/>
      <c r="E506" s="9"/>
      <c r="F506" s="9"/>
      <c r="G506" s="9"/>
      <c r="H506" s="35"/>
    </row>
    <row r="507" spans="2:8" x14ac:dyDescent="0.35">
      <c r="B507" s="6"/>
      <c r="C507" s="7"/>
      <c r="D507" s="9"/>
      <c r="E507" s="9"/>
      <c r="F507" s="9"/>
      <c r="G507" s="9"/>
      <c r="H507" s="35"/>
    </row>
    <row r="508" spans="2:8" x14ac:dyDescent="0.35">
      <c r="B508" s="6"/>
      <c r="C508" s="7"/>
      <c r="D508" s="9"/>
      <c r="E508" s="9"/>
      <c r="F508" s="9"/>
      <c r="G508" s="9"/>
      <c r="H508" s="35"/>
    </row>
    <row r="509" spans="2:8" x14ac:dyDescent="0.35">
      <c r="B509" s="6"/>
      <c r="C509" s="7"/>
      <c r="D509" s="9"/>
      <c r="E509" s="9"/>
      <c r="F509" s="9"/>
      <c r="G509" s="9"/>
      <c r="H509" s="35"/>
    </row>
    <row r="510" spans="2:8" x14ac:dyDescent="0.35">
      <c r="B510" s="6"/>
      <c r="C510" s="7"/>
      <c r="D510" s="9"/>
      <c r="E510" s="9"/>
      <c r="F510" s="9"/>
      <c r="G510" s="9"/>
      <c r="H510" s="35"/>
    </row>
    <row r="511" spans="2:8" x14ac:dyDescent="0.35">
      <c r="B511" s="6"/>
      <c r="C511" s="7"/>
      <c r="D511" s="9"/>
      <c r="E511" s="9"/>
      <c r="F511" s="9"/>
      <c r="G511" s="9"/>
      <c r="H511" s="35"/>
    </row>
    <row r="512" spans="2:8" x14ac:dyDescent="0.35">
      <c r="B512" s="6"/>
      <c r="C512" s="7"/>
      <c r="D512" s="9"/>
      <c r="E512" s="9"/>
      <c r="F512" s="9"/>
      <c r="G512" s="9"/>
      <c r="H512" s="35"/>
    </row>
    <row r="513" spans="2:8" x14ac:dyDescent="0.35">
      <c r="B513" s="6"/>
      <c r="C513" s="7"/>
      <c r="D513" s="9"/>
      <c r="E513" s="9"/>
      <c r="F513" s="9"/>
      <c r="G513" s="9"/>
      <c r="H513" s="35"/>
    </row>
    <row r="514" spans="2:8" x14ac:dyDescent="0.35">
      <c r="B514" s="6"/>
      <c r="C514" s="7"/>
      <c r="D514" s="9"/>
      <c r="E514" s="9"/>
      <c r="F514" s="9"/>
      <c r="G514" s="9"/>
      <c r="H514" s="35"/>
    </row>
    <row r="515" spans="2:8" x14ac:dyDescent="0.35">
      <c r="B515" s="6"/>
      <c r="C515" s="7"/>
      <c r="D515" s="9"/>
      <c r="E515" s="9"/>
      <c r="F515" s="9"/>
      <c r="G515" s="9"/>
      <c r="H515" s="35"/>
    </row>
    <row r="516" spans="2:8" x14ac:dyDescent="0.35">
      <c r="B516" s="6"/>
      <c r="C516" s="7"/>
      <c r="D516" s="9"/>
      <c r="E516" s="9"/>
      <c r="F516" s="9"/>
      <c r="G516" s="9"/>
      <c r="H516" s="35"/>
    </row>
    <row r="517" spans="2:8" x14ac:dyDescent="0.35">
      <c r="B517" s="6"/>
      <c r="C517" s="7"/>
      <c r="D517" s="9"/>
      <c r="E517" s="9"/>
      <c r="F517" s="9"/>
      <c r="G517" s="9"/>
      <c r="H517" s="35"/>
    </row>
    <row r="518" spans="2:8" x14ac:dyDescent="0.35">
      <c r="B518" s="6"/>
      <c r="C518" s="7"/>
      <c r="D518" s="9"/>
      <c r="E518" s="9"/>
      <c r="F518" s="9"/>
      <c r="G518" s="9"/>
      <c r="H518" s="35"/>
    </row>
    <row r="519" spans="2:8" x14ac:dyDescent="0.35">
      <c r="B519" s="6"/>
      <c r="C519" s="7"/>
      <c r="D519" s="9"/>
      <c r="E519" s="9"/>
      <c r="F519" s="9"/>
      <c r="G519" s="9"/>
      <c r="H519" s="35"/>
    </row>
    <row r="520" spans="2:8" x14ac:dyDescent="0.35">
      <c r="B520" s="6"/>
      <c r="C520" s="7"/>
      <c r="D520" s="9"/>
      <c r="E520" s="9"/>
      <c r="F520" s="9"/>
      <c r="G520" s="9"/>
      <c r="H520" s="35"/>
    </row>
    <row r="521" spans="2:8" x14ac:dyDescent="0.35">
      <c r="B521" s="6"/>
      <c r="C521" s="7"/>
      <c r="D521" s="9"/>
      <c r="E521" s="9"/>
      <c r="F521" s="9"/>
      <c r="G521" s="9"/>
      <c r="H521" s="35"/>
    </row>
    <row r="522" spans="2:8" x14ac:dyDescent="0.35">
      <c r="B522" s="6"/>
      <c r="C522" s="7"/>
      <c r="D522" s="9"/>
      <c r="E522" s="9"/>
      <c r="F522" s="9"/>
      <c r="G522" s="9"/>
      <c r="H522" s="35"/>
    </row>
    <row r="523" spans="2:8" x14ac:dyDescent="0.35">
      <c r="B523" s="6"/>
      <c r="C523" s="7"/>
      <c r="D523" s="9"/>
      <c r="E523" s="9"/>
      <c r="F523" s="9"/>
      <c r="G523" s="9"/>
      <c r="H523" s="35"/>
    </row>
    <row r="524" spans="2:8" x14ac:dyDescent="0.35">
      <c r="B524" s="6"/>
      <c r="C524" s="7"/>
      <c r="D524" s="9"/>
      <c r="E524" s="9"/>
      <c r="F524" s="9"/>
      <c r="G524" s="9"/>
      <c r="H524" s="35"/>
    </row>
    <row r="525" spans="2:8" x14ac:dyDescent="0.35">
      <c r="B525" s="6"/>
      <c r="C525" s="7"/>
      <c r="D525" s="9"/>
      <c r="E525" s="9"/>
      <c r="F525" s="9"/>
      <c r="G525" s="9"/>
      <c r="H525" s="35"/>
    </row>
    <row r="526" spans="2:8" x14ac:dyDescent="0.35">
      <c r="B526" s="6"/>
      <c r="C526" s="7"/>
      <c r="D526" s="9"/>
      <c r="E526" s="9"/>
      <c r="F526" s="9"/>
      <c r="G526" s="9"/>
      <c r="H526" s="35"/>
    </row>
    <row r="527" spans="2:8" x14ac:dyDescent="0.35">
      <c r="B527" s="6"/>
      <c r="C527" s="7"/>
      <c r="D527" s="9"/>
      <c r="E527" s="9"/>
      <c r="F527" s="9"/>
      <c r="G527" s="9"/>
      <c r="H527" s="35"/>
    </row>
    <row r="528" spans="2:8" x14ac:dyDescent="0.35">
      <c r="B528" s="6"/>
      <c r="C528" s="7"/>
      <c r="D528" s="9"/>
      <c r="E528" s="9"/>
      <c r="F528" s="9"/>
      <c r="G528" s="9"/>
      <c r="H528" s="35"/>
    </row>
    <row r="529" spans="2:8" x14ac:dyDescent="0.35">
      <c r="B529" s="6"/>
      <c r="C529" s="7"/>
      <c r="D529" s="9"/>
      <c r="E529" s="9"/>
      <c r="F529" s="9"/>
      <c r="G529" s="9"/>
      <c r="H529" s="35"/>
    </row>
    <row r="530" spans="2:8" x14ac:dyDescent="0.35">
      <c r="B530" s="6"/>
      <c r="C530" s="7"/>
      <c r="D530" s="9"/>
      <c r="E530" s="9"/>
      <c r="F530" s="9"/>
      <c r="G530" s="9"/>
      <c r="H530" s="35"/>
    </row>
    <row r="531" spans="2:8" x14ac:dyDescent="0.35">
      <c r="B531" s="6"/>
      <c r="C531" s="7"/>
      <c r="D531" s="9"/>
      <c r="E531" s="9"/>
      <c r="F531" s="9"/>
      <c r="G531" s="9"/>
      <c r="H531" s="35"/>
    </row>
    <row r="532" spans="2:8" x14ac:dyDescent="0.35">
      <c r="B532" s="6"/>
      <c r="C532" s="7"/>
      <c r="D532" s="9"/>
      <c r="E532" s="9"/>
      <c r="F532" s="9"/>
      <c r="G532" s="9"/>
      <c r="H532" s="35"/>
    </row>
    <row r="533" spans="2:8" x14ac:dyDescent="0.35">
      <c r="B533" s="6"/>
      <c r="C533" s="7"/>
      <c r="D533" s="9"/>
      <c r="E533" s="9"/>
      <c r="F533" s="9"/>
      <c r="G533" s="9"/>
      <c r="H533" s="35"/>
    </row>
    <row r="534" spans="2:8" x14ac:dyDescent="0.35">
      <c r="B534" s="6"/>
      <c r="C534" s="7"/>
      <c r="D534" s="9"/>
      <c r="E534" s="9"/>
      <c r="F534" s="9"/>
      <c r="G534" s="9"/>
      <c r="H534" s="35"/>
    </row>
    <row r="535" spans="2:8" x14ac:dyDescent="0.35">
      <c r="B535" s="6"/>
      <c r="C535" s="7"/>
      <c r="D535" s="9"/>
      <c r="E535" s="9"/>
      <c r="F535" s="9"/>
      <c r="G535" s="9"/>
      <c r="H535" s="35"/>
    </row>
    <row r="536" spans="2:8" x14ac:dyDescent="0.35">
      <c r="B536" s="6"/>
      <c r="C536" s="7"/>
      <c r="D536" s="9"/>
      <c r="E536" s="9"/>
      <c r="F536" s="9"/>
      <c r="G536" s="9"/>
      <c r="H536" s="35"/>
    </row>
    <row r="537" spans="2:8" x14ac:dyDescent="0.35">
      <c r="B537" s="6"/>
      <c r="C537" s="7"/>
      <c r="D537" s="9"/>
      <c r="E537" s="9"/>
      <c r="F537" s="9"/>
      <c r="G537" s="9"/>
      <c r="H537" s="35"/>
    </row>
    <row r="538" spans="2:8" x14ac:dyDescent="0.35">
      <c r="B538" s="6"/>
      <c r="C538" s="7"/>
      <c r="D538" s="9"/>
      <c r="E538" s="9"/>
      <c r="F538" s="9"/>
      <c r="G538" s="9"/>
      <c r="H538" s="35"/>
    </row>
    <row r="539" spans="2:8" x14ac:dyDescent="0.35">
      <c r="B539" s="6"/>
      <c r="C539" s="7"/>
      <c r="D539" s="9"/>
      <c r="E539" s="9"/>
      <c r="F539" s="9"/>
      <c r="G539" s="9"/>
      <c r="H539" s="35"/>
    </row>
    <row r="540" spans="2:8" x14ac:dyDescent="0.35">
      <c r="B540" s="6"/>
      <c r="C540" s="7"/>
      <c r="D540" s="9"/>
      <c r="E540" s="9"/>
      <c r="F540" s="9"/>
      <c r="G540" s="9"/>
      <c r="H540" s="35"/>
    </row>
    <row r="541" spans="2:8" x14ac:dyDescent="0.35">
      <c r="B541" s="6"/>
      <c r="C541" s="7"/>
      <c r="D541" s="9"/>
      <c r="E541" s="9"/>
      <c r="F541" s="9"/>
      <c r="G541" s="9"/>
      <c r="H541" s="35"/>
    </row>
    <row r="542" spans="2:8" x14ac:dyDescent="0.35">
      <c r="B542" s="6"/>
      <c r="C542" s="7"/>
      <c r="D542" s="9"/>
      <c r="E542" s="9"/>
      <c r="F542" s="9"/>
      <c r="G542" s="9"/>
      <c r="H542" s="35"/>
    </row>
    <row r="543" spans="2:8" x14ac:dyDescent="0.35">
      <c r="B543" s="6"/>
      <c r="C543" s="7"/>
      <c r="D543" s="9"/>
      <c r="E543" s="9"/>
      <c r="F543" s="9"/>
      <c r="G543" s="9"/>
      <c r="H543" s="35"/>
    </row>
    <row r="544" spans="2:8" x14ac:dyDescent="0.35">
      <c r="B544" s="6"/>
      <c r="C544" s="7"/>
      <c r="D544" s="9"/>
      <c r="E544" s="9"/>
      <c r="F544" s="9"/>
      <c r="G544" s="9"/>
      <c r="H544" s="35"/>
    </row>
    <row r="545" spans="2:8" x14ac:dyDescent="0.35">
      <c r="B545" s="6"/>
      <c r="C545" s="7"/>
      <c r="D545" s="9"/>
      <c r="E545" s="9"/>
      <c r="F545" s="9"/>
      <c r="G545" s="9"/>
      <c r="H545" s="35"/>
    </row>
    <row r="546" spans="2:8" x14ac:dyDescent="0.35">
      <c r="B546" s="6"/>
      <c r="C546" s="7"/>
      <c r="D546" s="9"/>
      <c r="E546" s="9"/>
      <c r="F546" s="9"/>
      <c r="G546" s="9"/>
      <c r="H546" s="35"/>
    </row>
    <row r="547" spans="2:8" x14ac:dyDescent="0.35">
      <c r="B547" s="6"/>
      <c r="C547" s="7"/>
      <c r="D547" s="9"/>
      <c r="E547" s="9"/>
      <c r="F547" s="9"/>
      <c r="G547" s="9"/>
      <c r="H547" s="35"/>
    </row>
    <row r="548" spans="2:8" x14ac:dyDescent="0.35">
      <c r="B548" s="6"/>
      <c r="C548" s="7"/>
      <c r="D548" s="9"/>
      <c r="E548" s="9"/>
      <c r="F548" s="9"/>
      <c r="G548" s="9"/>
      <c r="H548" s="35"/>
    </row>
    <row r="549" spans="2:8" x14ac:dyDescent="0.35">
      <c r="B549" s="6"/>
      <c r="C549" s="7"/>
      <c r="D549" s="9"/>
      <c r="E549" s="9"/>
      <c r="F549" s="9"/>
      <c r="G549" s="9"/>
      <c r="H549" s="35"/>
    </row>
    <row r="550" spans="2:8" x14ac:dyDescent="0.35">
      <c r="B550" s="6"/>
      <c r="C550" s="7"/>
      <c r="D550" s="9"/>
      <c r="E550" s="9"/>
      <c r="F550" s="9"/>
      <c r="G550" s="9"/>
      <c r="H550" s="35"/>
    </row>
    <row r="551" spans="2:8" x14ac:dyDescent="0.35">
      <c r="B551" s="6"/>
      <c r="C551" s="7"/>
      <c r="D551" s="9"/>
      <c r="E551" s="9"/>
      <c r="F551" s="9"/>
      <c r="G551" s="9"/>
      <c r="H551" s="35"/>
    </row>
    <row r="552" spans="2:8" x14ac:dyDescent="0.35">
      <c r="B552" s="6"/>
      <c r="C552" s="7"/>
      <c r="D552" s="9"/>
      <c r="E552" s="9"/>
      <c r="F552" s="9"/>
      <c r="G552" s="9"/>
      <c r="H552" s="35"/>
    </row>
    <row r="553" spans="2:8" x14ac:dyDescent="0.35">
      <c r="B553" s="6"/>
      <c r="C553" s="7"/>
      <c r="D553" s="9"/>
      <c r="E553" s="9"/>
      <c r="F553" s="9"/>
      <c r="G553" s="9"/>
      <c r="H553" s="35"/>
    </row>
    <row r="554" spans="2:8" x14ac:dyDescent="0.35">
      <c r="B554" s="6"/>
      <c r="C554" s="7"/>
      <c r="D554" s="9"/>
      <c r="E554" s="9"/>
      <c r="F554" s="9"/>
      <c r="G554" s="9"/>
      <c r="H554" s="35"/>
    </row>
    <row r="555" spans="2:8" x14ac:dyDescent="0.35">
      <c r="B555" s="6"/>
      <c r="C555" s="7"/>
      <c r="D555" s="9"/>
      <c r="E555" s="9"/>
      <c r="F555" s="9"/>
      <c r="G555" s="9"/>
      <c r="H555" s="35"/>
    </row>
    <row r="556" spans="2:8" x14ac:dyDescent="0.35">
      <c r="B556" s="6"/>
      <c r="C556" s="7"/>
      <c r="D556" s="9"/>
      <c r="E556" s="9"/>
      <c r="F556" s="9"/>
      <c r="G556" s="9"/>
      <c r="H556" s="35"/>
    </row>
    <row r="557" spans="2:8" x14ac:dyDescent="0.35">
      <c r="B557" s="6"/>
      <c r="C557" s="7"/>
      <c r="D557" s="9"/>
      <c r="E557" s="9"/>
      <c r="F557" s="9"/>
      <c r="G557" s="9"/>
      <c r="H557" s="35"/>
    </row>
    <row r="558" spans="2:8" x14ac:dyDescent="0.35">
      <c r="B558" s="6"/>
      <c r="C558" s="7"/>
      <c r="D558" s="9"/>
      <c r="E558" s="9"/>
      <c r="F558" s="9"/>
      <c r="G558" s="9"/>
      <c r="H558" s="35"/>
    </row>
    <row r="559" spans="2:8" x14ac:dyDescent="0.35">
      <c r="B559" s="6"/>
      <c r="C559" s="7"/>
      <c r="D559" s="9"/>
      <c r="E559" s="9"/>
      <c r="F559" s="9"/>
      <c r="G559" s="9"/>
      <c r="H559" s="35"/>
    </row>
    <row r="560" spans="2:8" x14ac:dyDescent="0.35">
      <c r="B560" s="6"/>
      <c r="C560" s="7"/>
      <c r="D560" s="9"/>
      <c r="E560" s="9"/>
      <c r="F560" s="9"/>
      <c r="G560" s="9"/>
      <c r="H560" s="35"/>
    </row>
    <row r="561" spans="2:8" x14ac:dyDescent="0.35">
      <c r="B561" s="6"/>
      <c r="C561" s="7"/>
      <c r="D561" s="9"/>
      <c r="E561" s="9"/>
      <c r="F561" s="9"/>
      <c r="G561" s="9"/>
      <c r="H561" s="35"/>
    </row>
    <row r="562" spans="2:8" x14ac:dyDescent="0.35">
      <c r="B562" s="6"/>
      <c r="C562" s="7"/>
      <c r="D562" s="9"/>
      <c r="E562" s="9"/>
      <c r="F562" s="9"/>
      <c r="G562" s="9"/>
      <c r="H562" s="35"/>
    </row>
    <row r="563" spans="2:8" x14ac:dyDescent="0.35">
      <c r="B563" s="6"/>
      <c r="C563" s="7"/>
      <c r="D563" s="9"/>
      <c r="E563" s="9"/>
      <c r="F563" s="9"/>
      <c r="G563" s="9"/>
      <c r="H563" s="35"/>
    </row>
    <row r="564" spans="2:8" x14ac:dyDescent="0.35">
      <c r="B564" s="6"/>
      <c r="C564" s="7"/>
      <c r="D564" s="9"/>
      <c r="E564" s="9"/>
      <c r="F564" s="9"/>
      <c r="G564" s="9"/>
      <c r="H564" s="35"/>
    </row>
    <row r="565" spans="2:8" x14ac:dyDescent="0.35">
      <c r="B565" s="6"/>
      <c r="C565" s="7"/>
      <c r="D565" s="9"/>
      <c r="E565" s="9"/>
      <c r="F565" s="9"/>
      <c r="G565" s="9"/>
      <c r="H565" s="35"/>
    </row>
    <row r="566" spans="2:8" x14ac:dyDescent="0.35">
      <c r="B566" s="6"/>
      <c r="C566" s="7"/>
      <c r="D566" s="9"/>
      <c r="E566" s="9"/>
      <c r="F566" s="9"/>
      <c r="G566" s="9"/>
      <c r="H566" s="35"/>
    </row>
    <row r="567" spans="2:8" x14ac:dyDescent="0.35">
      <c r="B567" s="6"/>
      <c r="C567" s="7"/>
      <c r="D567" s="9"/>
      <c r="E567" s="9"/>
      <c r="F567" s="9"/>
      <c r="G567" s="9"/>
      <c r="H567" s="35"/>
    </row>
    <row r="568" spans="2:8" x14ac:dyDescent="0.35">
      <c r="B568" s="6"/>
      <c r="C568" s="7"/>
      <c r="D568" s="9"/>
      <c r="E568" s="9"/>
      <c r="F568" s="9"/>
      <c r="G568" s="9"/>
      <c r="H568" s="35"/>
    </row>
    <row r="569" spans="2:8" x14ac:dyDescent="0.35">
      <c r="B569" s="6"/>
      <c r="C569" s="7"/>
      <c r="D569" s="9"/>
      <c r="E569" s="9"/>
      <c r="F569" s="9"/>
      <c r="G569" s="9"/>
      <c r="H569" s="35"/>
    </row>
    <row r="570" spans="2:8" x14ac:dyDescent="0.35">
      <c r="B570" s="6"/>
      <c r="C570" s="7"/>
      <c r="D570" s="9"/>
      <c r="E570" s="9"/>
      <c r="F570" s="9"/>
      <c r="G570" s="9"/>
      <c r="H570" s="35"/>
    </row>
    <row r="571" spans="2:8" x14ac:dyDescent="0.35">
      <c r="B571" s="6"/>
      <c r="C571" s="7"/>
      <c r="D571" s="9"/>
      <c r="E571" s="9"/>
      <c r="F571" s="9"/>
      <c r="G571" s="9"/>
      <c r="H571" s="35"/>
    </row>
    <row r="572" spans="2:8" x14ac:dyDescent="0.35">
      <c r="B572" s="6"/>
      <c r="C572" s="7"/>
      <c r="D572" s="9"/>
      <c r="E572" s="9"/>
      <c r="F572" s="9"/>
      <c r="G572" s="9"/>
      <c r="H572" s="35"/>
    </row>
    <row r="573" spans="2:8" x14ac:dyDescent="0.35">
      <c r="B573" s="6"/>
      <c r="C573" s="7"/>
      <c r="D573" s="9"/>
      <c r="E573" s="9"/>
      <c r="F573" s="9"/>
      <c r="G573" s="9"/>
      <c r="H573" s="35"/>
    </row>
    <row r="574" spans="2:8" x14ac:dyDescent="0.35">
      <c r="B574" s="6"/>
      <c r="C574" s="7"/>
      <c r="D574" s="9"/>
      <c r="E574" s="9"/>
      <c r="F574" s="9"/>
      <c r="G574" s="9"/>
      <c r="H574" s="35"/>
    </row>
    <row r="575" spans="2:8" x14ac:dyDescent="0.35">
      <c r="B575" s="6"/>
      <c r="C575" s="7"/>
      <c r="D575" s="9"/>
      <c r="E575" s="9"/>
      <c r="F575" s="9"/>
      <c r="G575" s="9"/>
      <c r="H575" s="35"/>
    </row>
    <row r="576" spans="2:8" x14ac:dyDescent="0.35">
      <c r="B576" s="6"/>
      <c r="C576" s="7"/>
      <c r="D576" s="9"/>
      <c r="E576" s="9"/>
      <c r="F576" s="9"/>
      <c r="G576" s="9"/>
      <c r="H576" s="35"/>
    </row>
    <row r="577" spans="2:8" x14ac:dyDescent="0.35">
      <c r="B577" s="6"/>
      <c r="C577" s="7"/>
      <c r="D577" s="9"/>
      <c r="E577" s="9"/>
      <c r="F577" s="9"/>
      <c r="G577" s="9"/>
      <c r="H577" s="35"/>
    </row>
    <row r="578" spans="2:8" x14ac:dyDescent="0.35">
      <c r="B578" s="6"/>
      <c r="C578" s="7"/>
      <c r="D578" s="9"/>
      <c r="E578" s="9"/>
      <c r="F578" s="9"/>
      <c r="G578" s="9"/>
      <c r="H578" s="35"/>
    </row>
    <row r="579" spans="2:8" x14ac:dyDescent="0.35">
      <c r="B579" s="6"/>
      <c r="C579" s="7"/>
      <c r="D579" s="9"/>
      <c r="E579" s="9"/>
      <c r="F579" s="9"/>
      <c r="G579" s="9"/>
      <c r="H579" s="35"/>
    </row>
    <row r="580" spans="2:8" x14ac:dyDescent="0.35">
      <c r="B580" s="6"/>
      <c r="C580" s="7"/>
      <c r="D580" s="9"/>
      <c r="E580" s="9"/>
      <c r="F580" s="9"/>
      <c r="G580" s="9"/>
      <c r="H580" s="35"/>
    </row>
    <row r="581" spans="2:8" x14ac:dyDescent="0.35">
      <c r="B581" s="6"/>
      <c r="C581" s="7"/>
      <c r="D581" s="9"/>
      <c r="E581" s="9"/>
      <c r="F581" s="9"/>
      <c r="G581" s="9"/>
      <c r="H581" s="35"/>
    </row>
    <row r="582" spans="2:8" x14ac:dyDescent="0.35">
      <c r="B582" s="6"/>
      <c r="C582" s="7"/>
      <c r="D582" s="9"/>
      <c r="E582" s="9"/>
      <c r="F582" s="9"/>
      <c r="G582" s="9"/>
      <c r="H582" s="35"/>
    </row>
    <row r="583" spans="2:8" x14ac:dyDescent="0.35">
      <c r="B583" s="6"/>
      <c r="C583" s="7"/>
      <c r="D583" s="9"/>
      <c r="E583" s="9"/>
      <c r="F583" s="9"/>
      <c r="G583" s="9"/>
      <c r="H583" s="35"/>
    </row>
    <row r="584" spans="2:8" x14ac:dyDescent="0.35">
      <c r="B584" s="6"/>
      <c r="C584" s="7"/>
      <c r="D584" s="9"/>
      <c r="E584" s="9"/>
      <c r="F584" s="9"/>
      <c r="G584" s="9"/>
      <c r="H584" s="35"/>
    </row>
    <row r="585" spans="2:8" x14ac:dyDescent="0.35">
      <c r="B585" s="6"/>
      <c r="C585" s="7"/>
      <c r="D585" s="9"/>
      <c r="E585" s="9"/>
      <c r="F585" s="9"/>
      <c r="G585" s="9"/>
      <c r="H585" s="35"/>
    </row>
    <row r="586" spans="2:8" x14ac:dyDescent="0.35">
      <c r="B586" s="6"/>
      <c r="C586" s="7"/>
      <c r="D586" s="9"/>
      <c r="E586" s="9"/>
      <c r="F586" s="9"/>
      <c r="G586" s="9"/>
      <c r="H586" s="35"/>
    </row>
    <row r="587" spans="2:8" x14ac:dyDescent="0.35">
      <c r="B587" s="6"/>
      <c r="C587" s="7"/>
      <c r="D587" s="9"/>
      <c r="E587" s="9"/>
      <c r="F587" s="9"/>
      <c r="G587" s="9"/>
      <c r="H587" s="35"/>
    </row>
    <row r="588" spans="2:8" x14ac:dyDescent="0.35">
      <c r="B588" s="6"/>
      <c r="C588" s="7"/>
      <c r="D588" s="9"/>
      <c r="E588" s="9"/>
      <c r="F588" s="9"/>
      <c r="G588" s="9"/>
      <c r="H588" s="35"/>
    </row>
    <row r="589" spans="2:8" x14ac:dyDescent="0.35">
      <c r="B589" s="6"/>
      <c r="C589" s="7"/>
      <c r="D589" s="9"/>
      <c r="E589" s="9"/>
      <c r="F589" s="9"/>
      <c r="G589" s="9"/>
      <c r="H589" s="35"/>
    </row>
    <row r="590" spans="2:8" x14ac:dyDescent="0.35">
      <c r="B590" s="6"/>
      <c r="C590" s="7"/>
      <c r="D590" s="9"/>
      <c r="E590" s="9"/>
      <c r="F590" s="9"/>
      <c r="G590" s="9"/>
      <c r="H590" s="35"/>
    </row>
    <row r="591" spans="2:8" x14ac:dyDescent="0.35">
      <c r="B591" s="6"/>
      <c r="C591" s="7"/>
      <c r="D591" s="9"/>
      <c r="E591" s="9"/>
      <c r="F591" s="9"/>
      <c r="G591" s="9"/>
      <c r="H591" s="35"/>
    </row>
    <row r="592" spans="2:8" x14ac:dyDescent="0.35">
      <c r="B592" s="6"/>
      <c r="C592" s="7"/>
      <c r="D592" s="9"/>
      <c r="E592" s="9"/>
      <c r="F592" s="9"/>
      <c r="G592" s="9"/>
      <c r="H592" s="35"/>
    </row>
    <row r="593" spans="2:8" x14ac:dyDescent="0.35">
      <c r="B593" s="6"/>
      <c r="C593" s="7"/>
      <c r="D593" s="9"/>
      <c r="E593" s="9"/>
      <c r="F593" s="9"/>
      <c r="G593" s="9"/>
      <c r="H593" s="35"/>
    </row>
    <row r="594" spans="2:8" x14ac:dyDescent="0.35">
      <c r="B594" s="6"/>
      <c r="C594" s="7"/>
      <c r="D594" s="9"/>
      <c r="E594" s="9"/>
      <c r="F594" s="9"/>
      <c r="G594" s="9"/>
      <c r="H594" s="35"/>
    </row>
    <row r="595" spans="2:8" x14ac:dyDescent="0.35">
      <c r="B595" s="6"/>
      <c r="C595" s="7"/>
      <c r="D595" s="9"/>
      <c r="E595" s="9"/>
      <c r="F595" s="9"/>
      <c r="G595" s="9"/>
      <c r="H595" s="35"/>
    </row>
    <row r="596" spans="2:8" x14ac:dyDescent="0.35">
      <c r="B596" s="6"/>
      <c r="C596" s="7"/>
      <c r="D596" s="9"/>
      <c r="E596" s="9"/>
      <c r="F596" s="9"/>
      <c r="G596" s="9"/>
      <c r="H596" s="35"/>
    </row>
    <row r="597" spans="2:8" x14ac:dyDescent="0.35">
      <c r="B597" s="6"/>
      <c r="C597" s="7"/>
      <c r="D597" s="9"/>
      <c r="E597" s="9"/>
      <c r="F597" s="9"/>
      <c r="G597" s="9"/>
      <c r="H597" s="35"/>
    </row>
    <row r="598" spans="2:8" x14ac:dyDescent="0.35">
      <c r="B598" s="6"/>
      <c r="C598" s="7"/>
      <c r="D598" s="9"/>
      <c r="E598" s="9"/>
      <c r="F598" s="9"/>
      <c r="G598" s="9"/>
      <c r="H598" s="35"/>
    </row>
    <row r="599" spans="2:8" x14ac:dyDescent="0.35">
      <c r="B599" s="6"/>
      <c r="C599" s="7"/>
      <c r="D599" s="9"/>
      <c r="E599" s="9"/>
      <c r="F599" s="9"/>
      <c r="G599" s="9"/>
      <c r="H599" s="35"/>
    </row>
    <row r="600" spans="2:8" x14ac:dyDescent="0.35">
      <c r="B600" s="6"/>
      <c r="C600" s="7"/>
      <c r="D600" s="9"/>
      <c r="E600" s="9"/>
      <c r="F600" s="9"/>
      <c r="G600" s="9"/>
      <c r="H600" s="35"/>
    </row>
    <row r="601" spans="2:8" x14ac:dyDescent="0.35">
      <c r="B601" s="6"/>
      <c r="C601" s="7"/>
      <c r="D601" s="9"/>
      <c r="E601" s="9"/>
      <c r="F601" s="9"/>
      <c r="G601" s="9"/>
      <c r="H601" s="35"/>
    </row>
    <row r="602" spans="2:8" x14ac:dyDescent="0.35">
      <c r="B602" s="6"/>
      <c r="C602" s="7"/>
      <c r="D602" s="9"/>
      <c r="E602" s="9"/>
      <c r="F602" s="9"/>
      <c r="G602" s="9"/>
      <c r="H602" s="35"/>
    </row>
    <row r="603" spans="2:8" x14ac:dyDescent="0.35">
      <c r="B603" s="6"/>
      <c r="C603" s="7"/>
      <c r="D603" s="9"/>
      <c r="E603" s="9"/>
      <c r="F603" s="9"/>
      <c r="G603" s="9"/>
      <c r="H603" s="35"/>
    </row>
    <row r="604" spans="2:8" x14ac:dyDescent="0.35">
      <c r="B604" s="6"/>
      <c r="C604" s="7"/>
      <c r="D604" s="9"/>
      <c r="E604" s="9"/>
      <c r="F604" s="9"/>
      <c r="G604" s="9"/>
      <c r="H604" s="35"/>
    </row>
    <row r="605" spans="2:8" x14ac:dyDescent="0.35">
      <c r="B605" s="6"/>
      <c r="C605" s="7"/>
      <c r="D605" s="9"/>
      <c r="E605" s="9"/>
      <c r="F605" s="9"/>
      <c r="G605" s="9"/>
      <c r="H605" s="35"/>
    </row>
    <row r="606" spans="2:8" x14ac:dyDescent="0.35">
      <c r="B606" s="6"/>
      <c r="C606" s="7"/>
      <c r="D606" s="9"/>
      <c r="E606" s="9"/>
      <c r="F606" s="9"/>
      <c r="G606" s="9"/>
      <c r="H606" s="35"/>
    </row>
    <row r="607" spans="2:8" x14ac:dyDescent="0.35">
      <c r="B607" s="6"/>
      <c r="C607" s="7"/>
      <c r="D607" s="9"/>
      <c r="E607" s="9"/>
      <c r="F607" s="9"/>
      <c r="G607" s="9"/>
      <c r="H607" s="35"/>
    </row>
    <row r="608" spans="2:8" x14ac:dyDescent="0.35">
      <c r="B608" s="6"/>
      <c r="C608" s="7"/>
      <c r="D608" s="9"/>
      <c r="E608" s="9"/>
      <c r="F608" s="9"/>
      <c r="G608" s="9"/>
      <c r="H608" s="35"/>
    </row>
    <row r="609" spans="2:8" x14ac:dyDescent="0.35">
      <c r="B609" s="6"/>
      <c r="C609" s="7"/>
      <c r="D609" s="9"/>
      <c r="E609" s="9"/>
      <c r="F609" s="9"/>
      <c r="G609" s="9"/>
      <c r="H609" s="35"/>
    </row>
    <row r="610" spans="2:8" x14ac:dyDescent="0.35">
      <c r="B610" s="6"/>
      <c r="C610" s="7"/>
      <c r="D610" s="9"/>
      <c r="E610" s="9"/>
      <c r="F610" s="9"/>
      <c r="G610" s="9"/>
      <c r="H610" s="35"/>
    </row>
    <row r="611" spans="2:8" x14ac:dyDescent="0.35">
      <c r="B611" s="6"/>
      <c r="C611" s="7"/>
      <c r="D611" s="9"/>
      <c r="E611" s="9"/>
      <c r="F611" s="9"/>
      <c r="G611" s="9"/>
      <c r="H611" s="35"/>
    </row>
    <row r="612" spans="2:8" x14ac:dyDescent="0.35">
      <c r="B612" s="6"/>
      <c r="C612" s="7"/>
      <c r="D612" s="9"/>
      <c r="E612" s="9"/>
      <c r="F612" s="9"/>
      <c r="G612" s="9"/>
      <c r="H612" s="35"/>
    </row>
    <row r="613" spans="2:8" x14ac:dyDescent="0.35">
      <c r="B613" s="6"/>
      <c r="C613" s="7"/>
      <c r="D613" s="9"/>
      <c r="E613" s="9"/>
      <c r="F613" s="9"/>
      <c r="G613" s="9"/>
      <c r="H613" s="35"/>
    </row>
    <row r="614" spans="2:8" x14ac:dyDescent="0.35">
      <c r="B614" s="6"/>
      <c r="C614" s="7"/>
      <c r="D614" s="9"/>
      <c r="E614" s="9"/>
      <c r="F614" s="9"/>
      <c r="G614" s="9"/>
      <c r="H614" s="35"/>
    </row>
    <row r="615" spans="2:8" x14ac:dyDescent="0.35">
      <c r="B615" s="6"/>
      <c r="C615" s="7"/>
      <c r="D615" s="9"/>
      <c r="E615" s="9"/>
      <c r="F615" s="9"/>
      <c r="G615" s="9"/>
      <c r="H615" s="35"/>
    </row>
    <row r="616" spans="2:8" x14ac:dyDescent="0.35">
      <c r="B616" s="6"/>
      <c r="C616" s="7"/>
      <c r="D616" s="9"/>
      <c r="E616" s="9"/>
      <c r="F616" s="9"/>
      <c r="G616" s="9"/>
      <c r="H616" s="35"/>
    </row>
    <row r="617" spans="2:8" x14ac:dyDescent="0.35">
      <c r="B617" s="6"/>
      <c r="C617" s="7"/>
      <c r="D617" s="9"/>
      <c r="E617" s="9"/>
      <c r="F617" s="9"/>
      <c r="G617" s="9"/>
      <c r="H617" s="35"/>
    </row>
    <row r="618" spans="2:8" x14ac:dyDescent="0.35">
      <c r="B618" s="6"/>
      <c r="C618" s="7"/>
      <c r="D618" s="9"/>
      <c r="E618" s="9"/>
      <c r="F618" s="9"/>
      <c r="G618" s="9"/>
      <c r="H618" s="35"/>
    </row>
    <row r="619" spans="2:8" x14ac:dyDescent="0.35">
      <c r="B619" s="6"/>
      <c r="C619" s="7"/>
      <c r="D619" s="9"/>
      <c r="E619" s="9"/>
      <c r="F619" s="9"/>
      <c r="G619" s="9"/>
      <c r="H619" s="35"/>
    </row>
    <row r="620" spans="2:8" x14ac:dyDescent="0.35">
      <c r="B620" s="6"/>
      <c r="C620" s="7"/>
      <c r="D620" s="9"/>
      <c r="E620" s="9"/>
      <c r="F620" s="9"/>
      <c r="G620" s="9"/>
      <c r="H620" s="35"/>
    </row>
    <row r="621" spans="2:8" x14ac:dyDescent="0.35">
      <c r="B621" s="6"/>
      <c r="C621" s="7"/>
      <c r="D621" s="9"/>
      <c r="E621" s="9"/>
      <c r="F621" s="9"/>
      <c r="G621" s="9"/>
      <c r="H621" s="35"/>
    </row>
    <row r="622" spans="2:8" x14ac:dyDescent="0.35">
      <c r="B622" s="6"/>
      <c r="C622" s="7"/>
      <c r="D622" s="9"/>
      <c r="E622" s="9"/>
      <c r="F622" s="9"/>
      <c r="G622" s="9"/>
      <c r="H622" s="35"/>
    </row>
    <row r="623" spans="2:8" x14ac:dyDescent="0.35">
      <c r="B623" s="6"/>
      <c r="C623" s="7"/>
      <c r="D623" s="9"/>
      <c r="E623" s="9"/>
      <c r="F623" s="9"/>
      <c r="G623" s="9"/>
      <c r="H623" s="35"/>
    </row>
    <row r="624" spans="2:8" x14ac:dyDescent="0.35">
      <c r="B624" s="6"/>
      <c r="C624" s="7"/>
      <c r="D624" s="9"/>
      <c r="E624" s="9"/>
      <c r="F624" s="9"/>
      <c r="G624" s="9"/>
      <c r="H624" s="35"/>
    </row>
    <row r="625" spans="2:8" x14ac:dyDescent="0.35">
      <c r="B625" s="6"/>
      <c r="C625" s="7"/>
      <c r="D625" s="9"/>
      <c r="E625" s="9"/>
      <c r="F625" s="9"/>
      <c r="G625" s="9"/>
      <c r="H625" s="35"/>
    </row>
    <row r="626" spans="2:8" x14ac:dyDescent="0.35">
      <c r="B626" s="6"/>
      <c r="C626" s="7"/>
      <c r="D626" s="9"/>
      <c r="E626" s="9"/>
      <c r="F626" s="9"/>
      <c r="G626" s="9"/>
      <c r="H626" s="35"/>
    </row>
    <row r="627" spans="2:8" x14ac:dyDescent="0.35">
      <c r="B627" s="6"/>
      <c r="C627" s="7"/>
      <c r="D627" s="9"/>
      <c r="E627" s="9"/>
      <c r="F627" s="9"/>
      <c r="G627" s="9"/>
      <c r="H627" s="35"/>
    </row>
    <row r="628" spans="2:8" x14ac:dyDescent="0.35">
      <c r="B628" s="6"/>
      <c r="C628" s="7"/>
      <c r="D628" s="9"/>
      <c r="E628" s="9"/>
      <c r="F628" s="9"/>
      <c r="G628" s="9"/>
      <c r="H628" s="35"/>
    </row>
    <row r="629" spans="2:8" x14ac:dyDescent="0.35">
      <c r="B629" s="6"/>
      <c r="C629" s="7"/>
      <c r="D629" s="9"/>
      <c r="E629" s="9"/>
      <c r="F629" s="9"/>
      <c r="G629" s="9"/>
      <c r="H629" s="35"/>
    </row>
    <row r="630" spans="2:8" x14ac:dyDescent="0.35">
      <c r="B630" s="6"/>
      <c r="C630" s="7"/>
      <c r="D630" s="9"/>
      <c r="E630" s="9"/>
      <c r="F630" s="9"/>
      <c r="G630" s="9"/>
      <c r="H630" s="35"/>
    </row>
    <row r="631" spans="2:8" x14ac:dyDescent="0.35">
      <c r="B631" s="6"/>
      <c r="C631" s="7"/>
      <c r="D631" s="9"/>
      <c r="E631" s="9"/>
      <c r="F631" s="9"/>
      <c r="G631" s="9"/>
      <c r="H631" s="35"/>
    </row>
    <row r="632" spans="2:8" x14ac:dyDescent="0.35">
      <c r="B632" s="6"/>
      <c r="C632" s="7"/>
      <c r="D632" s="9"/>
      <c r="E632" s="9"/>
      <c r="F632" s="9"/>
      <c r="G632" s="9"/>
      <c r="H632" s="35"/>
    </row>
    <row r="633" spans="2:8" x14ac:dyDescent="0.35">
      <c r="B633" s="6"/>
      <c r="C633" s="7"/>
      <c r="D633" s="9"/>
      <c r="E633" s="9"/>
      <c r="F633" s="9"/>
      <c r="G633" s="9"/>
      <c r="H633" s="35"/>
    </row>
    <row r="634" spans="2:8" x14ac:dyDescent="0.35">
      <c r="B634" s="6"/>
      <c r="C634" s="7"/>
      <c r="D634" s="9"/>
      <c r="E634" s="9"/>
      <c r="F634" s="9"/>
      <c r="G634" s="9"/>
      <c r="H634" s="35"/>
    </row>
    <row r="635" spans="2:8" x14ac:dyDescent="0.35">
      <c r="B635" s="6"/>
      <c r="C635" s="7"/>
      <c r="D635" s="9"/>
      <c r="E635" s="9"/>
      <c r="F635" s="9"/>
      <c r="G635" s="9"/>
      <c r="H635" s="35"/>
    </row>
    <row r="636" spans="2:8" x14ac:dyDescent="0.35">
      <c r="B636" s="6"/>
      <c r="C636" s="7"/>
      <c r="D636" s="9"/>
      <c r="E636" s="9"/>
      <c r="F636" s="9"/>
      <c r="G636" s="9"/>
      <c r="H636" s="35"/>
    </row>
    <row r="637" spans="2:8" x14ac:dyDescent="0.35">
      <c r="B637" s="6"/>
      <c r="C637" s="7"/>
      <c r="D637" s="9"/>
      <c r="E637" s="9"/>
      <c r="F637" s="9"/>
      <c r="G637" s="9"/>
      <c r="H637" s="35"/>
    </row>
    <row r="638" spans="2:8" x14ac:dyDescent="0.35">
      <c r="B638" s="6"/>
      <c r="C638" s="7"/>
      <c r="D638" s="9"/>
      <c r="E638" s="9"/>
      <c r="F638" s="9"/>
      <c r="G638" s="9"/>
      <c r="H638" s="35"/>
    </row>
    <row r="639" spans="2:8" x14ac:dyDescent="0.35">
      <c r="B639" s="6"/>
      <c r="C639" s="7"/>
      <c r="D639" s="9"/>
      <c r="E639" s="9"/>
      <c r="F639" s="9"/>
      <c r="G639" s="9"/>
      <c r="H639" s="35"/>
    </row>
    <row r="640" spans="2:8" x14ac:dyDescent="0.35">
      <c r="B640" s="6"/>
      <c r="C640" s="7"/>
      <c r="D640" s="9"/>
      <c r="E640" s="9"/>
      <c r="F640" s="9"/>
      <c r="G640" s="9"/>
      <c r="H640" s="35"/>
    </row>
    <row r="641" spans="2:8" x14ac:dyDescent="0.35">
      <c r="B641" s="6"/>
      <c r="C641" s="7"/>
      <c r="D641" s="9"/>
      <c r="E641" s="9"/>
      <c r="F641" s="9"/>
      <c r="G641" s="9"/>
      <c r="H641" s="35"/>
    </row>
    <row r="642" spans="2:8" x14ac:dyDescent="0.35">
      <c r="B642" s="6"/>
      <c r="C642" s="7"/>
      <c r="D642" s="9"/>
      <c r="E642" s="9"/>
      <c r="F642" s="9"/>
      <c r="G642" s="9"/>
      <c r="H642" s="35"/>
    </row>
    <row r="643" spans="2:8" x14ac:dyDescent="0.35">
      <c r="B643" s="6"/>
      <c r="C643" s="7"/>
      <c r="D643" s="9"/>
      <c r="E643" s="9"/>
      <c r="F643" s="9"/>
      <c r="G643" s="9"/>
      <c r="H643" s="35"/>
    </row>
    <row r="644" spans="2:8" x14ac:dyDescent="0.35">
      <c r="B644" s="6"/>
      <c r="C644" s="7"/>
      <c r="D644" s="9"/>
      <c r="E644" s="9"/>
      <c r="F644" s="9"/>
      <c r="G644" s="9"/>
      <c r="H644" s="35"/>
    </row>
    <row r="645" spans="2:8" x14ac:dyDescent="0.35">
      <c r="B645" s="6"/>
      <c r="C645" s="7"/>
      <c r="D645" s="9"/>
      <c r="E645" s="9"/>
      <c r="F645" s="9"/>
      <c r="G645" s="9"/>
      <c r="H645" s="35"/>
    </row>
    <row r="646" spans="2:8" x14ac:dyDescent="0.35">
      <c r="B646" s="6"/>
      <c r="C646" s="7"/>
      <c r="D646" s="9"/>
      <c r="E646" s="9"/>
      <c r="F646" s="9"/>
      <c r="G646" s="9"/>
      <c r="H646" s="35"/>
    </row>
    <row r="647" spans="2:8" x14ac:dyDescent="0.35">
      <c r="B647" s="6"/>
      <c r="C647" s="7"/>
      <c r="D647" s="9"/>
      <c r="E647" s="9"/>
      <c r="F647" s="9"/>
      <c r="G647" s="9"/>
      <c r="H647" s="35"/>
    </row>
    <row r="648" spans="2:8" x14ac:dyDescent="0.35">
      <c r="B648" s="6"/>
      <c r="C648" s="7"/>
      <c r="D648" s="9"/>
      <c r="E648" s="9"/>
      <c r="F648" s="9"/>
      <c r="G648" s="9"/>
      <c r="H648" s="35"/>
    </row>
    <row r="649" spans="2:8" x14ac:dyDescent="0.35">
      <c r="B649" s="6"/>
      <c r="C649" s="7"/>
      <c r="D649" s="9"/>
      <c r="E649" s="9"/>
      <c r="F649" s="9"/>
      <c r="G649" s="9"/>
      <c r="H649" s="35"/>
    </row>
    <row r="650" spans="2:8" x14ac:dyDescent="0.35">
      <c r="B650" s="6"/>
      <c r="C650" s="7"/>
      <c r="D650" s="9"/>
      <c r="E650" s="9"/>
      <c r="F650" s="9"/>
      <c r="G650" s="9"/>
      <c r="H650" s="35"/>
    </row>
    <row r="651" spans="2:8" x14ac:dyDescent="0.35">
      <c r="B651" s="6"/>
      <c r="C651" s="7"/>
      <c r="D651" s="9"/>
      <c r="E651" s="9"/>
      <c r="F651" s="9"/>
      <c r="G651" s="9"/>
      <c r="H651" s="35"/>
    </row>
    <row r="652" spans="2:8" x14ac:dyDescent="0.35">
      <c r="B652" s="6"/>
      <c r="C652" s="7"/>
      <c r="D652" s="9"/>
      <c r="E652" s="9"/>
      <c r="F652" s="9"/>
      <c r="G652" s="9"/>
      <c r="H652" s="35"/>
    </row>
    <row r="653" spans="2:8" x14ac:dyDescent="0.35">
      <c r="B653" s="6"/>
      <c r="C653" s="7"/>
      <c r="D653" s="9"/>
      <c r="E653" s="9"/>
      <c r="F653" s="9"/>
      <c r="G653" s="9"/>
      <c r="H653" s="35"/>
    </row>
    <row r="654" spans="2:8" x14ac:dyDescent="0.35">
      <c r="B654" s="6"/>
      <c r="C654" s="7"/>
      <c r="D654" s="9"/>
      <c r="E654" s="9"/>
      <c r="F654" s="9"/>
      <c r="G654" s="9"/>
      <c r="H654" s="35"/>
    </row>
    <row r="655" spans="2:8" x14ac:dyDescent="0.35">
      <c r="B655" s="6"/>
      <c r="C655" s="7"/>
      <c r="D655" s="9"/>
      <c r="E655" s="9"/>
      <c r="F655" s="9"/>
      <c r="G655" s="9"/>
      <c r="H655" s="35"/>
    </row>
    <row r="656" spans="2:8" x14ac:dyDescent="0.35">
      <c r="B656" s="6"/>
      <c r="C656" s="7"/>
      <c r="D656" s="9"/>
      <c r="E656" s="9"/>
      <c r="F656" s="9"/>
      <c r="G656" s="9"/>
      <c r="H656" s="35"/>
    </row>
    <row r="657" spans="2:8" x14ac:dyDescent="0.35">
      <c r="B657" s="6"/>
      <c r="C657" s="7"/>
      <c r="D657" s="9"/>
      <c r="E657" s="9"/>
      <c r="F657" s="9"/>
      <c r="G657" s="9"/>
      <c r="H657" s="35"/>
    </row>
    <row r="658" spans="2:8" x14ac:dyDescent="0.35">
      <c r="B658" s="6"/>
      <c r="C658" s="7"/>
      <c r="D658" s="9"/>
      <c r="E658" s="9"/>
      <c r="F658" s="9"/>
      <c r="G658" s="9"/>
      <c r="H658" s="35"/>
    </row>
    <row r="659" spans="2:8" x14ac:dyDescent="0.35">
      <c r="B659" s="6"/>
      <c r="C659" s="7"/>
      <c r="D659" s="9"/>
      <c r="E659" s="9"/>
      <c r="F659" s="9"/>
      <c r="G659" s="9"/>
      <c r="H659" s="35"/>
    </row>
    <row r="660" spans="2:8" x14ac:dyDescent="0.35">
      <c r="B660" s="6"/>
      <c r="C660" s="7"/>
      <c r="D660" s="9"/>
      <c r="E660" s="9"/>
      <c r="F660" s="9"/>
      <c r="G660" s="9"/>
      <c r="H660" s="35"/>
    </row>
    <row r="661" spans="2:8" x14ac:dyDescent="0.35">
      <c r="B661" s="6"/>
      <c r="C661" s="7"/>
      <c r="D661" s="9"/>
      <c r="E661" s="9"/>
      <c r="F661" s="9"/>
      <c r="G661" s="9"/>
      <c r="H661" s="35"/>
    </row>
    <row r="662" spans="2:8" x14ac:dyDescent="0.35">
      <c r="B662" s="6"/>
      <c r="C662" s="7"/>
      <c r="D662" s="9"/>
      <c r="E662" s="9"/>
      <c r="F662" s="9"/>
      <c r="G662" s="9"/>
      <c r="H662" s="35"/>
    </row>
    <row r="663" spans="2:8" x14ac:dyDescent="0.35">
      <c r="B663" s="6"/>
      <c r="C663" s="7"/>
      <c r="D663" s="9"/>
      <c r="E663" s="9"/>
      <c r="F663" s="9"/>
      <c r="G663" s="9"/>
      <c r="H663" s="35"/>
    </row>
    <row r="664" spans="2:8" x14ac:dyDescent="0.35">
      <c r="B664" s="6"/>
      <c r="C664" s="7"/>
      <c r="D664" s="9"/>
      <c r="E664" s="9"/>
      <c r="F664" s="9"/>
      <c r="G664" s="9"/>
      <c r="H664" s="35"/>
    </row>
    <row r="665" spans="2:8" x14ac:dyDescent="0.35">
      <c r="B665" s="6"/>
      <c r="C665" s="7"/>
      <c r="D665" s="9"/>
      <c r="E665" s="9"/>
      <c r="F665" s="9"/>
      <c r="G665" s="9"/>
      <c r="H665" s="35"/>
    </row>
    <row r="666" spans="2:8" x14ac:dyDescent="0.35">
      <c r="B666" s="6"/>
      <c r="C666" s="7"/>
      <c r="D666" s="9"/>
      <c r="E666" s="9"/>
      <c r="F666" s="9"/>
      <c r="G666" s="9"/>
      <c r="H666" s="35"/>
    </row>
    <row r="667" spans="2:8" x14ac:dyDescent="0.35">
      <c r="B667" s="6"/>
      <c r="C667" s="7"/>
      <c r="D667" s="9"/>
      <c r="E667" s="9"/>
      <c r="F667" s="9"/>
      <c r="G667" s="9"/>
      <c r="H667" s="35"/>
    </row>
    <row r="668" spans="2:8" x14ac:dyDescent="0.35">
      <c r="B668" s="6"/>
      <c r="C668" s="7"/>
      <c r="D668" s="9"/>
      <c r="E668" s="9"/>
      <c r="F668" s="9"/>
      <c r="G668" s="9"/>
      <c r="H668" s="35"/>
    </row>
    <row r="669" spans="2:8" x14ac:dyDescent="0.35">
      <c r="B669" s="6"/>
      <c r="C669" s="7"/>
      <c r="D669" s="9"/>
      <c r="E669" s="9"/>
      <c r="F669" s="9"/>
      <c r="G669" s="9"/>
      <c r="H669" s="35"/>
    </row>
    <row r="670" spans="2:8" x14ac:dyDescent="0.35">
      <c r="B670" s="6"/>
      <c r="C670" s="7"/>
      <c r="D670" s="9"/>
      <c r="E670" s="9"/>
      <c r="F670" s="9"/>
      <c r="G670" s="9"/>
      <c r="H670" s="35"/>
    </row>
    <row r="671" spans="2:8" x14ac:dyDescent="0.35">
      <c r="B671" s="6"/>
      <c r="C671" s="7"/>
      <c r="D671" s="9"/>
      <c r="E671" s="9"/>
      <c r="F671" s="9"/>
      <c r="G671" s="9"/>
      <c r="H671" s="35"/>
    </row>
    <row r="672" spans="2:8" x14ac:dyDescent="0.35">
      <c r="B672" s="6"/>
      <c r="C672" s="7"/>
      <c r="D672" s="9"/>
      <c r="E672" s="9"/>
      <c r="F672" s="9"/>
      <c r="G672" s="9"/>
      <c r="H672" s="35"/>
    </row>
    <row r="673" spans="2:8" x14ac:dyDescent="0.35">
      <c r="B673" s="6"/>
      <c r="C673" s="7"/>
      <c r="D673" s="9"/>
      <c r="E673" s="9"/>
      <c r="F673" s="9"/>
      <c r="G673" s="9"/>
      <c r="H673" s="35"/>
    </row>
    <row r="674" spans="2:8" x14ac:dyDescent="0.35">
      <c r="B674" s="6"/>
      <c r="C674" s="7"/>
      <c r="D674" s="9"/>
      <c r="E674" s="9"/>
      <c r="F674" s="9"/>
      <c r="G674" s="9"/>
      <c r="H674" s="35"/>
    </row>
    <row r="675" spans="2:8" x14ac:dyDescent="0.35">
      <c r="B675" s="6"/>
      <c r="C675" s="7"/>
      <c r="D675" s="9"/>
      <c r="E675" s="9"/>
      <c r="F675" s="9"/>
      <c r="G675" s="9"/>
      <c r="H675" s="35"/>
    </row>
    <row r="676" spans="2:8" x14ac:dyDescent="0.35">
      <c r="B676" s="6"/>
      <c r="C676" s="7"/>
      <c r="D676" s="9"/>
      <c r="E676" s="9"/>
      <c r="F676" s="9"/>
      <c r="G676" s="9"/>
      <c r="H676" s="35"/>
    </row>
    <row r="677" spans="2:8" x14ac:dyDescent="0.35">
      <c r="B677" s="6"/>
      <c r="C677" s="7"/>
      <c r="D677" s="9"/>
      <c r="E677" s="9"/>
      <c r="F677" s="9"/>
      <c r="G677" s="9"/>
      <c r="H677" s="35"/>
    </row>
    <row r="678" spans="2:8" x14ac:dyDescent="0.35">
      <c r="B678" s="6"/>
      <c r="C678" s="7"/>
      <c r="D678" s="9"/>
      <c r="E678" s="9"/>
      <c r="F678" s="9"/>
      <c r="G678" s="9"/>
      <c r="H678" s="35"/>
    </row>
    <row r="679" spans="2:8" x14ac:dyDescent="0.35">
      <c r="B679" s="6"/>
      <c r="C679" s="7"/>
      <c r="D679" s="9"/>
      <c r="E679" s="9"/>
      <c r="F679" s="9"/>
      <c r="G679" s="9"/>
      <c r="H679" s="35"/>
    </row>
    <row r="680" spans="2:8" x14ac:dyDescent="0.35">
      <c r="B680" s="6"/>
      <c r="C680" s="7"/>
      <c r="D680" s="9"/>
      <c r="E680" s="9"/>
      <c r="F680" s="9"/>
      <c r="G680" s="9"/>
      <c r="H680" s="35"/>
    </row>
    <row r="681" spans="2:8" x14ac:dyDescent="0.35">
      <c r="B681" s="6"/>
      <c r="C681" s="7"/>
      <c r="D681" s="9"/>
      <c r="E681" s="9"/>
      <c r="F681" s="9"/>
      <c r="G681" s="9"/>
      <c r="H681" s="35"/>
    </row>
    <row r="682" spans="2:8" x14ac:dyDescent="0.35">
      <c r="B682" s="6"/>
      <c r="C682" s="7"/>
      <c r="D682" s="9"/>
      <c r="E682" s="9"/>
      <c r="F682" s="9"/>
      <c r="G682" s="9"/>
      <c r="H682" s="35"/>
    </row>
    <row r="683" spans="2:8" x14ac:dyDescent="0.35">
      <c r="B683" s="6"/>
      <c r="C683" s="7"/>
      <c r="D683" s="9"/>
      <c r="E683" s="9"/>
      <c r="F683" s="9"/>
      <c r="G683" s="9"/>
      <c r="H683" s="35"/>
    </row>
    <row r="684" spans="2:8" x14ac:dyDescent="0.35">
      <c r="B684" s="6"/>
      <c r="C684" s="7"/>
      <c r="D684" s="9"/>
      <c r="E684" s="9"/>
      <c r="F684" s="9"/>
      <c r="G684" s="9"/>
      <c r="H684" s="35"/>
    </row>
    <row r="685" spans="2:8" x14ac:dyDescent="0.35">
      <c r="B685" s="6"/>
      <c r="C685" s="7"/>
      <c r="D685" s="9"/>
      <c r="E685" s="9"/>
      <c r="F685" s="9"/>
      <c r="G685" s="9"/>
      <c r="H685" s="35"/>
    </row>
    <row r="686" spans="2:8" x14ac:dyDescent="0.35">
      <c r="B686" s="6"/>
      <c r="C686" s="7"/>
      <c r="D686" s="9"/>
      <c r="E686" s="9"/>
      <c r="F686" s="9"/>
      <c r="G686" s="9"/>
      <c r="H686" s="35"/>
    </row>
    <row r="687" spans="2:8" x14ac:dyDescent="0.35">
      <c r="B687" s="6"/>
      <c r="C687" s="7"/>
      <c r="D687" s="9"/>
      <c r="E687" s="9"/>
      <c r="F687" s="9"/>
      <c r="G687" s="9"/>
      <c r="H687" s="35"/>
    </row>
    <row r="688" spans="2:8" x14ac:dyDescent="0.35">
      <c r="B688" s="6"/>
      <c r="C688" s="7"/>
      <c r="D688" s="9"/>
      <c r="E688" s="9"/>
      <c r="F688" s="9"/>
      <c r="G688" s="9"/>
      <c r="H688" s="35"/>
    </row>
    <row r="689" spans="2:8" x14ac:dyDescent="0.35">
      <c r="B689" s="6"/>
      <c r="C689" s="7"/>
      <c r="D689" s="9"/>
      <c r="E689" s="9"/>
      <c r="F689" s="9"/>
      <c r="G689" s="9"/>
      <c r="H689" s="35"/>
    </row>
    <row r="690" spans="2:8" x14ac:dyDescent="0.35">
      <c r="B690" s="6"/>
      <c r="C690" s="7"/>
      <c r="D690" s="9"/>
      <c r="E690" s="9"/>
      <c r="F690" s="9"/>
      <c r="G690" s="9"/>
      <c r="H690" s="35"/>
    </row>
    <row r="691" spans="2:8" x14ac:dyDescent="0.35">
      <c r="B691" s="6"/>
      <c r="C691" s="7"/>
      <c r="D691" s="9"/>
      <c r="E691" s="9"/>
      <c r="F691" s="9"/>
      <c r="G691" s="9"/>
      <c r="H691" s="35"/>
    </row>
    <row r="692" spans="2:8" x14ac:dyDescent="0.35">
      <c r="B692" s="6"/>
      <c r="C692" s="7"/>
      <c r="D692" s="9"/>
      <c r="E692" s="9"/>
      <c r="F692" s="9"/>
      <c r="G692" s="9"/>
      <c r="H692" s="35"/>
    </row>
    <row r="693" spans="2:8" x14ac:dyDescent="0.35">
      <c r="B693" s="6"/>
      <c r="C693" s="7"/>
      <c r="D693" s="9"/>
      <c r="E693" s="9"/>
      <c r="F693" s="9"/>
      <c r="G693" s="9"/>
      <c r="H693" s="35"/>
    </row>
    <row r="694" spans="2:8" x14ac:dyDescent="0.35">
      <c r="B694" s="6"/>
      <c r="C694" s="7"/>
      <c r="D694" s="9"/>
      <c r="E694" s="9"/>
      <c r="F694" s="9"/>
      <c r="G694" s="9"/>
      <c r="H694" s="35"/>
    </row>
    <row r="695" spans="2:8" x14ac:dyDescent="0.35">
      <c r="B695" s="6"/>
      <c r="C695" s="7"/>
      <c r="D695" s="9"/>
      <c r="E695" s="9"/>
      <c r="F695" s="9"/>
      <c r="G695" s="9"/>
      <c r="H695" s="35"/>
    </row>
    <row r="696" spans="2:8" x14ac:dyDescent="0.35">
      <c r="B696" s="6"/>
      <c r="C696" s="7"/>
      <c r="D696" s="9"/>
      <c r="E696" s="9"/>
      <c r="F696" s="9"/>
      <c r="G696" s="9"/>
      <c r="H696" s="35"/>
    </row>
    <row r="697" spans="2:8" x14ac:dyDescent="0.35">
      <c r="B697" s="6"/>
      <c r="C697" s="7"/>
      <c r="D697" s="9"/>
      <c r="E697" s="9"/>
      <c r="F697" s="9"/>
      <c r="G697" s="9"/>
      <c r="H697" s="35"/>
    </row>
    <row r="698" spans="2:8" x14ac:dyDescent="0.35">
      <c r="B698" s="6"/>
      <c r="C698" s="7"/>
      <c r="D698" s="9"/>
      <c r="E698" s="9"/>
      <c r="F698" s="9"/>
      <c r="G698" s="9"/>
      <c r="H698" s="35"/>
    </row>
    <row r="699" spans="2:8" x14ac:dyDescent="0.35">
      <c r="B699" s="6"/>
      <c r="C699" s="7"/>
      <c r="D699" s="9"/>
      <c r="E699" s="9"/>
      <c r="F699" s="9"/>
      <c r="G699" s="9"/>
      <c r="H699" s="35"/>
    </row>
    <row r="700" spans="2:8" x14ac:dyDescent="0.35">
      <c r="B700" s="6"/>
      <c r="C700" s="7"/>
      <c r="D700" s="9"/>
      <c r="E700" s="9"/>
      <c r="F700" s="9"/>
      <c r="G700" s="9"/>
      <c r="H700" s="35"/>
    </row>
    <row r="701" spans="2:8" x14ac:dyDescent="0.35">
      <c r="B701" s="6"/>
      <c r="C701" s="7"/>
      <c r="D701" s="9"/>
      <c r="E701" s="9"/>
      <c r="F701" s="9"/>
      <c r="G701" s="9"/>
      <c r="H701" s="35"/>
    </row>
    <row r="702" spans="2:8" x14ac:dyDescent="0.35">
      <c r="B702" s="6"/>
      <c r="C702" s="7"/>
      <c r="D702" s="9"/>
      <c r="E702" s="9"/>
      <c r="F702" s="9"/>
      <c r="G702" s="9"/>
      <c r="H702" s="35"/>
    </row>
    <row r="703" spans="2:8" x14ac:dyDescent="0.35">
      <c r="B703" s="6"/>
      <c r="C703" s="7"/>
      <c r="D703" s="9"/>
      <c r="E703" s="9"/>
      <c r="F703" s="9"/>
      <c r="G703" s="9"/>
      <c r="H703" s="35"/>
    </row>
    <row r="704" spans="2:8" x14ac:dyDescent="0.35">
      <c r="B704" s="6"/>
      <c r="C704" s="7"/>
      <c r="D704" s="9"/>
      <c r="E704" s="9"/>
      <c r="F704" s="9"/>
      <c r="G704" s="9"/>
      <c r="H704" s="35"/>
    </row>
    <row r="705" spans="2:8" x14ac:dyDescent="0.35">
      <c r="B705" s="6"/>
      <c r="C705" s="7"/>
      <c r="D705" s="9"/>
      <c r="E705" s="9"/>
      <c r="F705" s="9"/>
      <c r="G705" s="9"/>
      <c r="H705" s="35"/>
    </row>
    <row r="706" spans="2:8" x14ac:dyDescent="0.35">
      <c r="B706" s="6"/>
      <c r="C706" s="7"/>
      <c r="D706" s="9"/>
      <c r="E706" s="9"/>
      <c r="F706" s="9"/>
      <c r="G706" s="9"/>
      <c r="H706" s="35"/>
    </row>
    <row r="707" spans="2:8" x14ac:dyDescent="0.35">
      <c r="B707" s="6"/>
      <c r="C707" s="7"/>
      <c r="D707" s="9"/>
      <c r="E707" s="9"/>
      <c r="F707" s="9"/>
      <c r="G707" s="9"/>
      <c r="H707" s="35"/>
    </row>
    <row r="708" spans="2:8" x14ac:dyDescent="0.35">
      <c r="B708" s="6"/>
      <c r="C708" s="7"/>
      <c r="D708" s="9"/>
      <c r="E708" s="9"/>
      <c r="F708" s="9"/>
      <c r="G708" s="9"/>
      <c r="H708" s="35"/>
    </row>
    <row r="709" spans="2:8" x14ac:dyDescent="0.35">
      <c r="B709" s="6"/>
      <c r="C709" s="7"/>
      <c r="D709" s="9"/>
      <c r="E709" s="9"/>
      <c r="F709" s="9"/>
      <c r="G709" s="9"/>
      <c r="H709" s="35"/>
    </row>
    <row r="710" spans="2:8" x14ac:dyDescent="0.35">
      <c r="B710" s="6"/>
      <c r="C710" s="7"/>
      <c r="D710" s="9"/>
      <c r="E710" s="9"/>
      <c r="F710" s="9"/>
      <c r="G710" s="9"/>
      <c r="H710" s="35"/>
    </row>
    <row r="711" spans="2:8" x14ac:dyDescent="0.35">
      <c r="B711" s="6"/>
      <c r="C711" s="7"/>
      <c r="D711" s="9"/>
      <c r="E711" s="9"/>
      <c r="F711" s="9"/>
      <c r="G711" s="9"/>
      <c r="H711" s="35"/>
    </row>
    <row r="712" spans="2:8" x14ac:dyDescent="0.35">
      <c r="B712" s="6"/>
      <c r="C712" s="7"/>
      <c r="D712" s="9"/>
      <c r="E712" s="9"/>
      <c r="F712" s="9"/>
      <c r="G712" s="9"/>
      <c r="H712" s="35"/>
    </row>
    <row r="713" spans="2:8" x14ac:dyDescent="0.35">
      <c r="B713" s="6"/>
      <c r="C713" s="7"/>
      <c r="D713" s="9"/>
      <c r="E713" s="9"/>
      <c r="F713" s="9"/>
      <c r="G713" s="9"/>
      <c r="H713" s="35"/>
    </row>
    <row r="714" spans="2:8" x14ac:dyDescent="0.35">
      <c r="B714" s="6"/>
      <c r="C714" s="7"/>
      <c r="D714" s="9"/>
      <c r="E714" s="9"/>
      <c r="F714" s="9"/>
      <c r="G714" s="9"/>
      <c r="H714" s="35"/>
    </row>
    <row r="715" spans="2:8" x14ac:dyDescent="0.35">
      <c r="B715" s="6"/>
      <c r="C715" s="7"/>
      <c r="D715" s="9"/>
      <c r="E715" s="9"/>
      <c r="F715" s="9"/>
      <c r="G715" s="9"/>
      <c r="H715" s="35"/>
    </row>
    <row r="716" spans="2:8" x14ac:dyDescent="0.35">
      <c r="B716" s="6"/>
      <c r="C716" s="7"/>
      <c r="D716" s="9"/>
      <c r="E716" s="9"/>
      <c r="F716" s="9"/>
      <c r="G716" s="9"/>
      <c r="H716" s="35"/>
    </row>
    <row r="717" spans="2:8" x14ac:dyDescent="0.35">
      <c r="B717" s="6"/>
      <c r="C717" s="7"/>
      <c r="D717" s="9"/>
      <c r="E717" s="9"/>
      <c r="F717" s="9"/>
      <c r="G717" s="9"/>
      <c r="H717" s="35"/>
    </row>
    <row r="718" spans="2:8" x14ac:dyDescent="0.35">
      <c r="B718" s="6"/>
      <c r="C718" s="7"/>
      <c r="D718" s="9"/>
      <c r="E718" s="9"/>
      <c r="F718" s="9"/>
      <c r="G718" s="9"/>
      <c r="H718" s="35"/>
    </row>
    <row r="719" spans="2:8" x14ac:dyDescent="0.35">
      <c r="B719" s="6"/>
      <c r="C719" s="7"/>
      <c r="D719" s="9"/>
      <c r="E719" s="9"/>
      <c r="F719" s="9"/>
      <c r="G719" s="9"/>
      <c r="H719" s="35"/>
    </row>
    <row r="720" spans="2:8" x14ac:dyDescent="0.35">
      <c r="B720" s="6"/>
      <c r="C720" s="7"/>
      <c r="D720" s="9"/>
      <c r="E720" s="9"/>
      <c r="F720" s="9"/>
      <c r="G720" s="9"/>
      <c r="H720" s="35"/>
    </row>
    <row r="721" spans="2:8" x14ac:dyDescent="0.35">
      <c r="B721" s="6"/>
      <c r="C721" s="7"/>
      <c r="D721" s="9"/>
      <c r="E721" s="9"/>
      <c r="F721" s="9"/>
      <c r="G721" s="9"/>
      <c r="H721" s="35"/>
    </row>
    <row r="722" spans="2:8" x14ac:dyDescent="0.35">
      <c r="B722" s="6"/>
      <c r="C722" s="7"/>
      <c r="D722" s="9"/>
      <c r="E722" s="9"/>
      <c r="F722" s="9"/>
      <c r="G722" s="9"/>
      <c r="H722" s="35"/>
    </row>
    <row r="723" spans="2:8" x14ac:dyDescent="0.35">
      <c r="B723" s="6"/>
      <c r="C723" s="7"/>
      <c r="D723" s="9"/>
      <c r="E723" s="9"/>
      <c r="F723" s="9"/>
      <c r="G723" s="9"/>
      <c r="H723" s="35"/>
    </row>
    <row r="724" spans="2:8" x14ac:dyDescent="0.35">
      <c r="B724" s="6"/>
      <c r="C724" s="7"/>
      <c r="D724" s="9"/>
      <c r="E724" s="9"/>
      <c r="F724" s="9"/>
      <c r="G724" s="9"/>
      <c r="H724" s="35"/>
    </row>
    <row r="725" spans="2:8" x14ac:dyDescent="0.35">
      <c r="B725" s="6"/>
      <c r="C725" s="7"/>
      <c r="D725" s="9"/>
      <c r="E725" s="9"/>
      <c r="F725" s="9"/>
      <c r="G725" s="9"/>
      <c r="H725" s="35"/>
    </row>
    <row r="726" spans="2:8" x14ac:dyDescent="0.35">
      <c r="B726" s="6"/>
      <c r="C726" s="7"/>
      <c r="D726" s="9"/>
      <c r="E726" s="9"/>
      <c r="F726" s="9"/>
      <c r="G726" s="9"/>
      <c r="H726" s="35"/>
    </row>
    <row r="727" spans="2:8" x14ac:dyDescent="0.35">
      <c r="B727" s="6"/>
      <c r="C727" s="7"/>
      <c r="D727" s="9"/>
      <c r="E727" s="9"/>
      <c r="F727" s="9"/>
      <c r="G727" s="9"/>
      <c r="H727" s="35"/>
    </row>
    <row r="728" spans="2:8" x14ac:dyDescent="0.35">
      <c r="B728" s="6"/>
      <c r="C728" s="7"/>
      <c r="D728" s="9"/>
      <c r="E728" s="9"/>
      <c r="F728" s="9"/>
      <c r="G728" s="9"/>
      <c r="H728" s="35"/>
    </row>
    <row r="729" spans="2:8" x14ac:dyDescent="0.35">
      <c r="B729" s="6"/>
      <c r="C729" s="7"/>
      <c r="D729" s="9"/>
      <c r="E729" s="9"/>
      <c r="F729" s="9"/>
      <c r="G729" s="9"/>
      <c r="H729" s="35"/>
    </row>
    <row r="730" spans="2:8" x14ac:dyDescent="0.35">
      <c r="B730" s="6"/>
      <c r="C730" s="7"/>
      <c r="D730" s="9"/>
      <c r="E730" s="9"/>
      <c r="F730" s="9"/>
      <c r="G730" s="9"/>
      <c r="H730" s="35"/>
    </row>
    <row r="731" spans="2:8" x14ac:dyDescent="0.35">
      <c r="B731" s="6"/>
      <c r="C731" s="7"/>
      <c r="D731" s="9"/>
      <c r="E731" s="9"/>
      <c r="F731" s="9"/>
      <c r="G731" s="9"/>
      <c r="H731" s="35"/>
    </row>
    <row r="732" spans="2:8" x14ac:dyDescent="0.35">
      <c r="B732" s="6"/>
      <c r="C732" s="7"/>
      <c r="D732" s="9"/>
      <c r="E732" s="9"/>
      <c r="F732" s="9"/>
      <c r="G732" s="9"/>
      <c r="H732" s="35"/>
    </row>
    <row r="733" spans="2:8" x14ac:dyDescent="0.35">
      <c r="B733" s="6"/>
      <c r="C733" s="7"/>
      <c r="D733" s="9"/>
      <c r="E733" s="9"/>
      <c r="F733" s="9"/>
      <c r="G733" s="9"/>
      <c r="H733" s="35"/>
    </row>
    <row r="734" spans="2:8" x14ac:dyDescent="0.35">
      <c r="B734" s="6"/>
      <c r="C734" s="7"/>
      <c r="D734" s="9"/>
      <c r="E734" s="9"/>
      <c r="F734" s="9"/>
      <c r="G734" s="9"/>
      <c r="H734" s="35"/>
    </row>
    <row r="735" spans="2:8" x14ac:dyDescent="0.35">
      <c r="B735" s="6"/>
      <c r="C735" s="7"/>
      <c r="D735" s="9"/>
      <c r="E735" s="9"/>
      <c r="F735" s="9"/>
      <c r="G735" s="9"/>
      <c r="H735" s="35"/>
    </row>
    <row r="736" spans="2:8" x14ac:dyDescent="0.35">
      <c r="B736" s="6"/>
      <c r="C736" s="7"/>
      <c r="D736" s="9"/>
      <c r="E736" s="9"/>
      <c r="F736" s="9"/>
      <c r="G736" s="9"/>
      <c r="H736" s="35"/>
    </row>
    <row r="737" spans="2:8" x14ac:dyDescent="0.35">
      <c r="B737" s="6"/>
      <c r="C737" s="7"/>
      <c r="D737" s="9"/>
      <c r="E737" s="9"/>
      <c r="F737" s="9"/>
      <c r="G737" s="9"/>
      <c r="H737" s="35"/>
    </row>
    <row r="738" spans="2:8" x14ac:dyDescent="0.35">
      <c r="B738" s="6"/>
      <c r="C738" s="7"/>
      <c r="D738" s="9"/>
      <c r="E738" s="9"/>
      <c r="F738" s="9"/>
      <c r="G738" s="9"/>
      <c r="H738" s="35"/>
    </row>
    <row r="739" spans="2:8" x14ac:dyDescent="0.35">
      <c r="B739" s="6"/>
      <c r="C739" s="7"/>
      <c r="D739" s="9"/>
      <c r="E739" s="9"/>
      <c r="F739" s="9"/>
      <c r="G739" s="9"/>
      <c r="H739" s="35"/>
    </row>
    <row r="740" spans="2:8" x14ac:dyDescent="0.35">
      <c r="B740" s="6"/>
      <c r="C740" s="7"/>
      <c r="D740" s="9"/>
      <c r="E740" s="9"/>
      <c r="F740" s="9"/>
      <c r="G740" s="9"/>
      <c r="H740" s="35"/>
    </row>
    <row r="741" spans="2:8" x14ac:dyDescent="0.35">
      <c r="B741" s="6"/>
      <c r="C741" s="7"/>
      <c r="D741" s="9"/>
      <c r="E741" s="9"/>
      <c r="F741" s="9"/>
      <c r="G741" s="9"/>
      <c r="H741" s="35"/>
    </row>
    <row r="742" spans="2:8" x14ac:dyDescent="0.35">
      <c r="B742" s="6"/>
      <c r="C742" s="7"/>
      <c r="D742" s="9"/>
      <c r="E742" s="9"/>
      <c r="F742" s="9"/>
      <c r="G742" s="9"/>
      <c r="H742" s="35"/>
    </row>
    <row r="743" spans="2:8" x14ac:dyDescent="0.35">
      <c r="B743" s="6"/>
      <c r="C743" s="7"/>
      <c r="D743" s="9"/>
      <c r="E743" s="9"/>
      <c r="F743" s="9"/>
      <c r="G743" s="9"/>
      <c r="H743" s="35"/>
    </row>
    <row r="744" spans="2:8" x14ac:dyDescent="0.35">
      <c r="B744" s="6"/>
      <c r="C744" s="7"/>
      <c r="D744" s="9"/>
      <c r="E744" s="9"/>
      <c r="F744" s="9"/>
      <c r="G744" s="9"/>
      <c r="H744" s="35"/>
    </row>
    <row r="745" spans="2:8" x14ac:dyDescent="0.35">
      <c r="B745" s="6"/>
      <c r="C745" s="7"/>
      <c r="D745" s="9"/>
      <c r="E745" s="9"/>
      <c r="F745" s="9"/>
      <c r="G745" s="9"/>
      <c r="H745" s="35"/>
    </row>
    <row r="746" spans="2:8" x14ac:dyDescent="0.35">
      <c r="B746" s="6"/>
      <c r="C746" s="7"/>
      <c r="D746" s="9"/>
      <c r="E746" s="9"/>
      <c r="F746" s="9"/>
      <c r="G746" s="9"/>
      <c r="H746" s="35"/>
    </row>
    <row r="747" spans="2:8" x14ac:dyDescent="0.35">
      <c r="B747" s="6"/>
      <c r="C747" s="7"/>
      <c r="D747" s="9"/>
      <c r="E747" s="9"/>
      <c r="F747" s="9"/>
      <c r="G747" s="9"/>
      <c r="H747" s="35"/>
    </row>
    <row r="748" spans="2:8" x14ac:dyDescent="0.35">
      <c r="B748" s="6"/>
      <c r="C748" s="7"/>
      <c r="D748" s="9"/>
      <c r="E748" s="9"/>
      <c r="F748" s="9"/>
      <c r="G748" s="9"/>
      <c r="H748" s="35"/>
    </row>
    <row r="749" spans="2:8" x14ac:dyDescent="0.35">
      <c r="B749" s="6"/>
      <c r="C749" s="7"/>
      <c r="D749" s="9"/>
      <c r="E749" s="9"/>
      <c r="F749" s="9"/>
      <c r="G749" s="9"/>
      <c r="H749" s="35"/>
    </row>
    <row r="750" spans="2:8" x14ac:dyDescent="0.35">
      <c r="B750" s="6"/>
      <c r="C750" s="7"/>
      <c r="D750" s="9"/>
      <c r="E750" s="9"/>
      <c r="F750" s="9"/>
      <c r="G750" s="9"/>
      <c r="H750" s="35"/>
    </row>
    <row r="751" spans="2:8" x14ac:dyDescent="0.35">
      <c r="B751" s="6"/>
      <c r="C751" s="7"/>
      <c r="D751" s="9"/>
      <c r="E751" s="9"/>
      <c r="F751" s="9"/>
      <c r="G751" s="9"/>
      <c r="H751" s="35"/>
    </row>
    <row r="752" spans="2:8" x14ac:dyDescent="0.35">
      <c r="B752" s="6"/>
      <c r="C752" s="7"/>
      <c r="D752" s="9"/>
      <c r="E752" s="9"/>
      <c r="F752" s="9"/>
      <c r="G752" s="9"/>
      <c r="H752" s="35"/>
    </row>
    <row r="753" spans="2:8" x14ac:dyDescent="0.35">
      <c r="B753" s="6"/>
      <c r="C753" s="7"/>
      <c r="D753" s="9"/>
      <c r="E753" s="9"/>
      <c r="F753" s="9"/>
      <c r="G753" s="9"/>
      <c r="H753" s="35"/>
    </row>
    <row r="754" spans="2:8" x14ac:dyDescent="0.35">
      <c r="B754" s="6"/>
      <c r="C754" s="7"/>
      <c r="D754" s="9"/>
      <c r="E754" s="9"/>
      <c r="F754" s="9"/>
      <c r="G754" s="9"/>
      <c r="H754" s="35"/>
    </row>
    <row r="755" spans="2:8" x14ac:dyDescent="0.35">
      <c r="B755" s="6"/>
      <c r="C755" s="7"/>
      <c r="D755" s="9"/>
      <c r="E755" s="9"/>
      <c r="F755" s="9"/>
      <c r="G755" s="9"/>
      <c r="H755" s="35"/>
    </row>
    <row r="756" spans="2:8" x14ac:dyDescent="0.35">
      <c r="B756" s="6"/>
      <c r="C756" s="7"/>
      <c r="D756" s="9"/>
      <c r="E756" s="9"/>
      <c r="F756" s="9"/>
      <c r="G756" s="9"/>
      <c r="H756" s="35"/>
    </row>
    <row r="757" spans="2:8" x14ac:dyDescent="0.35">
      <c r="B757" s="6"/>
      <c r="C757" s="7"/>
      <c r="D757" s="9"/>
      <c r="E757" s="9"/>
      <c r="F757" s="9"/>
      <c r="G757" s="9"/>
      <c r="H757" s="35"/>
    </row>
    <row r="758" spans="2:8" x14ac:dyDescent="0.35">
      <c r="B758" s="6"/>
      <c r="C758" s="7"/>
      <c r="D758" s="9"/>
      <c r="E758" s="9"/>
      <c r="F758" s="9"/>
      <c r="G758" s="9"/>
      <c r="H758" s="35"/>
    </row>
    <row r="759" spans="2:8" x14ac:dyDescent="0.35">
      <c r="B759" s="6"/>
      <c r="C759" s="7"/>
      <c r="D759" s="9"/>
      <c r="E759" s="9"/>
      <c r="F759" s="9"/>
      <c r="G759" s="9"/>
      <c r="H759" s="35"/>
    </row>
    <row r="760" spans="2:8" x14ac:dyDescent="0.35">
      <c r="B760" s="6"/>
      <c r="C760" s="7"/>
      <c r="D760" s="9"/>
      <c r="E760" s="9"/>
      <c r="F760" s="9"/>
      <c r="G760" s="9"/>
      <c r="H760" s="35"/>
    </row>
    <row r="761" spans="2:8" x14ac:dyDescent="0.35">
      <c r="B761" s="6"/>
      <c r="C761" s="7"/>
      <c r="D761" s="9"/>
      <c r="E761" s="9"/>
      <c r="F761" s="9"/>
      <c r="G761" s="9"/>
      <c r="H761" s="35"/>
    </row>
    <row r="762" spans="2:8" x14ac:dyDescent="0.35">
      <c r="B762" s="6"/>
      <c r="C762" s="7"/>
      <c r="D762" s="9"/>
      <c r="E762" s="9"/>
      <c r="F762" s="9"/>
      <c r="G762" s="9"/>
      <c r="H762" s="35"/>
    </row>
    <row r="763" spans="2:8" x14ac:dyDescent="0.35">
      <c r="B763" s="6"/>
      <c r="C763" s="7"/>
      <c r="D763" s="9"/>
      <c r="E763" s="9"/>
      <c r="F763" s="9"/>
      <c r="G763" s="9"/>
      <c r="H763" s="35"/>
    </row>
    <row r="764" spans="2:8" x14ac:dyDescent="0.35">
      <c r="B764" s="6"/>
      <c r="C764" s="7"/>
      <c r="D764" s="9"/>
      <c r="E764" s="9"/>
      <c r="F764" s="9"/>
      <c r="G764" s="9"/>
      <c r="H764" s="35"/>
    </row>
    <row r="765" spans="2:8" x14ac:dyDescent="0.35">
      <c r="B765" s="6"/>
      <c r="C765" s="7"/>
      <c r="D765" s="9"/>
      <c r="E765" s="9"/>
      <c r="F765" s="9"/>
      <c r="G765" s="9"/>
      <c r="H765" s="35"/>
    </row>
    <row r="766" spans="2:8" x14ac:dyDescent="0.35">
      <c r="B766" s="6"/>
      <c r="C766" s="7"/>
      <c r="D766" s="9"/>
      <c r="E766" s="9"/>
      <c r="F766" s="9"/>
      <c r="G766" s="9"/>
      <c r="H766" s="35"/>
    </row>
    <row r="767" spans="2:8" x14ac:dyDescent="0.35">
      <c r="B767" s="6"/>
      <c r="C767" s="7"/>
      <c r="D767" s="9"/>
      <c r="E767" s="9"/>
      <c r="F767" s="9"/>
      <c r="G767" s="9"/>
      <c r="H767" s="35"/>
    </row>
    <row r="768" spans="2:8" x14ac:dyDescent="0.35">
      <c r="B768" s="6"/>
      <c r="C768" s="7"/>
      <c r="D768" s="9"/>
      <c r="E768" s="9"/>
      <c r="F768" s="9"/>
      <c r="G768" s="9"/>
      <c r="H768" s="35"/>
    </row>
    <row r="769" spans="2:8" x14ac:dyDescent="0.35">
      <c r="B769" s="6"/>
      <c r="C769" s="7"/>
      <c r="D769" s="9"/>
      <c r="E769" s="9"/>
      <c r="F769" s="9"/>
      <c r="G769" s="9"/>
      <c r="H769" s="35"/>
    </row>
    <row r="770" spans="2:8" x14ac:dyDescent="0.35">
      <c r="B770" s="6"/>
      <c r="C770" s="7"/>
      <c r="D770" s="9"/>
      <c r="E770" s="9"/>
      <c r="F770" s="9"/>
      <c r="G770" s="9"/>
      <c r="H770" s="35"/>
    </row>
    <row r="771" spans="2:8" x14ac:dyDescent="0.35">
      <c r="B771" s="6"/>
      <c r="C771" s="7"/>
      <c r="D771" s="9"/>
      <c r="E771" s="9"/>
      <c r="F771" s="9"/>
      <c r="G771" s="9"/>
      <c r="H771" s="35"/>
    </row>
    <row r="772" spans="2:8" x14ac:dyDescent="0.35">
      <c r="B772" s="6"/>
      <c r="C772" s="7"/>
      <c r="D772" s="9"/>
      <c r="E772" s="9"/>
      <c r="F772" s="9"/>
      <c r="G772" s="9"/>
      <c r="H772" s="35"/>
    </row>
    <row r="773" spans="2:8" x14ac:dyDescent="0.35">
      <c r="B773" s="6"/>
      <c r="C773" s="7"/>
      <c r="D773" s="9"/>
      <c r="E773" s="9"/>
      <c r="F773" s="9"/>
      <c r="G773" s="9"/>
      <c r="H773" s="35"/>
    </row>
    <row r="774" spans="2:8" x14ac:dyDescent="0.35">
      <c r="B774" s="6"/>
      <c r="C774" s="7"/>
      <c r="D774" s="9"/>
      <c r="E774" s="9"/>
      <c r="F774" s="9"/>
      <c r="G774" s="9"/>
      <c r="H774" s="35"/>
    </row>
    <row r="775" spans="2:8" x14ac:dyDescent="0.35">
      <c r="B775" s="6"/>
      <c r="C775" s="7"/>
      <c r="D775" s="9"/>
      <c r="E775" s="9"/>
      <c r="F775" s="9"/>
      <c r="G775" s="9"/>
      <c r="H775" s="35"/>
    </row>
    <row r="776" spans="2:8" x14ac:dyDescent="0.35">
      <c r="B776" s="6"/>
      <c r="C776" s="7"/>
      <c r="D776" s="9"/>
      <c r="E776" s="9"/>
      <c r="F776" s="9"/>
      <c r="G776" s="9"/>
      <c r="H776" s="35"/>
    </row>
    <row r="777" spans="2:8" x14ac:dyDescent="0.35">
      <c r="B777" s="6"/>
      <c r="C777" s="7"/>
      <c r="D777" s="9"/>
      <c r="E777" s="9"/>
      <c r="F777" s="9"/>
      <c r="G777" s="9"/>
      <c r="H777" s="35"/>
    </row>
    <row r="778" spans="2:8" x14ac:dyDescent="0.35">
      <c r="B778" s="6"/>
      <c r="C778" s="7"/>
      <c r="D778" s="9"/>
      <c r="E778" s="9"/>
      <c r="F778" s="9"/>
      <c r="G778" s="9"/>
      <c r="H778" s="35"/>
    </row>
    <row r="779" spans="2:8" x14ac:dyDescent="0.35">
      <c r="B779" s="6"/>
      <c r="C779" s="7"/>
      <c r="D779" s="9"/>
      <c r="E779" s="9"/>
      <c r="F779" s="9"/>
      <c r="G779" s="9"/>
      <c r="H779" s="35"/>
    </row>
    <row r="780" spans="2:8" x14ac:dyDescent="0.35">
      <c r="B780" s="6"/>
      <c r="C780" s="7"/>
      <c r="D780" s="9"/>
      <c r="E780" s="9"/>
      <c r="F780" s="9"/>
      <c r="G780" s="9"/>
      <c r="H780" s="35"/>
    </row>
    <row r="781" spans="2:8" x14ac:dyDescent="0.35">
      <c r="B781" s="6"/>
      <c r="C781" s="7"/>
      <c r="D781" s="9"/>
      <c r="E781" s="9"/>
      <c r="F781" s="9"/>
      <c r="G781" s="9"/>
      <c r="H781" s="35"/>
    </row>
    <row r="782" spans="2:8" x14ac:dyDescent="0.35">
      <c r="B782" s="6"/>
      <c r="C782" s="7"/>
      <c r="D782" s="9"/>
      <c r="E782" s="9"/>
      <c r="F782" s="9"/>
      <c r="G782" s="9"/>
      <c r="H782" s="35"/>
    </row>
    <row r="783" spans="2:8" x14ac:dyDescent="0.35">
      <c r="B783" s="6"/>
      <c r="C783" s="7"/>
      <c r="D783" s="9"/>
      <c r="E783" s="9"/>
      <c r="F783" s="9"/>
      <c r="G783" s="9"/>
      <c r="H783" s="35"/>
    </row>
    <row r="784" spans="2:8" x14ac:dyDescent="0.35">
      <c r="B784" s="6"/>
      <c r="C784" s="7"/>
      <c r="D784" s="9"/>
      <c r="E784" s="9"/>
      <c r="F784" s="9"/>
      <c r="G784" s="9"/>
      <c r="H784" s="35"/>
    </row>
    <row r="785" spans="2:8" x14ac:dyDescent="0.35">
      <c r="B785" s="6"/>
      <c r="C785" s="7"/>
      <c r="D785" s="9"/>
      <c r="E785" s="9"/>
      <c r="F785" s="9"/>
      <c r="G785" s="9"/>
      <c r="H785" s="35"/>
    </row>
    <row r="786" spans="2:8" x14ac:dyDescent="0.35">
      <c r="B786" s="6"/>
      <c r="C786" s="7"/>
      <c r="D786" s="9"/>
      <c r="E786" s="9"/>
      <c r="F786" s="9"/>
      <c r="G786" s="9"/>
      <c r="H786" s="35"/>
    </row>
    <row r="787" spans="2:8" x14ac:dyDescent="0.35">
      <c r="B787" s="6"/>
      <c r="C787" s="7"/>
      <c r="D787" s="9"/>
      <c r="E787" s="9"/>
      <c r="F787" s="9"/>
      <c r="G787" s="9"/>
      <c r="H787" s="35"/>
    </row>
    <row r="788" spans="2:8" x14ac:dyDescent="0.35">
      <c r="B788" s="6"/>
      <c r="C788" s="7"/>
      <c r="D788" s="9"/>
      <c r="E788" s="9"/>
      <c r="F788" s="9"/>
      <c r="G788" s="9"/>
      <c r="H788" s="35"/>
    </row>
    <row r="789" spans="2:8" x14ac:dyDescent="0.35">
      <c r="B789" s="6"/>
      <c r="C789" s="7"/>
      <c r="D789" s="9"/>
      <c r="E789" s="9"/>
      <c r="F789" s="9"/>
      <c r="G789" s="9"/>
      <c r="H789" s="35"/>
    </row>
    <row r="790" spans="2:8" x14ac:dyDescent="0.35">
      <c r="B790" s="6"/>
      <c r="C790" s="7"/>
      <c r="D790" s="9"/>
      <c r="E790" s="9"/>
      <c r="F790" s="9"/>
      <c r="G790" s="9"/>
      <c r="H790" s="35"/>
    </row>
    <row r="791" spans="2:8" x14ac:dyDescent="0.35">
      <c r="B791" s="6"/>
      <c r="C791" s="7"/>
      <c r="D791" s="9"/>
      <c r="E791" s="9"/>
      <c r="F791" s="9"/>
      <c r="G791" s="9"/>
      <c r="H791" s="35"/>
    </row>
    <row r="792" spans="2:8" x14ac:dyDescent="0.35">
      <c r="B792" s="6"/>
      <c r="C792" s="7"/>
      <c r="D792" s="9"/>
      <c r="E792" s="9"/>
      <c r="F792" s="9"/>
      <c r="G792" s="9"/>
      <c r="H792" s="35"/>
    </row>
    <row r="793" spans="2:8" x14ac:dyDescent="0.35">
      <c r="B793" s="6"/>
      <c r="C793" s="7"/>
      <c r="D793" s="9"/>
      <c r="E793" s="9"/>
      <c r="F793" s="9"/>
      <c r="G793" s="9"/>
      <c r="H793" s="35"/>
    </row>
    <row r="794" spans="2:8" x14ac:dyDescent="0.35">
      <c r="B794" s="6"/>
      <c r="C794" s="7"/>
      <c r="D794" s="9"/>
      <c r="E794" s="9"/>
      <c r="F794" s="9"/>
      <c r="G794" s="9"/>
      <c r="H794" s="35"/>
    </row>
    <row r="795" spans="2:8" x14ac:dyDescent="0.35">
      <c r="B795" s="6"/>
      <c r="C795" s="7"/>
      <c r="D795" s="9"/>
      <c r="E795" s="9"/>
      <c r="F795" s="9"/>
      <c r="G795" s="9"/>
      <c r="H795" s="35"/>
    </row>
    <row r="796" spans="2:8" x14ac:dyDescent="0.35">
      <c r="B796" s="6"/>
      <c r="C796" s="7"/>
      <c r="D796" s="9"/>
      <c r="E796" s="9"/>
      <c r="F796" s="9"/>
      <c r="G796" s="9"/>
      <c r="H796" s="35"/>
    </row>
    <row r="797" spans="2:8" x14ac:dyDescent="0.35">
      <c r="B797" s="6"/>
      <c r="C797" s="7"/>
      <c r="D797" s="9"/>
      <c r="E797" s="9"/>
      <c r="F797" s="9"/>
      <c r="G797" s="9"/>
      <c r="H797" s="35"/>
    </row>
    <row r="798" spans="2:8" x14ac:dyDescent="0.35">
      <c r="B798" s="6"/>
      <c r="C798" s="7"/>
      <c r="D798" s="9"/>
      <c r="E798" s="9"/>
      <c r="F798" s="9"/>
      <c r="G798" s="9"/>
      <c r="H798" s="35"/>
    </row>
    <row r="799" spans="2:8" x14ac:dyDescent="0.35">
      <c r="B799" s="6"/>
      <c r="C799" s="7"/>
      <c r="D799" s="9"/>
      <c r="E799" s="9"/>
      <c r="F799" s="9"/>
      <c r="G799" s="9"/>
      <c r="H799" s="35"/>
    </row>
    <row r="800" spans="2:8" x14ac:dyDescent="0.35">
      <c r="B800" s="6"/>
      <c r="C800" s="7"/>
      <c r="D800" s="9"/>
      <c r="E800" s="9"/>
      <c r="F800" s="9"/>
      <c r="G800" s="9"/>
      <c r="H800" s="35"/>
    </row>
    <row r="801" spans="2:8" x14ac:dyDescent="0.35">
      <c r="B801" s="6"/>
      <c r="C801" s="7"/>
      <c r="D801" s="9"/>
      <c r="E801" s="9"/>
      <c r="F801" s="9"/>
      <c r="G801" s="9"/>
      <c r="H801" s="35"/>
    </row>
    <row r="802" spans="2:8" x14ac:dyDescent="0.35">
      <c r="B802" s="6"/>
      <c r="C802" s="7"/>
      <c r="D802" s="9"/>
      <c r="E802" s="9"/>
      <c r="F802" s="9"/>
      <c r="G802" s="9"/>
      <c r="H802" s="35"/>
    </row>
    <row r="803" spans="2:8" x14ac:dyDescent="0.35">
      <c r="B803" s="6"/>
      <c r="C803" s="7"/>
      <c r="D803" s="9"/>
      <c r="E803" s="9"/>
      <c r="F803" s="9"/>
      <c r="G803" s="9"/>
      <c r="H803" s="35"/>
    </row>
    <row r="804" spans="2:8" x14ac:dyDescent="0.35">
      <c r="B804" s="6"/>
      <c r="C804" s="7"/>
      <c r="D804" s="9"/>
      <c r="E804" s="9"/>
      <c r="F804" s="9"/>
      <c r="G804" s="9"/>
      <c r="H804" s="35"/>
    </row>
    <row r="805" spans="2:8" x14ac:dyDescent="0.35">
      <c r="B805" s="6"/>
      <c r="C805" s="7"/>
      <c r="D805" s="9"/>
      <c r="E805" s="9"/>
      <c r="F805" s="9"/>
      <c r="G805" s="9"/>
      <c r="H805" s="35"/>
    </row>
    <row r="806" spans="2:8" x14ac:dyDescent="0.35">
      <c r="B806" s="6"/>
      <c r="C806" s="7"/>
      <c r="D806" s="9"/>
      <c r="E806" s="9"/>
      <c r="F806" s="9"/>
      <c r="G806" s="9"/>
      <c r="H806" s="35"/>
    </row>
    <row r="807" spans="2:8" x14ac:dyDescent="0.35">
      <c r="B807" s="6"/>
      <c r="C807" s="7"/>
      <c r="D807" s="9"/>
      <c r="E807" s="9"/>
      <c r="F807" s="9"/>
      <c r="G807" s="9"/>
      <c r="H807" s="35"/>
    </row>
    <row r="808" spans="2:8" x14ac:dyDescent="0.35">
      <c r="B808" s="6"/>
      <c r="C808" s="7"/>
      <c r="D808" s="9"/>
      <c r="E808" s="9"/>
      <c r="F808" s="9"/>
      <c r="G808" s="9"/>
      <c r="H808" s="35"/>
    </row>
    <row r="809" spans="2:8" x14ac:dyDescent="0.35">
      <c r="B809" s="6"/>
      <c r="C809" s="7"/>
      <c r="D809" s="9"/>
      <c r="E809" s="9"/>
      <c r="F809" s="9"/>
      <c r="G809" s="9"/>
      <c r="H809" s="35"/>
    </row>
    <row r="810" spans="2:8" x14ac:dyDescent="0.35">
      <c r="B810" s="6"/>
      <c r="C810" s="7"/>
      <c r="D810" s="9"/>
      <c r="E810" s="9"/>
      <c r="F810" s="9"/>
      <c r="G810" s="9"/>
      <c r="H810" s="35"/>
    </row>
    <row r="811" spans="2:8" x14ac:dyDescent="0.35">
      <c r="B811" s="6"/>
      <c r="C811" s="7"/>
      <c r="D811" s="9"/>
      <c r="E811" s="9"/>
      <c r="F811" s="9"/>
      <c r="G811" s="9"/>
      <c r="H811" s="35"/>
    </row>
    <row r="812" spans="2:8" x14ac:dyDescent="0.35">
      <c r="B812" s="6"/>
      <c r="C812" s="7"/>
      <c r="D812" s="9"/>
      <c r="E812" s="9"/>
      <c r="F812" s="9"/>
      <c r="G812" s="9"/>
      <c r="H812" s="35"/>
    </row>
    <row r="813" spans="2:8" x14ac:dyDescent="0.35">
      <c r="B813" s="6"/>
      <c r="C813" s="7"/>
      <c r="D813" s="9"/>
      <c r="E813" s="9"/>
      <c r="F813" s="9"/>
      <c r="G813" s="9"/>
      <c r="H813" s="35"/>
    </row>
    <row r="814" spans="2:8" x14ac:dyDescent="0.35">
      <c r="B814" s="6"/>
      <c r="C814" s="7"/>
      <c r="D814" s="9"/>
      <c r="E814" s="9"/>
      <c r="F814" s="9"/>
      <c r="G814" s="9"/>
      <c r="H814" s="35"/>
    </row>
    <row r="815" spans="2:8" x14ac:dyDescent="0.35">
      <c r="B815" s="6"/>
      <c r="C815" s="7"/>
      <c r="D815" s="9"/>
      <c r="E815" s="9"/>
      <c r="F815" s="9"/>
      <c r="G815" s="9"/>
      <c r="H815" s="35"/>
    </row>
    <row r="816" spans="2:8" x14ac:dyDescent="0.35">
      <c r="B816" s="6"/>
      <c r="C816" s="7"/>
      <c r="D816" s="9"/>
      <c r="E816" s="9"/>
      <c r="F816" s="9"/>
      <c r="G816" s="9"/>
      <c r="H816" s="35"/>
    </row>
    <row r="817" spans="2:8" x14ac:dyDescent="0.35">
      <c r="B817" s="6"/>
      <c r="C817" s="7"/>
      <c r="D817" s="9"/>
      <c r="E817" s="9"/>
      <c r="F817" s="9"/>
      <c r="G817" s="9"/>
      <c r="H817" s="35"/>
    </row>
    <row r="818" spans="2:8" x14ac:dyDescent="0.35">
      <c r="B818" s="6"/>
      <c r="C818" s="7"/>
      <c r="D818" s="9"/>
      <c r="E818" s="9"/>
      <c r="F818" s="9"/>
      <c r="G818" s="9"/>
      <c r="H818" s="35"/>
    </row>
    <row r="819" spans="2:8" x14ac:dyDescent="0.35">
      <c r="B819" s="6"/>
      <c r="C819" s="7"/>
      <c r="D819" s="9"/>
      <c r="E819" s="9"/>
      <c r="F819" s="9"/>
      <c r="G819" s="9"/>
      <c r="H819" s="35"/>
    </row>
    <row r="820" spans="2:8" x14ac:dyDescent="0.35">
      <c r="B820" s="6"/>
      <c r="C820" s="7"/>
      <c r="D820" s="9"/>
      <c r="E820" s="9"/>
      <c r="F820" s="9"/>
      <c r="G820" s="9"/>
      <c r="H820" s="35"/>
    </row>
    <row r="821" spans="2:8" x14ac:dyDescent="0.35">
      <c r="B821" s="6"/>
      <c r="C821" s="7"/>
      <c r="D821" s="9"/>
      <c r="E821" s="9"/>
      <c r="F821" s="9"/>
      <c r="G821" s="9"/>
      <c r="H821" s="35"/>
    </row>
    <row r="822" spans="2:8" x14ac:dyDescent="0.35">
      <c r="B822" s="6"/>
      <c r="C822" s="7"/>
      <c r="D822" s="9"/>
      <c r="E822" s="9"/>
      <c r="F822" s="9"/>
      <c r="G822" s="9"/>
      <c r="H822" s="35"/>
    </row>
    <row r="823" spans="2:8" x14ac:dyDescent="0.35">
      <c r="B823" s="6"/>
      <c r="C823" s="7"/>
      <c r="D823" s="9"/>
      <c r="E823" s="9"/>
      <c r="F823" s="9"/>
      <c r="G823" s="9"/>
      <c r="H823" s="35"/>
    </row>
    <row r="824" spans="2:8" x14ac:dyDescent="0.35">
      <c r="B824" s="6"/>
      <c r="C824" s="7"/>
      <c r="D824" s="9"/>
      <c r="E824" s="9"/>
      <c r="F824" s="9"/>
      <c r="G824" s="9"/>
      <c r="H824" s="35"/>
    </row>
    <row r="825" spans="2:8" x14ac:dyDescent="0.35">
      <c r="B825" s="6"/>
      <c r="C825" s="7"/>
      <c r="D825" s="9"/>
      <c r="E825" s="9"/>
      <c r="F825" s="9"/>
      <c r="G825" s="9"/>
      <c r="H825" s="35"/>
    </row>
    <row r="826" spans="2:8" x14ac:dyDescent="0.35">
      <c r="B826" s="6"/>
      <c r="C826" s="7"/>
      <c r="D826" s="9"/>
      <c r="E826" s="9"/>
      <c r="F826" s="9"/>
      <c r="G826" s="9"/>
      <c r="H826" s="35"/>
    </row>
    <row r="827" spans="2:8" x14ac:dyDescent="0.35">
      <c r="B827" s="6"/>
      <c r="C827" s="7"/>
      <c r="D827" s="9"/>
      <c r="E827" s="9"/>
      <c r="F827" s="9"/>
      <c r="G827" s="9"/>
      <c r="H827" s="35"/>
    </row>
    <row r="828" spans="2:8" x14ac:dyDescent="0.35">
      <c r="B828" s="6"/>
      <c r="C828" s="7"/>
      <c r="D828" s="9"/>
      <c r="E828" s="9"/>
      <c r="F828" s="9"/>
      <c r="G828" s="9"/>
      <c r="H828" s="35"/>
    </row>
    <row r="829" spans="2:8" x14ac:dyDescent="0.35">
      <c r="B829" s="6"/>
      <c r="C829" s="7"/>
      <c r="D829" s="9"/>
      <c r="E829" s="9"/>
      <c r="F829" s="9"/>
      <c r="G829" s="9"/>
      <c r="H829" s="35"/>
    </row>
    <row r="830" spans="2:8" x14ac:dyDescent="0.35">
      <c r="B830" s="6"/>
      <c r="C830" s="7"/>
      <c r="D830" s="9"/>
      <c r="E830" s="9"/>
      <c r="F830" s="9"/>
      <c r="G830" s="9"/>
      <c r="H830" s="35"/>
    </row>
    <row r="831" spans="2:8" x14ac:dyDescent="0.35">
      <c r="B831" s="6"/>
      <c r="C831" s="7"/>
      <c r="D831" s="9"/>
      <c r="E831" s="9"/>
      <c r="F831" s="9"/>
      <c r="G831" s="9"/>
      <c r="H831" s="35"/>
    </row>
    <row r="832" spans="2:8" x14ac:dyDescent="0.35">
      <c r="B832" s="6"/>
      <c r="C832" s="7"/>
      <c r="D832" s="9"/>
      <c r="E832" s="9"/>
      <c r="F832" s="9"/>
      <c r="G832" s="9"/>
      <c r="H832" s="35"/>
    </row>
    <row r="833" spans="2:8" x14ac:dyDescent="0.35">
      <c r="B833" s="6"/>
      <c r="C833" s="7"/>
      <c r="D833" s="9"/>
      <c r="E833" s="9"/>
      <c r="F833" s="9"/>
      <c r="G833" s="9"/>
      <c r="H833" s="35"/>
    </row>
    <row r="834" spans="2:8" x14ac:dyDescent="0.35">
      <c r="B834" s="6"/>
      <c r="C834" s="7"/>
      <c r="D834" s="9"/>
      <c r="E834" s="9"/>
      <c r="F834" s="9"/>
      <c r="G834" s="9"/>
      <c r="H834" s="35"/>
    </row>
    <row r="835" spans="2:8" x14ac:dyDescent="0.35">
      <c r="B835" s="6"/>
      <c r="C835" s="7"/>
      <c r="D835" s="9"/>
      <c r="E835" s="9"/>
      <c r="F835" s="9"/>
      <c r="G835" s="9"/>
      <c r="H835" s="35"/>
    </row>
    <row r="836" spans="2:8" x14ac:dyDescent="0.35">
      <c r="B836" s="6"/>
      <c r="C836" s="7"/>
      <c r="D836" s="9"/>
      <c r="E836" s="9"/>
      <c r="F836" s="9"/>
      <c r="G836" s="9"/>
      <c r="H836" s="35"/>
    </row>
    <row r="837" spans="2:8" x14ac:dyDescent="0.35">
      <c r="B837" s="6"/>
      <c r="C837" s="7"/>
      <c r="D837" s="9"/>
      <c r="E837" s="9"/>
      <c r="F837" s="9"/>
      <c r="G837" s="9"/>
      <c r="H837" s="35"/>
    </row>
    <row r="838" spans="2:8" x14ac:dyDescent="0.35">
      <c r="B838" s="6"/>
      <c r="C838" s="7"/>
      <c r="D838" s="9"/>
      <c r="E838" s="9"/>
      <c r="F838" s="9"/>
      <c r="G838" s="9"/>
      <c r="H838" s="35"/>
    </row>
    <row r="839" spans="2:8" x14ac:dyDescent="0.35">
      <c r="B839" s="6"/>
      <c r="C839" s="7"/>
      <c r="D839" s="9"/>
      <c r="E839" s="9"/>
      <c r="F839" s="9"/>
      <c r="G839" s="9"/>
      <c r="H839" s="35"/>
    </row>
    <row r="840" spans="2:8" x14ac:dyDescent="0.35">
      <c r="B840" s="6"/>
      <c r="C840" s="7"/>
      <c r="D840" s="9"/>
      <c r="E840" s="9"/>
      <c r="F840" s="9"/>
      <c r="G840" s="9"/>
      <c r="H840" s="35"/>
    </row>
    <row r="841" spans="2:8" x14ac:dyDescent="0.35">
      <c r="B841" s="6"/>
      <c r="C841" s="7"/>
      <c r="D841" s="9"/>
      <c r="E841" s="9"/>
      <c r="F841" s="9"/>
      <c r="G841" s="9"/>
      <c r="H841" s="35"/>
    </row>
    <row r="842" spans="2:8" x14ac:dyDescent="0.35">
      <c r="B842" s="6"/>
      <c r="C842" s="7"/>
      <c r="D842" s="9"/>
      <c r="E842" s="9"/>
      <c r="F842" s="9"/>
      <c r="G842" s="9"/>
      <c r="H842" s="35"/>
    </row>
    <row r="843" spans="2:8" x14ac:dyDescent="0.35">
      <c r="B843" s="6"/>
      <c r="C843" s="7"/>
      <c r="D843" s="9"/>
      <c r="E843" s="9"/>
      <c r="F843" s="9"/>
      <c r="G843" s="9"/>
      <c r="H843" s="35"/>
    </row>
    <row r="844" spans="2:8" x14ac:dyDescent="0.35">
      <c r="B844" s="6"/>
      <c r="C844" s="7"/>
      <c r="D844" s="9"/>
      <c r="E844" s="9"/>
      <c r="F844" s="9"/>
      <c r="G844" s="9"/>
      <c r="H844" s="35"/>
    </row>
    <row r="845" spans="2:8" x14ac:dyDescent="0.35">
      <c r="B845" s="6"/>
      <c r="C845" s="7"/>
      <c r="D845" s="9"/>
      <c r="E845" s="9"/>
      <c r="F845" s="9"/>
      <c r="G845" s="9"/>
      <c r="H845" s="35"/>
    </row>
    <row r="846" spans="2:8" x14ac:dyDescent="0.35">
      <c r="B846" s="6"/>
      <c r="C846" s="7"/>
      <c r="D846" s="9"/>
      <c r="E846" s="9"/>
      <c r="F846" s="9"/>
      <c r="G846" s="9"/>
      <c r="H846" s="35"/>
    </row>
    <row r="847" spans="2:8" x14ac:dyDescent="0.35">
      <c r="B847" s="6"/>
      <c r="C847" s="7"/>
      <c r="D847" s="9"/>
      <c r="E847" s="9"/>
      <c r="F847" s="9"/>
      <c r="G847" s="9"/>
      <c r="H847" s="35"/>
    </row>
    <row r="848" spans="2:8" x14ac:dyDescent="0.35">
      <c r="B848" s="6"/>
      <c r="C848" s="7"/>
      <c r="D848" s="9"/>
      <c r="E848" s="9"/>
      <c r="F848" s="9"/>
      <c r="G848" s="9"/>
      <c r="H848" s="35"/>
    </row>
    <row r="849" spans="2:8" x14ac:dyDescent="0.35">
      <c r="B849" s="6"/>
      <c r="C849" s="7"/>
      <c r="D849" s="9"/>
      <c r="E849" s="9"/>
      <c r="F849" s="9"/>
      <c r="G849" s="9"/>
      <c r="H849" s="35"/>
    </row>
    <row r="850" spans="2:8" x14ac:dyDescent="0.35">
      <c r="B850" s="6"/>
      <c r="C850" s="7"/>
      <c r="D850" s="9"/>
      <c r="E850" s="9"/>
      <c r="F850" s="9"/>
      <c r="G850" s="9"/>
      <c r="H850" s="35"/>
    </row>
    <row r="851" spans="2:8" x14ac:dyDescent="0.35">
      <c r="B851" s="6"/>
      <c r="C851" s="7"/>
      <c r="D851" s="9"/>
      <c r="E851" s="9"/>
      <c r="F851" s="9"/>
      <c r="G851" s="9"/>
      <c r="H851" s="35"/>
    </row>
    <row r="852" spans="2:8" x14ac:dyDescent="0.35">
      <c r="B852" s="6"/>
      <c r="C852" s="7"/>
      <c r="D852" s="9"/>
      <c r="E852" s="9"/>
      <c r="F852" s="9"/>
      <c r="G852" s="9"/>
      <c r="H852" s="35"/>
    </row>
    <row r="853" spans="2:8" x14ac:dyDescent="0.35">
      <c r="B853" s="6"/>
      <c r="C853" s="7"/>
      <c r="D853" s="9"/>
      <c r="E853" s="9"/>
      <c r="F853" s="9"/>
      <c r="G853" s="9"/>
      <c r="H853" s="35"/>
    </row>
    <row r="854" spans="2:8" x14ac:dyDescent="0.35">
      <c r="B854" s="6"/>
      <c r="C854" s="7"/>
      <c r="D854" s="9"/>
      <c r="E854" s="9"/>
      <c r="F854" s="9"/>
      <c r="G854" s="9"/>
      <c r="H854" s="35"/>
    </row>
    <row r="855" spans="2:8" x14ac:dyDescent="0.35">
      <c r="B855" s="6"/>
      <c r="C855" s="7"/>
      <c r="D855" s="9"/>
      <c r="E855" s="9"/>
      <c r="F855" s="9"/>
      <c r="G855" s="9"/>
      <c r="H855" s="35"/>
    </row>
    <row r="856" spans="2:8" x14ac:dyDescent="0.35">
      <c r="B856" s="6"/>
      <c r="C856" s="7"/>
      <c r="D856" s="9"/>
      <c r="E856" s="9"/>
      <c r="F856" s="9"/>
      <c r="G856" s="9"/>
      <c r="H856" s="35"/>
    </row>
    <row r="857" spans="2:8" x14ac:dyDescent="0.35">
      <c r="B857" s="6"/>
      <c r="C857" s="7"/>
      <c r="D857" s="9"/>
      <c r="E857" s="9"/>
      <c r="F857" s="9"/>
      <c r="G857" s="9"/>
      <c r="H857" s="35"/>
    </row>
    <row r="858" spans="2:8" x14ac:dyDescent="0.35">
      <c r="B858" s="6"/>
      <c r="C858" s="7"/>
      <c r="D858" s="9"/>
      <c r="E858" s="9"/>
      <c r="F858" s="9"/>
      <c r="G858" s="9"/>
      <c r="H858" s="35"/>
    </row>
    <row r="859" spans="2:8" x14ac:dyDescent="0.35">
      <c r="B859" s="6"/>
      <c r="C859" s="7"/>
      <c r="D859" s="9"/>
      <c r="E859" s="9"/>
      <c r="F859" s="9"/>
      <c r="G859" s="9"/>
      <c r="H859" s="35"/>
    </row>
    <row r="860" spans="2:8" x14ac:dyDescent="0.35">
      <c r="B860" s="6"/>
      <c r="C860" s="7"/>
      <c r="D860" s="9"/>
      <c r="E860" s="9"/>
      <c r="F860" s="9"/>
      <c r="G860" s="9"/>
      <c r="H860" s="35"/>
    </row>
    <row r="861" spans="2:8" x14ac:dyDescent="0.35">
      <c r="B861" s="6"/>
      <c r="C861" s="7"/>
      <c r="D861" s="9"/>
      <c r="E861" s="9"/>
      <c r="F861" s="9"/>
      <c r="G861" s="9"/>
      <c r="H861" s="35"/>
    </row>
    <row r="862" spans="2:8" x14ac:dyDescent="0.35">
      <c r="B862" s="6"/>
      <c r="C862" s="7"/>
      <c r="D862" s="9"/>
      <c r="E862" s="9"/>
      <c r="F862" s="9"/>
      <c r="G862" s="9"/>
      <c r="H862" s="35"/>
    </row>
    <row r="863" spans="2:8" x14ac:dyDescent="0.35">
      <c r="B863" s="6"/>
      <c r="C863" s="7"/>
      <c r="D863" s="9"/>
      <c r="E863" s="9"/>
      <c r="F863" s="9"/>
      <c r="G863" s="9"/>
      <c r="H863" s="35"/>
    </row>
    <row r="864" spans="2:8" x14ac:dyDescent="0.35">
      <c r="B864" s="6"/>
      <c r="C864" s="7"/>
      <c r="D864" s="9"/>
      <c r="E864" s="9"/>
      <c r="F864" s="9"/>
      <c r="G864" s="9"/>
      <c r="H864" s="35"/>
    </row>
    <row r="865" spans="2:8" x14ac:dyDescent="0.35">
      <c r="B865" s="6"/>
      <c r="C865" s="7"/>
      <c r="D865" s="9"/>
      <c r="E865" s="9"/>
      <c r="F865" s="9"/>
      <c r="G865" s="9"/>
      <c r="H865" s="35"/>
    </row>
    <row r="866" spans="2:8" x14ac:dyDescent="0.35">
      <c r="B866" s="6"/>
      <c r="C866" s="7"/>
      <c r="D866" s="9"/>
      <c r="E866" s="9"/>
      <c r="F866" s="9"/>
      <c r="G866" s="9"/>
      <c r="H866" s="35"/>
    </row>
    <row r="867" spans="2:8" x14ac:dyDescent="0.35">
      <c r="B867" s="6"/>
      <c r="C867" s="7"/>
      <c r="D867" s="9"/>
      <c r="E867" s="9"/>
      <c r="F867" s="9"/>
      <c r="G867" s="9"/>
      <c r="H867" s="35"/>
    </row>
    <row r="868" spans="2:8" x14ac:dyDescent="0.35">
      <c r="B868" s="6"/>
      <c r="C868" s="7"/>
      <c r="D868" s="9"/>
      <c r="E868" s="9"/>
      <c r="F868" s="9"/>
      <c r="G868" s="9"/>
      <c r="H868" s="35"/>
    </row>
    <row r="869" spans="2:8" x14ac:dyDescent="0.35">
      <c r="B869" s="6"/>
      <c r="C869" s="7"/>
      <c r="D869" s="9"/>
      <c r="E869" s="9"/>
      <c r="F869" s="9"/>
      <c r="G869" s="9"/>
      <c r="H869" s="35"/>
    </row>
    <row r="870" spans="2:8" x14ac:dyDescent="0.35">
      <c r="B870" s="6"/>
      <c r="C870" s="7"/>
      <c r="D870" s="9"/>
      <c r="E870" s="9"/>
      <c r="F870" s="9"/>
      <c r="G870" s="9"/>
      <c r="H870" s="35"/>
    </row>
    <row r="871" spans="2:8" x14ac:dyDescent="0.35">
      <c r="B871" s="6"/>
      <c r="C871" s="7"/>
      <c r="D871" s="9"/>
      <c r="E871" s="9"/>
      <c r="F871" s="9"/>
      <c r="G871" s="9"/>
      <c r="H871" s="35"/>
    </row>
    <row r="872" spans="2:8" x14ac:dyDescent="0.35">
      <c r="B872" s="6"/>
      <c r="C872" s="7"/>
      <c r="D872" s="9"/>
      <c r="E872" s="9"/>
      <c r="F872" s="9"/>
      <c r="G872" s="9"/>
      <c r="H872" s="35"/>
    </row>
    <row r="873" spans="2:8" x14ac:dyDescent="0.35">
      <c r="B873" s="6"/>
      <c r="C873" s="7"/>
      <c r="D873" s="9"/>
      <c r="E873" s="9"/>
      <c r="F873" s="9"/>
      <c r="G873" s="9"/>
      <c r="H873" s="35"/>
    </row>
    <row r="874" spans="2:8" x14ac:dyDescent="0.35">
      <c r="B874" s="6"/>
      <c r="C874" s="7"/>
      <c r="D874" s="9"/>
      <c r="E874" s="9"/>
      <c r="F874" s="9"/>
      <c r="G874" s="9"/>
      <c r="H874" s="35"/>
    </row>
    <row r="875" spans="2:8" x14ac:dyDescent="0.35">
      <c r="B875" s="6"/>
      <c r="C875" s="7"/>
      <c r="D875" s="9"/>
      <c r="E875" s="9"/>
      <c r="F875" s="9"/>
      <c r="G875" s="9"/>
      <c r="H875" s="35"/>
    </row>
    <row r="876" spans="2:8" x14ac:dyDescent="0.35">
      <c r="B876" s="6"/>
      <c r="C876" s="7"/>
      <c r="D876" s="9"/>
      <c r="E876" s="9"/>
      <c r="F876" s="9"/>
      <c r="G876" s="9"/>
      <c r="H876" s="35"/>
    </row>
    <row r="877" spans="2:8" x14ac:dyDescent="0.35">
      <c r="B877" s="6"/>
      <c r="C877" s="7"/>
      <c r="D877" s="9"/>
      <c r="E877" s="9"/>
      <c r="F877" s="9"/>
      <c r="G877" s="9"/>
      <c r="H877" s="35"/>
    </row>
    <row r="878" spans="2:8" x14ac:dyDescent="0.35">
      <c r="B878" s="6"/>
      <c r="C878" s="7"/>
      <c r="D878" s="9"/>
      <c r="E878" s="9"/>
      <c r="F878" s="9"/>
      <c r="G878" s="9"/>
      <c r="H878" s="35"/>
    </row>
    <row r="879" spans="2:8" x14ac:dyDescent="0.35">
      <c r="B879" s="6"/>
      <c r="C879" s="7"/>
      <c r="D879" s="9"/>
      <c r="E879" s="9"/>
      <c r="F879" s="9"/>
      <c r="G879" s="9"/>
      <c r="H879" s="35"/>
    </row>
    <row r="880" spans="2:8" x14ac:dyDescent="0.35">
      <c r="B880" s="6"/>
      <c r="C880" s="7"/>
      <c r="D880" s="9"/>
      <c r="E880" s="9"/>
      <c r="F880" s="9"/>
      <c r="G880" s="9"/>
      <c r="H880" s="35"/>
    </row>
    <row r="881" spans="2:8" x14ac:dyDescent="0.35">
      <c r="B881" s="6"/>
      <c r="C881" s="7"/>
      <c r="D881" s="9"/>
      <c r="E881" s="9"/>
      <c r="F881" s="9"/>
      <c r="G881" s="9"/>
      <c r="H881" s="35"/>
    </row>
    <row r="882" spans="2:8" x14ac:dyDescent="0.35">
      <c r="B882" s="6"/>
      <c r="C882" s="7"/>
      <c r="D882" s="9"/>
      <c r="E882" s="9"/>
      <c r="F882" s="9"/>
      <c r="G882" s="9"/>
      <c r="H882" s="35"/>
    </row>
    <row r="883" spans="2:8" x14ac:dyDescent="0.35">
      <c r="B883" s="6"/>
      <c r="C883" s="7"/>
      <c r="D883" s="9"/>
      <c r="E883" s="9"/>
      <c r="F883" s="9"/>
      <c r="G883" s="9"/>
      <c r="H883" s="35"/>
    </row>
    <row r="884" spans="2:8" x14ac:dyDescent="0.35">
      <c r="B884" s="6"/>
      <c r="C884" s="7"/>
      <c r="D884" s="9"/>
      <c r="E884" s="9"/>
      <c r="F884" s="9"/>
      <c r="G884" s="9"/>
      <c r="H884" s="35"/>
    </row>
    <row r="885" spans="2:8" x14ac:dyDescent="0.35">
      <c r="B885" s="6"/>
      <c r="C885" s="7"/>
      <c r="D885" s="9"/>
      <c r="E885" s="9"/>
      <c r="F885" s="9"/>
      <c r="G885" s="9"/>
      <c r="H885" s="35"/>
    </row>
    <row r="886" spans="2:8" x14ac:dyDescent="0.35">
      <c r="B886" s="6"/>
      <c r="C886" s="7"/>
      <c r="D886" s="9"/>
      <c r="E886" s="9"/>
      <c r="F886" s="9"/>
      <c r="G886" s="9"/>
      <c r="H886" s="35"/>
    </row>
    <row r="887" spans="2:8" x14ac:dyDescent="0.35">
      <c r="B887" s="6"/>
      <c r="C887" s="7"/>
      <c r="D887" s="9"/>
      <c r="E887" s="9"/>
      <c r="F887" s="9"/>
      <c r="G887" s="9"/>
      <c r="H887" s="35"/>
    </row>
    <row r="888" spans="2:8" x14ac:dyDescent="0.35">
      <c r="B888" s="6"/>
      <c r="C888" s="7"/>
      <c r="D888" s="9"/>
      <c r="E888" s="9"/>
      <c r="F888" s="9"/>
      <c r="G888" s="9"/>
      <c r="H888" s="35"/>
    </row>
    <row r="889" spans="2:8" x14ac:dyDescent="0.35">
      <c r="B889" s="6"/>
      <c r="C889" s="7"/>
      <c r="D889" s="9"/>
      <c r="E889" s="9"/>
      <c r="F889" s="9"/>
      <c r="G889" s="9"/>
      <c r="H889" s="35"/>
    </row>
    <row r="890" spans="2:8" x14ac:dyDescent="0.35">
      <c r="B890" s="6"/>
      <c r="C890" s="7"/>
      <c r="D890" s="9"/>
      <c r="E890" s="9"/>
      <c r="F890" s="9"/>
      <c r="G890" s="9"/>
      <c r="H890" s="35"/>
    </row>
    <row r="891" spans="2:8" x14ac:dyDescent="0.35">
      <c r="B891" s="6"/>
      <c r="C891" s="7"/>
      <c r="D891" s="9"/>
      <c r="E891" s="9"/>
      <c r="F891" s="9"/>
      <c r="G891" s="9"/>
      <c r="H891" s="35"/>
    </row>
    <row r="892" spans="2:8" x14ac:dyDescent="0.35">
      <c r="B892" s="6"/>
      <c r="C892" s="7"/>
      <c r="D892" s="9"/>
      <c r="E892" s="9"/>
      <c r="F892" s="9"/>
      <c r="G892" s="9"/>
      <c r="H892" s="35"/>
    </row>
    <row r="893" spans="2:8" x14ac:dyDescent="0.35">
      <c r="B893" s="6"/>
      <c r="C893" s="7"/>
      <c r="D893" s="9"/>
      <c r="E893" s="9"/>
      <c r="F893" s="9"/>
      <c r="G893" s="9"/>
      <c r="H893" s="35"/>
    </row>
    <row r="894" spans="2:8" x14ac:dyDescent="0.35">
      <c r="B894" s="6"/>
      <c r="C894" s="7"/>
      <c r="D894" s="9"/>
      <c r="E894" s="9"/>
      <c r="F894" s="9"/>
      <c r="G894" s="9"/>
      <c r="H894" s="35"/>
    </row>
    <row r="895" spans="2:8" x14ac:dyDescent="0.35">
      <c r="B895" s="6"/>
      <c r="C895" s="7"/>
      <c r="D895" s="9"/>
      <c r="E895" s="9"/>
      <c r="F895" s="9"/>
      <c r="G895" s="9"/>
      <c r="H895" s="35"/>
    </row>
    <row r="896" spans="2:8" x14ac:dyDescent="0.35">
      <c r="B896" s="6"/>
      <c r="C896" s="7"/>
      <c r="D896" s="9"/>
      <c r="E896" s="9"/>
      <c r="F896" s="9"/>
      <c r="G896" s="9"/>
      <c r="H896" s="35"/>
    </row>
    <row r="897" spans="2:8" x14ac:dyDescent="0.35">
      <c r="B897" s="6"/>
      <c r="C897" s="7"/>
      <c r="D897" s="9"/>
      <c r="E897" s="9"/>
      <c r="F897" s="9"/>
      <c r="G897" s="9"/>
      <c r="H897" s="35"/>
    </row>
    <row r="898" spans="2:8" x14ac:dyDescent="0.35">
      <c r="B898" s="6"/>
      <c r="C898" s="7"/>
      <c r="D898" s="9"/>
      <c r="E898" s="9"/>
      <c r="F898" s="9"/>
      <c r="G898" s="9"/>
      <c r="H898" s="35"/>
    </row>
    <row r="899" spans="2:8" x14ac:dyDescent="0.35">
      <c r="B899" s="6"/>
      <c r="C899" s="7"/>
      <c r="D899" s="9"/>
      <c r="E899" s="9"/>
      <c r="F899" s="9"/>
      <c r="G899" s="9"/>
      <c r="H899" s="35"/>
    </row>
    <row r="900" spans="2:8" x14ac:dyDescent="0.35">
      <c r="B900" s="6"/>
      <c r="C900" s="7"/>
      <c r="D900" s="9"/>
      <c r="E900" s="9"/>
      <c r="F900" s="9"/>
      <c r="G900" s="9"/>
      <c r="H900" s="35"/>
    </row>
    <row r="901" spans="2:8" x14ac:dyDescent="0.35">
      <c r="B901" s="6"/>
      <c r="C901" s="7"/>
      <c r="D901" s="9"/>
      <c r="E901" s="9"/>
      <c r="F901" s="9"/>
      <c r="G901" s="9"/>
      <c r="H901" s="35"/>
    </row>
    <row r="902" spans="2:8" x14ac:dyDescent="0.35">
      <c r="B902" s="6"/>
      <c r="C902" s="7"/>
      <c r="D902" s="9"/>
      <c r="E902" s="9"/>
      <c r="F902" s="9"/>
      <c r="G902" s="9"/>
      <c r="H902" s="35"/>
    </row>
    <row r="903" spans="2:8" x14ac:dyDescent="0.35">
      <c r="B903" s="6"/>
      <c r="C903" s="7"/>
      <c r="D903" s="9"/>
      <c r="E903" s="9"/>
      <c r="F903" s="9"/>
      <c r="G903" s="9"/>
      <c r="H903" s="35"/>
    </row>
    <row r="904" spans="2:8" x14ac:dyDescent="0.35">
      <c r="B904" s="6"/>
      <c r="C904" s="7"/>
      <c r="D904" s="9"/>
      <c r="E904" s="9"/>
      <c r="F904" s="9"/>
      <c r="G904" s="9"/>
      <c r="H904" s="35"/>
    </row>
    <row r="905" spans="2:8" x14ac:dyDescent="0.35">
      <c r="B905" s="6"/>
      <c r="C905" s="7"/>
      <c r="D905" s="9"/>
      <c r="E905" s="9"/>
      <c r="F905" s="9"/>
      <c r="G905" s="9"/>
      <c r="H905" s="35"/>
    </row>
    <row r="906" spans="2:8" x14ac:dyDescent="0.35">
      <c r="B906" s="6"/>
      <c r="C906" s="7"/>
      <c r="D906" s="9"/>
      <c r="E906" s="9"/>
      <c r="F906" s="9"/>
      <c r="G906" s="9"/>
      <c r="H906" s="35"/>
    </row>
    <row r="907" spans="2:8" x14ac:dyDescent="0.35">
      <c r="B907" s="6"/>
      <c r="C907" s="7"/>
      <c r="D907" s="9"/>
      <c r="E907" s="9"/>
      <c r="F907" s="9"/>
      <c r="G907" s="9"/>
      <c r="H907" s="35"/>
    </row>
    <row r="908" spans="2:8" x14ac:dyDescent="0.35">
      <c r="B908" s="6"/>
      <c r="C908" s="7"/>
      <c r="D908" s="9"/>
      <c r="E908" s="9"/>
      <c r="F908" s="9"/>
      <c r="G908" s="9"/>
      <c r="H908" s="35"/>
    </row>
    <row r="909" spans="2:8" x14ac:dyDescent="0.35">
      <c r="B909" s="6"/>
      <c r="C909" s="7"/>
      <c r="D909" s="9"/>
      <c r="E909" s="9"/>
      <c r="F909" s="9"/>
      <c r="G909" s="9"/>
      <c r="H909" s="35"/>
    </row>
    <row r="910" spans="2:8" x14ac:dyDescent="0.35">
      <c r="B910" s="6"/>
      <c r="C910" s="7"/>
      <c r="D910" s="9"/>
      <c r="E910" s="9"/>
      <c r="F910" s="9"/>
      <c r="G910" s="9"/>
      <c r="H910" s="35"/>
    </row>
    <row r="911" spans="2:8" x14ac:dyDescent="0.35">
      <c r="B911" s="6"/>
      <c r="C911" s="7"/>
      <c r="D911" s="9"/>
      <c r="E911" s="9"/>
      <c r="F911" s="9"/>
      <c r="G911" s="9"/>
      <c r="H911" s="35"/>
    </row>
    <row r="912" spans="2:8" x14ac:dyDescent="0.35">
      <c r="B912" s="6"/>
      <c r="C912" s="7"/>
      <c r="D912" s="9"/>
      <c r="E912" s="9"/>
      <c r="F912" s="9"/>
      <c r="G912" s="9"/>
      <c r="H912" s="35"/>
    </row>
    <row r="913" spans="2:8" x14ac:dyDescent="0.35">
      <c r="B913" s="6"/>
      <c r="C913" s="7"/>
      <c r="D913" s="9"/>
      <c r="E913" s="9"/>
      <c r="F913" s="9"/>
      <c r="G913" s="9"/>
      <c r="H913" s="35"/>
    </row>
    <row r="914" spans="2:8" x14ac:dyDescent="0.35">
      <c r="B914" s="6"/>
      <c r="C914" s="7"/>
      <c r="D914" s="9"/>
      <c r="E914" s="9"/>
      <c r="F914" s="9"/>
      <c r="G914" s="9"/>
      <c r="H914" s="35"/>
    </row>
    <row r="915" spans="2:8" x14ac:dyDescent="0.35">
      <c r="B915" s="6"/>
      <c r="C915" s="7"/>
      <c r="D915" s="9"/>
      <c r="E915" s="9"/>
      <c r="F915" s="9"/>
      <c r="G915" s="9"/>
      <c r="H915" s="35"/>
    </row>
    <row r="916" spans="2:8" x14ac:dyDescent="0.35">
      <c r="B916" s="6"/>
      <c r="C916" s="7"/>
      <c r="D916" s="9"/>
      <c r="E916" s="9"/>
      <c r="F916" s="9"/>
      <c r="G916" s="9"/>
      <c r="H916" s="35"/>
    </row>
    <row r="917" spans="2:8" x14ac:dyDescent="0.35">
      <c r="B917" s="6"/>
      <c r="C917" s="7"/>
      <c r="D917" s="9"/>
      <c r="E917" s="9"/>
      <c r="F917" s="9"/>
      <c r="G917" s="9"/>
      <c r="H917" s="35"/>
    </row>
    <row r="918" spans="2:8" x14ac:dyDescent="0.35">
      <c r="B918" s="6"/>
      <c r="C918" s="7"/>
      <c r="D918" s="9"/>
      <c r="E918" s="9"/>
      <c r="F918" s="9"/>
      <c r="G918" s="9"/>
      <c r="H918" s="35"/>
    </row>
    <row r="919" spans="2:8" x14ac:dyDescent="0.35">
      <c r="B919" s="6"/>
      <c r="C919" s="7"/>
      <c r="D919" s="9"/>
      <c r="E919" s="9"/>
      <c r="F919" s="9"/>
      <c r="G919" s="9"/>
      <c r="H919" s="35"/>
    </row>
    <row r="920" spans="2:8" x14ac:dyDescent="0.35">
      <c r="B920" s="6"/>
      <c r="C920" s="7"/>
      <c r="D920" s="9"/>
      <c r="E920" s="9"/>
      <c r="F920" s="9"/>
      <c r="G920" s="9"/>
      <c r="H920" s="35"/>
    </row>
    <row r="921" spans="2:8" x14ac:dyDescent="0.35">
      <c r="B921" s="6"/>
      <c r="C921" s="7"/>
      <c r="D921" s="9"/>
      <c r="E921" s="9"/>
      <c r="F921" s="9"/>
      <c r="G921" s="9"/>
      <c r="H921" s="35"/>
    </row>
    <row r="922" spans="2:8" x14ac:dyDescent="0.35">
      <c r="B922" s="6"/>
      <c r="C922" s="7"/>
      <c r="D922" s="9"/>
      <c r="E922" s="9"/>
      <c r="F922" s="9"/>
      <c r="G922" s="9"/>
      <c r="H922" s="35"/>
    </row>
    <row r="923" spans="2:8" x14ac:dyDescent="0.35">
      <c r="B923" s="6"/>
      <c r="C923" s="7"/>
      <c r="D923" s="9"/>
      <c r="E923" s="9"/>
      <c r="F923" s="9"/>
      <c r="G923" s="9"/>
      <c r="H923" s="35"/>
    </row>
    <row r="924" spans="2:8" x14ac:dyDescent="0.35">
      <c r="B924" s="6"/>
      <c r="C924" s="7"/>
      <c r="D924" s="9"/>
      <c r="E924" s="9"/>
      <c r="F924" s="9"/>
      <c r="G924" s="9"/>
      <c r="H924" s="35"/>
    </row>
    <row r="925" spans="2:8" x14ac:dyDescent="0.35">
      <c r="B925" s="6"/>
      <c r="C925" s="7"/>
      <c r="D925" s="9"/>
      <c r="E925" s="9"/>
      <c r="F925" s="9"/>
      <c r="G925" s="9"/>
      <c r="H925" s="35"/>
    </row>
    <row r="926" spans="2:8" x14ac:dyDescent="0.35">
      <c r="B926" s="6"/>
      <c r="C926" s="7"/>
      <c r="D926" s="9"/>
      <c r="E926" s="9"/>
      <c r="F926" s="9"/>
      <c r="G926" s="9"/>
      <c r="H926" s="35"/>
    </row>
    <row r="927" spans="2:8" x14ac:dyDescent="0.35">
      <c r="B927" s="6"/>
      <c r="C927" s="7"/>
      <c r="D927" s="9"/>
      <c r="E927" s="9"/>
      <c r="F927" s="9"/>
      <c r="G927" s="9"/>
      <c r="H927" s="35"/>
    </row>
    <row r="928" spans="2:8" x14ac:dyDescent="0.35">
      <c r="B928" s="6"/>
      <c r="C928" s="7"/>
      <c r="D928" s="9"/>
      <c r="E928" s="9"/>
      <c r="F928" s="9"/>
      <c r="G928" s="9"/>
      <c r="H928" s="35"/>
    </row>
    <row r="929" spans="2:8" x14ac:dyDescent="0.35">
      <c r="B929" s="6"/>
      <c r="C929" s="7"/>
      <c r="D929" s="9"/>
      <c r="E929" s="9"/>
      <c r="F929" s="9"/>
      <c r="G929" s="9"/>
      <c r="H929" s="35"/>
    </row>
    <row r="930" spans="2:8" x14ac:dyDescent="0.35">
      <c r="B930" s="6"/>
      <c r="C930" s="7"/>
      <c r="D930" s="9"/>
      <c r="E930" s="9"/>
      <c r="F930" s="9"/>
      <c r="G930" s="9"/>
      <c r="H930" s="35"/>
    </row>
    <row r="931" spans="2:8" x14ac:dyDescent="0.35">
      <c r="B931" s="6"/>
      <c r="C931" s="7"/>
      <c r="D931" s="9"/>
      <c r="E931" s="9"/>
      <c r="F931" s="9"/>
      <c r="G931" s="9"/>
      <c r="H931" s="35"/>
    </row>
    <row r="932" spans="2:8" x14ac:dyDescent="0.35">
      <c r="B932" s="6"/>
      <c r="C932" s="7"/>
      <c r="D932" s="9"/>
      <c r="E932" s="9"/>
      <c r="F932" s="9"/>
      <c r="G932" s="9"/>
      <c r="H932" s="35"/>
    </row>
    <row r="933" spans="2:8" x14ac:dyDescent="0.35">
      <c r="B933" s="6"/>
      <c r="C933" s="7"/>
      <c r="D933" s="9"/>
      <c r="E933" s="9"/>
      <c r="F933" s="9"/>
      <c r="G933" s="9"/>
      <c r="H933" s="35"/>
    </row>
    <row r="934" spans="2:8" x14ac:dyDescent="0.35">
      <c r="B934" s="6"/>
      <c r="C934" s="7"/>
      <c r="D934" s="9"/>
      <c r="E934" s="9"/>
      <c r="F934" s="9"/>
      <c r="G934" s="9"/>
      <c r="H934" s="35"/>
    </row>
    <row r="935" spans="2:8" x14ac:dyDescent="0.35">
      <c r="B935" s="6"/>
      <c r="C935" s="7"/>
      <c r="D935" s="9"/>
      <c r="E935" s="9"/>
      <c r="F935" s="9"/>
      <c r="G935" s="9"/>
      <c r="H935" s="35"/>
    </row>
    <row r="936" spans="2:8" x14ac:dyDescent="0.35">
      <c r="B936" s="6"/>
      <c r="C936" s="7"/>
      <c r="D936" s="9"/>
      <c r="E936" s="9"/>
      <c r="F936" s="9"/>
      <c r="G936" s="9"/>
      <c r="H936" s="35"/>
    </row>
    <row r="937" spans="2:8" x14ac:dyDescent="0.35">
      <c r="B937" s="6"/>
      <c r="C937" s="7"/>
      <c r="D937" s="9"/>
      <c r="E937" s="9"/>
      <c r="F937" s="9"/>
      <c r="G937" s="9"/>
      <c r="H937" s="35"/>
    </row>
    <row r="938" spans="2:8" x14ac:dyDescent="0.35">
      <c r="B938" s="6"/>
      <c r="C938" s="7"/>
      <c r="D938" s="9"/>
      <c r="E938" s="9"/>
      <c r="F938" s="9"/>
      <c r="G938" s="9"/>
      <c r="H938" s="35"/>
    </row>
    <row r="939" spans="2:8" x14ac:dyDescent="0.35">
      <c r="B939" s="6"/>
      <c r="C939" s="7"/>
      <c r="D939" s="9"/>
      <c r="E939" s="9"/>
      <c r="F939" s="9"/>
      <c r="G939" s="9"/>
      <c r="H939" s="35"/>
    </row>
    <row r="940" spans="2:8" x14ac:dyDescent="0.35">
      <c r="B940" s="6"/>
      <c r="C940" s="7"/>
      <c r="D940" s="9"/>
      <c r="E940" s="9"/>
      <c r="F940" s="9"/>
      <c r="G940" s="9"/>
      <c r="H940" s="35"/>
    </row>
    <row r="941" spans="2:8" x14ac:dyDescent="0.35">
      <c r="B941" s="6"/>
      <c r="C941" s="7"/>
      <c r="D941" s="9"/>
      <c r="E941" s="9"/>
      <c r="F941" s="9"/>
      <c r="G941" s="9"/>
      <c r="H941" s="35"/>
    </row>
    <row r="942" spans="2:8" x14ac:dyDescent="0.35">
      <c r="B942" s="6"/>
      <c r="C942" s="7"/>
      <c r="D942" s="9"/>
      <c r="E942" s="9"/>
      <c r="F942" s="9"/>
      <c r="G942" s="9"/>
      <c r="H942" s="35"/>
    </row>
    <row r="943" spans="2:8" x14ac:dyDescent="0.35">
      <c r="B943" s="6"/>
      <c r="C943" s="7"/>
      <c r="D943" s="9"/>
      <c r="E943" s="9"/>
      <c r="F943" s="9"/>
      <c r="G943" s="9"/>
      <c r="H943" s="35"/>
    </row>
    <row r="944" spans="2:8" x14ac:dyDescent="0.35">
      <c r="B944" s="6"/>
      <c r="C944" s="7"/>
      <c r="D944" s="9"/>
      <c r="E944" s="9"/>
      <c r="F944" s="9"/>
      <c r="G944" s="9"/>
      <c r="H944" s="35"/>
    </row>
    <row r="945" spans="2:8" x14ac:dyDescent="0.35">
      <c r="B945" s="6"/>
      <c r="C945" s="7"/>
      <c r="D945" s="9"/>
      <c r="E945" s="9"/>
      <c r="F945" s="9"/>
      <c r="G945" s="9"/>
      <c r="H945" s="35"/>
    </row>
    <row r="946" spans="2:8" x14ac:dyDescent="0.35">
      <c r="B946" s="6"/>
      <c r="C946" s="7"/>
      <c r="D946" s="9"/>
      <c r="E946" s="9"/>
      <c r="F946" s="9"/>
      <c r="G946" s="9"/>
      <c r="H946" s="35"/>
    </row>
    <row r="947" spans="2:8" x14ac:dyDescent="0.35">
      <c r="B947" s="6"/>
      <c r="C947" s="7"/>
      <c r="D947" s="9"/>
      <c r="E947" s="9"/>
      <c r="F947" s="9"/>
      <c r="G947" s="9"/>
      <c r="H947" s="35"/>
    </row>
    <row r="948" spans="2:8" x14ac:dyDescent="0.35">
      <c r="B948" s="6"/>
      <c r="C948" s="7"/>
      <c r="D948" s="9"/>
      <c r="E948" s="9"/>
      <c r="F948" s="9"/>
      <c r="G948" s="9"/>
      <c r="H948" s="35"/>
    </row>
    <row r="949" spans="2:8" x14ac:dyDescent="0.35">
      <c r="B949" s="6"/>
      <c r="C949" s="7"/>
      <c r="D949" s="9"/>
      <c r="E949" s="9"/>
      <c r="F949" s="9"/>
      <c r="G949" s="9"/>
      <c r="H949" s="35"/>
    </row>
    <row r="950" spans="2:8" x14ac:dyDescent="0.35">
      <c r="B950" s="6"/>
      <c r="C950" s="7"/>
      <c r="D950" s="9"/>
      <c r="E950" s="9"/>
      <c r="F950" s="9"/>
      <c r="G950" s="9"/>
      <c r="H950" s="35"/>
    </row>
    <row r="951" spans="2:8" x14ac:dyDescent="0.35">
      <c r="B951" s="6"/>
      <c r="C951" s="7"/>
      <c r="D951" s="9"/>
      <c r="E951" s="9"/>
      <c r="F951" s="9"/>
      <c r="G951" s="9"/>
      <c r="H951" s="35"/>
    </row>
    <row r="952" spans="2:8" x14ac:dyDescent="0.35">
      <c r="B952" s="6"/>
      <c r="C952" s="7"/>
      <c r="D952" s="9"/>
      <c r="E952" s="9"/>
      <c r="F952" s="9"/>
      <c r="G952" s="9"/>
      <c r="H952" s="35"/>
    </row>
    <row r="953" spans="2:8" x14ac:dyDescent="0.35">
      <c r="B953" s="6"/>
      <c r="C953" s="7"/>
      <c r="D953" s="9"/>
      <c r="E953" s="9"/>
      <c r="F953" s="9"/>
      <c r="G953" s="9"/>
      <c r="H953" s="35"/>
    </row>
    <row r="954" spans="2:8" x14ac:dyDescent="0.35">
      <c r="B954" s="6"/>
      <c r="C954" s="7"/>
      <c r="D954" s="9"/>
      <c r="E954" s="9"/>
      <c r="F954" s="9"/>
      <c r="G954" s="9"/>
      <c r="H954" s="35"/>
    </row>
    <row r="955" spans="2:8" x14ac:dyDescent="0.35">
      <c r="B955" s="6"/>
      <c r="C955" s="7"/>
      <c r="D955" s="9"/>
      <c r="E955" s="9"/>
      <c r="F955" s="9"/>
      <c r="G955" s="9"/>
      <c r="H955" s="35"/>
    </row>
    <row r="956" spans="2:8" x14ac:dyDescent="0.35">
      <c r="B956" s="6"/>
      <c r="C956" s="7"/>
      <c r="D956" s="9"/>
      <c r="E956" s="9"/>
      <c r="F956" s="9"/>
      <c r="G956" s="9"/>
      <c r="H956" s="35"/>
    </row>
    <row r="957" spans="2:8" x14ac:dyDescent="0.35">
      <c r="B957" s="6"/>
      <c r="C957" s="7"/>
      <c r="D957" s="9"/>
      <c r="E957" s="9"/>
      <c r="F957" s="9"/>
      <c r="G957" s="9"/>
      <c r="H957" s="35"/>
    </row>
    <row r="958" spans="2:8" x14ac:dyDescent="0.35">
      <c r="B958" s="6"/>
      <c r="C958" s="7"/>
      <c r="D958" s="9"/>
      <c r="E958" s="9"/>
      <c r="F958" s="9"/>
      <c r="G958" s="9"/>
      <c r="H958" s="35"/>
    </row>
    <row r="959" spans="2:8" x14ac:dyDescent="0.35">
      <c r="B959" s="6"/>
      <c r="C959" s="7"/>
      <c r="D959" s="9"/>
      <c r="E959" s="9"/>
      <c r="F959" s="9"/>
      <c r="G959" s="9"/>
      <c r="H959" s="35"/>
    </row>
    <row r="960" spans="2:8" x14ac:dyDescent="0.35">
      <c r="B960" s="6"/>
      <c r="C960" s="7"/>
      <c r="D960" s="9"/>
      <c r="E960" s="9"/>
      <c r="F960" s="9"/>
      <c r="G960" s="9"/>
      <c r="H960" s="35"/>
    </row>
    <row r="961" spans="2:8" x14ac:dyDescent="0.35">
      <c r="B961" s="6"/>
      <c r="C961" s="7"/>
      <c r="D961" s="9"/>
      <c r="E961" s="9"/>
      <c r="F961" s="9"/>
      <c r="G961" s="9"/>
      <c r="H961" s="35"/>
    </row>
    <row r="962" spans="2:8" x14ac:dyDescent="0.35">
      <c r="B962" s="6"/>
      <c r="C962" s="7"/>
      <c r="D962" s="9"/>
      <c r="E962" s="9"/>
      <c r="F962" s="9"/>
      <c r="G962" s="9"/>
      <c r="H962" s="35"/>
    </row>
    <row r="963" spans="2:8" x14ac:dyDescent="0.35">
      <c r="B963" s="6"/>
      <c r="C963" s="7"/>
      <c r="D963" s="9"/>
      <c r="E963" s="9"/>
      <c r="F963" s="9"/>
      <c r="G963" s="9"/>
      <c r="H963" s="35"/>
    </row>
    <row r="964" spans="2:8" x14ac:dyDescent="0.35">
      <c r="B964" s="6"/>
      <c r="C964" s="7"/>
      <c r="D964" s="9"/>
      <c r="E964" s="9"/>
      <c r="F964" s="9"/>
      <c r="G964" s="9"/>
      <c r="H964" s="35"/>
    </row>
    <row r="965" spans="2:8" x14ac:dyDescent="0.35">
      <c r="B965" s="6"/>
      <c r="C965" s="7"/>
      <c r="D965" s="9"/>
      <c r="E965" s="9"/>
      <c r="F965" s="9"/>
      <c r="G965" s="9"/>
      <c r="H965" s="35"/>
    </row>
    <row r="966" spans="2:8" x14ac:dyDescent="0.35">
      <c r="B966" s="6"/>
      <c r="C966" s="7"/>
      <c r="D966" s="9"/>
      <c r="E966" s="9"/>
      <c r="F966" s="9"/>
      <c r="G966" s="9"/>
      <c r="H966" s="35"/>
    </row>
    <row r="967" spans="2:8" x14ac:dyDescent="0.35">
      <c r="B967" s="6"/>
      <c r="C967" s="7"/>
      <c r="D967" s="9"/>
      <c r="E967" s="9"/>
      <c r="F967" s="9"/>
      <c r="G967" s="9"/>
      <c r="H967" s="35"/>
    </row>
    <row r="968" spans="2:8" x14ac:dyDescent="0.35">
      <c r="B968" s="6"/>
      <c r="C968" s="7"/>
      <c r="D968" s="9"/>
      <c r="E968" s="9"/>
      <c r="F968" s="9"/>
      <c r="G968" s="9"/>
      <c r="H968" s="35"/>
    </row>
    <row r="969" spans="2:8" x14ac:dyDescent="0.35">
      <c r="B969" s="6"/>
      <c r="C969" s="7"/>
      <c r="D969" s="9"/>
      <c r="E969" s="9"/>
      <c r="F969" s="9"/>
      <c r="G969" s="9"/>
      <c r="H969" s="35"/>
    </row>
    <row r="970" spans="2:8" x14ac:dyDescent="0.35">
      <c r="B970" s="6"/>
      <c r="C970" s="7"/>
      <c r="D970" s="9"/>
      <c r="E970" s="9"/>
      <c r="F970" s="9"/>
      <c r="G970" s="9"/>
      <c r="H970" s="35"/>
    </row>
    <row r="971" spans="2:8" x14ac:dyDescent="0.35">
      <c r="B971" s="6"/>
      <c r="C971" s="7"/>
      <c r="D971" s="9"/>
      <c r="E971" s="9"/>
      <c r="F971" s="9"/>
      <c r="G971" s="9"/>
      <c r="H971" s="35"/>
    </row>
    <row r="972" spans="2:8" x14ac:dyDescent="0.35">
      <c r="B972" s="6"/>
      <c r="C972" s="7"/>
      <c r="D972" s="9"/>
      <c r="E972" s="9"/>
      <c r="F972" s="9"/>
      <c r="G972" s="9"/>
      <c r="H972" s="35"/>
    </row>
    <row r="973" spans="2:8" x14ac:dyDescent="0.35">
      <c r="B973" s="6"/>
      <c r="C973" s="7"/>
      <c r="D973" s="9"/>
      <c r="E973" s="9"/>
      <c r="F973" s="9"/>
      <c r="G973" s="9"/>
      <c r="H973" s="35"/>
    </row>
    <row r="974" spans="2:8" x14ac:dyDescent="0.35">
      <c r="B974" s="6"/>
      <c r="C974" s="7"/>
      <c r="D974" s="9"/>
      <c r="E974" s="9"/>
      <c r="F974" s="9"/>
      <c r="G974" s="9"/>
      <c r="H974" s="35"/>
    </row>
    <row r="975" spans="2:8" x14ac:dyDescent="0.35">
      <c r="B975" s="6"/>
      <c r="C975" s="7"/>
      <c r="D975" s="9"/>
      <c r="E975" s="9"/>
      <c r="F975" s="9"/>
      <c r="G975" s="9"/>
      <c r="H975" s="35"/>
    </row>
    <row r="976" spans="2:8" x14ac:dyDescent="0.35">
      <c r="B976" s="6"/>
      <c r="C976" s="7"/>
      <c r="D976" s="9"/>
      <c r="E976" s="9"/>
      <c r="F976" s="9"/>
      <c r="G976" s="9"/>
      <c r="H976" s="35"/>
    </row>
    <row r="977" spans="2:8" x14ac:dyDescent="0.35">
      <c r="B977" s="6"/>
      <c r="C977" s="7"/>
      <c r="D977" s="9"/>
      <c r="E977" s="9"/>
      <c r="F977" s="9"/>
      <c r="G977" s="9"/>
      <c r="H977" s="35"/>
    </row>
    <row r="978" spans="2:8" x14ac:dyDescent="0.35">
      <c r="B978" s="6"/>
      <c r="C978" s="7"/>
      <c r="D978" s="9"/>
      <c r="E978" s="9"/>
      <c r="F978" s="9"/>
      <c r="G978" s="9"/>
      <c r="H978" s="35"/>
    </row>
    <row r="979" spans="2:8" x14ac:dyDescent="0.35">
      <c r="B979" s="6"/>
      <c r="C979" s="7"/>
      <c r="D979" s="9"/>
      <c r="E979" s="9"/>
      <c r="F979" s="9"/>
      <c r="G979" s="9"/>
      <c r="H979" s="35"/>
    </row>
    <row r="980" spans="2:8" x14ac:dyDescent="0.35">
      <c r="B980" s="6"/>
      <c r="C980" s="7"/>
      <c r="D980" s="9"/>
      <c r="E980" s="9"/>
      <c r="F980" s="9"/>
      <c r="G980" s="9"/>
      <c r="H980" s="35"/>
    </row>
    <row r="981" spans="2:8" x14ac:dyDescent="0.35">
      <c r="B981" s="6"/>
      <c r="C981" s="7"/>
      <c r="D981" s="9"/>
      <c r="E981" s="9"/>
      <c r="F981" s="9"/>
      <c r="G981" s="9"/>
      <c r="H981" s="35"/>
    </row>
    <row r="982" spans="2:8" x14ac:dyDescent="0.35">
      <c r="B982" s="6"/>
      <c r="C982" s="7"/>
      <c r="D982" s="9"/>
      <c r="E982" s="9"/>
      <c r="F982" s="9"/>
      <c r="G982" s="9"/>
      <c r="H982" s="35"/>
    </row>
    <row r="983" spans="2:8" x14ac:dyDescent="0.35">
      <c r="B983" s="6"/>
      <c r="C983" s="7"/>
      <c r="D983" s="9"/>
      <c r="E983" s="9"/>
      <c r="F983" s="9"/>
      <c r="G983" s="9"/>
      <c r="H983" s="35"/>
    </row>
    <row r="984" spans="2:8" x14ac:dyDescent="0.35">
      <c r="B984" s="6"/>
      <c r="C984" s="7"/>
      <c r="D984" s="9"/>
      <c r="E984" s="9"/>
      <c r="F984" s="9"/>
      <c r="G984" s="9"/>
      <c r="H984" s="35"/>
    </row>
    <row r="985" spans="2:8" x14ac:dyDescent="0.35">
      <c r="B985" s="6"/>
      <c r="C985" s="7"/>
      <c r="D985" s="9"/>
      <c r="E985" s="9"/>
      <c r="F985" s="9"/>
      <c r="G985" s="9"/>
      <c r="H985" s="35"/>
    </row>
    <row r="986" spans="2:8" x14ac:dyDescent="0.35">
      <c r="B986" s="6"/>
      <c r="C986" s="7"/>
      <c r="D986" s="9"/>
      <c r="E986" s="9"/>
      <c r="F986" s="9"/>
      <c r="G986" s="9"/>
      <c r="H986" s="35"/>
    </row>
    <row r="987" spans="2:8" x14ac:dyDescent="0.35">
      <c r="B987" s="6"/>
      <c r="C987" s="7"/>
      <c r="D987" s="9"/>
      <c r="E987" s="9"/>
      <c r="F987" s="9"/>
      <c r="G987" s="9"/>
      <c r="H987" s="35"/>
    </row>
    <row r="988" spans="2:8" x14ac:dyDescent="0.35">
      <c r="B988" s="6"/>
      <c r="C988" s="7"/>
      <c r="D988" s="9"/>
      <c r="E988" s="9"/>
      <c r="F988" s="9"/>
      <c r="G988" s="9"/>
      <c r="H988" s="35"/>
    </row>
    <row r="989" spans="2:8" x14ac:dyDescent="0.35">
      <c r="B989" s="6"/>
      <c r="C989" s="7"/>
      <c r="D989" s="9"/>
      <c r="E989" s="9"/>
      <c r="F989" s="9"/>
      <c r="G989" s="9"/>
      <c r="H989" s="35"/>
    </row>
    <row r="990" spans="2:8" x14ac:dyDescent="0.35">
      <c r="B990" s="6"/>
      <c r="C990" s="7"/>
      <c r="D990" s="9"/>
      <c r="E990" s="9"/>
      <c r="F990" s="9"/>
      <c r="G990" s="9"/>
      <c r="H990" s="35"/>
    </row>
    <row r="991" spans="2:8" x14ac:dyDescent="0.35">
      <c r="B991" s="6"/>
      <c r="C991" s="7"/>
      <c r="D991" s="9"/>
      <c r="E991" s="9"/>
      <c r="F991" s="9"/>
      <c r="G991" s="9"/>
      <c r="H991" s="35"/>
    </row>
    <row r="992" spans="2:8" x14ac:dyDescent="0.35">
      <c r="B992" s="6"/>
      <c r="C992" s="7"/>
      <c r="D992" s="9"/>
      <c r="E992" s="9"/>
      <c r="F992" s="9"/>
      <c r="G992" s="9"/>
      <c r="H992" s="35"/>
    </row>
    <row r="993" spans="2:8" x14ac:dyDescent="0.35">
      <c r="B993" s="6"/>
      <c r="C993" s="7"/>
      <c r="D993" s="9"/>
      <c r="E993" s="9"/>
      <c r="F993" s="9"/>
      <c r="G993" s="9"/>
      <c r="H993" s="35"/>
    </row>
    <row r="994" spans="2:8" x14ac:dyDescent="0.35">
      <c r="B994" s="6"/>
      <c r="C994" s="7"/>
      <c r="D994" s="9"/>
      <c r="E994" s="9"/>
      <c r="F994" s="9"/>
      <c r="G994" s="9"/>
      <c r="H994" s="35"/>
    </row>
    <row r="995" spans="2:8" x14ac:dyDescent="0.35">
      <c r="B995" s="6"/>
      <c r="C995" s="7"/>
      <c r="D995" s="9"/>
      <c r="E995" s="9"/>
      <c r="F995" s="9"/>
      <c r="G995" s="9"/>
      <c r="H995" s="35"/>
    </row>
    <row r="996" spans="2:8" x14ac:dyDescent="0.35">
      <c r="B996" s="6"/>
      <c r="C996" s="7"/>
      <c r="D996" s="9"/>
      <c r="E996" s="9"/>
      <c r="F996" s="9"/>
      <c r="G996" s="9"/>
      <c r="H996" s="35"/>
    </row>
    <row r="997" spans="2:8" x14ac:dyDescent="0.35">
      <c r="B997" s="6"/>
      <c r="C997" s="7"/>
      <c r="D997" s="9"/>
      <c r="E997" s="9"/>
      <c r="F997" s="9"/>
      <c r="G997" s="9"/>
      <c r="H997" s="35"/>
    </row>
    <row r="998" spans="2:8" x14ac:dyDescent="0.35">
      <c r="B998" s="6"/>
      <c r="C998" s="7"/>
      <c r="D998" s="9"/>
      <c r="E998" s="9"/>
      <c r="F998" s="9"/>
      <c r="G998" s="9"/>
      <c r="H998" s="35"/>
    </row>
    <row r="999" spans="2:8" x14ac:dyDescent="0.35">
      <c r="B999" s="6"/>
      <c r="C999" s="7"/>
      <c r="D999" s="9"/>
      <c r="E999" s="9"/>
      <c r="F999" s="9"/>
      <c r="G999" s="9"/>
      <c r="H999" s="35"/>
    </row>
    <row r="1000" spans="2:8" x14ac:dyDescent="0.35">
      <c r="B1000" s="6"/>
      <c r="C1000" s="7"/>
      <c r="D1000" s="9"/>
      <c r="E1000" s="9"/>
      <c r="F1000" s="9"/>
      <c r="G1000" s="9"/>
      <c r="H1000" s="35"/>
    </row>
  </sheetData>
  <dataValidations count="1">
    <dataValidation type="list" allowBlank="1" showInputMessage="1" showErrorMessage="1" sqref="B1" xr:uid="{0CCD0197-FB6B-41A9-B31A-C556198A9CE4}">
      <formula1>EntityList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DC41C-A964-4E8B-8EA4-8695A020CC60}">
  <sheetPr codeName="Sheet4"/>
  <dimension ref="A1:AY1000"/>
  <sheetViews>
    <sheetView showGridLines="0" zoomScale="91" zoomScaleNormal="91" workbookViewId="0">
      <pane ySplit="5" topLeftCell="A460" activePane="bottomLeft" state="frozen"/>
      <selection activeCell="B5" sqref="B5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7" width="19.26953125" customWidth="1"/>
    <col min="8" max="8" width="19.26953125" style="32" customWidth="1"/>
  </cols>
  <sheetData>
    <row r="1" spans="1:51" x14ac:dyDescent="0.35">
      <c r="A1" s="10" t="s">
        <v>4</v>
      </c>
      <c r="B1" s="15" t="s">
        <v>10</v>
      </c>
      <c r="AY1" t="s">
        <v>2</v>
      </c>
    </row>
    <row r="2" spans="1:51" x14ac:dyDescent="0.35">
      <c r="A2" s="10" t="s">
        <v>0</v>
      </c>
      <c r="B2" s="15">
        <f>AMF!BegDate</f>
        <v>44931</v>
      </c>
      <c r="AY2" t="s">
        <v>9</v>
      </c>
    </row>
    <row r="3" spans="1:51" x14ac:dyDescent="0.35">
      <c r="A3" s="10" t="s">
        <v>1</v>
      </c>
      <c r="B3" s="15">
        <f>AMF!EndDate</f>
        <v>45657</v>
      </c>
      <c r="AY3" t="s">
        <v>10</v>
      </c>
    </row>
    <row r="4" spans="1:51" x14ac:dyDescent="0.35">
      <c r="AY4" t="s">
        <v>11</v>
      </c>
    </row>
    <row r="5" spans="1:51" ht="16" x14ac:dyDescent="0.35">
      <c r="B5" s="12" t="s">
        <v>3</v>
      </c>
      <c r="C5" s="13" t="s">
        <v>4</v>
      </c>
      <c r="D5" s="14" t="s">
        <v>5</v>
      </c>
      <c r="E5" s="14" t="s">
        <v>6</v>
      </c>
      <c r="F5" s="14" t="s">
        <v>7</v>
      </c>
      <c r="G5" s="14" t="s">
        <v>8</v>
      </c>
      <c r="H5" s="33" t="s">
        <v>32</v>
      </c>
    </row>
    <row r="6" spans="1:51" x14ac:dyDescent="0.35">
      <c r="B6" s="4">
        <v>44931</v>
      </c>
      <c r="C6" s="5" t="s">
        <v>10</v>
      </c>
      <c r="D6" s="8">
        <v>2.1298421926712898E-3</v>
      </c>
      <c r="E6" s="8">
        <v>2.1298421926712898E-3</v>
      </c>
      <c r="F6" s="8">
        <v>2.1298421926712052E-3</v>
      </c>
      <c r="G6" s="8">
        <v>2.1298421926712052E-3</v>
      </c>
      <c r="H6" s="34">
        <v>2.12757729413587E-3</v>
      </c>
    </row>
    <row r="7" spans="1:51" x14ac:dyDescent="0.35">
      <c r="B7" s="6">
        <v>44932</v>
      </c>
      <c r="C7" s="7" t="s">
        <v>10</v>
      </c>
      <c r="D7" s="9">
        <v>1.37920925966204E-2</v>
      </c>
      <c r="E7" s="9">
        <v>1.37920925966204E-2</v>
      </c>
      <c r="F7" s="9">
        <v>1.595130977002901E-2</v>
      </c>
      <c r="G7" s="9">
        <v>1.595130977002901E-2</v>
      </c>
      <c r="H7" s="35">
        <v>1.3697847259093079E-2</v>
      </c>
    </row>
    <row r="8" spans="1:51" x14ac:dyDescent="0.35">
      <c r="B8" s="6">
        <v>44935</v>
      </c>
      <c r="C8" s="7" t="s">
        <v>10</v>
      </c>
      <c r="D8" s="9">
        <v>-2.3004453979432599E-2</v>
      </c>
      <c r="E8" s="9">
        <v>-2.3004453979432599E-2</v>
      </c>
      <c r="F8" s="9">
        <v>-7.4200953809199222E-3</v>
      </c>
      <c r="G8" s="9">
        <v>-7.4200953809199222E-3</v>
      </c>
      <c r="H8" s="35">
        <v>-2.3273185782327833E-2</v>
      </c>
    </row>
    <row r="9" spans="1:51" x14ac:dyDescent="0.35">
      <c r="B9" s="6">
        <v>44936</v>
      </c>
      <c r="C9" s="7" t="s">
        <v>10</v>
      </c>
      <c r="D9" s="9">
        <v>1.85671834162759E-2</v>
      </c>
      <c r="E9" s="9">
        <v>1.85671834162759E-2</v>
      </c>
      <c r="F9" s="9">
        <v>1.1009317763452264E-2</v>
      </c>
      <c r="G9" s="9">
        <v>1.1009317763452264E-2</v>
      </c>
      <c r="H9" s="35">
        <v>1.8396917608199368E-2</v>
      </c>
    </row>
    <row r="10" spans="1:51" x14ac:dyDescent="0.35">
      <c r="B10" s="6">
        <v>44937</v>
      </c>
      <c r="C10" s="7" t="s">
        <v>10</v>
      </c>
      <c r="D10" s="9">
        <v>3.58763099188278E-3</v>
      </c>
      <c r="E10" s="9">
        <v>3.58763099188278E-3</v>
      </c>
      <c r="F10" s="9">
        <v>1.4636446124942637E-2</v>
      </c>
      <c r="G10" s="9">
        <v>1.4636446124942637E-2</v>
      </c>
      <c r="H10" s="35">
        <v>3.5812107947658244E-3</v>
      </c>
    </row>
    <row r="11" spans="1:51" x14ac:dyDescent="0.35">
      <c r="B11" s="6">
        <v>44938</v>
      </c>
      <c r="C11" s="7" t="s">
        <v>10</v>
      </c>
      <c r="D11" s="9">
        <v>1.1852197770124299E-2</v>
      </c>
      <c r="E11" s="9">
        <v>1.1852197770124299E-2</v>
      </c>
      <c r="F11" s="9">
        <v>2.6662117949191488E-2</v>
      </c>
      <c r="G11" s="9">
        <v>2.6662117949191488E-2</v>
      </c>
      <c r="H11" s="35">
        <v>1.1782510564722843E-2</v>
      </c>
    </row>
    <row r="12" spans="1:51" x14ac:dyDescent="0.35">
      <c r="B12" s="6">
        <v>44939</v>
      </c>
      <c r="C12" s="7" t="s">
        <v>10</v>
      </c>
      <c r="D12" s="9">
        <v>7.6404577351847202E-3</v>
      </c>
      <c r="E12" s="9">
        <v>7.6404577351847202E-3</v>
      </c>
      <c r="F12" s="9">
        <v>3.4506286469697445E-2</v>
      </c>
      <c r="G12" s="9">
        <v>3.4506286469697445E-2</v>
      </c>
      <c r="H12" s="35">
        <v>7.611417265835088E-3</v>
      </c>
    </row>
    <row r="13" spans="1:51" x14ac:dyDescent="0.35">
      <c r="B13" s="6">
        <v>44943</v>
      </c>
      <c r="C13" s="7" t="s">
        <v>10</v>
      </c>
      <c r="D13" s="9">
        <v>-6.2290742038485997E-4</v>
      </c>
      <c r="E13" s="9">
        <v>-6.2290742038485997E-4</v>
      </c>
      <c r="F13" s="9">
        <v>3.3861884827420807E-2</v>
      </c>
      <c r="G13" s="9">
        <v>3.3861884827420807E-2</v>
      </c>
      <c r="H13" s="35">
        <v>-6.2310150781521472E-4</v>
      </c>
    </row>
    <row r="14" spans="1:51" x14ac:dyDescent="0.35">
      <c r="B14" s="6">
        <v>44944</v>
      </c>
      <c r="C14" s="7" t="s">
        <v>10</v>
      </c>
      <c r="D14" s="9">
        <v>-6.9158321684730101E-3</v>
      </c>
      <c r="E14" s="9">
        <v>-6.9158321684730101E-3</v>
      </c>
      <c r="F14" s="9">
        <v>2.6711869546573119E-2</v>
      </c>
      <c r="G14" s="9">
        <v>2.6711869546573119E-2</v>
      </c>
      <c r="H14" s="35">
        <v>-6.9398573693440898E-3</v>
      </c>
    </row>
    <row r="15" spans="1:51" x14ac:dyDescent="0.35">
      <c r="B15" s="6">
        <v>44945</v>
      </c>
      <c r="C15" s="7" t="s">
        <v>10</v>
      </c>
      <c r="D15" s="9">
        <v>-1.0245239655538399E-2</v>
      </c>
      <c r="E15" s="9">
        <v>-1.0245239655538399E-2</v>
      </c>
      <c r="F15" s="9">
        <v>1.6192960385882582E-2</v>
      </c>
      <c r="G15" s="9">
        <v>1.6192960385882582E-2</v>
      </c>
      <c r="H15" s="35">
        <v>-1.0298083364157832E-2</v>
      </c>
    </row>
    <row r="16" spans="1:51" x14ac:dyDescent="0.35">
      <c r="B16" s="6">
        <v>44946</v>
      </c>
      <c r="C16" s="7" t="s">
        <v>10</v>
      </c>
      <c r="D16" s="9">
        <v>9.1436404838062604E-3</v>
      </c>
      <c r="E16" s="9">
        <v>9.1436404838062604E-3</v>
      </c>
      <c r="F16" s="9">
        <v>2.5484663477825853E-2</v>
      </c>
      <c r="G16" s="9">
        <v>2.5484663477825853E-2</v>
      </c>
      <c r="H16" s="35">
        <v>9.1020904899067594E-3</v>
      </c>
    </row>
    <row r="17" spans="2:8" x14ac:dyDescent="0.35">
      <c r="B17" s="6">
        <v>44949</v>
      </c>
      <c r="C17" s="7" t="s">
        <v>10</v>
      </c>
      <c r="D17" s="9">
        <v>6.1383283971039098E-3</v>
      </c>
      <c r="E17" s="9">
        <v>6.1383283971039098E-3</v>
      </c>
      <c r="F17" s="9">
        <v>3.1779425108446446E-2</v>
      </c>
      <c r="G17" s="9">
        <v>3.1779425108446446E-2</v>
      </c>
      <c r="H17" s="35">
        <v>6.119565601667527E-3</v>
      </c>
    </row>
    <row r="18" spans="2:8" x14ac:dyDescent="0.35">
      <c r="B18" s="6">
        <v>44950</v>
      </c>
      <c r="C18" s="7" t="s">
        <v>10</v>
      </c>
      <c r="D18" s="9">
        <v>3.7243605787225598E-3</v>
      </c>
      <c r="E18" s="9">
        <v>3.7243605787225598E-3</v>
      </c>
      <c r="F18" s="9">
        <v>3.5622143725257294E-2</v>
      </c>
      <c r="G18" s="9">
        <v>3.5622143725257294E-2</v>
      </c>
      <c r="H18" s="35">
        <v>3.7174423199351895E-3</v>
      </c>
    </row>
    <row r="19" spans="2:8" x14ac:dyDescent="0.35">
      <c r="B19" s="6">
        <v>44951</v>
      </c>
      <c r="C19" s="7" t="s">
        <v>10</v>
      </c>
      <c r="D19" s="9">
        <v>4.8497825604556301E-4</v>
      </c>
      <c r="E19" s="9">
        <v>4.8497825604556301E-4</v>
      </c>
      <c r="F19" s="9">
        <v>3.6124397946443398E-2</v>
      </c>
      <c r="G19" s="9">
        <v>3.6124397946443398E-2</v>
      </c>
      <c r="H19" s="35">
        <v>4.848606921003377E-4</v>
      </c>
    </row>
    <row r="20" spans="2:8" x14ac:dyDescent="0.35">
      <c r="B20" s="6">
        <v>44952</v>
      </c>
      <c r="C20" s="7" t="s">
        <v>10</v>
      </c>
      <c r="D20" s="9">
        <v>6.0364243331932502E-4</v>
      </c>
      <c r="E20" s="9">
        <v>6.0364243331932502E-4</v>
      </c>
      <c r="F20" s="9">
        <v>3.6749846599241298E-2</v>
      </c>
      <c r="G20" s="9">
        <v>3.6749846599241298E-2</v>
      </c>
      <c r="H20" s="35">
        <v>6.0346031451176288E-4</v>
      </c>
    </row>
    <row r="21" spans="2:8" x14ac:dyDescent="0.35">
      <c r="B21" s="6">
        <v>44953</v>
      </c>
      <c r="C21" s="7" t="s">
        <v>10</v>
      </c>
      <c r="D21" s="9">
        <v>3.22205439102006E-4</v>
      </c>
      <c r="E21" s="9">
        <v>3.22205439102006E-4</v>
      </c>
      <c r="F21" s="9">
        <v>3.7083893038803772E-2</v>
      </c>
      <c r="G21" s="9">
        <v>3.7083893038803772E-2</v>
      </c>
      <c r="H21" s="35">
        <v>3.2215354207698426E-4</v>
      </c>
    </row>
    <row r="22" spans="2:8" x14ac:dyDescent="0.35">
      <c r="B22" s="6">
        <v>44956</v>
      </c>
      <c r="C22" s="7" t="s">
        <v>10</v>
      </c>
      <c r="D22" s="9">
        <v>-1.54860079954311E-2</v>
      </c>
      <c r="E22" s="9">
        <v>-1.54860079954311E-2</v>
      </c>
      <c r="F22" s="9">
        <v>2.1023603579272132E-2</v>
      </c>
      <c r="G22" s="9">
        <v>2.1023603579272132E-2</v>
      </c>
      <c r="H22" s="35">
        <v>-1.56071687088069E-2</v>
      </c>
    </row>
    <row r="23" spans="2:8" x14ac:dyDescent="0.35">
      <c r="B23" s="6">
        <v>44957</v>
      </c>
      <c r="C23" s="7" t="s">
        <v>10</v>
      </c>
      <c r="D23" s="9">
        <v>1.1836063215390401E-2</v>
      </c>
      <c r="E23" s="9">
        <v>1.1836063215390401E-2</v>
      </c>
      <c r="F23" s="9">
        <v>3.3108503495642205E-2</v>
      </c>
      <c r="G23" s="9">
        <v>3.3108503495642205E-2</v>
      </c>
      <c r="H23" s="35">
        <v>1.1766564872844094E-2</v>
      </c>
    </row>
    <row r="24" spans="2:8" x14ac:dyDescent="0.35">
      <c r="B24" s="6">
        <v>44958</v>
      </c>
      <c r="C24" s="7" t="s">
        <v>10</v>
      </c>
      <c r="D24" s="9">
        <v>-1.75200425617814E-3</v>
      </c>
      <c r="E24" s="9">
        <v>-1.75200425617814E-3</v>
      </c>
      <c r="F24" s="9">
        <v>3.1298493000424088E-2</v>
      </c>
      <c r="G24" s="9">
        <v>3.1298493000424088E-2</v>
      </c>
      <c r="H24" s="35">
        <v>-1.7535408105971899E-3</v>
      </c>
    </row>
    <row r="25" spans="2:8" x14ac:dyDescent="0.35">
      <c r="B25" s="6">
        <v>44959</v>
      </c>
      <c r="C25" s="7" t="s">
        <v>10</v>
      </c>
      <c r="D25" s="9">
        <v>-4.1350032620649097E-5</v>
      </c>
      <c r="E25" s="9">
        <v>-4.1350032620649097E-5</v>
      </c>
      <c r="F25" s="9">
        <v>3.1255848774096817E-2</v>
      </c>
      <c r="G25" s="9">
        <v>3.1255848774096817E-2</v>
      </c>
      <c r="H25" s="35">
        <v>-4.1350887556790679E-5</v>
      </c>
    </row>
    <row r="26" spans="2:8" x14ac:dyDescent="0.35">
      <c r="B26" s="6">
        <v>44960</v>
      </c>
      <c r="C26" s="7" t="s">
        <v>10</v>
      </c>
      <c r="D26" s="9">
        <v>-3.78598175928678E-3</v>
      </c>
      <c r="E26" s="9">
        <v>-3.78598175928678E-3</v>
      </c>
      <c r="F26" s="9">
        <v>2.7351532941480183E-2</v>
      </c>
      <c r="G26" s="9">
        <v>2.7351532941480183E-2</v>
      </c>
      <c r="H26" s="35">
        <v>-3.793166728736213E-3</v>
      </c>
    </row>
    <row r="27" spans="2:8" x14ac:dyDescent="0.35">
      <c r="B27" s="6">
        <v>44963</v>
      </c>
      <c r="C27" s="7" t="s">
        <v>10</v>
      </c>
      <c r="D27" s="9">
        <v>-5.3777078788493204E-3</v>
      </c>
      <c r="E27" s="9">
        <v>-5.3777078788493204E-3</v>
      </c>
      <c r="F27" s="9">
        <v>2.1826736508432809E-2</v>
      </c>
      <c r="G27" s="9">
        <v>2.1826736508432809E-2</v>
      </c>
      <c r="H27" s="35">
        <v>-5.3922198004973734E-3</v>
      </c>
    </row>
    <row r="28" spans="2:8" x14ac:dyDescent="0.35">
      <c r="B28" s="6">
        <v>44964</v>
      </c>
      <c r="C28" s="7" t="s">
        <v>10</v>
      </c>
      <c r="D28" s="9">
        <v>3.55892513505358E-3</v>
      </c>
      <c r="E28" s="9">
        <v>3.55892513505358E-3</v>
      </c>
      <c r="F28" s="9">
        <v>2.5463341364662551E-2</v>
      </c>
      <c r="G28" s="9">
        <v>2.5463341364662551E-2</v>
      </c>
      <c r="H28" s="35">
        <v>3.5526071467228289E-3</v>
      </c>
    </row>
    <row r="29" spans="2:8" x14ac:dyDescent="0.35">
      <c r="B29" s="6">
        <v>44965</v>
      </c>
      <c r="C29" s="7" t="s">
        <v>10</v>
      </c>
      <c r="D29" s="9">
        <v>-2.3534983654656901E-2</v>
      </c>
      <c r="E29" s="9">
        <v>-2.3534983654656901E-2</v>
      </c>
      <c r="F29" s="9">
        <v>1.3290783871953149E-3</v>
      </c>
      <c r="G29" s="9">
        <v>1.3290783871953149E-3</v>
      </c>
      <c r="H29" s="35">
        <v>-2.3816354862358152E-2</v>
      </c>
    </row>
    <row r="30" spans="2:8" x14ac:dyDescent="0.35">
      <c r="B30" s="6">
        <v>44966</v>
      </c>
      <c r="C30" s="7" t="s">
        <v>10</v>
      </c>
      <c r="D30" s="9">
        <v>-3.53477279502556E-3</v>
      </c>
      <c r="E30" s="9">
        <v>-3.53477279502556E-3</v>
      </c>
      <c r="F30" s="9">
        <v>-2.2103923979557294E-3</v>
      </c>
      <c r="G30" s="9">
        <v>-2.2103923979557294E-3</v>
      </c>
      <c r="H30" s="35">
        <v>-3.5410348654007942E-3</v>
      </c>
    </row>
    <row r="31" spans="2:8" x14ac:dyDescent="0.35">
      <c r="B31" s="6">
        <v>44967</v>
      </c>
      <c r="C31" s="7" t="s">
        <v>10</v>
      </c>
      <c r="D31" s="9">
        <v>3.3431157458851499E-3</v>
      </c>
      <c r="E31" s="9">
        <v>3.3431157458851499E-3</v>
      </c>
      <c r="F31" s="9">
        <v>1.1253337502992178E-3</v>
      </c>
      <c r="G31" s="9">
        <v>1.1253337502992178E-3</v>
      </c>
      <c r="H31" s="35">
        <v>3.3375399579869645E-3</v>
      </c>
    </row>
    <row r="32" spans="2:8" x14ac:dyDescent="0.35">
      <c r="B32" s="6">
        <v>44970</v>
      </c>
      <c r="C32" s="7" t="s">
        <v>10</v>
      </c>
      <c r="D32" s="9">
        <v>1.0343799399865501E-2</v>
      </c>
      <c r="E32" s="9">
        <v>1.0343799399865501E-2</v>
      </c>
      <c r="F32" s="9">
        <v>1.1480773376735698E-2</v>
      </c>
      <c r="G32" s="9">
        <v>1.1480773376735698E-2</v>
      </c>
      <c r="H32" s="35">
        <v>1.0290668377193491E-2</v>
      </c>
    </row>
    <row r="33" spans="2:8" x14ac:dyDescent="0.35">
      <c r="B33" s="6">
        <v>44971</v>
      </c>
      <c r="C33" s="7" t="s">
        <v>10</v>
      </c>
      <c r="D33" s="9">
        <v>-1.1930730800129199E-3</v>
      </c>
      <c r="E33" s="9">
        <v>-1.1930730800129199E-3</v>
      </c>
      <c r="F33" s="9">
        <v>1.027400289506919E-2</v>
      </c>
      <c r="G33" s="9">
        <v>1.027400289506919E-2</v>
      </c>
      <c r="H33" s="35">
        <v>-1.193785358289776E-3</v>
      </c>
    </row>
    <row r="34" spans="2:8" x14ac:dyDescent="0.35">
      <c r="B34" s="6">
        <v>44972</v>
      </c>
      <c r="C34" s="7" t="s">
        <v>10</v>
      </c>
      <c r="D34" s="9">
        <v>-7.2263689180054197E-4</v>
      </c>
      <c r="E34" s="9">
        <v>-7.2263689180054197E-4</v>
      </c>
      <c r="F34" s="9">
        <v>9.5439416297502522E-3</v>
      </c>
      <c r="G34" s="9">
        <v>9.5439416297502522E-3</v>
      </c>
      <c r="H34" s="35">
        <v>-7.2289811969540748E-4</v>
      </c>
    </row>
    <row r="35" spans="2:8" x14ac:dyDescent="0.35">
      <c r="B35" s="6">
        <v>44973</v>
      </c>
      <c r="C35" s="7" t="s">
        <v>10</v>
      </c>
      <c r="D35" s="9">
        <v>-1.39467819544282E-2</v>
      </c>
      <c r="E35" s="9">
        <v>-1.39467819544282E-2</v>
      </c>
      <c r="F35" s="9">
        <v>-4.5359475975739194E-3</v>
      </c>
      <c r="G35" s="9">
        <v>-4.5359475975739194E-3</v>
      </c>
      <c r="H35" s="35">
        <v>-1.4044952158977648E-2</v>
      </c>
    </row>
    <row r="36" spans="2:8" x14ac:dyDescent="0.35">
      <c r="B36" s="6">
        <v>44974</v>
      </c>
      <c r="C36" s="7" t="s">
        <v>10</v>
      </c>
      <c r="D36" s="9">
        <v>1.28651516811386E-2</v>
      </c>
      <c r="E36" s="9">
        <v>1.28651516811386E-2</v>
      </c>
      <c r="F36" s="9">
        <v>8.2708484297042695E-3</v>
      </c>
      <c r="G36" s="9">
        <v>8.2708484297042695E-3</v>
      </c>
      <c r="H36" s="35">
        <v>1.2783098617965016E-2</v>
      </c>
    </row>
    <row r="37" spans="2:8" x14ac:dyDescent="0.35">
      <c r="B37" s="6">
        <v>44978</v>
      </c>
      <c r="C37" s="7" t="s">
        <v>10</v>
      </c>
      <c r="D37" s="9">
        <v>-2.4672228283360301E-2</v>
      </c>
      <c r="E37" s="9">
        <v>-2.4672228283360301E-2</v>
      </c>
      <c r="F37" s="9">
        <v>-1.6605440114210834E-2</v>
      </c>
      <c r="G37" s="9">
        <v>-1.6605440114210834E-2</v>
      </c>
      <c r="H37" s="35">
        <v>-2.4981688359190121E-2</v>
      </c>
    </row>
    <row r="38" spans="2:8" x14ac:dyDescent="0.35">
      <c r="B38" s="6">
        <v>44979</v>
      </c>
      <c r="C38" s="7" t="s">
        <v>10</v>
      </c>
      <c r="D38" s="9">
        <v>1.1644081648396799E-3</v>
      </c>
      <c r="E38" s="9">
        <v>1.1644081648396799E-3</v>
      </c>
      <c r="F38" s="9">
        <v>-1.5460367459420921E-2</v>
      </c>
      <c r="G38" s="9">
        <v>-1.5460367459420921E-2</v>
      </c>
      <c r="H38" s="35">
        <v>1.1637307674461858E-3</v>
      </c>
    </row>
    <row r="39" spans="2:8" x14ac:dyDescent="0.35">
      <c r="B39" s="6">
        <v>44980</v>
      </c>
      <c r="C39" s="7" t="s">
        <v>10</v>
      </c>
      <c r="D39" s="9">
        <v>-5.4471561767069797E-3</v>
      </c>
      <c r="E39" s="9">
        <v>-5.4471561767069797E-3</v>
      </c>
      <c r="F39" s="9">
        <v>-2.0823308600027124E-2</v>
      </c>
      <c r="G39" s="9">
        <v>-2.0823308600027124E-2</v>
      </c>
      <c r="H39" s="35">
        <v>-5.4620460280939238E-3</v>
      </c>
    </row>
    <row r="40" spans="2:8" x14ac:dyDescent="0.35">
      <c r="B40" s="6">
        <v>44981</v>
      </c>
      <c r="C40" s="7" t="s">
        <v>10</v>
      </c>
      <c r="D40" s="9">
        <v>-1.92739561757331E-2</v>
      </c>
      <c r="E40" s="9">
        <v>-1.92739561757331E-2</v>
      </c>
      <c r="F40" s="9">
        <v>-3.9695917238369516E-2</v>
      </c>
      <c r="G40" s="9">
        <v>-3.9695917238369516E-2</v>
      </c>
      <c r="H40" s="35">
        <v>-1.9462120574421846E-2</v>
      </c>
    </row>
    <row r="41" spans="2:8" x14ac:dyDescent="0.35">
      <c r="B41" s="6">
        <v>44984</v>
      </c>
      <c r="C41" s="7" t="s">
        <v>10</v>
      </c>
      <c r="D41" s="9">
        <v>4.4389112440067699E-3</v>
      </c>
      <c r="E41" s="9">
        <v>4.4389112440067699E-3</v>
      </c>
      <c r="F41" s="9">
        <v>-3.5433212647733248E-2</v>
      </c>
      <c r="G41" s="9">
        <v>-3.5433212647733248E-2</v>
      </c>
      <c r="H41" s="35">
        <v>4.4290883354429003E-3</v>
      </c>
    </row>
    <row r="42" spans="2:8" x14ac:dyDescent="0.35">
      <c r="B42" s="6">
        <v>44985</v>
      </c>
      <c r="C42" s="7" t="s">
        <v>10</v>
      </c>
      <c r="D42" s="9">
        <v>2.1935882112801E-3</v>
      </c>
      <c r="E42" s="9">
        <v>2.1935882112801E-3</v>
      </c>
      <c r="F42" s="9">
        <v>-3.3317350314005068E-2</v>
      </c>
      <c r="G42" s="9">
        <v>-3.3317350314005068E-2</v>
      </c>
      <c r="H42" s="35">
        <v>2.1911858092720309E-3</v>
      </c>
    </row>
    <row r="43" spans="2:8" x14ac:dyDescent="0.35">
      <c r="B43" s="6">
        <v>44986</v>
      </c>
      <c r="C43" s="7" t="s">
        <v>10</v>
      </c>
      <c r="D43" s="9">
        <v>5.8304316138959901E-3</v>
      </c>
      <c r="E43" s="9">
        <v>5.8304316138959901E-3</v>
      </c>
      <c r="F43" s="9">
        <v>-2.7681173232671163E-2</v>
      </c>
      <c r="G43" s="9">
        <v>-2.7681173232671163E-2</v>
      </c>
      <c r="H43" s="35">
        <v>5.8135004263714348E-3</v>
      </c>
    </row>
    <row r="44" spans="2:8" x14ac:dyDescent="0.35">
      <c r="B44" s="6">
        <v>44987</v>
      </c>
      <c r="C44" s="7" t="s">
        <v>10</v>
      </c>
      <c r="D44" s="9">
        <v>-1.8175475063006499E-3</v>
      </c>
      <c r="E44" s="9">
        <v>-1.8175475063006499E-3</v>
      </c>
      <c r="F44" s="9">
        <v>-2.9448408891591393E-2</v>
      </c>
      <c r="G44" s="9">
        <v>-2.9448408891591393E-2</v>
      </c>
      <c r="H44" s="35">
        <v>-1.8192012499117132E-3</v>
      </c>
    </row>
    <row r="45" spans="2:8" x14ac:dyDescent="0.35">
      <c r="B45" s="6">
        <v>44988</v>
      </c>
      <c r="C45" s="7" t="s">
        <v>10</v>
      </c>
      <c r="D45" s="9">
        <v>1.4434874421969701E-2</v>
      </c>
      <c r="E45" s="9">
        <v>1.4434874421969701E-2</v>
      </c>
      <c r="F45" s="9">
        <v>-1.5438618553898609E-2</v>
      </c>
      <c r="G45" s="9">
        <v>-1.5438618553898609E-2</v>
      </c>
      <c r="H45" s="35">
        <v>1.4331683469065137E-2</v>
      </c>
    </row>
    <row r="46" spans="2:8" x14ac:dyDescent="0.35">
      <c r="B46" s="6">
        <v>44991</v>
      </c>
      <c r="C46" s="7" t="s">
        <v>10</v>
      </c>
      <c r="D46" s="9">
        <v>-1.05191131756351E-2</v>
      </c>
      <c r="E46" s="9">
        <v>-1.05191131756351E-2</v>
      </c>
      <c r="F46" s="9">
        <v>-2.5795331153689816E-2</v>
      </c>
      <c r="G46" s="9">
        <v>-2.5795331153689816E-2</v>
      </c>
      <c r="H46" s="35">
        <v>-1.0574830119640442E-2</v>
      </c>
    </row>
    <row r="47" spans="2:8" x14ac:dyDescent="0.35">
      <c r="B47" s="6">
        <v>44992</v>
      </c>
      <c r="C47" s="7" t="s">
        <v>10</v>
      </c>
      <c r="D47" s="9">
        <v>-1.21065139473274E-2</v>
      </c>
      <c r="E47" s="9">
        <v>-1.21065139473274E-2</v>
      </c>
      <c r="F47" s="9">
        <v>-3.7589553564629119E-2</v>
      </c>
      <c r="G47" s="9">
        <v>-3.7589553564629119E-2</v>
      </c>
      <c r="H47" s="35">
        <v>-1.2180394684925816E-2</v>
      </c>
    </row>
    <row r="48" spans="2:8" x14ac:dyDescent="0.35">
      <c r="B48" s="6">
        <v>44993</v>
      </c>
      <c r="C48" s="7" t="s">
        <v>10</v>
      </c>
      <c r="D48" s="9">
        <v>-7.4981856766802796E-3</v>
      </c>
      <c r="E48" s="9">
        <v>-7.4981856766802796E-3</v>
      </c>
      <c r="F48" s="9">
        <v>-4.4805885789178324E-2</v>
      </c>
      <c r="G48" s="9">
        <v>-4.4805885789178324E-2</v>
      </c>
      <c r="H48" s="35">
        <v>-7.5264383888908968E-3</v>
      </c>
    </row>
    <row r="49" spans="2:8" x14ac:dyDescent="0.35">
      <c r="B49" s="6">
        <v>44994</v>
      </c>
      <c r="C49" s="7" t="s">
        <v>10</v>
      </c>
      <c r="D49" s="9">
        <v>-1.9542194050907E-2</v>
      </c>
      <c r="E49" s="9">
        <v>-1.9542194050907E-2</v>
      </c>
      <c r="F49" s="9">
        <v>-6.3472474525370415E-2</v>
      </c>
      <c r="G49" s="9">
        <v>-6.3472474525370415E-2</v>
      </c>
      <c r="H49" s="35">
        <v>-1.9735667469964011E-2</v>
      </c>
    </row>
    <row r="50" spans="2:8" x14ac:dyDescent="0.35">
      <c r="B50" s="6">
        <v>44995</v>
      </c>
      <c r="C50" s="7" t="s">
        <v>10</v>
      </c>
      <c r="D50" s="9">
        <v>-1.43483944187178E-2</v>
      </c>
      <c r="E50" s="9">
        <v>-1.43483944187178E-2</v>
      </c>
      <c r="F50" s="9">
        <v>-7.6910140844866248E-2</v>
      </c>
      <c r="G50" s="9">
        <v>-7.6910140844866248E-2</v>
      </c>
      <c r="H50" s="35">
        <v>-1.4452328014664801E-2</v>
      </c>
    </row>
    <row r="51" spans="2:8" x14ac:dyDescent="0.35">
      <c r="B51" s="6">
        <v>44998</v>
      </c>
      <c r="C51" s="7" t="s">
        <v>10</v>
      </c>
      <c r="D51" s="9">
        <v>2.73514202588644E-2</v>
      </c>
      <c r="E51" s="9">
        <v>2.73514202588644E-2</v>
      </c>
      <c r="F51" s="9">
        <v>-5.1662322170418107E-2</v>
      </c>
      <c r="G51" s="9">
        <v>-5.1662322170418107E-2</v>
      </c>
      <c r="H51" s="35">
        <v>2.6984053777818713E-2</v>
      </c>
    </row>
    <row r="52" spans="2:8" x14ac:dyDescent="0.35">
      <c r="B52" s="6">
        <v>44999</v>
      </c>
      <c r="C52" s="7" t="s">
        <v>10</v>
      </c>
      <c r="D52" s="9">
        <v>1.1353245723320299E-2</v>
      </c>
      <c r="E52" s="9">
        <v>1.1353245723320299E-2</v>
      </c>
      <c r="F52" s="9">
        <v>-4.0895611485335936E-2</v>
      </c>
      <c r="G52" s="9">
        <v>-4.0895611485335936E-2</v>
      </c>
      <c r="H52" s="35">
        <v>1.1289281309608117E-2</v>
      </c>
    </row>
    <row r="53" spans="2:8" x14ac:dyDescent="0.35">
      <c r="B53" s="6">
        <v>45000</v>
      </c>
      <c r="C53" s="7" t="s">
        <v>10</v>
      </c>
      <c r="D53" s="9">
        <v>-4.3765842839037002E-3</v>
      </c>
      <c r="E53" s="9">
        <v>-4.3765842839037002E-3</v>
      </c>
      <c r="F53" s="9">
        <v>-4.5093212678732342E-2</v>
      </c>
      <c r="G53" s="9">
        <v>-4.5093212678732342E-2</v>
      </c>
      <c r="H53" s="35">
        <v>-4.3861895646933784E-3</v>
      </c>
    </row>
    <row r="54" spans="2:8" x14ac:dyDescent="0.35">
      <c r="B54" s="6">
        <v>45001</v>
      </c>
      <c r="C54" s="7" t="s">
        <v>10</v>
      </c>
      <c r="D54" s="9">
        <v>5.5768274490303497E-3</v>
      </c>
      <c r="E54" s="9">
        <v>5.5768274490303497E-3</v>
      </c>
      <c r="F54" s="9">
        <v>-3.9767862295933654E-2</v>
      </c>
      <c r="G54" s="9">
        <v>-3.9767862295933654E-2</v>
      </c>
      <c r="H54" s="35">
        <v>5.5613345210663908E-3</v>
      </c>
    </row>
    <row r="55" spans="2:8" x14ac:dyDescent="0.35">
      <c r="B55" s="6">
        <v>45002</v>
      </c>
      <c r="C55" s="7" t="s">
        <v>10</v>
      </c>
      <c r="D55" s="9">
        <v>-1.65931911295287E-2</v>
      </c>
      <c r="E55" s="9">
        <v>-1.65931911295287E-2</v>
      </c>
      <c r="F55" s="9">
        <v>-5.5701177685573144E-2</v>
      </c>
      <c r="G55" s="9">
        <v>-5.5701177685573144E-2</v>
      </c>
      <c r="H55" s="35">
        <v>-1.6732400222622505E-2</v>
      </c>
    </row>
    <row r="56" spans="2:8" x14ac:dyDescent="0.35">
      <c r="B56" s="6">
        <v>45005</v>
      </c>
      <c r="C56" s="7" t="s">
        <v>10</v>
      </c>
      <c r="D56" s="9">
        <v>1.1243752074260999E-2</v>
      </c>
      <c r="E56" s="9">
        <v>1.1243752074260999E-2</v>
      </c>
      <c r="F56" s="9">
        <v>-4.5083715843453054E-2</v>
      </c>
      <c r="G56" s="9">
        <v>-4.5083715843453054E-2</v>
      </c>
      <c r="H56" s="35">
        <v>1.1181010952947337E-2</v>
      </c>
    </row>
    <row r="57" spans="2:8" x14ac:dyDescent="0.35">
      <c r="B57" s="6">
        <v>45006</v>
      </c>
      <c r="C57" s="7" t="s">
        <v>10</v>
      </c>
      <c r="D57" s="9">
        <v>-1.4768624876928399E-3</v>
      </c>
      <c r="E57" s="9">
        <v>-1.4768624876928399E-3</v>
      </c>
      <c r="F57" s="9">
        <v>-4.6493995882410877E-2</v>
      </c>
      <c r="G57" s="9">
        <v>-4.6493995882410877E-2</v>
      </c>
      <c r="H57" s="35">
        <v>-1.4779541240268472E-3</v>
      </c>
    </row>
    <row r="58" spans="2:8" x14ac:dyDescent="0.35">
      <c r="B58" s="6">
        <v>45007</v>
      </c>
      <c r="C58" s="7" t="s">
        <v>10</v>
      </c>
      <c r="D58" s="9">
        <v>-2.0808744802171202E-2</v>
      </c>
      <c r="E58" s="9">
        <v>-2.0808744802171202E-2</v>
      </c>
      <c r="F58" s="9">
        <v>-6.6335258989431822E-2</v>
      </c>
      <c r="G58" s="9">
        <v>-6.6335258989431822E-2</v>
      </c>
      <c r="H58" s="35">
        <v>-2.102829782172597E-2</v>
      </c>
    </row>
    <row r="59" spans="2:8" x14ac:dyDescent="0.35">
      <c r="B59" s="6">
        <v>45008</v>
      </c>
      <c r="C59" s="7" t="s">
        <v>10</v>
      </c>
      <c r="D59" s="9">
        <v>1.2556801855294101E-2</v>
      </c>
      <c r="E59" s="9">
        <v>1.2556801855294101E-2</v>
      </c>
      <c r="F59" s="9">
        <v>-5.4611415837287569E-2</v>
      </c>
      <c r="G59" s="9">
        <v>-5.4611415837287569E-2</v>
      </c>
      <c r="H59" s="35">
        <v>1.2478619022798875E-2</v>
      </c>
    </row>
    <row r="60" spans="2:8" x14ac:dyDescent="0.35">
      <c r="B60" s="6">
        <v>45009</v>
      </c>
      <c r="C60" s="7" t="s">
        <v>10</v>
      </c>
      <c r="D60" s="9">
        <v>1.1464347511621399E-2</v>
      </c>
      <c r="E60" s="9">
        <v>1.1464347511621399E-2</v>
      </c>
      <c r="F60" s="9">
        <v>-4.3773152574926533E-2</v>
      </c>
      <c r="G60" s="9">
        <v>-4.3773152574926533E-2</v>
      </c>
      <c r="H60" s="35">
        <v>1.1399129858270516E-2</v>
      </c>
    </row>
    <row r="61" spans="2:8" x14ac:dyDescent="0.35">
      <c r="B61" s="6">
        <v>45012</v>
      </c>
      <c r="C61" s="7" t="s">
        <v>10</v>
      </c>
      <c r="D61" s="9">
        <v>2.6790414047214899E-3</v>
      </c>
      <c r="E61" s="9">
        <v>2.6790414047214899E-3</v>
      </c>
      <c r="F61" s="9">
        <v>-4.1211381258368429E-2</v>
      </c>
      <c r="G61" s="9">
        <v>-4.1211381258368429E-2</v>
      </c>
      <c r="H61" s="35">
        <v>2.6754591698414662E-3</v>
      </c>
    </row>
    <row r="62" spans="2:8" x14ac:dyDescent="0.35">
      <c r="B62" s="6">
        <v>45013</v>
      </c>
      <c r="C62" s="7" t="s">
        <v>10</v>
      </c>
      <c r="D62" s="9">
        <v>1.27527331707255E-3</v>
      </c>
      <c r="E62" s="9">
        <v>1.27527331707255E-3</v>
      </c>
      <c r="F62" s="9">
        <v>-3.9988663716174488E-2</v>
      </c>
      <c r="G62" s="9">
        <v>-3.9988663716174488E-2</v>
      </c>
      <c r="H62" s="35">
        <v>1.2744608467303009E-3</v>
      </c>
    </row>
    <row r="63" spans="2:8" x14ac:dyDescent="0.35">
      <c r="B63" s="6">
        <v>45014</v>
      </c>
      <c r="C63" s="7" t="s">
        <v>10</v>
      </c>
      <c r="D63" s="9">
        <v>1.24273525411154E-2</v>
      </c>
      <c r="E63" s="9">
        <v>1.24273525411154E-2</v>
      </c>
      <c r="F63" s="9">
        <v>-2.805826439670811E-2</v>
      </c>
      <c r="G63" s="9">
        <v>-2.805826439670811E-2</v>
      </c>
      <c r="H63" s="35">
        <v>1.2350766847685221E-2</v>
      </c>
    </row>
    <row r="64" spans="2:8" x14ac:dyDescent="0.35">
      <c r="B64" s="6">
        <v>45015</v>
      </c>
      <c r="C64" s="7" t="s">
        <v>10</v>
      </c>
      <c r="D64" s="9">
        <v>-6.34381679389312E-3</v>
      </c>
      <c r="E64" s="9">
        <v>-6.34381679389312E-3</v>
      </c>
      <c r="F64" s="9">
        <v>-3.4224084701714008E-2</v>
      </c>
      <c r="G64" s="9">
        <v>-3.4224084701714008E-2</v>
      </c>
      <c r="H64" s="35">
        <v>-6.3640243068233517E-3</v>
      </c>
    </row>
    <row r="65" spans="2:8" x14ac:dyDescent="0.35">
      <c r="B65" s="6">
        <v>45016</v>
      </c>
      <c r="C65" s="7" t="s">
        <v>10</v>
      </c>
      <c r="D65" s="9">
        <v>1.41379327298918E-2</v>
      </c>
      <c r="E65" s="9">
        <v>1.41379327298918E-2</v>
      </c>
      <c r="F65" s="9">
        <v>-2.0570009779077081E-2</v>
      </c>
      <c r="G65" s="9">
        <v>-2.0570009779077081E-2</v>
      </c>
      <c r="H65" s="35">
        <v>1.4038924251203285E-2</v>
      </c>
    </row>
    <row r="66" spans="2:8" x14ac:dyDescent="0.35">
      <c r="B66" s="6">
        <v>45019</v>
      </c>
      <c r="C66" s="7" t="s">
        <v>10</v>
      </c>
      <c r="D66" s="9">
        <v>5.1705455858861204E-3</v>
      </c>
      <c r="E66" s="9">
        <v>5.1705455858861204E-3</v>
      </c>
      <c r="F66" s="9">
        <v>-1.5505822366455813E-2</v>
      </c>
      <c r="G66" s="9">
        <v>-1.5505822366455813E-2</v>
      </c>
      <c r="H66" s="35">
        <v>5.1572242144990784E-3</v>
      </c>
    </row>
    <row r="67" spans="2:8" x14ac:dyDescent="0.35">
      <c r="B67" s="6">
        <v>45020</v>
      </c>
      <c r="C67" s="7" t="s">
        <v>10</v>
      </c>
      <c r="D67" s="9">
        <v>-7.4783799817682104E-3</v>
      </c>
      <c r="E67" s="9">
        <v>-7.4783799817682104E-3</v>
      </c>
      <c r="F67" s="9">
        <v>-2.2868243916637887E-2</v>
      </c>
      <c r="G67" s="9">
        <v>-2.2868243916637887E-2</v>
      </c>
      <c r="H67" s="35">
        <v>-7.5064832643618731E-3</v>
      </c>
    </row>
    <row r="68" spans="2:8" x14ac:dyDescent="0.35">
      <c r="B68" s="6">
        <v>45021</v>
      </c>
      <c r="C68" s="7" t="s">
        <v>10</v>
      </c>
      <c r="D68" s="9">
        <v>6.6357113526306199E-3</v>
      </c>
      <c r="E68" s="9">
        <v>6.6357113526306199E-3</v>
      </c>
      <c r="F68" s="9">
        <v>-1.638427962977973E-2</v>
      </c>
      <c r="G68" s="9">
        <v>-1.638427962977973E-2</v>
      </c>
      <c r="H68" s="35">
        <v>6.6137919339116112E-3</v>
      </c>
    </row>
    <row r="69" spans="2:8" x14ac:dyDescent="0.35">
      <c r="B69" s="6">
        <v>45022</v>
      </c>
      <c r="C69" s="7" t="s">
        <v>10</v>
      </c>
      <c r="D69" s="9">
        <v>1.2261882923155699E-2</v>
      </c>
      <c r="E69" s="9">
        <v>1.2261882923155699E-2</v>
      </c>
      <c r="F69" s="9">
        <v>-4.3232988252245308E-3</v>
      </c>
      <c r="G69" s="9">
        <v>-4.3232988252245308E-3</v>
      </c>
      <c r="H69" s="35">
        <v>1.2187314980179189E-2</v>
      </c>
    </row>
    <row r="70" spans="2:8" x14ac:dyDescent="0.35">
      <c r="B70" s="6">
        <v>45026</v>
      </c>
      <c r="C70" s="7" t="s">
        <v>10</v>
      </c>
      <c r="D70" s="9">
        <v>-5.9851396850529202E-3</v>
      </c>
      <c r="E70" s="9">
        <v>-5.9851396850529202E-3</v>
      </c>
      <c r="F70" s="9">
        <v>-1.0282562962908193E-2</v>
      </c>
      <c r="G70" s="9">
        <v>-1.0282562962908193E-2</v>
      </c>
      <c r="H70" s="35">
        <v>-6.0031224222760289E-3</v>
      </c>
    </row>
    <row r="71" spans="2:8" x14ac:dyDescent="0.35">
      <c r="B71" s="6">
        <v>45027</v>
      </c>
      <c r="C71" s="7" t="s">
        <v>10</v>
      </c>
      <c r="D71" s="9">
        <v>1.45131962136157E-3</v>
      </c>
      <c r="E71" s="9">
        <v>1.45131962136157E-3</v>
      </c>
      <c r="F71" s="9">
        <v>-8.8461666269327166E-3</v>
      </c>
      <c r="G71" s="9">
        <v>-8.8461666269327166E-3</v>
      </c>
      <c r="H71" s="35">
        <v>1.4502674749172885E-3</v>
      </c>
    </row>
    <row r="72" spans="2:8" x14ac:dyDescent="0.35">
      <c r="B72" s="6">
        <v>45028</v>
      </c>
      <c r="C72" s="7" t="s">
        <v>10</v>
      </c>
      <c r="D72" s="9">
        <v>-2.4552838907029198E-3</v>
      </c>
      <c r="E72" s="9">
        <v>-2.4552838907029198E-3</v>
      </c>
      <c r="F72" s="9">
        <v>-1.1279730667222099E-2</v>
      </c>
      <c r="G72" s="9">
        <v>-1.1279730667222099E-2</v>
      </c>
      <c r="H72" s="35">
        <v>-2.4583030431249171E-3</v>
      </c>
    </row>
    <row r="73" spans="2:8" x14ac:dyDescent="0.35">
      <c r="B73" s="6">
        <v>45029</v>
      </c>
      <c r="C73" s="7" t="s">
        <v>10</v>
      </c>
      <c r="D73" s="9">
        <v>2.1520403801729902E-2</v>
      </c>
      <c r="E73" s="9">
        <v>2.1520403801729902E-2</v>
      </c>
      <c r="F73" s="9">
        <v>9.9979287757743229E-3</v>
      </c>
      <c r="G73" s="9">
        <v>9.9979287757743229E-3</v>
      </c>
      <c r="H73" s="35">
        <v>2.1292109429192324E-2</v>
      </c>
    </row>
    <row r="74" spans="2:8" x14ac:dyDescent="0.35">
      <c r="B74" s="6">
        <v>45030</v>
      </c>
      <c r="C74" s="7" t="s">
        <v>10</v>
      </c>
      <c r="D74" s="9">
        <v>-8.4437381876992894E-3</v>
      </c>
      <c r="E74" s="9">
        <v>-8.4437381876992894E-3</v>
      </c>
      <c r="F74" s="9">
        <v>1.469770695073036E-3</v>
      </c>
      <c r="G74" s="9">
        <v>1.469770695073036E-3</v>
      </c>
      <c r="H74" s="35">
        <v>-8.4795884947048428E-3</v>
      </c>
    </row>
    <row r="75" spans="2:8" x14ac:dyDescent="0.35">
      <c r="B75" s="6">
        <v>45033</v>
      </c>
      <c r="C75" s="7" t="s">
        <v>10</v>
      </c>
      <c r="D75" s="9">
        <v>9.5066048381744501E-3</v>
      </c>
      <c r="E75" s="9">
        <v>9.5066048381744501E-3</v>
      </c>
      <c r="F75" s="9">
        <v>1.0990348062448252E-2</v>
      </c>
      <c r="G75" s="9">
        <v>1.0990348062448252E-2</v>
      </c>
      <c r="H75" s="35">
        <v>9.4617014320407828E-3</v>
      </c>
    </row>
    <row r="76" spans="2:8" x14ac:dyDescent="0.35">
      <c r="B76" s="6">
        <v>45034</v>
      </c>
      <c r="C76" s="7" t="s">
        <v>10</v>
      </c>
      <c r="D76" s="9">
        <v>-5.0114836715809503E-3</v>
      </c>
      <c r="E76" s="9">
        <v>-5.0114836715809503E-3</v>
      </c>
      <c r="F76" s="9">
        <v>5.9237864410073282E-3</v>
      </c>
      <c r="G76" s="9">
        <v>5.9237864410073282E-3</v>
      </c>
      <c r="H76" s="35">
        <v>-5.0240832686198663E-3</v>
      </c>
    </row>
    <row r="77" spans="2:8" x14ac:dyDescent="0.35">
      <c r="B77" s="6">
        <v>45035</v>
      </c>
      <c r="C77" s="7" t="s">
        <v>10</v>
      </c>
      <c r="D77" s="9">
        <v>5.2892694624345499E-3</v>
      </c>
      <c r="E77" s="9">
        <v>5.2892694624345499E-3</v>
      </c>
      <c r="F77" s="9">
        <v>1.124438840616615E-2</v>
      </c>
      <c r="G77" s="9">
        <v>1.124438840616615E-2</v>
      </c>
      <c r="H77" s="35">
        <v>5.2753304067220501E-3</v>
      </c>
    </row>
    <row r="78" spans="2:8" x14ac:dyDescent="0.35">
      <c r="B78" s="6">
        <v>45036</v>
      </c>
      <c r="C78" s="7" t="s">
        <v>10</v>
      </c>
      <c r="D78" s="9">
        <v>-8.0529853567143997E-3</v>
      </c>
      <c r="E78" s="9">
        <v>-8.0529853567143997E-3</v>
      </c>
      <c r="F78" s="9">
        <v>3.1008521542716938E-3</v>
      </c>
      <c r="G78" s="9">
        <v>3.1008521542716938E-3</v>
      </c>
      <c r="H78" s="35">
        <v>-8.0855857817492896E-3</v>
      </c>
    </row>
    <row r="79" spans="2:8" x14ac:dyDescent="0.35">
      <c r="B79" s="6">
        <v>45037</v>
      </c>
      <c r="C79" s="7" t="s">
        <v>10</v>
      </c>
      <c r="D79" s="9">
        <v>1.1716004061547901E-2</v>
      </c>
      <c r="E79" s="9">
        <v>1.1716004061547901E-2</v>
      </c>
      <c r="F79" s="9">
        <v>1.4853185812253145E-2</v>
      </c>
      <c r="G79" s="9">
        <v>1.4853185812253145E-2</v>
      </c>
      <c r="H79" s="35">
        <v>1.1647903084076733E-2</v>
      </c>
    </row>
    <row r="80" spans="2:8" x14ac:dyDescent="0.35">
      <c r="B80" s="6">
        <v>45040</v>
      </c>
      <c r="C80" s="7" t="s">
        <v>10</v>
      </c>
      <c r="D80" s="9">
        <v>-5.2357123305938396E-3</v>
      </c>
      <c r="E80" s="9">
        <v>-5.2357123305938396E-3</v>
      </c>
      <c r="F80" s="9">
        <v>9.5397064735533998E-3</v>
      </c>
      <c r="G80" s="9">
        <v>9.5397064735533998E-3</v>
      </c>
      <c r="H80" s="35">
        <v>-5.2494667026941966E-3</v>
      </c>
    </row>
    <row r="81" spans="2:8" x14ac:dyDescent="0.35">
      <c r="B81" s="6">
        <v>45041</v>
      </c>
      <c r="C81" s="7" t="s">
        <v>10</v>
      </c>
      <c r="D81" s="9">
        <v>-1.21210410831328E-2</v>
      </c>
      <c r="E81" s="9">
        <v>-1.21210410831328E-2</v>
      </c>
      <c r="F81" s="9">
        <v>-2.6969657836664052E-3</v>
      </c>
      <c r="G81" s="9">
        <v>-2.6969657836664052E-3</v>
      </c>
      <c r="H81" s="35">
        <v>-1.2195099957127236E-2</v>
      </c>
    </row>
    <row r="82" spans="2:8" x14ac:dyDescent="0.35">
      <c r="B82" s="6">
        <v>45042</v>
      </c>
      <c r="C82" s="7" t="s">
        <v>10</v>
      </c>
      <c r="D82" s="9">
        <v>-1.4276633885401201E-2</v>
      </c>
      <c r="E82" s="9">
        <v>-1.4276633885401201E-2</v>
      </c>
      <c r="F82" s="9">
        <v>-1.6935096075972766E-2</v>
      </c>
      <c r="G82" s="9">
        <v>-1.6935096075972766E-2</v>
      </c>
      <c r="H82" s="35">
        <v>-1.4379525494212234E-2</v>
      </c>
    </row>
    <row r="83" spans="2:8" x14ac:dyDescent="0.35">
      <c r="B83" s="6">
        <v>45043</v>
      </c>
      <c r="C83" s="7" t="s">
        <v>10</v>
      </c>
      <c r="D83" s="9">
        <v>3.9680239578804401E-3</v>
      </c>
      <c r="E83" s="9">
        <v>3.9680239578804401E-3</v>
      </c>
      <c r="F83" s="9">
        <v>-1.3034270985050722E-2</v>
      </c>
      <c r="G83" s="9">
        <v>-1.3034270985050722E-2</v>
      </c>
      <c r="H83" s="35">
        <v>3.9601721148291667E-3</v>
      </c>
    </row>
    <row r="84" spans="2:8" x14ac:dyDescent="0.35">
      <c r="B84" s="6">
        <v>45044</v>
      </c>
      <c r="C84" s="7" t="s">
        <v>10</v>
      </c>
      <c r="D84" s="9">
        <v>7.28645210643183E-3</v>
      </c>
      <c r="E84" s="9">
        <v>7.28645210643183E-3</v>
      </c>
      <c r="F84" s="9">
        <v>-5.8427924698938316E-3</v>
      </c>
      <c r="G84" s="9">
        <v>-5.8427924698938316E-3</v>
      </c>
      <c r="H84" s="35">
        <v>7.2600341653699333E-3</v>
      </c>
    </row>
    <row r="85" spans="2:8" x14ac:dyDescent="0.35">
      <c r="B85" s="6">
        <v>45047</v>
      </c>
      <c r="C85" s="7" t="s">
        <v>10</v>
      </c>
      <c r="D85" s="9">
        <v>9.5001098554684301E-3</v>
      </c>
      <c r="E85" s="9">
        <v>9.5001098554684301E-3</v>
      </c>
      <c r="F85" s="9">
        <v>3.6018102152477471E-3</v>
      </c>
      <c r="G85" s="9">
        <v>3.6018102152477471E-3</v>
      </c>
      <c r="H85" s="35">
        <v>9.4552675924117601E-3</v>
      </c>
    </row>
    <row r="86" spans="2:8" x14ac:dyDescent="0.35">
      <c r="B86" s="6">
        <v>45048</v>
      </c>
      <c r="C86" s="7" t="s">
        <v>10</v>
      </c>
      <c r="D86" s="9">
        <v>-1.4158643041328601E-2</v>
      </c>
      <c r="E86" s="9">
        <v>-1.4158643041328601E-2</v>
      </c>
      <c r="F86" s="9">
        <v>-1.0607829571221195E-2</v>
      </c>
      <c r="G86" s="9">
        <v>-1.0607829571221195E-2</v>
      </c>
      <c r="H86" s="35">
        <v>-1.4259832904024739E-2</v>
      </c>
    </row>
    <row r="87" spans="2:8" x14ac:dyDescent="0.35">
      <c r="B87" s="6">
        <v>45049</v>
      </c>
      <c r="C87" s="7" t="s">
        <v>10</v>
      </c>
      <c r="D87" s="9">
        <v>7.0478133061371599E-3</v>
      </c>
      <c r="E87" s="9">
        <v>7.0478133061371599E-3</v>
      </c>
      <c r="F87" s="9">
        <v>-3.6347782674853724E-3</v>
      </c>
      <c r="G87" s="9">
        <v>-3.6347782674853724E-3</v>
      </c>
      <c r="H87" s="35">
        <v>7.0230935488013188E-3</v>
      </c>
    </row>
    <row r="88" spans="2:8" x14ac:dyDescent="0.35">
      <c r="B88" s="6">
        <v>45050</v>
      </c>
      <c r="C88" s="7" t="s">
        <v>10</v>
      </c>
      <c r="D88" s="9">
        <v>-1.1747549218180399E-3</v>
      </c>
      <c r="E88" s="9">
        <v>-1.1747549218180399E-3</v>
      </c>
      <c r="F88" s="9">
        <v>-4.8052632156440067E-3</v>
      </c>
      <c r="G88" s="9">
        <v>-4.8052632156440067E-3</v>
      </c>
      <c r="H88" s="35">
        <v>-1.1754454872643172E-3</v>
      </c>
    </row>
    <row r="89" spans="2:8" x14ac:dyDescent="0.35">
      <c r="B89" s="6">
        <v>45051</v>
      </c>
      <c r="C89" s="7" t="s">
        <v>10</v>
      </c>
      <c r="D89" s="9">
        <v>1.6649609107543699E-2</v>
      </c>
      <c r="E89" s="9">
        <v>1.6649609107543699E-2</v>
      </c>
      <c r="F89" s="9">
        <v>1.1764340137700335E-2</v>
      </c>
      <c r="G89" s="9">
        <v>1.1764340137700335E-2</v>
      </c>
      <c r="H89" s="35">
        <v>1.6512523883453326E-2</v>
      </c>
    </row>
    <row r="90" spans="2:8" x14ac:dyDescent="0.35">
      <c r="B90" s="6">
        <v>45054</v>
      </c>
      <c r="C90" s="7" t="s">
        <v>10</v>
      </c>
      <c r="D90" s="9">
        <v>-7.8259196335543693E-3</v>
      </c>
      <c r="E90" s="9">
        <v>-7.8259196335543693E-3</v>
      </c>
      <c r="F90" s="9">
        <v>3.8463537236865797E-3</v>
      </c>
      <c r="G90" s="9">
        <v>3.8463537236865797E-3</v>
      </c>
      <c r="H90" s="35">
        <v>-7.8567028524539166E-3</v>
      </c>
    </row>
    <row r="91" spans="2:8" x14ac:dyDescent="0.35">
      <c r="B91" s="6">
        <v>45055</v>
      </c>
      <c r="C91" s="7" t="s">
        <v>10</v>
      </c>
      <c r="D91" s="9">
        <v>1.4640041815173999E-3</v>
      </c>
      <c r="E91" s="9">
        <v>1.4640041815173999E-3</v>
      </c>
      <c r="F91" s="9">
        <v>5.3159889831391194E-3</v>
      </c>
      <c r="G91" s="9">
        <v>5.3159889831391194E-3</v>
      </c>
      <c r="H91" s="35">
        <v>1.4629335721860473E-3</v>
      </c>
    </row>
    <row r="92" spans="2:8" x14ac:dyDescent="0.35">
      <c r="B92" s="6">
        <v>45056</v>
      </c>
      <c r="C92" s="7" t="s">
        <v>10</v>
      </c>
      <c r="D92" s="9">
        <v>4.0124506414254899E-3</v>
      </c>
      <c r="E92" s="9">
        <v>4.0124506414254899E-3</v>
      </c>
      <c r="F92" s="9">
        <v>9.3497697679696401E-3</v>
      </c>
      <c r="G92" s="9">
        <v>9.3497697679696401E-3</v>
      </c>
      <c r="H92" s="35">
        <v>4.0044222299215346E-3</v>
      </c>
    </row>
    <row r="93" spans="2:8" x14ac:dyDescent="0.35">
      <c r="B93" s="6">
        <v>45057</v>
      </c>
      <c r="C93" s="7" t="s">
        <v>10</v>
      </c>
      <c r="D93" s="9">
        <v>-7.5670793237848496E-3</v>
      </c>
      <c r="E93" s="9">
        <v>-7.5670793237848496E-3</v>
      </c>
      <c r="F93" s="9">
        <v>1.711939994691436E-3</v>
      </c>
      <c r="G93" s="9">
        <v>1.711939994691436E-3</v>
      </c>
      <c r="H93" s="35">
        <v>-7.5958549252812353E-3</v>
      </c>
    </row>
    <row r="94" spans="2:8" x14ac:dyDescent="0.35">
      <c r="B94" s="6">
        <v>45058</v>
      </c>
      <c r="C94" s="7" t="s">
        <v>10</v>
      </c>
      <c r="D94" s="9">
        <v>-3.3205819195382398E-3</v>
      </c>
      <c r="E94" s="9">
        <v>-3.3205819195382398E-3</v>
      </c>
      <c r="F94" s="9">
        <v>-1.6143265618404623E-3</v>
      </c>
      <c r="G94" s="9">
        <v>-1.6143265618404623E-3</v>
      </c>
      <c r="H94" s="35">
        <v>-3.3261072866939277E-3</v>
      </c>
    </row>
    <row r="95" spans="2:8" x14ac:dyDescent="0.35">
      <c r="B95" s="6">
        <v>45061</v>
      </c>
      <c r="C95" s="7" t="s">
        <v>10</v>
      </c>
      <c r="D95" s="9">
        <v>1.3461510345696599E-2</v>
      </c>
      <c r="E95" s="9">
        <v>1.3461510345696599E-2</v>
      </c>
      <c r="F95" s="9">
        <v>1.1825452510142442E-2</v>
      </c>
      <c r="G95" s="9">
        <v>1.1825452510142442E-2</v>
      </c>
      <c r="H95" s="35">
        <v>1.3371709223502183E-2</v>
      </c>
    </row>
    <row r="96" spans="2:8" x14ac:dyDescent="0.35">
      <c r="B96" s="6">
        <v>45062</v>
      </c>
      <c r="C96" s="7" t="s">
        <v>10</v>
      </c>
      <c r="D96" s="9">
        <v>-2.4427387771288001E-2</v>
      </c>
      <c r="E96" s="9">
        <v>-2.4427387771288001E-2</v>
      </c>
      <c r="F96" s="9">
        <v>-1.2890800175181738E-2</v>
      </c>
      <c r="G96" s="9">
        <v>-1.2890800175181738E-2</v>
      </c>
      <c r="H96" s="35">
        <v>-2.4730685780716358E-2</v>
      </c>
    </row>
    <row r="97" spans="2:8" x14ac:dyDescent="0.35">
      <c r="B97" s="6">
        <v>45063</v>
      </c>
      <c r="C97" s="7" t="s">
        <v>10</v>
      </c>
      <c r="D97" s="9">
        <v>3.3421959297751198E-3</v>
      </c>
      <c r="E97" s="9">
        <v>3.3421959297751198E-3</v>
      </c>
      <c r="F97" s="9">
        <v>-9.5916878252837456E-3</v>
      </c>
      <c r="G97" s="9">
        <v>-9.5916878252837456E-3</v>
      </c>
      <c r="H97" s="35">
        <v>3.336623206262301E-3</v>
      </c>
    </row>
    <row r="98" spans="2:8" x14ac:dyDescent="0.35">
      <c r="B98" s="6">
        <v>45064</v>
      </c>
      <c r="C98" s="7" t="s">
        <v>10</v>
      </c>
      <c r="D98" s="9">
        <v>-4.2406114081866503E-3</v>
      </c>
      <c r="E98" s="9">
        <v>-4.2406114081866503E-3</v>
      </c>
      <c r="F98" s="9">
        <v>-1.3791624612654707E-2</v>
      </c>
      <c r="G98" s="9">
        <v>-1.3791624612654707E-2</v>
      </c>
      <c r="H98" s="35">
        <v>-4.2496283011992271E-3</v>
      </c>
    </row>
    <row r="99" spans="2:8" x14ac:dyDescent="0.35">
      <c r="B99" s="6">
        <v>45065</v>
      </c>
      <c r="C99" s="7" t="s">
        <v>10</v>
      </c>
      <c r="D99" s="9">
        <v>8.6618365984884402E-3</v>
      </c>
      <c r="E99" s="9">
        <v>8.6618365984884402E-3</v>
      </c>
      <c r="F99" s="9">
        <v>-5.249248812988716E-3</v>
      </c>
      <c r="G99" s="9">
        <v>-5.249248812988716E-3</v>
      </c>
      <c r="H99" s="35">
        <v>8.6245381193273771E-3</v>
      </c>
    </row>
    <row r="100" spans="2:8" x14ac:dyDescent="0.35">
      <c r="B100" s="6">
        <v>45068</v>
      </c>
      <c r="C100" s="7" t="s">
        <v>10</v>
      </c>
      <c r="D100" s="9">
        <v>6.3157794159095703E-3</v>
      </c>
      <c r="E100" s="9">
        <v>6.3157794159095703E-3</v>
      </c>
      <c r="F100" s="9">
        <v>1.0333775053188443E-3</v>
      </c>
      <c r="G100" s="9">
        <v>1.0333775053188443E-3</v>
      </c>
      <c r="H100" s="35">
        <v>6.2959184621642758E-3</v>
      </c>
    </row>
    <row r="101" spans="2:8" x14ac:dyDescent="0.35">
      <c r="B101" s="6">
        <v>45069</v>
      </c>
      <c r="C101" s="7" t="s">
        <v>10</v>
      </c>
      <c r="D101" s="9">
        <v>4.4778483566670002E-4</v>
      </c>
      <c r="E101" s="9">
        <v>4.4778483566670002E-4</v>
      </c>
      <c r="F101" s="9">
        <v>1.4816250717619717E-3</v>
      </c>
      <c r="G101" s="9">
        <v>1.4816250717619717E-3</v>
      </c>
      <c r="H101" s="35">
        <v>4.4768460995582419E-4</v>
      </c>
    </row>
    <row r="102" spans="2:8" x14ac:dyDescent="0.35">
      <c r="B102" s="6">
        <v>45070</v>
      </c>
      <c r="C102" s="7" t="s">
        <v>10</v>
      </c>
      <c r="D102" s="9">
        <v>-1.2987321166272299E-2</v>
      </c>
      <c r="E102" s="9">
        <v>-1.2987321166272299E-2</v>
      </c>
      <c r="F102" s="9">
        <v>-1.1524938435165333E-2</v>
      </c>
      <c r="G102" s="9">
        <v>-1.1524938435165333E-2</v>
      </c>
      <c r="H102" s="35">
        <v>-1.3072393801651108E-2</v>
      </c>
    </row>
    <row r="103" spans="2:8" x14ac:dyDescent="0.35">
      <c r="B103" s="6">
        <v>45071</v>
      </c>
      <c r="C103" s="7" t="s">
        <v>10</v>
      </c>
      <c r="D103" s="9">
        <v>-2.0517480970721699E-2</v>
      </c>
      <c r="E103" s="9">
        <v>-2.0517480970721699E-2</v>
      </c>
      <c r="F103" s="9">
        <v>-3.1805956700854843E-2</v>
      </c>
      <c r="G103" s="9">
        <v>-3.1805956700854843E-2</v>
      </c>
      <c r="H103" s="35">
        <v>-2.0730888587550306E-2</v>
      </c>
    </row>
    <row r="104" spans="2:8" x14ac:dyDescent="0.35">
      <c r="B104" s="6">
        <v>45072</v>
      </c>
      <c r="C104" s="7" t="s">
        <v>10</v>
      </c>
      <c r="D104" s="9">
        <v>1.2076464639523799E-3</v>
      </c>
      <c r="E104" s="9">
        <v>1.2076464639523799E-3</v>
      </c>
      <c r="F104" s="9">
        <v>-3.0636720588044897E-2</v>
      </c>
      <c r="G104" s="9">
        <v>-3.0636720588044897E-2</v>
      </c>
      <c r="H104" s="35">
        <v>1.2069178455113719E-3</v>
      </c>
    </row>
    <row r="105" spans="2:8" x14ac:dyDescent="0.35">
      <c r="B105" s="6">
        <v>45076</v>
      </c>
      <c r="C105" s="7" t="s">
        <v>10</v>
      </c>
      <c r="D105" s="9">
        <v>-6.3921823209840602E-3</v>
      </c>
      <c r="E105" s="9">
        <v>-6.3921823209840602E-3</v>
      </c>
      <c r="F105" s="9">
        <v>-3.6833067405313114E-2</v>
      </c>
      <c r="G105" s="9">
        <v>-3.6833067405313114E-2</v>
      </c>
      <c r="H105" s="35">
        <v>-6.4126997994392023E-3</v>
      </c>
    </row>
    <row r="106" spans="2:8" x14ac:dyDescent="0.35">
      <c r="B106" s="6">
        <v>45077</v>
      </c>
      <c r="C106" s="7" t="s">
        <v>10</v>
      </c>
      <c r="D106" s="9">
        <v>5.4928777742118996E-3</v>
      </c>
      <c r="E106" s="9">
        <v>5.4928777742118996E-3</v>
      </c>
      <c r="F106" s="9">
        <v>-3.1542509168407951E-2</v>
      </c>
      <c r="G106" s="9">
        <v>-3.1542509168407951E-2</v>
      </c>
      <c r="H106" s="35">
        <v>5.477846937668022E-3</v>
      </c>
    </row>
    <row r="107" spans="2:8" x14ac:dyDescent="0.35">
      <c r="B107" s="6">
        <v>45078</v>
      </c>
      <c r="C107" s="7" t="s">
        <v>10</v>
      </c>
      <c r="D107" s="9">
        <v>2.3938423010349398E-3</v>
      </c>
      <c r="E107" s="9">
        <v>2.3938423010349398E-3</v>
      </c>
      <c r="F107" s="9">
        <v>-2.9224174660101077E-2</v>
      </c>
      <c r="G107" s="9">
        <v>-2.9224174660101077E-2</v>
      </c>
      <c r="H107" s="35">
        <v>2.3909816249825626E-3</v>
      </c>
    </row>
    <row r="108" spans="2:8" x14ac:dyDescent="0.35">
      <c r="B108" s="6">
        <v>45079</v>
      </c>
      <c r="C108" s="7" t="s">
        <v>10</v>
      </c>
      <c r="D108" s="9">
        <v>1.75227178092929E-2</v>
      </c>
      <c r="E108" s="9">
        <v>1.75227178092929E-2</v>
      </c>
      <c r="F108" s="9">
        <v>-1.221354381658657E-2</v>
      </c>
      <c r="G108" s="9">
        <v>-1.221354381658657E-2</v>
      </c>
      <c r="H108" s="35">
        <v>1.737096517066752E-2</v>
      </c>
    </row>
    <row r="109" spans="2:8" x14ac:dyDescent="0.35">
      <c r="B109" s="6">
        <v>45082</v>
      </c>
      <c r="C109" s="7" t="s">
        <v>10</v>
      </c>
      <c r="D109" s="9">
        <v>3.9646240949007001E-3</v>
      </c>
      <c r="E109" s="9">
        <v>3.9646240949007001E-3</v>
      </c>
      <c r="F109" s="9">
        <v>-8.2973418317852099E-3</v>
      </c>
      <c r="G109" s="9">
        <v>-8.2973418317852099E-3</v>
      </c>
      <c r="H109" s="35">
        <v>3.9567856835331632E-3</v>
      </c>
    </row>
    <row r="110" spans="2:8" x14ac:dyDescent="0.35">
      <c r="B110" s="6">
        <v>45083</v>
      </c>
      <c r="C110" s="7" t="s">
        <v>10</v>
      </c>
      <c r="D110" s="9">
        <v>-1.60417626735003E-3</v>
      </c>
      <c r="E110" s="9">
        <v>-1.60417626735003E-3</v>
      </c>
      <c r="F110" s="9">
        <v>-9.8882077002865332E-3</v>
      </c>
      <c r="G110" s="9">
        <v>-9.8882077002865332E-3</v>
      </c>
      <c r="H110" s="35">
        <v>-1.6054643358085613E-3</v>
      </c>
    </row>
    <row r="111" spans="2:8" x14ac:dyDescent="0.35">
      <c r="B111" s="6">
        <v>45084</v>
      </c>
      <c r="C111" s="7" t="s">
        <v>10</v>
      </c>
      <c r="D111" s="9">
        <v>-3.27088551660533E-3</v>
      </c>
      <c r="E111" s="9">
        <v>-3.27088551660533E-3</v>
      </c>
      <c r="F111" s="9">
        <v>-1.3126750021539846E-2</v>
      </c>
      <c r="G111" s="9">
        <v>-1.3126750021539846E-2</v>
      </c>
      <c r="H111" s="35">
        <v>-3.2762465560596311E-3</v>
      </c>
    </row>
    <row r="112" spans="2:8" x14ac:dyDescent="0.35">
      <c r="B112" s="6">
        <v>45085</v>
      </c>
      <c r="C112" s="7" t="s">
        <v>10</v>
      </c>
      <c r="D112" s="9">
        <v>4.6983536486931302E-3</v>
      </c>
      <c r="E112" s="9">
        <v>4.6983536486931302E-3</v>
      </c>
      <c r="F112" s="9">
        <v>-8.490070486705914E-3</v>
      </c>
      <c r="G112" s="9">
        <v>-8.490070486705914E-3</v>
      </c>
      <c r="H112" s="35">
        <v>4.6873508351354138E-3</v>
      </c>
    </row>
    <row r="113" spans="2:8" x14ac:dyDescent="0.35">
      <c r="B113" s="6">
        <v>45086</v>
      </c>
      <c r="C113" s="7" t="s">
        <v>10</v>
      </c>
      <c r="D113" s="9">
        <v>-5.8754547482066698E-3</v>
      </c>
      <c r="E113" s="9">
        <v>-5.8754547482066698E-3</v>
      </c>
      <c r="F113" s="9">
        <v>-1.4315642209958956E-2</v>
      </c>
      <c r="G113" s="9">
        <v>-1.4315642209958956E-2</v>
      </c>
      <c r="H113" s="35">
        <v>-5.8927831405834854E-3</v>
      </c>
    </row>
    <row r="114" spans="2:8" x14ac:dyDescent="0.35">
      <c r="B114" s="6">
        <v>45089</v>
      </c>
      <c r="C114" s="7" t="s">
        <v>10</v>
      </c>
      <c r="D114" s="9">
        <v>8.2935501846629501E-3</v>
      </c>
      <c r="E114" s="9">
        <v>8.2935501846629501E-3</v>
      </c>
      <c r="F114" s="9">
        <v>-6.1408195223898732E-3</v>
      </c>
      <c r="G114" s="9">
        <v>-6.1408195223898732E-3</v>
      </c>
      <c r="H114" s="35">
        <v>8.2593476740336277E-3</v>
      </c>
    </row>
    <row r="115" spans="2:8" x14ac:dyDescent="0.35">
      <c r="B115" s="6">
        <v>45090</v>
      </c>
      <c r="C115" s="7" t="s">
        <v>10</v>
      </c>
      <c r="D115" s="9">
        <v>1.19384559437479E-2</v>
      </c>
      <c r="E115" s="9">
        <v>1.19384559437479E-2</v>
      </c>
      <c r="F115" s="9">
        <v>5.7243245180313984E-3</v>
      </c>
      <c r="G115" s="9">
        <v>5.7243245180313984E-3</v>
      </c>
      <c r="H115" s="35">
        <v>1.1867754731176088E-2</v>
      </c>
    </row>
    <row r="116" spans="2:8" x14ac:dyDescent="0.35">
      <c r="B116" s="6">
        <v>45091</v>
      </c>
      <c r="C116" s="7" t="s">
        <v>10</v>
      </c>
      <c r="D116" s="9">
        <v>-7.7970704570333197E-3</v>
      </c>
      <c r="E116" s="9">
        <v>-7.7970704570333197E-3</v>
      </c>
      <c r="F116" s="9">
        <v>-2.1173789005879406E-3</v>
      </c>
      <c r="G116" s="9">
        <v>-2.1173789005879406E-3</v>
      </c>
      <c r="H116" s="35">
        <v>-7.8276265465110594E-3</v>
      </c>
    </row>
    <row r="117" spans="2:8" x14ac:dyDescent="0.35">
      <c r="B117" s="6">
        <v>45092</v>
      </c>
      <c r="C117" s="7" t="s">
        <v>10</v>
      </c>
      <c r="D117" s="9">
        <v>1.2320979764692401E-2</v>
      </c>
      <c r="E117" s="9">
        <v>1.2320979764692401E-2</v>
      </c>
      <c r="F117" s="9">
        <v>1.017751268151601E-2</v>
      </c>
      <c r="G117" s="9">
        <v>1.017751268151601E-2</v>
      </c>
      <c r="H117" s="35">
        <v>1.2245694256861325E-2</v>
      </c>
    </row>
    <row r="118" spans="2:8" x14ac:dyDescent="0.35">
      <c r="B118" s="6">
        <v>45093</v>
      </c>
      <c r="C118" s="7" t="s">
        <v>10</v>
      </c>
      <c r="D118" s="9">
        <v>-3.65107070592861E-3</v>
      </c>
      <c r="E118" s="9">
        <v>-3.65107070592861E-3</v>
      </c>
      <c r="F118" s="9">
        <v>6.4892831571767839E-3</v>
      </c>
      <c r="G118" s="9">
        <v>6.4892831571767839E-3</v>
      </c>
      <c r="H118" s="35">
        <v>-3.6577521324432966E-3</v>
      </c>
    </row>
    <row r="119" spans="2:8" x14ac:dyDescent="0.35">
      <c r="B119" s="6">
        <v>45097</v>
      </c>
      <c r="C119" s="7" t="s">
        <v>10</v>
      </c>
      <c r="D119" s="9">
        <v>-5.0427558554361502E-3</v>
      </c>
      <c r="E119" s="9">
        <v>-5.0427558554361502E-3</v>
      </c>
      <c r="F119" s="9">
        <v>1.4138034311022007E-3</v>
      </c>
      <c r="G119" s="9">
        <v>1.4138034311022007E-3</v>
      </c>
      <c r="H119" s="35">
        <v>-5.055513455792672E-3</v>
      </c>
    </row>
    <row r="120" spans="2:8" x14ac:dyDescent="0.35">
      <c r="B120" s="6">
        <v>45098</v>
      </c>
      <c r="C120" s="7" t="s">
        <v>10</v>
      </c>
      <c r="D120" s="9">
        <v>-4.3008197695142397E-3</v>
      </c>
      <c r="E120" s="9">
        <v>-4.3008197695142397E-3</v>
      </c>
      <c r="F120" s="9">
        <v>-2.8930968521587719E-3</v>
      </c>
      <c r="G120" s="9">
        <v>-2.8930968521587719E-3</v>
      </c>
      <c r="H120" s="35">
        <v>-4.310094898183502E-3</v>
      </c>
    </row>
    <row r="121" spans="2:8" x14ac:dyDescent="0.35">
      <c r="B121" s="6">
        <v>45099</v>
      </c>
      <c r="C121" s="7" t="s">
        <v>10</v>
      </c>
      <c r="D121" s="9">
        <v>8.5194730813301295E-4</v>
      </c>
      <c r="E121" s="9">
        <v>8.5194730813301295E-4</v>
      </c>
      <c r="F121" s="9">
        <v>-2.0436143101011384E-3</v>
      </c>
      <c r="G121" s="9">
        <v>-2.0436143101011384E-3</v>
      </c>
      <c r="H121" s="35">
        <v>8.5158460701194284E-4</v>
      </c>
    </row>
    <row r="122" spans="2:8" x14ac:dyDescent="0.35">
      <c r="B122" s="6">
        <v>45100</v>
      </c>
      <c r="C122" s="7" t="s">
        <v>10</v>
      </c>
      <c r="D122" s="9">
        <v>-1.2439287834676901E-2</v>
      </c>
      <c r="E122" s="9">
        <v>-1.2439287834676901E-2</v>
      </c>
      <c r="F122" s="9">
        <v>-1.4457481038151587E-2</v>
      </c>
      <c r="G122" s="9">
        <v>-1.4457481038151587E-2</v>
      </c>
      <c r="H122" s="35">
        <v>-1.2517303422974317E-2</v>
      </c>
    </row>
    <row r="123" spans="2:8" x14ac:dyDescent="0.35">
      <c r="B123" s="6">
        <v>45103</v>
      </c>
      <c r="C123" s="7" t="s">
        <v>10</v>
      </c>
      <c r="D123" s="9">
        <v>-1.26515041769279E-2</v>
      </c>
      <c r="E123" s="9">
        <v>-1.26515041769279E-2</v>
      </c>
      <c r="F123" s="9">
        <v>-2.6926076333337545E-2</v>
      </c>
      <c r="G123" s="9">
        <v>-2.6926076333337545E-2</v>
      </c>
      <c r="H123" s="35">
        <v>-1.2732215928531038E-2</v>
      </c>
    </row>
    <row r="124" spans="2:8" x14ac:dyDescent="0.35">
      <c r="B124" s="6">
        <v>45104</v>
      </c>
      <c r="C124" s="7" t="s">
        <v>10</v>
      </c>
      <c r="D124" s="9">
        <v>-1.1287719469848899E-2</v>
      </c>
      <c r="E124" s="9">
        <v>-1.1287719469848899E-2</v>
      </c>
      <c r="F124" s="9">
        <v>-3.7909861807111978E-2</v>
      </c>
      <c r="G124" s="9">
        <v>-3.7909861807111978E-2</v>
      </c>
      <c r="H124" s="35">
        <v>-1.1351909270023544E-2</v>
      </c>
    </row>
    <row r="125" spans="2:8" x14ac:dyDescent="0.35">
      <c r="B125" s="6">
        <v>45105</v>
      </c>
      <c r="C125" s="7" t="s">
        <v>10</v>
      </c>
      <c r="D125" s="9">
        <v>5.1617020013652601E-3</v>
      </c>
      <c r="E125" s="9">
        <v>5.1617020013652601E-3</v>
      </c>
      <c r="F125" s="9">
        <v>-3.2943839215307968E-2</v>
      </c>
      <c r="G125" s="9">
        <v>-3.2943839215307968E-2</v>
      </c>
      <c r="H125" s="35">
        <v>5.1484260822186219E-3</v>
      </c>
    </row>
    <row r="126" spans="2:8" x14ac:dyDescent="0.35">
      <c r="B126" s="6">
        <v>45106</v>
      </c>
      <c r="C126" s="7" t="s">
        <v>10</v>
      </c>
      <c r="D126" s="9">
        <v>-5.3541857872942099E-3</v>
      </c>
      <c r="E126" s="9">
        <v>-5.3541857872942099E-3</v>
      </c>
      <c r="F126" s="9">
        <v>-3.8121637566896682E-2</v>
      </c>
      <c r="G126" s="9">
        <v>-3.8121637566896682E-2</v>
      </c>
      <c r="H126" s="35">
        <v>-5.3685708097139821E-3</v>
      </c>
    </row>
    <row r="127" spans="2:8" x14ac:dyDescent="0.35">
      <c r="B127" s="6">
        <v>45107</v>
      </c>
      <c r="C127" s="7" t="s">
        <v>10</v>
      </c>
      <c r="D127" s="9">
        <v>8.5544299726643593E-3</v>
      </c>
      <c r="E127" s="9">
        <v>8.5544299726643593E-3</v>
      </c>
      <c r="F127" s="9">
        <v>-2.9893316473241671E-2</v>
      </c>
      <c r="G127" s="9">
        <v>-2.9893316473241671E-2</v>
      </c>
      <c r="H127" s="35">
        <v>8.5180481730527807E-3</v>
      </c>
    </row>
    <row r="128" spans="2:8" x14ac:dyDescent="0.35">
      <c r="B128" s="6">
        <v>45110</v>
      </c>
      <c r="C128" s="7" t="s">
        <v>10</v>
      </c>
      <c r="D128" s="9">
        <v>-4.9448972633819397E-3</v>
      </c>
      <c r="E128" s="9">
        <v>-4.9448972633819397E-3</v>
      </c>
      <c r="F128" s="9">
        <v>-3.4690394357801746E-2</v>
      </c>
      <c r="G128" s="9">
        <v>-3.4690394357801746E-2</v>
      </c>
      <c r="H128" s="35">
        <v>-4.9571637221476712E-3</v>
      </c>
    </row>
    <row r="129" spans="2:8" x14ac:dyDescent="0.35">
      <c r="B129" s="6">
        <v>45112</v>
      </c>
      <c r="C129" s="7" t="s">
        <v>10</v>
      </c>
      <c r="D129" s="9">
        <v>3.0270387525051898E-3</v>
      </c>
      <c r="E129" s="9">
        <v>3.0270387525051898E-3</v>
      </c>
      <c r="F129" s="9">
        <v>-3.1768364773357427E-2</v>
      </c>
      <c r="G129" s="9">
        <v>-3.1768364773357427E-2</v>
      </c>
      <c r="H129" s="35">
        <v>3.0224664953098826E-3</v>
      </c>
    </row>
    <row r="130" spans="2:8" x14ac:dyDescent="0.35">
      <c r="B130" s="6">
        <v>45113</v>
      </c>
      <c r="C130" s="7" t="s">
        <v>10</v>
      </c>
      <c r="D130" s="9">
        <v>-1.34404836509751E-2</v>
      </c>
      <c r="E130" s="9">
        <v>-1.34404836509751E-2</v>
      </c>
      <c r="F130" s="9">
        <v>-4.4781866236977996E-2</v>
      </c>
      <c r="G130" s="9">
        <v>-4.4781866236977996E-2</v>
      </c>
      <c r="H130" s="35">
        <v>-1.3531624524269622E-2</v>
      </c>
    </row>
    <row r="131" spans="2:8" x14ac:dyDescent="0.35">
      <c r="B131" s="6">
        <v>45114</v>
      </c>
      <c r="C131" s="7" t="s">
        <v>10</v>
      </c>
      <c r="D131" s="9">
        <v>-8.4646120427664499E-3</v>
      </c>
      <c r="E131" s="9">
        <v>-8.4646120427664499E-3</v>
      </c>
      <c r="F131" s="9">
        <v>-5.2867417155497365E-2</v>
      </c>
      <c r="G131" s="9">
        <v>-5.2867417155497365E-2</v>
      </c>
      <c r="H131" s="35">
        <v>-8.5006403256380359E-3</v>
      </c>
    </row>
    <row r="132" spans="2:8" x14ac:dyDescent="0.35">
      <c r="B132" s="6">
        <v>45117</v>
      </c>
      <c r="C132" s="7" t="s">
        <v>10</v>
      </c>
      <c r="D132" s="9">
        <v>1.8264587803174501E-2</v>
      </c>
      <c r="E132" s="9">
        <v>1.8264587803174501E-2</v>
      </c>
      <c r="F132" s="9">
        <v>-3.5568430934886597E-2</v>
      </c>
      <c r="G132" s="9">
        <v>-3.5568430934886597E-2</v>
      </c>
      <c r="H132" s="35">
        <v>1.8099793791099317E-2</v>
      </c>
    </row>
    <row r="133" spans="2:8" x14ac:dyDescent="0.35">
      <c r="B133" s="6">
        <v>45118</v>
      </c>
      <c r="C133" s="7" t="s">
        <v>10</v>
      </c>
      <c r="D133" s="9">
        <v>9.64698451547982E-4</v>
      </c>
      <c r="E133" s="9">
        <v>9.64698451547982E-4</v>
      </c>
      <c r="F133" s="9">
        <v>-3.4638045293585606E-2</v>
      </c>
      <c r="G133" s="9">
        <v>-3.4638045293585606E-2</v>
      </c>
      <c r="H133" s="35">
        <v>9.6423342904364956E-4</v>
      </c>
    </row>
    <row r="134" spans="2:8" x14ac:dyDescent="0.35">
      <c r="B134" s="6">
        <v>45119</v>
      </c>
      <c r="C134" s="7" t="s">
        <v>10</v>
      </c>
      <c r="D134" s="9">
        <v>8.7108915723233902E-3</v>
      </c>
      <c r="E134" s="9">
        <v>8.7108915723233902E-3</v>
      </c>
      <c r="F134" s="9">
        <v>-2.6228881978091922E-2</v>
      </c>
      <c r="G134" s="9">
        <v>-2.6228881978091922E-2</v>
      </c>
      <c r="H134" s="35">
        <v>8.6731706532755595E-3</v>
      </c>
    </row>
    <row r="135" spans="2:8" x14ac:dyDescent="0.35">
      <c r="B135" s="6">
        <v>45120</v>
      </c>
      <c r="C135" s="7" t="s">
        <v>10</v>
      </c>
      <c r="D135" s="9">
        <v>4.0612560570628502E-3</v>
      </c>
      <c r="E135" s="9">
        <v>4.0612560570628502E-3</v>
      </c>
      <c r="F135" s="9">
        <v>-2.2274148126832705E-2</v>
      </c>
      <c r="G135" s="9">
        <v>-2.2274148126832705E-2</v>
      </c>
      <c r="H135" s="35">
        <v>4.0530314174071821E-3</v>
      </c>
    </row>
    <row r="136" spans="2:8" x14ac:dyDescent="0.35">
      <c r="B136" s="6">
        <v>45121</v>
      </c>
      <c r="C136" s="7" t="s">
        <v>10</v>
      </c>
      <c r="D136" s="9">
        <v>-1.84962094939099E-3</v>
      </c>
      <c r="E136" s="9">
        <v>-1.84962094939099E-3</v>
      </c>
      <c r="F136" s="9">
        <v>-2.4082570345218435E-2</v>
      </c>
      <c r="G136" s="9">
        <v>-2.4082570345218435E-2</v>
      </c>
      <c r="H136" s="35">
        <v>-1.8513336103941648E-3</v>
      </c>
    </row>
    <row r="137" spans="2:8" x14ac:dyDescent="0.35">
      <c r="B137" s="6">
        <v>45124</v>
      </c>
      <c r="C137" s="7" t="s">
        <v>10</v>
      </c>
      <c r="D137" s="9">
        <v>6.7538737245054301E-3</v>
      </c>
      <c r="E137" s="9">
        <v>6.7538737245054301E-3</v>
      </c>
      <c r="F137" s="9">
        <v>-1.7491347259786183E-2</v>
      </c>
      <c r="G137" s="9">
        <v>-1.7491347259786183E-2</v>
      </c>
      <c r="H137" s="35">
        <v>6.731168494202135E-3</v>
      </c>
    </row>
    <row r="138" spans="2:8" x14ac:dyDescent="0.35">
      <c r="B138" s="6">
        <v>45125</v>
      </c>
      <c r="C138" s="7" t="s">
        <v>10</v>
      </c>
      <c r="D138" s="9">
        <v>3.3106888993835E-3</v>
      </c>
      <c r="E138" s="9">
        <v>3.3106888993835E-3</v>
      </c>
      <c r="F138" s="9">
        <v>-1.4238566769610994E-2</v>
      </c>
      <c r="G138" s="9">
        <v>-1.4238566769610994E-2</v>
      </c>
      <c r="H138" s="35">
        <v>3.3052206347140727E-3</v>
      </c>
    </row>
    <row r="139" spans="2:8" x14ac:dyDescent="0.35">
      <c r="B139" s="6">
        <v>45126</v>
      </c>
      <c r="C139" s="7" t="s">
        <v>10</v>
      </c>
      <c r="D139" s="9">
        <v>3.9201297698130202E-3</v>
      </c>
      <c r="E139" s="9">
        <v>3.9201297698130202E-3</v>
      </c>
      <c r="F139" s="9">
        <v>-1.0374254029270946E-2</v>
      </c>
      <c r="G139" s="9">
        <v>-1.0374254029270946E-2</v>
      </c>
      <c r="H139" s="35">
        <v>3.9124660830089529E-3</v>
      </c>
    </row>
    <row r="140" spans="2:8" x14ac:dyDescent="0.35">
      <c r="B140" s="6">
        <v>45127</v>
      </c>
      <c r="C140" s="7" t="s">
        <v>10</v>
      </c>
      <c r="D140" s="9">
        <v>-3.0031546348124002E-3</v>
      </c>
      <c r="E140" s="9">
        <v>-3.0031546348124002E-3</v>
      </c>
      <c r="F140" s="9">
        <v>-1.334625317501259E-2</v>
      </c>
      <c r="G140" s="9">
        <v>-1.334625317501259E-2</v>
      </c>
      <c r="H140" s="35">
        <v>-3.0076731524985418E-3</v>
      </c>
    </row>
    <row r="141" spans="2:8" x14ac:dyDescent="0.35">
      <c r="B141" s="6">
        <v>45128</v>
      </c>
      <c r="C141" s="7" t="s">
        <v>10</v>
      </c>
      <c r="D141" s="9">
        <v>6.8660812691276503E-3</v>
      </c>
      <c r="E141" s="9">
        <v>6.8660812691276503E-3</v>
      </c>
      <c r="F141" s="9">
        <v>-6.5718083648228509E-3</v>
      </c>
      <c r="G141" s="9">
        <v>-6.5718083648228509E-3</v>
      </c>
      <c r="H141" s="35">
        <v>6.8426170766023465E-3</v>
      </c>
    </row>
    <row r="142" spans="2:8" x14ac:dyDescent="0.35">
      <c r="B142" s="6">
        <v>45131</v>
      </c>
      <c r="C142" s="7" t="s">
        <v>10</v>
      </c>
      <c r="D142" s="9">
        <v>-1.4807398429677999E-2</v>
      </c>
      <c r="E142" s="9">
        <v>-1.4807398429677999E-2</v>
      </c>
      <c r="F142" s="9">
        <v>-2.1281895409639429E-2</v>
      </c>
      <c r="G142" s="9">
        <v>-2.1281895409639429E-2</v>
      </c>
      <c r="H142" s="35">
        <v>-1.4918122335284958E-2</v>
      </c>
    </row>
    <row r="143" spans="2:8" x14ac:dyDescent="0.35">
      <c r="B143" s="6">
        <v>45132</v>
      </c>
      <c r="C143" s="7" t="s">
        <v>10</v>
      </c>
      <c r="D143" s="9">
        <v>-2.40693196405655E-3</v>
      </c>
      <c r="E143" s="9">
        <v>-2.40693196405655E-3</v>
      </c>
      <c r="F143" s="9">
        <v>-2.3637603299378807E-2</v>
      </c>
      <c r="G143" s="9">
        <v>-2.3637603299378807E-2</v>
      </c>
      <c r="H143" s="35">
        <v>-2.4098332812466823E-3</v>
      </c>
    </row>
    <row r="144" spans="2:8" x14ac:dyDescent="0.35">
      <c r="B144" s="6">
        <v>45133</v>
      </c>
      <c r="C144" s="7" t="s">
        <v>10</v>
      </c>
      <c r="D144" s="9">
        <v>-2.9245324403760998E-3</v>
      </c>
      <c r="E144" s="9">
        <v>-2.9245324403760998E-3</v>
      </c>
      <c r="F144" s="9">
        <v>-2.64930068020931E-2</v>
      </c>
      <c r="G144" s="9">
        <v>-2.64930068020931E-2</v>
      </c>
      <c r="H144" s="35">
        <v>-2.9288172414390777E-3</v>
      </c>
    </row>
    <row r="145" spans="2:8" x14ac:dyDescent="0.35">
      <c r="B145" s="6">
        <v>45134</v>
      </c>
      <c r="C145" s="7" t="s">
        <v>10</v>
      </c>
      <c r="D145" s="9">
        <v>-6.5750558513107604E-3</v>
      </c>
      <c r="E145" s="9">
        <v>-6.5750558513107604E-3</v>
      </c>
      <c r="F145" s="9">
        <v>-3.2893869654010977E-2</v>
      </c>
      <c r="G145" s="9">
        <v>-3.2893869654010977E-2</v>
      </c>
      <c r="H145" s="35">
        <v>-6.5967667502778663E-3</v>
      </c>
    </row>
    <row r="146" spans="2:8" x14ac:dyDescent="0.35">
      <c r="B146" s="6">
        <v>45135</v>
      </c>
      <c r="C146" s="7" t="s">
        <v>10</v>
      </c>
      <c r="D146" s="9">
        <v>1.70705062593496E-2</v>
      </c>
      <c r="E146" s="9">
        <v>1.70705062593496E-2</v>
      </c>
      <c r="F146" s="9">
        <v>-1.638487840248426E-2</v>
      </c>
      <c r="G146" s="9">
        <v>-1.638487840248426E-2</v>
      </c>
      <c r="H146" s="35">
        <v>1.6926442352012523E-2</v>
      </c>
    </row>
    <row r="147" spans="2:8" x14ac:dyDescent="0.35">
      <c r="B147" s="6">
        <v>45138</v>
      </c>
      <c r="C147" s="7" t="s">
        <v>10</v>
      </c>
      <c r="D147" s="9">
        <v>-8.9992016837215597E-4</v>
      </c>
      <c r="E147" s="9">
        <v>-8.9992016837215597E-4</v>
      </c>
      <c r="F147" s="9">
        <v>-1.7270053488325665E-2</v>
      </c>
      <c r="G147" s="9">
        <v>-1.7270053488325665E-2</v>
      </c>
      <c r="H147" s="35">
        <v>-9.0032533962629659E-4</v>
      </c>
    </row>
    <row r="148" spans="2:8" x14ac:dyDescent="0.35">
      <c r="B148" s="6">
        <v>45139</v>
      </c>
      <c r="C148" s="7" t="s">
        <v>10</v>
      </c>
      <c r="D148" s="9">
        <v>-8.9758303914304807E-3</v>
      </c>
      <c r="E148" s="9">
        <v>-8.9758303914304807E-3</v>
      </c>
      <c r="F148" s="9">
        <v>-2.609087080879402E-2</v>
      </c>
      <c r="G148" s="9">
        <v>-2.609087080879402E-2</v>
      </c>
      <c r="H148" s="35">
        <v>-9.016355838993963E-3</v>
      </c>
    </row>
    <row r="149" spans="2:8" x14ac:dyDescent="0.35">
      <c r="B149" s="6">
        <v>45140</v>
      </c>
      <c r="C149" s="7" t="s">
        <v>10</v>
      </c>
      <c r="D149" s="9">
        <v>-6.8313253895149898E-3</v>
      </c>
      <c r="E149" s="9">
        <v>-6.8313253895149898E-3</v>
      </c>
      <c r="F149" s="9">
        <v>-3.2743960970118335E-2</v>
      </c>
      <c r="G149" s="9">
        <v>-3.2743960970118335E-2</v>
      </c>
      <c r="H149" s="35">
        <v>-6.8547657060842541E-3</v>
      </c>
    </row>
    <row r="150" spans="2:8" x14ac:dyDescent="0.35">
      <c r="B150" s="6">
        <v>45141</v>
      </c>
      <c r="C150" s="7" t="s">
        <v>10</v>
      </c>
      <c r="D150" s="9">
        <v>-2.7823220457816799E-3</v>
      </c>
      <c r="E150" s="9">
        <v>-2.7823220457816799E-3</v>
      </c>
      <c r="F150" s="9">
        <v>-3.5435178771426656E-2</v>
      </c>
      <c r="G150" s="9">
        <v>-3.5435178771426656E-2</v>
      </c>
      <c r="H150" s="35">
        <v>-2.7861998983916589E-3</v>
      </c>
    </row>
    <row r="151" spans="2:8" x14ac:dyDescent="0.35">
      <c r="B151" s="6">
        <v>45142</v>
      </c>
      <c r="C151" s="7" t="s">
        <v>10</v>
      </c>
      <c r="D151" s="9">
        <v>4.1740263072201104E-3</v>
      </c>
      <c r="E151" s="9">
        <v>4.1740263072201104E-3</v>
      </c>
      <c r="F151" s="9">
        <v>-3.1409059832599562E-2</v>
      </c>
      <c r="G151" s="9">
        <v>-3.1409059832599562E-2</v>
      </c>
      <c r="H151" s="35">
        <v>4.1653392244317558E-3</v>
      </c>
    </row>
    <row r="152" spans="2:8" x14ac:dyDescent="0.35">
      <c r="B152" s="6">
        <v>45145</v>
      </c>
      <c r="C152" s="7" t="s">
        <v>10</v>
      </c>
      <c r="D152" s="9">
        <v>-5.5692582838724096E-3</v>
      </c>
      <c r="E152" s="9">
        <v>-5.5692582838724096E-3</v>
      </c>
      <c r="F152" s="9">
        <v>-3.6803392949810609E-2</v>
      </c>
      <c r="G152" s="9">
        <v>-3.6803392949810609E-2</v>
      </c>
      <c r="H152" s="35">
        <v>-5.5848244242622637E-3</v>
      </c>
    </row>
    <row r="153" spans="2:8" x14ac:dyDescent="0.35">
      <c r="B153" s="6">
        <v>45146</v>
      </c>
      <c r="C153" s="7" t="s">
        <v>10</v>
      </c>
      <c r="D153" s="9">
        <v>6.5663839679438504E-3</v>
      </c>
      <c r="E153" s="9">
        <v>6.5663839679438504E-3</v>
      </c>
      <c r="F153" s="9">
        <v>-3.0478674191298238E-2</v>
      </c>
      <c r="G153" s="9">
        <v>-3.0478674191298238E-2</v>
      </c>
      <c r="H153" s="35">
        <v>6.5449191815186792E-3</v>
      </c>
    </row>
    <row r="154" spans="2:8" x14ac:dyDescent="0.35">
      <c r="B154" s="6">
        <v>45147</v>
      </c>
      <c r="C154" s="7" t="s">
        <v>10</v>
      </c>
      <c r="D154" s="9">
        <v>3.6520087275154602E-3</v>
      </c>
      <c r="E154" s="9">
        <v>3.6520087275154602E-3</v>
      </c>
      <c r="F154" s="9">
        <v>-2.6937973847932617E-2</v>
      </c>
      <c r="G154" s="9">
        <v>-2.6937973847932617E-2</v>
      </c>
      <c r="H154" s="35">
        <v>3.6453563351196297E-3</v>
      </c>
    </row>
    <row r="155" spans="2:8" x14ac:dyDescent="0.35">
      <c r="B155" s="6">
        <v>45148</v>
      </c>
      <c r="C155" s="7" t="s">
        <v>10</v>
      </c>
      <c r="D155" s="9">
        <v>2.8015369190704398E-3</v>
      </c>
      <c r="E155" s="9">
        <v>2.8015369190704398E-3</v>
      </c>
      <c r="F155" s="9">
        <v>-2.4211904657122196E-2</v>
      </c>
      <c r="G155" s="9">
        <v>-2.4211904657122196E-2</v>
      </c>
      <c r="H155" s="35">
        <v>2.7976199285395741E-3</v>
      </c>
    </row>
    <row r="156" spans="2:8" x14ac:dyDescent="0.35">
      <c r="B156" s="6">
        <v>45149</v>
      </c>
      <c r="C156" s="7" t="s">
        <v>10</v>
      </c>
      <c r="D156" s="9">
        <v>3.87584608817618E-3</v>
      </c>
      <c r="E156" s="9">
        <v>3.87584608817618E-3</v>
      </c>
      <c r="F156" s="9">
        <v>-2.0429900184898542E-2</v>
      </c>
      <c r="G156" s="9">
        <v>-2.0429900184898542E-2</v>
      </c>
      <c r="H156" s="35">
        <v>3.8683543483741248E-3</v>
      </c>
    </row>
    <row r="157" spans="2:8" x14ac:dyDescent="0.35">
      <c r="B157" s="6">
        <v>45152</v>
      </c>
      <c r="C157" s="7" t="s">
        <v>10</v>
      </c>
      <c r="D157" s="9">
        <v>-2.2402348115968199E-3</v>
      </c>
      <c r="E157" s="9">
        <v>-2.2402348115968199E-3</v>
      </c>
      <c r="F157" s="9">
        <v>-2.262436722290373E-2</v>
      </c>
      <c r="G157" s="9">
        <v>-2.262436722290373E-2</v>
      </c>
      <c r="H157" s="35">
        <v>-2.2427478915634019E-3</v>
      </c>
    </row>
    <row r="158" spans="2:8" x14ac:dyDescent="0.35">
      <c r="B158" s="6">
        <v>45153</v>
      </c>
      <c r="C158" s="7" t="s">
        <v>10</v>
      </c>
      <c r="D158" s="9">
        <v>-2.7079548609251201E-3</v>
      </c>
      <c r="E158" s="9">
        <v>-2.7079548609251201E-3</v>
      </c>
      <c r="F158" s="9">
        <v>-2.5271056318632246E-2</v>
      </c>
      <c r="G158" s="9">
        <v>-2.5271056318632246E-2</v>
      </c>
      <c r="H158" s="35">
        <v>-2.7116280033239676E-3</v>
      </c>
    </row>
    <row r="159" spans="2:8" x14ac:dyDescent="0.35">
      <c r="B159" s="6">
        <v>45154</v>
      </c>
      <c r="C159" s="7" t="s">
        <v>10</v>
      </c>
      <c r="D159" s="9">
        <v>-1.2055282885258801E-2</v>
      </c>
      <c r="E159" s="9">
        <v>-1.2055282885258801E-2</v>
      </c>
      <c r="F159" s="9">
        <v>-3.702168947116069E-2</v>
      </c>
      <c r="G159" s="9">
        <v>-3.702168947116069E-2</v>
      </c>
      <c r="H159" s="35">
        <v>-1.2128537137078056E-2</v>
      </c>
    </row>
    <row r="160" spans="2:8" x14ac:dyDescent="0.35">
      <c r="B160" s="6">
        <v>45155</v>
      </c>
      <c r="C160" s="7" t="s">
        <v>10</v>
      </c>
      <c r="D160" s="9">
        <v>-4.3691949687710598E-3</v>
      </c>
      <c r="E160" s="9">
        <v>-4.3691949687710598E-3</v>
      </c>
      <c r="F160" s="9">
        <v>-4.1229129460559011E-2</v>
      </c>
      <c r="G160" s="9">
        <v>-4.1229129460559011E-2</v>
      </c>
      <c r="H160" s="35">
        <v>-4.3787677949808932E-3</v>
      </c>
    </row>
    <row r="161" spans="2:8" x14ac:dyDescent="0.35">
      <c r="B161" s="6">
        <v>45156</v>
      </c>
      <c r="C161" s="7" t="s">
        <v>10</v>
      </c>
      <c r="D161" s="9">
        <v>4.3481501726840097E-4</v>
      </c>
      <c r="E161" s="9">
        <v>4.3481501726840097E-4</v>
      </c>
      <c r="F161" s="9">
        <v>-4.0812241487928946E-2</v>
      </c>
      <c r="G161" s="9">
        <v>-4.0812241487928946E-2</v>
      </c>
      <c r="H161" s="35">
        <v>4.3472051261246852E-4</v>
      </c>
    </row>
    <row r="162" spans="2:8" x14ac:dyDescent="0.35">
      <c r="B162" s="6">
        <v>45159</v>
      </c>
      <c r="C162" s="7" t="s">
        <v>10</v>
      </c>
      <c r="D162" s="9">
        <v>1.53211886401172E-2</v>
      </c>
      <c r="E162" s="9">
        <v>1.53211886401172E-2</v>
      </c>
      <c r="F162" s="9">
        <v>-2.6116344898474253E-2</v>
      </c>
      <c r="G162" s="9">
        <v>-2.6116344898474253E-2</v>
      </c>
      <c r="H162" s="35">
        <v>1.5205004446505384E-2</v>
      </c>
    </row>
    <row r="163" spans="2:8" x14ac:dyDescent="0.35">
      <c r="B163" s="6">
        <v>45160</v>
      </c>
      <c r="C163" s="7" t="s">
        <v>10</v>
      </c>
      <c r="D163" s="9">
        <v>4.64759034671053E-4</v>
      </c>
      <c r="E163" s="9">
        <v>4.64759034671053E-4</v>
      </c>
      <c r="F163" s="9">
        <v>-2.56637236710473E-2</v>
      </c>
      <c r="G163" s="9">
        <v>-2.56637236710473E-2</v>
      </c>
      <c r="H163" s="35">
        <v>4.646510676421214E-4</v>
      </c>
    </row>
    <row r="164" spans="2:8" x14ac:dyDescent="0.35">
      <c r="B164" s="6">
        <v>45161</v>
      </c>
      <c r="C164" s="7" t="s">
        <v>10</v>
      </c>
      <c r="D164" s="9">
        <v>4.5108732432933901E-3</v>
      </c>
      <c r="E164" s="9">
        <v>4.5108732432933901E-3</v>
      </c>
      <c r="F164" s="9">
        <v>-2.1268616232184789E-2</v>
      </c>
      <c r="G164" s="9">
        <v>-2.1268616232184789E-2</v>
      </c>
      <c r="H164" s="35">
        <v>4.5007297471626566E-3</v>
      </c>
    </row>
    <row r="165" spans="2:8" x14ac:dyDescent="0.35">
      <c r="B165" s="6">
        <v>45162</v>
      </c>
      <c r="C165" s="7" t="s">
        <v>10</v>
      </c>
      <c r="D165" s="9">
        <v>-9.9271409201227498E-3</v>
      </c>
      <c r="E165" s="9">
        <v>-9.9271409201227498E-3</v>
      </c>
      <c r="F165" s="9">
        <v>-3.0984620601794632E-2</v>
      </c>
      <c r="G165" s="9">
        <v>-3.0984620601794632E-2</v>
      </c>
      <c r="H165" s="35">
        <v>-9.976743531303723E-3</v>
      </c>
    </row>
    <row r="166" spans="2:8" x14ac:dyDescent="0.35">
      <c r="B166" s="6">
        <v>45163</v>
      </c>
      <c r="C166" s="7" t="s">
        <v>10</v>
      </c>
      <c r="D166" s="9">
        <v>5.9476537624625903E-3</v>
      </c>
      <c r="E166" s="9">
        <v>5.9476537624625903E-3</v>
      </c>
      <c r="F166" s="9">
        <v>-2.5221252634632818E-2</v>
      </c>
      <c r="G166" s="9">
        <v>-2.5221252634632818E-2</v>
      </c>
      <c r="H166" s="35">
        <v>5.9300362903927468E-3</v>
      </c>
    </row>
    <row r="167" spans="2:8" x14ac:dyDescent="0.35">
      <c r="B167" s="6">
        <v>45166</v>
      </c>
      <c r="C167" s="7" t="s">
        <v>10</v>
      </c>
      <c r="D167" s="9">
        <v>4.5412994275713797E-3</v>
      </c>
      <c r="E167" s="9">
        <v>4.5412994275713797E-3</v>
      </c>
      <c r="F167" s="9">
        <v>-2.0794490467213822E-2</v>
      </c>
      <c r="G167" s="9">
        <v>-2.0794490467213822E-2</v>
      </c>
      <c r="H167" s="35">
        <v>4.5310188403918485E-3</v>
      </c>
    </row>
    <row r="168" spans="2:8" x14ac:dyDescent="0.35">
      <c r="B168" s="6">
        <v>45167</v>
      </c>
      <c r="C168" s="7" t="s">
        <v>10</v>
      </c>
      <c r="D168" s="9">
        <v>8.0463853311012606E-3</v>
      </c>
      <c r="E168" s="9">
        <v>8.0463853311012606E-3</v>
      </c>
      <c r="F168" s="9">
        <v>-1.2915425619175691E-2</v>
      </c>
      <c r="G168" s="9">
        <v>-1.2915425619175691E-2</v>
      </c>
      <c r="H168" s="35">
        <v>8.0141857839711277E-3</v>
      </c>
    </row>
    <row r="169" spans="2:8" x14ac:dyDescent="0.35">
      <c r="B169" s="6">
        <v>45168</v>
      </c>
      <c r="C169" s="7" t="s">
        <v>10</v>
      </c>
      <c r="D169" s="9">
        <v>1.7692536066948399E-3</v>
      </c>
      <c r="E169" s="9">
        <v>1.7692536066948399E-3</v>
      </c>
      <c r="F169" s="9">
        <v>-1.1169022675839524E-2</v>
      </c>
      <c r="G169" s="9">
        <v>-1.1169022675839524E-2</v>
      </c>
      <c r="H169" s="35">
        <v>1.7676903211599289E-3</v>
      </c>
    </row>
    <row r="170" spans="2:8" x14ac:dyDescent="0.35">
      <c r="B170" s="6">
        <v>45169</v>
      </c>
      <c r="C170" s="7" t="s">
        <v>10</v>
      </c>
      <c r="D170" s="9">
        <v>-8.5800612964782395E-3</v>
      </c>
      <c r="E170" s="9">
        <v>-8.5800612964782395E-3</v>
      </c>
      <c r="F170" s="9">
        <v>-1.9653253073137367E-2</v>
      </c>
      <c r="G170" s="9">
        <v>-1.9653253073137367E-2</v>
      </c>
      <c r="H170" s="35">
        <v>-8.6170819340696501E-3</v>
      </c>
    </row>
    <row r="171" spans="2:8" x14ac:dyDescent="0.35">
      <c r="B171" s="6">
        <v>45170</v>
      </c>
      <c r="C171" s="7" t="s">
        <v>10</v>
      </c>
      <c r="D171" s="9">
        <v>9.4125709952825598E-3</v>
      </c>
      <c r="E171" s="9">
        <v>9.4125709952825598E-3</v>
      </c>
      <c r="F171" s="9">
        <v>-1.0425669717693986E-2</v>
      </c>
      <c r="G171" s="9">
        <v>-1.0425669717693986E-2</v>
      </c>
      <c r="H171" s="35">
        <v>9.3685487748314724E-3</v>
      </c>
    </row>
    <row r="172" spans="2:8" x14ac:dyDescent="0.35">
      <c r="B172" s="6">
        <v>45174</v>
      </c>
      <c r="C172" s="7" t="s">
        <v>10</v>
      </c>
      <c r="D172" s="9">
        <v>-1.3986119216841701E-2</v>
      </c>
      <c r="E172" s="9">
        <v>-1.3986119216841701E-2</v>
      </c>
      <c r="F172" s="9">
        <v>-2.4265974274948587E-2</v>
      </c>
      <c r="G172" s="9">
        <v>-2.4265974274948587E-2</v>
      </c>
      <c r="H172" s="35">
        <v>-1.4084846605208239E-2</v>
      </c>
    </row>
    <row r="173" spans="2:8" x14ac:dyDescent="0.35">
      <c r="B173" s="6">
        <v>45175</v>
      </c>
      <c r="C173" s="7" t="s">
        <v>10</v>
      </c>
      <c r="D173" s="9">
        <v>-5.4574223385604704E-3</v>
      </c>
      <c r="E173" s="9">
        <v>-5.4574223385604704E-3</v>
      </c>
      <c r="F173" s="9">
        <v>-2.9590966943434105E-2</v>
      </c>
      <c r="G173" s="9">
        <v>-2.9590966943434105E-2</v>
      </c>
      <c r="H173" s="35">
        <v>-5.4723684708915038E-3</v>
      </c>
    </row>
    <row r="174" spans="2:8" x14ac:dyDescent="0.35">
      <c r="B174" s="6">
        <v>45176</v>
      </c>
      <c r="C174" s="7" t="s">
        <v>10</v>
      </c>
      <c r="D174" s="9">
        <v>-1.40437369107214E-3</v>
      </c>
      <c r="E174" s="9">
        <v>-1.40437369107214E-3</v>
      </c>
      <c r="F174" s="9">
        <v>-3.0953783859037465E-2</v>
      </c>
      <c r="G174" s="9">
        <v>-3.0953783859037465E-2</v>
      </c>
      <c r="H174" s="35">
        <v>-1.4053607480437075E-3</v>
      </c>
    </row>
    <row r="175" spans="2:8" x14ac:dyDescent="0.35">
      <c r="B175" s="6">
        <v>45177</v>
      </c>
      <c r="C175" s="7" t="s">
        <v>10</v>
      </c>
      <c r="D175" s="9">
        <v>3.7568196849483201E-3</v>
      </c>
      <c r="E175" s="9">
        <v>3.7568196849483201E-3</v>
      </c>
      <c r="F175" s="9">
        <v>-2.7313251958614448E-2</v>
      </c>
      <c r="G175" s="9">
        <v>-2.7313251958614448E-2</v>
      </c>
      <c r="H175" s="35">
        <v>3.7497804624270661E-3</v>
      </c>
    </row>
    <row r="176" spans="2:8" x14ac:dyDescent="0.35">
      <c r="B176" s="6">
        <v>45180</v>
      </c>
      <c r="C176" s="7" t="s">
        <v>10</v>
      </c>
      <c r="D176" s="9">
        <v>4.4775936608246599E-3</v>
      </c>
      <c r="E176" s="9">
        <v>4.4775936608246599E-3</v>
      </c>
      <c r="F176" s="9">
        <v>-2.2957955941616315E-2</v>
      </c>
      <c r="G176" s="9">
        <v>-2.2957955941616315E-2</v>
      </c>
      <c r="H176" s="35">
        <v>4.4675990617254902E-3</v>
      </c>
    </row>
    <row r="177" spans="2:8" x14ac:dyDescent="0.35">
      <c r="B177" s="6">
        <v>45181</v>
      </c>
      <c r="C177" s="7" t="s">
        <v>10</v>
      </c>
      <c r="D177" s="9">
        <v>1.7069715155223702E-5</v>
      </c>
      <c r="E177" s="9">
        <v>1.7069715155223702E-5</v>
      </c>
      <c r="F177" s="9">
        <v>-2.2941278112229679E-2</v>
      </c>
      <c r="G177" s="9">
        <v>-2.2941278112229679E-2</v>
      </c>
      <c r="H177" s="35">
        <v>1.7069569469208136E-5</v>
      </c>
    </row>
    <row r="178" spans="2:8" x14ac:dyDescent="0.35">
      <c r="B178" s="6">
        <v>45182</v>
      </c>
      <c r="C178" s="7" t="s">
        <v>10</v>
      </c>
      <c r="D178" s="9">
        <v>-5.8694432929355996E-3</v>
      </c>
      <c r="E178" s="9">
        <v>-5.8694432929355996E-3</v>
      </c>
      <c r="F178" s="9">
        <v>-2.867606887421803E-2</v>
      </c>
      <c r="G178" s="9">
        <v>-2.867606887421803E-2</v>
      </c>
      <c r="H178" s="35">
        <v>-5.8867361748141311E-3</v>
      </c>
    </row>
    <row r="179" spans="2:8" x14ac:dyDescent="0.35">
      <c r="B179" s="6">
        <v>45183</v>
      </c>
      <c r="C179" s="7" t="s">
        <v>10</v>
      </c>
      <c r="D179" s="9">
        <v>4.24909108302279E-3</v>
      </c>
      <c r="E179" s="9">
        <v>4.24909108302279E-3</v>
      </c>
      <c r="F179" s="9">
        <v>-2.4548825019744758E-2</v>
      </c>
      <c r="G179" s="9">
        <v>-2.4548825019744758E-2</v>
      </c>
      <c r="H179" s="35">
        <v>4.2400891864171177E-3</v>
      </c>
    </row>
    <row r="180" spans="2:8" x14ac:dyDescent="0.35">
      <c r="B180" s="6">
        <v>45184</v>
      </c>
      <c r="C180" s="7" t="s">
        <v>10</v>
      </c>
      <c r="D180" s="9">
        <v>-8.1399782933911403E-3</v>
      </c>
      <c r="E180" s="9">
        <v>-8.1399782933911403E-3</v>
      </c>
      <c r="F180" s="9">
        <v>-3.2488976410346981E-2</v>
      </c>
      <c r="G180" s="9">
        <v>-3.2488976410346981E-2</v>
      </c>
      <c r="H180" s="35">
        <v>-8.1732888044108321E-3</v>
      </c>
    </row>
    <row r="181" spans="2:8" x14ac:dyDescent="0.35">
      <c r="B181" s="6">
        <v>45187</v>
      </c>
      <c r="C181" s="7" t="s">
        <v>10</v>
      </c>
      <c r="D181" s="9">
        <v>-1.07698601643328E-2</v>
      </c>
      <c r="E181" s="9">
        <v>-1.07698601643328E-2</v>
      </c>
      <c r="F181" s="9">
        <v>-4.2908934841857982E-2</v>
      </c>
      <c r="G181" s="9">
        <v>-4.2908934841857982E-2</v>
      </c>
      <c r="H181" s="35">
        <v>-1.0828274899258524E-2</v>
      </c>
    </row>
    <row r="182" spans="2:8" x14ac:dyDescent="0.35">
      <c r="B182" s="6">
        <v>45188</v>
      </c>
      <c r="C182" s="7" t="s">
        <v>10</v>
      </c>
      <c r="D182" s="9">
        <v>3.5974807669310301E-3</v>
      </c>
      <c r="E182" s="9">
        <v>3.5974807669310301E-3</v>
      </c>
      <c r="F182" s="9">
        <v>-3.9465818142750075E-2</v>
      </c>
      <c r="G182" s="9">
        <v>-3.9465818142750075E-2</v>
      </c>
      <c r="H182" s="35">
        <v>3.5910253106175311E-3</v>
      </c>
    </row>
    <row r="183" spans="2:8" x14ac:dyDescent="0.35">
      <c r="B183" s="6">
        <v>45189</v>
      </c>
      <c r="C183" s="7" t="s">
        <v>10</v>
      </c>
      <c r="D183" s="9">
        <v>-7.0376033919509404E-3</v>
      </c>
      <c r="E183" s="9">
        <v>-7.0376033919509404E-3</v>
      </c>
      <c r="F183" s="9">
        <v>-4.6225676759073409E-2</v>
      </c>
      <c r="G183" s="9">
        <v>-4.6225676759073409E-2</v>
      </c>
      <c r="H183" s="35">
        <v>-7.0624841252427866E-3</v>
      </c>
    </row>
    <row r="184" spans="2:8" x14ac:dyDescent="0.35">
      <c r="B184" s="6">
        <v>45190</v>
      </c>
      <c r="C184" s="7" t="s">
        <v>10</v>
      </c>
      <c r="D184" s="9">
        <v>-1.0149974625063601E-2</v>
      </c>
      <c r="E184" s="9">
        <v>-1.0149974625063601E-2</v>
      </c>
      <c r="F184" s="9">
        <v>-5.590646193800608E-2</v>
      </c>
      <c r="G184" s="9">
        <v>-5.590646193800608E-2</v>
      </c>
      <c r="H184" s="35">
        <v>-1.0201836849464078E-2</v>
      </c>
    </row>
    <row r="185" spans="2:8" x14ac:dyDescent="0.35">
      <c r="B185" s="6">
        <v>45191</v>
      </c>
      <c r="C185" s="7" t="s">
        <v>10</v>
      </c>
      <c r="D185" s="9">
        <v>-3.4424320795269402E-3</v>
      </c>
      <c r="E185" s="9">
        <v>-3.4424320795269402E-3</v>
      </c>
      <c r="F185" s="9">
        <v>-5.9156439819504802E-2</v>
      </c>
      <c r="G185" s="9">
        <v>-5.9156439819504802E-2</v>
      </c>
      <c r="H185" s="35">
        <v>-3.4483708820379393E-3</v>
      </c>
    </row>
    <row r="186" spans="2:8" x14ac:dyDescent="0.35">
      <c r="B186" s="6">
        <v>45194</v>
      </c>
      <c r="C186" s="7" t="s">
        <v>10</v>
      </c>
      <c r="D186" s="9">
        <v>-3.02601766951023E-3</v>
      </c>
      <c r="E186" s="9">
        <v>-3.02601766951023E-3</v>
      </c>
      <c r="F186" s="9">
        <v>-6.2003449056855953E-2</v>
      </c>
      <c r="G186" s="9">
        <v>-6.2003449056855953E-2</v>
      </c>
      <c r="H186" s="35">
        <v>-3.0306053181865613E-3</v>
      </c>
    </row>
    <row r="187" spans="2:8" x14ac:dyDescent="0.35">
      <c r="B187" s="6">
        <v>45195</v>
      </c>
      <c r="C187" s="7" t="s">
        <v>10</v>
      </c>
      <c r="D187" s="9">
        <v>7.2448294795925397E-3</v>
      </c>
      <c r="E187" s="9">
        <v>7.2448294795925397E-3</v>
      </c>
      <c r="F187" s="9">
        <v>-5.5207823992826865E-2</v>
      </c>
      <c r="G187" s="9">
        <v>-5.5207823992826865E-2</v>
      </c>
      <c r="H187" s="35">
        <v>7.2187117721904054E-3</v>
      </c>
    </row>
    <row r="188" spans="2:8" x14ac:dyDescent="0.35">
      <c r="B188" s="6">
        <v>45196</v>
      </c>
      <c r="C188" s="7" t="s">
        <v>10</v>
      </c>
      <c r="D188" s="9">
        <v>3.5509320250153601E-3</v>
      </c>
      <c r="E188" s="9">
        <v>3.5509320250153601E-3</v>
      </c>
      <c r="F188" s="9">
        <v>-5.1852931198059116E-2</v>
      </c>
      <c r="G188" s="9">
        <v>-5.1852931198059116E-2</v>
      </c>
      <c r="H188" s="35">
        <v>3.5446423509645662E-3</v>
      </c>
    </row>
    <row r="189" spans="2:8" x14ac:dyDescent="0.35">
      <c r="B189" s="6">
        <v>45197</v>
      </c>
      <c r="C189" s="7" t="s">
        <v>10</v>
      </c>
      <c r="D189" s="9">
        <v>-1.0763477609198901E-3</v>
      </c>
      <c r="E189" s="9">
        <v>-1.0763477609198901E-3</v>
      </c>
      <c r="F189" s="9">
        <v>-5.2873467172586897E-2</v>
      </c>
      <c r="G189" s="9">
        <v>-5.2873467172586897E-2</v>
      </c>
      <c r="H189" s="35">
        <v>-1.0769274391653864E-3</v>
      </c>
    </row>
    <row r="190" spans="2:8" x14ac:dyDescent="0.35">
      <c r="B190" s="6">
        <v>45198</v>
      </c>
      <c r="C190" s="7" t="s">
        <v>10</v>
      </c>
      <c r="D190" s="9">
        <v>-4.65241570643462E-3</v>
      </c>
      <c r="E190" s="9">
        <v>-4.65241570643462E-3</v>
      </c>
      <c r="F190" s="9">
        <v>-5.7279893529894044E-2</v>
      </c>
      <c r="G190" s="9">
        <v>-5.7279893529894044E-2</v>
      </c>
      <c r="H190" s="35">
        <v>-4.6632718770869257E-3</v>
      </c>
    </row>
    <row r="191" spans="2:8" x14ac:dyDescent="0.35">
      <c r="B191" s="6">
        <v>45201</v>
      </c>
      <c r="C191" s="7" t="s">
        <v>10</v>
      </c>
      <c r="D191" s="9">
        <v>-1.3971899384113501E-2</v>
      </c>
      <c r="E191" s="9">
        <v>-1.3971899384113501E-2</v>
      </c>
      <c r="F191" s="9">
        <v>-7.0451484004875109E-2</v>
      </c>
      <c r="G191" s="9">
        <v>-7.0451484004875109E-2</v>
      </c>
      <c r="H191" s="35">
        <v>-1.4070425175175233E-2</v>
      </c>
    </row>
    <row r="192" spans="2:8" x14ac:dyDescent="0.35">
      <c r="B192" s="6">
        <v>45202</v>
      </c>
      <c r="C192" s="7" t="s">
        <v>10</v>
      </c>
      <c r="D192" s="9">
        <v>-9.2191431891463504E-3</v>
      </c>
      <c r="E192" s="9">
        <v>-9.2191431891463504E-3</v>
      </c>
      <c r="F192" s="9">
        <v>-7.9021124875092719E-2</v>
      </c>
      <c r="G192" s="9">
        <v>-7.9021124875092719E-2</v>
      </c>
      <c r="H192" s="35">
        <v>-9.2619024953954285E-3</v>
      </c>
    </row>
    <row r="193" spans="2:8" x14ac:dyDescent="0.35">
      <c r="B193" s="6">
        <v>45203</v>
      </c>
      <c r="C193" s="7" t="s">
        <v>10</v>
      </c>
      <c r="D193" s="9">
        <v>4.7327228431549096E-3</v>
      </c>
      <c r="E193" s="9">
        <v>4.7327228431549096E-3</v>
      </c>
      <c r="F193" s="9">
        <v>-7.4662387114726059E-2</v>
      </c>
      <c r="G193" s="9">
        <v>-7.4662387114726059E-2</v>
      </c>
      <c r="H193" s="35">
        <v>4.7215587210063872E-3</v>
      </c>
    </row>
    <row r="194" spans="2:8" x14ac:dyDescent="0.35">
      <c r="B194" s="6">
        <v>45204</v>
      </c>
      <c r="C194" s="7" t="s">
        <v>10</v>
      </c>
      <c r="D194" s="9">
        <v>1.4961025574953201E-2</v>
      </c>
      <c r="E194" s="9">
        <v>1.4961025574953201E-2</v>
      </c>
      <c r="F194" s="9">
        <v>-6.0818387422883258E-2</v>
      </c>
      <c r="G194" s="9">
        <v>-6.0818387422883258E-2</v>
      </c>
      <c r="H194" s="35">
        <v>1.4850213308189463E-2</v>
      </c>
    </row>
    <row r="195" spans="2:8" x14ac:dyDescent="0.35">
      <c r="B195" s="6">
        <v>45205</v>
      </c>
      <c r="C195" s="7" t="s">
        <v>10</v>
      </c>
      <c r="D195" s="9">
        <v>5.6057540221539004E-3</v>
      </c>
      <c r="E195" s="9">
        <v>5.6057540221539004E-3</v>
      </c>
      <c r="F195" s="9">
        <v>-5.5553566320646119E-2</v>
      </c>
      <c r="G195" s="9">
        <v>-5.5553566320646119E-2</v>
      </c>
      <c r="H195" s="35">
        <v>5.5901002566012652E-3</v>
      </c>
    </row>
    <row r="196" spans="2:8" x14ac:dyDescent="0.35">
      <c r="B196" s="6">
        <v>45208</v>
      </c>
      <c r="C196" s="7" t="s">
        <v>10</v>
      </c>
      <c r="D196" s="9">
        <v>-5.1831785280579898E-3</v>
      </c>
      <c r="E196" s="9">
        <v>-5.1831785280579898E-3</v>
      </c>
      <c r="F196" s="9">
        <v>-6.0448800796593871E-2</v>
      </c>
      <c r="G196" s="9">
        <v>-6.0448800796593871E-2</v>
      </c>
      <c r="H196" s="35">
        <v>-5.1966577950234016E-3</v>
      </c>
    </row>
    <row r="197" spans="2:8" x14ac:dyDescent="0.35">
      <c r="B197" s="6">
        <v>45209</v>
      </c>
      <c r="C197" s="7" t="s">
        <v>10</v>
      </c>
      <c r="D197" s="9">
        <v>7.7302581490016602E-3</v>
      </c>
      <c r="E197" s="9">
        <v>7.7302581490016602E-3</v>
      </c>
      <c r="F197" s="9">
        <v>-5.318582748254741E-2</v>
      </c>
      <c r="G197" s="9">
        <v>-5.318582748254741E-2</v>
      </c>
      <c r="H197" s="35">
        <v>7.7005327949719116E-3</v>
      </c>
    </row>
    <row r="198" spans="2:8" x14ac:dyDescent="0.35">
      <c r="B198" s="6">
        <v>45210</v>
      </c>
      <c r="C198" s="7" t="s">
        <v>10</v>
      </c>
      <c r="D198" s="9">
        <v>3.1378909142192298E-3</v>
      </c>
      <c r="E198" s="9">
        <v>3.1378909142192298E-3</v>
      </c>
      <c r="F198" s="9">
        <v>-5.0214827893150904E-2</v>
      </c>
      <c r="G198" s="9">
        <v>-5.0214827893150904E-2</v>
      </c>
      <c r="H198" s="35">
        <v>3.1329780092813385E-3</v>
      </c>
    </row>
    <row r="199" spans="2:8" x14ac:dyDescent="0.35">
      <c r="B199" s="6">
        <v>45211</v>
      </c>
      <c r="C199" s="7" t="s">
        <v>10</v>
      </c>
      <c r="D199" s="9">
        <v>-1.5645397762647999E-2</v>
      </c>
      <c r="E199" s="9">
        <v>-1.5645397762647999E-2</v>
      </c>
      <c r="F199" s="9">
        <v>-6.507459469982757E-2</v>
      </c>
      <c r="G199" s="9">
        <v>-6.507459469982757E-2</v>
      </c>
      <c r="H199" s="35">
        <v>-1.576907871949141E-2</v>
      </c>
    </row>
    <row r="200" spans="2:8" x14ac:dyDescent="0.35">
      <c r="B200" s="6">
        <v>45212</v>
      </c>
      <c r="C200" s="7" t="s">
        <v>10</v>
      </c>
      <c r="D200" s="9">
        <v>4.0092222312903096E-3</v>
      </c>
      <c r="E200" s="9">
        <v>4.0092222312903096E-3</v>
      </c>
      <c r="F200" s="9">
        <v>-6.1326270980299968E-2</v>
      </c>
      <c r="G200" s="9">
        <v>-6.1326270980299968E-2</v>
      </c>
      <c r="H200" s="35">
        <v>4.0012067166841818E-3</v>
      </c>
    </row>
    <row r="201" spans="2:8" x14ac:dyDescent="0.35">
      <c r="B201" s="6">
        <v>45215</v>
      </c>
      <c r="C201" s="7" t="s">
        <v>10</v>
      </c>
      <c r="D201" s="9">
        <v>6.4521373339971703E-3</v>
      </c>
      <c r="E201" s="9">
        <v>6.4521373339971703E-3</v>
      </c>
      <c r="F201" s="9">
        <v>-5.5269819168849654E-2</v>
      </c>
      <c r="G201" s="9">
        <v>-5.5269819168849654E-2</v>
      </c>
      <c r="H201" s="35">
        <v>6.4314113991903368E-3</v>
      </c>
    </row>
    <row r="202" spans="2:8" x14ac:dyDescent="0.35">
      <c r="B202" s="6">
        <v>45216</v>
      </c>
      <c r="C202" s="7" t="s">
        <v>10</v>
      </c>
      <c r="D202" s="9">
        <v>-1.2695351936355601E-3</v>
      </c>
      <c r="E202" s="9">
        <v>-1.2695351936355601E-3</v>
      </c>
      <c r="F202" s="9">
        <v>-5.646918738190454E-2</v>
      </c>
      <c r="G202" s="9">
        <v>-5.646918738190454E-2</v>
      </c>
      <c r="H202" s="35">
        <v>-1.2703417361345274E-3</v>
      </c>
    </row>
    <row r="203" spans="2:8" x14ac:dyDescent="0.35">
      <c r="B203" s="6">
        <v>45217</v>
      </c>
      <c r="C203" s="7" t="s">
        <v>10</v>
      </c>
      <c r="D203" s="9">
        <v>-1.9883499071278E-2</v>
      </c>
      <c r="E203" s="9">
        <v>-1.9883499071278E-2</v>
      </c>
      <c r="F203" s="9">
        <v>-7.5229881418318545E-2</v>
      </c>
      <c r="G203" s="9">
        <v>-7.5229881418318545E-2</v>
      </c>
      <c r="H203" s="35">
        <v>-2.008383588431226E-2</v>
      </c>
    </row>
    <row r="204" spans="2:8" x14ac:dyDescent="0.35">
      <c r="B204" s="6">
        <v>45218</v>
      </c>
      <c r="C204" s="7" t="s">
        <v>10</v>
      </c>
      <c r="D204" s="9">
        <v>-1.71077024626324E-2</v>
      </c>
      <c r="E204" s="9">
        <v>-1.71077024626324E-2</v>
      </c>
      <c r="F204" s="9">
        <v>-9.1050573453347217E-2</v>
      </c>
      <c r="G204" s="9">
        <v>-9.1050573453347217E-2</v>
      </c>
      <c r="H204" s="35">
        <v>-1.7255729906463124E-2</v>
      </c>
    </row>
    <row r="205" spans="2:8" x14ac:dyDescent="0.35">
      <c r="B205" s="6">
        <v>45219</v>
      </c>
      <c r="C205" s="7" t="s">
        <v>10</v>
      </c>
      <c r="D205" s="9">
        <v>-5.0655557945656496E-3</v>
      </c>
      <c r="E205" s="9">
        <v>-5.0655557945656496E-3</v>
      </c>
      <c r="F205" s="9">
        <v>-9.5654907487957797E-2</v>
      </c>
      <c r="G205" s="9">
        <v>-9.5654907487957797E-2</v>
      </c>
      <c r="H205" s="35">
        <v>-5.0784292147398064E-3</v>
      </c>
    </row>
    <row r="206" spans="2:8" x14ac:dyDescent="0.35">
      <c r="B206" s="6">
        <v>45222</v>
      </c>
      <c r="C206" s="7" t="s">
        <v>10</v>
      </c>
      <c r="D206" s="9">
        <v>-1.20336118501019E-2</v>
      </c>
      <c r="E206" s="9">
        <v>-1.20336118501019E-2</v>
      </c>
      <c r="F206" s="9">
        <v>-0.10653744530979214</v>
      </c>
      <c r="G206" s="9">
        <v>-0.10653744530979214</v>
      </c>
      <c r="H206" s="35">
        <v>-1.2106601904161896E-2</v>
      </c>
    </row>
    <row r="207" spans="2:8" x14ac:dyDescent="0.35">
      <c r="B207" s="6">
        <v>45223</v>
      </c>
      <c r="C207" s="7" t="s">
        <v>10</v>
      </c>
      <c r="D207" s="9">
        <v>1.4603410131115701E-2</v>
      </c>
      <c r="E207" s="9">
        <v>1.4603410131115701E-2</v>
      </c>
      <c r="F207" s="9">
        <v>-9.3489845186856657E-2</v>
      </c>
      <c r="G207" s="9">
        <v>-9.3489845186856657E-2</v>
      </c>
      <c r="H207" s="35">
        <v>1.4497807204449058E-2</v>
      </c>
    </row>
    <row r="208" spans="2:8" x14ac:dyDescent="0.35">
      <c r="B208" s="6">
        <v>45224</v>
      </c>
      <c r="C208" s="7" t="s">
        <v>10</v>
      </c>
      <c r="D208" s="9">
        <v>-1.6284434437462199E-2</v>
      </c>
      <c r="E208" s="9">
        <v>-1.6284434437462199E-2</v>
      </c>
      <c r="F208" s="9">
        <v>-0.108251850369805</v>
      </c>
      <c r="G208" s="9">
        <v>-0.108251850369805</v>
      </c>
      <c r="H208" s="35">
        <v>-1.6418483103265821E-2</v>
      </c>
    </row>
    <row r="209" spans="2:8" x14ac:dyDescent="0.35">
      <c r="B209" s="6">
        <v>45225</v>
      </c>
      <c r="C209" s="7" t="s">
        <v>10</v>
      </c>
      <c r="D209" s="9">
        <v>-7.3531771072866199E-4</v>
      </c>
      <c r="E209" s="9">
        <v>-7.3531771072866199E-4</v>
      </c>
      <c r="F209" s="9">
        <v>-0.10890756857773765</v>
      </c>
      <c r="G209" s="9">
        <v>-0.10890756857773765</v>
      </c>
      <c r="H209" s="35">
        <v>-7.3558818939647584E-4</v>
      </c>
    </row>
    <row r="210" spans="2:8" x14ac:dyDescent="0.35">
      <c r="B210" s="6">
        <v>45226</v>
      </c>
      <c r="C210" s="7" t="s">
        <v>10</v>
      </c>
      <c r="D210" s="9">
        <v>-2.6779908646474702E-2</v>
      </c>
      <c r="E210" s="9">
        <v>-2.6779908646474702E-2</v>
      </c>
      <c r="F210" s="9">
        <v>-0.13277094248679089</v>
      </c>
      <c r="G210" s="9">
        <v>-0.13277094248679089</v>
      </c>
      <c r="H210" s="35">
        <v>-2.7145023656268422E-2</v>
      </c>
    </row>
    <row r="211" spans="2:8" x14ac:dyDescent="0.35">
      <c r="B211" s="6">
        <v>45229</v>
      </c>
      <c r="C211" s="7" t="s">
        <v>10</v>
      </c>
      <c r="D211" s="9">
        <v>1.12233815867254E-2</v>
      </c>
      <c r="E211" s="9">
        <v>1.12233815867254E-2</v>
      </c>
      <c r="F211" s="9">
        <v>-0.12303769985122404</v>
      </c>
      <c r="G211" s="9">
        <v>-0.12303769985122404</v>
      </c>
      <c r="H211" s="35">
        <v>1.1160866756587038E-2</v>
      </c>
    </row>
    <row r="212" spans="2:8" x14ac:dyDescent="0.35">
      <c r="B212" s="6">
        <v>45230</v>
      </c>
      <c r="C212" s="7" t="s">
        <v>10</v>
      </c>
      <c r="D212" s="9">
        <v>4.4781354425252103E-3</v>
      </c>
      <c r="E212" s="9">
        <v>4.4781354425252103E-3</v>
      </c>
      <c r="F212" s="9">
        <v>-0.11911054389316944</v>
      </c>
      <c r="G212" s="9">
        <v>-0.11911054389316944</v>
      </c>
      <c r="H212" s="35">
        <v>4.4681384282160164E-3</v>
      </c>
    </row>
    <row r="213" spans="2:8" x14ac:dyDescent="0.35">
      <c r="B213" s="6">
        <v>45231</v>
      </c>
      <c r="C213" s="7" t="s">
        <v>10</v>
      </c>
      <c r="D213" s="9">
        <v>1.60407542348565E-2</v>
      </c>
      <c r="E213" s="9">
        <v>1.60407542348565E-2</v>
      </c>
      <c r="F213" s="9">
        <v>-0.10498041261968349</v>
      </c>
      <c r="G213" s="9">
        <v>-0.10498041261968349</v>
      </c>
      <c r="H213" s="35">
        <v>1.5913460787690192E-2</v>
      </c>
    </row>
    <row r="214" spans="2:8" x14ac:dyDescent="0.35">
      <c r="B214" s="6">
        <v>45232</v>
      </c>
      <c r="C214" s="7" t="s">
        <v>10</v>
      </c>
      <c r="D214" s="9">
        <v>1.1972506393861901E-2</v>
      </c>
      <c r="E214" s="9">
        <v>1.1972506393861901E-2</v>
      </c>
      <c r="F214" s="9">
        <v>-9.4264784887141073E-2</v>
      </c>
      <c r="G214" s="9">
        <v>-9.4264784887141073E-2</v>
      </c>
      <c r="H214" s="35">
        <v>1.1901402901229813E-2</v>
      </c>
    </row>
    <row r="215" spans="2:8" x14ac:dyDescent="0.35">
      <c r="B215" s="6">
        <v>45233</v>
      </c>
      <c r="C215" s="7" t="s">
        <v>10</v>
      </c>
      <c r="D215" s="9">
        <v>2.18636634075197E-2</v>
      </c>
      <c r="E215" s="9">
        <v>2.18636634075197E-2</v>
      </c>
      <c r="F215" s="9">
        <v>-7.4462095007576057E-2</v>
      </c>
      <c r="G215" s="9">
        <v>-7.4462095007576057E-2</v>
      </c>
      <c r="H215" s="35">
        <v>2.1628081128812753E-2</v>
      </c>
    </row>
    <row r="216" spans="2:8" x14ac:dyDescent="0.35">
      <c r="B216" s="6">
        <v>45236</v>
      </c>
      <c r="C216" s="7" t="s">
        <v>10</v>
      </c>
      <c r="D216" s="9">
        <v>-5.2401206721987004E-3</v>
      </c>
      <c r="E216" s="9">
        <v>-5.2401206721987004E-3</v>
      </c>
      <c r="F216" s="9">
        <v>-7.9312025316430335E-2</v>
      </c>
      <c r="G216" s="9">
        <v>-7.9312025316430335E-2</v>
      </c>
      <c r="H216" s="35">
        <v>-5.2538982564073917E-3</v>
      </c>
    </row>
    <row r="217" spans="2:8" x14ac:dyDescent="0.35">
      <c r="B217" s="6">
        <v>45237</v>
      </c>
      <c r="C217" s="7" t="s">
        <v>10</v>
      </c>
      <c r="D217" s="9">
        <v>4.9724830042083999E-3</v>
      </c>
      <c r="E217" s="9">
        <v>4.9724830042083999E-3</v>
      </c>
      <c r="F217" s="9">
        <v>-7.4733920010137234E-2</v>
      </c>
      <c r="G217" s="9">
        <v>-7.4733920010137234E-2</v>
      </c>
      <c r="H217" s="35">
        <v>4.9601610408823802E-3</v>
      </c>
    </row>
    <row r="218" spans="2:8" x14ac:dyDescent="0.35">
      <c r="B218" s="6">
        <v>45238</v>
      </c>
      <c r="C218" s="7" t="s">
        <v>10</v>
      </c>
      <c r="D218" s="9">
        <v>-1.6029068793567702E-2</v>
      </c>
      <c r="E218" s="9">
        <v>-1.6029068793567702E-2</v>
      </c>
      <c r="F218" s="9">
        <v>-8.9565073658649408E-2</v>
      </c>
      <c r="G218" s="9">
        <v>-8.9565073658649408E-2</v>
      </c>
      <c r="H218" s="35">
        <v>-1.6158923823118794E-2</v>
      </c>
    </row>
    <row r="219" spans="2:8" x14ac:dyDescent="0.35">
      <c r="B219" s="6">
        <v>45239</v>
      </c>
      <c r="C219" s="7" t="s">
        <v>10</v>
      </c>
      <c r="D219" s="9">
        <v>-3.0233745825967499E-2</v>
      </c>
      <c r="E219" s="9">
        <v>-3.0233745825967499E-2</v>
      </c>
      <c r="F219" s="9">
        <v>-0.11709093181273722</v>
      </c>
      <c r="G219" s="9">
        <v>-0.11709093181273722</v>
      </c>
      <c r="H219" s="35">
        <v>-3.0700211602184974E-2</v>
      </c>
    </row>
    <row r="220" spans="2:8" x14ac:dyDescent="0.35">
      <c r="B220" s="6">
        <v>45240</v>
      </c>
      <c r="C220" s="7" t="s">
        <v>10</v>
      </c>
      <c r="D220" s="9">
        <v>3.265087865702E-3</v>
      </c>
      <c r="E220" s="9">
        <v>3.265087865702E-3</v>
      </c>
      <c r="F220" s="9">
        <v>-0.11420815612768087</v>
      </c>
      <c r="G220" s="9">
        <v>-0.11420815612768087</v>
      </c>
      <c r="H220" s="35">
        <v>3.2597690407922819E-3</v>
      </c>
    </row>
    <row r="221" spans="2:8" x14ac:dyDescent="0.35">
      <c r="B221" s="6">
        <v>45243</v>
      </c>
      <c r="C221" s="7" t="s">
        <v>10</v>
      </c>
      <c r="D221" s="9">
        <v>3.4455839995687601E-4</v>
      </c>
      <c r="E221" s="9">
        <v>3.4455839995687601E-4</v>
      </c>
      <c r="F221" s="9">
        <v>-0.1139029491072614</v>
      </c>
      <c r="G221" s="9">
        <v>-0.1139029491072614</v>
      </c>
      <c r="H221" s="35">
        <v>3.4449905334320795E-4</v>
      </c>
    </row>
    <row r="222" spans="2:8" x14ac:dyDescent="0.35">
      <c r="B222" s="6">
        <v>45244</v>
      </c>
      <c r="C222" s="7" t="s">
        <v>10</v>
      </c>
      <c r="D222" s="9">
        <v>2.0230451700402202E-2</v>
      </c>
      <c r="E222" s="9">
        <v>2.0230451700402202E-2</v>
      </c>
      <c r="F222" s="9">
        <v>-9.5976805517307029E-2</v>
      </c>
      <c r="G222" s="9">
        <v>-9.5976805517307029E-2</v>
      </c>
      <c r="H222" s="35">
        <v>2.002853481676414E-2</v>
      </c>
    </row>
    <row r="223" spans="2:8" x14ac:dyDescent="0.35">
      <c r="B223" s="6">
        <v>45245</v>
      </c>
      <c r="C223" s="7" t="s">
        <v>10</v>
      </c>
      <c r="D223" s="9">
        <v>-1.94125590817024E-3</v>
      </c>
      <c r="E223" s="9">
        <v>-1.94125590817024E-3</v>
      </c>
      <c r="F223" s="9">
        <v>-9.7731745884719556E-2</v>
      </c>
      <c r="G223" s="9">
        <v>-9.7731745884719556E-2</v>
      </c>
      <c r="H223" s="35">
        <v>-1.9431425875011308E-3</v>
      </c>
    </row>
    <row r="224" spans="2:8" x14ac:dyDescent="0.35">
      <c r="B224" s="6">
        <v>45246</v>
      </c>
      <c r="C224" s="7" t="s">
        <v>10</v>
      </c>
      <c r="D224" s="9">
        <v>-8.4299677589852792E-3</v>
      </c>
      <c r="E224" s="9">
        <v>-8.4299677589852792E-3</v>
      </c>
      <c r="F224" s="9">
        <v>-0.10533783817686737</v>
      </c>
      <c r="G224" s="9">
        <v>-0.10533783817686737</v>
      </c>
      <c r="H224" s="35">
        <v>-8.4657008983823178E-3</v>
      </c>
    </row>
    <row r="225" spans="2:8" x14ac:dyDescent="0.35">
      <c r="B225" s="6">
        <v>45247</v>
      </c>
      <c r="C225" s="7" t="s">
        <v>10</v>
      </c>
      <c r="D225" s="9">
        <v>1.15874298792443E-2</v>
      </c>
      <c r="E225" s="9">
        <v>1.15874298792443E-2</v>
      </c>
      <c r="F225" s="9">
        <v>-9.4971003111128827E-2</v>
      </c>
      <c r="G225" s="9">
        <v>-9.4971003111128827E-2</v>
      </c>
      <c r="H225" s="35">
        <v>1.1520809757075104E-2</v>
      </c>
    </row>
    <row r="226" spans="2:8" x14ac:dyDescent="0.35">
      <c r="B226" s="6">
        <v>45250</v>
      </c>
      <c r="C226" s="7" t="s">
        <v>10</v>
      </c>
      <c r="D226" s="9">
        <v>6.5553366927456301E-3</v>
      </c>
      <c r="E226" s="9">
        <v>6.5553366927456301E-3</v>
      </c>
      <c r="F226" s="9">
        <v>-8.9038233319824522E-2</v>
      </c>
      <c r="G226" s="9">
        <v>-8.9038233319824522E-2</v>
      </c>
      <c r="H226" s="35">
        <v>6.533943913520586E-3</v>
      </c>
    </row>
    <row r="227" spans="2:8" x14ac:dyDescent="0.35">
      <c r="B227" s="6">
        <v>45251</v>
      </c>
      <c r="C227" s="7" t="s">
        <v>10</v>
      </c>
      <c r="D227" s="9">
        <v>-1.0764462864044E-2</v>
      </c>
      <c r="E227" s="9">
        <v>-1.0764462864044E-2</v>
      </c>
      <c r="F227" s="9">
        <v>-9.8844247427817167E-2</v>
      </c>
      <c r="G227" s="9">
        <v>-9.8844247427817167E-2</v>
      </c>
      <c r="H227" s="35">
        <v>-1.0822818852836645E-2</v>
      </c>
    </row>
    <row r="228" spans="2:8" x14ac:dyDescent="0.35">
      <c r="B228" s="6">
        <v>45252</v>
      </c>
      <c r="C228" s="7" t="s">
        <v>10</v>
      </c>
      <c r="D228" s="9">
        <v>6.1750229072323097E-3</v>
      </c>
      <c r="E228" s="9">
        <v>6.1750229072323097E-3</v>
      </c>
      <c r="F228" s="9">
        <v>-9.3279590012699698E-2</v>
      </c>
      <c r="G228" s="9">
        <v>-9.3279590012699698E-2</v>
      </c>
      <c r="H228" s="35">
        <v>6.15603557798481E-3</v>
      </c>
    </row>
    <row r="229" spans="2:8" x14ac:dyDescent="0.35">
      <c r="B229" s="6">
        <v>45254</v>
      </c>
      <c r="C229" s="7" t="s">
        <v>10</v>
      </c>
      <c r="D229" s="9">
        <v>5.4701196687391897E-3</v>
      </c>
      <c r="E229" s="9">
        <v>5.4701196687391897E-3</v>
      </c>
      <c r="F229" s="9">
        <v>-8.8319720863980877E-2</v>
      </c>
      <c r="G229" s="9">
        <v>-8.8319720863980877E-2</v>
      </c>
      <c r="H229" s="35">
        <v>5.4552129006394971E-3</v>
      </c>
    </row>
    <row r="230" spans="2:8" x14ac:dyDescent="0.35">
      <c r="B230" s="6">
        <v>45257</v>
      </c>
      <c r="C230" s="7" t="s">
        <v>10</v>
      </c>
      <c r="D230" s="9">
        <v>-5.8723426536809297E-3</v>
      </c>
      <c r="E230" s="9">
        <v>-5.8723426536809297E-3</v>
      </c>
      <c r="F230" s="9">
        <v>-9.3673419853671058E-2</v>
      </c>
      <c r="G230" s="9">
        <v>-9.3673419853671058E-2</v>
      </c>
      <c r="H230" s="35">
        <v>-5.8896526579196827E-3</v>
      </c>
    </row>
    <row r="231" spans="2:8" x14ac:dyDescent="0.35">
      <c r="B231" s="6">
        <v>45258</v>
      </c>
      <c r="C231" s="7" t="s">
        <v>10</v>
      </c>
      <c r="D231" s="9">
        <v>-3.8554686779892601E-3</v>
      </c>
      <c r="E231" s="9">
        <v>-3.8554686779892601E-3</v>
      </c>
      <c r="F231" s="9">
        <v>-9.7167733595454386E-2</v>
      </c>
      <c r="G231" s="9">
        <v>-9.7167733595454386E-2</v>
      </c>
      <c r="H231" s="35">
        <v>-3.8629201561460333E-3</v>
      </c>
    </row>
    <row r="232" spans="2:8" x14ac:dyDescent="0.35">
      <c r="B232" s="6">
        <v>45259</v>
      </c>
      <c r="C232" s="7" t="s">
        <v>10</v>
      </c>
      <c r="D232" s="9">
        <v>9.2240093905649207E-3</v>
      </c>
      <c r="E232" s="9">
        <v>9.2240093905649207E-3</v>
      </c>
      <c r="F232" s="9">
        <v>-8.8840000292033872E-2</v>
      </c>
      <c r="G232" s="9">
        <v>-8.8840000292033872E-2</v>
      </c>
      <c r="H232" s="35">
        <v>9.1817280195768698E-3</v>
      </c>
    </row>
    <row r="233" spans="2:8" x14ac:dyDescent="0.35">
      <c r="B233" s="6">
        <v>45260</v>
      </c>
      <c r="C233" s="7" t="s">
        <v>10</v>
      </c>
      <c r="D233" s="9">
        <v>1.48425241197566E-2</v>
      </c>
      <c r="E233" s="9">
        <v>1.48425241197566E-2</v>
      </c>
      <c r="F233" s="9">
        <v>-7.5316086019411088E-2</v>
      </c>
      <c r="G233" s="9">
        <v>-7.5316086019411088E-2</v>
      </c>
      <c r="H233" s="35">
        <v>1.473345180646757E-2</v>
      </c>
    </row>
    <row r="234" spans="2:8" x14ac:dyDescent="0.35">
      <c r="B234" s="6">
        <v>45261</v>
      </c>
      <c r="C234" s="7" t="s">
        <v>10</v>
      </c>
      <c r="D234" s="9">
        <v>1.38123472213977E-2</v>
      </c>
      <c r="E234" s="9">
        <v>1.38123472213977E-2</v>
      </c>
      <c r="F234" s="9">
        <v>-6.2544030729470013E-2</v>
      </c>
      <c r="G234" s="9">
        <v>-6.2544030729470013E-2</v>
      </c>
      <c r="H234" s="35">
        <v>1.3717826131086363E-2</v>
      </c>
    </row>
    <row r="235" spans="2:8" x14ac:dyDescent="0.35">
      <c r="B235" s="6">
        <v>45264</v>
      </c>
      <c r="C235" s="7" t="s">
        <v>10</v>
      </c>
      <c r="D235" s="9">
        <v>8.9622617489649795E-3</v>
      </c>
      <c r="E235" s="9">
        <v>8.9622617489649795E-3</v>
      </c>
      <c r="F235" s="9">
        <v>-5.4142304954737708E-2</v>
      </c>
      <c r="G235" s="9">
        <v>-5.4142304954737708E-2</v>
      </c>
      <c r="H235" s="35">
        <v>8.9223390357051208E-3</v>
      </c>
    </row>
    <row r="236" spans="2:8" x14ac:dyDescent="0.35">
      <c r="B236" s="6">
        <v>45265</v>
      </c>
      <c r="C236" s="7" t="s">
        <v>10</v>
      </c>
      <c r="D236" s="9">
        <v>-2.3367433973120601E-3</v>
      </c>
      <c r="E236" s="9">
        <v>-2.3367433973120601E-3</v>
      </c>
      <c r="F236" s="9">
        <v>-5.6352531678431461E-2</v>
      </c>
      <c r="G236" s="9">
        <v>-5.6352531678431461E-2</v>
      </c>
      <c r="H236" s="35">
        <v>-2.3394778427933099E-3</v>
      </c>
    </row>
    <row r="237" spans="2:8" x14ac:dyDescent="0.35">
      <c r="B237" s="6">
        <v>45266</v>
      </c>
      <c r="C237" s="7" t="s">
        <v>10</v>
      </c>
      <c r="D237" s="9">
        <v>6.1211275015682701E-3</v>
      </c>
      <c r="E237" s="9">
        <v>6.1211275015682701E-3</v>
      </c>
      <c r="F237" s="9">
        <v>-5.057634520830312E-2</v>
      </c>
      <c r="G237" s="9">
        <v>-5.057634520830312E-2</v>
      </c>
      <c r="H237" s="35">
        <v>6.1024695005800732E-3</v>
      </c>
    </row>
    <row r="238" spans="2:8" x14ac:dyDescent="0.35">
      <c r="B238" s="6">
        <v>45267</v>
      </c>
      <c r="C238" s="7" t="s">
        <v>10</v>
      </c>
      <c r="D238" s="9">
        <v>6.2900354977222404E-3</v>
      </c>
      <c r="E238" s="9">
        <v>6.2900354977222404E-3</v>
      </c>
      <c r="F238" s="9">
        <v>-4.46044367172862E-2</v>
      </c>
      <c r="G238" s="9">
        <v>-4.46044367172862E-2</v>
      </c>
      <c r="H238" s="35">
        <v>6.2703357891956534E-3</v>
      </c>
    </row>
    <row r="239" spans="2:8" x14ac:dyDescent="0.35">
      <c r="B239" s="6">
        <v>45268</v>
      </c>
      <c r="C239" s="7" t="s">
        <v>10</v>
      </c>
      <c r="D239" s="9">
        <v>-7.0576654991330503E-3</v>
      </c>
      <c r="E239" s="9">
        <v>-7.0576654991330503E-3</v>
      </c>
      <c r="F239" s="9">
        <v>-5.1347299022291404E-2</v>
      </c>
      <c r="G239" s="9">
        <v>-5.1347299022291404E-2</v>
      </c>
      <c r="H239" s="35">
        <v>-7.082688626363607E-3</v>
      </c>
    </row>
    <row r="240" spans="2:8" x14ac:dyDescent="0.35">
      <c r="B240" s="6">
        <v>45271</v>
      </c>
      <c r="C240" s="7" t="s">
        <v>10</v>
      </c>
      <c r="D240" s="9">
        <v>6.3655965922672104E-3</v>
      </c>
      <c r="E240" s="9">
        <v>6.3655965922672104E-3</v>
      </c>
      <c r="F240" s="9">
        <v>-4.5308558621702466E-2</v>
      </c>
      <c r="G240" s="9">
        <v>-4.5308558621702466E-2</v>
      </c>
      <c r="H240" s="35">
        <v>6.3454217536059012E-3</v>
      </c>
    </row>
    <row r="241" spans="2:8" x14ac:dyDescent="0.35">
      <c r="B241" s="6">
        <v>45272</v>
      </c>
      <c r="C241" s="7" t="s">
        <v>10</v>
      </c>
      <c r="D241" s="9">
        <v>1.29081776793283E-2</v>
      </c>
      <c r="E241" s="9">
        <v>1.29081776793283E-2</v>
      </c>
      <c r="F241" s="9">
        <v>-3.2985231867457387E-2</v>
      </c>
      <c r="G241" s="9">
        <v>-3.2985231867457387E-2</v>
      </c>
      <c r="H241" s="35">
        <v>1.282557720880486E-2</v>
      </c>
    </row>
    <row r="242" spans="2:8" x14ac:dyDescent="0.35">
      <c r="B242" s="6">
        <v>45273</v>
      </c>
      <c r="C242" s="7" t="s">
        <v>10</v>
      </c>
      <c r="D242" s="9">
        <v>4.0314260185317703E-2</v>
      </c>
      <c r="E242" s="9">
        <v>4.0314260185317703E-2</v>
      </c>
      <c r="F242" s="9">
        <v>5.9992530980825798E-3</v>
      </c>
      <c r="G242" s="9">
        <v>5.9992530980825798E-3</v>
      </c>
      <c r="H242" s="35">
        <v>3.9522840763251341E-2</v>
      </c>
    </row>
    <row r="243" spans="2:8" x14ac:dyDescent="0.35">
      <c r="B243" s="6">
        <v>45274</v>
      </c>
      <c r="C243" s="7" t="s">
        <v>10</v>
      </c>
      <c r="D243" s="9">
        <v>7.10252897562104E-3</v>
      </c>
      <c r="E243" s="9">
        <v>7.10252897562104E-3</v>
      </c>
      <c r="F243" s="9">
        <v>1.3144391942664813E-2</v>
      </c>
      <c r="G243" s="9">
        <v>1.3144391942664813E-2</v>
      </c>
      <c r="H243" s="35">
        <v>7.0774248152899663E-3</v>
      </c>
    </row>
    <row r="244" spans="2:8" x14ac:dyDescent="0.35">
      <c r="B244" s="6">
        <v>45275</v>
      </c>
      <c r="C244" s="7" t="s">
        <v>10</v>
      </c>
      <c r="D244" s="9">
        <v>-6.2598436335855098E-3</v>
      </c>
      <c r="E244" s="9">
        <v>-6.2598436335855098E-3</v>
      </c>
      <c r="F244" s="9">
        <v>6.8022664708595748E-3</v>
      </c>
      <c r="G244" s="9">
        <v>6.8022664708595748E-3</v>
      </c>
      <c r="H244" s="35">
        <v>-6.2795186058863658E-3</v>
      </c>
    </row>
    <row r="245" spans="2:8" x14ac:dyDescent="0.35">
      <c r="B245" s="6">
        <v>45278</v>
      </c>
      <c r="C245" s="7" t="s">
        <v>10</v>
      </c>
      <c r="D245" s="9">
        <v>-7.4571091660992897E-3</v>
      </c>
      <c r="E245" s="9">
        <v>-7.4571091660992897E-3</v>
      </c>
      <c r="F245" s="9">
        <v>-7.0556793888987279E-4</v>
      </c>
      <c r="G245" s="9">
        <v>-7.0556793888987279E-4</v>
      </c>
      <c r="H245" s="35">
        <v>-7.4850524085348022E-3</v>
      </c>
    </row>
    <row r="246" spans="2:8" x14ac:dyDescent="0.35">
      <c r="B246" s="6">
        <v>45279</v>
      </c>
      <c r="C246" s="7" t="s">
        <v>10</v>
      </c>
      <c r="D246" s="9">
        <v>1.5062127391032E-2</v>
      </c>
      <c r="E246" s="9">
        <v>1.5062127391032E-2</v>
      </c>
      <c r="F246" s="9">
        <v>1.4345932097963532E-2</v>
      </c>
      <c r="G246" s="9">
        <v>1.4345932097963532E-2</v>
      </c>
      <c r="H246" s="35">
        <v>1.4949819872789163E-2</v>
      </c>
    </row>
    <row r="247" spans="2:8" x14ac:dyDescent="0.35">
      <c r="B247" s="6">
        <v>45280</v>
      </c>
      <c r="C247" s="7" t="s">
        <v>10</v>
      </c>
      <c r="D247" s="9">
        <v>-2.9031992181520701E-2</v>
      </c>
      <c r="E247" s="9">
        <v>-2.9031992181520701E-2</v>
      </c>
      <c r="F247" s="9">
        <v>-1.5102551072061932E-2</v>
      </c>
      <c r="G247" s="9">
        <v>-1.5102551072061932E-2</v>
      </c>
      <c r="H247" s="35">
        <v>-2.946175889736842E-2</v>
      </c>
    </row>
    <row r="248" spans="2:8" x14ac:dyDescent="0.35">
      <c r="B248" s="6">
        <v>45281</v>
      </c>
      <c r="C248" s="7" t="s">
        <v>10</v>
      </c>
      <c r="D248" s="9">
        <v>1.61675644604625E-2</v>
      </c>
      <c r="E248" s="9">
        <v>1.61675644604625E-2</v>
      </c>
      <c r="F248" s="9">
        <v>8.2084192042541915E-4</v>
      </c>
      <c r="G248" s="9">
        <v>8.2084192042541915E-4</v>
      </c>
      <c r="H248" s="35">
        <v>1.6038261207611721E-2</v>
      </c>
    </row>
    <row r="249" spans="2:8" x14ac:dyDescent="0.35">
      <c r="B249" s="6">
        <v>45282</v>
      </c>
      <c r="C249" s="7" t="s">
        <v>10</v>
      </c>
      <c r="D249" s="9">
        <v>2.4347630992928099E-2</v>
      </c>
      <c r="E249" s="9">
        <v>2.4347630992928099E-2</v>
      </c>
      <c r="F249" s="9">
        <v>2.5188458469535435E-2</v>
      </c>
      <c r="G249" s="9">
        <v>2.5188458469535435E-2</v>
      </c>
      <c r="H249" s="35">
        <v>2.405595239739914E-2</v>
      </c>
    </row>
    <row r="250" spans="2:8" x14ac:dyDescent="0.35">
      <c r="B250" s="6">
        <v>45286</v>
      </c>
      <c r="C250" s="7" t="s">
        <v>10</v>
      </c>
      <c r="D250" s="9">
        <v>1.1717858024950199E-2</v>
      </c>
      <c r="E250" s="9">
        <v>1.1717858024950199E-2</v>
      </c>
      <c r="F250" s="9">
        <v>3.7201471274699083E-2</v>
      </c>
      <c r="G250" s="9">
        <v>3.7201471274699083E-2</v>
      </c>
      <c r="H250" s="35">
        <v>1.1649735576294139E-2</v>
      </c>
    </row>
    <row r="251" spans="2:8" x14ac:dyDescent="0.35">
      <c r="B251" s="6">
        <v>45287</v>
      </c>
      <c r="C251" s="7" t="s">
        <v>10</v>
      </c>
      <c r="D251" s="9">
        <v>1.50758976791961E-2</v>
      </c>
      <c r="E251" s="9">
        <v>1.50758976791961E-2</v>
      </c>
      <c r="F251" s="9">
        <v>5.2838214528348137E-2</v>
      </c>
      <c r="G251" s="9">
        <v>5.2838214528348137E-2</v>
      </c>
      <c r="H251" s="35">
        <v>1.4963385736778826E-2</v>
      </c>
    </row>
    <row r="252" spans="2:8" x14ac:dyDescent="0.35">
      <c r="B252" s="6">
        <v>45288</v>
      </c>
      <c r="C252" s="7" t="s">
        <v>10</v>
      </c>
      <c r="D252" s="9">
        <v>2.26886504565625E-5</v>
      </c>
      <c r="E252" s="9">
        <v>2.26886504565625E-5</v>
      </c>
      <c r="F252" s="9">
        <v>5.2862102006584921E-2</v>
      </c>
      <c r="G252" s="9">
        <v>5.2862102006584921E-2</v>
      </c>
      <c r="H252" s="35">
        <v>2.2688393073089279E-5</v>
      </c>
    </row>
    <row r="253" spans="2:8" x14ac:dyDescent="0.35">
      <c r="B253" s="6">
        <v>45289</v>
      </c>
      <c r="C253" s="7" t="s">
        <v>10</v>
      </c>
      <c r="D253" s="9">
        <v>-8.3946102064847601E-3</v>
      </c>
      <c r="E253" s="9">
        <v>-8.3946102064847601E-3</v>
      </c>
      <c r="F253" s="9">
        <v>4.4023735059059321E-2</v>
      </c>
      <c r="G253" s="9">
        <v>4.4023735059059321E-2</v>
      </c>
      <c r="H253" s="35">
        <v>-8.4300433845674507E-3</v>
      </c>
    </row>
    <row r="254" spans="2:8" x14ac:dyDescent="0.35">
      <c r="B254" s="6">
        <v>45293</v>
      </c>
      <c r="C254" s="7" t="s">
        <v>10</v>
      </c>
      <c r="D254" s="9">
        <v>1.97753621364622E-2</v>
      </c>
      <c r="E254" s="9">
        <v>1.97753621364622E-2</v>
      </c>
      <c r="F254" s="9">
        <v>6.4669682498914138E-2</v>
      </c>
      <c r="G254" s="9">
        <v>6.4669682498914138E-2</v>
      </c>
      <c r="H254" s="35">
        <v>1.9582369841740586E-2</v>
      </c>
    </row>
    <row r="255" spans="2:8" x14ac:dyDescent="0.35">
      <c r="B255" s="6">
        <v>45294</v>
      </c>
      <c r="C255" s="7" t="s">
        <v>10</v>
      </c>
      <c r="D255" s="9">
        <v>-1.0708949028723399E-2</v>
      </c>
      <c r="E255" s="9">
        <v>-1.0708949028723399E-2</v>
      </c>
      <c r="F255" s="9">
        <v>5.3268189136606026E-2</v>
      </c>
      <c r="G255" s="9">
        <v>5.3268189136606026E-2</v>
      </c>
      <c r="H255" s="35">
        <v>-1.0766702512860424E-2</v>
      </c>
    </row>
    <row r="256" spans="2:8" x14ac:dyDescent="0.35">
      <c r="B256" s="6">
        <v>45295</v>
      </c>
      <c r="C256" s="7" t="s">
        <v>10</v>
      </c>
      <c r="D256" s="9">
        <v>6.3978554370431101E-3</v>
      </c>
      <c r="E256" s="9">
        <v>6.3978554370431101E-3</v>
      </c>
      <c r="F256" s="9">
        <v>6.0006846747138187E-2</v>
      </c>
      <c r="G256" s="9">
        <v>6.0006846747138187E-2</v>
      </c>
      <c r="H256" s="35">
        <v>6.3774760367320237E-3</v>
      </c>
    </row>
    <row r="257" spans="2:8" x14ac:dyDescent="0.35">
      <c r="B257" s="6">
        <v>45296</v>
      </c>
      <c r="C257" s="7" t="s">
        <v>10</v>
      </c>
      <c r="D257" s="9">
        <v>-2.5014084507041599E-3</v>
      </c>
      <c r="E257" s="9">
        <v>-2.5014084507041599E-3</v>
      </c>
      <c r="F257" s="9">
        <v>5.7355336662880729E-2</v>
      </c>
      <c r="G257" s="9">
        <v>5.7355336662880729E-2</v>
      </c>
      <c r="H257" s="35">
        <v>-2.5045421997711387E-3</v>
      </c>
    </row>
    <row r="258" spans="2:8" x14ac:dyDescent="0.35">
      <c r="B258" s="6">
        <v>45299</v>
      </c>
      <c r="C258" s="7" t="s">
        <v>10</v>
      </c>
      <c r="D258" s="9">
        <v>2.3775528646304198E-2</v>
      </c>
      <c r="E258" s="9">
        <v>2.3775528646304198E-2</v>
      </c>
      <c r="F258" s="9">
        <v>8.2494518759031576E-2</v>
      </c>
      <c r="G258" s="9">
        <v>8.2494518759031576E-2</v>
      </c>
      <c r="H258" s="35">
        <v>2.3497292280881425E-2</v>
      </c>
    </row>
    <row r="259" spans="2:8" x14ac:dyDescent="0.35">
      <c r="B259" s="6">
        <v>45300</v>
      </c>
      <c r="C259" s="7" t="s">
        <v>10</v>
      </c>
      <c r="D259" s="9">
        <v>-8.6723570274799505E-4</v>
      </c>
      <c r="E259" s="9">
        <v>-8.6723570274799505E-4</v>
      </c>
      <c r="F259" s="9">
        <v>8.1555740864334592E-2</v>
      </c>
      <c r="G259" s="9">
        <v>8.1555740864334592E-2</v>
      </c>
      <c r="H259" s="35">
        <v>-8.6761196918696388E-4</v>
      </c>
    </row>
    <row r="260" spans="2:8" x14ac:dyDescent="0.35">
      <c r="B260" s="6">
        <v>45301</v>
      </c>
      <c r="C260" s="7" t="s">
        <v>10</v>
      </c>
      <c r="D260" s="9">
        <v>-5.6474465016529297E-3</v>
      </c>
      <c r="E260" s="9">
        <v>-5.6474465016529297E-3</v>
      </c>
      <c r="F260" s="9">
        <v>7.5447712679247658E-2</v>
      </c>
      <c r="G260" s="9">
        <v>7.5447712679247658E-2</v>
      </c>
      <c r="H260" s="35">
        <v>-5.6634536223341891E-3</v>
      </c>
    </row>
    <row r="261" spans="2:8" x14ac:dyDescent="0.35">
      <c r="B261" s="6">
        <v>45302</v>
      </c>
      <c r="C261" s="7" t="s">
        <v>10</v>
      </c>
      <c r="D261" s="9">
        <v>-8.8646732442796295E-3</v>
      </c>
      <c r="E261" s="9">
        <v>-8.8646732442796295E-3</v>
      </c>
      <c r="F261" s="9">
        <v>6.5914220115038225E-2</v>
      </c>
      <c r="G261" s="9">
        <v>6.5914220115038225E-2</v>
      </c>
      <c r="H261" s="35">
        <v>-8.9041982174995985E-3</v>
      </c>
    </row>
    <row r="262" spans="2:8" x14ac:dyDescent="0.35">
      <c r="B262" s="6">
        <v>45303</v>
      </c>
      <c r="C262" s="7" t="s">
        <v>10</v>
      </c>
      <c r="D262" s="9">
        <v>2.3508425159618901E-3</v>
      </c>
      <c r="E262" s="9">
        <v>2.3508425159618901E-3</v>
      </c>
      <c r="F262" s="9">
        <v>6.8420016582052989E-2</v>
      </c>
      <c r="G262" s="9">
        <v>6.8420016582052989E-2</v>
      </c>
      <c r="H262" s="35">
        <v>2.3480836086862186E-3</v>
      </c>
    </row>
    <row r="263" spans="2:8" x14ac:dyDescent="0.35">
      <c r="B263" s="6">
        <v>45307</v>
      </c>
      <c r="C263" s="7" t="s">
        <v>10</v>
      </c>
      <c r="D263" s="9">
        <v>-9.0504212201973095E-3</v>
      </c>
      <c r="E263" s="9">
        <v>-9.0504212201973095E-3</v>
      </c>
      <c r="F263" s="9">
        <v>5.8750365391895265E-2</v>
      </c>
      <c r="G263" s="9">
        <v>5.8750365391895265E-2</v>
      </c>
      <c r="H263" s="35">
        <v>-9.0916250789248032E-3</v>
      </c>
    </row>
    <row r="264" spans="2:8" x14ac:dyDescent="0.35">
      <c r="B264" s="6">
        <v>45308</v>
      </c>
      <c r="C264" s="7" t="s">
        <v>10</v>
      </c>
      <c r="D264" s="9">
        <v>-5.9089760482282701E-3</v>
      </c>
      <c r="E264" s="9">
        <v>-5.9089760482282701E-3</v>
      </c>
      <c r="F264" s="9">
        <v>5.2494234841741649E-2</v>
      </c>
      <c r="G264" s="9">
        <v>5.2494234841741649E-2</v>
      </c>
      <c r="H264" s="35">
        <v>-5.9265031260256557E-3</v>
      </c>
    </row>
    <row r="265" spans="2:8" x14ac:dyDescent="0.35">
      <c r="B265" s="6">
        <v>45309</v>
      </c>
      <c r="C265" s="7" t="s">
        <v>10</v>
      </c>
      <c r="D265" s="9">
        <v>-6.3004278208373598E-3</v>
      </c>
      <c r="E265" s="9">
        <v>-6.3004278208373598E-3</v>
      </c>
      <c r="F265" s="9">
        <v>4.5863070883273682E-2</v>
      </c>
      <c r="G265" s="9">
        <v>4.5863070883273682E-2</v>
      </c>
      <c r="H265" s="35">
        <v>-6.3203592781085885E-3</v>
      </c>
    </row>
    <row r="266" spans="2:8" x14ac:dyDescent="0.35">
      <c r="B266" s="6">
        <v>45310</v>
      </c>
      <c r="C266" s="7" t="s">
        <v>10</v>
      </c>
      <c r="D266" s="9">
        <v>4.2185419421738304E-3</v>
      </c>
      <c r="E266" s="9">
        <v>4.2185419421738304E-3</v>
      </c>
      <c r="F266" s="9">
        <v>5.0275088113565625E-2</v>
      </c>
      <c r="G266" s="9">
        <v>5.0275088113565625E-2</v>
      </c>
      <c r="H266" s="35">
        <v>4.2096688397318871E-3</v>
      </c>
    </row>
    <row r="267" spans="2:8" x14ac:dyDescent="0.35">
      <c r="B267" s="6">
        <v>45313</v>
      </c>
      <c r="C267" s="7" t="s">
        <v>10</v>
      </c>
      <c r="D267" s="9">
        <v>3.86420909942788E-3</v>
      </c>
      <c r="E267" s="9">
        <v>3.86420909942788E-3</v>
      </c>
      <c r="F267" s="9">
        <v>5.4333570665956454E-2</v>
      </c>
      <c r="G267" s="9">
        <v>5.4333570665956454E-2</v>
      </c>
      <c r="H267" s="35">
        <v>3.8567622214765607E-3</v>
      </c>
    </row>
    <row r="268" spans="2:8" x14ac:dyDescent="0.35">
      <c r="B268" s="6">
        <v>45314</v>
      </c>
      <c r="C268" s="7" t="s">
        <v>10</v>
      </c>
      <c r="D268" s="9">
        <v>5.9291985273292802E-3</v>
      </c>
      <c r="E268" s="9">
        <v>5.9291985273292802E-3</v>
      </c>
      <c r="F268" s="9">
        <v>6.058492372046298E-2</v>
      </c>
      <c r="G268" s="9">
        <v>6.058492372046298E-2</v>
      </c>
      <c r="H268" s="35">
        <v>5.9116900033297668E-3</v>
      </c>
    </row>
    <row r="269" spans="2:8" x14ac:dyDescent="0.35">
      <c r="B269" s="6">
        <v>45315</v>
      </c>
      <c r="C269" s="7" t="s">
        <v>10</v>
      </c>
      <c r="D269" s="9">
        <v>-1.0612803834303301E-2</v>
      </c>
      <c r="E269" s="9">
        <v>-1.0612803834303301E-2</v>
      </c>
      <c r="F269" s="9">
        <v>4.9329143975398226E-2</v>
      </c>
      <c r="G269" s="9">
        <v>4.9329143975398226E-2</v>
      </c>
      <c r="H269" s="35">
        <v>-1.0669521281263096E-2</v>
      </c>
    </row>
    <row r="270" spans="2:8" x14ac:dyDescent="0.35">
      <c r="B270" s="6">
        <v>45316</v>
      </c>
      <c r="C270" s="7" t="s">
        <v>10</v>
      </c>
      <c r="D270" s="9">
        <v>7.1048078674194898E-3</v>
      </c>
      <c r="E270" s="9">
        <v>7.1048078674194898E-3</v>
      </c>
      <c r="F270" s="9">
        <v>5.6784425933027016E-2</v>
      </c>
      <c r="G270" s="9">
        <v>5.6784425933027016E-2</v>
      </c>
      <c r="H270" s="35">
        <v>7.0796876327831769E-3</v>
      </c>
    </row>
    <row r="271" spans="2:8" x14ac:dyDescent="0.35">
      <c r="B271" s="6">
        <v>45317</v>
      </c>
      <c r="C271" s="7" t="s">
        <v>10</v>
      </c>
      <c r="D271" s="9">
        <v>-3.5714204985975201E-3</v>
      </c>
      <c r="E271" s="9">
        <v>-3.5714204985975201E-3</v>
      </c>
      <c r="F271" s="9">
        <v>5.301020437165116E-2</v>
      </c>
      <c r="G271" s="9">
        <v>5.301020437165116E-2</v>
      </c>
      <c r="H271" s="35">
        <v>-3.5778132461180509E-3</v>
      </c>
    </row>
    <row r="272" spans="2:8" x14ac:dyDescent="0.35">
      <c r="B272" s="6">
        <v>45320</v>
      </c>
      <c r="C272" s="7" t="s">
        <v>10</v>
      </c>
      <c r="D272" s="9">
        <v>1.6696119286513302E-2</v>
      </c>
      <c r="E272" s="9">
        <v>1.6696119286513302E-2</v>
      </c>
      <c r="F272" s="9">
        <v>7.0591388353756113E-2</v>
      </c>
      <c r="G272" s="9">
        <v>7.0591388353756113E-2</v>
      </c>
      <c r="H272" s="35">
        <v>1.6558271321607459E-2</v>
      </c>
    </row>
    <row r="273" spans="2:8" x14ac:dyDescent="0.35">
      <c r="B273" s="6">
        <v>45321</v>
      </c>
      <c r="C273" s="7" t="s">
        <v>10</v>
      </c>
      <c r="D273" s="9">
        <v>-8.4028550964901898E-3</v>
      </c>
      <c r="E273" s="9">
        <v>-8.4028550964901898E-3</v>
      </c>
      <c r="F273" s="9">
        <v>6.1595364049869206E-2</v>
      </c>
      <c r="G273" s="9">
        <v>6.1595364049869206E-2</v>
      </c>
      <c r="H273" s="35">
        <v>-8.4383581077096346E-3</v>
      </c>
    </row>
    <row r="274" spans="2:8" x14ac:dyDescent="0.35">
      <c r="B274" s="6">
        <v>45322</v>
      </c>
      <c r="C274" s="7" t="s">
        <v>10</v>
      </c>
      <c r="D274" s="9">
        <v>-1.32961308686699E-2</v>
      </c>
      <c r="E274" s="9">
        <v>-1.32961308686699E-2</v>
      </c>
      <c r="F274" s="9">
        <v>4.7480253159888797E-2</v>
      </c>
      <c r="G274" s="9">
        <v>4.7480253159888797E-2</v>
      </c>
      <c r="H274" s="35">
        <v>-1.3385315842291474E-2</v>
      </c>
    </row>
    <row r="275" spans="2:8" x14ac:dyDescent="0.35">
      <c r="B275" s="6">
        <v>45323</v>
      </c>
      <c r="C275" s="7" t="s">
        <v>10</v>
      </c>
      <c r="D275" s="9">
        <v>1.2763793425859499E-2</v>
      </c>
      <c r="E275" s="9">
        <v>1.2763793425859499E-2</v>
      </c>
      <c r="F275" s="9">
        <v>6.0850074728888703E-2</v>
      </c>
      <c r="G275" s="9">
        <v>6.0850074728888703E-2</v>
      </c>
      <c r="H275" s="35">
        <v>1.2683022781658908E-2</v>
      </c>
    </row>
    <row r="276" spans="2:8" x14ac:dyDescent="0.35">
      <c r="B276" s="6">
        <v>45324</v>
      </c>
      <c r="C276" s="7" t="s">
        <v>10</v>
      </c>
      <c r="D276" s="9">
        <v>-1.21841104428476E-2</v>
      </c>
      <c r="E276" s="9">
        <v>-1.21841104428476E-2</v>
      </c>
      <c r="F276" s="9">
        <v>4.7924560255088844E-2</v>
      </c>
      <c r="G276" s="9">
        <v>4.7924560255088844E-2</v>
      </c>
      <c r="H276" s="35">
        <v>-1.2258945201027044E-2</v>
      </c>
    </row>
    <row r="277" spans="2:8" x14ac:dyDescent="0.35">
      <c r="B277" s="6">
        <v>45327</v>
      </c>
      <c r="C277" s="7" t="s">
        <v>10</v>
      </c>
      <c r="D277" s="9">
        <v>2.0287582176110999E-4</v>
      </c>
      <c r="E277" s="9">
        <v>2.0287582176110999E-4</v>
      </c>
      <c r="F277" s="9">
        <v>4.8137158811394354E-2</v>
      </c>
      <c r="G277" s="9">
        <v>4.8137158811394354E-2</v>
      </c>
      <c r="H277" s="35">
        <v>2.0285524524456085E-4</v>
      </c>
    </row>
    <row r="278" spans="2:8" x14ac:dyDescent="0.35">
      <c r="B278" s="6">
        <v>45328</v>
      </c>
      <c r="C278" s="7" t="s">
        <v>10</v>
      </c>
      <c r="D278" s="9">
        <v>1.0374195783317599E-2</v>
      </c>
      <c r="E278" s="9">
        <v>1.0374195783317599E-2</v>
      </c>
      <c r="F278" s="9">
        <v>5.901073890467412E-2</v>
      </c>
      <c r="G278" s="9">
        <v>5.901073890467412E-2</v>
      </c>
      <c r="H278" s="35">
        <v>1.0320753112942871E-2</v>
      </c>
    </row>
    <row r="279" spans="2:8" x14ac:dyDescent="0.35">
      <c r="B279" s="6">
        <v>45329</v>
      </c>
      <c r="C279" s="7" t="s">
        <v>10</v>
      </c>
      <c r="D279" s="9">
        <v>-1.8067682757656099E-2</v>
      </c>
      <c r="E279" s="9">
        <v>-1.8067682757656099E-2</v>
      </c>
      <c r="F279" s="9">
        <v>3.9876868837193546E-2</v>
      </c>
      <c r="G279" s="9">
        <v>3.9876868837193546E-2</v>
      </c>
      <c r="H279" s="35">
        <v>-1.8232896381464928E-2</v>
      </c>
    </row>
    <row r="280" spans="2:8" x14ac:dyDescent="0.35">
      <c r="B280" s="6">
        <v>45330</v>
      </c>
      <c r="C280" s="7" t="s">
        <v>10</v>
      </c>
      <c r="D280" s="9">
        <v>7.2589778164725103E-4</v>
      </c>
      <c r="E280" s="9">
        <v>7.2589778164725103E-4</v>
      </c>
      <c r="F280" s="9">
        <v>4.0631713149468895E-2</v>
      </c>
      <c r="G280" s="9">
        <v>4.0631713149468895E-2</v>
      </c>
      <c r="H280" s="35">
        <v>7.2563444528178287E-4</v>
      </c>
    </row>
    <row r="281" spans="2:8" x14ac:dyDescent="0.35">
      <c r="B281" s="6">
        <v>45331</v>
      </c>
      <c r="C281" s="7" t="s">
        <v>10</v>
      </c>
      <c r="D281" s="9">
        <v>4.6988446856225802E-3</v>
      </c>
      <c r="E281" s="9">
        <v>4.6988446856225802E-3</v>
      </c>
      <c r="F281" s="9">
        <v>4.5521479944491627E-2</v>
      </c>
      <c r="G281" s="9">
        <v>4.5521479944491627E-2</v>
      </c>
      <c r="H281" s="35">
        <v>4.6878395756691114E-3</v>
      </c>
    </row>
    <row r="282" spans="2:8" x14ac:dyDescent="0.35">
      <c r="B282" s="6">
        <v>45334</v>
      </c>
      <c r="C282" s="7" t="s">
        <v>10</v>
      </c>
      <c r="D282" s="9">
        <v>9.6096288206615303E-3</v>
      </c>
      <c r="E282" s="9">
        <v>9.6096288206615303E-3</v>
      </c>
      <c r="F282" s="9">
        <v>5.5568553290786804E-2</v>
      </c>
      <c r="G282" s="9">
        <v>5.5568553290786804E-2</v>
      </c>
      <c r="H282" s="35">
        <v>9.5637500222695779E-3</v>
      </c>
    </row>
    <row r="283" spans="2:8" x14ac:dyDescent="0.35">
      <c r="B283" s="6">
        <v>45335</v>
      </c>
      <c r="C283" s="7" t="s">
        <v>10</v>
      </c>
      <c r="D283" s="9">
        <v>-2.5298036624333602E-2</v>
      </c>
      <c r="E283" s="9">
        <v>-2.5298036624333602E-2</v>
      </c>
      <c r="F283" s="9">
        <v>2.8864741370141722E-2</v>
      </c>
      <c r="G283" s="9">
        <v>2.8864741370141722E-2</v>
      </c>
      <c r="H283" s="35">
        <v>-2.5623533302572884E-2</v>
      </c>
    </row>
    <row r="284" spans="2:8" x14ac:dyDescent="0.35">
      <c r="B284" s="6">
        <v>45336</v>
      </c>
      <c r="C284" s="7" t="s">
        <v>10</v>
      </c>
      <c r="D284" s="9">
        <v>1.30968881830825E-2</v>
      </c>
      <c r="E284" s="9">
        <v>1.30968881830825E-2</v>
      </c>
      <c r="F284" s="9">
        <v>4.23396678433825E-2</v>
      </c>
      <c r="G284" s="9">
        <v>4.23396678433825E-2</v>
      </c>
      <c r="H284" s="35">
        <v>1.3011865493547664E-2</v>
      </c>
    </row>
    <row r="285" spans="2:8" x14ac:dyDescent="0.35">
      <c r="B285" s="6">
        <v>45337</v>
      </c>
      <c r="C285" s="7" t="s">
        <v>10</v>
      </c>
      <c r="D285" s="9">
        <v>1.6283063063475899E-2</v>
      </c>
      <c r="E285" s="9">
        <v>1.6283063063475899E-2</v>
      </c>
      <c r="F285" s="9">
        <v>5.9312150388438845E-2</v>
      </c>
      <c r="G285" s="9">
        <v>5.9312150388438845E-2</v>
      </c>
      <c r="H285" s="35">
        <v>1.6151915730455848E-2</v>
      </c>
    </row>
    <row r="286" spans="2:8" x14ac:dyDescent="0.35">
      <c r="B286" s="6">
        <v>45338</v>
      </c>
      <c r="C286" s="7" t="s">
        <v>10</v>
      </c>
      <c r="D286" s="9">
        <v>-4.4658169804850604E-3</v>
      </c>
      <c r="E286" s="9">
        <v>-4.4658169804850604E-3</v>
      </c>
      <c r="F286" s="9">
        <v>5.4581456199599865E-2</v>
      </c>
      <c r="G286" s="9">
        <v>5.4581456199599865E-2</v>
      </c>
      <c r="H286" s="35">
        <v>-4.4758185289679713E-3</v>
      </c>
    </row>
    <row r="287" spans="2:8" x14ac:dyDescent="0.35">
      <c r="B287" s="6">
        <v>45342</v>
      </c>
      <c r="C287" s="7" t="s">
        <v>10</v>
      </c>
      <c r="D287" s="9">
        <v>-6.03402355127891E-3</v>
      </c>
      <c r="E287" s="9">
        <v>-6.03402355127891E-3</v>
      </c>
      <c r="F287" s="9">
        <v>4.8218086856149478E-2</v>
      </c>
      <c r="G287" s="9">
        <v>4.8218086856149478E-2</v>
      </c>
      <c r="H287" s="35">
        <v>-6.0523018362139101E-3</v>
      </c>
    </row>
    <row r="288" spans="2:8" x14ac:dyDescent="0.35">
      <c r="B288" s="6">
        <v>45343</v>
      </c>
      <c r="C288" s="7" t="s">
        <v>10</v>
      </c>
      <c r="D288" s="9">
        <v>2.4127543027071801E-3</v>
      </c>
      <c r="E288" s="9">
        <v>2.4127543027071801E-3</v>
      </c>
      <c r="F288" s="9">
        <v>5.0747179555387323E-2</v>
      </c>
      <c r="G288" s="9">
        <v>5.0747179555387323E-2</v>
      </c>
      <c r="H288" s="35">
        <v>2.4098482844447317E-3</v>
      </c>
    </row>
    <row r="289" spans="2:8" x14ac:dyDescent="0.35">
      <c r="B289" s="6">
        <v>45344</v>
      </c>
      <c r="C289" s="7" t="s">
        <v>10</v>
      </c>
      <c r="D289" s="9">
        <v>1.4301002591221501E-2</v>
      </c>
      <c r="E289" s="9">
        <v>1.4301002591221501E-2</v>
      </c>
      <c r="F289" s="9">
        <v>6.577391769292773E-2</v>
      </c>
      <c r="G289" s="9">
        <v>6.577391769292773E-2</v>
      </c>
      <c r="H289" s="35">
        <v>1.4199707855620964E-2</v>
      </c>
    </row>
    <row r="290" spans="2:8" x14ac:dyDescent="0.35">
      <c r="B290" s="6">
        <v>45345</v>
      </c>
      <c r="C290" s="7" t="s">
        <v>10</v>
      </c>
      <c r="D290" s="9">
        <v>7.76260216607811E-3</v>
      </c>
      <c r="E290" s="9">
        <v>7.76260216607811E-3</v>
      </c>
      <c r="F290" s="9">
        <v>7.404709661496045E-2</v>
      </c>
      <c r="G290" s="9">
        <v>7.404709661496045E-2</v>
      </c>
      <c r="H290" s="35">
        <v>7.7326281873357763E-3</v>
      </c>
    </row>
    <row r="291" spans="2:8" x14ac:dyDescent="0.35">
      <c r="B291" s="6">
        <v>45348</v>
      </c>
      <c r="C291" s="7" t="s">
        <v>10</v>
      </c>
      <c r="D291" s="9">
        <v>8.46885807369668E-3</v>
      </c>
      <c r="E291" s="9">
        <v>8.46885807369668E-3</v>
      </c>
      <c r="F291" s="9">
        <v>8.3143049040658612E-2</v>
      </c>
      <c r="G291" s="9">
        <v>8.3143049040658612E-2</v>
      </c>
      <c r="H291" s="35">
        <v>8.4331984843792791E-3</v>
      </c>
    </row>
    <row r="292" spans="2:8" x14ac:dyDescent="0.35">
      <c r="B292" s="6">
        <v>45349</v>
      </c>
      <c r="C292" s="7" t="s">
        <v>10</v>
      </c>
      <c r="D292" s="9">
        <v>1.36201033431965E-2</v>
      </c>
      <c r="E292" s="9">
        <v>1.36201033431965E-2</v>
      </c>
      <c r="F292" s="9">
        <v>9.7895569304057295E-2</v>
      </c>
      <c r="G292" s="9">
        <v>9.7895569304057295E-2</v>
      </c>
      <c r="H292" s="35">
        <v>1.3528183434261612E-2</v>
      </c>
    </row>
    <row r="293" spans="2:8" x14ac:dyDescent="0.35">
      <c r="B293" s="6">
        <v>45350</v>
      </c>
      <c r="C293" s="7" t="s">
        <v>10</v>
      </c>
      <c r="D293" s="9">
        <v>-1.48226251993343E-2</v>
      </c>
      <c r="E293" s="9">
        <v>-1.48226251993343E-2</v>
      </c>
      <c r="F293" s="9">
        <v>8.1621874772253467E-2</v>
      </c>
      <c r="G293" s="9">
        <v>8.1621874772253467E-2</v>
      </c>
      <c r="H293" s="35">
        <v>-1.4933578082011886E-2</v>
      </c>
    </row>
    <row r="294" spans="2:8" x14ac:dyDescent="0.35">
      <c r="B294" s="6">
        <v>45351</v>
      </c>
      <c r="C294" s="7" t="s">
        <v>10</v>
      </c>
      <c r="D294" s="9">
        <v>-2.07153976790262E-2</v>
      </c>
      <c r="E294" s="9">
        <v>-2.07153976790262E-2</v>
      </c>
      <c r="F294" s="9">
        <v>5.9215647498012336E-2</v>
      </c>
      <c r="G294" s="9">
        <v>5.9215647498012336E-2</v>
      </c>
      <c r="H294" s="35">
        <v>-2.0932971527192052E-2</v>
      </c>
    </row>
    <row r="295" spans="2:8" x14ac:dyDescent="0.35">
      <c r="B295" s="6">
        <v>45352</v>
      </c>
      <c r="C295" s="7" t="s">
        <v>10</v>
      </c>
      <c r="D295" s="9">
        <v>1.9568437595968002E-2</v>
      </c>
      <c r="E295" s="9">
        <v>1.9568437595968002E-2</v>
      </c>
      <c r="F295" s="9">
        <v>7.9942842796749902E-2</v>
      </c>
      <c r="G295" s="9">
        <v>7.9942842796749902E-2</v>
      </c>
      <c r="H295" s="35">
        <v>1.937943736784228E-2</v>
      </c>
    </row>
    <row r="296" spans="2:8" x14ac:dyDescent="0.35">
      <c r="B296" s="6">
        <v>45355</v>
      </c>
      <c r="C296" s="7" t="s">
        <v>10</v>
      </c>
      <c r="D296" s="9">
        <v>-1.11135227076423E-2</v>
      </c>
      <c r="E296" s="9">
        <v>-1.11135227076423E-2</v>
      </c>
      <c r="F296" s="9">
        <v>6.7940873490372367E-2</v>
      </c>
      <c r="G296" s="9">
        <v>6.7940873490372367E-2</v>
      </c>
      <c r="H296" s="35">
        <v>-1.1175739294220293E-2</v>
      </c>
    </row>
    <row r="297" spans="2:8" x14ac:dyDescent="0.35">
      <c r="B297" s="6">
        <v>45356</v>
      </c>
      <c r="C297" s="7" t="s">
        <v>10</v>
      </c>
      <c r="D297" s="9">
        <v>-7.7846783007541696E-3</v>
      </c>
      <c r="E297" s="9">
        <v>-7.7846783007541696E-3</v>
      </c>
      <c r="F297" s="9">
        <v>5.9627297346023456E-2</v>
      </c>
      <c r="G297" s="9">
        <v>5.9627297346023456E-2</v>
      </c>
      <c r="H297" s="35">
        <v>-7.8151370864170053E-3</v>
      </c>
    </row>
    <row r="298" spans="2:8" x14ac:dyDescent="0.35">
      <c r="B298" s="6">
        <v>45357</v>
      </c>
      <c r="C298" s="7" t="s">
        <v>10</v>
      </c>
      <c r="D298" s="9">
        <v>2.8914716258827701E-3</v>
      </c>
      <c r="E298" s="9">
        <v>2.8914716258827701E-3</v>
      </c>
      <c r="F298" s="9">
        <v>6.2691179610310233E-2</v>
      </c>
      <c r="G298" s="9">
        <v>6.2691179610310233E-2</v>
      </c>
      <c r="H298" s="35">
        <v>2.8872993625202693E-3</v>
      </c>
    </row>
    <row r="299" spans="2:8" x14ac:dyDescent="0.35">
      <c r="B299" s="6">
        <v>45358</v>
      </c>
      <c r="C299" s="7" t="s">
        <v>10</v>
      </c>
      <c r="D299" s="9">
        <v>3.3760364431778498E-5</v>
      </c>
      <c r="E299" s="9">
        <v>3.3760364431778498E-5</v>
      </c>
      <c r="F299" s="9">
        <v>6.2727056451812313E-2</v>
      </c>
      <c r="G299" s="9">
        <v>6.2727056451812313E-2</v>
      </c>
      <c r="H299" s="35">
        <v>3.3759794563534501E-5</v>
      </c>
    </row>
    <row r="300" spans="2:8" x14ac:dyDescent="0.35">
      <c r="B300" s="6">
        <v>45359</v>
      </c>
      <c r="C300" s="7" t="s">
        <v>10</v>
      </c>
      <c r="D300" s="9">
        <v>3.99167384987964E-3</v>
      </c>
      <c r="E300" s="9">
        <v>3.99167384987964E-3</v>
      </c>
      <c r="F300" s="9">
        <v>6.6969116252610483E-2</v>
      </c>
      <c r="G300" s="9">
        <v>6.6969116252610483E-2</v>
      </c>
      <c r="H300" s="35">
        <v>3.983728256942879E-3</v>
      </c>
    </row>
    <row r="301" spans="2:8" x14ac:dyDescent="0.35">
      <c r="B301" s="6">
        <v>45362</v>
      </c>
      <c r="C301" s="7" t="s">
        <v>10</v>
      </c>
      <c r="D301" s="9">
        <v>-1.2061941882964501E-3</v>
      </c>
      <c r="E301" s="9">
        <v>-1.2061941882964501E-3</v>
      </c>
      <c r="F301" s="9">
        <v>6.5682144305494683E-2</v>
      </c>
      <c r="G301" s="9">
        <v>6.5682144305494683E-2</v>
      </c>
      <c r="H301" s="35">
        <v>-1.2069222260018733E-3</v>
      </c>
    </row>
    <row r="302" spans="2:8" x14ac:dyDescent="0.35">
      <c r="B302" s="6">
        <v>45363</v>
      </c>
      <c r="C302" s="7" t="s">
        <v>10</v>
      </c>
      <c r="D302" s="9">
        <v>-4.5881753473118198E-3</v>
      </c>
      <c r="E302" s="9">
        <v>-4.5881753473118198E-3</v>
      </c>
      <c r="F302" s="9">
        <v>6.0792607762921724E-2</v>
      </c>
      <c r="G302" s="9">
        <v>6.0792607762921724E-2</v>
      </c>
      <c r="H302" s="35">
        <v>-4.598733330785058E-3</v>
      </c>
    </row>
    <row r="303" spans="2:8" x14ac:dyDescent="0.35">
      <c r="B303" s="6">
        <v>45364</v>
      </c>
      <c r="C303" s="7" t="s">
        <v>10</v>
      </c>
      <c r="D303" s="9">
        <v>2.6316442251531499E-3</v>
      </c>
      <c r="E303" s="9">
        <v>2.6316442251531499E-3</v>
      </c>
      <c r="F303" s="9">
        <v>6.3584236503225977E-2</v>
      </c>
      <c r="G303" s="9">
        <v>6.3584236503225977E-2</v>
      </c>
      <c r="H303" s="35">
        <v>2.6281875127192539E-3</v>
      </c>
    </row>
    <row r="304" spans="2:8" x14ac:dyDescent="0.35">
      <c r="B304" s="6">
        <v>45365</v>
      </c>
      <c r="C304" s="7" t="s">
        <v>10</v>
      </c>
      <c r="D304" s="9">
        <v>-1.94573119275958E-2</v>
      </c>
      <c r="E304" s="9">
        <v>-1.94573119275958E-2</v>
      </c>
      <c r="F304" s="9">
        <v>4.2889746252308791E-2</v>
      </c>
      <c r="G304" s="9">
        <v>4.2889746252308791E-2</v>
      </c>
      <c r="H304" s="35">
        <v>-1.9649097248668361E-2</v>
      </c>
    </row>
    <row r="305" spans="2:8" x14ac:dyDescent="0.35">
      <c r="B305" s="6">
        <v>45366</v>
      </c>
      <c r="C305" s="7" t="s">
        <v>10</v>
      </c>
      <c r="D305" s="9">
        <v>2.1416962785445201E-3</v>
      </c>
      <c r="E305" s="9">
        <v>2.1416962785445201E-3</v>
      </c>
      <c r="F305" s="9">
        <v>4.5123299340789735E-2</v>
      </c>
      <c r="G305" s="9">
        <v>4.5123299340789735E-2</v>
      </c>
      <c r="H305" s="35">
        <v>2.1394061163747188E-3</v>
      </c>
    </row>
    <row r="306" spans="2:8" x14ac:dyDescent="0.35">
      <c r="B306" s="6">
        <v>45369</v>
      </c>
      <c r="C306" s="7" t="s">
        <v>10</v>
      </c>
      <c r="D306" s="9">
        <v>-6.4938188465052497E-3</v>
      </c>
      <c r="E306" s="9">
        <v>-6.4938188465052497E-3</v>
      </c>
      <c r="F306" s="9">
        <v>3.8336457962608872E-2</v>
      </c>
      <c r="G306" s="9">
        <v>3.8336457962608872E-2</v>
      </c>
      <c r="H306" s="35">
        <v>-6.5149954157647308E-3</v>
      </c>
    </row>
    <row r="307" spans="2:8" x14ac:dyDescent="0.35">
      <c r="B307" s="6">
        <v>45370</v>
      </c>
      <c r="C307" s="7" t="s">
        <v>10</v>
      </c>
      <c r="D307" s="9">
        <v>8.08790641268607E-3</v>
      </c>
      <c r="E307" s="9">
        <v>8.08790641268607E-3</v>
      </c>
      <c r="F307" s="9">
        <v>4.6734426059490186E-2</v>
      </c>
      <c r="G307" s="9">
        <v>4.6734426059490186E-2</v>
      </c>
      <c r="H307" s="35">
        <v>8.0553745894595599E-3</v>
      </c>
    </row>
    <row r="308" spans="2:8" x14ac:dyDescent="0.35">
      <c r="B308" s="6">
        <v>45371</v>
      </c>
      <c r="C308" s="7" t="s">
        <v>10</v>
      </c>
      <c r="D308" s="9">
        <v>5.1641882527294703E-3</v>
      </c>
      <c r="E308" s="9">
        <v>5.1641882527294703E-3</v>
      </c>
      <c r="F308" s="9">
        <v>5.2139959686274162E-2</v>
      </c>
      <c r="G308" s="9">
        <v>5.2139959686274162E-2</v>
      </c>
      <c r="H308" s="35">
        <v>5.1508995631367122E-3</v>
      </c>
    </row>
    <row r="309" spans="2:8" x14ac:dyDescent="0.35">
      <c r="B309" s="6">
        <v>45372</v>
      </c>
      <c r="C309" s="7" t="s">
        <v>10</v>
      </c>
      <c r="D309" s="9">
        <v>4.76905574516499E-3</v>
      </c>
      <c r="E309" s="9">
        <v>4.76905574516499E-3</v>
      </c>
      <c r="F309" s="9">
        <v>5.7157673805733555E-2</v>
      </c>
      <c r="G309" s="9">
        <v>5.7157673805733555E-2</v>
      </c>
      <c r="H309" s="35">
        <v>4.7577198256156987E-3</v>
      </c>
    </row>
    <row r="310" spans="2:8" x14ac:dyDescent="0.35">
      <c r="B310" s="6">
        <v>45373</v>
      </c>
      <c r="C310" s="7" t="s">
        <v>10</v>
      </c>
      <c r="D310" s="9">
        <v>-7.282674661908E-3</v>
      </c>
      <c r="E310" s="9">
        <v>-7.282674661908E-3</v>
      </c>
      <c r="F310" s="9">
        <v>4.945873840106696E-2</v>
      </c>
      <c r="G310" s="9">
        <v>4.945873840106696E-2</v>
      </c>
      <c r="H310" s="35">
        <v>-7.3093227956414972E-3</v>
      </c>
    </row>
    <row r="311" spans="2:8" x14ac:dyDescent="0.35">
      <c r="B311" s="6">
        <v>45376</v>
      </c>
      <c r="C311" s="7" t="s">
        <v>10</v>
      </c>
      <c r="D311" s="9">
        <v>-2.0860463524823399E-4</v>
      </c>
      <c r="E311" s="9">
        <v>-2.0860463524823399E-4</v>
      </c>
      <c r="F311" s="9">
        <v>4.9239816443734874E-2</v>
      </c>
      <c r="G311" s="9">
        <v>4.9239816443734874E-2</v>
      </c>
      <c r="H311" s="35">
        <v>-2.0862639622145791E-4</v>
      </c>
    </row>
    <row r="312" spans="2:8" x14ac:dyDescent="0.35">
      <c r="B312" s="6">
        <v>45377</v>
      </c>
      <c r="C312" s="7" t="s">
        <v>10</v>
      </c>
      <c r="D312" s="9">
        <v>-8.2825844401476995E-4</v>
      </c>
      <c r="E312" s="9">
        <v>-8.2825844401476995E-4</v>
      </c>
      <c r="F312" s="9">
        <v>4.8370774705968733E-2</v>
      </c>
      <c r="G312" s="9">
        <v>4.8370774705968733E-2</v>
      </c>
      <c r="H312" s="35">
        <v>-8.2860163955599203E-4</v>
      </c>
    </row>
    <row r="313" spans="2:8" x14ac:dyDescent="0.35">
      <c r="B313" s="6">
        <v>45378</v>
      </c>
      <c r="C313" s="7" t="s">
        <v>10</v>
      </c>
      <c r="D313" s="9">
        <v>1.52909528528953E-2</v>
      </c>
      <c r="E313" s="9">
        <v>1.52909528528953E-2</v>
      </c>
      <c r="F313" s="9">
        <v>6.4401362794350936E-2</v>
      </c>
      <c r="G313" s="9">
        <v>6.4401362794350936E-2</v>
      </c>
      <c r="H313" s="35">
        <v>1.5175224473652521E-2</v>
      </c>
    </row>
    <row r="314" spans="2:8" x14ac:dyDescent="0.35">
      <c r="B314" s="6">
        <v>45379</v>
      </c>
      <c r="C314" s="7" t="s">
        <v>10</v>
      </c>
      <c r="D314" s="9">
        <v>-3.60997026554079E-3</v>
      </c>
      <c r="E314" s="9">
        <v>-3.60997026554079E-3</v>
      </c>
      <c r="F314" s="9">
        <v>6.055890552406229E-2</v>
      </c>
      <c r="G314" s="9">
        <v>6.055890552406229E-2</v>
      </c>
      <c r="H314" s="35">
        <v>-3.6165019323531472E-3</v>
      </c>
    </row>
    <row r="315" spans="2:8" x14ac:dyDescent="0.35">
      <c r="B315" s="6">
        <v>45383</v>
      </c>
      <c r="C315" s="7" t="s">
        <v>10</v>
      </c>
      <c r="D315" s="9">
        <v>-4.9706882890857198E-3</v>
      </c>
      <c r="E315" s="9">
        <v>-4.9706882890857198E-3</v>
      </c>
      <c r="F315" s="9">
        <v>5.5287197792488252E-2</v>
      </c>
      <c r="G315" s="9">
        <v>5.5287197792488252E-2</v>
      </c>
      <c r="H315" s="35">
        <v>-4.9830832515083126E-3</v>
      </c>
    </row>
    <row r="316" spans="2:8" x14ac:dyDescent="0.35">
      <c r="B316" s="6">
        <v>45384</v>
      </c>
      <c r="C316" s="7" t="s">
        <v>10</v>
      </c>
      <c r="D316" s="9">
        <v>-2.17448020054672E-2</v>
      </c>
      <c r="E316" s="9">
        <v>-2.17448020054672E-2</v>
      </c>
      <c r="F316" s="9">
        <v>3.2340186617586308E-2</v>
      </c>
      <c r="G316" s="9">
        <v>3.2340186617586308E-2</v>
      </c>
      <c r="H316" s="35">
        <v>-2.1984704341170162E-2</v>
      </c>
    </row>
    <row r="317" spans="2:8" x14ac:dyDescent="0.35">
      <c r="B317" s="6">
        <v>45385</v>
      </c>
      <c r="C317" s="7" t="s">
        <v>10</v>
      </c>
      <c r="D317" s="9">
        <v>-1.4030286867187699E-3</v>
      </c>
      <c r="E317" s="9">
        <v>-1.4030286867187699E-3</v>
      </c>
      <c r="F317" s="9">
        <v>3.0891783721309185E-2</v>
      </c>
      <c r="G317" s="9">
        <v>3.0891783721309185E-2</v>
      </c>
      <c r="H317" s="35">
        <v>-1.4040138530522696E-3</v>
      </c>
    </row>
    <row r="318" spans="2:8" x14ac:dyDescent="0.35">
      <c r="B318" s="6">
        <v>45386</v>
      </c>
      <c r="C318" s="7" t="s">
        <v>10</v>
      </c>
      <c r="D318" s="9">
        <v>-1.28191730240012E-2</v>
      </c>
      <c r="E318" s="9">
        <v>-1.28191730240012E-2</v>
      </c>
      <c r="F318" s="9">
        <v>1.7676603576764593E-2</v>
      </c>
      <c r="G318" s="9">
        <v>1.7676603576764593E-2</v>
      </c>
      <c r="H318" s="35">
        <v>-1.2902047640362511E-2</v>
      </c>
    </row>
    <row r="319" spans="2:8" x14ac:dyDescent="0.35">
      <c r="B319" s="6">
        <v>45387</v>
      </c>
      <c r="C319" s="7" t="s">
        <v>10</v>
      </c>
      <c r="D319" s="9">
        <v>6.1611207170331004E-3</v>
      </c>
      <c r="E319" s="9">
        <v>6.1611207170331004E-3</v>
      </c>
      <c r="F319" s="9">
        <v>2.3946631982301403E-2</v>
      </c>
      <c r="G319" s="9">
        <v>2.3946631982301403E-2</v>
      </c>
      <c r="H319" s="35">
        <v>6.1422186118248344E-3</v>
      </c>
    </row>
    <row r="320" spans="2:8" x14ac:dyDescent="0.35">
      <c r="B320" s="6">
        <v>45390</v>
      </c>
      <c r="C320" s="7" t="s">
        <v>10</v>
      </c>
      <c r="D320" s="9">
        <v>1.39348708452568E-3</v>
      </c>
      <c r="E320" s="9">
        <v>1.39348708452568E-3</v>
      </c>
      <c r="F320" s="9">
        <v>2.5373488389212273E-2</v>
      </c>
      <c r="G320" s="9">
        <v>2.5373488389212273E-2</v>
      </c>
      <c r="H320" s="35">
        <v>1.3925170824172523E-3</v>
      </c>
    </row>
    <row r="321" spans="2:8" x14ac:dyDescent="0.35">
      <c r="B321" s="6">
        <v>45391</v>
      </c>
      <c r="C321" s="7" t="s">
        <v>10</v>
      </c>
      <c r="D321" s="9">
        <v>1.0908241886528201E-2</v>
      </c>
      <c r="E321" s="9">
        <v>1.0908241886528201E-2</v>
      </c>
      <c r="F321" s="9">
        <v>3.6558510424595125E-2</v>
      </c>
      <c r="G321" s="9">
        <v>3.6558510424595125E-2</v>
      </c>
      <c r="H321" s="35">
        <v>1.0849176163264447E-2</v>
      </c>
    </row>
    <row r="322" spans="2:8" x14ac:dyDescent="0.35">
      <c r="B322" s="6">
        <v>45392</v>
      </c>
      <c r="C322" s="7" t="s">
        <v>10</v>
      </c>
      <c r="D322" s="9">
        <v>-1.57007843463319E-2</v>
      </c>
      <c r="E322" s="9">
        <v>-1.57007843463319E-2</v>
      </c>
      <c r="F322" s="9">
        <v>2.028372879006346E-2</v>
      </c>
      <c r="G322" s="9">
        <v>2.028372879006346E-2</v>
      </c>
      <c r="H322" s="35">
        <v>-1.5825347204275524E-2</v>
      </c>
    </row>
    <row r="323" spans="2:8" x14ac:dyDescent="0.35">
      <c r="B323" s="6">
        <v>45393</v>
      </c>
      <c r="C323" s="7" t="s">
        <v>10</v>
      </c>
      <c r="D323" s="9">
        <v>5.94123527010108E-3</v>
      </c>
      <c r="E323" s="9">
        <v>5.94123527010108E-3</v>
      </c>
      <c r="F323" s="9">
        <v>2.6345474465061303E-2</v>
      </c>
      <c r="G323" s="9">
        <v>2.6345474465061303E-2</v>
      </c>
      <c r="H323" s="35">
        <v>5.9236557269367902E-3</v>
      </c>
    </row>
    <row r="324" spans="2:8" x14ac:dyDescent="0.35">
      <c r="B324" s="6">
        <v>45394</v>
      </c>
      <c r="C324" s="7" t="s">
        <v>10</v>
      </c>
      <c r="D324" s="9">
        <v>-2.14436000429199E-2</v>
      </c>
      <c r="E324" s="9">
        <v>-2.14436000429199E-2</v>
      </c>
      <c r="F324" s="9">
        <v>4.3369326047717482E-3</v>
      </c>
      <c r="G324" s="9">
        <v>4.3369326047717482E-3</v>
      </c>
      <c r="H324" s="35">
        <v>-2.1676854607203516E-2</v>
      </c>
    </row>
    <row r="325" spans="2:8" x14ac:dyDescent="0.35">
      <c r="B325" s="6">
        <v>45397</v>
      </c>
      <c r="C325" s="7" t="s">
        <v>10</v>
      </c>
      <c r="D325" s="9">
        <v>-1.11748622807875E-2</v>
      </c>
      <c r="E325" s="9">
        <v>-1.11748622807875E-2</v>
      </c>
      <c r="F325" s="9">
        <v>-6.8863943005951223E-3</v>
      </c>
      <c r="G325" s="9">
        <v>-6.8863943005951223E-3</v>
      </c>
      <c r="H325" s="35">
        <v>-1.1237770151195814E-2</v>
      </c>
    </row>
    <row r="326" spans="2:8" x14ac:dyDescent="0.35">
      <c r="B326" s="6">
        <v>45398</v>
      </c>
      <c r="C326" s="7" t="s">
        <v>10</v>
      </c>
      <c r="D326" s="9">
        <v>-6.7136744410295299E-3</v>
      </c>
      <c r="E326" s="9">
        <v>-6.7136744410295299E-3</v>
      </c>
      <c r="F326" s="9">
        <v>-1.3553835732217911E-2</v>
      </c>
      <c r="G326" s="9">
        <v>-1.3553835732217911E-2</v>
      </c>
      <c r="H326" s="35">
        <v>-6.7363125333589624E-3</v>
      </c>
    </row>
    <row r="327" spans="2:8" x14ac:dyDescent="0.35">
      <c r="B327" s="6">
        <v>45399</v>
      </c>
      <c r="C327" s="7" t="s">
        <v>10</v>
      </c>
      <c r="D327" s="9">
        <v>-5.7858460343653004E-3</v>
      </c>
      <c r="E327" s="9">
        <v>-5.7858460343653004E-3</v>
      </c>
      <c r="F327" s="9">
        <v>-1.9261261359861503E-2</v>
      </c>
      <c r="G327" s="9">
        <v>-1.9261261359861503E-2</v>
      </c>
      <c r="H327" s="35">
        <v>-5.8026488853508296E-3</v>
      </c>
    </row>
    <row r="328" spans="2:8" x14ac:dyDescent="0.35">
      <c r="B328" s="6">
        <v>45400</v>
      </c>
      <c r="C328" s="7" t="s">
        <v>10</v>
      </c>
      <c r="D328" s="9">
        <v>-9.8277579237214807E-3</v>
      </c>
      <c r="E328" s="9">
        <v>-9.8277579237214807E-3</v>
      </c>
      <c r="F328" s="9">
        <v>-2.8899724269632721E-2</v>
      </c>
      <c r="G328" s="9">
        <v>-2.8899724269632721E-2</v>
      </c>
      <c r="H328" s="35">
        <v>-9.8763690913653175E-3</v>
      </c>
    </row>
    <row r="329" spans="2:8" x14ac:dyDescent="0.35">
      <c r="B329" s="6">
        <v>45401</v>
      </c>
      <c r="C329" s="7" t="s">
        <v>10</v>
      </c>
      <c r="D329" s="9">
        <v>1.9894978182085901E-3</v>
      </c>
      <c r="E329" s="9">
        <v>1.9894978182085901E-3</v>
      </c>
      <c r="F329" s="9">
        <v>-2.6967722389805271E-2</v>
      </c>
      <c r="G329" s="9">
        <v>-2.6967722389805271E-2</v>
      </c>
      <c r="H329" s="35">
        <v>1.9875213883920723E-3</v>
      </c>
    </row>
    <row r="330" spans="2:8" x14ac:dyDescent="0.35">
      <c r="B330" s="6">
        <v>45404</v>
      </c>
      <c r="C330" s="7" t="s">
        <v>10</v>
      </c>
      <c r="D330" s="9">
        <v>1.0454264744597401E-2</v>
      </c>
      <c r="E330" s="9">
        <v>1.0454264744597401E-2</v>
      </c>
      <c r="F330" s="9">
        <v>-1.6795385354629766E-2</v>
      </c>
      <c r="G330" s="9">
        <v>-1.6795385354629766E-2</v>
      </c>
      <c r="H330" s="35">
        <v>1.039999681213408E-2</v>
      </c>
    </row>
    <row r="331" spans="2:8" x14ac:dyDescent="0.35">
      <c r="B331" s="6">
        <v>45405</v>
      </c>
      <c r="C331" s="7" t="s">
        <v>10</v>
      </c>
      <c r="D331" s="9">
        <v>1.2902801653818401E-2</v>
      </c>
      <c r="E331" s="9">
        <v>1.2902801653818401E-2</v>
      </c>
      <c r="F331" s="9">
        <v>-4.1092912267416404E-3</v>
      </c>
      <c r="G331" s="9">
        <v>-4.1092912267416404E-3</v>
      </c>
      <c r="H331" s="35">
        <v>1.2820269679558814E-2</v>
      </c>
    </row>
    <row r="332" spans="2:8" x14ac:dyDescent="0.35">
      <c r="B332" s="6">
        <v>45406</v>
      </c>
      <c r="C332" s="7" t="s">
        <v>10</v>
      </c>
      <c r="D332" s="9">
        <v>-2.54576487132954E-3</v>
      </c>
      <c r="E332" s="9">
        <v>-2.54576487132954E-3</v>
      </c>
      <c r="F332" s="9">
        <v>-6.6445948088200701E-3</v>
      </c>
      <c r="G332" s="9">
        <v>-6.6445948088200701E-3</v>
      </c>
      <c r="H332" s="35">
        <v>-2.5490108408733583E-3</v>
      </c>
    </row>
    <row r="333" spans="2:8" x14ac:dyDescent="0.35">
      <c r="B333" s="6">
        <v>45407</v>
      </c>
      <c r="C333" s="7" t="s">
        <v>10</v>
      </c>
      <c r="D333" s="9">
        <v>-1.24480027763986E-2</v>
      </c>
      <c r="E333" s="9">
        <v>-1.24480027763986E-2</v>
      </c>
      <c r="F333" s="9">
        <v>-1.9009885650590364E-2</v>
      </c>
      <c r="G333" s="9">
        <v>-1.9009885650590364E-2</v>
      </c>
      <c r="H333" s="35">
        <v>-1.2526128176802643E-2</v>
      </c>
    </row>
    <row r="334" spans="2:8" x14ac:dyDescent="0.35">
      <c r="B334" s="6">
        <v>45408</v>
      </c>
      <c r="C334" s="7" t="s">
        <v>10</v>
      </c>
      <c r="D334" s="9">
        <v>8.9930471665189901E-3</v>
      </c>
      <c r="E334" s="9">
        <v>8.9930471665189901E-3</v>
      </c>
      <c r="F334" s="9">
        <v>-1.0187795282357359E-2</v>
      </c>
      <c r="G334" s="9">
        <v>-1.0187795282357359E-2</v>
      </c>
      <c r="H334" s="35">
        <v>8.952850531594286E-3</v>
      </c>
    </row>
    <row r="335" spans="2:8" x14ac:dyDescent="0.35">
      <c r="B335" s="6">
        <v>45411</v>
      </c>
      <c r="C335" s="7" t="s">
        <v>10</v>
      </c>
      <c r="D335" s="9">
        <v>1.7160644920981301E-2</v>
      </c>
      <c r="E335" s="9">
        <v>1.7160644920981301E-2</v>
      </c>
      <c r="F335" s="9">
        <v>6.7980205012558859E-3</v>
      </c>
      <c r="G335" s="9">
        <v>6.7980205012558859E-3</v>
      </c>
      <c r="H335" s="35">
        <v>1.7015064199768958E-2</v>
      </c>
    </row>
    <row r="336" spans="2:8" x14ac:dyDescent="0.35">
      <c r="B336" s="6">
        <v>45412</v>
      </c>
      <c r="C336" s="7" t="s">
        <v>10</v>
      </c>
      <c r="D336" s="9">
        <v>-1.0243947676921E-2</v>
      </c>
      <c r="E336" s="9">
        <v>-1.0243947676921E-2</v>
      </c>
      <c r="F336" s="9">
        <v>-3.5155657419866371E-3</v>
      </c>
      <c r="G336" s="9">
        <v>-3.5155657419866371E-3</v>
      </c>
      <c r="H336" s="35">
        <v>-1.029677801274571E-2</v>
      </c>
    </row>
    <row r="337" spans="2:8" x14ac:dyDescent="0.35">
      <c r="B337" s="6">
        <v>45413</v>
      </c>
      <c r="C337" s="7" t="s">
        <v>10</v>
      </c>
      <c r="D337" s="9">
        <v>2.1785874738427899E-2</v>
      </c>
      <c r="E337" s="9">
        <v>2.1785874738427899E-2</v>
      </c>
      <c r="F337" s="9">
        <v>1.819371932155156E-2</v>
      </c>
      <c r="G337" s="9">
        <v>1.819371932155156E-2</v>
      </c>
      <c r="H337" s="35">
        <v>2.1551953918469188E-2</v>
      </c>
    </row>
    <row r="338" spans="2:8" x14ac:dyDescent="0.35">
      <c r="B338" s="6">
        <v>45414</v>
      </c>
      <c r="C338" s="7" t="s">
        <v>10</v>
      </c>
      <c r="D338" s="9">
        <v>1.2588731275026299E-2</v>
      </c>
      <c r="E338" s="9">
        <v>1.2588731275026299E-2</v>
      </c>
      <c r="F338" s="9">
        <v>3.1011486440010172E-2</v>
      </c>
      <c r="G338" s="9">
        <v>3.1011486440010172E-2</v>
      </c>
      <c r="H338" s="35">
        <v>1.2510151985948906E-2</v>
      </c>
    </row>
    <row r="339" spans="2:8" x14ac:dyDescent="0.35">
      <c r="B339" s="6">
        <v>45415</v>
      </c>
      <c r="C339" s="7" t="s">
        <v>10</v>
      </c>
      <c r="D339" s="9">
        <v>1.6623515342907999E-2</v>
      </c>
      <c r="E339" s="9">
        <v>1.6623515342907999E-2</v>
      </c>
      <c r="F339" s="9">
        <v>4.8150521703560045E-2</v>
      </c>
      <c r="G339" s="9">
        <v>4.8150521703560045E-2</v>
      </c>
      <c r="H339" s="35">
        <v>1.6486857125433123E-2</v>
      </c>
    </row>
    <row r="340" spans="2:8" x14ac:dyDescent="0.35">
      <c r="B340" s="6">
        <v>45418</v>
      </c>
      <c r="C340" s="7" t="s">
        <v>10</v>
      </c>
      <c r="D340" s="9">
        <v>-1.85695295262362E-3</v>
      </c>
      <c r="E340" s="9">
        <v>-1.85695295262362E-3</v>
      </c>
      <c r="F340" s="9">
        <v>4.6204155497488575E-2</v>
      </c>
      <c r="G340" s="9">
        <v>4.6204155497488575E-2</v>
      </c>
      <c r="H340" s="35">
        <v>-1.8586792271625648E-3</v>
      </c>
    </row>
    <row r="341" spans="2:8" x14ac:dyDescent="0.35">
      <c r="B341" s="6">
        <v>45419</v>
      </c>
      <c r="C341" s="7" t="s">
        <v>10</v>
      </c>
      <c r="D341" s="9">
        <v>2.1281415832000001E-3</v>
      </c>
      <c r="E341" s="9">
        <v>2.1281415832000001E-3</v>
      </c>
      <c r="F341" s="9">
        <v>4.8430626065319338E-2</v>
      </c>
      <c r="G341" s="9">
        <v>4.8430626065319338E-2</v>
      </c>
      <c r="H341" s="35">
        <v>2.1258802975565763E-3</v>
      </c>
    </row>
    <row r="342" spans="2:8" x14ac:dyDescent="0.35">
      <c r="B342" s="6">
        <v>45420</v>
      </c>
      <c r="C342" s="7" t="s">
        <v>10</v>
      </c>
      <c r="D342" s="9">
        <v>-5.6059059532210199E-3</v>
      </c>
      <c r="E342" s="9">
        <v>-5.6059059532210199E-3</v>
      </c>
      <c r="F342" s="9">
        <v>4.2553222577120575E-2</v>
      </c>
      <c r="G342" s="9">
        <v>4.2553222577120575E-2</v>
      </c>
      <c r="H342" s="35">
        <v>-5.6216780160856092E-3</v>
      </c>
    </row>
    <row r="343" spans="2:8" x14ac:dyDescent="0.35">
      <c r="B343" s="6">
        <v>45421</v>
      </c>
      <c r="C343" s="7" t="s">
        <v>10</v>
      </c>
      <c r="D343" s="9">
        <v>3.0443868318805701E-3</v>
      </c>
      <c r="E343" s="9">
        <v>3.0443868318805701E-3</v>
      </c>
      <c r="F343" s="9">
        <v>4.5727157879469127E-2</v>
      </c>
      <c r="G343" s="9">
        <v>4.5727157879469127E-2</v>
      </c>
      <c r="H343" s="35">
        <v>3.0397620702875858E-3</v>
      </c>
    </row>
    <row r="344" spans="2:8" x14ac:dyDescent="0.35">
      <c r="B344" s="6">
        <v>45422</v>
      </c>
      <c r="C344" s="7" t="s">
        <v>10</v>
      </c>
      <c r="D344" s="9">
        <v>-8.4802059805840803E-3</v>
      </c>
      <c r="E344" s="9">
        <v>-8.4802059805840803E-3</v>
      </c>
      <c r="F344" s="9">
        <v>3.6859176181160525E-2</v>
      </c>
      <c r="G344" s="9">
        <v>3.6859176181160525E-2</v>
      </c>
      <c r="H344" s="35">
        <v>-8.5163675105995353E-3</v>
      </c>
    </row>
    <row r="345" spans="2:8" x14ac:dyDescent="0.35">
      <c r="B345" s="6">
        <v>45425</v>
      </c>
      <c r="C345" s="7" t="s">
        <v>10</v>
      </c>
      <c r="D345" s="9">
        <v>1.29330659544779E-2</v>
      </c>
      <c r="E345" s="9">
        <v>1.29330659544779E-2</v>
      </c>
      <c r="F345" s="9">
        <v>5.0268944292217066E-2</v>
      </c>
      <c r="G345" s="9">
        <v>5.0268944292217066E-2</v>
      </c>
      <c r="H345" s="35">
        <v>1.2850148013875736E-2</v>
      </c>
    </row>
    <row r="346" spans="2:8" x14ac:dyDescent="0.35">
      <c r="B346" s="6">
        <v>45426</v>
      </c>
      <c r="C346" s="7" t="s">
        <v>10</v>
      </c>
      <c r="D346" s="9">
        <v>4.6528389159797802E-3</v>
      </c>
      <c r="E346" s="9">
        <v>4.6528389159797802E-3</v>
      </c>
      <c r="F346" s="9">
        <v>5.5155676508464868E-2</v>
      </c>
      <c r="G346" s="9">
        <v>5.5155676508464868E-2</v>
      </c>
      <c r="H346" s="35">
        <v>4.6420479205532151E-3</v>
      </c>
    </row>
    <row r="347" spans="2:8" x14ac:dyDescent="0.35">
      <c r="B347" s="6">
        <v>45427</v>
      </c>
      <c r="C347" s="7" t="s">
        <v>10</v>
      </c>
      <c r="D347" s="9">
        <v>1.1589576872607799E-2</v>
      </c>
      <c r="E347" s="9">
        <v>1.1589576872607799E-2</v>
      </c>
      <c r="F347" s="9">
        <v>6.7384484333928185E-2</v>
      </c>
      <c r="G347" s="9">
        <v>6.7384484333928185E-2</v>
      </c>
      <c r="H347" s="35">
        <v>1.152293215502286E-2</v>
      </c>
    </row>
    <row r="348" spans="2:8" x14ac:dyDescent="0.35">
      <c r="B348" s="6">
        <v>45428</v>
      </c>
      <c r="C348" s="7" t="s">
        <v>10</v>
      </c>
      <c r="D348" s="9">
        <v>8.3113735364668506E-5</v>
      </c>
      <c r="E348" s="9">
        <v>8.3113735364668506E-5</v>
      </c>
      <c r="F348" s="9">
        <v>6.7473198645491506E-2</v>
      </c>
      <c r="G348" s="9">
        <v>6.7473198645491506E-2</v>
      </c>
      <c r="H348" s="35">
        <v>8.3110281609602291E-5</v>
      </c>
    </row>
    <row r="349" spans="2:8" x14ac:dyDescent="0.35">
      <c r="B349" s="6">
        <v>45429</v>
      </c>
      <c r="C349" s="7" t="s">
        <v>10</v>
      </c>
      <c r="D349" s="9">
        <v>-4.4667921291032904E-3</v>
      </c>
      <c r="E349" s="9">
        <v>-4.4667921291032904E-3</v>
      </c>
      <c r="F349" s="9">
        <v>6.2705017763753146E-2</v>
      </c>
      <c r="G349" s="9">
        <v>6.2705017763753146E-2</v>
      </c>
      <c r="H349" s="35">
        <v>-4.4767980524362868E-3</v>
      </c>
    </row>
    <row r="350" spans="2:8" x14ac:dyDescent="0.35">
      <c r="B350" s="6">
        <v>45432</v>
      </c>
      <c r="C350" s="7" t="s">
        <v>10</v>
      </c>
      <c r="D350" s="9">
        <v>7.9923843382650895E-3</v>
      </c>
      <c r="E350" s="9">
        <v>7.9923843382650895E-3</v>
      </c>
      <c r="F350" s="9">
        <v>7.1198564703923717E-2</v>
      </c>
      <c r="G350" s="9">
        <v>7.1198564703923717E-2</v>
      </c>
      <c r="H350" s="35">
        <v>7.9606144006608478E-3</v>
      </c>
    </row>
    <row r="351" spans="2:8" x14ac:dyDescent="0.35">
      <c r="B351" s="6">
        <v>45433</v>
      </c>
      <c r="C351" s="7" t="s">
        <v>10</v>
      </c>
      <c r="D351" s="9">
        <v>-3.5560827141704401E-3</v>
      </c>
      <c r="E351" s="9">
        <v>-3.5560827141704401E-3</v>
      </c>
      <c r="F351" s="9">
        <v>6.7389294004535971E-2</v>
      </c>
      <c r="G351" s="9">
        <v>6.7389294004535971E-2</v>
      </c>
      <c r="H351" s="35">
        <v>-3.5624206061452353E-3</v>
      </c>
    </row>
    <row r="352" spans="2:8" x14ac:dyDescent="0.35">
      <c r="B352" s="6">
        <v>45434</v>
      </c>
      <c r="C352" s="7" t="s">
        <v>10</v>
      </c>
      <c r="D352" s="9">
        <v>9.0488286382287494E-3</v>
      </c>
      <c r="E352" s="9">
        <v>9.0488286382287494E-3</v>
      </c>
      <c r="F352" s="9">
        <v>7.7047916816262774E-2</v>
      </c>
      <c r="G352" s="9">
        <v>7.7047916816262774E-2</v>
      </c>
      <c r="H352" s="35">
        <v>9.008133300889315E-3</v>
      </c>
    </row>
    <row r="353" spans="2:8" x14ac:dyDescent="0.35">
      <c r="B353" s="6">
        <v>45435</v>
      </c>
      <c r="C353" s="7" t="s">
        <v>10</v>
      </c>
      <c r="D353" s="9">
        <v>-1.6807756855413001E-2</v>
      </c>
      <c r="E353" s="9">
        <v>-1.6807756855413001E-2</v>
      </c>
      <c r="F353" s="9">
        <v>5.8945157308786023E-2</v>
      </c>
      <c r="G353" s="9">
        <v>5.8945157308786023E-2</v>
      </c>
      <c r="H353" s="35">
        <v>-1.6950610158720899E-2</v>
      </c>
    </row>
    <row r="354" spans="2:8" x14ac:dyDescent="0.35">
      <c r="B354" s="6">
        <v>45436</v>
      </c>
      <c r="C354" s="7" t="s">
        <v>10</v>
      </c>
      <c r="D354" s="9">
        <v>7.7887439065509804E-4</v>
      </c>
      <c r="E354" s="9">
        <v>7.7887439065509804E-4</v>
      </c>
      <c r="F354" s="9">
        <v>5.9769942572922119E-2</v>
      </c>
      <c r="G354" s="9">
        <v>5.9769942572922119E-2</v>
      </c>
      <c r="H354" s="35">
        <v>7.7857122540517037E-4</v>
      </c>
    </row>
    <row r="355" spans="2:8" x14ac:dyDescent="0.35">
      <c r="B355" s="6">
        <v>45440</v>
      </c>
      <c r="C355" s="7" t="s">
        <v>10</v>
      </c>
      <c r="D355" s="9">
        <v>-1.2759978914361E-2</v>
      </c>
      <c r="E355" s="9">
        <v>-1.2759978914361E-2</v>
      </c>
      <c r="F355" s="9">
        <v>4.6247300451618178E-2</v>
      </c>
      <c r="G355" s="9">
        <v>4.6247300451618178E-2</v>
      </c>
      <c r="H355" s="35">
        <v>-1.2842086655128773E-2</v>
      </c>
    </row>
    <row r="356" spans="2:8" x14ac:dyDescent="0.35">
      <c r="B356" s="6">
        <v>45441</v>
      </c>
      <c r="C356" s="7" t="s">
        <v>10</v>
      </c>
      <c r="D356" s="9">
        <v>-1.18844917237094E-2</v>
      </c>
      <c r="E356" s="9">
        <v>-1.18844917237094E-2</v>
      </c>
      <c r="F356" s="9">
        <v>3.3813183068447605E-2</v>
      </c>
      <c r="G356" s="9">
        <v>3.3813183068447605E-2</v>
      </c>
      <c r="H356" s="35">
        <v>-1.1955676857031812E-2</v>
      </c>
    </row>
    <row r="357" spans="2:8" x14ac:dyDescent="0.35">
      <c r="B357" s="6">
        <v>45442</v>
      </c>
      <c r="C357" s="7" t="s">
        <v>10</v>
      </c>
      <c r="D357" s="9">
        <v>1.7528601677717699E-2</v>
      </c>
      <c r="E357" s="9">
        <v>1.7528601677717699E-2</v>
      </c>
      <c r="F357" s="9">
        <v>5.1934482563627871E-2</v>
      </c>
      <c r="G357" s="9">
        <v>5.1934482563627871E-2</v>
      </c>
      <c r="H357" s="35">
        <v>1.7376747696511836E-2</v>
      </c>
    </row>
    <row r="358" spans="2:8" x14ac:dyDescent="0.35">
      <c r="B358" s="6">
        <v>45443</v>
      </c>
      <c r="C358" s="7" t="s">
        <v>10</v>
      </c>
      <c r="D358" s="9">
        <v>3.1248646689717601E-3</v>
      </c>
      <c r="E358" s="9">
        <v>3.1248646689717601E-3</v>
      </c>
      <c r="F358" s="9">
        <v>5.5221635462263885E-2</v>
      </c>
      <c r="G358" s="9">
        <v>5.5221635462263885E-2</v>
      </c>
      <c r="H358" s="35">
        <v>3.1199924267981826E-3</v>
      </c>
    </row>
    <row r="359" spans="2:8" x14ac:dyDescent="0.35">
      <c r="B359" s="6">
        <v>45446</v>
      </c>
      <c r="C359" s="7" t="s">
        <v>10</v>
      </c>
      <c r="D359" s="9">
        <v>1.5093953784281E-2</v>
      </c>
      <c r="E359" s="9">
        <v>1.5093953784281E-2</v>
      </c>
      <c r="F359" s="9">
        <v>7.1149102060104719E-2</v>
      </c>
      <c r="G359" s="9">
        <v>7.1149102060104719E-2</v>
      </c>
      <c r="H359" s="35">
        <v>1.4981173514557453E-2</v>
      </c>
    </row>
    <row r="360" spans="2:8" x14ac:dyDescent="0.35">
      <c r="B360" s="6">
        <v>45447</v>
      </c>
      <c r="C360" s="7" t="s">
        <v>10</v>
      </c>
      <c r="D360" s="9">
        <v>-1.4840415173485999E-3</v>
      </c>
      <c r="E360" s="9">
        <v>-1.4840415173485999E-3</v>
      </c>
      <c r="F360" s="9">
        <v>6.9559472321376825E-2</v>
      </c>
      <c r="G360" s="9">
        <v>6.9559472321376825E-2</v>
      </c>
      <c r="H360" s="35">
        <v>-1.4851437976493361E-3</v>
      </c>
    </row>
    <row r="361" spans="2:8" x14ac:dyDescent="0.35">
      <c r="B361" s="6">
        <v>45448</v>
      </c>
      <c r="C361" s="7" t="s">
        <v>10</v>
      </c>
      <c r="D361" s="9">
        <v>1.94380672061692E-2</v>
      </c>
      <c r="E361" s="9">
        <v>1.94380672061692E-2</v>
      </c>
      <c r="F361" s="9">
        <v>9.0349641225354604E-2</v>
      </c>
      <c r="G361" s="9">
        <v>9.0349641225354604E-2</v>
      </c>
      <c r="H361" s="35">
        <v>1.9251560983270275E-2</v>
      </c>
    </row>
    <row r="362" spans="2:8" x14ac:dyDescent="0.35">
      <c r="B362" s="6">
        <v>45449</v>
      </c>
      <c r="C362" s="7" t="s">
        <v>10</v>
      </c>
      <c r="D362" s="9">
        <v>-3.9603307238983403E-3</v>
      </c>
      <c r="E362" s="9">
        <v>-3.9603307238983403E-3</v>
      </c>
      <c r="F362" s="9">
        <v>8.6031496041418354E-2</v>
      </c>
      <c r="G362" s="9">
        <v>8.6031496041418354E-2</v>
      </c>
      <c r="H362" s="35">
        <v>-3.9681936002125559E-3</v>
      </c>
    </row>
    <row r="363" spans="2:8" x14ac:dyDescent="0.35">
      <c r="B363" s="6">
        <v>45450</v>
      </c>
      <c r="C363" s="7" t="s">
        <v>10</v>
      </c>
      <c r="D363" s="9">
        <v>-6.1484593528332698E-3</v>
      </c>
      <c r="E363" s="9">
        <v>-6.1484593528332698E-3</v>
      </c>
      <c r="F363" s="9">
        <v>7.9354075532110935E-2</v>
      </c>
      <c r="G363" s="9">
        <v>7.9354075532110935E-2</v>
      </c>
      <c r="H363" s="35">
        <v>-6.1674389659520067E-3</v>
      </c>
    </row>
    <row r="364" spans="2:8" x14ac:dyDescent="0.35">
      <c r="B364" s="6">
        <v>45453</v>
      </c>
      <c r="C364" s="7" t="s">
        <v>10</v>
      </c>
      <c r="D364" s="9">
        <v>2.6811854971634801E-3</v>
      </c>
      <c r="E364" s="9">
        <v>2.6811854971634801E-3</v>
      </c>
      <c r="F364" s="9">
        <v>8.2248024025731947E-2</v>
      </c>
      <c r="G364" s="9">
        <v>8.2248024025731947E-2</v>
      </c>
      <c r="H364" s="35">
        <v>2.6775975312323761E-3</v>
      </c>
    </row>
    <row r="365" spans="2:8" x14ac:dyDescent="0.35">
      <c r="B365" s="6">
        <v>45454</v>
      </c>
      <c r="C365" s="7" t="s">
        <v>10</v>
      </c>
      <c r="D365" s="9">
        <v>-1.8831098340444099E-4</v>
      </c>
      <c r="E365" s="9">
        <v>-1.8831098340444099E-4</v>
      </c>
      <c r="F365" s="9">
        <v>8.2044224836040236E-2</v>
      </c>
      <c r="G365" s="9">
        <v>8.2044224836040236E-2</v>
      </c>
      <c r="H365" s="35">
        <v>-1.8832871614388836E-4</v>
      </c>
    </row>
    <row r="366" spans="2:8" x14ac:dyDescent="0.35">
      <c r="B366" s="6">
        <v>45455</v>
      </c>
      <c r="C366" s="7" t="s">
        <v>10</v>
      </c>
      <c r="D366" s="9">
        <v>7.2878997376446004E-3</v>
      </c>
      <c r="E366" s="9">
        <v>7.2878997376446004E-3</v>
      </c>
      <c r="F366" s="9">
        <v>8.9930054658342806E-2</v>
      </c>
      <c r="G366" s="9">
        <v>8.9930054658342806E-2</v>
      </c>
      <c r="H366" s="35">
        <v>7.2614713237568436E-3</v>
      </c>
    </row>
    <row r="367" spans="2:8" x14ac:dyDescent="0.35">
      <c r="B367" s="6">
        <v>45456</v>
      </c>
      <c r="C367" s="7" t="s">
        <v>10</v>
      </c>
      <c r="D367" s="9">
        <v>-1.5134683282554101E-3</v>
      </c>
      <c r="E367" s="9">
        <v>-1.5134683282554101E-3</v>
      </c>
      <c r="F367" s="9">
        <v>8.8280480040603848E-2</v>
      </c>
      <c r="G367" s="9">
        <v>8.8280480040603848E-2</v>
      </c>
      <c r="H367" s="35">
        <v>-1.5146147783356345E-3</v>
      </c>
    </row>
    <row r="368" spans="2:8" x14ac:dyDescent="0.35">
      <c r="B368" s="6">
        <v>45457</v>
      </c>
      <c r="C368" s="7" t="s">
        <v>10</v>
      </c>
      <c r="D368" s="9">
        <v>-7.0340356953230397E-3</v>
      </c>
      <c r="E368" s="9">
        <v>-7.0340356953230397E-3</v>
      </c>
      <c r="F368" s="9">
        <v>8.0625476297474963E-2</v>
      </c>
      <c r="G368" s="9">
        <v>8.0625476297474963E-2</v>
      </c>
      <c r="H368" s="35">
        <v>-7.0588911490829936E-3</v>
      </c>
    </row>
    <row r="369" spans="2:8" x14ac:dyDescent="0.35">
      <c r="B369" s="6">
        <v>45460</v>
      </c>
      <c r="C369" s="7" t="s">
        <v>10</v>
      </c>
      <c r="D369" s="9">
        <v>-7.3947907807166303E-3</v>
      </c>
      <c r="E369" s="9">
        <v>-7.3947907807166303E-3</v>
      </c>
      <c r="F369" s="9">
        <v>7.2634476987943009E-2</v>
      </c>
      <c r="G369" s="9">
        <v>7.2634476987943009E-2</v>
      </c>
      <c r="H369" s="35">
        <v>-7.4222677876780181E-3</v>
      </c>
    </row>
    <row r="370" spans="2:8" x14ac:dyDescent="0.35">
      <c r="B370" s="6">
        <v>45461</v>
      </c>
      <c r="C370" s="7" t="s">
        <v>10</v>
      </c>
      <c r="D370" s="9">
        <v>-9.2732003391596401E-3</v>
      </c>
      <c r="E370" s="9">
        <v>-9.2732003391596401E-3</v>
      </c>
      <c r="F370" s="9">
        <v>6.2687722592144057E-2</v>
      </c>
      <c r="G370" s="9">
        <v>6.2687722592144057E-2</v>
      </c>
      <c r="H370" s="35">
        <v>-9.3164641316829614E-3</v>
      </c>
    </row>
    <row r="371" spans="2:8" x14ac:dyDescent="0.35">
      <c r="B371" s="6">
        <v>45463</v>
      </c>
      <c r="C371" s="7" t="s">
        <v>10</v>
      </c>
      <c r="D371" s="9">
        <v>1.0308416997484301E-2</v>
      </c>
      <c r="E371" s="9">
        <v>1.0308416997484301E-2</v>
      </c>
      <c r="F371" s="9">
        <v>7.3642350774730803E-2</v>
      </c>
      <c r="G371" s="9">
        <v>7.3642350774730803E-2</v>
      </c>
      <c r="H371" s="35">
        <v>1.0255647603111149E-2</v>
      </c>
    </row>
    <row r="372" spans="2:8" x14ac:dyDescent="0.35">
      <c r="B372" s="6">
        <v>45464</v>
      </c>
      <c r="C372" s="7" t="s">
        <v>10</v>
      </c>
      <c r="D372" s="9">
        <v>1.46600299056564E-2</v>
      </c>
      <c r="E372" s="9">
        <v>1.46600299056564E-2</v>
      </c>
      <c r="F372" s="9">
        <v>8.9381979745067452E-2</v>
      </c>
      <c r="G372" s="9">
        <v>8.9381979745067452E-2</v>
      </c>
      <c r="H372" s="35">
        <v>1.4553610481084545E-2</v>
      </c>
    </row>
    <row r="373" spans="2:8" x14ac:dyDescent="0.35">
      <c r="B373" s="6">
        <v>45467</v>
      </c>
      <c r="C373" s="7" t="s">
        <v>10</v>
      </c>
      <c r="D373" s="9">
        <v>2.08297537701061E-2</v>
      </c>
      <c r="E373" s="9">
        <v>2.08297537701061E-2</v>
      </c>
      <c r="F373" s="9">
        <v>0.11207353814474796</v>
      </c>
      <c r="G373" s="9">
        <v>0.11207353814474796</v>
      </c>
      <c r="H373" s="35">
        <v>2.0615780685671381E-2</v>
      </c>
    </row>
    <row r="374" spans="2:8" x14ac:dyDescent="0.35">
      <c r="B374" s="6">
        <v>45468</v>
      </c>
      <c r="C374" s="7" t="s">
        <v>10</v>
      </c>
      <c r="D374" s="9">
        <v>-2.0758617415659198E-3</v>
      </c>
      <c r="E374" s="9">
        <v>-2.0758617415659198E-3</v>
      </c>
      <c r="F374" s="9">
        <v>0.10976502723310544</v>
      </c>
      <c r="G374" s="9">
        <v>0.10976502723310544</v>
      </c>
      <c r="H374" s="35">
        <v>-2.0780193289701774E-3</v>
      </c>
    </row>
    <row r="375" spans="2:8" x14ac:dyDescent="0.35">
      <c r="B375" s="6">
        <v>45469</v>
      </c>
      <c r="C375" s="7" t="s">
        <v>10</v>
      </c>
      <c r="D375" s="9">
        <v>-1.4342862085369499E-2</v>
      </c>
      <c r="E375" s="9">
        <v>-1.4342862085369499E-2</v>
      </c>
      <c r="F375" s="9">
        <v>9.3847820500334578E-2</v>
      </c>
      <c r="G375" s="9">
        <v>9.3847820500334578E-2</v>
      </c>
      <c r="H375" s="35">
        <v>-1.444671516141024E-2</v>
      </c>
    </row>
    <row r="376" spans="2:8" x14ac:dyDescent="0.35">
      <c r="B376" s="6">
        <v>45470</v>
      </c>
      <c r="C376" s="7" t="s">
        <v>10</v>
      </c>
      <c r="D376" s="9">
        <v>1.04206201036788E-3</v>
      </c>
      <c r="E376" s="9">
        <v>1.04206201036788E-3</v>
      </c>
      <c r="F376" s="9">
        <v>9.4987677759201805E-2</v>
      </c>
      <c r="G376" s="9">
        <v>9.4987677759201805E-2</v>
      </c>
      <c r="H376" s="35">
        <v>1.0415194406460295E-3</v>
      </c>
    </row>
    <row r="377" spans="2:8" x14ac:dyDescent="0.35">
      <c r="B377" s="6">
        <v>45471</v>
      </c>
      <c r="C377" s="7" t="s">
        <v>10</v>
      </c>
      <c r="D377" s="9">
        <v>-3.8877760781238502E-3</v>
      </c>
      <c r="E377" s="9">
        <v>-3.8877760781238502E-3</v>
      </c>
      <c r="F377" s="9">
        <v>9.073061085976919E-2</v>
      </c>
      <c r="G377" s="9">
        <v>9.073061085976919E-2</v>
      </c>
      <c r="H377" s="35">
        <v>-3.8953531244894919E-3</v>
      </c>
    </row>
    <row r="378" spans="2:8" x14ac:dyDescent="0.35">
      <c r="B378" s="6">
        <v>45474</v>
      </c>
      <c r="C378" s="7" t="s">
        <v>10</v>
      </c>
      <c r="D378" s="9">
        <v>3.4761334835251299E-4</v>
      </c>
      <c r="E378" s="9">
        <v>3.4761334835251299E-4</v>
      </c>
      <c r="F378" s="9">
        <v>9.110976337956056E-2</v>
      </c>
      <c r="G378" s="9">
        <v>9.110976337956056E-2</v>
      </c>
      <c r="H378" s="35">
        <v>3.4755294483009214E-4</v>
      </c>
    </row>
    <row r="379" spans="2:8" x14ac:dyDescent="0.35">
      <c r="B379" s="6">
        <v>45475</v>
      </c>
      <c r="C379" s="7" t="s">
        <v>10</v>
      </c>
      <c r="D379" s="9">
        <v>-1.09438161720394E-2</v>
      </c>
      <c r="E379" s="9">
        <v>-1.09438161720394E-2</v>
      </c>
      <c r="F379" s="9">
        <v>7.9168858705617184E-2</v>
      </c>
      <c r="G379" s="9">
        <v>7.9168858705617184E-2</v>
      </c>
      <c r="H379" s="35">
        <v>-1.1004140249055659E-2</v>
      </c>
    </row>
    <row r="380" spans="2:8" x14ac:dyDescent="0.35">
      <c r="B380" s="6">
        <v>45476</v>
      </c>
      <c r="C380" s="7" t="s">
        <v>10</v>
      </c>
      <c r="D380" s="9">
        <v>-7.58044072846946E-3</v>
      </c>
      <c r="E380" s="9">
        <v>-7.58044072846946E-3</v>
      </c>
      <c r="F380" s="9">
        <v>7.0988283136189212E-2</v>
      </c>
      <c r="G380" s="9">
        <v>7.0988283136189212E-2</v>
      </c>
      <c r="H380" s="35">
        <v>-7.6093182983225476E-3</v>
      </c>
    </row>
    <row r="381" spans="2:8" x14ac:dyDescent="0.35">
      <c r="B381" s="6">
        <v>45478</v>
      </c>
      <c r="C381" s="7" t="s">
        <v>10</v>
      </c>
      <c r="D381" s="9">
        <v>9.3613951122671103E-3</v>
      </c>
      <c r="E381" s="9">
        <v>9.3613951122671103E-3</v>
      </c>
      <c r="F381" s="9">
        <v>8.101422761523569E-2</v>
      </c>
      <c r="G381" s="9">
        <v>8.101422761523569E-2</v>
      </c>
      <c r="H381" s="35">
        <v>9.3178488115016073E-3</v>
      </c>
    </row>
    <row r="382" spans="2:8" x14ac:dyDescent="0.35">
      <c r="B382" s="6">
        <v>45481</v>
      </c>
      <c r="C382" s="7" t="s">
        <v>10</v>
      </c>
      <c r="D382" s="9">
        <v>1.33369147063459E-2</v>
      </c>
      <c r="E382" s="9">
        <v>1.33369147063459E-2</v>
      </c>
      <c r="F382" s="9">
        <v>9.5431622165286445E-2</v>
      </c>
      <c r="G382" s="9">
        <v>9.5431622165286445E-2</v>
      </c>
      <c r="H382" s="35">
        <v>1.3248760993458541E-2</v>
      </c>
    </row>
    <row r="383" spans="2:8" x14ac:dyDescent="0.35">
      <c r="B383" s="6">
        <v>45482</v>
      </c>
      <c r="C383" s="7" t="s">
        <v>10</v>
      </c>
      <c r="D383" s="9">
        <v>9.6191129210689997E-3</v>
      </c>
      <c r="E383" s="9">
        <v>9.6191129210689997E-3</v>
      </c>
      <c r="F383" s="9">
        <v>0.10596870263620417</v>
      </c>
      <c r="G383" s="9">
        <v>0.10596870263620417</v>
      </c>
      <c r="H383" s="35">
        <v>9.5731438073435298E-3</v>
      </c>
    </row>
    <row r="384" spans="2:8" x14ac:dyDescent="0.35">
      <c r="B384" s="6">
        <v>45483</v>
      </c>
      <c r="C384" s="7" t="s">
        <v>10</v>
      </c>
      <c r="D384" s="9">
        <v>1.34525839810101E-2</v>
      </c>
      <c r="E384" s="9">
        <v>1.34525839810101E-2</v>
      </c>
      <c r="F384" s="9">
        <v>0.12084683948878649</v>
      </c>
      <c r="G384" s="9">
        <v>0.12084683948878649</v>
      </c>
      <c r="H384" s="35">
        <v>1.336290138629629E-2</v>
      </c>
    </row>
    <row r="385" spans="2:8" x14ac:dyDescent="0.35">
      <c r="B385" s="6">
        <v>45484</v>
      </c>
      <c r="C385" s="7" t="s">
        <v>10</v>
      </c>
      <c r="D385" s="9">
        <v>2.24673395021819E-2</v>
      </c>
      <c r="E385" s="9">
        <v>2.24673395021819E-2</v>
      </c>
      <c r="F385" s="9">
        <v>0.14602928596152864</v>
      </c>
      <c r="G385" s="9">
        <v>0.14602928596152864</v>
      </c>
      <c r="H385" s="35">
        <v>2.2218666617512345E-2</v>
      </c>
    </row>
    <row r="386" spans="2:8" x14ac:dyDescent="0.35">
      <c r="B386" s="6">
        <v>45485</v>
      </c>
      <c r="C386" s="7" t="s">
        <v>10</v>
      </c>
      <c r="D386" s="9">
        <v>7.0334944259714104E-3</v>
      </c>
      <c r="E386" s="9">
        <v>7.0334944259714104E-3</v>
      </c>
      <c r="F386" s="9">
        <v>0.15408987655633899</v>
      </c>
      <c r="G386" s="9">
        <v>0.15408987655633899</v>
      </c>
      <c r="H386" s="35">
        <v>7.0088747780783526E-3</v>
      </c>
    </row>
    <row r="387" spans="2:8" x14ac:dyDescent="0.35">
      <c r="B387" s="6">
        <v>45488</v>
      </c>
      <c r="C387" s="7" t="s">
        <v>10</v>
      </c>
      <c r="D387" s="9">
        <v>2.3392129016428401E-3</v>
      </c>
      <c r="E387" s="9">
        <v>2.3392129016428401E-3</v>
      </c>
      <c r="F387" s="9">
        <v>0.15678953848523491</v>
      </c>
      <c r="G387" s="9">
        <v>0.15678953848523491</v>
      </c>
      <c r="H387" s="35">
        <v>2.3364812023313705E-3</v>
      </c>
    </row>
    <row r="388" spans="2:8" x14ac:dyDescent="0.35">
      <c r="B388" s="6">
        <v>45489</v>
      </c>
      <c r="C388" s="7" t="s">
        <v>10</v>
      </c>
      <c r="D388" s="9">
        <v>1.66287734205155E-2</v>
      </c>
      <c r="E388" s="9">
        <v>1.66287734205155E-2</v>
      </c>
      <c r="F388" s="9">
        <v>0.17602552961592854</v>
      </c>
      <c r="G388" s="9">
        <v>0.17602552961592854</v>
      </c>
      <c r="H388" s="35">
        <v>1.6492029211196028E-2</v>
      </c>
    </row>
    <row r="389" spans="2:8" x14ac:dyDescent="0.35">
      <c r="B389" s="6">
        <v>45490</v>
      </c>
      <c r="C389" s="7" t="s">
        <v>10</v>
      </c>
      <c r="D389" s="9">
        <v>-9.9801661796634408E-3</v>
      </c>
      <c r="E389" s="9">
        <v>-9.9801661796634408E-3</v>
      </c>
      <c r="F389" s="9">
        <v>0.16428859939883478</v>
      </c>
      <c r="G389" s="9">
        <v>0.16428859939883478</v>
      </c>
      <c r="H389" s="35">
        <v>-1.0030301892226486E-2</v>
      </c>
    </row>
    <row r="390" spans="2:8" x14ac:dyDescent="0.35">
      <c r="B390" s="6">
        <v>45491</v>
      </c>
      <c r="C390" s="7" t="s">
        <v>10</v>
      </c>
      <c r="D390" s="9">
        <v>-1.46007366323085E-2</v>
      </c>
      <c r="E390" s="9">
        <v>-1.46007366323085E-2</v>
      </c>
      <c r="F390" s="9">
        <v>0.14728912819501305</v>
      </c>
      <c r="G390" s="9">
        <v>0.14728912819501305</v>
      </c>
      <c r="H390" s="35">
        <v>-1.4708376419041012E-2</v>
      </c>
    </row>
    <row r="391" spans="2:8" x14ac:dyDescent="0.35">
      <c r="B391" s="6">
        <v>45492</v>
      </c>
      <c r="C391" s="7" t="s">
        <v>10</v>
      </c>
      <c r="D391" s="9">
        <v>-9.8306410623783501E-4</v>
      </c>
      <c r="E391" s="9">
        <v>-9.8306410623783501E-4</v>
      </c>
      <c r="F391" s="9">
        <v>0.14616126943360763</v>
      </c>
      <c r="G391" s="9">
        <v>0.14616126943360763</v>
      </c>
      <c r="H391" s="35">
        <v>-9.8354763067263454E-4</v>
      </c>
    </row>
    <row r="392" spans="2:8" x14ac:dyDescent="0.35">
      <c r="B392" s="6">
        <v>45495</v>
      </c>
      <c r="C392" s="7" t="s">
        <v>10</v>
      </c>
      <c r="D392" s="9">
        <v>1.22668944594841E-2</v>
      </c>
      <c r="E392" s="9">
        <v>1.22668944594841E-2</v>
      </c>
      <c r="F392" s="9">
        <v>0.16022110875929796</v>
      </c>
      <c r="G392" s="9">
        <v>0.16022110875929796</v>
      </c>
      <c r="H392" s="35">
        <v>1.2192265797756461E-2</v>
      </c>
    </row>
    <row r="393" spans="2:8" x14ac:dyDescent="0.35">
      <c r="B393" s="6">
        <v>45496</v>
      </c>
      <c r="C393" s="7" t="s">
        <v>10</v>
      </c>
      <c r="D393" s="9">
        <v>-4.1200779340043996E-3</v>
      </c>
      <c r="E393" s="9">
        <v>-4.1200779340043996E-3</v>
      </c>
      <c r="F393" s="9">
        <v>0.15544090737053273</v>
      </c>
      <c r="G393" s="9">
        <v>0.15544090737053273</v>
      </c>
      <c r="H393" s="35">
        <v>-4.1285888402040243E-3</v>
      </c>
    </row>
    <row r="394" spans="2:8" x14ac:dyDescent="0.35">
      <c r="B394" s="6">
        <v>45497</v>
      </c>
      <c r="C394" s="7" t="s">
        <v>10</v>
      </c>
      <c r="D394" s="9">
        <v>1.16304668386317E-4</v>
      </c>
      <c r="E394" s="9">
        <v>1.16304668386317E-4</v>
      </c>
      <c r="F394" s="9">
        <v>0.15557529054210439</v>
      </c>
      <c r="G394" s="9">
        <v>0.15557529054210439</v>
      </c>
      <c r="H394" s="35">
        <v>1.1629790552272137E-4</v>
      </c>
    </row>
    <row r="395" spans="2:8" x14ac:dyDescent="0.35">
      <c r="B395" s="6">
        <v>45498</v>
      </c>
      <c r="C395" s="7" t="s">
        <v>10</v>
      </c>
      <c r="D395" s="9">
        <v>1.13674592461843E-2</v>
      </c>
      <c r="E395" s="9">
        <v>1.13674592461843E-2</v>
      </c>
      <c r="F395" s="9">
        <v>0.16871124556323935</v>
      </c>
      <c r="G395" s="9">
        <v>0.16871124556323935</v>
      </c>
      <c r="H395" s="35">
        <v>1.1303335175600915E-2</v>
      </c>
    </row>
    <row r="396" spans="2:8" x14ac:dyDescent="0.35">
      <c r="B396" s="6">
        <v>45499</v>
      </c>
      <c r="C396" s="7" t="s">
        <v>10</v>
      </c>
      <c r="D396" s="9">
        <v>5.39193140379107E-3</v>
      </c>
      <c r="E396" s="9">
        <v>5.39193140379107E-3</v>
      </c>
      <c r="F396" s="9">
        <v>0.17501285643015563</v>
      </c>
      <c r="G396" s="9">
        <v>0.17501285643015563</v>
      </c>
      <c r="H396" s="35">
        <v>5.3774469843293265E-3</v>
      </c>
    </row>
    <row r="397" spans="2:8" x14ac:dyDescent="0.35">
      <c r="B397" s="6">
        <v>45502</v>
      </c>
      <c r="C397" s="7" t="s">
        <v>10</v>
      </c>
      <c r="D397" s="9">
        <v>-4.5338507096905501E-3</v>
      </c>
      <c r="E397" s="9">
        <v>-4.5338507096905501E-3</v>
      </c>
      <c r="F397" s="9">
        <v>0.16968552355713418</v>
      </c>
      <c r="G397" s="9">
        <v>0.16968552355713418</v>
      </c>
      <c r="H397" s="35">
        <v>-4.5441597824855415E-3</v>
      </c>
    </row>
    <row r="398" spans="2:8" x14ac:dyDescent="0.35">
      <c r="B398" s="6">
        <v>45503</v>
      </c>
      <c r="C398" s="7" t="s">
        <v>10</v>
      </c>
      <c r="D398" s="9">
        <v>-4.7822251400201502E-3</v>
      </c>
      <c r="E398" s="9">
        <v>-4.7822251400201502E-3</v>
      </c>
      <c r="F398" s="9">
        <v>0.16409182404046163</v>
      </c>
      <c r="G398" s="9">
        <v>0.16409182404046163</v>
      </c>
      <c r="H398" s="35">
        <v>-4.7936965659047277E-3</v>
      </c>
    </row>
    <row r="399" spans="2:8" x14ac:dyDescent="0.35">
      <c r="B399" s="6">
        <v>45504</v>
      </c>
      <c r="C399" s="7" t="s">
        <v>10</v>
      </c>
      <c r="D399" s="9">
        <v>-1.51103176877294E-3</v>
      </c>
      <c r="E399" s="9">
        <v>-1.51103176877294E-3</v>
      </c>
      <c r="F399" s="9">
        <v>0.16233284431256756</v>
      </c>
      <c r="G399" s="9">
        <v>0.16233284431256756</v>
      </c>
      <c r="H399" s="35">
        <v>-1.5121745285854309E-3</v>
      </c>
    </row>
    <row r="400" spans="2:8" x14ac:dyDescent="0.35">
      <c r="B400" s="6">
        <v>45505</v>
      </c>
      <c r="C400" s="7" t="s">
        <v>10</v>
      </c>
      <c r="D400" s="9">
        <v>-7.0339371467030998E-3</v>
      </c>
      <c r="E400" s="9">
        <v>-7.0339371467030998E-3</v>
      </c>
      <c r="F400" s="9">
        <v>0.15415706814212427</v>
      </c>
      <c r="G400" s="9">
        <v>0.15415706814212427</v>
      </c>
      <c r="H400" s="35">
        <v>-7.0587919023629812E-3</v>
      </c>
    </row>
    <row r="401" spans="2:8" x14ac:dyDescent="0.35">
      <c r="B401" s="6">
        <v>45506</v>
      </c>
      <c r="C401" s="7" t="s">
        <v>10</v>
      </c>
      <c r="D401" s="9">
        <v>-1.7286296752945601E-2</v>
      </c>
      <c r="E401" s="9">
        <v>-1.7286296752945601E-2</v>
      </c>
      <c r="F401" s="9">
        <v>0.13420596656270978</v>
      </c>
      <c r="G401" s="9">
        <v>0.13420596656270978</v>
      </c>
      <c r="H401" s="35">
        <v>-1.7437449224305443E-2</v>
      </c>
    </row>
    <row r="402" spans="2:8" x14ac:dyDescent="0.35">
      <c r="B402" s="6">
        <v>45509</v>
      </c>
      <c r="C402" s="7" t="s">
        <v>10</v>
      </c>
      <c r="D402" s="9">
        <v>-2.85711263210232E-2</v>
      </c>
      <c r="E402" s="9">
        <v>-2.85711263210232E-2</v>
      </c>
      <c r="F402" s="9">
        <v>0.10180042461798844</v>
      </c>
      <c r="G402" s="9">
        <v>0.10180042461798844</v>
      </c>
      <c r="H402" s="35">
        <v>-2.8987225733177528E-2</v>
      </c>
    </row>
    <row r="403" spans="2:8" x14ac:dyDescent="0.35">
      <c r="B403" s="6">
        <v>45510</v>
      </c>
      <c r="C403" s="7" t="s">
        <v>10</v>
      </c>
      <c r="D403" s="9">
        <v>3.7875075412563898E-3</v>
      </c>
      <c r="E403" s="9">
        <v>3.7875075412563898E-3</v>
      </c>
      <c r="F403" s="9">
        <v>0.1059735020351884</v>
      </c>
      <c r="G403" s="9">
        <v>0.1059735020351884</v>
      </c>
      <c r="H403" s="35">
        <v>3.7803529941458558E-3</v>
      </c>
    </row>
    <row r="404" spans="2:8" x14ac:dyDescent="0.35">
      <c r="B404" s="6">
        <v>45511</v>
      </c>
      <c r="C404" s="7" t="s">
        <v>10</v>
      </c>
      <c r="D404" s="9">
        <v>-1.3250737719146E-2</v>
      </c>
      <c r="E404" s="9">
        <v>-1.3250737719146E-2</v>
      </c>
      <c r="F404" s="9">
        <v>9.1318537235394848E-2</v>
      </c>
      <c r="G404" s="9">
        <v>9.1318537235394848E-2</v>
      </c>
      <c r="H404" s="35">
        <v>-1.3339312064639638E-2</v>
      </c>
    </row>
    <row r="405" spans="2:8" x14ac:dyDescent="0.35">
      <c r="B405" s="6">
        <v>45512</v>
      </c>
      <c r="C405" s="7" t="s">
        <v>10</v>
      </c>
      <c r="D405" s="9">
        <v>2.60921382755793E-2</v>
      </c>
      <c r="E405" s="9">
        <v>2.60921382755793E-2</v>
      </c>
      <c r="F405" s="9">
        <v>0.1197933714116437</v>
      </c>
      <c r="G405" s="9">
        <v>0.1197933714116437</v>
      </c>
      <c r="H405" s="35">
        <v>2.575754610399909E-2</v>
      </c>
    </row>
    <row r="406" spans="2:8" x14ac:dyDescent="0.35">
      <c r="B406" s="6">
        <v>45513</v>
      </c>
      <c r="C406" s="7" t="s">
        <v>10</v>
      </c>
      <c r="D406" s="9">
        <v>-6.0276080653349996E-4</v>
      </c>
      <c r="E406" s="9">
        <v>-6.0276080653349996E-4</v>
      </c>
      <c r="F406" s="9">
        <v>0.11911840385594075</v>
      </c>
      <c r="G406" s="9">
        <v>0.11911840385594075</v>
      </c>
      <c r="H406" s="35">
        <v>-6.029425398599756E-4</v>
      </c>
    </row>
    <row r="407" spans="2:8" x14ac:dyDescent="0.35">
      <c r="B407" s="6">
        <v>45516</v>
      </c>
      <c r="C407" s="7" t="s">
        <v>10</v>
      </c>
      <c r="D407" s="9">
        <v>-2.0933200356038099E-3</v>
      </c>
      <c r="E407" s="9">
        <v>-2.0933200356038099E-3</v>
      </c>
      <c r="F407" s="9">
        <v>0.11677573087893611</v>
      </c>
      <c r="G407" s="9">
        <v>0.11677573087893611</v>
      </c>
      <c r="H407" s="35">
        <v>-2.0955140924330106E-3</v>
      </c>
    </row>
    <row r="408" spans="2:8" x14ac:dyDescent="0.35">
      <c r="B408" s="6">
        <v>45517</v>
      </c>
      <c r="C408" s="7" t="s">
        <v>10</v>
      </c>
      <c r="D408" s="9">
        <v>1.23047097485542E-2</v>
      </c>
      <c r="E408" s="9">
        <v>1.23047097485542E-2</v>
      </c>
      <c r="F408" s="9">
        <v>0.13051733210163086</v>
      </c>
      <c r="G408" s="9">
        <v>0.13051733210163086</v>
      </c>
      <c r="H408" s="35">
        <v>1.222962213427318E-2</v>
      </c>
    </row>
    <row r="409" spans="2:8" x14ac:dyDescent="0.35">
      <c r="B409" s="6">
        <v>45518</v>
      </c>
      <c r="C409" s="7" t="s">
        <v>10</v>
      </c>
      <c r="D409" s="9">
        <v>-4.8323333205942502E-3</v>
      </c>
      <c r="E409" s="9">
        <v>-4.8323333205942502E-3</v>
      </c>
      <c r="F409" s="9">
        <v>0.12505429552820679</v>
      </c>
      <c r="G409" s="9">
        <v>0.12505429552820679</v>
      </c>
      <c r="H409" s="35">
        <v>-4.8440467940956966E-3</v>
      </c>
    </row>
    <row r="410" spans="2:8" x14ac:dyDescent="0.35">
      <c r="B410" s="6">
        <v>45519</v>
      </c>
      <c r="C410" s="7" t="s">
        <v>10</v>
      </c>
      <c r="D410" s="9">
        <v>1.46506001476368E-2</v>
      </c>
      <c r="E410" s="9">
        <v>1.46506001476368E-2</v>
      </c>
      <c r="F410" s="9">
        <v>0.1415370161563716</v>
      </c>
      <c r="G410" s="9">
        <v>0.1415370161563716</v>
      </c>
      <c r="H410" s="35">
        <v>1.4544316923085136E-2</v>
      </c>
    </row>
    <row r="411" spans="2:8" x14ac:dyDescent="0.35">
      <c r="B411" s="6">
        <v>45520</v>
      </c>
      <c r="C411" s="7" t="s">
        <v>10</v>
      </c>
      <c r="D411" s="9">
        <v>-8.4834256757635194E-5</v>
      </c>
      <c r="E411" s="9">
        <v>-8.4834256757635194E-5</v>
      </c>
      <c r="F411" s="9">
        <v>0.14144017471204462</v>
      </c>
      <c r="G411" s="9">
        <v>0.14144017471204462</v>
      </c>
      <c r="H411" s="35">
        <v>-8.4837855386734712E-5</v>
      </c>
    </row>
    <row r="412" spans="2:8" x14ac:dyDescent="0.35">
      <c r="B412" s="6">
        <v>45523</v>
      </c>
      <c r="C412" s="7" t="s">
        <v>10</v>
      </c>
      <c r="D412" s="9">
        <v>2.20730578234156E-2</v>
      </c>
      <c r="E412" s="9">
        <v>2.20730578234156E-2</v>
      </c>
      <c r="F412" s="9">
        <v>0.16663524969043331</v>
      </c>
      <c r="G412" s="9">
        <v>0.16663524969043331</v>
      </c>
      <c r="H412" s="35">
        <v>2.1832974376684241E-2</v>
      </c>
    </row>
    <row r="413" spans="2:8" x14ac:dyDescent="0.35">
      <c r="B413" s="6">
        <v>45524</v>
      </c>
      <c r="C413" s="7" t="s">
        <v>10</v>
      </c>
      <c r="D413" s="9">
        <v>-1.12202252280075E-3</v>
      </c>
      <c r="E413" s="9">
        <v>-1.12202252280075E-3</v>
      </c>
      <c r="F413" s="9">
        <v>0.16532625866438733</v>
      </c>
      <c r="G413" s="9">
        <v>0.16532625866438733</v>
      </c>
      <c r="H413" s="35">
        <v>-1.1226524613191942E-3</v>
      </c>
    </row>
    <row r="414" spans="2:8" x14ac:dyDescent="0.35">
      <c r="B414" s="6">
        <v>45525</v>
      </c>
      <c r="C414" s="7" t="s">
        <v>10</v>
      </c>
      <c r="D414" s="9">
        <v>6.5480177664188604E-3</v>
      </c>
      <c r="E414" s="9">
        <v>6.5480177664188604E-3</v>
      </c>
      <c r="F414" s="9">
        <v>0.17295683570979614</v>
      </c>
      <c r="G414" s="9">
        <v>0.17295683570979614</v>
      </c>
      <c r="H414" s="35">
        <v>6.5266726263205604E-3</v>
      </c>
    </row>
    <row r="415" spans="2:8" x14ac:dyDescent="0.35">
      <c r="B415" s="6">
        <v>45526</v>
      </c>
      <c r="C415" s="7" t="s">
        <v>10</v>
      </c>
      <c r="D415" s="9">
        <v>-1.16819080927672E-2</v>
      </c>
      <c r="E415" s="9">
        <v>-1.16819080927672E-2</v>
      </c>
      <c r="F415" s="9">
        <v>0.15925446175825142</v>
      </c>
      <c r="G415" s="9">
        <v>0.15925446175825142</v>
      </c>
      <c r="H415" s="35">
        <v>-1.1750677679085308E-2</v>
      </c>
    </row>
    <row r="416" spans="2:8" x14ac:dyDescent="0.35">
      <c r="B416" s="6">
        <v>45527</v>
      </c>
      <c r="C416" s="7" t="s">
        <v>10</v>
      </c>
      <c r="D416" s="9">
        <v>1.12915345680266E-2</v>
      </c>
      <c r="E416" s="9">
        <v>1.12915345680266E-2</v>
      </c>
      <c r="F416" s="9">
        <v>0.17234422358633394</v>
      </c>
      <c r="G416" s="9">
        <v>0.17234422358633394</v>
      </c>
      <c r="H416" s="35">
        <v>1.1228261049487218E-2</v>
      </c>
    </row>
    <row r="417" spans="2:8" x14ac:dyDescent="0.35">
      <c r="B417" s="6">
        <v>45530</v>
      </c>
      <c r="C417" s="7" t="s">
        <v>10</v>
      </c>
      <c r="D417" s="9">
        <v>6.0445988947590895E-4</v>
      </c>
      <c r="E417" s="9">
        <v>6.0445988947590895E-4</v>
      </c>
      <c r="F417" s="9">
        <v>0.17305285864615061</v>
      </c>
      <c r="G417" s="9">
        <v>0.17305285864615061</v>
      </c>
      <c r="H417" s="35">
        <v>6.0427727718105704E-4</v>
      </c>
    </row>
    <row r="418" spans="2:8" x14ac:dyDescent="0.35">
      <c r="B418" s="6">
        <v>45531</v>
      </c>
      <c r="C418" s="7" t="s">
        <v>10</v>
      </c>
      <c r="D418" s="9">
        <v>-1.2532406099102901E-3</v>
      </c>
      <c r="E418" s="9">
        <v>-1.2532406099102901E-3</v>
      </c>
      <c r="F418" s="9">
        <v>0.17158274116612393</v>
      </c>
      <c r="G418" s="9">
        <v>0.17158274116612393</v>
      </c>
      <c r="H418" s="35">
        <v>-1.2540265726590242E-3</v>
      </c>
    </row>
    <row r="419" spans="2:8" x14ac:dyDescent="0.35">
      <c r="B419" s="6">
        <v>45532</v>
      </c>
      <c r="C419" s="7" t="s">
        <v>10</v>
      </c>
      <c r="D419" s="9">
        <v>-4.9003325665045497E-4</v>
      </c>
      <c r="E419" s="9">
        <v>-4.9003325665045497E-4</v>
      </c>
      <c r="F419" s="9">
        <v>0.1710086266600348</v>
      </c>
      <c r="G419" s="9">
        <v>0.1710086266600348</v>
      </c>
      <c r="H419" s="35">
        <v>-4.9015336218547606E-4</v>
      </c>
    </row>
    <row r="420" spans="2:8" x14ac:dyDescent="0.35">
      <c r="B420" s="6">
        <v>45533</v>
      </c>
      <c r="C420" s="7" t="s">
        <v>10</v>
      </c>
      <c r="D420" s="9">
        <v>1.4400502171358499E-3</v>
      </c>
      <c r="E420" s="9">
        <v>1.4400502171358499E-3</v>
      </c>
      <c r="F420" s="9">
        <v>0.17269493788712453</v>
      </c>
      <c r="G420" s="9">
        <v>0.17269493788712453</v>
      </c>
      <c r="H420" s="35">
        <v>1.439014339180221E-3</v>
      </c>
    </row>
    <row r="421" spans="2:8" x14ac:dyDescent="0.35">
      <c r="B421" s="6">
        <v>45534</v>
      </c>
      <c r="C421" s="7" t="s">
        <v>10</v>
      </c>
      <c r="D421" s="9">
        <v>3.0726056720306298E-5</v>
      </c>
      <c r="E421" s="9">
        <v>3.0726056720306298E-5</v>
      </c>
      <c r="F421" s="9">
        <v>0.17273097017830152</v>
      </c>
      <c r="G421" s="9">
        <v>0.17273097017830152</v>
      </c>
      <c r="H421" s="35">
        <v>3.0725584684664442E-5</v>
      </c>
    </row>
    <row r="422" spans="2:8" x14ac:dyDescent="0.35">
      <c r="B422" s="6">
        <v>45538</v>
      </c>
      <c r="C422" s="7" t="s">
        <v>10</v>
      </c>
      <c r="D422" s="9">
        <v>-1.79024989758296E-2</v>
      </c>
      <c r="E422" s="9">
        <v>-1.79024989758296E-2</v>
      </c>
      <c r="F422" s="9">
        <v>0.15173615518576078</v>
      </c>
      <c r="G422" s="9">
        <v>0.15173615518576078</v>
      </c>
      <c r="H422" s="35">
        <v>-1.8064687344433322E-2</v>
      </c>
    </row>
    <row r="423" spans="2:8" x14ac:dyDescent="0.35">
      <c r="B423" s="6">
        <v>45539</v>
      </c>
      <c r="C423" s="7" t="s">
        <v>10</v>
      </c>
      <c r="D423" s="9">
        <v>-3.8368164183735402E-6</v>
      </c>
      <c r="E423" s="9">
        <v>-3.8368164183735402E-6</v>
      </c>
      <c r="F423" s="9">
        <v>0.15173173618557101</v>
      </c>
      <c r="G423" s="9">
        <v>0.15173173618557101</v>
      </c>
      <c r="H423" s="35">
        <v>-3.8368237789555894E-6</v>
      </c>
    </row>
    <row r="424" spans="2:8" x14ac:dyDescent="0.35">
      <c r="B424" s="6">
        <v>45540</v>
      </c>
      <c r="C424" s="7" t="s">
        <v>10</v>
      </c>
      <c r="D424" s="9">
        <v>-7.7692055804796604E-3</v>
      </c>
      <c r="E424" s="9">
        <v>-7.7692055804796604E-3</v>
      </c>
      <c r="F424" s="9">
        <v>0.14278369555358261</v>
      </c>
      <c r="G424" s="9">
        <v>0.14278369555358261</v>
      </c>
      <c r="H424" s="35">
        <v>-7.7995430925573558E-3</v>
      </c>
    </row>
    <row r="425" spans="2:8" x14ac:dyDescent="0.35">
      <c r="B425" s="6">
        <v>45541</v>
      </c>
      <c r="C425" s="7" t="s">
        <v>10</v>
      </c>
      <c r="D425" s="9">
        <v>-1.3143954999873799E-2</v>
      </c>
      <c r="E425" s="9">
        <v>-1.3143954999873799E-2</v>
      </c>
      <c r="F425" s="9">
        <v>0.12776299808463687</v>
      </c>
      <c r="G425" s="9">
        <v>0.12776299808463687</v>
      </c>
      <c r="H425" s="35">
        <v>-1.3231101249658057E-2</v>
      </c>
    </row>
    <row r="426" spans="2:8" x14ac:dyDescent="0.35">
      <c r="B426" s="6">
        <v>45544</v>
      </c>
      <c r="C426" s="7" t="s">
        <v>10</v>
      </c>
      <c r="D426" s="9">
        <v>1.55214610238157E-2</v>
      </c>
      <c r="E426" s="9">
        <v>1.55214610238157E-2</v>
      </c>
      <c r="F426" s="9">
        <v>0.14526752750350913</v>
      </c>
      <c r="G426" s="9">
        <v>0.14526752750350913</v>
      </c>
      <c r="H426" s="35">
        <v>1.5402235270253173E-2</v>
      </c>
    </row>
    <row r="427" spans="2:8" x14ac:dyDescent="0.35">
      <c r="B427" s="6">
        <v>45545</v>
      </c>
      <c r="C427" s="7" t="s">
        <v>10</v>
      </c>
      <c r="D427" s="9">
        <v>5.0716703791797799E-3</v>
      </c>
      <c r="E427" s="9">
        <v>5.0716703791797799E-3</v>
      </c>
      <c r="F427" s="9">
        <v>0.15107594689898507</v>
      </c>
      <c r="G427" s="9">
        <v>0.15107594689898507</v>
      </c>
      <c r="H427" s="35">
        <v>5.0588527784593282E-3</v>
      </c>
    </row>
    <row r="428" spans="2:8" x14ac:dyDescent="0.35">
      <c r="B428" s="6">
        <v>45546</v>
      </c>
      <c r="C428" s="7" t="s">
        <v>10</v>
      </c>
      <c r="D428" s="9">
        <v>2.1620087482051701E-3</v>
      </c>
      <c r="E428" s="9">
        <v>2.1620087482051701E-3</v>
      </c>
      <c r="F428" s="9">
        <v>0.15356458316602928</v>
      </c>
      <c r="G428" s="9">
        <v>0.15356458316602928</v>
      </c>
      <c r="H428" s="35">
        <v>2.1596749704515476E-3</v>
      </c>
    </row>
    <row r="429" spans="2:8" x14ac:dyDescent="0.35">
      <c r="B429" s="6">
        <v>45547</v>
      </c>
      <c r="C429" s="7" t="s">
        <v>10</v>
      </c>
      <c r="D429" s="9">
        <v>3.2880762983633202E-3</v>
      </c>
      <c r="E429" s="9">
        <v>3.2880762983633202E-3</v>
      </c>
      <c r="F429" s="9">
        <v>0.15735759153056894</v>
      </c>
      <c r="G429" s="9">
        <v>0.15735759153056894</v>
      </c>
      <c r="H429" s="35">
        <v>3.2826823959657509E-3</v>
      </c>
    </row>
    <row r="430" spans="2:8" x14ac:dyDescent="0.35">
      <c r="B430" s="6">
        <v>45548</v>
      </c>
      <c r="C430" s="7" t="s">
        <v>10</v>
      </c>
      <c r="D430" s="9">
        <v>1.65625406030315E-2</v>
      </c>
      <c r="E430" s="9">
        <v>1.65625406030315E-2</v>
      </c>
      <c r="F430" s="9">
        <v>0.17652637363252066</v>
      </c>
      <c r="G430" s="9">
        <v>0.17652637363252066</v>
      </c>
      <c r="H430" s="35">
        <v>1.642687762703306E-2</v>
      </c>
    </row>
    <row r="431" spans="2:8" x14ac:dyDescent="0.35">
      <c r="B431" s="6">
        <v>45551</v>
      </c>
      <c r="C431" s="7" t="s">
        <v>10</v>
      </c>
      <c r="D431" s="9">
        <v>-6.1305062164316799E-6</v>
      </c>
      <c r="E431" s="9">
        <v>-6.1305062164316799E-6</v>
      </c>
      <c r="F431" s="9">
        <v>0.1765191609302732</v>
      </c>
      <c r="G431" s="9">
        <v>0.1765191609302732</v>
      </c>
      <c r="H431" s="35">
        <v>-6.130525008080763E-6</v>
      </c>
    </row>
    <row r="432" spans="2:8" x14ac:dyDescent="0.35">
      <c r="B432" s="6">
        <v>45552</v>
      </c>
      <c r="C432" s="7" t="s">
        <v>10</v>
      </c>
      <c r="D432" s="9">
        <v>-2.86092043984607E-3</v>
      </c>
      <c r="E432" s="9">
        <v>-2.86092043984607E-3</v>
      </c>
      <c r="F432" s="9">
        <v>0.17315323321489728</v>
      </c>
      <c r="G432" s="9">
        <v>0.17315323321489728</v>
      </c>
      <c r="H432" s="35">
        <v>-2.8650206949306744E-3</v>
      </c>
    </row>
    <row r="433" spans="2:8" x14ac:dyDescent="0.35">
      <c r="B433" s="6">
        <v>45553</v>
      </c>
      <c r="C433" s="7" t="s">
        <v>10</v>
      </c>
      <c r="D433" s="9">
        <v>-3.4654977016228702E-3</v>
      </c>
      <c r="E433" s="9">
        <v>-3.4654977016228702E-3</v>
      </c>
      <c r="F433" s="9">
        <v>0.16908767338153963</v>
      </c>
      <c r="G433" s="9">
        <v>0.16908767338153963</v>
      </c>
      <c r="H433" s="35">
        <v>-3.4715164481074088E-3</v>
      </c>
    </row>
    <row r="434" spans="2:8" x14ac:dyDescent="0.35">
      <c r="B434" s="6">
        <v>45554</v>
      </c>
      <c r="C434" s="7" t="s">
        <v>10</v>
      </c>
      <c r="D434" s="9">
        <v>1.08747958919266E-2</v>
      </c>
      <c r="E434" s="9">
        <v>1.08747958919266E-2</v>
      </c>
      <c r="F434" s="9">
        <v>0.18180126320933132</v>
      </c>
      <c r="G434" s="9">
        <v>0.18180126320933132</v>
      </c>
      <c r="H434" s="35">
        <v>1.0816090521551431E-2</v>
      </c>
    </row>
    <row r="435" spans="2:8" x14ac:dyDescent="0.35">
      <c r="B435" s="6">
        <v>45555</v>
      </c>
      <c r="C435" s="7" t="s">
        <v>10</v>
      </c>
      <c r="D435" s="9">
        <v>-8.0419082494151296E-3</v>
      </c>
      <c r="E435" s="9">
        <v>-8.0419082494151296E-3</v>
      </c>
      <c r="F435" s="9">
        <v>0.17229732588155899</v>
      </c>
      <c r="G435" s="9">
        <v>0.17229732588155899</v>
      </c>
      <c r="H435" s="35">
        <v>-8.0744188088293437E-3</v>
      </c>
    </row>
    <row r="436" spans="2:8" x14ac:dyDescent="0.35">
      <c r="B436" s="6">
        <v>45558</v>
      </c>
      <c r="C436" s="7" t="s">
        <v>10</v>
      </c>
      <c r="D436" s="9">
        <v>-1.9729407687085702E-2</v>
      </c>
      <c r="E436" s="9">
        <v>-1.9729407687085702E-2</v>
      </c>
      <c r="F436" s="9">
        <v>0.14916859400876126</v>
      </c>
      <c r="G436" s="9">
        <v>0.14916859400876126</v>
      </c>
      <c r="H436" s="35">
        <v>-1.9926630825126988E-2</v>
      </c>
    </row>
    <row r="437" spans="2:8" x14ac:dyDescent="0.35">
      <c r="B437" s="6">
        <v>45559</v>
      </c>
      <c r="C437" s="7" t="s">
        <v>10</v>
      </c>
      <c r="D437" s="9">
        <v>-3.3558100075947498E-3</v>
      </c>
      <c r="E437" s="9">
        <v>-3.3558100075947498E-3</v>
      </c>
      <c r="F437" s="9">
        <v>0.14531220254057309</v>
      </c>
      <c r="G437" s="9">
        <v>0.14531220254057309</v>
      </c>
      <c r="H437" s="35">
        <v>-3.3614533668964155E-3</v>
      </c>
    </row>
    <row r="438" spans="2:8" x14ac:dyDescent="0.35">
      <c r="B438" s="6">
        <v>45560</v>
      </c>
      <c r="C438" s="7" t="s">
        <v>10</v>
      </c>
      <c r="D438" s="9">
        <v>-1.46041022476084E-2</v>
      </c>
      <c r="E438" s="9">
        <v>-1.46041022476084E-2</v>
      </c>
      <c r="F438" s="9">
        <v>0.1285859460292369</v>
      </c>
      <c r="G438" s="9">
        <v>0.1285859460292369</v>
      </c>
      <c r="H438" s="35">
        <v>-1.4711791908754301E-2</v>
      </c>
    </row>
    <row r="439" spans="2:8" x14ac:dyDescent="0.35">
      <c r="B439" s="6">
        <v>45561</v>
      </c>
      <c r="C439" s="7" t="s">
        <v>10</v>
      </c>
      <c r="D439" s="9">
        <v>8.2868926495900993E-3</v>
      </c>
      <c r="E439" s="9">
        <v>8.2868926495900993E-3</v>
      </c>
      <c r="F439" s="9">
        <v>0.1379384166098172</v>
      </c>
      <c r="G439" s="9">
        <v>0.1379384166098172</v>
      </c>
      <c r="H439" s="35">
        <v>8.252744877604962E-3</v>
      </c>
    </row>
    <row r="440" spans="2:8" x14ac:dyDescent="0.35">
      <c r="B440" s="6">
        <v>45562</v>
      </c>
      <c r="C440" s="7" t="s">
        <v>10</v>
      </c>
      <c r="D440" s="9">
        <v>2.3705594266711198E-3</v>
      </c>
      <c r="E440" s="9">
        <v>2.3705594266711198E-3</v>
      </c>
      <c r="F440" s="9">
        <v>0.14063596725028282</v>
      </c>
      <c r="G440" s="9">
        <v>0.14063596725028282</v>
      </c>
      <c r="H440" s="35">
        <v>2.3677540832875896E-3</v>
      </c>
    </row>
    <row r="441" spans="2:8" x14ac:dyDescent="0.35">
      <c r="B441" s="6">
        <v>45565</v>
      </c>
      <c r="C441" s="7" t="s">
        <v>10</v>
      </c>
      <c r="D441" s="9">
        <v>4.9659800854923702E-3</v>
      </c>
      <c r="E441" s="9">
        <v>4.9659800854923702E-3</v>
      </c>
      <c r="F441" s="9">
        <v>0.14630034274844417</v>
      </c>
      <c r="G441" s="9">
        <v>0.14630034274844417</v>
      </c>
      <c r="H441" s="35">
        <v>4.953690276890947E-3</v>
      </c>
    </row>
    <row r="442" spans="2:8" x14ac:dyDescent="0.35">
      <c r="B442" s="6">
        <v>45566</v>
      </c>
      <c r="C442" s="7" t="s">
        <v>10</v>
      </c>
      <c r="D442" s="9">
        <v>-4.9267592872243599E-3</v>
      </c>
      <c r="E442" s="9">
        <v>-4.9267592872243599E-3</v>
      </c>
      <c r="F442" s="9">
        <v>0.14065279688885979</v>
      </c>
      <c r="G442" s="9">
        <v>0.14065279688885979</v>
      </c>
      <c r="H442" s="35">
        <v>-4.9389357759774891E-3</v>
      </c>
    </row>
    <row r="443" spans="2:8" x14ac:dyDescent="0.35">
      <c r="B443" s="6">
        <v>45567</v>
      </c>
      <c r="C443" s="7" t="s">
        <v>10</v>
      </c>
      <c r="D443" s="9">
        <v>-2.2974696217608099E-4</v>
      </c>
      <c r="E443" s="9">
        <v>-2.2974696217608099E-4</v>
      </c>
      <c r="F443" s="9">
        <v>0.14039073537387692</v>
      </c>
      <c r="G443" s="9">
        <v>0.14039073537387692</v>
      </c>
      <c r="H443" s="35">
        <v>-2.2977335805234307E-4</v>
      </c>
    </row>
    <row r="444" spans="2:8" x14ac:dyDescent="0.35">
      <c r="B444" s="6">
        <v>45568</v>
      </c>
      <c r="C444" s="7" t="s">
        <v>10</v>
      </c>
      <c r="D444" s="9">
        <v>-1.4582797485273699E-2</v>
      </c>
      <c r="E444" s="9">
        <v>-1.4582797485273699E-2</v>
      </c>
      <c r="F444" s="9">
        <v>0.12376064822583732</v>
      </c>
      <c r="G444" s="9">
        <v>0.12376064822583732</v>
      </c>
      <c r="H444" s="35">
        <v>-1.4690171631993716E-2</v>
      </c>
    </row>
    <row r="445" spans="2:8" x14ac:dyDescent="0.35">
      <c r="B445" s="6">
        <v>45569</v>
      </c>
      <c r="C445" s="7" t="s">
        <v>10</v>
      </c>
      <c r="D445" s="9">
        <v>7.8047277651905299E-3</v>
      </c>
      <c r="E445" s="9">
        <v>7.8047277651905299E-3</v>
      </c>
      <c r="F445" s="9">
        <v>0.13253129415847398</v>
      </c>
      <c r="G445" s="9">
        <v>0.13253129415847398</v>
      </c>
      <c r="H445" s="35">
        <v>7.7744284273901622E-3</v>
      </c>
    </row>
    <row r="446" spans="2:8" x14ac:dyDescent="0.35">
      <c r="B446" s="6">
        <v>45572</v>
      </c>
      <c r="C446" s="7" t="s">
        <v>10</v>
      </c>
      <c r="D446" s="9">
        <v>-1.2310612091530299E-2</v>
      </c>
      <c r="E446" s="9">
        <v>-1.2310612091530299E-2</v>
      </c>
      <c r="F446" s="9">
        <v>0.11858914071457027</v>
      </c>
      <c r="G446" s="9">
        <v>0.11858914071457027</v>
      </c>
      <c r="H446" s="35">
        <v>-1.2387015371528294E-2</v>
      </c>
    </row>
    <row r="447" spans="2:8" x14ac:dyDescent="0.35">
      <c r="B447" s="6">
        <v>45573</v>
      </c>
      <c r="C447" s="7" t="s">
        <v>10</v>
      </c>
      <c r="D447" s="9">
        <v>5.76024485339326E-3</v>
      </c>
      <c r="E447" s="9">
        <v>5.76024485339326E-3</v>
      </c>
      <c r="F447" s="9">
        <v>0.12503248805543299</v>
      </c>
      <c r="G447" s="9">
        <v>0.12503248805543299</v>
      </c>
      <c r="H447" s="35">
        <v>5.7437180781509953E-3</v>
      </c>
    </row>
    <row r="448" spans="2:8" x14ac:dyDescent="0.35">
      <c r="B448" s="6">
        <v>45574</v>
      </c>
      <c r="C448" s="7" t="s">
        <v>10</v>
      </c>
      <c r="D448" s="9">
        <v>1.6562023174009901E-3</v>
      </c>
      <c r="E448" s="9">
        <v>1.6562023174009901E-3</v>
      </c>
      <c r="F448" s="9">
        <v>0.12689576946930181</v>
      </c>
      <c r="G448" s="9">
        <v>0.12689576946930181</v>
      </c>
      <c r="H448" s="35">
        <v>1.6548323267886824E-3</v>
      </c>
    </row>
    <row r="449" spans="2:8" x14ac:dyDescent="0.35">
      <c r="B449" s="6">
        <v>45575</v>
      </c>
      <c r="C449" s="7" t="s">
        <v>10</v>
      </c>
      <c r="D449" s="9">
        <v>-4.9497240315502801E-4</v>
      </c>
      <c r="E449" s="9">
        <v>-4.9497240315502801E-4</v>
      </c>
      <c r="F449" s="9">
        <v>0.12633798716218236</v>
      </c>
      <c r="G449" s="9">
        <v>0.12633798716218236</v>
      </c>
      <c r="H449" s="35">
        <v>-4.9509494243230967E-4</v>
      </c>
    </row>
    <row r="450" spans="2:8" x14ac:dyDescent="0.35">
      <c r="B450" s="6">
        <v>45576</v>
      </c>
      <c r="C450" s="7" t="s">
        <v>10</v>
      </c>
      <c r="D450" s="9">
        <v>1.9035990787246299E-2</v>
      </c>
      <c r="E450" s="9">
        <v>1.9035990787246299E-2</v>
      </c>
      <c r="F450" s="9">
        <v>0.14777894670912728</v>
      </c>
      <c r="G450" s="9">
        <v>0.14777894670912728</v>
      </c>
      <c r="H450" s="35">
        <v>1.8857073329566383E-2</v>
      </c>
    </row>
    <row r="451" spans="2:8" x14ac:dyDescent="0.35">
      <c r="B451" s="6">
        <v>45579</v>
      </c>
      <c r="C451" s="7" t="s">
        <v>10</v>
      </c>
      <c r="D451" s="9">
        <v>1.6778418052825299E-3</v>
      </c>
      <c r="E451" s="9">
        <v>1.6778418052825299E-3</v>
      </c>
      <c r="F451" s="9">
        <v>0.14970473820913899</v>
      </c>
      <c r="G451" s="9">
        <v>0.14970473820913899</v>
      </c>
      <c r="H451" s="35">
        <v>1.6764358012026606E-3</v>
      </c>
    </row>
    <row r="452" spans="2:8" x14ac:dyDescent="0.35">
      <c r="B452" s="6">
        <v>45580</v>
      </c>
      <c r="C452" s="7" t="s">
        <v>10</v>
      </c>
      <c r="D452" s="9">
        <v>4.2199916352990601E-3</v>
      </c>
      <c r="E452" s="9">
        <v>4.2199916352990601E-3</v>
      </c>
      <c r="F452" s="9">
        <v>0.15455648258744503</v>
      </c>
      <c r="G452" s="9">
        <v>0.15455648258744503</v>
      </c>
      <c r="H452" s="35">
        <v>4.2111124419142425E-3</v>
      </c>
    </row>
    <row r="453" spans="2:8" x14ac:dyDescent="0.35">
      <c r="B453" s="6">
        <v>45581</v>
      </c>
      <c r="C453" s="7" t="s">
        <v>10</v>
      </c>
      <c r="D453" s="9">
        <v>9.9350711551837306E-3</v>
      </c>
      <c r="E453" s="9">
        <v>9.9350711551837306E-3</v>
      </c>
      <c r="F453" s="9">
        <v>0.16602708339463002</v>
      </c>
      <c r="G453" s="9">
        <v>0.16602708339463002</v>
      </c>
      <c r="H453" s="35">
        <v>9.8860428017690273E-3</v>
      </c>
    </row>
    <row r="454" spans="2:8" x14ac:dyDescent="0.35">
      <c r="B454" s="6">
        <v>45582</v>
      </c>
      <c r="C454" s="7" t="s">
        <v>10</v>
      </c>
      <c r="D454" s="9">
        <v>-5.0331038435926104E-3</v>
      </c>
      <c r="E454" s="9">
        <v>-5.0331038435926104E-3</v>
      </c>
      <c r="F454" s="9">
        <v>0.16015834799946349</v>
      </c>
      <c r="G454" s="9">
        <v>0.16015834799946349</v>
      </c>
      <c r="H454" s="35">
        <v>-5.0458125715748762E-3</v>
      </c>
    </row>
    <row r="455" spans="2:8" x14ac:dyDescent="0.35">
      <c r="B455" s="6">
        <v>45583</v>
      </c>
      <c r="C455" s="7" t="s">
        <v>10</v>
      </c>
      <c r="D455" s="9">
        <v>8.01992755125064E-4</v>
      </c>
      <c r="E455" s="9">
        <v>8.01992755125064E-4</v>
      </c>
      <c r="F455" s="9">
        <v>0.16108878658935688</v>
      </c>
      <c r="G455" s="9">
        <v>0.16108878658935688</v>
      </c>
      <c r="H455" s="35">
        <v>8.0167133077726235E-4</v>
      </c>
    </row>
    <row r="456" spans="2:8" x14ac:dyDescent="0.35">
      <c r="B456" s="6">
        <v>45586</v>
      </c>
      <c r="C456" s="7" t="s">
        <v>10</v>
      </c>
      <c r="D456" s="9">
        <v>-1.4511269632559101E-2</v>
      </c>
      <c r="E456" s="9">
        <v>-1.4511269632559101E-2</v>
      </c>
      <c r="F456" s="9">
        <v>0.14423991413981785</v>
      </c>
      <c r="G456" s="9">
        <v>0.14423991413981785</v>
      </c>
      <c r="H456" s="35">
        <v>-1.4617587901281226E-2</v>
      </c>
    </row>
    <row r="457" spans="2:8" x14ac:dyDescent="0.35">
      <c r="B457" s="6">
        <v>45587</v>
      </c>
      <c r="C457" s="7" t="s">
        <v>10</v>
      </c>
      <c r="D457" s="9">
        <v>1.5128370527411599E-3</v>
      </c>
      <c r="E457" s="9">
        <v>1.5128370527411599E-3</v>
      </c>
      <c r="F457" s="9">
        <v>0.14597096267915388</v>
      </c>
      <c r="G457" s="9">
        <v>0.14597096267915388</v>
      </c>
      <c r="H457" s="35">
        <v>1.5116938675903374E-3</v>
      </c>
    </row>
    <row r="458" spans="2:8" x14ac:dyDescent="0.35">
      <c r="B458" s="6">
        <v>45588</v>
      </c>
      <c r="C458" s="7" t="s">
        <v>10</v>
      </c>
      <c r="D458" s="9">
        <v>-1.2869062429848499E-2</v>
      </c>
      <c r="E458" s="9">
        <v>-1.2869062429848499E-2</v>
      </c>
      <c r="F458" s="9">
        <v>0.13122339081764234</v>
      </c>
      <c r="G458" s="9">
        <v>0.13122339081764234</v>
      </c>
      <c r="H458" s="35">
        <v>-1.2952586169032495E-2</v>
      </c>
    </row>
    <row r="459" spans="2:8" x14ac:dyDescent="0.35">
      <c r="B459" s="6">
        <v>45589</v>
      </c>
      <c r="C459" s="7" t="s">
        <v>10</v>
      </c>
      <c r="D459" s="9">
        <v>-1.35809212497866E-3</v>
      </c>
      <c r="E459" s="9">
        <v>-1.35809212497866E-3</v>
      </c>
      <c r="F459" s="9">
        <v>0.12968708523898131</v>
      </c>
      <c r="G459" s="9">
        <v>0.12968708523898131</v>
      </c>
      <c r="H459" s="35">
        <v>-1.3590151679014472E-3</v>
      </c>
    </row>
    <row r="460" spans="2:8" x14ac:dyDescent="0.35">
      <c r="B460" s="6">
        <v>45590</v>
      </c>
      <c r="C460" s="7" t="s">
        <v>10</v>
      </c>
      <c r="D460" s="9">
        <v>1.50891515597819E-3</v>
      </c>
      <c r="E460" s="9">
        <v>1.50891515597819E-3</v>
      </c>
      <c r="F460" s="9">
        <v>0.13139168720341132</v>
      </c>
      <c r="G460" s="9">
        <v>0.13139168720341132</v>
      </c>
      <c r="H460" s="35">
        <v>1.5077778873883406E-3</v>
      </c>
    </row>
    <row r="461" spans="2:8" x14ac:dyDescent="0.35">
      <c r="B461" s="6">
        <v>45593</v>
      </c>
      <c r="C461" s="7" t="s">
        <v>10</v>
      </c>
      <c r="D461" s="9">
        <v>1.0178863239853401E-2</v>
      </c>
      <c r="E461" s="9">
        <v>1.0178863239853401E-2</v>
      </c>
      <c r="F461" s="9">
        <v>0.14290796845816178</v>
      </c>
      <c r="G461" s="9">
        <v>0.14290796845816178</v>
      </c>
      <c r="H461" s="35">
        <v>1.0127407490861358E-2</v>
      </c>
    </row>
    <row r="462" spans="2:8" x14ac:dyDescent="0.35">
      <c r="B462" s="6">
        <v>45594</v>
      </c>
      <c r="C462" s="7" t="s">
        <v>10</v>
      </c>
      <c r="D462" s="9">
        <v>-2.67789714603052E-3</v>
      </c>
      <c r="E462" s="9">
        <v>-2.67789714603052E-3</v>
      </c>
      <c r="F462" s="9">
        <v>0.13984737847125217</v>
      </c>
      <c r="G462" s="9">
        <v>0.13984737847125217</v>
      </c>
      <c r="H462" s="35">
        <v>-2.6814891266623989E-3</v>
      </c>
    </row>
    <row r="463" spans="2:8" x14ac:dyDescent="0.35">
      <c r="B463" s="6">
        <v>45595</v>
      </c>
      <c r="C463" s="7" t="s">
        <v>10</v>
      </c>
      <c r="D463" s="9">
        <v>-5.2836954229066703E-3</v>
      </c>
      <c r="E463" s="9">
        <v>-5.2836954229066703E-3</v>
      </c>
      <c r="F463" s="9">
        <v>0.13382477209481158</v>
      </c>
      <c r="G463" s="9">
        <v>0.13382477209481158</v>
      </c>
      <c r="H463" s="35">
        <v>-5.2977035063193276E-3</v>
      </c>
    </row>
    <row r="464" spans="2:8" x14ac:dyDescent="0.35">
      <c r="B464" s="6">
        <v>45596</v>
      </c>
      <c r="C464" s="7" t="s">
        <v>10</v>
      </c>
      <c r="D464" s="9">
        <v>-1.3969613757567299E-2</v>
      </c>
      <c r="E464" s="9">
        <v>-1.3969613757567299E-2</v>
      </c>
      <c r="F464" s="9">
        <v>0.11798567795988535</v>
      </c>
      <c r="G464" s="9">
        <v>0.11798567795988535</v>
      </c>
      <c r="H464" s="35">
        <v>-1.4068107164262909E-2</v>
      </c>
    </row>
    <row r="465" spans="2:8" x14ac:dyDescent="0.35">
      <c r="B465" s="6">
        <v>45597</v>
      </c>
      <c r="C465" s="7" t="s">
        <v>10</v>
      </c>
      <c r="D465" s="9">
        <v>1.27740012515941E-2</v>
      </c>
      <c r="E465" s="9">
        <v>1.27740012515941E-2</v>
      </c>
      <c r="F465" s="9">
        <v>0.13226682840940907</v>
      </c>
      <c r="G465" s="9">
        <v>0.13226682840940907</v>
      </c>
      <c r="H465" s="35">
        <v>1.269310190806314E-2</v>
      </c>
    </row>
    <row r="466" spans="2:8" x14ac:dyDescent="0.35">
      <c r="B466" s="6">
        <v>45600</v>
      </c>
      <c r="C466" s="7" t="s">
        <v>10</v>
      </c>
      <c r="D466" s="9">
        <v>5.9667011362201804E-4</v>
      </c>
      <c r="E466" s="9">
        <v>5.9667011362201804E-4</v>
      </c>
      <c r="F466" s="9">
        <v>0.13294241818656638</v>
      </c>
      <c r="G466" s="9">
        <v>0.13294241818656638</v>
      </c>
      <c r="H466" s="35">
        <v>5.964921767859316E-4</v>
      </c>
    </row>
    <row r="467" spans="2:8" x14ac:dyDescent="0.35">
      <c r="B467" s="6">
        <v>45601</v>
      </c>
      <c r="C467" s="7" t="s">
        <v>10</v>
      </c>
      <c r="D467" s="9">
        <v>1.09883113906646E-2</v>
      </c>
      <c r="E467" s="9">
        <v>1.09883113906646E-2</v>
      </c>
      <c r="F467" s="9">
        <v>0.14539154226529294</v>
      </c>
      <c r="G467" s="9">
        <v>0.14539154226529294</v>
      </c>
      <c r="H467" s="35">
        <v>1.0928378537934288E-2</v>
      </c>
    </row>
    <row r="468" spans="2:8" x14ac:dyDescent="0.35">
      <c r="B468" s="6">
        <v>45602</v>
      </c>
      <c r="C468" s="7" t="s">
        <v>10</v>
      </c>
      <c r="D468" s="9">
        <v>9.8319500594028705E-3</v>
      </c>
      <c r="E468" s="9">
        <v>9.8319500594028705E-3</v>
      </c>
      <c r="F468" s="9">
        <v>0.15665297470730777</v>
      </c>
      <c r="G468" s="9">
        <v>0.15665297470730777</v>
      </c>
      <c r="H468" s="35">
        <v>9.7839309296695286E-3</v>
      </c>
    </row>
    <row r="469" spans="2:8" x14ac:dyDescent="0.35">
      <c r="B469" s="6">
        <v>45603</v>
      </c>
      <c r="C469" s="7" t="s">
        <v>10</v>
      </c>
      <c r="D469" s="9">
        <v>1.21515724708476E-2</v>
      </c>
      <c r="E469" s="9">
        <v>1.21515724708476E-2</v>
      </c>
      <c r="F469" s="9">
        <v>0.17070812715308503</v>
      </c>
      <c r="G469" s="9">
        <v>0.17070812715308503</v>
      </c>
      <c r="H469" s="35">
        <v>1.2078334818914804E-2</v>
      </c>
    </row>
    <row r="470" spans="2:8" x14ac:dyDescent="0.35">
      <c r="B470" s="6">
        <v>45604</v>
      </c>
      <c r="C470" s="7" t="s">
        <v>10</v>
      </c>
      <c r="D470" s="9">
        <v>7.0029736967487004E-3</v>
      </c>
      <c r="E470" s="9">
        <v>7.0029736967487004E-3</v>
      </c>
      <c r="F470" s="9">
        <v>0.17890656537410798</v>
      </c>
      <c r="G470" s="9">
        <v>0.17890656537410798</v>
      </c>
      <c r="H470" s="35">
        <v>6.9785667576348197E-3</v>
      </c>
    </row>
    <row r="471" spans="2:8" x14ac:dyDescent="0.35">
      <c r="B471" s="6">
        <v>45607</v>
      </c>
      <c r="C471" s="7" t="s">
        <v>10</v>
      </c>
      <c r="D471" s="9">
        <v>-4.0461225338843101E-3</v>
      </c>
      <c r="E471" s="9">
        <v>-4.0461225338843101E-3</v>
      </c>
      <c r="F471" s="9">
        <v>0.17413656495460361</v>
      </c>
      <c r="G471" s="9">
        <v>0.17413656495460361</v>
      </c>
      <c r="H471" s="35">
        <v>-4.0543302347204992E-3</v>
      </c>
    </row>
    <row r="472" spans="2:8" x14ac:dyDescent="0.35">
      <c r="B472" s="6">
        <v>45608</v>
      </c>
      <c r="C472" s="7" t="s">
        <v>10</v>
      </c>
      <c r="D472" s="9">
        <v>-2.6267400002457201E-2</v>
      </c>
      <c r="E472" s="9">
        <v>-2.6267400002457201E-2</v>
      </c>
      <c r="F472" s="9">
        <v>0.14329505014542998</v>
      </c>
      <c r="G472" s="9">
        <v>0.14329505014542998</v>
      </c>
      <c r="H472" s="35">
        <v>-2.6618551022257277E-2</v>
      </c>
    </row>
    <row r="473" spans="2:8" x14ac:dyDescent="0.35">
      <c r="B473" s="6">
        <v>45609</v>
      </c>
      <c r="C473" s="7" t="s">
        <v>10</v>
      </c>
      <c r="D473" s="9">
        <v>-7.9573700303236707E-3</v>
      </c>
      <c r="E473" s="9">
        <v>-7.9573700303236707E-3</v>
      </c>
      <c r="F473" s="9">
        <v>0.1341974283775853</v>
      </c>
      <c r="G473" s="9">
        <v>0.1341974283775853</v>
      </c>
      <c r="H473" s="35">
        <v>-7.9891988608554922E-3</v>
      </c>
    </row>
    <row r="474" spans="2:8" x14ac:dyDescent="0.35">
      <c r="B474" s="6">
        <v>45610</v>
      </c>
      <c r="C474" s="7" t="s">
        <v>10</v>
      </c>
      <c r="D474" s="9">
        <v>-2.3603603603603699E-2</v>
      </c>
      <c r="E474" s="9">
        <v>-2.3603603603603699E-2</v>
      </c>
      <c r="F474" s="9">
        <v>0.10742628186993408</v>
      </c>
      <c r="G474" s="9">
        <v>0.10742628186993408</v>
      </c>
      <c r="H474" s="35">
        <v>-2.3886631174366079E-2</v>
      </c>
    </row>
    <row r="475" spans="2:8" x14ac:dyDescent="0.35">
      <c r="B475" s="6">
        <v>45611</v>
      </c>
      <c r="C475" s="7" t="s">
        <v>10</v>
      </c>
      <c r="D475" s="9">
        <v>-4.4389251327030199E-2</v>
      </c>
      <c r="E475" s="9">
        <v>-4.4389251327030199E-2</v>
      </c>
      <c r="F475" s="9">
        <v>5.8268458317850991E-2</v>
      </c>
      <c r="G475" s="9">
        <v>5.8268458317850991E-2</v>
      </c>
      <c r="H475" s="35">
        <v>-4.5404615505661272E-2</v>
      </c>
    </row>
    <row r="476" spans="2:8" x14ac:dyDescent="0.35">
      <c r="B476" s="6">
        <v>45614</v>
      </c>
      <c r="C476" s="7" t="s">
        <v>10</v>
      </c>
      <c r="D476" s="9">
        <v>-2.3839961010987702E-3</v>
      </c>
      <c r="E476" s="9">
        <v>-2.3839961010987702E-3</v>
      </c>
      <c r="F476" s="9">
        <v>5.5745550439305402E-2</v>
      </c>
      <c r="G476" s="9">
        <v>5.5745550439305402E-2</v>
      </c>
      <c r="H476" s="35">
        <v>-2.3868423443254394E-3</v>
      </c>
    </row>
    <row r="477" spans="2:8" x14ac:dyDescent="0.35">
      <c r="B477" s="6">
        <v>45615</v>
      </c>
      <c r="C477" s="7" t="s">
        <v>10</v>
      </c>
      <c r="D477" s="9">
        <v>3.26336395395759E-3</v>
      </c>
      <c r="E477" s="9">
        <v>3.26336395395759E-3</v>
      </c>
      <c r="F477" s="9">
        <v>5.9190832413160255E-2</v>
      </c>
      <c r="G477" s="9">
        <v>5.9190832413160255E-2</v>
      </c>
      <c r="H477" s="35">
        <v>3.2580507379766088E-3</v>
      </c>
    </row>
    <row r="478" spans="2:8" x14ac:dyDescent="0.35">
      <c r="B478" s="6">
        <v>45616</v>
      </c>
      <c r="C478" s="7" t="s">
        <v>10</v>
      </c>
      <c r="D478" s="9">
        <v>7.3595718728064804E-3</v>
      </c>
      <c r="E478" s="9">
        <v>7.3595718728064804E-3</v>
      </c>
      <c r="F478" s="9">
        <v>6.6986023471322653E-2</v>
      </c>
      <c r="G478" s="9">
        <v>6.6986023471322653E-2</v>
      </c>
      <c r="H478" s="35">
        <v>7.3326223675023268E-3</v>
      </c>
    </row>
    <row r="479" spans="2:8" x14ac:dyDescent="0.35">
      <c r="B479" s="6">
        <v>45617</v>
      </c>
      <c r="C479" s="7" t="s">
        <v>10</v>
      </c>
      <c r="D479" s="9">
        <v>6.9314945555973796E-3</v>
      </c>
      <c r="E479" s="9">
        <v>6.9314945555973796E-3</v>
      </c>
      <c r="F479" s="9">
        <v>7.4381831283912625E-2</v>
      </c>
      <c r="G479" s="9">
        <v>7.4381831283912625E-2</v>
      </c>
      <c r="H479" s="35">
        <v>6.9075821826070178E-3</v>
      </c>
    </row>
    <row r="480" spans="2:8" x14ac:dyDescent="0.35">
      <c r="B480" s="6">
        <v>45618</v>
      </c>
      <c r="C480" s="7" t="s">
        <v>10</v>
      </c>
      <c r="D480" s="9">
        <v>1.54044072761149E-2</v>
      </c>
      <c r="E480" s="9">
        <v>1.54044072761149E-2</v>
      </c>
      <c r="F480" s="9">
        <v>9.0932046583068082E-2</v>
      </c>
      <c r="G480" s="9">
        <v>9.0932046583068082E-2</v>
      </c>
      <c r="H480" s="35">
        <v>1.5286963955177082E-2</v>
      </c>
    </row>
    <row r="481" spans="2:8" x14ac:dyDescent="0.35">
      <c r="B481" s="6">
        <v>45621</v>
      </c>
      <c r="C481" s="7" t="s">
        <v>10</v>
      </c>
      <c r="D481" s="9">
        <v>1.3360007764112E-2</v>
      </c>
      <c r="E481" s="9">
        <v>1.3360007764112E-2</v>
      </c>
      <c r="F481" s="9">
        <v>0.10550690719553657</v>
      </c>
      <c r="G481" s="9">
        <v>0.10550690719553657</v>
      </c>
      <c r="H481" s="35">
        <v>1.3271549854991044E-2</v>
      </c>
    </row>
    <row r="482" spans="2:8" x14ac:dyDescent="0.35">
      <c r="B482" s="6">
        <v>45622</v>
      </c>
      <c r="C482" s="7" t="s">
        <v>10</v>
      </c>
      <c r="D482" s="9">
        <v>1.4844642759972099E-3</v>
      </c>
      <c r="E482" s="9">
        <v>1.4844642759972099E-3</v>
      </c>
      <c r="F482" s="9">
        <v>0.10714799270613651</v>
      </c>
      <c r="G482" s="9">
        <v>0.10714799270613651</v>
      </c>
      <c r="H482" s="35">
        <v>1.4833635480967359E-3</v>
      </c>
    </row>
    <row r="483" spans="2:8" x14ac:dyDescent="0.35">
      <c r="B483" s="6">
        <v>45623</v>
      </c>
      <c r="C483" s="7" t="s">
        <v>10</v>
      </c>
      <c r="D483" s="9">
        <v>1.0226225204137299E-2</v>
      </c>
      <c r="E483" s="9">
        <v>1.0226225204137299E-2</v>
      </c>
      <c r="F483" s="9">
        <v>0.11846993741385803</v>
      </c>
      <c r="G483" s="9">
        <v>0.11846993741385803</v>
      </c>
      <c r="H483" s="35">
        <v>1.0174291122825641E-2</v>
      </c>
    </row>
    <row r="484" spans="2:8" x14ac:dyDescent="0.35">
      <c r="B484" s="6">
        <v>45625</v>
      </c>
      <c r="C484" s="7" t="s">
        <v>10</v>
      </c>
      <c r="D484" s="9">
        <v>-7.0996598617505103E-4</v>
      </c>
      <c r="E484" s="9">
        <v>-7.0996598617505103E-4</v>
      </c>
      <c r="F484" s="9">
        <v>0.11767586180173484</v>
      </c>
      <c r="G484" s="9">
        <v>0.11767586180173484</v>
      </c>
      <c r="H484" s="35">
        <v>-7.102181313758466E-4</v>
      </c>
    </row>
    <row r="485" spans="2:8" x14ac:dyDescent="0.35">
      <c r="B485" s="6">
        <v>45628</v>
      </c>
      <c r="C485" s="7" t="s">
        <v>10</v>
      </c>
      <c r="D485" s="9">
        <v>3.9183518809165802E-4</v>
      </c>
      <c r="E485" s="9">
        <v>3.9183518809165802E-4</v>
      </c>
      <c r="F485" s="9">
        <v>0.11811380653326942</v>
      </c>
      <c r="G485" s="9">
        <v>0.11811380653326942</v>
      </c>
      <c r="H485" s="35">
        <v>3.9175844073184774E-4</v>
      </c>
    </row>
    <row r="486" spans="2:8" x14ac:dyDescent="0.35">
      <c r="B486" s="6">
        <v>45629</v>
      </c>
      <c r="C486" s="7" t="s">
        <v>10</v>
      </c>
      <c r="D486" s="9">
        <v>-1.3900396631537301E-2</v>
      </c>
      <c r="E486" s="9">
        <v>-1.3900396631537301E-2</v>
      </c>
      <c r="F486" s="9">
        <v>0.10257158114325904</v>
      </c>
      <c r="G486" s="9">
        <v>0.10257158114325904</v>
      </c>
      <c r="H486" s="35">
        <v>-1.3997911866363597E-2</v>
      </c>
    </row>
    <row r="487" spans="2:8" x14ac:dyDescent="0.35">
      <c r="B487" s="6">
        <v>45630</v>
      </c>
      <c r="C487" s="7" t="s">
        <v>10</v>
      </c>
      <c r="D487" s="9">
        <v>5.31859171897221E-3</v>
      </c>
      <c r="E487" s="9">
        <v>5.31859171897221E-3</v>
      </c>
      <c r="F487" s="9">
        <v>0.10843570922430157</v>
      </c>
      <c r="G487" s="9">
        <v>0.10843570922430157</v>
      </c>
      <c r="H487" s="35">
        <v>5.3044979605806957E-3</v>
      </c>
    </row>
    <row r="488" spans="2:8" x14ac:dyDescent="0.35">
      <c r="B488" s="6">
        <v>45631</v>
      </c>
      <c r="C488" s="7" t="s">
        <v>10</v>
      </c>
      <c r="D488" s="9">
        <v>-5.3534097051715799E-3</v>
      </c>
      <c r="E488" s="9">
        <v>-5.3534097051715799E-3</v>
      </c>
      <c r="F488" s="9">
        <v>0.10250179874098131</v>
      </c>
      <c r="G488" s="9">
        <v>0.10250179874098131</v>
      </c>
      <c r="H488" s="35">
        <v>-5.3677905502400028E-3</v>
      </c>
    </row>
    <row r="489" spans="2:8" x14ac:dyDescent="0.35">
      <c r="B489" s="6">
        <v>45632</v>
      </c>
      <c r="C489" s="7" t="s">
        <v>10</v>
      </c>
      <c r="D489" s="9">
        <v>1.0851748785944301E-2</v>
      </c>
      <c r="E489" s="9">
        <v>1.0851748785944301E-2</v>
      </c>
      <c r="F489" s="9">
        <v>0.11446587129697017</v>
      </c>
      <c r="G489" s="9">
        <v>0.11446587129697017</v>
      </c>
      <c r="H489" s="35">
        <v>1.0793291091980699E-2</v>
      </c>
    </row>
    <row r="490" spans="2:8" x14ac:dyDescent="0.35">
      <c r="B490" s="6">
        <v>45635</v>
      </c>
      <c r="C490" s="7" t="s">
        <v>10</v>
      </c>
      <c r="D490" s="9">
        <v>-7.6001787769336296E-4</v>
      </c>
      <c r="E490" s="9">
        <v>-7.6001787769336296E-4</v>
      </c>
      <c r="F490" s="9">
        <v>0.11361885731070531</v>
      </c>
      <c r="G490" s="9">
        <v>0.11361885731070531</v>
      </c>
      <c r="H490" s="35">
        <v>-7.6030683769963913E-4</v>
      </c>
    </row>
    <row r="491" spans="2:8" x14ac:dyDescent="0.35">
      <c r="B491" s="6">
        <v>45636</v>
      </c>
      <c r="C491" s="7" t="s">
        <v>10</v>
      </c>
      <c r="D491" s="9">
        <v>-8.1936926717014105E-3</v>
      </c>
      <c r="E491" s="9">
        <v>-8.1936926717014105E-3</v>
      </c>
      <c r="F491" s="9">
        <v>0.10449420664049014</v>
      </c>
      <c r="G491" s="9">
        <v>0.10449420664049014</v>
      </c>
      <c r="H491" s="35">
        <v>-8.2274454713231714E-3</v>
      </c>
    </row>
    <row r="492" spans="2:8" x14ac:dyDescent="0.35">
      <c r="B492" s="6">
        <v>45637</v>
      </c>
      <c r="C492" s="7" t="s">
        <v>10</v>
      </c>
      <c r="D492" s="9">
        <v>-2.9651222323163599E-3</v>
      </c>
      <c r="E492" s="9">
        <v>-2.9651222323163599E-3</v>
      </c>
      <c r="F492" s="9">
        <v>0.10121924631291579</v>
      </c>
      <c r="G492" s="9">
        <v>0.10121924631291579</v>
      </c>
      <c r="H492" s="35">
        <v>-2.9695269163485367E-3</v>
      </c>
    </row>
    <row r="493" spans="2:8" x14ac:dyDescent="0.35">
      <c r="B493" s="6">
        <v>45638</v>
      </c>
      <c r="C493" s="7" t="s">
        <v>10</v>
      </c>
      <c r="D493" s="9">
        <v>-1.9958832449819001E-2</v>
      </c>
      <c r="E493" s="9">
        <v>-1.9958832449819001E-2</v>
      </c>
      <c r="F493" s="9">
        <v>7.924019588524045E-2</v>
      </c>
      <c r="G493" s="9">
        <v>7.924019588524045E-2</v>
      </c>
      <c r="H493" s="35">
        <v>-2.016070049555202E-2</v>
      </c>
    </row>
    <row r="494" spans="2:8" x14ac:dyDescent="0.35">
      <c r="B494" s="6">
        <v>45639</v>
      </c>
      <c r="C494" s="7" t="s">
        <v>10</v>
      </c>
      <c r="D494" s="9">
        <v>-7.9008314232967194E-3</v>
      </c>
      <c r="E494" s="9">
        <v>-7.9008314232967194E-3</v>
      </c>
      <c r="F494" s="9">
        <v>7.0713301032305553E-2</v>
      </c>
      <c r="G494" s="9">
        <v>7.0713301032305553E-2</v>
      </c>
      <c r="H494" s="35">
        <v>-7.9322083704744528E-3</v>
      </c>
    </row>
    <row r="495" spans="2:8" x14ac:dyDescent="0.35">
      <c r="B495" s="6">
        <v>45642</v>
      </c>
      <c r="C495" s="7" t="s">
        <v>10</v>
      </c>
      <c r="D495" s="9">
        <v>7.7825737826234002E-3</v>
      </c>
      <c r="E495" s="9">
        <v>7.7825737826234002E-3</v>
      </c>
      <c r="F495" s="9">
        <v>7.9046206297625599E-2</v>
      </c>
      <c r="G495" s="9">
        <v>7.9046206297625599E-2</v>
      </c>
      <c r="H495" s="35">
        <v>7.7524457699771222E-3</v>
      </c>
    </row>
    <row r="496" spans="2:8" x14ac:dyDescent="0.35">
      <c r="B496" s="6">
        <v>45643</v>
      </c>
      <c r="C496" s="7" t="s">
        <v>10</v>
      </c>
      <c r="D496" s="9">
        <v>4.1424595407136503E-3</v>
      </c>
      <c r="E496" s="9">
        <v>4.1424595407136503E-3</v>
      </c>
      <c r="F496" s="9">
        <v>8.3516111549774008E-2</v>
      </c>
      <c r="G496" s="9">
        <v>8.3516111549774008E-2</v>
      </c>
      <c r="H496" s="35">
        <v>4.1339031766459118E-3</v>
      </c>
    </row>
    <row r="497" spans="2:8" x14ac:dyDescent="0.35">
      <c r="B497" s="6">
        <v>45644</v>
      </c>
      <c r="C497" s="7" t="s">
        <v>10</v>
      </c>
      <c r="D497" s="9">
        <v>-3.99311845547555E-2</v>
      </c>
      <c r="E497" s="9">
        <v>-3.99311845547555E-2</v>
      </c>
      <c r="F497" s="9">
        <v>4.0250029731428993E-2</v>
      </c>
      <c r="G497" s="9">
        <v>4.0250029731428993E-2</v>
      </c>
      <c r="H497" s="35">
        <v>-4.0750314333878081E-2</v>
      </c>
    </row>
    <row r="498" spans="2:8" x14ac:dyDescent="0.35">
      <c r="B498" s="6">
        <v>45645</v>
      </c>
      <c r="C498" s="7" t="s">
        <v>10</v>
      </c>
      <c r="D498" s="9">
        <v>-6.88531118180097E-3</v>
      </c>
      <c r="E498" s="9">
        <v>-6.88531118180097E-3</v>
      </c>
      <c r="F498" s="9">
        <v>3.3087584569850392E-2</v>
      </c>
      <c r="G498" s="9">
        <v>3.3087584569850392E-2</v>
      </c>
      <c r="H498" s="35">
        <v>-6.9091243069699781E-3</v>
      </c>
    </row>
    <row r="499" spans="2:8" x14ac:dyDescent="0.35">
      <c r="B499" s="6">
        <v>45646</v>
      </c>
      <c r="C499" s="7" t="s">
        <v>10</v>
      </c>
      <c r="D499" s="9">
        <v>9.1220626631851997E-3</v>
      </c>
      <c r="E499" s="9">
        <v>9.1220626631851997E-3</v>
      </c>
      <c r="F499" s="9">
        <v>4.2511474252855175E-2</v>
      </c>
      <c r="G499" s="9">
        <v>4.2511474252855175E-2</v>
      </c>
      <c r="H499" s="35">
        <v>9.0807079528222173E-3</v>
      </c>
    </row>
    <row r="500" spans="2:8" x14ac:dyDescent="0.35">
      <c r="B500" s="6">
        <v>45649</v>
      </c>
      <c r="C500" s="7" t="s">
        <v>10</v>
      </c>
      <c r="D500" s="9">
        <v>8.2079501378004502E-3</v>
      </c>
      <c r="E500" s="9">
        <v>8.2079501378004502E-3</v>
      </c>
      <c r="F500" s="9">
        <v>5.1068356451607455E-2</v>
      </c>
      <c r="G500" s="9">
        <v>5.1068356451607455E-2</v>
      </c>
      <c r="H500" s="35">
        <v>8.1744481121932208E-3</v>
      </c>
    </row>
    <row r="501" spans="2:8" x14ac:dyDescent="0.35">
      <c r="B501" s="6">
        <v>45650</v>
      </c>
      <c r="C501" s="7" t="s">
        <v>10</v>
      </c>
      <c r="D501" s="9">
        <v>2.0622052764958602E-3</v>
      </c>
      <c r="E501" s="9">
        <v>2.0622052764958602E-3</v>
      </c>
      <c r="F501" s="9">
        <v>5.323587516223971E-2</v>
      </c>
      <c r="G501" s="9">
        <v>5.323587516223971E-2</v>
      </c>
      <c r="H501" s="35">
        <v>2.0600818499877083E-3</v>
      </c>
    </row>
    <row r="502" spans="2:8" x14ac:dyDescent="0.35">
      <c r="B502" s="6">
        <v>45652</v>
      </c>
      <c r="C502" s="7" t="s">
        <v>10</v>
      </c>
      <c r="D502" s="9">
        <v>6.4482788583344001E-3</v>
      </c>
      <c r="E502" s="9">
        <v>6.4482788583344001E-3</v>
      </c>
      <c r="F502" s="9">
        <v>6.0027433788887752E-2</v>
      </c>
      <c r="G502" s="9">
        <v>6.0027433788887752E-2</v>
      </c>
      <c r="H502" s="35">
        <v>6.427577651994777E-3</v>
      </c>
    </row>
    <row r="503" spans="2:8" x14ac:dyDescent="0.35">
      <c r="B503" s="6">
        <v>45653</v>
      </c>
      <c r="C503" s="7" t="s">
        <v>10</v>
      </c>
      <c r="D503" s="9">
        <v>-1.02897674862431E-2</v>
      </c>
      <c r="E503" s="9">
        <v>-1.02897674862431E-2</v>
      </c>
      <c r="F503" s="9">
        <v>4.9119997966161177E-2</v>
      </c>
      <c r="G503" s="9">
        <v>4.9119997966161177E-2</v>
      </c>
      <c r="H503" s="35">
        <v>-1.0343073127425086E-2</v>
      </c>
    </row>
    <row r="504" spans="2:8" x14ac:dyDescent="0.35">
      <c r="B504" s="6">
        <v>45656</v>
      </c>
      <c r="C504" s="7" t="s">
        <v>10</v>
      </c>
      <c r="D504" s="9">
        <v>-1.5385074503520399E-2</v>
      </c>
      <c r="E504" s="9">
        <v>-1.5385074503520399E-2</v>
      </c>
      <c r="F504" s="9">
        <v>3.297920863431858E-2</v>
      </c>
      <c r="G504" s="9">
        <v>3.297920863431858E-2</v>
      </c>
      <c r="H504" s="35">
        <v>-1.5504652828711921E-2</v>
      </c>
    </row>
    <row r="505" spans="2:8" x14ac:dyDescent="0.35">
      <c r="B505" s="6">
        <v>45657</v>
      </c>
      <c r="C505" s="7" t="s">
        <v>10</v>
      </c>
      <c r="D505" s="9">
        <v>5.0079852651458198E-3</v>
      </c>
      <c r="E505" s="9">
        <v>5.0079852651458198E-3</v>
      </c>
      <c r="F505" s="9">
        <v>3.8152353290361374E-2</v>
      </c>
      <c r="G505" s="9">
        <v>3.8152353290361374E-2</v>
      </c>
      <c r="H505" s="35">
        <v>4.9954870169320632E-3</v>
      </c>
    </row>
    <row r="506" spans="2:8" x14ac:dyDescent="0.35">
      <c r="B506" s="6"/>
      <c r="C506" s="7"/>
      <c r="D506" s="9"/>
      <c r="E506" s="9"/>
      <c r="F506" s="9"/>
      <c r="G506" s="9"/>
      <c r="H506" s="35"/>
    </row>
    <row r="507" spans="2:8" x14ac:dyDescent="0.35">
      <c r="B507" s="6"/>
      <c r="C507" s="7"/>
      <c r="D507" s="9"/>
      <c r="E507" s="9"/>
      <c r="F507" s="9"/>
      <c r="G507" s="9"/>
      <c r="H507" s="35"/>
    </row>
    <row r="508" spans="2:8" x14ac:dyDescent="0.35">
      <c r="B508" s="6"/>
      <c r="C508" s="7"/>
      <c r="D508" s="9"/>
      <c r="E508" s="9"/>
      <c r="F508" s="9"/>
      <c r="G508" s="9"/>
      <c r="H508" s="35"/>
    </row>
    <row r="509" spans="2:8" x14ac:dyDescent="0.35">
      <c r="B509" s="6"/>
      <c r="C509" s="7"/>
      <c r="D509" s="9"/>
      <c r="E509" s="9"/>
      <c r="F509" s="9"/>
      <c r="G509" s="9"/>
      <c r="H509" s="35"/>
    </row>
    <row r="510" spans="2:8" x14ac:dyDescent="0.35">
      <c r="B510" s="6"/>
      <c r="C510" s="7"/>
      <c r="D510" s="9"/>
      <c r="E510" s="9"/>
      <c r="F510" s="9"/>
      <c r="G510" s="9"/>
      <c r="H510" s="35"/>
    </row>
    <row r="511" spans="2:8" x14ac:dyDescent="0.35">
      <c r="B511" s="6"/>
      <c r="C511" s="7"/>
      <c r="D511" s="9"/>
      <c r="E511" s="9"/>
      <c r="F511" s="9"/>
      <c r="G511" s="9"/>
      <c r="H511" s="35"/>
    </row>
    <row r="512" spans="2:8" x14ac:dyDescent="0.35">
      <c r="B512" s="6"/>
      <c r="C512" s="7"/>
      <c r="D512" s="9"/>
      <c r="E512" s="9"/>
      <c r="F512" s="9"/>
      <c r="G512" s="9"/>
      <c r="H512" s="35"/>
    </row>
    <row r="513" spans="2:8" x14ac:dyDescent="0.35">
      <c r="B513" s="6"/>
      <c r="C513" s="7"/>
      <c r="D513" s="9"/>
      <c r="E513" s="9"/>
      <c r="F513" s="9"/>
      <c r="G513" s="9"/>
      <c r="H513" s="35"/>
    </row>
    <row r="514" spans="2:8" x14ac:dyDescent="0.35">
      <c r="B514" s="6"/>
      <c r="C514" s="7"/>
      <c r="D514" s="9"/>
      <c r="E514" s="9"/>
      <c r="F514" s="9"/>
      <c r="G514" s="9"/>
      <c r="H514" s="35"/>
    </row>
    <row r="515" spans="2:8" x14ac:dyDescent="0.35">
      <c r="B515" s="6"/>
      <c r="C515" s="7"/>
      <c r="D515" s="9"/>
      <c r="E515" s="9"/>
      <c r="F515" s="9"/>
      <c r="G515" s="9"/>
      <c r="H515" s="35"/>
    </row>
    <row r="516" spans="2:8" x14ac:dyDescent="0.35">
      <c r="B516" s="6"/>
      <c r="C516" s="7"/>
      <c r="D516" s="9"/>
      <c r="E516" s="9"/>
      <c r="F516" s="9"/>
      <c r="G516" s="9"/>
      <c r="H516" s="35"/>
    </row>
    <row r="517" spans="2:8" x14ac:dyDescent="0.35">
      <c r="B517" s="6"/>
      <c r="C517" s="7"/>
      <c r="D517" s="9"/>
      <c r="E517" s="9"/>
      <c r="F517" s="9"/>
      <c r="G517" s="9"/>
      <c r="H517" s="35"/>
    </row>
    <row r="518" spans="2:8" x14ac:dyDescent="0.35">
      <c r="B518" s="6"/>
      <c r="C518" s="7"/>
      <c r="D518" s="9"/>
      <c r="E518" s="9"/>
      <c r="F518" s="9"/>
      <c r="G518" s="9"/>
      <c r="H518" s="35"/>
    </row>
    <row r="519" spans="2:8" x14ac:dyDescent="0.35">
      <c r="B519" s="6"/>
      <c r="C519" s="7"/>
      <c r="D519" s="9"/>
      <c r="E519" s="9"/>
      <c r="F519" s="9"/>
      <c r="G519" s="9"/>
      <c r="H519" s="35"/>
    </row>
    <row r="520" spans="2:8" x14ac:dyDescent="0.35">
      <c r="B520" s="6"/>
      <c r="C520" s="7"/>
      <c r="D520" s="9"/>
      <c r="E520" s="9"/>
      <c r="F520" s="9"/>
      <c r="G520" s="9"/>
      <c r="H520" s="35"/>
    </row>
    <row r="521" spans="2:8" x14ac:dyDescent="0.35">
      <c r="B521" s="6"/>
      <c r="C521" s="7"/>
      <c r="D521" s="9"/>
      <c r="E521" s="9"/>
      <c r="F521" s="9"/>
      <c r="G521" s="9"/>
      <c r="H521" s="35"/>
    </row>
    <row r="522" spans="2:8" x14ac:dyDescent="0.35">
      <c r="B522" s="6"/>
      <c r="C522" s="7"/>
      <c r="D522" s="9"/>
      <c r="E522" s="9"/>
      <c r="F522" s="9"/>
      <c r="G522" s="9"/>
      <c r="H522" s="35"/>
    </row>
    <row r="523" spans="2:8" x14ac:dyDescent="0.35">
      <c r="B523" s="6"/>
      <c r="C523" s="7"/>
      <c r="D523" s="9"/>
      <c r="E523" s="9"/>
      <c r="F523" s="9"/>
      <c r="G523" s="9"/>
      <c r="H523" s="35"/>
    </row>
    <row r="524" spans="2:8" x14ac:dyDescent="0.35">
      <c r="B524" s="6"/>
      <c r="C524" s="7"/>
      <c r="D524" s="9"/>
      <c r="E524" s="9"/>
      <c r="F524" s="9"/>
      <c r="G524" s="9"/>
      <c r="H524" s="35"/>
    </row>
    <row r="525" spans="2:8" x14ac:dyDescent="0.35">
      <c r="B525" s="6"/>
      <c r="C525" s="7"/>
      <c r="D525" s="9"/>
      <c r="E525" s="9"/>
      <c r="F525" s="9"/>
      <c r="G525" s="9"/>
      <c r="H525" s="35"/>
    </row>
    <row r="526" spans="2:8" x14ac:dyDescent="0.35">
      <c r="B526" s="6"/>
      <c r="C526" s="7"/>
      <c r="D526" s="9"/>
      <c r="E526" s="9"/>
      <c r="F526" s="9"/>
      <c r="G526" s="9"/>
      <c r="H526" s="35"/>
    </row>
    <row r="527" spans="2:8" x14ac:dyDescent="0.35">
      <c r="B527" s="6"/>
      <c r="C527" s="7"/>
      <c r="D527" s="9"/>
      <c r="E527" s="9"/>
      <c r="F527" s="9"/>
      <c r="G527" s="9"/>
      <c r="H527" s="35"/>
    </row>
    <row r="528" spans="2:8" x14ac:dyDescent="0.35">
      <c r="B528" s="6"/>
      <c r="C528" s="7"/>
      <c r="D528" s="9"/>
      <c r="E528" s="9"/>
      <c r="F528" s="9"/>
      <c r="G528" s="9"/>
      <c r="H528" s="35"/>
    </row>
    <row r="529" spans="2:8" x14ac:dyDescent="0.35">
      <c r="B529" s="6"/>
      <c r="C529" s="7"/>
      <c r="D529" s="9"/>
      <c r="E529" s="9"/>
      <c r="F529" s="9"/>
      <c r="G529" s="9"/>
      <c r="H529" s="35"/>
    </row>
    <row r="530" spans="2:8" x14ac:dyDescent="0.35">
      <c r="B530" s="6"/>
      <c r="C530" s="7"/>
      <c r="D530" s="9"/>
      <c r="E530" s="9"/>
      <c r="F530" s="9"/>
      <c r="G530" s="9"/>
      <c r="H530" s="35"/>
    </row>
    <row r="531" spans="2:8" x14ac:dyDescent="0.35">
      <c r="B531" s="6"/>
      <c r="C531" s="7"/>
      <c r="D531" s="9"/>
      <c r="E531" s="9"/>
      <c r="F531" s="9"/>
      <c r="G531" s="9"/>
      <c r="H531" s="35"/>
    </row>
    <row r="532" spans="2:8" x14ac:dyDescent="0.35">
      <c r="B532" s="6"/>
      <c r="C532" s="7"/>
      <c r="D532" s="9"/>
      <c r="E532" s="9"/>
      <c r="F532" s="9"/>
      <c r="G532" s="9"/>
      <c r="H532" s="35"/>
    </row>
    <row r="533" spans="2:8" x14ac:dyDescent="0.35">
      <c r="B533" s="6"/>
      <c r="C533" s="7"/>
      <c r="D533" s="9"/>
      <c r="E533" s="9"/>
      <c r="F533" s="9"/>
      <c r="G533" s="9"/>
      <c r="H533" s="35"/>
    </row>
    <row r="534" spans="2:8" x14ac:dyDescent="0.35">
      <c r="B534" s="6"/>
      <c r="C534" s="7"/>
      <c r="D534" s="9"/>
      <c r="E534" s="9"/>
      <c r="F534" s="9"/>
      <c r="G534" s="9"/>
      <c r="H534" s="35"/>
    </row>
    <row r="535" spans="2:8" x14ac:dyDescent="0.35">
      <c r="B535" s="6"/>
      <c r="C535" s="7"/>
      <c r="D535" s="9"/>
      <c r="E535" s="9"/>
      <c r="F535" s="9"/>
      <c r="G535" s="9"/>
      <c r="H535" s="35"/>
    </row>
    <row r="536" spans="2:8" x14ac:dyDescent="0.35">
      <c r="B536" s="6"/>
      <c r="C536" s="7"/>
      <c r="D536" s="9"/>
      <c r="E536" s="9"/>
      <c r="F536" s="9"/>
      <c r="G536" s="9"/>
      <c r="H536" s="35"/>
    </row>
    <row r="537" spans="2:8" x14ac:dyDescent="0.35">
      <c r="B537" s="6"/>
      <c r="C537" s="7"/>
      <c r="D537" s="9"/>
      <c r="E537" s="9"/>
      <c r="F537" s="9"/>
      <c r="G537" s="9"/>
      <c r="H537" s="35"/>
    </row>
    <row r="538" spans="2:8" x14ac:dyDescent="0.35">
      <c r="B538" s="6"/>
      <c r="C538" s="7"/>
      <c r="D538" s="9"/>
      <c r="E538" s="9"/>
      <c r="F538" s="9"/>
      <c r="G538" s="9"/>
      <c r="H538" s="35"/>
    </row>
    <row r="539" spans="2:8" x14ac:dyDescent="0.35">
      <c r="B539" s="6"/>
      <c r="C539" s="7"/>
      <c r="D539" s="9"/>
      <c r="E539" s="9"/>
      <c r="F539" s="9"/>
      <c r="G539" s="9"/>
      <c r="H539" s="35"/>
    </row>
    <row r="540" spans="2:8" x14ac:dyDescent="0.35">
      <c r="B540" s="6"/>
      <c r="C540" s="7"/>
      <c r="D540" s="9"/>
      <c r="E540" s="9"/>
      <c r="F540" s="9"/>
      <c r="G540" s="9"/>
      <c r="H540" s="35"/>
    </row>
    <row r="541" spans="2:8" x14ac:dyDescent="0.35">
      <c r="B541" s="6"/>
      <c r="C541" s="7"/>
      <c r="D541" s="9"/>
      <c r="E541" s="9"/>
      <c r="F541" s="9"/>
      <c r="G541" s="9"/>
      <c r="H541" s="35"/>
    </row>
    <row r="542" spans="2:8" x14ac:dyDescent="0.35">
      <c r="B542" s="6"/>
      <c r="C542" s="7"/>
      <c r="D542" s="9"/>
      <c r="E542" s="9"/>
      <c r="F542" s="9"/>
      <c r="G542" s="9"/>
      <c r="H542" s="35"/>
    </row>
    <row r="543" spans="2:8" x14ac:dyDescent="0.35">
      <c r="B543" s="6"/>
      <c r="C543" s="7"/>
      <c r="D543" s="9"/>
      <c r="E543" s="9"/>
      <c r="F543" s="9"/>
      <c r="G543" s="9"/>
      <c r="H543" s="35"/>
    </row>
    <row r="544" spans="2:8" x14ac:dyDescent="0.35">
      <c r="B544" s="6"/>
      <c r="C544" s="7"/>
      <c r="D544" s="9"/>
      <c r="E544" s="9"/>
      <c r="F544" s="9"/>
      <c r="G544" s="9"/>
      <c r="H544" s="35"/>
    </row>
    <row r="545" spans="2:8" x14ac:dyDescent="0.35">
      <c r="B545" s="6"/>
      <c r="C545" s="7"/>
      <c r="D545" s="9"/>
      <c r="E545" s="9"/>
      <c r="F545" s="9"/>
      <c r="G545" s="9"/>
      <c r="H545" s="35"/>
    </row>
    <row r="546" spans="2:8" x14ac:dyDescent="0.35">
      <c r="B546" s="6"/>
      <c r="C546" s="7"/>
      <c r="D546" s="9"/>
      <c r="E546" s="9"/>
      <c r="F546" s="9"/>
      <c r="G546" s="9"/>
      <c r="H546" s="35"/>
    </row>
    <row r="547" spans="2:8" x14ac:dyDescent="0.35">
      <c r="B547" s="6"/>
      <c r="C547" s="7"/>
      <c r="D547" s="9"/>
      <c r="E547" s="9"/>
      <c r="F547" s="9"/>
      <c r="G547" s="9"/>
      <c r="H547" s="35"/>
    </row>
    <row r="548" spans="2:8" x14ac:dyDescent="0.35">
      <c r="B548" s="6"/>
      <c r="C548" s="7"/>
      <c r="D548" s="9"/>
      <c r="E548" s="9"/>
      <c r="F548" s="9"/>
      <c r="G548" s="9"/>
      <c r="H548" s="35"/>
    </row>
    <row r="549" spans="2:8" x14ac:dyDescent="0.35">
      <c r="B549" s="6"/>
      <c r="C549" s="7"/>
      <c r="D549" s="9"/>
      <c r="E549" s="9"/>
      <c r="F549" s="9"/>
      <c r="G549" s="9"/>
      <c r="H549" s="35"/>
    </row>
    <row r="550" spans="2:8" x14ac:dyDescent="0.35">
      <c r="B550" s="6"/>
      <c r="C550" s="7"/>
      <c r="D550" s="9"/>
      <c r="E550" s="9"/>
      <c r="F550" s="9"/>
      <c r="G550" s="9"/>
      <c r="H550" s="35"/>
    </row>
    <row r="551" spans="2:8" x14ac:dyDescent="0.35">
      <c r="B551" s="6"/>
      <c r="C551" s="7"/>
      <c r="D551" s="9"/>
      <c r="E551" s="9"/>
      <c r="F551" s="9"/>
      <c r="G551" s="9"/>
      <c r="H551" s="35"/>
    </row>
    <row r="552" spans="2:8" x14ac:dyDescent="0.35">
      <c r="B552" s="6"/>
      <c r="C552" s="7"/>
      <c r="D552" s="9"/>
      <c r="E552" s="9"/>
      <c r="F552" s="9"/>
      <c r="G552" s="9"/>
      <c r="H552" s="35"/>
    </row>
    <row r="553" spans="2:8" x14ac:dyDescent="0.35">
      <c r="B553" s="6"/>
      <c r="C553" s="7"/>
      <c r="D553" s="9"/>
      <c r="E553" s="9"/>
      <c r="F553" s="9"/>
      <c r="G553" s="9"/>
      <c r="H553" s="35"/>
    </row>
    <row r="554" spans="2:8" x14ac:dyDescent="0.35">
      <c r="B554" s="6"/>
      <c r="C554" s="7"/>
      <c r="D554" s="9"/>
      <c r="E554" s="9"/>
      <c r="F554" s="9"/>
      <c r="G554" s="9"/>
      <c r="H554" s="35"/>
    </row>
    <row r="555" spans="2:8" x14ac:dyDescent="0.35">
      <c r="B555" s="6"/>
      <c r="C555" s="7"/>
      <c r="D555" s="9"/>
      <c r="E555" s="9"/>
      <c r="F555" s="9"/>
      <c r="G555" s="9"/>
      <c r="H555" s="35"/>
    </row>
    <row r="556" spans="2:8" x14ac:dyDescent="0.35">
      <c r="B556" s="6"/>
      <c r="C556" s="7"/>
      <c r="D556" s="9"/>
      <c r="E556" s="9"/>
      <c r="F556" s="9"/>
      <c r="G556" s="9"/>
      <c r="H556" s="35"/>
    </row>
    <row r="557" spans="2:8" x14ac:dyDescent="0.35">
      <c r="B557" s="6"/>
      <c r="C557" s="7"/>
      <c r="D557" s="9"/>
      <c r="E557" s="9"/>
      <c r="F557" s="9"/>
      <c r="G557" s="9"/>
      <c r="H557" s="35"/>
    </row>
    <row r="558" spans="2:8" x14ac:dyDescent="0.35">
      <c r="B558" s="6"/>
      <c r="C558" s="7"/>
      <c r="D558" s="9"/>
      <c r="E558" s="9"/>
      <c r="F558" s="9"/>
      <c r="G558" s="9"/>
      <c r="H558" s="35"/>
    </row>
    <row r="559" spans="2:8" x14ac:dyDescent="0.35">
      <c r="B559" s="6"/>
      <c r="C559" s="7"/>
      <c r="D559" s="9"/>
      <c r="E559" s="9"/>
      <c r="F559" s="9"/>
      <c r="G559" s="9"/>
      <c r="H559" s="35"/>
    </row>
    <row r="560" spans="2:8" x14ac:dyDescent="0.35">
      <c r="B560" s="6"/>
      <c r="C560" s="7"/>
      <c r="D560" s="9"/>
      <c r="E560" s="9"/>
      <c r="F560" s="9"/>
      <c r="G560" s="9"/>
      <c r="H560" s="35"/>
    </row>
    <row r="561" spans="2:8" x14ac:dyDescent="0.35">
      <c r="B561" s="6"/>
      <c r="C561" s="7"/>
      <c r="D561" s="9"/>
      <c r="E561" s="9"/>
      <c r="F561" s="9"/>
      <c r="G561" s="9"/>
      <c r="H561" s="35"/>
    </row>
    <row r="562" spans="2:8" x14ac:dyDescent="0.35">
      <c r="B562" s="6"/>
      <c r="C562" s="7"/>
      <c r="D562" s="9"/>
      <c r="E562" s="9"/>
      <c r="F562" s="9"/>
      <c r="G562" s="9"/>
      <c r="H562" s="35"/>
    </row>
    <row r="563" spans="2:8" x14ac:dyDescent="0.35">
      <c r="B563" s="6"/>
      <c r="C563" s="7"/>
      <c r="D563" s="9"/>
      <c r="E563" s="9"/>
      <c r="F563" s="9"/>
      <c r="G563" s="9"/>
      <c r="H563" s="35"/>
    </row>
    <row r="564" spans="2:8" x14ac:dyDescent="0.35">
      <c r="B564" s="6"/>
      <c r="C564" s="7"/>
      <c r="D564" s="9"/>
      <c r="E564" s="9"/>
      <c r="F564" s="9"/>
      <c r="G564" s="9"/>
      <c r="H564" s="35"/>
    </row>
    <row r="565" spans="2:8" x14ac:dyDescent="0.35">
      <c r="B565" s="6"/>
      <c r="C565" s="7"/>
      <c r="D565" s="9"/>
      <c r="E565" s="9"/>
      <c r="F565" s="9"/>
      <c r="G565" s="9"/>
      <c r="H565" s="35"/>
    </row>
    <row r="566" spans="2:8" x14ac:dyDescent="0.35">
      <c r="B566" s="6"/>
      <c r="C566" s="7"/>
      <c r="D566" s="9"/>
      <c r="E566" s="9"/>
      <c r="F566" s="9"/>
      <c r="G566" s="9"/>
      <c r="H566" s="35"/>
    </row>
    <row r="567" spans="2:8" x14ac:dyDescent="0.35">
      <c r="B567" s="6"/>
      <c r="C567" s="7"/>
      <c r="D567" s="9"/>
      <c r="E567" s="9"/>
      <c r="F567" s="9"/>
      <c r="G567" s="9"/>
      <c r="H567" s="35"/>
    </row>
    <row r="568" spans="2:8" x14ac:dyDescent="0.35">
      <c r="B568" s="6"/>
      <c r="C568" s="7"/>
      <c r="D568" s="9"/>
      <c r="E568" s="9"/>
      <c r="F568" s="9"/>
      <c r="G568" s="9"/>
      <c r="H568" s="35"/>
    </row>
    <row r="569" spans="2:8" x14ac:dyDescent="0.35">
      <c r="B569" s="6"/>
      <c r="C569" s="7"/>
      <c r="D569" s="9"/>
      <c r="E569" s="9"/>
      <c r="F569" s="9"/>
      <c r="G569" s="9"/>
      <c r="H569" s="35"/>
    </row>
    <row r="570" spans="2:8" x14ac:dyDescent="0.35">
      <c r="B570" s="6"/>
      <c r="C570" s="7"/>
      <c r="D570" s="9"/>
      <c r="E570" s="9"/>
      <c r="F570" s="9"/>
      <c r="G570" s="9"/>
      <c r="H570" s="35"/>
    </row>
    <row r="571" spans="2:8" x14ac:dyDescent="0.35">
      <c r="B571" s="6"/>
      <c r="C571" s="7"/>
      <c r="D571" s="9"/>
      <c r="E571" s="9"/>
      <c r="F571" s="9"/>
      <c r="G571" s="9"/>
      <c r="H571" s="35"/>
    </row>
    <row r="572" spans="2:8" x14ac:dyDescent="0.35">
      <c r="B572" s="6"/>
      <c r="C572" s="7"/>
      <c r="D572" s="9"/>
      <c r="E572" s="9"/>
      <c r="F572" s="9"/>
      <c r="G572" s="9"/>
      <c r="H572" s="35"/>
    </row>
    <row r="573" spans="2:8" x14ac:dyDescent="0.35">
      <c r="B573" s="6"/>
      <c r="C573" s="7"/>
      <c r="D573" s="9"/>
      <c r="E573" s="9"/>
      <c r="F573" s="9"/>
      <c r="G573" s="9"/>
      <c r="H573" s="35"/>
    </row>
    <row r="574" spans="2:8" x14ac:dyDescent="0.35">
      <c r="B574" s="6"/>
      <c r="C574" s="7"/>
      <c r="D574" s="9"/>
      <c r="E574" s="9"/>
      <c r="F574" s="9"/>
      <c r="G574" s="9"/>
      <c r="H574" s="35"/>
    </row>
    <row r="575" spans="2:8" x14ac:dyDescent="0.35">
      <c r="B575" s="6"/>
      <c r="C575" s="7"/>
      <c r="D575" s="9"/>
      <c r="E575" s="9"/>
      <c r="F575" s="9"/>
      <c r="G575" s="9"/>
      <c r="H575" s="35"/>
    </row>
    <row r="576" spans="2:8" x14ac:dyDescent="0.35">
      <c r="B576" s="6"/>
      <c r="C576" s="7"/>
      <c r="D576" s="9"/>
      <c r="E576" s="9"/>
      <c r="F576" s="9"/>
      <c r="G576" s="9"/>
      <c r="H576" s="35"/>
    </row>
    <row r="577" spans="2:8" x14ac:dyDescent="0.35">
      <c r="B577" s="6"/>
      <c r="C577" s="7"/>
      <c r="D577" s="9"/>
      <c r="E577" s="9"/>
      <c r="F577" s="9"/>
      <c r="G577" s="9"/>
      <c r="H577" s="35"/>
    </row>
    <row r="578" spans="2:8" x14ac:dyDescent="0.35">
      <c r="B578" s="6"/>
      <c r="C578" s="7"/>
      <c r="D578" s="9"/>
      <c r="E578" s="9"/>
      <c r="F578" s="9"/>
      <c r="G578" s="9"/>
      <c r="H578" s="35"/>
    </row>
    <row r="579" spans="2:8" x14ac:dyDescent="0.35">
      <c r="B579" s="6"/>
      <c r="C579" s="7"/>
      <c r="D579" s="9"/>
      <c r="E579" s="9"/>
      <c r="F579" s="9"/>
      <c r="G579" s="9"/>
      <c r="H579" s="35"/>
    </row>
    <row r="580" spans="2:8" x14ac:dyDescent="0.35">
      <c r="B580" s="6"/>
      <c r="C580" s="7"/>
      <c r="D580" s="9"/>
      <c r="E580" s="9"/>
      <c r="F580" s="9"/>
      <c r="G580" s="9"/>
      <c r="H580" s="35"/>
    </row>
    <row r="581" spans="2:8" x14ac:dyDescent="0.35">
      <c r="B581" s="6"/>
      <c r="C581" s="7"/>
      <c r="D581" s="9"/>
      <c r="E581" s="9"/>
      <c r="F581" s="9"/>
      <c r="G581" s="9"/>
      <c r="H581" s="35"/>
    </row>
    <row r="582" spans="2:8" x14ac:dyDescent="0.35">
      <c r="B582" s="6"/>
      <c r="C582" s="7"/>
      <c r="D582" s="9"/>
      <c r="E582" s="9"/>
      <c r="F582" s="9"/>
      <c r="G582" s="9"/>
      <c r="H582" s="35"/>
    </row>
    <row r="583" spans="2:8" x14ac:dyDescent="0.35">
      <c r="B583" s="6"/>
      <c r="C583" s="7"/>
      <c r="D583" s="9"/>
      <c r="E583" s="9"/>
      <c r="F583" s="9"/>
      <c r="G583" s="9"/>
      <c r="H583" s="35"/>
    </row>
    <row r="584" spans="2:8" x14ac:dyDescent="0.35">
      <c r="B584" s="6"/>
      <c r="C584" s="7"/>
      <c r="D584" s="9"/>
      <c r="E584" s="9"/>
      <c r="F584" s="9"/>
      <c r="G584" s="9"/>
      <c r="H584" s="35"/>
    </row>
    <row r="585" spans="2:8" x14ac:dyDescent="0.35">
      <c r="B585" s="6"/>
      <c r="C585" s="7"/>
      <c r="D585" s="9"/>
      <c r="E585" s="9"/>
      <c r="F585" s="9"/>
      <c r="G585" s="9"/>
      <c r="H585" s="35"/>
    </row>
    <row r="586" spans="2:8" x14ac:dyDescent="0.35">
      <c r="B586" s="6"/>
      <c r="C586" s="7"/>
      <c r="D586" s="9"/>
      <c r="E586" s="9"/>
      <c r="F586" s="9"/>
      <c r="G586" s="9"/>
      <c r="H586" s="35"/>
    </row>
    <row r="587" spans="2:8" x14ac:dyDescent="0.35">
      <c r="B587" s="6"/>
      <c r="C587" s="7"/>
      <c r="D587" s="9"/>
      <c r="E587" s="9"/>
      <c r="F587" s="9"/>
      <c r="G587" s="9"/>
      <c r="H587" s="35"/>
    </row>
    <row r="588" spans="2:8" x14ac:dyDescent="0.35">
      <c r="B588" s="6"/>
      <c r="C588" s="7"/>
      <c r="D588" s="9"/>
      <c r="E588" s="9"/>
      <c r="F588" s="9"/>
      <c r="G588" s="9"/>
      <c r="H588" s="35"/>
    </row>
    <row r="589" spans="2:8" x14ac:dyDescent="0.35">
      <c r="B589" s="6"/>
      <c r="C589" s="7"/>
      <c r="D589" s="9"/>
      <c r="E589" s="9"/>
      <c r="F589" s="9"/>
      <c r="G589" s="9"/>
      <c r="H589" s="35"/>
    </row>
    <row r="590" spans="2:8" x14ac:dyDescent="0.35">
      <c r="B590" s="6"/>
      <c r="C590" s="7"/>
      <c r="D590" s="9"/>
      <c r="E590" s="9"/>
      <c r="F590" s="9"/>
      <c r="G590" s="9"/>
      <c r="H590" s="35"/>
    </row>
    <row r="591" spans="2:8" x14ac:dyDescent="0.35">
      <c r="B591" s="6"/>
      <c r="C591" s="7"/>
      <c r="D591" s="9"/>
      <c r="E591" s="9"/>
      <c r="F591" s="9"/>
      <c r="G591" s="9"/>
      <c r="H591" s="35"/>
    </row>
    <row r="592" spans="2:8" x14ac:dyDescent="0.35">
      <c r="B592" s="6"/>
      <c r="C592" s="7"/>
      <c r="D592" s="9"/>
      <c r="E592" s="9"/>
      <c r="F592" s="9"/>
      <c r="G592" s="9"/>
      <c r="H592" s="35"/>
    </row>
    <row r="593" spans="2:8" x14ac:dyDescent="0.35">
      <c r="B593" s="6"/>
      <c r="C593" s="7"/>
      <c r="D593" s="9"/>
      <c r="E593" s="9"/>
      <c r="F593" s="9"/>
      <c r="G593" s="9"/>
      <c r="H593" s="35"/>
    </row>
    <row r="594" spans="2:8" x14ac:dyDescent="0.35">
      <c r="B594" s="6"/>
      <c r="C594" s="7"/>
      <c r="D594" s="9"/>
      <c r="E594" s="9"/>
      <c r="F594" s="9"/>
      <c r="G594" s="9"/>
      <c r="H594" s="35"/>
    </row>
    <row r="595" spans="2:8" x14ac:dyDescent="0.35">
      <c r="B595" s="6"/>
      <c r="C595" s="7"/>
      <c r="D595" s="9"/>
      <c r="E595" s="9"/>
      <c r="F595" s="9"/>
      <c r="G595" s="9"/>
      <c r="H595" s="35"/>
    </row>
    <row r="596" spans="2:8" x14ac:dyDescent="0.35">
      <c r="B596" s="6"/>
      <c r="C596" s="7"/>
      <c r="D596" s="9"/>
      <c r="E596" s="9"/>
      <c r="F596" s="9"/>
      <c r="G596" s="9"/>
      <c r="H596" s="35"/>
    </row>
    <row r="597" spans="2:8" x14ac:dyDescent="0.35">
      <c r="B597" s="6"/>
      <c r="C597" s="7"/>
      <c r="D597" s="9"/>
      <c r="E597" s="9"/>
      <c r="F597" s="9"/>
      <c r="G597" s="9"/>
      <c r="H597" s="35"/>
    </row>
    <row r="598" spans="2:8" x14ac:dyDescent="0.35">
      <c r="B598" s="6"/>
      <c r="C598" s="7"/>
      <c r="D598" s="9"/>
      <c r="E598" s="9"/>
      <c r="F598" s="9"/>
      <c r="G598" s="9"/>
      <c r="H598" s="35"/>
    </row>
    <row r="599" spans="2:8" x14ac:dyDescent="0.35">
      <c r="B599" s="6"/>
      <c r="C599" s="7"/>
      <c r="D599" s="9"/>
      <c r="E599" s="9"/>
      <c r="F599" s="9"/>
      <c r="G599" s="9"/>
      <c r="H599" s="35"/>
    </row>
    <row r="600" spans="2:8" x14ac:dyDescent="0.35">
      <c r="B600" s="6"/>
      <c r="C600" s="7"/>
      <c r="D600" s="9"/>
      <c r="E600" s="9"/>
      <c r="F600" s="9"/>
      <c r="G600" s="9"/>
      <c r="H600" s="35"/>
    </row>
    <row r="601" spans="2:8" x14ac:dyDescent="0.35">
      <c r="B601" s="6"/>
      <c r="C601" s="7"/>
      <c r="D601" s="9"/>
      <c r="E601" s="9"/>
      <c r="F601" s="9"/>
      <c r="G601" s="9"/>
      <c r="H601" s="35"/>
    </row>
    <row r="602" spans="2:8" x14ac:dyDescent="0.35">
      <c r="B602" s="6"/>
      <c r="C602" s="7"/>
      <c r="D602" s="9"/>
      <c r="E602" s="9"/>
      <c r="F602" s="9"/>
      <c r="G602" s="9"/>
      <c r="H602" s="35"/>
    </row>
    <row r="603" spans="2:8" x14ac:dyDescent="0.35">
      <c r="B603" s="6"/>
      <c r="C603" s="7"/>
      <c r="D603" s="9"/>
      <c r="E603" s="9"/>
      <c r="F603" s="9"/>
      <c r="G603" s="9"/>
      <c r="H603" s="35"/>
    </row>
    <row r="604" spans="2:8" x14ac:dyDescent="0.35">
      <c r="B604" s="6"/>
      <c r="C604" s="7"/>
      <c r="D604" s="9"/>
      <c r="E604" s="9"/>
      <c r="F604" s="9"/>
      <c r="G604" s="9"/>
      <c r="H604" s="35"/>
    </row>
    <row r="605" spans="2:8" x14ac:dyDescent="0.35">
      <c r="B605" s="6"/>
      <c r="C605" s="7"/>
      <c r="D605" s="9"/>
      <c r="E605" s="9"/>
      <c r="F605" s="9"/>
      <c r="G605" s="9"/>
      <c r="H605" s="35"/>
    </row>
    <row r="606" spans="2:8" x14ac:dyDescent="0.35">
      <c r="B606" s="6"/>
      <c r="C606" s="7"/>
      <c r="D606" s="9"/>
      <c r="E606" s="9"/>
      <c r="F606" s="9"/>
      <c r="G606" s="9"/>
      <c r="H606" s="35"/>
    </row>
    <row r="607" spans="2:8" x14ac:dyDescent="0.35">
      <c r="B607" s="6"/>
      <c r="C607" s="7"/>
      <c r="D607" s="9"/>
      <c r="E607" s="9"/>
      <c r="F607" s="9"/>
      <c r="G607" s="9"/>
      <c r="H607" s="35"/>
    </row>
    <row r="608" spans="2:8" x14ac:dyDescent="0.35">
      <c r="B608" s="6"/>
      <c r="C608" s="7"/>
      <c r="D608" s="9"/>
      <c r="E608" s="9"/>
      <c r="F608" s="9"/>
      <c r="G608" s="9"/>
      <c r="H608" s="35"/>
    </row>
    <row r="609" spans="2:8" x14ac:dyDescent="0.35">
      <c r="B609" s="6"/>
      <c r="C609" s="7"/>
      <c r="D609" s="9"/>
      <c r="E609" s="9"/>
      <c r="F609" s="9"/>
      <c r="G609" s="9"/>
      <c r="H609" s="35"/>
    </row>
    <row r="610" spans="2:8" x14ac:dyDescent="0.35">
      <c r="B610" s="6"/>
      <c r="C610" s="7"/>
      <c r="D610" s="9"/>
      <c r="E610" s="9"/>
      <c r="F610" s="9"/>
      <c r="G610" s="9"/>
      <c r="H610" s="35"/>
    </row>
    <row r="611" spans="2:8" x14ac:dyDescent="0.35">
      <c r="B611" s="6"/>
      <c r="C611" s="7"/>
      <c r="D611" s="9"/>
      <c r="E611" s="9"/>
      <c r="F611" s="9"/>
      <c r="G611" s="9"/>
      <c r="H611" s="35"/>
    </row>
    <row r="612" spans="2:8" x14ac:dyDescent="0.35">
      <c r="B612" s="6"/>
      <c r="C612" s="7"/>
      <c r="D612" s="9"/>
      <c r="E612" s="9"/>
      <c r="F612" s="9"/>
      <c r="G612" s="9"/>
      <c r="H612" s="35"/>
    </row>
    <row r="613" spans="2:8" x14ac:dyDescent="0.35">
      <c r="B613" s="6"/>
      <c r="C613" s="7"/>
      <c r="D613" s="9"/>
      <c r="E613" s="9"/>
      <c r="F613" s="9"/>
      <c r="G613" s="9"/>
      <c r="H613" s="35"/>
    </row>
    <row r="614" spans="2:8" x14ac:dyDescent="0.35">
      <c r="B614" s="6"/>
      <c r="C614" s="7"/>
      <c r="D614" s="9"/>
      <c r="E614" s="9"/>
      <c r="F614" s="9"/>
      <c r="G614" s="9"/>
      <c r="H614" s="35"/>
    </row>
    <row r="615" spans="2:8" x14ac:dyDescent="0.35">
      <c r="B615" s="6"/>
      <c r="C615" s="7"/>
      <c r="D615" s="9"/>
      <c r="E615" s="9"/>
      <c r="F615" s="9"/>
      <c r="G615" s="9"/>
      <c r="H615" s="35"/>
    </row>
    <row r="616" spans="2:8" x14ac:dyDescent="0.35">
      <c r="B616" s="6"/>
      <c r="C616" s="7"/>
      <c r="D616" s="9"/>
      <c r="E616" s="9"/>
      <c r="F616" s="9"/>
      <c r="G616" s="9"/>
      <c r="H616" s="35"/>
    </row>
    <row r="617" spans="2:8" x14ac:dyDescent="0.35">
      <c r="B617" s="6"/>
      <c r="C617" s="7"/>
      <c r="D617" s="9"/>
      <c r="E617" s="9"/>
      <c r="F617" s="9"/>
      <c r="G617" s="9"/>
      <c r="H617" s="35"/>
    </row>
    <row r="618" spans="2:8" x14ac:dyDescent="0.35">
      <c r="B618" s="6"/>
      <c r="C618" s="7"/>
      <c r="D618" s="9"/>
      <c r="E618" s="9"/>
      <c r="F618" s="9"/>
      <c r="G618" s="9"/>
      <c r="H618" s="35"/>
    </row>
    <row r="619" spans="2:8" x14ac:dyDescent="0.35">
      <c r="B619" s="6"/>
      <c r="C619" s="7"/>
      <c r="D619" s="9"/>
      <c r="E619" s="9"/>
      <c r="F619" s="9"/>
      <c r="G619" s="9"/>
      <c r="H619" s="35"/>
    </row>
    <row r="620" spans="2:8" x14ac:dyDescent="0.35">
      <c r="B620" s="6"/>
      <c r="C620" s="7"/>
      <c r="D620" s="9"/>
      <c r="E620" s="9"/>
      <c r="F620" s="9"/>
      <c r="G620" s="9"/>
      <c r="H620" s="35"/>
    </row>
    <row r="621" spans="2:8" x14ac:dyDescent="0.35">
      <c r="B621" s="6"/>
      <c r="C621" s="7"/>
      <c r="D621" s="9"/>
      <c r="E621" s="9"/>
      <c r="F621" s="9"/>
      <c r="G621" s="9"/>
      <c r="H621" s="35"/>
    </row>
    <row r="622" spans="2:8" x14ac:dyDescent="0.35">
      <c r="B622" s="6"/>
      <c r="C622" s="7"/>
      <c r="D622" s="9"/>
      <c r="E622" s="9"/>
      <c r="F622" s="9"/>
      <c r="G622" s="9"/>
      <c r="H622" s="35"/>
    </row>
    <row r="623" spans="2:8" x14ac:dyDescent="0.35">
      <c r="B623" s="6"/>
      <c r="C623" s="7"/>
      <c r="D623" s="9"/>
      <c r="E623" s="9"/>
      <c r="F623" s="9"/>
      <c r="G623" s="9"/>
      <c r="H623" s="35"/>
    </row>
    <row r="624" spans="2:8" x14ac:dyDescent="0.35">
      <c r="B624" s="6"/>
      <c r="C624" s="7"/>
      <c r="D624" s="9"/>
      <c r="E624" s="9"/>
      <c r="F624" s="9"/>
      <c r="G624" s="9"/>
      <c r="H624" s="35"/>
    </row>
    <row r="625" spans="2:8" x14ac:dyDescent="0.35">
      <c r="B625" s="6"/>
      <c r="C625" s="7"/>
      <c r="D625" s="9"/>
      <c r="E625" s="9"/>
      <c r="F625" s="9"/>
      <c r="G625" s="9"/>
      <c r="H625" s="35"/>
    </row>
    <row r="626" spans="2:8" x14ac:dyDescent="0.35">
      <c r="B626" s="6"/>
      <c r="C626" s="7"/>
      <c r="D626" s="9"/>
      <c r="E626" s="9"/>
      <c r="F626" s="9"/>
      <c r="G626" s="9"/>
      <c r="H626" s="35"/>
    </row>
    <row r="627" spans="2:8" x14ac:dyDescent="0.35">
      <c r="B627" s="6"/>
      <c r="C627" s="7"/>
      <c r="D627" s="9"/>
      <c r="E627" s="9"/>
      <c r="F627" s="9"/>
      <c r="G627" s="9"/>
      <c r="H627" s="35"/>
    </row>
    <row r="628" spans="2:8" x14ac:dyDescent="0.35">
      <c r="B628" s="6"/>
      <c r="C628" s="7"/>
      <c r="D628" s="9"/>
      <c r="E628" s="9"/>
      <c r="F628" s="9"/>
      <c r="G628" s="9"/>
      <c r="H628" s="35"/>
    </row>
    <row r="629" spans="2:8" x14ac:dyDescent="0.35">
      <c r="B629" s="6"/>
      <c r="C629" s="7"/>
      <c r="D629" s="9"/>
      <c r="E629" s="9"/>
      <c r="F629" s="9"/>
      <c r="G629" s="9"/>
      <c r="H629" s="35"/>
    </row>
    <row r="630" spans="2:8" x14ac:dyDescent="0.35">
      <c r="B630" s="6"/>
      <c r="C630" s="7"/>
      <c r="D630" s="9"/>
      <c r="E630" s="9"/>
      <c r="F630" s="9"/>
      <c r="G630" s="9"/>
      <c r="H630" s="35"/>
    </row>
    <row r="631" spans="2:8" x14ac:dyDescent="0.35">
      <c r="B631" s="6"/>
      <c r="C631" s="7"/>
      <c r="D631" s="9"/>
      <c r="E631" s="9"/>
      <c r="F631" s="9"/>
      <c r="G631" s="9"/>
      <c r="H631" s="35"/>
    </row>
    <row r="632" spans="2:8" x14ac:dyDescent="0.35">
      <c r="B632" s="6"/>
      <c r="C632" s="7"/>
      <c r="D632" s="9"/>
      <c r="E632" s="9"/>
      <c r="F632" s="9"/>
      <c r="G632" s="9"/>
      <c r="H632" s="35"/>
    </row>
    <row r="633" spans="2:8" x14ac:dyDescent="0.35">
      <c r="B633" s="6"/>
      <c r="C633" s="7"/>
      <c r="D633" s="9"/>
      <c r="E633" s="9"/>
      <c r="F633" s="9"/>
      <c r="G633" s="9"/>
      <c r="H633" s="35"/>
    </row>
    <row r="634" spans="2:8" x14ac:dyDescent="0.35">
      <c r="B634" s="6"/>
      <c r="C634" s="7"/>
      <c r="D634" s="9"/>
      <c r="E634" s="9"/>
      <c r="F634" s="9"/>
      <c r="G634" s="9"/>
      <c r="H634" s="35"/>
    </row>
    <row r="635" spans="2:8" x14ac:dyDescent="0.35">
      <c r="B635" s="6"/>
      <c r="C635" s="7"/>
      <c r="D635" s="9"/>
      <c r="E635" s="9"/>
      <c r="F635" s="9"/>
      <c r="G635" s="9"/>
      <c r="H635" s="35"/>
    </row>
    <row r="636" spans="2:8" x14ac:dyDescent="0.35">
      <c r="B636" s="6"/>
      <c r="C636" s="7"/>
      <c r="D636" s="9"/>
      <c r="E636" s="9"/>
      <c r="F636" s="9"/>
      <c r="G636" s="9"/>
      <c r="H636" s="35"/>
    </row>
    <row r="637" spans="2:8" x14ac:dyDescent="0.35">
      <c r="B637" s="6"/>
      <c r="C637" s="7"/>
      <c r="D637" s="9"/>
      <c r="E637" s="9"/>
      <c r="F637" s="9"/>
      <c r="G637" s="9"/>
      <c r="H637" s="35"/>
    </row>
    <row r="638" spans="2:8" x14ac:dyDescent="0.35">
      <c r="B638" s="6"/>
      <c r="C638" s="7"/>
      <c r="D638" s="9"/>
      <c r="E638" s="9"/>
      <c r="F638" s="9"/>
      <c r="G638" s="9"/>
      <c r="H638" s="35"/>
    </row>
    <row r="639" spans="2:8" x14ac:dyDescent="0.35">
      <c r="B639" s="6"/>
      <c r="C639" s="7"/>
      <c r="D639" s="9"/>
      <c r="E639" s="9"/>
      <c r="F639" s="9"/>
      <c r="G639" s="9"/>
      <c r="H639" s="35"/>
    </row>
    <row r="640" spans="2:8" x14ac:dyDescent="0.35">
      <c r="B640" s="6"/>
      <c r="C640" s="7"/>
      <c r="D640" s="9"/>
      <c r="E640" s="9"/>
      <c r="F640" s="9"/>
      <c r="G640" s="9"/>
      <c r="H640" s="35"/>
    </row>
    <row r="641" spans="2:8" x14ac:dyDescent="0.35">
      <c r="B641" s="6"/>
      <c r="C641" s="7"/>
      <c r="D641" s="9"/>
      <c r="E641" s="9"/>
      <c r="F641" s="9"/>
      <c r="G641" s="9"/>
      <c r="H641" s="35"/>
    </row>
    <row r="642" spans="2:8" x14ac:dyDescent="0.35">
      <c r="B642" s="6"/>
      <c r="C642" s="7"/>
      <c r="D642" s="9"/>
      <c r="E642" s="9"/>
      <c r="F642" s="9"/>
      <c r="G642" s="9"/>
      <c r="H642" s="35"/>
    </row>
    <row r="643" spans="2:8" x14ac:dyDescent="0.35">
      <c r="B643" s="6"/>
      <c r="C643" s="7"/>
      <c r="D643" s="9"/>
      <c r="E643" s="9"/>
      <c r="F643" s="9"/>
      <c r="G643" s="9"/>
      <c r="H643" s="35"/>
    </row>
    <row r="644" spans="2:8" x14ac:dyDescent="0.35">
      <c r="B644" s="6"/>
      <c r="C644" s="7"/>
      <c r="D644" s="9"/>
      <c r="E644" s="9"/>
      <c r="F644" s="9"/>
      <c r="G644" s="9"/>
      <c r="H644" s="35"/>
    </row>
    <row r="645" spans="2:8" x14ac:dyDescent="0.35">
      <c r="B645" s="6"/>
      <c r="C645" s="7"/>
      <c r="D645" s="9"/>
      <c r="E645" s="9"/>
      <c r="F645" s="9"/>
      <c r="G645" s="9"/>
      <c r="H645" s="35"/>
    </row>
    <row r="646" spans="2:8" x14ac:dyDescent="0.35">
      <c r="B646" s="6"/>
      <c r="C646" s="7"/>
      <c r="D646" s="9"/>
      <c r="E646" s="9"/>
      <c r="F646" s="9"/>
      <c r="G646" s="9"/>
      <c r="H646" s="35"/>
    </row>
    <row r="647" spans="2:8" x14ac:dyDescent="0.35">
      <c r="B647" s="6"/>
      <c r="C647" s="7"/>
      <c r="D647" s="9"/>
      <c r="E647" s="9"/>
      <c r="F647" s="9"/>
      <c r="G647" s="9"/>
      <c r="H647" s="35"/>
    </row>
    <row r="648" spans="2:8" x14ac:dyDescent="0.35">
      <c r="B648" s="6"/>
      <c r="C648" s="7"/>
      <c r="D648" s="9"/>
      <c r="E648" s="9"/>
      <c r="F648" s="9"/>
      <c r="G648" s="9"/>
      <c r="H648" s="35"/>
    </row>
    <row r="649" spans="2:8" x14ac:dyDescent="0.35">
      <c r="B649" s="6"/>
      <c r="C649" s="7"/>
      <c r="D649" s="9"/>
      <c r="E649" s="9"/>
      <c r="F649" s="9"/>
      <c r="G649" s="9"/>
      <c r="H649" s="35"/>
    </row>
    <row r="650" spans="2:8" x14ac:dyDescent="0.35">
      <c r="B650" s="6"/>
      <c r="C650" s="7"/>
      <c r="D650" s="9"/>
      <c r="E650" s="9"/>
      <c r="F650" s="9"/>
      <c r="G650" s="9"/>
      <c r="H650" s="35"/>
    </row>
    <row r="651" spans="2:8" x14ac:dyDescent="0.35">
      <c r="B651" s="6"/>
      <c r="C651" s="7"/>
      <c r="D651" s="9"/>
      <c r="E651" s="9"/>
      <c r="F651" s="9"/>
      <c r="G651" s="9"/>
      <c r="H651" s="35"/>
    </row>
    <row r="652" spans="2:8" x14ac:dyDescent="0.35">
      <c r="B652" s="6"/>
      <c r="C652" s="7"/>
      <c r="D652" s="9"/>
      <c r="E652" s="9"/>
      <c r="F652" s="9"/>
      <c r="G652" s="9"/>
      <c r="H652" s="35"/>
    </row>
    <row r="653" spans="2:8" x14ac:dyDescent="0.35">
      <c r="B653" s="6"/>
      <c r="C653" s="7"/>
      <c r="D653" s="9"/>
      <c r="E653" s="9"/>
      <c r="F653" s="9"/>
      <c r="G653" s="9"/>
      <c r="H653" s="35"/>
    </row>
    <row r="654" spans="2:8" x14ac:dyDescent="0.35">
      <c r="B654" s="6"/>
      <c r="C654" s="7"/>
      <c r="D654" s="9"/>
      <c r="E654" s="9"/>
      <c r="F654" s="9"/>
      <c r="G654" s="9"/>
      <c r="H654" s="35"/>
    </row>
    <row r="655" spans="2:8" x14ac:dyDescent="0.35">
      <c r="B655" s="6"/>
      <c r="C655" s="7"/>
      <c r="D655" s="9"/>
      <c r="E655" s="9"/>
      <c r="F655" s="9"/>
      <c r="G655" s="9"/>
      <c r="H655" s="35"/>
    </row>
    <row r="656" spans="2:8" x14ac:dyDescent="0.35">
      <c r="B656" s="6"/>
      <c r="C656" s="7"/>
      <c r="D656" s="9"/>
      <c r="E656" s="9"/>
      <c r="F656" s="9"/>
      <c r="G656" s="9"/>
      <c r="H656" s="35"/>
    </row>
    <row r="657" spans="2:8" x14ac:dyDescent="0.35">
      <c r="B657" s="6"/>
      <c r="C657" s="7"/>
      <c r="D657" s="9"/>
      <c r="E657" s="9"/>
      <c r="F657" s="9"/>
      <c r="G657" s="9"/>
      <c r="H657" s="35"/>
    </row>
    <row r="658" spans="2:8" x14ac:dyDescent="0.35">
      <c r="B658" s="6"/>
      <c r="C658" s="7"/>
      <c r="D658" s="9"/>
      <c r="E658" s="9"/>
      <c r="F658" s="9"/>
      <c r="G658" s="9"/>
      <c r="H658" s="35"/>
    </row>
    <row r="659" spans="2:8" x14ac:dyDescent="0.35">
      <c r="B659" s="6"/>
      <c r="C659" s="7"/>
      <c r="D659" s="9"/>
      <c r="E659" s="9"/>
      <c r="F659" s="9"/>
      <c r="G659" s="9"/>
      <c r="H659" s="35"/>
    </row>
    <row r="660" spans="2:8" x14ac:dyDescent="0.35">
      <c r="B660" s="6"/>
      <c r="C660" s="7"/>
      <c r="D660" s="9"/>
      <c r="E660" s="9"/>
      <c r="F660" s="9"/>
      <c r="G660" s="9"/>
      <c r="H660" s="35"/>
    </row>
    <row r="661" spans="2:8" x14ac:dyDescent="0.35">
      <c r="B661" s="6"/>
      <c r="C661" s="7"/>
      <c r="D661" s="9"/>
      <c r="E661" s="9"/>
      <c r="F661" s="9"/>
      <c r="G661" s="9"/>
      <c r="H661" s="35"/>
    </row>
    <row r="662" spans="2:8" x14ac:dyDescent="0.35">
      <c r="B662" s="6"/>
      <c r="C662" s="7"/>
      <c r="D662" s="9"/>
      <c r="E662" s="9"/>
      <c r="F662" s="9"/>
      <c r="G662" s="9"/>
      <c r="H662" s="35"/>
    </row>
    <row r="663" spans="2:8" x14ac:dyDescent="0.35">
      <c r="B663" s="6"/>
      <c r="C663" s="7"/>
      <c r="D663" s="9"/>
      <c r="E663" s="9"/>
      <c r="F663" s="9"/>
      <c r="G663" s="9"/>
      <c r="H663" s="35"/>
    </row>
    <row r="664" spans="2:8" x14ac:dyDescent="0.35">
      <c r="B664" s="6"/>
      <c r="C664" s="7"/>
      <c r="D664" s="9"/>
      <c r="E664" s="9"/>
      <c r="F664" s="9"/>
      <c r="G664" s="9"/>
      <c r="H664" s="35"/>
    </row>
    <row r="665" spans="2:8" x14ac:dyDescent="0.35">
      <c r="B665" s="6"/>
      <c r="C665" s="7"/>
      <c r="D665" s="9"/>
      <c r="E665" s="9"/>
      <c r="F665" s="9"/>
      <c r="G665" s="9"/>
      <c r="H665" s="35"/>
    </row>
    <row r="666" spans="2:8" x14ac:dyDescent="0.35">
      <c r="B666" s="6"/>
      <c r="C666" s="7"/>
      <c r="D666" s="9"/>
      <c r="E666" s="9"/>
      <c r="F666" s="9"/>
      <c r="G666" s="9"/>
      <c r="H666" s="35"/>
    </row>
    <row r="667" spans="2:8" x14ac:dyDescent="0.35">
      <c r="B667" s="6"/>
      <c r="C667" s="7"/>
      <c r="D667" s="9"/>
      <c r="E667" s="9"/>
      <c r="F667" s="9"/>
      <c r="G667" s="9"/>
      <c r="H667" s="35"/>
    </row>
    <row r="668" spans="2:8" x14ac:dyDescent="0.35">
      <c r="B668" s="6"/>
      <c r="C668" s="7"/>
      <c r="D668" s="9"/>
      <c r="E668" s="9"/>
      <c r="F668" s="9"/>
      <c r="G668" s="9"/>
      <c r="H668" s="35"/>
    </row>
    <row r="669" spans="2:8" x14ac:dyDescent="0.35">
      <c r="B669" s="6"/>
      <c r="C669" s="7"/>
      <c r="D669" s="9"/>
      <c r="E669" s="9"/>
      <c r="F669" s="9"/>
      <c r="G669" s="9"/>
      <c r="H669" s="35"/>
    </row>
    <row r="670" spans="2:8" x14ac:dyDescent="0.35">
      <c r="B670" s="6"/>
      <c r="C670" s="7"/>
      <c r="D670" s="9"/>
      <c r="E670" s="9"/>
      <c r="F670" s="9"/>
      <c r="G670" s="9"/>
      <c r="H670" s="35"/>
    </row>
    <row r="671" spans="2:8" x14ac:dyDescent="0.35">
      <c r="B671" s="6"/>
      <c r="C671" s="7"/>
      <c r="D671" s="9"/>
      <c r="E671" s="9"/>
      <c r="F671" s="9"/>
      <c r="G671" s="9"/>
      <c r="H671" s="35"/>
    </row>
    <row r="672" spans="2:8" x14ac:dyDescent="0.35">
      <c r="B672" s="6"/>
      <c r="C672" s="7"/>
      <c r="D672" s="9"/>
      <c r="E672" s="9"/>
      <c r="F672" s="9"/>
      <c r="G672" s="9"/>
      <c r="H672" s="35"/>
    </row>
    <row r="673" spans="2:8" x14ac:dyDescent="0.35">
      <c r="B673" s="6"/>
      <c r="C673" s="7"/>
      <c r="D673" s="9"/>
      <c r="E673" s="9"/>
      <c r="F673" s="9"/>
      <c r="G673" s="9"/>
      <c r="H673" s="35"/>
    </row>
    <row r="674" spans="2:8" x14ac:dyDescent="0.35">
      <c r="B674" s="6"/>
      <c r="C674" s="7"/>
      <c r="D674" s="9"/>
      <c r="E674" s="9"/>
      <c r="F674" s="9"/>
      <c r="G674" s="9"/>
      <c r="H674" s="35"/>
    </row>
    <row r="675" spans="2:8" x14ac:dyDescent="0.35">
      <c r="B675" s="6"/>
      <c r="C675" s="7"/>
      <c r="D675" s="9"/>
      <c r="E675" s="9"/>
      <c r="F675" s="9"/>
      <c r="G675" s="9"/>
      <c r="H675" s="35"/>
    </row>
    <row r="676" spans="2:8" x14ac:dyDescent="0.35">
      <c r="B676" s="6"/>
      <c r="C676" s="7"/>
      <c r="D676" s="9"/>
      <c r="E676" s="9"/>
      <c r="F676" s="9"/>
      <c r="G676" s="9"/>
      <c r="H676" s="35"/>
    </row>
    <row r="677" spans="2:8" x14ac:dyDescent="0.35">
      <c r="B677" s="6"/>
      <c r="C677" s="7"/>
      <c r="D677" s="9"/>
      <c r="E677" s="9"/>
      <c r="F677" s="9"/>
      <c r="G677" s="9"/>
      <c r="H677" s="35"/>
    </row>
    <row r="678" spans="2:8" x14ac:dyDescent="0.35">
      <c r="B678" s="6"/>
      <c r="C678" s="7"/>
      <c r="D678" s="9"/>
      <c r="E678" s="9"/>
      <c r="F678" s="9"/>
      <c r="G678" s="9"/>
      <c r="H678" s="35"/>
    </row>
    <row r="679" spans="2:8" x14ac:dyDescent="0.35">
      <c r="B679" s="6"/>
      <c r="C679" s="7"/>
      <c r="D679" s="9"/>
      <c r="E679" s="9"/>
      <c r="F679" s="9"/>
      <c r="G679" s="9"/>
      <c r="H679" s="35"/>
    </row>
    <row r="680" spans="2:8" x14ac:dyDescent="0.35">
      <c r="B680" s="6"/>
      <c r="C680" s="7"/>
      <c r="D680" s="9"/>
      <c r="E680" s="9"/>
      <c r="F680" s="9"/>
      <c r="G680" s="9"/>
      <c r="H680" s="35"/>
    </row>
    <row r="681" spans="2:8" x14ac:dyDescent="0.35">
      <c r="B681" s="6"/>
      <c r="C681" s="7"/>
      <c r="D681" s="9"/>
      <c r="E681" s="9"/>
      <c r="F681" s="9"/>
      <c r="G681" s="9"/>
      <c r="H681" s="35"/>
    </row>
    <row r="682" spans="2:8" x14ac:dyDescent="0.35">
      <c r="B682" s="6"/>
      <c r="C682" s="7"/>
      <c r="D682" s="9"/>
      <c r="E682" s="9"/>
      <c r="F682" s="9"/>
      <c r="G682" s="9"/>
      <c r="H682" s="35"/>
    </row>
    <row r="683" spans="2:8" x14ac:dyDescent="0.35">
      <c r="B683" s="6"/>
      <c r="C683" s="7"/>
      <c r="D683" s="9"/>
      <c r="E683" s="9"/>
      <c r="F683" s="9"/>
      <c r="G683" s="9"/>
      <c r="H683" s="35"/>
    </row>
    <row r="684" spans="2:8" x14ac:dyDescent="0.35">
      <c r="B684" s="6"/>
      <c r="C684" s="7"/>
      <c r="D684" s="9"/>
      <c r="E684" s="9"/>
      <c r="F684" s="9"/>
      <c r="G684" s="9"/>
      <c r="H684" s="35"/>
    </row>
    <row r="685" spans="2:8" x14ac:dyDescent="0.35">
      <c r="B685" s="6"/>
      <c r="C685" s="7"/>
      <c r="D685" s="9"/>
      <c r="E685" s="9"/>
      <c r="F685" s="9"/>
      <c r="G685" s="9"/>
      <c r="H685" s="35"/>
    </row>
    <row r="686" spans="2:8" x14ac:dyDescent="0.35">
      <c r="B686" s="6"/>
      <c r="C686" s="7"/>
      <c r="D686" s="9"/>
      <c r="E686" s="9"/>
      <c r="F686" s="9"/>
      <c r="G686" s="9"/>
      <c r="H686" s="35"/>
    </row>
    <row r="687" spans="2:8" x14ac:dyDescent="0.35">
      <c r="B687" s="6"/>
      <c r="C687" s="7"/>
      <c r="D687" s="9"/>
      <c r="E687" s="9"/>
      <c r="F687" s="9"/>
      <c r="G687" s="9"/>
      <c r="H687" s="35"/>
    </row>
    <row r="688" spans="2:8" x14ac:dyDescent="0.35">
      <c r="B688" s="6"/>
      <c r="C688" s="7"/>
      <c r="D688" s="9"/>
      <c r="E688" s="9"/>
      <c r="F688" s="9"/>
      <c r="G688" s="9"/>
      <c r="H688" s="35"/>
    </row>
    <row r="689" spans="2:8" x14ac:dyDescent="0.35">
      <c r="B689" s="6"/>
      <c r="C689" s="7"/>
      <c r="D689" s="9"/>
      <c r="E689" s="9"/>
      <c r="F689" s="9"/>
      <c r="G689" s="9"/>
      <c r="H689" s="35"/>
    </row>
    <row r="690" spans="2:8" x14ac:dyDescent="0.35">
      <c r="B690" s="6"/>
      <c r="C690" s="7"/>
      <c r="D690" s="9"/>
      <c r="E690" s="9"/>
      <c r="F690" s="9"/>
      <c r="G690" s="9"/>
      <c r="H690" s="35"/>
    </row>
    <row r="691" spans="2:8" x14ac:dyDescent="0.35">
      <c r="B691" s="6"/>
      <c r="C691" s="7"/>
      <c r="D691" s="9"/>
      <c r="E691" s="9"/>
      <c r="F691" s="9"/>
      <c r="G691" s="9"/>
      <c r="H691" s="35"/>
    </row>
    <row r="692" spans="2:8" x14ac:dyDescent="0.35">
      <c r="B692" s="6"/>
      <c r="C692" s="7"/>
      <c r="D692" s="9"/>
      <c r="E692" s="9"/>
      <c r="F692" s="9"/>
      <c r="G692" s="9"/>
      <c r="H692" s="35"/>
    </row>
    <row r="693" spans="2:8" x14ac:dyDescent="0.35">
      <c r="B693" s="6"/>
      <c r="C693" s="7"/>
      <c r="D693" s="9"/>
      <c r="E693" s="9"/>
      <c r="F693" s="9"/>
      <c r="G693" s="9"/>
      <c r="H693" s="35"/>
    </row>
    <row r="694" spans="2:8" x14ac:dyDescent="0.35">
      <c r="B694" s="6"/>
      <c r="C694" s="7"/>
      <c r="D694" s="9"/>
      <c r="E694" s="9"/>
      <c r="F694" s="9"/>
      <c r="G694" s="9"/>
      <c r="H694" s="35"/>
    </row>
    <row r="695" spans="2:8" x14ac:dyDescent="0.35">
      <c r="B695" s="6"/>
      <c r="C695" s="7"/>
      <c r="D695" s="9"/>
      <c r="E695" s="9"/>
      <c r="F695" s="9"/>
      <c r="G695" s="9"/>
      <c r="H695" s="35"/>
    </row>
    <row r="696" spans="2:8" x14ac:dyDescent="0.35">
      <c r="B696" s="6"/>
      <c r="C696" s="7"/>
      <c r="D696" s="9"/>
      <c r="E696" s="9"/>
      <c r="F696" s="9"/>
      <c r="G696" s="9"/>
      <c r="H696" s="35"/>
    </row>
    <row r="697" spans="2:8" x14ac:dyDescent="0.35">
      <c r="B697" s="6"/>
      <c r="C697" s="7"/>
      <c r="D697" s="9"/>
      <c r="E697" s="9"/>
      <c r="F697" s="9"/>
      <c r="G697" s="9"/>
      <c r="H697" s="35"/>
    </row>
    <row r="698" spans="2:8" x14ac:dyDescent="0.35">
      <c r="B698" s="6"/>
      <c r="C698" s="7"/>
      <c r="D698" s="9"/>
      <c r="E698" s="9"/>
      <c r="F698" s="9"/>
      <c r="G698" s="9"/>
      <c r="H698" s="35"/>
    </row>
    <row r="699" spans="2:8" x14ac:dyDescent="0.35">
      <c r="B699" s="6"/>
      <c r="C699" s="7"/>
      <c r="D699" s="9"/>
      <c r="E699" s="9"/>
      <c r="F699" s="9"/>
      <c r="G699" s="9"/>
      <c r="H699" s="35"/>
    </row>
    <row r="700" spans="2:8" x14ac:dyDescent="0.35">
      <c r="B700" s="6"/>
      <c r="C700" s="7"/>
      <c r="D700" s="9"/>
      <c r="E700" s="9"/>
      <c r="F700" s="9"/>
      <c r="G700" s="9"/>
      <c r="H700" s="35"/>
    </row>
    <row r="701" spans="2:8" x14ac:dyDescent="0.35">
      <c r="B701" s="6"/>
      <c r="C701" s="7"/>
      <c r="D701" s="9"/>
      <c r="E701" s="9"/>
      <c r="F701" s="9"/>
      <c r="G701" s="9"/>
      <c r="H701" s="35"/>
    </row>
    <row r="702" spans="2:8" x14ac:dyDescent="0.35">
      <c r="B702" s="6"/>
      <c r="C702" s="7"/>
      <c r="D702" s="9"/>
      <c r="E702" s="9"/>
      <c r="F702" s="9"/>
      <c r="G702" s="9"/>
      <c r="H702" s="35"/>
    </row>
    <row r="703" spans="2:8" x14ac:dyDescent="0.35">
      <c r="B703" s="6"/>
      <c r="C703" s="7"/>
      <c r="D703" s="9"/>
      <c r="E703" s="9"/>
      <c r="F703" s="9"/>
      <c r="G703" s="9"/>
      <c r="H703" s="35"/>
    </row>
    <row r="704" spans="2:8" x14ac:dyDescent="0.35">
      <c r="B704" s="6"/>
      <c r="C704" s="7"/>
      <c r="D704" s="9"/>
      <c r="E704" s="9"/>
      <c r="F704" s="9"/>
      <c r="G704" s="9"/>
      <c r="H704" s="35"/>
    </row>
    <row r="705" spans="2:8" x14ac:dyDescent="0.35">
      <c r="B705" s="6"/>
      <c r="C705" s="7"/>
      <c r="D705" s="9"/>
      <c r="E705" s="9"/>
      <c r="F705" s="9"/>
      <c r="G705" s="9"/>
      <c r="H705" s="35"/>
    </row>
    <row r="706" spans="2:8" x14ac:dyDescent="0.35">
      <c r="B706" s="6"/>
      <c r="C706" s="7"/>
      <c r="D706" s="9"/>
      <c r="E706" s="9"/>
      <c r="F706" s="9"/>
      <c r="G706" s="9"/>
      <c r="H706" s="35"/>
    </row>
    <row r="707" spans="2:8" x14ac:dyDescent="0.35">
      <c r="B707" s="6"/>
      <c r="C707" s="7"/>
      <c r="D707" s="9"/>
      <c r="E707" s="9"/>
      <c r="F707" s="9"/>
      <c r="G707" s="9"/>
      <c r="H707" s="35"/>
    </row>
    <row r="708" spans="2:8" x14ac:dyDescent="0.35">
      <c r="B708" s="6"/>
      <c r="C708" s="7"/>
      <c r="D708" s="9"/>
      <c r="E708" s="9"/>
      <c r="F708" s="9"/>
      <c r="G708" s="9"/>
      <c r="H708" s="35"/>
    </row>
    <row r="709" spans="2:8" x14ac:dyDescent="0.35">
      <c r="B709" s="6"/>
      <c r="C709" s="7"/>
      <c r="D709" s="9"/>
      <c r="E709" s="9"/>
      <c r="F709" s="9"/>
      <c r="G709" s="9"/>
      <c r="H709" s="35"/>
    </row>
    <row r="710" spans="2:8" x14ac:dyDescent="0.35">
      <c r="B710" s="6"/>
      <c r="C710" s="7"/>
      <c r="D710" s="9"/>
      <c r="E710" s="9"/>
      <c r="F710" s="9"/>
      <c r="G710" s="9"/>
      <c r="H710" s="35"/>
    </row>
    <row r="711" spans="2:8" x14ac:dyDescent="0.35">
      <c r="B711" s="6"/>
      <c r="C711" s="7"/>
      <c r="D711" s="9"/>
      <c r="E711" s="9"/>
      <c r="F711" s="9"/>
      <c r="G711" s="9"/>
      <c r="H711" s="35"/>
    </row>
    <row r="712" spans="2:8" x14ac:dyDescent="0.35">
      <c r="B712" s="6"/>
      <c r="C712" s="7"/>
      <c r="D712" s="9"/>
      <c r="E712" s="9"/>
      <c r="F712" s="9"/>
      <c r="G712" s="9"/>
      <c r="H712" s="35"/>
    </row>
    <row r="713" spans="2:8" x14ac:dyDescent="0.35">
      <c r="B713" s="6"/>
      <c r="C713" s="7"/>
      <c r="D713" s="9"/>
      <c r="E713" s="9"/>
      <c r="F713" s="9"/>
      <c r="G713" s="9"/>
      <c r="H713" s="35"/>
    </row>
    <row r="714" spans="2:8" x14ac:dyDescent="0.35">
      <c r="B714" s="6"/>
      <c r="C714" s="7"/>
      <c r="D714" s="9"/>
      <c r="E714" s="9"/>
      <c r="F714" s="9"/>
      <c r="G714" s="9"/>
      <c r="H714" s="35"/>
    </row>
    <row r="715" spans="2:8" x14ac:dyDescent="0.35">
      <c r="B715" s="6"/>
      <c r="C715" s="7"/>
      <c r="D715" s="9"/>
      <c r="E715" s="9"/>
      <c r="F715" s="9"/>
      <c r="G715" s="9"/>
      <c r="H715" s="35"/>
    </row>
    <row r="716" spans="2:8" x14ac:dyDescent="0.35">
      <c r="B716" s="6"/>
      <c r="C716" s="7"/>
      <c r="D716" s="9"/>
      <c r="E716" s="9"/>
      <c r="F716" s="9"/>
      <c r="G716" s="9"/>
      <c r="H716" s="35"/>
    </row>
    <row r="717" spans="2:8" x14ac:dyDescent="0.35">
      <c r="B717" s="6"/>
      <c r="C717" s="7"/>
      <c r="D717" s="9"/>
      <c r="E717" s="9"/>
      <c r="F717" s="9"/>
      <c r="G717" s="9"/>
      <c r="H717" s="35"/>
    </row>
    <row r="718" spans="2:8" x14ac:dyDescent="0.35">
      <c r="B718" s="6"/>
      <c r="C718" s="7"/>
      <c r="D718" s="9"/>
      <c r="E718" s="9"/>
      <c r="F718" s="9"/>
      <c r="G718" s="9"/>
      <c r="H718" s="35"/>
    </row>
    <row r="719" spans="2:8" x14ac:dyDescent="0.35">
      <c r="B719" s="6"/>
      <c r="C719" s="7"/>
      <c r="D719" s="9"/>
      <c r="E719" s="9"/>
      <c r="F719" s="9"/>
      <c r="G719" s="9"/>
      <c r="H719" s="35"/>
    </row>
    <row r="720" spans="2:8" x14ac:dyDescent="0.35">
      <c r="B720" s="6"/>
      <c r="C720" s="7"/>
      <c r="D720" s="9"/>
      <c r="E720" s="9"/>
      <c r="F720" s="9"/>
      <c r="G720" s="9"/>
      <c r="H720" s="35"/>
    </row>
    <row r="721" spans="2:8" x14ac:dyDescent="0.35">
      <c r="B721" s="6"/>
      <c r="C721" s="7"/>
      <c r="D721" s="9"/>
      <c r="E721" s="9"/>
      <c r="F721" s="9"/>
      <c r="G721" s="9"/>
      <c r="H721" s="35"/>
    </row>
    <row r="722" spans="2:8" x14ac:dyDescent="0.35">
      <c r="B722" s="6"/>
      <c r="C722" s="7"/>
      <c r="D722" s="9"/>
      <c r="E722" s="9"/>
      <c r="F722" s="9"/>
      <c r="G722" s="9"/>
      <c r="H722" s="35"/>
    </row>
    <row r="723" spans="2:8" x14ac:dyDescent="0.35">
      <c r="B723" s="6"/>
      <c r="C723" s="7"/>
      <c r="D723" s="9"/>
      <c r="E723" s="9"/>
      <c r="F723" s="9"/>
      <c r="G723" s="9"/>
      <c r="H723" s="35"/>
    </row>
    <row r="724" spans="2:8" x14ac:dyDescent="0.35">
      <c r="B724" s="6"/>
      <c r="C724" s="7"/>
      <c r="D724" s="9"/>
      <c r="E724" s="9"/>
      <c r="F724" s="9"/>
      <c r="G724" s="9"/>
      <c r="H724" s="35"/>
    </row>
    <row r="725" spans="2:8" x14ac:dyDescent="0.35">
      <c r="B725" s="6"/>
      <c r="C725" s="7"/>
      <c r="D725" s="9"/>
      <c r="E725" s="9"/>
      <c r="F725" s="9"/>
      <c r="G725" s="9"/>
      <c r="H725" s="35"/>
    </row>
    <row r="726" spans="2:8" x14ac:dyDescent="0.35">
      <c r="B726" s="6"/>
      <c r="C726" s="7"/>
      <c r="D726" s="9"/>
      <c r="E726" s="9"/>
      <c r="F726" s="9"/>
      <c r="G726" s="9"/>
      <c r="H726" s="35"/>
    </row>
    <row r="727" spans="2:8" x14ac:dyDescent="0.35">
      <c r="B727" s="6"/>
      <c r="C727" s="7"/>
      <c r="D727" s="9"/>
      <c r="E727" s="9"/>
      <c r="F727" s="9"/>
      <c r="G727" s="9"/>
      <c r="H727" s="35"/>
    </row>
    <row r="728" spans="2:8" x14ac:dyDescent="0.35">
      <c r="B728" s="6"/>
      <c r="C728" s="7"/>
      <c r="D728" s="9"/>
      <c r="E728" s="9"/>
      <c r="F728" s="9"/>
      <c r="G728" s="9"/>
      <c r="H728" s="35"/>
    </row>
    <row r="729" spans="2:8" x14ac:dyDescent="0.35">
      <c r="B729" s="6"/>
      <c r="C729" s="7"/>
      <c r="D729" s="9"/>
      <c r="E729" s="9"/>
      <c r="F729" s="9"/>
      <c r="G729" s="9"/>
      <c r="H729" s="35"/>
    </row>
    <row r="730" spans="2:8" x14ac:dyDescent="0.35">
      <c r="B730" s="6"/>
      <c r="C730" s="7"/>
      <c r="D730" s="9"/>
      <c r="E730" s="9"/>
      <c r="F730" s="9"/>
      <c r="G730" s="9"/>
      <c r="H730" s="35"/>
    </row>
    <row r="731" spans="2:8" x14ac:dyDescent="0.35">
      <c r="B731" s="6"/>
      <c r="C731" s="7"/>
      <c r="D731" s="9"/>
      <c r="E731" s="9"/>
      <c r="F731" s="9"/>
      <c r="G731" s="9"/>
      <c r="H731" s="35"/>
    </row>
    <row r="732" spans="2:8" x14ac:dyDescent="0.35">
      <c r="B732" s="6"/>
      <c r="C732" s="7"/>
      <c r="D732" s="9"/>
      <c r="E732" s="9"/>
      <c r="F732" s="9"/>
      <c r="G732" s="9"/>
      <c r="H732" s="35"/>
    </row>
    <row r="733" spans="2:8" x14ac:dyDescent="0.35">
      <c r="B733" s="6"/>
      <c r="C733" s="7"/>
      <c r="D733" s="9"/>
      <c r="E733" s="9"/>
      <c r="F733" s="9"/>
      <c r="G733" s="9"/>
      <c r="H733" s="35"/>
    </row>
    <row r="734" spans="2:8" x14ac:dyDescent="0.35">
      <c r="B734" s="6"/>
      <c r="C734" s="7"/>
      <c r="D734" s="9"/>
      <c r="E734" s="9"/>
      <c r="F734" s="9"/>
      <c r="G734" s="9"/>
      <c r="H734" s="35"/>
    </row>
    <row r="735" spans="2:8" x14ac:dyDescent="0.35">
      <c r="B735" s="6"/>
      <c r="C735" s="7"/>
      <c r="D735" s="9"/>
      <c r="E735" s="9"/>
      <c r="F735" s="9"/>
      <c r="G735" s="9"/>
      <c r="H735" s="35"/>
    </row>
    <row r="736" spans="2:8" x14ac:dyDescent="0.35">
      <c r="B736" s="6"/>
      <c r="C736" s="7"/>
      <c r="D736" s="9"/>
      <c r="E736" s="9"/>
      <c r="F736" s="9"/>
      <c r="G736" s="9"/>
      <c r="H736" s="35"/>
    </row>
    <row r="737" spans="2:8" x14ac:dyDescent="0.35">
      <c r="B737" s="6"/>
      <c r="C737" s="7"/>
      <c r="D737" s="9"/>
      <c r="E737" s="9"/>
      <c r="F737" s="9"/>
      <c r="G737" s="9"/>
      <c r="H737" s="35"/>
    </row>
    <row r="738" spans="2:8" x14ac:dyDescent="0.35">
      <c r="B738" s="6"/>
      <c r="C738" s="7"/>
      <c r="D738" s="9"/>
      <c r="E738" s="9"/>
      <c r="F738" s="9"/>
      <c r="G738" s="9"/>
      <c r="H738" s="35"/>
    </row>
    <row r="739" spans="2:8" x14ac:dyDescent="0.35">
      <c r="B739" s="6"/>
      <c r="C739" s="7"/>
      <c r="D739" s="9"/>
      <c r="E739" s="9"/>
      <c r="F739" s="9"/>
      <c r="G739" s="9"/>
      <c r="H739" s="35"/>
    </row>
    <row r="740" spans="2:8" x14ac:dyDescent="0.35">
      <c r="B740" s="6"/>
      <c r="C740" s="7"/>
      <c r="D740" s="9"/>
      <c r="E740" s="9"/>
      <c r="F740" s="9"/>
      <c r="G740" s="9"/>
      <c r="H740" s="35"/>
    </row>
    <row r="741" spans="2:8" x14ac:dyDescent="0.35">
      <c r="B741" s="6"/>
      <c r="C741" s="7"/>
      <c r="D741" s="9"/>
      <c r="E741" s="9"/>
      <c r="F741" s="9"/>
      <c r="G741" s="9"/>
      <c r="H741" s="35"/>
    </row>
    <row r="742" spans="2:8" x14ac:dyDescent="0.35">
      <c r="B742" s="6"/>
      <c r="C742" s="7"/>
      <c r="D742" s="9"/>
      <c r="E742" s="9"/>
      <c r="F742" s="9"/>
      <c r="G742" s="9"/>
      <c r="H742" s="35"/>
    </row>
    <row r="743" spans="2:8" x14ac:dyDescent="0.35">
      <c r="B743" s="6"/>
      <c r="C743" s="7"/>
      <c r="D743" s="9"/>
      <c r="E743" s="9"/>
      <c r="F743" s="9"/>
      <c r="G743" s="9"/>
      <c r="H743" s="35"/>
    </row>
    <row r="744" spans="2:8" x14ac:dyDescent="0.35">
      <c r="B744" s="6"/>
      <c r="C744" s="7"/>
      <c r="D744" s="9"/>
      <c r="E744" s="9"/>
      <c r="F744" s="9"/>
      <c r="G744" s="9"/>
      <c r="H744" s="35"/>
    </row>
    <row r="745" spans="2:8" x14ac:dyDescent="0.35">
      <c r="B745" s="6"/>
      <c r="C745" s="7"/>
      <c r="D745" s="9"/>
      <c r="E745" s="9"/>
      <c r="F745" s="9"/>
      <c r="G745" s="9"/>
      <c r="H745" s="35"/>
    </row>
    <row r="746" spans="2:8" x14ac:dyDescent="0.35">
      <c r="B746" s="6"/>
      <c r="C746" s="7"/>
      <c r="D746" s="9"/>
      <c r="E746" s="9"/>
      <c r="F746" s="9"/>
      <c r="G746" s="9"/>
      <c r="H746" s="35"/>
    </row>
    <row r="747" spans="2:8" x14ac:dyDescent="0.35">
      <c r="B747" s="6"/>
      <c r="C747" s="7"/>
      <c r="D747" s="9"/>
      <c r="E747" s="9"/>
      <c r="F747" s="9"/>
      <c r="G747" s="9"/>
      <c r="H747" s="35"/>
    </row>
    <row r="748" spans="2:8" x14ac:dyDescent="0.35">
      <c r="B748" s="6"/>
      <c r="C748" s="7"/>
      <c r="D748" s="9"/>
      <c r="E748" s="9"/>
      <c r="F748" s="9"/>
      <c r="G748" s="9"/>
      <c r="H748" s="35"/>
    </row>
    <row r="749" spans="2:8" x14ac:dyDescent="0.35">
      <c r="B749" s="6"/>
      <c r="C749" s="7"/>
      <c r="D749" s="9"/>
      <c r="E749" s="9"/>
      <c r="F749" s="9"/>
      <c r="G749" s="9"/>
      <c r="H749" s="35"/>
    </row>
    <row r="750" spans="2:8" x14ac:dyDescent="0.35">
      <c r="B750" s="6"/>
      <c r="C750" s="7"/>
      <c r="D750" s="9"/>
      <c r="E750" s="9"/>
      <c r="F750" s="9"/>
      <c r="G750" s="9"/>
      <c r="H750" s="35"/>
    </row>
    <row r="751" spans="2:8" x14ac:dyDescent="0.35">
      <c r="B751" s="6"/>
      <c r="C751" s="7"/>
      <c r="D751" s="9"/>
      <c r="E751" s="9"/>
      <c r="F751" s="9"/>
      <c r="G751" s="9"/>
      <c r="H751" s="35"/>
    </row>
    <row r="752" spans="2:8" x14ac:dyDescent="0.35">
      <c r="B752" s="6"/>
      <c r="C752" s="7"/>
      <c r="D752" s="9"/>
      <c r="E752" s="9"/>
      <c r="F752" s="9"/>
      <c r="G752" s="9"/>
      <c r="H752" s="35"/>
    </row>
    <row r="753" spans="2:8" x14ac:dyDescent="0.35">
      <c r="B753" s="6"/>
      <c r="C753" s="7"/>
      <c r="D753" s="9"/>
      <c r="E753" s="9"/>
      <c r="F753" s="9"/>
      <c r="G753" s="9"/>
      <c r="H753" s="35"/>
    </row>
    <row r="754" spans="2:8" x14ac:dyDescent="0.35">
      <c r="B754" s="6"/>
      <c r="C754" s="7"/>
      <c r="D754" s="9"/>
      <c r="E754" s="9"/>
      <c r="F754" s="9"/>
      <c r="G754" s="9"/>
      <c r="H754" s="35"/>
    </row>
    <row r="755" spans="2:8" x14ac:dyDescent="0.35">
      <c r="B755" s="6"/>
      <c r="C755" s="7"/>
      <c r="D755" s="9"/>
      <c r="E755" s="9"/>
      <c r="F755" s="9"/>
      <c r="G755" s="9"/>
      <c r="H755" s="35"/>
    </row>
    <row r="756" spans="2:8" x14ac:dyDescent="0.35">
      <c r="B756" s="6"/>
      <c r="C756" s="7"/>
      <c r="D756" s="9"/>
      <c r="E756" s="9"/>
      <c r="F756" s="9"/>
      <c r="G756" s="9"/>
      <c r="H756" s="35"/>
    </row>
    <row r="757" spans="2:8" x14ac:dyDescent="0.35">
      <c r="B757" s="6"/>
      <c r="C757" s="7"/>
      <c r="D757" s="9"/>
      <c r="E757" s="9"/>
      <c r="F757" s="9"/>
      <c r="G757" s="9"/>
      <c r="H757" s="35"/>
    </row>
    <row r="758" spans="2:8" x14ac:dyDescent="0.35">
      <c r="B758" s="6"/>
      <c r="C758" s="7"/>
      <c r="D758" s="9"/>
      <c r="E758" s="9"/>
      <c r="F758" s="9"/>
      <c r="G758" s="9"/>
      <c r="H758" s="35"/>
    </row>
    <row r="759" spans="2:8" x14ac:dyDescent="0.35">
      <c r="B759" s="6"/>
      <c r="C759" s="7"/>
      <c r="D759" s="9"/>
      <c r="E759" s="9"/>
      <c r="F759" s="9"/>
      <c r="G759" s="9"/>
      <c r="H759" s="35"/>
    </row>
    <row r="760" spans="2:8" x14ac:dyDescent="0.35">
      <c r="B760" s="6"/>
      <c r="C760" s="7"/>
      <c r="D760" s="9"/>
      <c r="E760" s="9"/>
      <c r="F760" s="9"/>
      <c r="G760" s="9"/>
      <c r="H760" s="35"/>
    </row>
    <row r="761" spans="2:8" x14ac:dyDescent="0.35">
      <c r="B761" s="6"/>
      <c r="C761" s="7"/>
      <c r="D761" s="9"/>
      <c r="E761" s="9"/>
      <c r="F761" s="9"/>
      <c r="G761" s="9"/>
      <c r="H761" s="35"/>
    </row>
    <row r="762" spans="2:8" x14ac:dyDescent="0.35">
      <c r="B762" s="6"/>
      <c r="C762" s="7"/>
      <c r="D762" s="9"/>
      <c r="E762" s="9"/>
      <c r="F762" s="9"/>
      <c r="G762" s="9"/>
      <c r="H762" s="35"/>
    </row>
    <row r="763" spans="2:8" x14ac:dyDescent="0.35">
      <c r="B763" s="6"/>
      <c r="C763" s="7"/>
      <c r="D763" s="9"/>
      <c r="E763" s="9"/>
      <c r="F763" s="9"/>
      <c r="G763" s="9"/>
      <c r="H763" s="35"/>
    </row>
    <row r="764" spans="2:8" x14ac:dyDescent="0.35">
      <c r="B764" s="6"/>
      <c r="C764" s="7"/>
      <c r="D764" s="9"/>
      <c r="E764" s="9"/>
      <c r="F764" s="9"/>
      <c r="G764" s="9"/>
      <c r="H764" s="35"/>
    </row>
    <row r="765" spans="2:8" x14ac:dyDescent="0.35">
      <c r="B765" s="6"/>
      <c r="C765" s="7"/>
      <c r="D765" s="9"/>
      <c r="E765" s="9"/>
      <c r="F765" s="9"/>
      <c r="G765" s="9"/>
      <c r="H765" s="35"/>
    </row>
    <row r="766" spans="2:8" x14ac:dyDescent="0.35">
      <c r="B766" s="6"/>
      <c r="C766" s="7"/>
      <c r="D766" s="9"/>
      <c r="E766" s="9"/>
      <c r="F766" s="9"/>
      <c r="G766" s="9"/>
      <c r="H766" s="35"/>
    </row>
    <row r="767" spans="2:8" x14ac:dyDescent="0.35">
      <c r="B767" s="6"/>
      <c r="C767" s="7"/>
      <c r="D767" s="9"/>
      <c r="E767" s="9"/>
      <c r="F767" s="9"/>
      <c r="G767" s="9"/>
      <c r="H767" s="35"/>
    </row>
    <row r="768" spans="2:8" x14ac:dyDescent="0.35">
      <c r="B768" s="6"/>
      <c r="C768" s="7"/>
      <c r="D768" s="9"/>
      <c r="E768" s="9"/>
      <c r="F768" s="9"/>
      <c r="G768" s="9"/>
      <c r="H768" s="35"/>
    </row>
    <row r="769" spans="2:8" x14ac:dyDescent="0.35">
      <c r="B769" s="6"/>
      <c r="C769" s="7"/>
      <c r="D769" s="9"/>
      <c r="E769" s="9"/>
      <c r="F769" s="9"/>
      <c r="G769" s="9"/>
      <c r="H769" s="35"/>
    </row>
    <row r="770" spans="2:8" x14ac:dyDescent="0.35">
      <c r="B770" s="6"/>
      <c r="C770" s="7"/>
      <c r="D770" s="9"/>
      <c r="E770" s="9"/>
      <c r="F770" s="9"/>
      <c r="G770" s="9"/>
      <c r="H770" s="35"/>
    </row>
    <row r="771" spans="2:8" x14ac:dyDescent="0.35">
      <c r="B771" s="6"/>
      <c r="C771" s="7"/>
      <c r="D771" s="9"/>
      <c r="E771" s="9"/>
      <c r="F771" s="9"/>
      <c r="G771" s="9"/>
      <c r="H771" s="35"/>
    </row>
    <row r="772" spans="2:8" x14ac:dyDescent="0.35">
      <c r="B772" s="6"/>
      <c r="C772" s="7"/>
      <c r="D772" s="9"/>
      <c r="E772" s="9"/>
      <c r="F772" s="9"/>
      <c r="G772" s="9"/>
      <c r="H772" s="35"/>
    </row>
    <row r="773" spans="2:8" x14ac:dyDescent="0.35">
      <c r="B773" s="6"/>
      <c r="C773" s="7"/>
      <c r="D773" s="9"/>
      <c r="E773" s="9"/>
      <c r="F773" s="9"/>
      <c r="G773" s="9"/>
      <c r="H773" s="35"/>
    </row>
    <row r="774" spans="2:8" x14ac:dyDescent="0.35">
      <c r="B774" s="6"/>
      <c r="C774" s="7"/>
      <c r="D774" s="9"/>
      <c r="E774" s="9"/>
      <c r="F774" s="9"/>
      <c r="G774" s="9"/>
      <c r="H774" s="35"/>
    </row>
    <row r="775" spans="2:8" x14ac:dyDescent="0.35">
      <c r="B775" s="6"/>
      <c r="C775" s="7"/>
      <c r="D775" s="9"/>
      <c r="E775" s="9"/>
      <c r="F775" s="9"/>
      <c r="G775" s="9"/>
      <c r="H775" s="35"/>
    </row>
    <row r="776" spans="2:8" x14ac:dyDescent="0.35">
      <c r="B776" s="6"/>
      <c r="C776" s="7"/>
      <c r="D776" s="9"/>
      <c r="E776" s="9"/>
      <c r="F776" s="9"/>
      <c r="G776" s="9"/>
      <c r="H776" s="35"/>
    </row>
    <row r="777" spans="2:8" x14ac:dyDescent="0.35">
      <c r="B777" s="6"/>
      <c r="C777" s="7"/>
      <c r="D777" s="9"/>
      <c r="E777" s="9"/>
      <c r="F777" s="9"/>
      <c r="G777" s="9"/>
      <c r="H777" s="35"/>
    </row>
    <row r="778" spans="2:8" x14ac:dyDescent="0.35">
      <c r="B778" s="6"/>
      <c r="C778" s="7"/>
      <c r="D778" s="9"/>
      <c r="E778" s="9"/>
      <c r="F778" s="9"/>
      <c r="G778" s="9"/>
      <c r="H778" s="35"/>
    </row>
    <row r="779" spans="2:8" x14ac:dyDescent="0.35">
      <c r="B779" s="6"/>
      <c r="C779" s="7"/>
      <c r="D779" s="9"/>
      <c r="E779" s="9"/>
      <c r="F779" s="9"/>
      <c r="G779" s="9"/>
      <c r="H779" s="35"/>
    </row>
    <row r="780" spans="2:8" x14ac:dyDescent="0.35">
      <c r="B780" s="6"/>
      <c r="C780" s="7"/>
      <c r="D780" s="9"/>
      <c r="E780" s="9"/>
      <c r="F780" s="9"/>
      <c r="G780" s="9"/>
      <c r="H780" s="35"/>
    </row>
    <row r="781" spans="2:8" x14ac:dyDescent="0.35">
      <c r="B781" s="6"/>
      <c r="C781" s="7"/>
      <c r="D781" s="9"/>
      <c r="E781" s="9"/>
      <c r="F781" s="9"/>
      <c r="G781" s="9"/>
      <c r="H781" s="35"/>
    </row>
    <row r="782" spans="2:8" x14ac:dyDescent="0.35">
      <c r="B782" s="6"/>
      <c r="C782" s="7"/>
      <c r="D782" s="9"/>
      <c r="E782" s="9"/>
      <c r="F782" s="9"/>
      <c r="G782" s="9"/>
      <c r="H782" s="35"/>
    </row>
    <row r="783" spans="2:8" x14ac:dyDescent="0.35">
      <c r="B783" s="6"/>
      <c r="C783" s="7"/>
      <c r="D783" s="9"/>
      <c r="E783" s="9"/>
      <c r="F783" s="9"/>
      <c r="G783" s="9"/>
      <c r="H783" s="35"/>
    </row>
    <row r="784" spans="2:8" x14ac:dyDescent="0.35">
      <c r="B784" s="6"/>
      <c r="C784" s="7"/>
      <c r="D784" s="9"/>
      <c r="E784" s="9"/>
      <c r="F784" s="9"/>
      <c r="G784" s="9"/>
      <c r="H784" s="35"/>
    </row>
    <row r="785" spans="2:8" x14ac:dyDescent="0.35">
      <c r="B785" s="6"/>
      <c r="C785" s="7"/>
      <c r="D785" s="9"/>
      <c r="E785" s="9"/>
      <c r="F785" s="9"/>
      <c r="G785" s="9"/>
      <c r="H785" s="35"/>
    </row>
    <row r="786" spans="2:8" x14ac:dyDescent="0.35">
      <c r="B786" s="6"/>
      <c r="C786" s="7"/>
      <c r="D786" s="9"/>
      <c r="E786" s="9"/>
      <c r="F786" s="9"/>
      <c r="G786" s="9"/>
      <c r="H786" s="35"/>
    </row>
    <row r="787" spans="2:8" x14ac:dyDescent="0.35">
      <c r="B787" s="6"/>
      <c r="C787" s="7"/>
      <c r="D787" s="9"/>
      <c r="E787" s="9"/>
      <c r="F787" s="9"/>
      <c r="G787" s="9"/>
      <c r="H787" s="35"/>
    </row>
    <row r="788" spans="2:8" x14ac:dyDescent="0.35">
      <c r="B788" s="6"/>
      <c r="C788" s="7"/>
      <c r="D788" s="9"/>
      <c r="E788" s="9"/>
      <c r="F788" s="9"/>
      <c r="G788" s="9"/>
      <c r="H788" s="35"/>
    </row>
    <row r="789" spans="2:8" x14ac:dyDescent="0.35">
      <c r="B789" s="6"/>
      <c r="C789" s="7"/>
      <c r="D789" s="9"/>
      <c r="E789" s="9"/>
      <c r="F789" s="9"/>
      <c r="G789" s="9"/>
      <c r="H789" s="35"/>
    </row>
    <row r="790" spans="2:8" x14ac:dyDescent="0.35">
      <c r="B790" s="6"/>
      <c r="C790" s="7"/>
      <c r="D790" s="9"/>
      <c r="E790" s="9"/>
      <c r="F790" s="9"/>
      <c r="G790" s="9"/>
      <c r="H790" s="35"/>
    </row>
    <row r="791" spans="2:8" x14ac:dyDescent="0.35">
      <c r="B791" s="6"/>
      <c r="C791" s="7"/>
      <c r="D791" s="9"/>
      <c r="E791" s="9"/>
      <c r="F791" s="9"/>
      <c r="G791" s="9"/>
      <c r="H791" s="35"/>
    </row>
    <row r="792" spans="2:8" x14ac:dyDescent="0.35">
      <c r="B792" s="6"/>
      <c r="C792" s="7"/>
      <c r="D792" s="9"/>
      <c r="E792" s="9"/>
      <c r="F792" s="9"/>
      <c r="G792" s="9"/>
      <c r="H792" s="35"/>
    </row>
    <row r="793" spans="2:8" x14ac:dyDescent="0.35">
      <c r="B793" s="6"/>
      <c r="C793" s="7"/>
      <c r="D793" s="9"/>
      <c r="E793" s="9"/>
      <c r="F793" s="9"/>
      <c r="G793" s="9"/>
      <c r="H793" s="35"/>
    </row>
    <row r="794" spans="2:8" x14ac:dyDescent="0.35">
      <c r="B794" s="6"/>
      <c r="C794" s="7"/>
      <c r="D794" s="9"/>
      <c r="E794" s="9"/>
      <c r="F794" s="9"/>
      <c r="G794" s="9"/>
      <c r="H794" s="35"/>
    </row>
    <row r="795" spans="2:8" x14ac:dyDescent="0.35">
      <c r="B795" s="6"/>
      <c r="C795" s="7"/>
      <c r="D795" s="9"/>
      <c r="E795" s="9"/>
      <c r="F795" s="9"/>
      <c r="G795" s="9"/>
      <c r="H795" s="35"/>
    </row>
    <row r="796" spans="2:8" x14ac:dyDescent="0.35">
      <c r="B796" s="6"/>
      <c r="C796" s="7"/>
      <c r="D796" s="9"/>
      <c r="E796" s="9"/>
      <c r="F796" s="9"/>
      <c r="G796" s="9"/>
      <c r="H796" s="35"/>
    </row>
    <row r="797" spans="2:8" x14ac:dyDescent="0.35">
      <c r="B797" s="6"/>
      <c r="C797" s="7"/>
      <c r="D797" s="9"/>
      <c r="E797" s="9"/>
      <c r="F797" s="9"/>
      <c r="G797" s="9"/>
      <c r="H797" s="35"/>
    </row>
    <row r="798" spans="2:8" x14ac:dyDescent="0.35">
      <c r="B798" s="6"/>
      <c r="C798" s="7"/>
      <c r="D798" s="9"/>
      <c r="E798" s="9"/>
      <c r="F798" s="9"/>
      <c r="G798" s="9"/>
      <c r="H798" s="35"/>
    </row>
    <row r="799" spans="2:8" x14ac:dyDescent="0.35">
      <c r="B799" s="6"/>
      <c r="C799" s="7"/>
      <c r="D799" s="9"/>
      <c r="E799" s="9"/>
      <c r="F799" s="9"/>
      <c r="G799" s="9"/>
      <c r="H799" s="35"/>
    </row>
    <row r="800" spans="2:8" x14ac:dyDescent="0.35">
      <c r="B800" s="6"/>
      <c r="C800" s="7"/>
      <c r="D800" s="9"/>
      <c r="E800" s="9"/>
      <c r="F800" s="9"/>
      <c r="G800" s="9"/>
      <c r="H800" s="35"/>
    </row>
    <row r="801" spans="2:8" x14ac:dyDescent="0.35">
      <c r="B801" s="6"/>
      <c r="C801" s="7"/>
      <c r="D801" s="9"/>
      <c r="E801" s="9"/>
      <c r="F801" s="9"/>
      <c r="G801" s="9"/>
      <c r="H801" s="35"/>
    </row>
    <row r="802" spans="2:8" x14ac:dyDescent="0.35">
      <c r="B802" s="6"/>
      <c r="C802" s="7"/>
      <c r="D802" s="9"/>
      <c r="E802" s="9"/>
      <c r="F802" s="9"/>
      <c r="G802" s="9"/>
      <c r="H802" s="35"/>
    </row>
    <row r="803" spans="2:8" x14ac:dyDescent="0.35">
      <c r="B803" s="6"/>
      <c r="C803" s="7"/>
      <c r="D803" s="9"/>
      <c r="E803" s="9"/>
      <c r="F803" s="9"/>
      <c r="G803" s="9"/>
      <c r="H803" s="35"/>
    </row>
    <row r="804" spans="2:8" x14ac:dyDescent="0.35">
      <c r="B804" s="6"/>
      <c r="C804" s="7"/>
      <c r="D804" s="9"/>
      <c r="E804" s="9"/>
      <c r="F804" s="9"/>
      <c r="G804" s="9"/>
      <c r="H804" s="35"/>
    </row>
    <row r="805" spans="2:8" x14ac:dyDescent="0.35">
      <c r="B805" s="6"/>
      <c r="C805" s="7"/>
      <c r="D805" s="9"/>
      <c r="E805" s="9"/>
      <c r="F805" s="9"/>
      <c r="G805" s="9"/>
      <c r="H805" s="35"/>
    </row>
    <row r="806" spans="2:8" x14ac:dyDescent="0.35">
      <c r="B806" s="6"/>
      <c r="C806" s="7"/>
      <c r="D806" s="9"/>
      <c r="E806" s="9"/>
      <c r="F806" s="9"/>
      <c r="G806" s="9"/>
      <c r="H806" s="35"/>
    </row>
    <row r="807" spans="2:8" x14ac:dyDescent="0.35">
      <c r="B807" s="6"/>
      <c r="C807" s="7"/>
      <c r="D807" s="9"/>
      <c r="E807" s="9"/>
      <c r="F807" s="9"/>
      <c r="G807" s="9"/>
      <c r="H807" s="35"/>
    </row>
    <row r="808" spans="2:8" x14ac:dyDescent="0.35">
      <c r="B808" s="6"/>
      <c r="C808" s="7"/>
      <c r="D808" s="9"/>
      <c r="E808" s="9"/>
      <c r="F808" s="9"/>
      <c r="G808" s="9"/>
      <c r="H808" s="35"/>
    </row>
    <row r="809" spans="2:8" x14ac:dyDescent="0.35">
      <c r="B809" s="6"/>
      <c r="C809" s="7"/>
      <c r="D809" s="9"/>
      <c r="E809" s="9"/>
      <c r="F809" s="9"/>
      <c r="G809" s="9"/>
      <c r="H809" s="35"/>
    </row>
    <row r="810" spans="2:8" x14ac:dyDescent="0.35">
      <c r="B810" s="6"/>
      <c r="C810" s="7"/>
      <c r="D810" s="9"/>
      <c r="E810" s="9"/>
      <c r="F810" s="9"/>
      <c r="G810" s="9"/>
      <c r="H810" s="35"/>
    </row>
    <row r="811" spans="2:8" x14ac:dyDescent="0.35">
      <c r="B811" s="6"/>
      <c r="C811" s="7"/>
      <c r="D811" s="9"/>
      <c r="E811" s="9"/>
      <c r="F811" s="9"/>
      <c r="G811" s="9"/>
      <c r="H811" s="35"/>
    </row>
    <row r="812" spans="2:8" x14ac:dyDescent="0.35">
      <c r="B812" s="6"/>
      <c r="C812" s="7"/>
      <c r="D812" s="9"/>
      <c r="E812" s="9"/>
      <c r="F812" s="9"/>
      <c r="G812" s="9"/>
      <c r="H812" s="35"/>
    </row>
    <row r="813" spans="2:8" x14ac:dyDescent="0.35">
      <c r="B813" s="6"/>
      <c r="C813" s="7"/>
      <c r="D813" s="9"/>
      <c r="E813" s="9"/>
      <c r="F813" s="9"/>
      <c r="G813" s="9"/>
      <c r="H813" s="35"/>
    </row>
    <row r="814" spans="2:8" x14ac:dyDescent="0.35">
      <c r="B814" s="6"/>
      <c r="C814" s="7"/>
      <c r="D814" s="9"/>
      <c r="E814" s="9"/>
      <c r="F814" s="9"/>
      <c r="G814" s="9"/>
      <c r="H814" s="35"/>
    </row>
    <row r="815" spans="2:8" x14ac:dyDescent="0.35">
      <c r="B815" s="6"/>
      <c r="C815" s="7"/>
      <c r="D815" s="9"/>
      <c r="E815" s="9"/>
      <c r="F815" s="9"/>
      <c r="G815" s="9"/>
      <c r="H815" s="35"/>
    </row>
    <row r="816" spans="2:8" x14ac:dyDescent="0.35">
      <c r="B816" s="6"/>
      <c r="C816" s="7"/>
      <c r="D816" s="9"/>
      <c r="E816" s="9"/>
      <c r="F816" s="9"/>
      <c r="G816" s="9"/>
      <c r="H816" s="35"/>
    </row>
    <row r="817" spans="2:8" x14ac:dyDescent="0.35">
      <c r="B817" s="6"/>
      <c r="C817" s="7"/>
      <c r="D817" s="9"/>
      <c r="E817" s="9"/>
      <c r="F817" s="9"/>
      <c r="G817" s="9"/>
      <c r="H817" s="35"/>
    </row>
    <row r="818" spans="2:8" x14ac:dyDescent="0.35">
      <c r="B818" s="6"/>
      <c r="C818" s="7"/>
      <c r="D818" s="9"/>
      <c r="E818" s="9"/>
      <c r="F818" s="9"/>
      <c r="G818" s="9"/>
      <c r="H818" s="35"/>
    </row>
    <row r="819" spans="2:8" x14ac:dyDescent="0.35">
      <c r="B819" s="6"/>
      <c r="C819" s="7"/>
      <c r="D819" s="9"/>
      <c r="E819" s="9"/>
      <c r="F819" s="9"/>
      <c r="G819" s="9"/>
      <c r="H819" s="35"/>
    </row>
    <row r="820" spans="2:8" x14ac:dyDescent="0.35">
      <c r="B820" s="6"/>
      <c r="C820" s="7"/>
      <c r="D820" s="9"/>
      <c r="E820" s="9"/>
      <c r="F820" s="9"/>
      <c r="G820" s="9"/>
      <c r="H820" s="35"/>
    </row>
    <row r="821" spans="2:8" x14ac:dyDescent="0.35">
      <c r="B821" s="6"/>
      <c r="C821" s="7"/>
      <c r="D821" s="9"/>
      <c r="E821" s="9"/>
      <c r="F821" s="9"/>
      <c r="G821" s="9"/>
      <c r="H821" s="35"/>
    </row>
    <row r="822" spans="2:8" x14ac:dyDescent="0.35">
      <c r="B822" s="6"/>
      <c r="C822" s="7"/>
      <c r="D822" s="9"/>
      <c r="E822" s="9"/>
      <c r="F822" s="9"/>
      <c r="G822" s="9"/>
      <c r="H822" s="35"/>
    </row>
    <row r="823" spans="2:8" x14ac:dyDescent="0.35">
      <c r="B823" s="6"/>
      <c r="C823" s="7"/>
      <c r="D823" s="9"/>
      <c r="E823" s="9"/>
      <c r="F823" s="9"/>
      <c r="G823" s="9"/>
      <c r="H823" s="35"/>
    </row>
    <row r="824" spans="2:8" x14ac:dyDescent="0.35">
      <c r="B824" s="6"/>
      <c r="C824" s="7"/>
      <c r="D824" s="9"/>
      <c r="E824" s="9"/>
      <c r="F824" s="9"/>
      <c r="G824" s="9"/>
      <c r="H824" s="35"/>
    </row>
    <row r="825" spans="2:8" x14ac:dyDescent="0.35">
      <c r="B825" s="6"/>
      <c r="C825" s="7"/>
      <c r="D825" s="9"/>
      <c r="E825" s="9"/>
      <c r="F825" s="9"/>
      <c r="G825" s="9"/>
      <c r="H825" s="35"/>
    </row>
    <row r="826" spans="2:8" x14ac:dyDescent="0.35">
      <c r="B826" s="6"/>
      <c r="C826" s="7"/>
      <c r="D826" s="9"/>
      <c r="E826" s="9"/>
      <c r="F826" s="9"/>
      <c r="G826" s="9"/>
      <c r="H826" s="35"/>
    </row>
    <row r="827" spans="2:8" x14ac:dyDescent="0.35">
      <c r="B827" s="6"/>
      <c r="C827" s="7"/>
      <c r="D827" s="9"/>
      <c r="E827" s="9"/>
      <c r="F827" s="9"/>
      <c r="G827" s="9"/>
      <c r="H827" s="35"/>
    </row>
    <row r="828" spans="2:8" x14ac:dyDescent="0.35">
      <c r="B828" s="6"/>
      <c r="C828" s="7"/>
      <c r="D828" s="9"/>
      <c r="E828" s="9"/>
      <c r="F828" s="9"/>
      <c r="G828" s="9"/>
      <c r="H828" s="35"/>
    </row>
    <row r="829" spans="2:8" x14ac:dyDescent="0.35">
      <c r="B829" s="6"/>
      <c r="C829" s="7"/>
      <c r="D829" s="9"/>
      <c r="E829" s="9"/>
      <c r="F829" s="9"/>
      <c r="G829" s="9"/>
      <c r="H829" s="35"/>
    </row>
    <row r="830" spans="2:8" x14ac:dyDescent="0.35">
      <c r="B830" s="6"/>
      <c r="C830" s="7"/>
      <c r="D830" s="9"/>
      <c r="E830" s="9"/>
      <c r="F830" s="9"/>
      <c r="G830" s="9"/>
      <c r="H830" s="35"/>
    </row>
    <row r="831" spans="2:8" x14ac:dyDescent="0.35">
      <c r="B831" s="6"/>
      <c r="C831" s="7"/>
      <c r="D831" s="9"/>
      <c r="E831" s="9"/>
      <c r="F831" s="9"/>
      <c r="G831" s="9"/>
      <c r="H831" s="35"/>
    </row>
    <row r="832" spans="2:8" x14ac:dyDescent="0.35">
      <c r="B832" s="6"/>
      <c r="C832" s="7"/>
      <c r="D832" s="9"/>
      <c r="E832" s="9"/>
      <c r="F832" s="9"/>
      <c r="G832" s="9"/>
      <c r="H832" s="35"/>
    </row>
    <row r="833" spans="2:8" x14ac:dyDescent="0.35">
      <c r="B833" s="6"/>
      <c r="C833" s="7"/>
      <c r="D833" s="9"/>
      <c r="E833" s="9"/>
      <c r="F833" s="9"/>
      <c r="G833" s="9"/>
      <c r="H833" s="35"/>
    </row>
    <row r="834" spans="2:8" x14ac:dyDescent="0.35">
      <c r="B834" s="6"/>
      <c r="C834" s="7"/>
      <c r="D834" s="9"/>
      <c r="E834" s="9"/>
      <c r="F834" s="9"/>
      <c r="G834" s="9"/>
      <c r="H834" s="35"/>
    </row>
    <row r="835" spans="2:8" x14ac:dyDescent="0.35">
      <c r="B835" s="6"/>
      <c r="C835" s="7"/>
      <c r="D835" s="9"/>
      <c r="E835" s="9"/>
      <c r="F835" s="9"/>
      <c r="G835" s="9"/>
      <c r="H835" s="35"/>
    </row>
    <row r="836" spans="2:8" x14ac:dyDescent="0.35">
      <c r="B836" s="6"/>
      <c r="C836" s="7"/>
      <c r="D836" s="9"/>
      <c r="E836" s="9"/>
      <c r="F836" s="9"/>
      <c r="G836" s="9"/>
      <c r="H836" s="35"/>
    </row>
    <row r="837" spans="2:8" x14ac:dyDescent="0.35">
      <c r="B837" s="6"/>
      <c r="C837" s="7"/>
      <c r="D837" s="9"/>
      <c r="E837" s="9"/>
      <c r="F837" s="9"/>
      <c r="G837" s="9"/>
      <c r="H837" s="35"/>
    </row>
    <row r="838" spans="2:8" x14ac:dyDescent="0.35">
      <c r="B838" s="6"/>
      <c r="C838" s="7"/>
      <c r="D838" s="9"/>
      <c r="E838" s="9"/>
      <c r="F838" s="9"/>
      <c r="G838" s="9"/>
      <c r="H838" s="35"/>
    </row>
    <row r="839" spans="2:8" x14ac:dyDescent="0.35">
      <c r="B839" s="6"/>
      <c r="C839" s="7"/>
      <c r="D839" s="9"/>
      <c r="E839" s="9"/>
      <c r="F839" s="9"/>
      <c r="G839" s="9"/>
      <c r="H839" s="35"/>
    </row>
    <row r="840" spans="2:8" x14ac:dyDescent="0.35">
      <c r="B840" s="6"/>
      <c r="C840" s="7"/>
      <c r="D840" s="9"/>
      <c r="E840" s="9"/>
      <c r="F840" s="9"/>
      <c r="G840" s="9"/>
      <c r="H840" s="35"/>
    </row>
    <row r="841" spans="2:8" x14ac:dyDescent="0.35">
      <c r="B841" s="6"/>
      <c r="C841" s="7"/>
      <c r="D841" s="9"/>
      <c r="E841" s="9"/>
      <c r="F841" s="9"/>
      <c r="G841" s="9"/>
      <c r="H841" s="35"/>
    </row>
    <row r="842" spans="2:8" x14ac:dyDescent="0.35">
      <c r="B842" s="6"/>
      <c r="C842" s="7"/>
      <c r="D842" s="9"/>
      <c r="E842" s="9"/>
      <c r="F842" s="9"/>
      <c r="G842" s="9"/>
      <c r="H842" s="35"/>
    </row>
    <row r="843" spans="2:8" x14ac:dyDescent="0.35">
      <c r="B843" s="6"/>
      <c r="C843" s="7"/>
      <c r="D843" s="9"/>
      <c r="E843" s="9"/>
      <c r="F843" s="9"/>
      <c r="G843" s="9"/>
      <c r="H843" s="35"/>
    </row>
    <row r="844" spans="2:8" x14ac:dyDescent="0.35">
      <c r="B844" s="6"/>
      <c r="C844" s="7"/>
      <c r="D844" s="9"/>
      <c r="E844" s="9"/>
      <c r="F844" s="9"/>
      <c r="G844" s="9"/>
      <c r="H844" s="35"/>
    </row>
    <row r="845" spans="2:8" x14ac:dyDescent="0.35">
      <c r="B845" s="6"/>
      <c r="C845" s="7"/>
      <c r="D845" s="9"/>
      <c r="E845" s="9"/>
      <c r="F845" s="9"/>
      <c r="G845" s="9"/>
      <c r="H845" s="35"/>
    </row>
    <row r="846" spans="2:8" x14ac:dyDescent="0.35">
      <c r="B846" s="6"/>
      <c r="C846" s="7"/>
      <c r="D846" s="9"/>
      <c r="E846" s="9"/>
      <c r="F846" s="9"/>
      <c r="G846" s="9"/>
      <c r="H846" s="35"/>
    </row>
    <row r="847" spans="2:8" x14ac:dyDescent="0.35">
      <c r="B847" s="6"/>
      <c r="C847" s="7"/>
      <c r="D847" s="9"/>
      <c r="E847" s="9"/>
      <c r="F847" s="9"/>
      <c r="G847" s="9"/>
      <c r="H847" s="35"/>
    </row>
    <row r="848" spans="2:8" x14ac:dyDescent="0.35">
      <c r="B848" s="6"/>
      <c r="C848" s="7"/>
      <c r="D848" s="9"/>
      <c r="E848" s="9"/>
      <c r="F848" s="9"/>
      <c r="G848" s="9"/>
      <c r="H848" s="35"/>
    </row>
    <row r="849" spans="2:8" x14ac:dyDescent="0.35">
      <c r="B849" s="6"/>
      <c r="C849" s="7"/>
      <c r="D849" s="9"/>
      <c r="E849" s="9"/>
      <c r="F849" s="9"/>
      <c r="G849" s="9"/>
      <c r="H849" s="35"/>
    </row>
    <row r="850" spans="2:8" x14ac:dyDescent="0.35">
      <c r="B850" s="6"/>
      <c r="C850" s="7"/>
      <c r="D850" s="9"/>
      <c r="E850" s="9"/>
      <c r="F850" s="9"/>
      <c r="G850" s="9"/>
      <c r="H850" s="35"/>
    </row>
    <row r="851" spans="2:8" x14ac:dyDescent="0.35">
      <c r="B851" s="6"/>
      <c r="C851" s="7"/>
      <c r="D851" s="9"/>
      <c r="E851" s="9"/>
      <c r="F851" s="9"/>
      <c r="G851" s="9"/>
      <c r="H851" s="35"/>
    </row>
    <row r="852" spans="2:8" x14ac:dyDescent="0.35">
      <c r="B852" s="6"/>
      <c r="C852" s="7"/>
      <c r="D852" s="9"/>
      <c r="E852" s="9"/>
      <c r="F852" s="9"/>
      <c r="G852" s="9"/>
      <c r="H852" s="35"/>
    </row>
    <row r="853" spans="2:8" x14ac:dyDescent="0.35">
      <c r="B853" s="6"/>
      <c r="C853" s="7"/>
      <c r="D853" s="9"/>
      <c r="E853" s="9"/>
      <c r="F853" s="9"/>
      <c r="G853" s="9"/>
      <c r="H853" s="35"/>
    </row>
    <row r="854" spans="2:8" x14ac:dyDescent="0.35">
      <c r="B854" s="6"/>
      <c r="C854" s="7"/>
      <c r="D854" s="9"/>
      <c r="E854" s="9"/>
      <c r="F854" s="9"/>
      <c r="G854" s="9"/>
      <c r="H854" s="35"/>
    </row>
    <row r="855" spans="2:8" x14ac:dyDescent="0.35">
      <c r="B855" s="6"/>
      <c r="C855" s="7"/>
      <c r="D855" s="9"/>
      <c r="E855" s="9"/>
      <c r="F855" s="9"/>
      <c r="G855" s="9"/>
      <c r="H855" s="35"/>
    </row>
    <row r="856" spans="2:8" x14ac:dyDescent="0.35">
      <c r="B856" s="6"/>
      <c r="C856" s="7"/>
      <c r="D856" s="9"/>
      <c r="E856" s="9"/>
      <c r="F856" s="9"/>
      <c r="G856" s="9"/>
      <c r="H856" s="35"/>
    </row>
    <row r="857" spans="2:8" x14ac:dyDescent="0.35">
      <c r="B857" s="6"/>
      <c r="C857" s="7"/>
      <c r="D857" s="9"/>
      <c r="E857" s="9"/>
      <c r="F857" s="9"/>
      <c r="G857" s="9"/>
      <c r="H857" s="35"/>
    </row>
    <row r="858" spans="2:8" x14ac:dyDescent="0.35">
      <c r="B858" s="6"/>
      <c r="C858" s="7"/>
      <c r="D858" s="9"/>
      <c r="E858" s="9"/>
      <c r="F858" s="9"/>
      <c r="G858" s="9"/>
      <c r="H858" s="35"/>
    </row>
    <row r="859" spans="2:8" x14ac:dyDescent="0.35">
      <c r="B859" s="6"/>
      <c r="C859" s="7"/>
      <c r="D859" s="9"/>
      <c r="E859" s="9"/>
      <c r="F859" s="9"/>
      <c r="G859" s="9"/>
      <c r="H859" s="35"/>
    </row>
    <row r="860" spans="2:8" x14ac:dyDescent="0.35">
      <c r="B860" s="6"/>
      <c r="C860" s="7"/>
      <c r="D860" s="9"/>
      <c r="E860" s="9"/>
      <c r="F860" s="9"/>
      <c r="G860" s="9"/>
      <c r="H860" s="35"/>
    </row>
    <row r="861" spans="2:8" x14ac:dyDescent="0.35">
      <c r="B861" s="6"/>
      <c r="C861" s="7"/>
      <c r="D861" s="9"/>
      <c r="E861" s="9"/>
      <c r="F861" s="9"/>
      <c r="G861" s="9"/>
      <c r="H861" s="35"/>
    </row>
    <row r="862" spans="2:8" x14ac:dyDescent="0.35">
      <c r="B862" s="6"/>
      <c r="C862" s="7"/>
      <c r="D862" s="9"/>
      <c r="E862" s="9"/>
      <c r="F862" s="9"/>
      <c r="G862" s="9"/>
      <c r="H862" s="35"/>
    </row>
    <row r="863" spans="2:8" x14ac:dyDescent="0.35">
      <c r="B863" s="6"/>
      <c r="C863" s="7"/>
      <c r="D863" s="9"/>
      <c r="E863" s="9"/>
      <c r="F863" s="9"/>
      <c r="G863" s="9"/>
      <c r="H863" s="35"/>
    </row>
    <row r="864" spans="2:8" x14ac:dyDescent="0.35">
      <c r="B864" s="6"/>
      <c r="C864" s="7"/>
      <c r="D864" s="9"/>
      <c r="E864" s="9"/>
      <c r="F864" s="9"/>
      <c r="G864" s="9"/>
      <c r="H864" s="35"/>
    </row>
    <row r="865" spans="2:8" x14ac:dyDescent="0.35">
      <c r="B865" s="6"/>
      <c r="C865" s="7"/>
      <c r="D865" s="9"/>
      <c r="E865" s="9"/>
      <c r="F865" s="9"/>
      <c r="G865" s="9"/>
      <c r="H865" s="35"/>
    </row>
    <row r="866" spans="2:8" x14ac:dyDescent="0.35">
      <c r="B866" s="6"/>
      <c r="C866" s="7"/>
      <c r="D866" s="9"/>
      <c r="E866" s="9"/>
      <c r="F866" s="9"/>
      <c r="G866" s="9"/>
      <c r="H866" s="35"/>
    </row>
    <row r="867" spans="2:8" x14ac:dyDescent="0.35">
      <c r="B867" s="6"/>
      <c r="C867" s="7"/>
      <c r="D867" s="9"/>
      <c r="E867" s="9"/>
      <c r="F867" s="9"/>
      <c r="G867" s="9"/>
      <c r="H867" s="35"/>
    </row>
    <row r="868" spans="2:8" x14ac:dyDescent="0.35">
      <c r="B868" s="6"/>
      <c r="C868" s="7"/>
      <c r="D868" s="9"/>
      <c r="E868" s="9"/>
      <c r="F868" s="9"/>
      <c r="G868" s="9"/>
      <c r="H868" s="35"/>
    </row>
    <row r="869" spans="2:8" x14ac:dyDescent="0.35">
      <c r="B869" s="6"/>
      <c r="C869" s="7"/>
      <c r="D869" s="9"/>
      <c r="E869" s="9"/>
      <c r="F869" s="9"/>
      <c r="G869" s="9"/>
      <c r="H869" s="35"/>
    </row>
    <row r="870" spans="2:8" x14ac:dyDescent="0.35">
      <c r="B870" s="6"/>
      <c r="C870" s="7"/>
      <c r="D870" s="9"/>
      <c r="E870" s="9"/>
      <c r="F870" s="9"/>
      <c r="G870" s="9"/>
      <c r="H870" s="35"/>
    </row>
    <row r="871" spans="2:8" x14ac:dyDescent="0.35">
      <c r="B871" s="6"/>
      <c r="C871" s="7"/>
      <c r="D871" s="9"/>
      <c r="E871" s="9"/>
      <c r="F871" s="9"/>
      <c r="G871" s="9"/>
      <c r="H871" s="35"/>
    </row>
    <row r="872" spans="2:8" x14ac:dyDescent="0.35">
      <c r="B872" s="6"/>
      <c r="C872" s="7"/>
      <c r="D872" s="9"/>
      <c r="E872" s="9"/>
      <c r="F872" s="9"/>
      <c r="G872" s="9"/>
      <c r="H872" s="35"/>
    </row>
    <row r="873" spans="2:8" x14ac:dyDescent="0.35">
      <c r="B873" s="6"/>
      <c r="C873" s="7"/>
      <c r="D873" s="9"/>
      <c r="E873" s="9"/>
      <c r="F873" s="9"/>
      <c r="G873" s="9"/>
      <c r="H873" s="35"/>
    </row>
    <row r="874" spans="2:8" x14ac:dyDescent="0.35">
      <c r="B874" s="6"/>
      <c r="C874" s="7"/>
      <c r="D874" s="9"/>
      <c r="E874" s="9"/>
      <c r="F874" s="9"/>
      <c r="G874" s="9"/>
      <c r="H874" s="35"/>
    </row>
    <row r="875" spans="2:8" x14ac:dyDescent="0.35">
      <c r="B875" s="6"/>
      <c r="C875" s="7"/>
      <c r="D875" s="9"/>
      <c r="E875" s="9"/>
      <c r="F875" s="9"/>
      <c r="G875" s="9"/>
      <c r="H875" s="35"/>
    </row>
    <row r="876" spans="2:8" x14ac:dyDescent="0.35">
      <c r="B876" s="6"/>
      <c r="C876" s="7"/>
      <c r="D876" s="9"/>
      <c r="E876" s="9"/>
      <c r="F876" s="9"/>
      <c r="G876" s="9"/>
      <c r="H876" s="35"/>
    </row>
    <row r="877" spans="2:8" x14ac:dyDescent="0.35">
      <c r="B877" s="6"/>
      <c r="C877" s="7"/>
      <c r="D877" s="9"/>
      <c r="E877" s="9"/>
      <c r="F877" s="9"/>
      <c r="G877" s="9"/>
      <c r="H877" s="35"/>
    </row>
    <row r="878" spans="2:8" x14ac:dyDescent="0.35">
      <c r="B878" s="6"/>
      <c r="C878" s="7"/>
      <c r="D878" s="9"/>
      <c r="E878" s="9"/>
      <c r="F878" s="9"/>
      <c r="G878" s="9"/>
      <c r="H878" s="35"/>
    </row>
    <row r="879" spans="2:8" x14ac:dyDescent="0.35">
      <c r="B879" s="6"/>
      <c r="C879" s="7"/>
      <c r="D879" s="9"/>
      <c r="E879" s="9"/>
      <c r="F879" s="9"/>
      <c r="G879" s="9"/>
      <c r="H879" s="35"/>
    </row>
    <row r="880" spans="2:8" x14ac:dyDescent="0.35">
      <c r="B880" s="6"/>
      <c r="C880" s="7"/>
      <c r="D880" s="9"/>
      <c r="E880" s="9"/>
      <c r="F880" s="9"/>
      <c r="G880" s="9"/>
      <c r="H880" s="35"/>
    </row>
    <row r="881" spans="2:8" x14ac:dyDescent="0.35">
      <c r="B881" s="6"/>
      <c r="C881" s="7"/>
      <c r="D881" s="9"/>
      <c r="E881" s="9"/>
      <c r="F881" s="9"/>
      <c r="G881" s="9"/>
      <c r="H881" s="35"/>
    </row>
    <row r="882" spans="2:8" x14ac:dyDescent="0.35">
      <c r="B882" s="6"/>
      <c r="C882" s="7"/>
      <c r="D882" s="9"/>
      <c r="E882" s="9"/>
      <c r="F882" s="9"/>
      <c r="G882" s="9"/>
      <c r="H882" s="35"/>
    </row>
    <row r="883" spans="2:8" x14ac:dyDescent="0.35">
      <c r="B883" s="6"/>
      <c r="C883" s="7"/>
      <c r="D883" s="9"/>
      <c r="E883" s="9"/>
      <c r="F883" s="9"/>
      <c r="G883" s="9"/>
      <c r="H883" s="35"/>
    </row>
    <row r="884" spans="2:8" x14ac:dyDescent="0.35">
      <c r="B884" s="6"/>
      <c r="C884" s="7"/>
      <c r="D884" s="9"/>
      <c r="E884" s="9"/>
      <c r="F884" s="9"/>
      <c r="G884" s="9"/>
      <c r="H884" s="35"/>
    </row>
    <row r="885" spans="2:8" x14ac:dyDescent="0.35">
      <c r="B885" s="6"/>
      <c r="C885" s="7"/>
      <c r="D885" s="9"/>
      <c r="E885" s="9"/>
      <c r="F885" s="9"/>
      <c r="G885" s="9"/>
      <c r="H885" s="35"/>
    </row>
    <row r="886" spans="2:8" x14ac:dyDescent="0.35">
      <c r="B886" s="6"/>
      <c r="C886" s="7"/>
      <c r="D886" s="9"/>
      <c r="E886" s="9"/>
      <c r="F886" s="9"/>
      <c r="G886" s="9"/>
      <c r="H886" s="35"/>
    </row>
    <row r="887" spans="2:8" x14ac:dyDescent="0.35">
      <c r="B887" s="6"/>
      <c r="C887" s="7"/>
      <c r="D887" s="9"/>
      <c r="E887" s="9"/>
      <c r="F887" s="9"/>
      <c r="G887" s="9"/>
      <c r="H887" s="35"/>
    </row>
    <row r="888" spans="2:8" x14ac:dyDescent="0.35">
      <c r="B888" s="6"/>
      <c r="C888" s="7"/>
      <c r="D888" s="9"/>
      <c r="E888" s="9"/>
      <c r="F888" s="9"/>
      <c r="G888" s="9"/>
      <c r="H888" s="35"/>
    </row>
    <row r="889" spans="2:8" x14ac:dyDescent="0.35">
      <c r="B889" s="6"/>
      <c r="C889" s="7"/>
      <c r="D889" s="9"/>
      <c r="E889" s="9"/>
      <c r="F889" s="9"/>
      <c r="G889" s="9"/>
      <c r="H889" s="35"/>
    </row>
    <row r="890" spans="2:8" x14ac:dyDescent="0.35">
      <c r="B890" s="6"/>
      <c r="C890" s="7"/>
      <c r="D890" s="9"/>
      <c r="E890" s="9"/>
      <c r="F890" s="9"/>
      <c r="G890" s="9"/>
      <c r="H890" s="35"/>
    </row>
    <row r="891" spans="2:8" x14ac:dyDescent="0.35">
      <c r="B891" s="6"/>
      <c r="C891" s="7"/>
      <c r="D891" s="9"/>
      <c r="E891" s="9"/>
      <c r="F891" s="9"/>
      <c r="G891" s="9"/>
      <c r="H891" s="35"/>
    </row>
    <row r="892" spans="2:8" x14ac:dyDescent="0.35">
      <c r="B892" s="6"/>
      <c r="C892" s="7"/>
      <c r="D892" s="9"/>
      <c r="E892" s="9"/>
      <c r="F892" s="9"/>
      <c r="G892" s="9"/>
      <c r="H892" s="35"/>
    </row>
    <row r="893" spans="2:8" x14ac:dyDescent="0.35">
      <c r="B893" s="6"/>
      <c r="C893" s="7"/>
      <c r="D893" s="9"/>
      <c r="E893" s="9"/>
      <c r="F893" s="9"/>
      <c r="G893" s="9"/>
      <c r="H893" s="35"/>
    </row>
    <row r="894" spans="2:8" x14ac:dyDescent="0.35">
      <c r="B894" s="6"/>
      <c r="C894" s="7"/>
      <c r="D894" s="9"/>
      <c r="E894" s="9"/>
      <c r="F894" s="9"/>
      <c r="G894" s="9"/>
      <c r="H894" s="35"/>
    </row>
    <row r="895" spans="2:8" x14ac:dyDescent="0.35">
      <c r="B895" s="6"/>
      <c r="C895" s="7"/>
      <c r="D895" s="9"/>
      <c r="E895" s="9"/>
      <c r="F895" s="9"/>
      <c r="G895" s="9"/>
      <c r="H895" s="35"/>
    </row>
    <row r="896" spans="2:8" x14ac:dyDescent="0.35">
      <c r="B896" s="6"/>
      <c r="C896" s="7"/>
      <c r="D896" s="9"/>
      <c r="E896" s="9"/>
      <c r="F896" s="9"/>
      <c r="G896" s="9"/>
      <c r="H896" s="35"/>
    </row>
    <row r="897" spans="2:8" x14ac:dyDescent="0.35">
      <c r="B897" s="6"/>
      <c r="C897" s="7"/>
      <c r="D897" s="9"/>
      <c r="E897" s="9"/>
      <c r="F897" s="9"/>
      <c r="G897" s="9"/>
      <c r="H897" s="35"/>
    </row>
    <row r="898" spans="2:8" x14ac:dyDescent="0.35">
      <c r="B898" s="6"/>
      <c r="C898" s="7"/>
      <c r="D898" s="9"/>
      <c r="E898" s="9"/>
      <c r="F898" s="9"/>
      <c r="G898" s="9"/>
      <c r="H898" s="35"/>
    </row>
    <row r="899" spans="2:8" x14ac:dyDescent="0.35">
      <c r="B899" s="6"/>
      <c r="C899" s="7"/>
      <c r="D899" s="9"/>
      <c r="E899" s="9"/>
      <c r="F899" s="9"/>
      <c r="G899" s="9"/>
      <c r="H899" s="35"/>
    </row>
    <row r="900" spans="2:8" x14ac:dyDescent="0.35">
      <c r="B900" s="6"/>
      <c r="C900" s="7"/>
      <c r="D900" s="9"/>
      <c r="E900" s="9"/>
      <c r="F900" s="9"/>
      <c r="G900" s="9"/>
      <c r="H900" s="35"/>
    </row>
    <row r="901" spans="2:8" x14ac:dyDescent="0.35">
      <c r="B901" s="6"/>
      <c r="C901" s="7"/>
      <c r="D901" s="9"/>
      <c r="E901" s="9"/>
      <c r="F901" s="9"/>
      <c r="G901" s="9"/>
      <c r="H901" s="35"/>
    </row>
    <row r="902" spans="2:8" x14ac:dyDescent="0.35">
      <c r="B902" s="6"/>
      <c r="C902" s="7"/>
      <c r="D902" s="9"/>
      <c r="E902" s="9"/>
      <c r="F902" s="9"/>
      <c r="G902" s="9"/>
      <c r="H902" s="35"/>
    </row>
    <row r="903" spans="2:8" x14ac:dyDescent="0.35">
      <c r="B903" s="6"/>
      <c r="C903" s="7"/>
      <c r="D903" s="9"/>
      <c r="E903" s="9"/>
      <c r="F903" s="9"/>
      <c r="G903" s="9"/>
      <c r="H903" s="35"/>
    </row>
    <row r="904" spans="2:8" x14ac:dyDescent="0.35">
      <c r="B904" s="6"/>
      <c r="C904" s="7"/>
      <c r="D904" s="9"/>
      <c r="E904" s="9"/>
      <c r="F904" s="9"/>
      <c r="G904" s="9"/>
      <c r="H904" s="35"/>
    </row>
    <row r="905" spans="2:8" x14ac:dyDescent="0.35">
      <c r="B905" s="6"/>
      <c r="C905" s="7"/>
      <c r="D905" s="9"/>
      <c r="E905" s="9"/>
      <c r="F905" s="9"/>
      <c r="G905" s="9"/>
      <c r="H905" s="35"/>
    </row>
    <row r="906" spans="2:8" x14ac:dyDescent="0.35">
      <c r="B906" s="6"/>
      <c r="C906" s="7"/>
      <c r="D906" s="9"/>
      <c r="E906" s="9"/>
      <c r="F906" s="9"/>
      <c r="G906" s="9"/>
      <c r="H906" s="35"/>
    </row>
    <row r="907" spans="2:8" x14ac:dyDescent="0.35">
      <c r="B907" s="6"/>
      <c r="C907" s="7"/>
      <c r="D907" s="9"/>
      <c r="E907" s="9"/>
      <c r="F907" s="9"/>
      <c r="G907" s="9"/>
      <c r="H907" s="35"/>
    </row>
    <row r="908" spans="2:8" x14ac:dyDescent="0.35">
      <c r="B908" s="6"/>
      <c r="C908" s="7"/>
      <c r="D908" s="9"/>
      <c r="E908" s="9"/>
      <c r="F908" s="9"/>
      <c r="G908" s="9"/>
      <c r="H908" s="35"/>
    </row>
    <row r="909" spans="2:8" x14ac:dyDescent="0.35">
      <c r="B909" s="6"/>
      <c r="C909" s="7"/>
      <c r="D909" s="9"/>
      <c r="E909" s="9"/>
      <c r="F909" s="9"/>
      <c r="G909" s="9"/>
      <c r="H909" s="35"/>
    </row>
    <row r="910" spans="2:8" x14ac:dyDescent="0.35">
      <c r="B910" s="6"/>
      <c r="C910" s="7"/>
      <c r="D910" s="9"/>
      <c r="E910" s="9"/>
      <c r="F910" s="9"/>
      <c r="G910" s="9"/>
      <c r="H910" s="35"/>
    </row>
    <row r="911" spans="2:8" x14ac:dyDescent="0.35">
      <c r="B911" s="6"/>
      <c r="C911" s="7"/>
      <c r="D911" s="9"/>
      <c r="E911" s="9"/>
      <c r="F911" s="9"/>
      <c r="G911" s="9"/>
      <c r="H911" s="35"/>
    </row>
    <row r="912" spans="2:8" x14ac:dyDescent="0.35">
      <c r="B912" s="6"/>
      <c r="C912" s="7"/>
      <c r="D912" s="9"/>
      <c r="E912" s="9"/>
      <c r="F912" s="9"/>
      <c r="G912" s="9"/>
      <c r="H912" s="35"/>
    </row>
    <row r="913" spans="2:8" x14ac:dyDescent="0.35">
      <c r="B913" s="6"/>
      <c r="C913" s="7"/>
      <c r="D913" s="9"/>
      <c r="E913" s="9"/>
      <c r="F913" s="9"/>
      <c r="G913" s="9"/>
      <c r="H913" s="35"/>
    </row>
    <row r="914" spans="2:8" x14ac:dyDescent="0.35">
      <c r="B914" s="6"/>
      <c r="C914" s="7"/>
      <c r="D914" s="9"/>
      <c r="E914" s="9"/>
      <c r="F914" s="9"/>
      <c r="G914" s="9"/>
      <c r="H914" s="35"/>
    </row>
    <row r="915" spans="2:8" x14ac:dyDescent="0.35">
      <c r="B915" s="6"/>
      <c r="C915" s="7"/>
      <c r="D915" s="9"/>
      <c r="E915" s="9"/>
      <c r="F915" s="9"/>
      <c r="G915" s="9"/>
      <c r="H915" s="35"/>
    </row>
    <row r="916" spans="2:8" x14ac:dyDescent="0.35">
      <c r="B916" s="6"/>
      <c r="C916" s="7"/>
      <c r="D916" s="9"/>
      <c r="E916" s="9"/>
      <c r="F916" s="9"/>
      <c r="G916" s="9"/>
      <c r="H916" s="35"/>
    </row>
    <row r="917" spans="2:8" x14ac:dyDescent="0.35">
      <c r="B917" s="6"/>
      <c r="C917" s="7"/>
      <c r="D917" s="9"/>
      <c r="E917" s="9"/>
      <c r="F917" s="9"/>
      <c r="G917" s="9"/>
      <c r="H917" s="35"/>
    </row>
    <row r="918" spans="2:8" x14ac:dyDescent="0.35">
      <c r="B918" s="6"/>
      <c r="C918" s="7"/>
      <c r="D918" s="9"/>
      <c r="E918" s="9"/>
      <c r="F918" s="9"/>
      <c r="G918" s="9"/>
      <c r="H918" s="35"/>
    </row>
    <row r="919" spans="2:8" x14ac:dyDescent="0.35">
      <c r="B919" s="6"/>
      <c r="C919" s="7"/>
      <c r="D919" s="9"/>
      <c r="E919" s="9"/>
      <c r="F919" s="9"/>
      <c r="G919" s="9"/>
      <c r="H919" s="35"/>
    </row>
    <row r="920" spans="2:8" x14ac:dyDescent="0.35">
      <c r="B920" s="6"/>
      <c r="C920" s="7"/>
      <c r="D920" s="9"/>
      <c r="E920" s="9"/>
      <c r="F920" s="9"/>
      <c r="G920" s="9"/>
      <c r="H920" s="35"/>
    </row>
    <row r="921" spans="2:8" x14ac:dyDescent="0.35">
      <c r="B921" s="6"/>
      <c r="C921" s="7"/>
      <c r="D921" s="9"/>
      <c r="E921" s="9"/>
      <c r="F921" s="9"/>
      <c r="G921" s="9"/>
      <c r="H921" s="35"/>
    </row>
    <row r="922" spans="2:8" x14ac:dyDescent="0.35">
      <c r="B922" s="6"/>
      <c r="C922" s="7"/>
      <c r="D922" s="9"/>
      <c r="E922" s="9"/>
      <c r="F922" s="9"/>
      <c r="G922" s="9"/>
      <c r="H922" s="35"/>
    </row>
    <row r="923" spans="2:8" x14ac:dyDescent="0.35">
      <c r="B923" s="6"/>
      <c r="C923" s="7"/>
      <c r="D923" s="9"/>
      <c r="E923" s="9"/>
      <c r="F923" s="9"/>
      <c r="G923" s="9"/>
      <c r="H923" s="35"/>
    </row>
    <row r="924" spans="2:8" x14ac:dyDescent="0.35">
      <c r="B924" s="6"/>
      <c r="C924" s="7"/>
      <c r="D924" s="9"/>
      <c r="E924" s="9"/>
      <c r="F924" s="9"/>
      <c r="G924" s="9"/>
      <c r="H924" s="35"/>
    </row>
    <row r="925" spans="2:8" x14ac:dyDescent="0.35">
      <c r="B925" s="6"/>
      <c r="C925" s="7"/>
      <c r="D925" s="9"/>
      <c r="E925" s="9"/>
      <c r="F925" s="9"/>
      <c r="G925" s="9"/>
      <c r="H925" s="35"/>
    </row>
    <row r="926" spans="2:8" x14ac:dyDescent="0.35">
      <c r="B926" s="6"/>
      <c r="C926" s="7"/>
      <c r="D926" s="9"/>
      <c r="E926" s="9"/>
      <c r="F926" s="9"/>
      <c r="G926" s="9"/>
      <c r="H926" s="35"/>
    </row>
    <row r="927" spans="2:8" x14ac:dyDescent="0.35">
      <c r="B927" s="6"/>
      <c r="C927" s="7"/>
      <c r="D927" s="9"/>
      <c r="E927" s="9"/>
      <c r="F927" s="9"/>
      <c r="G927" s="9"/>
      <c r="H927" s="35"/>
    </row>
    <row r="928" spans="2:8" x14ac:dyDescent="0.35">
      <c r="B928" s="6"/>
      <c r="C928" s="7"/>
      <c r="D928" s="9"/>
      <c r="E928" s="9"/>
      <c r="F928" s="9"/>
      <c r="G928" s="9"/>
      <c r="H928" s="35"/>
    </row>
    <row r="929" spans="2:8" x14ac:dyDescent="0.35">
      <c r="B929" s="6"/>
      <c r="C929" s="7"/>
      <c r="D929" s="9"/>
      <c r="E929" s="9"/>
      <c r="F929" s="9"/>
      <c r="G929" s="9"/>
      <c r="H929" s="35"/>
    </row>
    <row r="930" spans="2:8" x14ac:dyDescent="0.35">
      <c r="B930" s="6"/>
      <c r="C930" s="7"/>
      <c r="D930" s="9"/>
      <c r="E930" s="9"/>
      <c r="F930" s="9"/>
      <c r="G930" s="9"/>
      <c r="H930" s="35"/>
    </row>
    <row r="931" spans="2:8" x14ac:dyDescent="0.35">
      <c r="B931" s="6"/>
      <c r="C931" s="7"/>
      <c r="D931" s="9"/>
      <c r="E931" s="9"/>
      <c r="F931" s="9"/>
      <c r="G931" s="9"/>
      <c r="H931" s="35"/>
    </row>
    <row r="932" spans="2:8" x14ac:dyDescent="0.35">
      <c r="B932" s="6"/>
      <c r="C932" s="7"/>
      <c r="D932" s="9"/>
      <c r="E932" s="9"/>
      <c r="F932" s="9"/>
      <c r="G932" s="9"/>
      <c r="H932" s="35"/>
    </row>
    <row r="933" spans="2:8" x14ac:dyDescent="0.35">
      <c r="B933" s="6"/>
      <c r="C933" s="7"/>
      <c r="D933" s="9"/>
      <c r="E933" s="9"/>
      <c r="F933" s="9"/>
      <c r="G933" s="9"/>
      <c r="H933" s="35"/>
    </row>
    <row r="934" spans="2:8" x14ac:dyDescent="0.35">
      <c r="B934" s="6"/>
      <c r="C934" s="7"/>
      <c r="D934" s="9"/>
      <c r="E934" s="9"/>
      <c r="F934" s="9"/>
      <c r="G934" s="9"/>
      <c r="H934" s="35"/>
    </row>
    <row r="935" spans="2:8" x14ac:dyDescent="0.35">
      <c r="B935" s="6"/>
      <c r="C935" s="7"/>
      <c r="D935" s="9"/>
      <c r="E935" s="9"/>
      <c r="F935" s="9"/>
      <c r="G935" s="9"/>
      <c r="H935" s="35"/>
    </row>
    <row r="936" spans="2:8" x14ac:dyDescent="0.35">
      <c r="B936" s="6"/>
      <c r="C936" s="7"/>
      <c r="D936" s="9"/>
      <c r="E936" s="9"/>
      <c r="F936" s="9"/>
      <c r="G936" s="9"/>
      <c r="H936" s="35"/>
    </row>
    <row r="937" spans="2:8" x14ac:dyDescent="0.35">
      <c r="B937" s="6"/>
      <c r="C937" s="7"/>
      <c r="D937" s="9"/>
      <c r="E937" s="9"/>
      <c r="F937" s="9"/>
      <c r="G937" s="9"/>
      <c r="H937" s="35"/>
    </row>
    <row r="938" spans="2:8" x14ac:dyDescent="0.35">
      <c r="B938" s="6"/>
      <c r="C938" s="7"/>
      <c r="D938" s="9"/>
      <c r="E938" s="9"/>
      <c r="F938" s="9"/>
      <c r="G938" s="9"/>
      <c r="H938" s="35"/>
    </row>
    <row r="939" spans="2:8" x14ac:dyDescent="0.35">
      <c r="B939" s="6"/>
      <c r="C939" s="7"/>
      <c r="D939" s="9"/>
      <c r="E939" s="9"/>
      <c r="F939" s="9"/>
      <c r="G939" s="9"/>
      <c r="H939" s="35"/>
    </row>
    <row r="940" spans="2:8" x14ac:dyDescent="0.35">
      <c r="B940" s="6"/>
      <c r="C940" s="7"/>
      <c r="D940" s="9"/>
      <c r="E940" s="9"/>
      <c r="F940" s="9"/>
      <c r="G940" s="9"/>
      <c r="H940" s="35"/>
    </row>
    <row r="941" spans="2:8" x14ac:dyDescent="0.35">
      <c r="B941" s="6"/>
      <c r="C941" s="7"/>
      <c r="D941" s="9"/>
      <c r="E941" s="9"/>
      <c r="F941" s="9"/>
      <c r="G941" s="9"/>
      <c r="H941" s="35"/>
    </row>
    <row r="942" spans="2:8" x14ac:dyDescent="0.35">
      <c r="B942" s="6"/>
      <c r="C942" s="7"/>
      <c r="D942" s="9"/>
      <c r="E942" s="9"/>
      <c r="F942" s="9"/>
      <c r="G942" s="9"/>
      <c r="H942" s="35"/>
    </row>
    <row r="943" spans="2:8" x14ac:dyDescent="0.35">
      <c r="B943" s="6"/>
      <c r="C943" s="7"/>
      <c r="D943" s="9"/>
      <c r="E943" s="9"/>
      <c r="F943" s="9"/>
      <c r="G943" s="9"/>
      <c r="H943" s="35"/>
    </row>
    <row r="944" spans="2:8" x14ac:dyDescent="0.35">
      <c r="B944" s="6"/>
      <c r="C944" s="7"/>
      <c r="D944" s="9"/>
      <c r="E944" s="9"/>
      <c r="F944" s="9"/>
      <c r="G944" s="9"/>
      <c r="H944" s="35"/>
    </row>
    <row r="945" spans="2:8" x14ac:dyDescent="0.35">
      <c r="B945" s="6"/>
      <c r="C945" s="7"/>
      <c r="D945" s="9"/>
      <c r="E945" s="9"/>
      <c r="F945" s="9"/>
      <c r="G945" s="9"/>
      <c r="H945" s="35"/>
    </row>
    <row r="946" spans="2:8" x14ac:dyDescent="0.35">
      <c r="B946" s="6"/>
      <c r="C946" s="7"/>
      <c r="D946" s="9"/>
      <c r="E946" s="9"/>
      <c r="F946" s="9"/>
      <c r="G946" s="9"/>
      <c r="H946" s="35"/>
    </row>
    <row r="947" spans="2:8" x14ac:dyDescent="0.35">
      <c r="B947" s="6"/>
      <c r="C947" s="7"/>
      <c r="D947" s="9"/>
      <c r="E947" s="9"/>
      <c r="F947" s="9"/>
      <c r="G947" s="9"/>
      <c r="H947" s="35"/>
    </row>
    <row r="948" spans="2:8" x14ac:dyDescent="0.35">
      <c r="B948" s="6"/>
      <c r="C948" s="7"/>
      <c r="D948" s="9"/>
      <c r="E948" s="9"/>
      <c r="F948" s="9"/>
      <c r="G948" s="9"/>
      <c r="H948" s="35"/>
    </row>
    <row r="949" spans="2:8" x14ac:dyDescent="0.35">
      <c r="B949" s="6"/>
      <c r="C949" s="7"/>
      <c r="D949" s="9"/>
      <c r="E949" s="9"/>
      <c r="F949" s="9"/>
      <c r="G949" s="9"/>
      <c r="H949" s="35"/>
    </row>
    <row r="950" spans="2:8" x14ac:dyDescent="0.35">
      <c r="B950" s="6"/>
      <c r="C950" s="7"/>
      <c r="D950" s="9"/>
      <c r="E950" s="9"/>
      <c r="F950" s="9"/>
      <c r="G950" s="9"/>
      <c r="H950" s="35"/>
    </row>
    <row r="951" spans="2:8" x14ac:dyDescent="0.35">
      <c r="B951" s="6"/>
      <c r="C951" s="7"/>
      <c r="D951" s="9"/>
      <c r="E951" s="9"/>
      <c r="F951" s="9"/>
      <c r="G951" s="9"/>
      <c r="H951" s="35"/>
    </row>
    <row r="952" spans="2:8" x14ac:dyDescent="0.35">
      <c r="B952" s="6"/>
      <c r="C952" s="7"/>
      <c r="D952" s="9"/>
      <c r="E952" s="9"/>
      <c r="F952" s="9"/>
      <c r="G952" s="9"/>
      <c r="H952" s="35"/>
    </row>
    <row r="953" spans="2:8" x14ac:dyDescent="0.35">
      <c r="B953" s="6"/>
      <c r="C953" s="7"/>
      <c r="D953" s="9"/>
      <c r="E953" s="9"/>
      <c r="F953" s="9"/>
      <c r="G953" s="9"/>
      <c r="H953" s="35"/>
    </row>
    <row r="954" spans="2:8" x14ac:dyDescent="0.35">
      <c r="B954" s="6"/>
      <c r="C954" s="7"/>
      <c r="D954" s="9"/>
      <c r="E954" s="9"/>
      <c r="F954" s="9"/>
      <c r="G954" s="9"/>
      <c r="H954" s="35"/>
    </row>
    <row r="955" spans="2:8" x14ac:dyDescent="0.35">
      <c r="B955" s="6"/>
      <c r="C955" s="7"/>
      <c r="D955" s="9"/>
      <c r="E955" s="9"/>
      <c r="F955" s="9"/>
      <c r="G955" s="9"/>
      <c r="H955" s="35"/>
    </row>
    <row r="956" spans="2:8" x14ac:dyDescent="0.35">
      <c r="B956" s="6"/>
      <c r="C956" s="7"/>
      <c r="D956" s="9"/>
      <c r="E956" s="9"/>
      <c r="F956" s="9"/>
      <c r="G956" s="9"/>
      <c r="H956" s="35"/>
    </row>
    <row r="957" spans="2:8" x14ac:dyDescent="0.35">
      <c r="B957" s="6"/>
      <c r="C957" s="7"/>
      <c r="D957" s="9"/>
      <c r="E957" s="9"/>
      <c r="F957" s="9"/>
      <c r="G957" s="9"/>
      <c r="H957" s="35"/>
    </row>
    <row r="958" spans="2:8" x14ac:dyDescent="0.35">
      <c r="B958" s="6"/>
      <c r="C958" s="7"/>
      <c r="D958" s="9"/>
      <c r="E958" s="9"/>
      <c r="F958" s="9"/>
      <c r="G958" s="9"/>
      <c r="H958" s="35"/>
    </row>
    <row r="959" spans="2:8" x14ac:dyDescent="0.35">
      <c r="B959" s="6"/>
      <c r="C959" s="7"/>
      <c r="D959" s="9"/>
      <c r="E959" s="9"/>
      <c r="F959" s="9"/>
      <c r="G959" s="9"/>
      <c r="H959" s="35"/>
    </row>
    <row r="960" spans="2:8" x14ac:dyDescent="0.35">
      <c r="B960" s="6"/>
      <c r="C960" s="7"/>
      <c r="D960" s="9"/>
      <c r="E960" s="9"/>
      <c r="F960" s="9"/>
      <c r="G960" s="9"/>
      <c r="H960" s="35"/>
    </row>
    <row r="961" spans="2:8" x14ac:dyDescent="0.35">
      <c r="B961" s="6"/>
      <c r="C961" s="7"/>
      <c r="D961" s="9"/>
      <c r="E961" s="9"/>
      <c r="F961" s="9"/>
      <c r="G961" s="9"/>
      <c r="H961" s="35"/>
    </row>
    <row r="962" spans="2:8" x14ac:dyDescent="0.35">
      <c r="B962" s="6"/>
      <c r="C962" s="7"/>
      <c r="D962" s="9"/>
      <c r="E962" s="9"/>
      <c r="F962" s="9"/>
      <c r="G962" s="9"/>
      <c r="H962" s="35"/>
    </row>
    <row r="963" spans="2:8" x14ac:dyDescent="0.35">
      <c r="B963" s="6"/>
      <c r="C963" s="7"/>
      <c r="D963" s="9"/>
      <c r="E963" s="9"/>
      <c r="F963" s="9"/>
      <c r="G963" s="9"/>
      <c r="H963" s="35"/>
    </row>
    <row r="964" spans="2:8" x14ac:dyDescent="0.35">
      <c r="B964" s="6"/>
      <c r="C964" s="7"/>
      <c r="D964" s="9"/>
      <c r="E964" s="9"/>
      <c r="F964" s="9"/>
      <c r="G964" s="9"/>
      <c r="H964" s="35"/>
    </row>
    <row r="965" spans="2:8" x14ac:dyDescent="0.35">
      <c r="B965" s="6"/>
      <c r="C965" s="7"/>
      <c r="D965" s="9"/>
      <c r="E965" s="9"/>
      <c r="F965" s="9"/>
      <c r="G965" s="9"/>
      <c r="H965" s="35"/>
    </row>
    <row r="966" spans="2:8" x14ac:dyDescent="0.35">
      <c r="B966" s="6"/>
      <c r="C966" s="7"/>
      <c r="D966" s="9"/>
      <c r="E966" s="9"/>
      <c r="F966" s="9"/>
      <c r="G966" s="9"/>
      <c r="H966" s="35"/>
    </row>
    <row r="967" spans="2:8" x14ac:dyDescent="0.35">
      <c r="B967" s="6"/>
      <c r="C967" s="7"/>
      <c r="D967" s="9"/>
      <c r="E967" s="9"/>
      <c r="F967" s="9"/>
      <c r="G967" s="9"/>
      <c r="H967" s="35"/>
    </row>
    <row r="968" spans="2:8" x14ac:dyDescent="0.35">
      <c r="B968" s="6"/>
      <c r="C968" s="7"/>
      <c r="D968" s="9"/>
      <c r="E968" s="9"/>
      <c r="F968" s="9"/>
      <c r="G968" s="9"/>
      <c r="H968" s="35"/>
    </row>
    <row r="969" spans="2:8" x14ac:dyDescent="0.35">
      <c r="B969" s="6"/>
      <c r="C969" s="7"/>
      <c r="D969" s="9"/>
      <c r="E969" s="9"/>
      <c r="F969" s="9"/>
      <c r="G969" s="9"/>
      <c r="H969" s="35"/>
    </row>
    <row r="970" spans="2:8" x14ac:dyDescent="0.35">
      <c r="B970" s="6"/>
      <c r="C970" s="7"/>
      <c r="D970" s="9"/>
      <c r="E970" s="9"/>
      <c r="F970" s="9"/>
      <c r="G970" s="9"/>
      <c r="H970" s="35"/>
    </row>
    <row r="971" spans="2:8" x14ac:dyDescent="0.35">
      <c r="B971" s="6"/>
      <c r="C971" s="7"/>
      <c r="D971" s="9"/>
      <c r="E971" s="9"/>
      <c r="F971" s="9"/>
      <c r="G971" s="9"/>
      <c r="H971" s="35"/>
    </row>
    <row r="972" spans="2:8" x14ac:dyDescent="0.35">
      <c r="B972" s="6"/>
      <c r="C972" s="7"/>
      <c r="D972" s="9"/>
      <c r="E972" s="9"/>
      <c r="F972" s="9"/>
      <c r="G972" s="9"/>
      <c r="H972" s="35"/>
    </row>
    <row r="973" spans="2:8" x14ac:dyDescent="0.35">
      <c r="B973" s="6"/>
      <c r="C973" s="7"/>
      <c r="D973" s="9"/>
      <c r="E973" s="9"/>
      <c r="F973" s="9"/>
      <c r="G973" s="9"/>
      <c r="H973" s="35"/>
    </row>
    <row r="974" spans="2:8" x14ac:dyDescent="0.35">
      <c r="B974" s="6"/>
      <c r="C974" s="7"/>
      <c r="D974" s="9"/>
      <c r="E974" s="9"/>
      <c r="F974" s="9"/>
      <c r="G974" s="9"/>
      <c r="H974" s="35"/>
    </row>
    <row r="975" spans="2:8" x14ac:dyDescent="0.35">
      <c r="B975" s="6"/>
      <c r="C975" s="7"/>
      <c r="D975" s="9"/>
      <c r="E975" s="9"/>
      <c r="F975" s="9"/>
      <c r="G975" s="9"/>
      <c r="H975" s="35"/>
    </row>
    <row r="976" spans="2:8" x14ac:dyDescent="0.35">
      <c r="B976" s="6"/>
      <c r="C976" s="7"/>
      <c r="D976" s="9"/>
      <c r="E976" s="9"/>
      <c r="F976" s="9"/>
      <c r="G976" s="9"/>
      <c r="H976" s="35"/>
    </row>
    <row r="977" spans="2:8" x14ac:dyDescent="0.35">
      <c r="B977" s="6"/>
      <c r="C977" s="7"/>
      <c r="D977" s="9"/>
      <c r="E977" s="9"/>
      <c r="F977" s="9"/>
      <c r="G977" s="9"/>
      <c r="H977" s="35"/>
    </row>
    <row r="978" spans="2:8" x14ac:dyDescent="0.35">
      <c r="B978" s="6"/>
      <c r="C978" s="7"/>
      <c r="D978" s="9"/>
      <c r="E978" s="9"/>
      <c r="F978" s="9"/>
      <c r="G978" s="9"/>
      <c r="H978" s="35"/>
    </row>
    <row r="979" spans="2:8" x14ac:dyDescent="0.35">
      <c r="B979" s="6"/>
      <c r="C979" s="7"/>
      <c r="D979" s="9"/>
      <c r="E979" s="9"/>
      <c r="F979" s="9"/>
      <c r="G979" s="9"/>
      <c r="H979" s="35"/>
    </row>
    <row r="980" spans="2:8" x14ac:dyDescent="0.35">
      <c r="B980" s="6"/>
      <c r="C980" s="7"/>
      <c r="D980" s="9"/>
      <c r="E980" s="9"/>
      <c r="F980" s="9"/>
      <c r="G980" s="9"/>
      <c r="H980" s="35"/>
    </row>
    <row r="981" spans="2:8" x14ac:dyDescent="0.35">
      <c r="B981" s="6"/>
      <c r="C981" s="7"/>
      <c r="D981" s="9"/>
      <c r="E981" s="9"/>
      <c r="F981" s="9"/>
      <c r="G981" s="9"/>
      <c r="H981" s="35"/>
    </row>
    <row r="982" spans="2:8" x14ac:dyDescent="0.35">
      <c r="B982" s="6"/>
      <c r="C982" s="7"/>
      <c r="D982" s="9"/>
      <c r="E982" s="9"/>
      <c r="F982" s="9"/>
      <c r="G982" s="9"/>
      <c r="H982" s="35"/>
    </row>
    <row r="983" spans="2:8" x14ac:dyDescent="0.35">
      <c r="B983" s="6"/>
      <c r="C983" s="7"/>
      <c r="D983" s="9"/>
      <c r="E983" s="9"/>
      <c r="F983" s="9"/>
      <c r="G983" s="9"/>
      <c r="H983" s="35"/>
    </row>
    <row r="984" spans="2:8" x14ac:dyDescent="0.35">
      <c r="B984" s="6"/>
      <c r="C984" s="7"/>
      <c r="D984" s="9"/>
      <c r="E984" s="9"/>
      <c r="F984" s="9"/>
      <c r="G984" s="9"/>
      <c r="H984" s="35"/>
    </row>
    <row r="985" spans="2:8" x14ac:dyDescent="0.35">
      <c r="B985" s="6"/>
      <c r="C985" s="7"/>
      <c r="D985" s="9"/>
      <c r="E985" s="9"/>
      <c r="F985" s="9"/>
      <c r="G985" s="9"/>
      <c r="H985" s="35"/>
    </row>
    <row r="986" spans="2:8" x14ac:dyDescent="0.35">
      <c r="B986" s="6"/>
      <c r="C986" s="7"/>
      <c r="D986" s="9"/>
      <c r="E986" s="9"/>
      <c r="F986" s="9"/>
      <c r="G986" s="9"/>
      <c r="H986" s="35"/>
    </row>
    <row r="987" spans="2:8" x14ac:dyDescent="0.35">
      <c r="B987" s="6"/>
      <c r="C987" s="7"/>
      <c r="D987" s="9"/>
      <c r="E987" s="9"/>
      <c r="F987" s="9"/>
      <c r="G987" s="9"/>
      <c r="H987" s="35"/>
    </row>
    <row r="988" spans="2:8" x14ac:dyDescent="0.35">
      <c r="B988" s="6"/>
      <c r="C988" s="7"/>
      <c r="D988" s="9"/>
      <c r="E988" s="9"/>
      <c r="F988" s="9"/>
      <c r="G988" s="9"/>
      <c r="H988" s="35"/>
    </row>
    <row r="989" spans="2:8" x14ac:dyDescent="0.35">
      <c r="B989" s="6"/>
      <c r="C989" s="7"/>
      <c r="D989" s="9"/>
      <c r="E989" s="9"/>
      <c r="F989" s="9"/>
      <c r="G989" s="9"/>
      <c r="H989" s="35"/>
    </row>
    <row r="990" spans="2:8" x14ac:dyDescent="0.35">
      <c r="B990" s="6"/>
      <c r="C990" s="7"/>
      <c r="D990" s="9"/>
      <c r="E990" s="9"/>
      <c r="F990" s="9"/>
      <c r="G990" s="9"/>
      <c r="H990" s="35"/>
    </row>
    <row r="991" spans="2:8" x14ac:dyDescent="0.35">
      <c r="B991" s="6"/>
      <c r="C991" s="7"/>
      <c r="D991" s="9"/>
      <c r="E991" s="9"/>
      <c r="F991" s="9"/>
      <c r="G991" s="9"/>
      <c r="H991" s="35"/>
    </row>
    <row r="992" spans="2:8" x14ac:dyDescent="0.35">
      <c r="B992" s="6"/>
      <c r="C992" s="7"/>
      <c r="D992" s="9"/>
      <c r="E992" s="9"/>
      <c r="F992" s="9"/>
      <c r="G992" s="9"/>
      <c r="H992" s="35"/>
    </row>
    <row r="993" spans="2:8" x14ac:dyDescent="0.35">
      <c r="B993" s="6"/>
      <c r="C993" s="7"/>
      <c r="D993" s="9"/>
      <c r="E993" s="9"/>
      <c r="F993" s="9"/>
      <c r="G993" s="9"/>
      <c r="H993" s="35"/>
    </row>
    <row r="994" spans="2:8" x14ac:dyDescent="0.35">
      <c r="B994" s="6"/>
      <c r="C994" s="7"/>
      <c r="D994" s="9"/>
      <c r="E994" s="9"/>
      <c r="F994" s="9"/>
      <c r="G994" s="9"/>
      <c r="H994" s="35"/>
    </row>
    <row r="995" spans="2:8" x14ac:dyDescent="0.35">
      <c r="B995" s="6"/>
      <c r="C995" s="7"/>
      <c r="D995" s="9"/>
      <c r="E995" s="9"/>
      <c r="F995" s="9"/>
      <c r="G995" s="9"/>
      <c r="H995" s="35"/>
    </row>
    <row r="996" spans="2:8" x14ac:dyDescent="0.35">
      <c r="B996" s="6"/>
      <c r="C996" s="7"/>
      <c r="D996" s="9"/>
      <c r="E996" s="9"/>
      <c r="F996" s="9"/>
      <c r="G996" s="9"/>
      <c r="H996" s="35"/>
    </row>
    <row r="997" spans="2:8" x14ac:dyDescent="0.35">
      <c r="B997" s="6"/>
      <c r="C997" s="7"/>
      <c r="D997" s="9"/>
      <c r="E997" s="9"/>
      <c r="F997" s="9"/>
      <c r="G997" s="9"/>
      <c r="H997" s="35"/>
    </row>
    <row r="998" spans="2:8" x14ac:dyDescent="0.35">
      <c r="B998" s="6"/>
      <c r="C998" s="7"/>
      <c r="D998" s="9"/>
      <c r="E998" s="9"/>
      <c r="F998" s="9"/>
      <c r="G998" s="9"/>
      <c r="H998" s="35"/>
    </row>
    <row r="999" spans="2:8" x14ac:dyDescent="0.35">
      <c r="B999" s="6"/>
      <c r="C999" s="7"/>
      <c r="D999" s="9"/>
      <c r="E999" s="9"/>
      <c r="F999" s="9"/>
      <c r="G999" s="9"/>
      <c r="H999" s="35"/>
    </row>
    <row r="1000" spans="2:8" x14ac:dyDescent="0.35">
      <c r="B1000" s="6"/>
      <c r="C1000" s="7"/>
      <c r="D1000" s="9"/>
      <c r="E1000" s="9"/>
      <c r="F1000" s="9"/>
      <c r="G1000" s="9"/>
      <c r="H1000" s="35"/>
    </row>
  </sheetData>
  <dataValidations count="1">
    <dataValidation type="list" allowBlank="1" showInputMessage="1" showErrorMessage="1" sqref="B1" xr:uid="{4E4C3E11-4EF3-4273-A0D0-FF29E79C3306}">
      <formula1>EntityList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24389-46ED-4D3F-8F5D-CBB77762A036}">
  <sheetPr codeName="Sheet3"/>
  <dimension ref="A1:AY1000"/>
  <sheetViews>
    <sheetView showGridLines="0" zoomScale="91" zoomScaleNormal="91" workbookViewId="0">
      <pane ySplit="5" topLeftCell="A460" activePane="bottomLeft" state="frozen"/>
      <selection activeCell="B5" sqref="B5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7" width="19.26953125" customWidth="1"/>
    <col min="8" max="8" width="19.26953125" style="32" customWidth="1"/>
    <col min="9" max="9" width="18.1796875" customWidth="1"/>
    <col min="10" max="10" width="24.26953125" bestFit="1" customWidth="1"/>
  </cols>
  <sheetData>
    <row r="1" spans="1:51" x14ac:dyDescent="0.35">
      <c r="A1" s="10" t="s">
        <v>4</v>
      </c>
      <c r="B1" s="15" t="s">
        <v>9</v>
      </c>
      <c r="AY1" t="s">
        <v>2</v>
      </c>
    </row>
    <row r="2" spans="1:51" x14ac:dyDescent="0.35">
      <c r="A2" s="10" t="s">
        <v>0</v>
      </c>
      <c r="B2" s="15">
        <f>AMF!BegDate</f>
        <v>44931</v>
      </c>
      <c r="AY2" t="s">
        <v>9</v>
      </c>
    </row>
    <row r="3" spans="1:51" x14ac:dyDescent="0.35">
      <c r="A3" s="10" t="s">
        <v>1</v>
      </c>
      <c r="B3" s="15">
        <f>AMF!EndDate</f>
        <v>45657</v>
      </c>
      <c r="AY3" t="s">
        <v>10</v>
      </c>
    </row>
    <row r="4" spans="1:51" x14ac:dyDescent="0.35">
      <c r="AY4" t="s">
        <v>11</v>
      </c>
    </row>
    <row r="5" spans="1:51" ht="16" x14ac:dyDescent="0.35">
      <c r="B5" s="12" t="s">
        <v>3</v>
      </c>
      <c r="C5" s="13" t="s">
        <v>4</v>
      </c>
      <c r="D5" s="14" t="s">
        <v>5</v>
      </c>
      <c r="E5" s="14" t="s">
        <v>6</v>
      </c>
      <c r="F5" s="14" t="s">
        <v>7</v>
      </c>
      <c r="G5" s="14" t="s">
        <v>8</v>
      </c>
      <c r="H5" s="33" t="s">
        <v>32</v>
      </c>
    </row>
    <row r="6" spans="1:51" x14ac:dyDescent="0.35">
      <c r="B6" s="4">
        <v>44931</v>
      </c>
      <c r="C6" s="5" t="s">
        <v>9</v>
      </c>
      <c r="D6" s="8">
        <v>-1.14859480811266E-2</v>
      </c>
      <c r="E6" s="8">
        <v>-1.14859480811266E-2</v>
      </c>
      <c r="F6" s="8">
        <v>-1.1485948081126574E-2</v>
      </c>
      <c r="G6" s="8">
        <v>-1.1485948081126574E-2</v>
      </c>
      <c r="H6" s="34">
        <v>-1.1552421076576651E-2</v>
      </c>
      <c r="J6" s="46"/>
    </row>
    <row r="7" spans="1:51" x14ac:dyDescent="0.35">
      <c r="B7" s="6">
        <v>44932</v>
      </c>
      <c r="C7" s="7" t="s">
        <v>9</v>
      </c>
      <c r="D7" s="9">
        <v>2.2859185396547702E-2</v>
      </c>
      <c r="E7" s="9">
        <v>2.2859185396547702E-2</v>
      </c>
      <c r="F7" s="9">
        <v>1.1110677898779509E-2</v>
      </c>
      <c r="G7" s="9">
        <v>1.1110677898779509E-2</v>
      </c>
      <c r="H7" s="35">
        <v>2.2601828811313267E-2</v>
      </c>
      <c r="J7" s="46"/>
    </row>
    <row r="8" spans="1:51" x14ac:dyDescent="0.35">
      <c r="B8" s="6">
        <v>44935</v>
      </c>
      <c r="C8" s="7" t="s">
        <v>9</v>
      </c>
      <c r="D8" s="9">
        <v>-5.7961514036703897E-4</v>
      </c>
      <c r="E8" s="9">
        <v>-5.7961514036703897E-4</v>
      </c>
      <c r="F8" s="9">
        <v>1.0524622841282527E-2</v>
      </c>
      <c r="G8" s="9">
        <v>1.0524622841282527E-2</v>
      </c>
      <c r="H8" s="35">
        <v>-5.7978318215873769E-4</v>
      </c>
      <c r="J8" s="46"/>
    </row>
    <row r="9" spans="1:51" x14ac:dyDescent="0.35">
      <c r="B9" s="6">
        <v>44936</v>
      </c>
      <c r="C9" s="7" t="s">
        <v>9</v>
      </c>
      <c r="D9" s="9">
        <v>6.9787069859414304E-3</v>
      </c>
      <c r="E9" s="9">
        <v>6.9787069859414304E-3</v>
      </c>
      <c r="F9" s="9">
        <v>1.7576778086170863E-2</v>
      </c>
      <c r="G9" s="9">
        <v>1.7576778086170863E-2</v>
      </c>
      <c r="H9" s="35">
        <v>6.9544685138015492E-3</v>
      </c>
      <c r="J9" s="46"/>
    </row>
    <row r="10" spans="1:51" x14ac:dyDescent="0.35">
      <c r="B10" s="6">
        <v>44937</v>
      </c>
      <c r="C10" s="7" t="s">
        <v>9</v>
      </c>
      <c r="D10" s="9">
        <v>1.2871661749492299E-2</v>
      </c>
      <c r="E10" s="9">
        <v>1.2871661749492299E-2</v>
      </c>
      <c r="F10" s="9">
        <v>3.0674682177834312E-2</v>
      </c>
      <c r="G10" s="9">
        <v>3.0674682177834312E-2</v>
      </c>
      <c r="H10" s="35">
        <v>1.2789525976455602E-2</v>
      </c>
      <c r="J10" s="46"/>
    </row>
    <row r="11" spans="1:51" x14ac:dyDescent="0.35">
      <c r="B11" s="6">
        <v>44938</v>
      </c>
      <c r="C11" s="7" t="s">
        <v>9</v>
      </c>
      <c r="D11" s="9">
        <v>3.5346215590636E-3</v>
      </c>
      <c r="E11" s="9">
        <v>3.5346215590636E-3</v>
      </c>
      <c r="F11" s="9">
        <v>3.4317727129841158E-2</v>
      </c>
      <c r="G11" s="9">
        <v>3.4317727129841158E-2</v>
      </c>
      <c r="H11" s="35">
        <v>3.5283894653585059E-3</v>
      </c>
      <c r="J11" s="46"/>
    </row>
    <row r="12" spans="1:51" x14ac:dyDescent="0.35">
      <c r="B12" s="6">
        <v>44939</v>
      </c>
      <c r="C12" s="7" t="s">
        <v>9</v>
      </c>
      <c r="D12" s="9">
        <v>4.0334170487260996E-3</v>
      </c>
      <c r="E12" s="9">
        <v>4.0334170487260996E-3</v>
      </c>
      <c r="F12" s="9">
        <v>3.8489561884246459E-2</v>
      </c>
      <c r="G12" s="9">
        <v>3.8489561884246459E-2</v>
      </c>
      <c r="H12" s="35">
        <v>4.025304628714187E-3</v>
      </c>
      <c r="J12" s="46"/>
    </row>
    <row r="13" spans="1:51" x14ac:dyDescent="0.35">
      <c r="B13" s="6">
        <v>44943</v>
      </c>
      <c r="C13" s="7" t="s">
        <v>9</v>
      </c>
      <c r="D13" s="9">
        <v>-2.0285522542857798E-3</v>
      </c>
      <c r="E13" s="9">
        <v>-2.0285522542857798E-3</v>
      </c>
      <c r="F13" s="9">
        <v>3.6382931542433994E-2</v>
      </c>
      <c r="G13" s="9">
        <v>3.6382931542433994E-2</v>
      </c>
      <c r="H13" s="35">
        <v>-2.0306125531641028E-3</v>
      </c>
      <c r="J13" s="46"/>
    </row>
    <row r="14" spans="1:51" x14ac:dyDescent="0.35">
      <c r="B14" s="6">
        <v>44944</v>
      </c>
      <c r="C14" s="7" t="s">
        <v>9</v>
      </c>
      <c r="D14" s="9">
        <v>-1.55619013805501E-2</v>
      </c>
      <c r="E14" s="9">
        <v>-1.55619013805501E-2</v>
      </c>
      <c r="F14" s="9">
        <v>2.0254842569285225E-2</v>
      </c>
      <c r="G14" s="9">
        <v>2.0254842569285225E-2</v>
      </c>
      <c r="H14" s="35">
        <v>-1.568425883763027E-2</v>
      </c>
      <c r="J14" s="46"/>
    </row>
    <row r="15" spans="1:51" x14ac:dyDescent="0.35">
      <c r="B15" s="6">
        <v>44945</v>
      </c>
      <c r="C15" s="7" t="s">
        <v>9</v>
      </c>
      <c r="D15" s="9">
        <v>-7.5128438460601299E-3</v>
      </c>
      <c r="E15" s="9">
        <v>-7.5128438460601299E-3</v>
      </c>
      <c r="F15" s="9">
        <v>1.2589827253875585E-2</v>
      </c>
      <c r="G15" s="9">
        <v>1.2589827253875585E-2</v>
      </c>
      <c r="H15" s="35">
        <v>-7.5412074073571162E-3</v>
      </c>
      <c r="J15" s="46"/>
    </row>
    <row r="16" spans="1:51" x14ac:dyDescent="0.35">
      <c r="B16" s="6">
        <v>44946</v>
      </c>
      <c r="C16" s="7" t="s">
        <v>9</v>
      </c>
      <c r="D16" s="9">
        <v>1.8939325572300901E-2</v>
      </c>
      <c r="E16" s="9">
        <v>1.8939325572300901E-2</v>
      </c>
      <c r="F16" s="9">
        <v>3.1767595663436676E-2</v>
      </c>
      <c r="G16" s="9">
        <v>3.1767595663436676E-2</v>
      </c>
      <c r="H16" s="35">
        <v>1.8762209359191498E-2</v>
      </c>
      <c r="J16" s="46"/>
    </row>
    <row r="17" spans="2:10" x14ac:dyDescent="0.35">
      <c r="B17" s="6">
        <v>44949</v>
      </c>
      <c r="C17" s="7" t="s">
        <v>9</v>
      </c>
      <c r="D17" s="9">
        <v>1.18821702497004E-2</v>
      </c>
      <c r="E17" s="9">
        <v>1.18821702497004E-2</v>
      </c>
      <c r="F17" s="9">
        <v>4.4027233893233708E-2</v>
      </c>
      <c r="G17" s="9">
        <v>4.4027233893233708E-2</v>
      </c>
      <c r="H17" s="35">
        <v>1.181213152689267E-2</v>
      </c>
      <c r="J17" s="46"/>
    </row>
    <row r="18" spans="2:10" x14ac:dyDescent="0.35">
      <c r="B18" s="6">
        <v>44950</v>
      </c>
      <c r="C18" s="7" t="s">
        <v>9</v>
      </c>
      <c r="D18" s="9">
        <v>-6.8854689762937204E-4</v>
      </c>
      <c r="E18" s="9">
        <v>-6.8854689762937204E-4</v>
      </c>
      <c r="F18" s="9">
        <v>4.3308372180295818E-2</v>
      </c>
      <c r="G18" s="9">
        <v>4.3308372180295818E-2</v>
      </c>
      <c r="H18" s="35">
        <v>-6.8878405491340164E-4</v>
      </c>
      <c r="J18" s="46"/>
    </row>
    <row r="19" spans="2:10" x14ac:dyDescent="0.35">
      <c r="B19" s="6">
        <v>44951</v>
      </c>
      <c r="C19" s="7" t="s">
        <v>9</v>
      </c>
      <c r="D19" s="9">
        <v>-1.7167141390692201E-4</v>
      </c>
      <c r="E19" s="9">
        <v>-1.7167141390692201E-4</v>
      </c>
      <c r="F19" s="9">
        <v>4.3129265956902696E-2</v>
      </c>
      <c r="G19" s="9">
        <v>4.3129265956902696E-2</v>
      </c>
      <c r="H19" s="35">
        <v>-1.7168615113078919E-4</v>
      </c>
      <c r="J19" s="46"/>
    </row>
    <row r="20" spans="2:10" x14ac:dyDescent="0.35">
      <c r="B20" s="6">
        <v>44952</v>
      </c>
      <c r="C20" s="7" t="s">
        <v>9</v>
      </c>
      <c r="D20" s="9">
        <v>1.10799635573622E-2</v>
      </c>
      <c r="E20" s="9">
        <v>1.10799635573622E-2</v>
      </c>
      <c r="F20" s="9">
        <v>5.4687100209323214E-2</v>
      </c>
      <c r="G20" s="9">
        <v>5.4687100209323214E-2</v>
      </c>
      <c r="H20" s="35">
        <v>1.1019030439154309E-2</v>
      </c>
      <c r="J20" s="46"/>
    </row>
    <row r="21" spans="2:10" x14ac:dyDescent="0.35">
      <c r="B21" s="6">
        <v>44953</v>
      </c>
      <c r="C21" s="7" t="s">
        <v>9</v>
      </c>
      <c r="D21" s="9">
        <v>2.5126324763812499E-3</v>
      </c>
      <c r="E21" s="9">
        <v>2.5126324763812499E-3</v>
      </c>
      <c r="F21" s="9">
        <v>5.7337141269729663E-2</v>
      </c>
      <c r="G21" s="9">
        <v>5.7337141269729663E-2</v>
      </c>
      <c r="H21" s="35">
        <v>2.5094810931420653E-3</v>
      </c>
      <c r="J21" s="46"/>
    </row>
    <row r="22" spans="2:10" x14ac:dyDescent="0.35">
      <c r="B22" s="6">
        <v>44956</v>
      </c>
      <c r="C22" s="7" t="s">
        <v>9</v>
      </c>
      <c r="D22" s="9">
        <v>-1.28750715889933E-2</v>
      </c>
      <c r="E22" s="9">
        <v>-1.28750715889933E-2</v>
      </c>
      <c r="F22" s="9">
        <v>4.3723849882180366E-2</v>
      </c>
      <c r="G22" s="9">
        <v>4.3723849882180366E-2</v>
      </c>
      <c r="H22" s="35">
        <v>-1.2958673687117957E-2</v>
      </c>
      <c r="J22" s="46"/>
    </row>
    <row r="23" spans="2:10" x14ac:dyDescent="0.35">
      <c r="B23" s="6">
        <v>44957</v>
      </c>
      <c r="C23" s="7" t="s">
        <v>9</v>
      </c>
      <c r="D23" s="9">
        <v>1.46621403923288E-2</v>
      </c>
      <c r="E23" s="9">
        <v>1.46621403923288E-2</v>
      </c>
      <c r="F23" s="9">
        <v>5.9027075499974879E-2</v>
      </c>
      <c r="G23" s="9">
        <v>5.9027075499974879E-2</v>
      </c>
      <c r="H23" s="35">
        <v>1.4555690472821122E-2</v>
      </c>
      <c r="J23" s="46"/>
    </row>
    <row r="24" spans="2:10" x14ac:dyDescent="0.35">
      <c r="B24" s="6">
        <v>44958</v>
      </c>
      <c r="C24" s="7" t="s">
        <v>9</v>
      </c>
      <c r="D24" s="9">
        <v>1.04568861972325E-2</v>
      </c>
      <c r="E24" s="9">
        <v>1.04568861972325E-2</v>
      </c>
      <c r="F24" s="9">
        <v>7.0101201108266009E-2</v>
      </c>
      <c r="G24" s="9">
        <v>7.0101201108266009E-2</v>
      </c>
      <c r="H24" s="35">
        <v>1.0402591139582834E-2</v>
      </c>
      <c r="J24" s="46"/>
    </row>
    <row r="25" spans="2:10" x14ac:dyDescent="0.35">
      <c r="B25" s="6">
        <v>44959</v>
      </c>
      <c r="C25" s="7" t="s">
        <v>9</v>
      </c>
      <c r="D25" s="9">
        <v>1.47538874409782E-2</v>
      </c>
      <c r="E25" s="9">
        <v>1.47538874409782E-2</v>
      </c>
      <c r="F25" s="9">
        <v>8.5889353779873057E-2</v>
      </c>
      <c r="G25" s="9">
        <v>8.5889353779873057E-2</v>
      </c>
      <c r="H25" s="35">
        <v>1.4646107664223623E-2</v>
      </c>
      <c r="J25" s="46"/>
    </row>
    <row r="26" spans="2:10" x14ac:dyDescent="0.35">
      <c r="B26" s="6">
        <v>44960</v>
      </c>
      <c r="C26" s="7" t="s">
        <v>9</v>
      </c>
      <c r="D26" s="9">
        <v>-1.0309289917923001E-2</v>
      </c>
      <c r="E26" s="9">
        <v>-1.0309289917923001E-2</v>
      </c>
      <c r="F26" s="9">
        <v>7.4694605612970255E-2</v>
      </c>
      <c r="G26" s="9">
        <v>7.4694605612970255E-2</v>
      </c>
      <c r="H26" s="35">
        <v>-1.0362798723448032E-2</v>
      </c>
      <c r="J26" s="46"/>
    </row>
    <row r="27" spans="2:10" x14ac:dyDescent="0.35">
      <c r="B27" s="6">
        <v>44963</v>
      </c>
      <c r="C27" s="7" t="s">
        <v>9</v>
      </c>
      <c r="D27" s="9">
        <v>-6.0733725073606904E-3</v>
      </c>
      <c r="E27" s="9">
        <v>-6.0733725073606904E-3</v>
      </c>
      <c r="F27" s="9">
        <v>6.8167584941431603E-2</v>
      </c>
      <c r="G27" s="9">
        <v>6.8167584941431603E-2</v>
      </c>
      <c r="H27" s="35">
        <v>-6.0918904498129967E-3</v>
      </c>
      <c r="J27" s="46"/>
    </row>
    <row r="28" spans="2:10" x14ac:dyDescent="0.35">
      <c r="B28" s="6">
        <v>44964</v>
      </c>
      <c r="C28" s="7" t="s">
        <v>9</v>
      </c>
      <c r="D28" s="9">
        <v>1.2890531430722401E-2</v>
      </c>
      <c r="E28" s="9">
        <v>1.2890531430722401E-2</v>
      </c>
      <c r="F28" s="9">
        <v>8.1936832768398027E-2</v>
      </c>
      <c r="G28" s="9">
        <v>8.1936832768398027E-2</v>
      </c>
      <c r="H28" s="35">
        <v>1.2808155686590449E-2</v>
      </c>
      <c r="J28" s="46"/>
    </row>
    <row r="29" spans="2:10" x14ac:dyDescent="0.35">
      <c r="B29" s="6">
        <v>44965</v>
      </c>
      <c r="C29" s="7" t="s">
        <v>9</v>
      </c>
      <c r="D29" s="9">
        <v>-1.10496615393623E-2</v>
      </c>
      <c r="E29" s="9">
        <v>-1.10496615393623E-2</v>
      </c>
      <c r="F29" s="9">
        <v>6.9981796959337705E-2</v>
      </c>
      <c r="G29" s="9">
        <v>6.9981796959337705E-2</v>
      </c>
      <c r="H29" s="35">
        <v>-1.111116251236083E-2</v>
      </c>
      <c r="J29" s="46"/>
    </row>
    <row r="30" spans="2:10" x14ac:dyDescent="0.35">
      <c r="B30" s="6">
        <v>44966</v>
      </c>
      <c r="C30" s="7" t="s">
        <v>9</v>
      </c>
      <c r="D30" s="9">
        <v>-8.6781851991451602E-3</v>
      </c>
      <c r="E30" s="9">
        <v>-8.6781851991451602E-3</v>
      </c>
      <c r="F30" s="9">
        <v>6.0696296765610391E-2</v>
      </c>
      <c r="G30" s="9">
        <v>6.0696296765610391E-2</v>
      </c>
      <c r="H30" s="35">
        <v>-8.7160599301436478E-3</v>
      </c>
      <c r="J30" s="46"/>
    </row>
    <row r="31" spans="2:10" x14ac:dyDescent="0.35">
      <c r="B31" s="6">
        <v>44967</v>
      </c>
      <c r="C31" s="7" t="s">
        <v>9</v>
      </c>
      <c r="D31" s="9">
        <v>2.39961036484639E-3</v>
      </c>
      <c r="E31" s="9">
        <v>2.39961036484639E-3</v>
      </c>
      <c r="F31" s="9">
        <v>6.32415545932834E-2</v>
      </c>
      <c r="G31" s="9">
        <v>6.32415545932834E-2</v>
      </c>
      <c r="H31" s="35">
        <v>2.3967358973778748E-3</v>
      </c>
      <c r="J31" s="46"/>
    </row>
    <row r="32" spans="2:10" x14ac:dyDescent="0.35">
      <c r="B32" s="6">
        <v>44970</v>
      </c>
      <c r="C32" s="7" t="s">
        <v>9</v>
      </c>
      <c r="D32" s="9">
        <v>1.1602629700211E-2</v>
      </c>
      <c r="E32" s="9">
        <v>1.1602629700211E-2</v>
      </c>
      <c r="F32" s="9">
        <v>7.557795263310596E-2</v>
      </c>
      <c r="G32" s="9">
        <v>7.557795263310596E-2</v>
      </c>
      <c r="H32" s="35">
        <v>1.1535835355777587E-2</v>
      </c>
      <c r="J32" s="46"/>
    </row>
    <row r="33" spans="2:10" x14ac:dyDescent="0.35">
      <c r="B33" s="6">
        <v>44971</v>
      </c>
      <c r="C33" s="7" t="s">
        <v>9</v>
      </c>
      <c r="D33" s="9">
        <v>-1.58591346349866E-4</v>
      </c>
      <c r="E33" s="9">
        <v>-1.58591346349866E-4</v>
      </c>
      <c r="F33" s="9">
        <v>7.5407375277493527E-2</v>
      </c>
      <c r="G33" s="9">
        <v>7.5407375277493527E-2</v>
      </c>
      <c r="H33" s="35">
        <v>-1.5860392328719399E-4</v>
      </c>
      <c r="J33" s="46"/>
    </row>
    <row r="34" spans="2:10" x14ac:dyDescent="0.35">
      <c r="B34" s="6">
        <v>44972</v>
      </c>
      <c r="C34" s="7" t="s">
        <v>9</v>
      </c>
      <c r="D34" s="9">
        <v>3.0250432796455101E-3</v>
      </c>
      <c r="E34" s="9">
        <v>3.0250432796455101E-3</v>
      </c>
      <c r="F34" s="9">
        <v>7.866052913095789E-2</v>
      </c>
      <c r="G34" s="9">
        <v>7.866052913095789E-2</v>
      </c>
      <c r="H34" s="35">
        <v>3.0204770426157171E-3</v>
      </c>
      <c r="J34" s="46"/>
    </row>
    <row r="35" spans="2:10" x14ac:dyDescent="0.35">
      <c r="B35" s="6">
        <v>44973</v>
      </c>
      <c r="C35" s="7" t="s">
        <v>9</v>
      </c>
      <c r="D35" s="9">
        <v>-1.3698150461650399E-2</v>
      </c>
      <c r="E35" s="9">
        <v>-1.3698150461650399E-2</v>
      </c>
      <c r="F35" s="9">
        <v>6.3884874905878686E-2</v>
      </c>
      <c r="G35" s="9">
        <v>6.3884874905878686E-2</v>
      </c>
      <c r="H35" s="35">
        <v>-1.3792835794960684E-2</v>
      </c>
      <c r="J35" s="46"/>
    </row>
    <row r="36" spans="2:10" x14ac:dyDescent="0.35">
      <c r="B36" s="6">
        <v>44974</v>
      </c>
      <c r="C36" s="7" t="s">
        <v>9</v>
      </c>
      <c r="D36" s="9">
        <v>-2.58138402954744E-3</v>
      </c>
      <c r="E36" s="9">
        <v>-2.58138402954744E-3</v>
      </c>
      <c r="F36" s="9">
        <v>6.1138579480519484E-2</v>
      </c>
      <c r="G36" s="9">
        <v>6.1138579480519484E-2</v>
      </c>
      <c r="H36" s="35">
        <v>-2.584721546146715E-3</v>
      </c>
      <c r="J36" s="46"/>
    </row>
    <row r="37" spans="2:10" x14ac:dyDescent="0.35">
      <c r="B37" s="6">
        <v>44978</v>
      </c>
      <c r="C37" s="7" t="s">
        <v>9</v>
      </c>
      <c r="D37" s="9">
        <v>-2.0033964044959301E-2</v>
      </c>
      <c r="E37" s="9">
        <v>-2.0033964044959301E-2</v>
      </c>
      <c r="F37" s="9">
        <v>3.9879767332487548E-2</v>
      </c>
      <c r="G37" s="9">
        <v>3.9879767332487548E-2</v>
      </c>
      <c r="H37" s="35">
        <v>-2.0237365106827644E-2</v>
      </c>
      <c r="J37" s="46"/>
    </row>
    <row r="38" spans="2:10" x14ac:dyDescent="0.35">
      <c r="B38" s="6">
        <v>44979</v>
      </c>
      <c r="C38" s="7" t="s">
        <v>9</v>
      </c>
      <c r="D38" s="9">
        <v>-1.5559953273271501E-3</v>
      </c>
      <c r="E38" s="9">
        <v>-1.5559953273271501E-3</v>
      </c>
      <c r="F38" s="9">
        <v>3.8261719273536166E-2</v>
      </c>
      <c r="G38" s="9">
        <v>3.8261719273536166E-2</v>
      </c>
      <c r="H38" s="35">
        <v>-1.5572071452750391E-3</v>
      </c>
      <c r="J38" s="46"/>
    </row>
    <row r="39" spans="2:10" x14ac:dyDescent="0.35">
      <c r="B39" s="6">
        <v>44980</v>
      </c>
      <c r="C39" s="7" t="s">
        <v>9</v>
      </c>
      <c r="D39" s="9">
        <v>5.41222444537009E-3</v>
      </c>
      <c r="E39" s="9">
        <v>5.41222444537009E-3</v>
      </c>
      <c r="F39" s="9">
        <v>4.3881024731280416E-2</v>
      </c>
      <c r="G39" s="9">
        <v>4.3881024731280416E-2</v>
      </c>
      <c r="H39" s="35">
        <v>5.3976309903356508E-3</v>
      </c>
      <c r="J39" s="46"/>
    </row>
    <row r="40" spans="2:10" x14ac:dyDescent="0.35">
      <c r="B40" s="6">
        <v>44981</v>
      </c>
      <c r="C40" s="7" t="s">
        <v>9</v>
      </c>
      <c r="D40" s="9">
        <v>-1.04942241499048E-2</v>
      </c>
      <c r="E40" s="9">
        <v>-1.04942241499048E-2</v>
      </c>
      <c r="F40" s="9">
        <v>3.2926303271918034E-2</v>
      </c>
      <c r="G40" s="9">
        <v>3.2926303271918034E-2</v>
      </c>
      <c r="H40" s="35">
        <v>-1.054967681648673E-2</v>
      </c>
      <c r="J40" s="46"/>
    </row>
    <row r="41" spans="2:10" x14ac:dyDescent="0.35">
      <c r="B41" s="6">
        <v>44984</v>
      </c>
      <c r="C41" s="7" t="s">
        <v>9</v>
      </c>
      <c r="D41" s="9">
        <v>3.1966368077984198E-3</v>
      </c>
      <c r="E41" s="9">
        <v>3.1966368077984198E-3</v>
      </c>
      <c r="F41" s="9">
        <v>3.6228193512700235E-2</v>
      </c>
      <c r="G41" s="9">
        <v>3.6228193512700235E-2</v>
      </c>
      <c r="H41" s="35">
        <v>3.1915384265839559E-3</v>
      </c>
      <c r="J41" s="46"/>
    </row>
    <row r="42" spans="2:10" x14ac:dyDescent="0.35">
      <c r="B42" s="6">
        <v>44985</v>
      </c>
      <c r="C42" s="7" t="s">
        <v>9</v>
      </c>
      <c r="D42" s="9">
        <v>-2.9348270850677702E-3</v>
      </c>
      <c r="E42" s="9">
        <v>-2.9348270850677702E-3</v>
      </c>
      <c r="F42" s="9">
        <v>3.3187042944068379E-2</v>
      </c>
      <c r="G42" s="9">
        <v>3.3187042944068379E-2</v>
      </c>
      <c r="H42" s="35">
        <v>-2.9391421347619E-3</v>
      </c>
      <c r="J42" s="46"/>
    </row>
    <row r="43" spans="2:10" x14ac:dyDescent="0.35">
      <c r="B43" s="6">
        <v>44986</v>
      </c>
      <c r="C43" s="7" t="s">
        <v>9</v>
      </c>
      <c r="D43" s="9">
        <v>-4.6640250949314E-3</v>
      </c>
      <c r="E43" s="9">
        <v>-4.6640250949314E-3</v>
      </c>
      <c r="F43" s="9">
        <v>2.8368232648019243E-2</v>
      </c>
      <c r="G43" s="9">
        <v>2.8368232648019243E-2</v>
      </c>
      <c r="H43" s="35">
        <v>-4.6749355977654282E-3</v>
      </c>
      <c r="J43" s="46"/>
    </row>
    <row r="44" spans="2:10" x14ac:dyDescent="0.35">
      <c r="B44" s="6">
        <v>44987</v>
      </c>
      <c r="C44" s="7" t="s">
        <v>9</v>
      </c>
      <c r="D44" s="9">
        <v>7.7367376558750397E-3</v>
      </c>
      <c r="E44" s="9">
        <v>7.7367376558750397E-3</v>
      </c>
      <c r="F44" s="9">
        <v>3.6324447877652766E-2</v>
      </c>
      <c r="G44" s="9">
        <v>3.6324447877652766E-2</v>
      </c>
      <c r="H44" s="35">
        <v>7.7069625771383063E-3</v>
      </c>
      <c r="J44" s="46"/>
    </row>
    <row r="45" spans="2:10" x14ac:dyDescent="0.35">
      <c r="B45" s="6">
        <v>44988</v>
      </c>
      <c r="C45" s="7" t="s">
        <v>9</v>
      </c>
      <c r="D45" s="9">
        <v>1.62317545602579E-2</v>
      </c>
      <c r="E45" s="9">
        <v>1.62317545602579E-2</v>
      </c>
      <c r="F45" s="9">
        <v>5.3145811960397582E-2</v>
      </c>
      <c r="G45" s="9">
        <v>5.3145811960397582E-2</v>
      </c>
      <c r="H45" s="35">
        <v>1.6101428026470722E-2</v>
      </c>
      <c r="J45" s="46"/>
    </row>
    <row r="46" spans="2:10" x14ac:dyDescent="0.35">
      <c r="B46" s="6">
        <v>44991</v>
      </c>
      <c r="C46" s="7" t="s">
        <v>9</v>
      </c>
      <c r="D46" s="9">
        <v>7.2539135847159001E-4</v>
      </c>
      <c r="E46" s="9">
        <v>7.2539135847159001E-4</v>
      </c>
      <c r="F46" s="9">
        <v>5.3909754831604095E-2</v>
      </c>
      <c r="G46" s="9">
        <v>5.3909754831604095E-2</v>
      </c>
      <c r="H46" s="35">
        <v>7.2512838932270278E-4</v>
      </c>
      <c r="J46" s="46"/>
    </row>
    <row r="47" spans="2:10" x14ac:dyDescent="0.35">
      <c r="B47" s="6">
        <v>44992</v>
      </c>
      <c r="C47" s="7" t="s">
        <v>9</v>
      </c>
      <c r="D47" s="9">
        <v>-1.52996342145785E-2</v>
      </c>
      <c r="E47" s="9">
        <v>-1.52996342145785E-2</v>
      </c>
      <c r="F47" s="9">
        <v>3.7785321087504542E-2</v>
      </c>
      <c r="G47" s="9">
        <v>3.7785321087504542E-2</v>
      </c>
      <c r="H47" s="35">
        <v>-1.5417881259554029E-2</v>
      </c>
      <c r="J47" s="46"/>
    </row>
    <row r="48" spans="2:10" x14ac:dyDescent="0.35">
      <c r="B48" s="6">
        <v>44993</v>
      </c>
      <c r="C48" s="7" t="s">
        <v>9</v>
      </c>
      <c r="D48" s="9">
        <v>1.5016072715830001E-3</v>
      </c>
      <c r="E48" s="9">
        <v>1.5016072715830001E-3</v>
      </c>
      <c r="F48" s="9">
        <v>3.934366707199155E-2</v>
      </c>
      <c r="G48" s="9">
        <v>3.934366707199155E-2</v>
      </c>
      <c r="H48" s="35">
        <v>1.5004809867346629E-3</v>
      </c>
      <c r="J48" s="46"/>
    </row>
    <row r="49" spans="2:10" x14ac:dyDescent="0.35">
      <c r="B49" s="6">
        <v>44994</v>
      </c>
      <c r="C49" s="7" t="s">
        <v>9</v>
      </c>
      <c r="D49" s="9">
        <v>-1.8297064709102698E-2</v>
      </c>
      <c r="E49" s="9">
        <v>-1.8297064709102698E-2</v>
      </c>
      <c r="F49" s="9">
        <v>2.0326728740579281E-2</v>
      </c>
      <c r="G49" s="9">
        <v>2.0326728740579281E-2</v>
      </c>
      <c r="H49" s="35">
        <v>-1.846652628008694E-2</v>
      </c>
      <c r="J49" s="46"/>
    </row>
    <row r="50" spans="2:10" x14ac:dyDescent="0.35">
      <c r="B50" s="6">
        <v>44995</v>
      </c>
      <c r="C50" s="7" t="s">
        <v>9</v>
      </c>
      <c r="D50" s="9">
        <v>-1.44012896677315E-2</v>
      </c>
      <c r="E50" s="9">
        <v>-1.44012896677315E-2</v>
      </c>
      <c r="F50" s="9">
        <v>5.6327079642572997E-3</v>
      </c>
      <c r="G50" s="9">
        <v>5.6327079642572997E-3</v>
      </c>
      <c r="H50" s="35">
        <v>-1.4505994714017312E-2</v>
      </c>
      <c r="J50" s="46"/>
    </row>
    <row r="51" spans="2:10" x14ac:dyDescent="0.35">
      <c r="B51" s="6">
        <v>44998</v>
      </c>
      <c r="C51" s="7" t="s">
        <v>9</v>
      </c>
      <c r="D51" s="9">
        <v>-1.4854034275744901E-3</v>
      </c>
      <c r="E51" s="9">
        <v>-1.4854034275744901E-3</v>
      </c>
      <c r="F51" s="9">
        <v>4.1389376929661381E-3</v>
      </c>
      <c r="G51" s="9">
        <v>4.1389376929661381E-3</v>
      </c>
      <c r="H51" s="35">
        <v>-1.486507732940642E-3</v>
      </c>
      <c r="J51" s="46"/>
    </row>
    <row r="52" spans="2:10" x14ac:dyDescent="0.35">
      <c r="B52" s="6">
        <v>44999</v>
      </c>
      <c r="C52" s="7" t="s">
        <v>9</v>
      </c>
      <c r="D52" s="9">
        <v>1.6716840241755401E-2</v>
      </c>
      <c r="E52" s="9">
        <v>1.6716840241755401E-2</v>
      </c>
      <c r="F52" s="9">
        <v>2.09249678949055E-2</v>
      </c>
      <c r="G52" s="9">
        <v>2.09249678949055E-2</v>
      </c>
      <c r="H52" s="35">
        <v>1.6578651790951578E-2</v>
      </c>
      <c r="J52" s="46"/>
    </row>
    <row r="53" spans="2:10" x14ac:dyDescent="0.35">
      <c r="B53" s="6">
        <v>45000</v>
      </c>
      <c r="C53" s="7" t="s">
        <v>9</v>
      </c>
      <c r="D53" s="9">
        <v>-6.94580363664147E-3</v>
      </c>
      <c r="E53" s="9">
        <v>-6.94580363664147E-3</v>
      </c>
      <c r="F53" s="9">
        <v>1.3833823540162937E-2</v>
      </c>
      <c r="G53" s="9">
        <v>1.3833823540162937E-2</v>
      </c>
      <c r="H53" s="35">
        <v>-6.9700380140675349E-3</v>
      </c>
      <c r="J53" s="46"/>
    </row>
    <row r="54" spans="2:10" x14ac:dyDescent="0.35">
      <c r="B54" s="6">
        <v>45001</v>
      </c>
      <c r="C54" s="7" t="s">
        <v>9</v>
      </c>
      <c r="D54" s="9">
        <v>1.77106968426721E-2</v>
      </c>
      <c r="E54" s="9">
        <v>1.77106968426721E-2</v>
      </c>
      <c r="F54" s="9">
        <v>3.178952703772997E-2</v>
      </c>
      <c r="G54" s="9">
        <v>3.178952703772997E-2</v>
      </c>
      <c r="H54" s="35">
        <v>1.7555689961996555E-2</v>
      </c>
      <c r="J54" s="46"/>
    </row>
    <row r="55" spans="2:10" x14ac:dyDescent="0.35">
      <c r="B55" s="6">
        <v>45002</v>
      </c>
      <c r="C55" s="7" t="s">
        <v>9</v>
      </c>
      <c r="D55" s="9">
        <v>-1.09962649070125E-2</v>
      </c>
      <c r="E55" s="9">
        <v>-1.09962649070125E-2</v>
      </c>
      <c r="F55" s="9">
        <v>2.0443696070141959E-2</v>
      </c>
      <c r="G55" s="9">
        <v>2.0443696070141959E-2</v>
      </c>
      <c r="H55" s="35">
        <v>-1.1057170730573147E-2</v>
      </c>
      <c r="J55" s="46"/>
    </row>
    <row r="56" spans="2:10" x14ac:dyDescent="0.35">
      <c r="B56" s="6">
        <v>45005</v>
      </c>
      <c r="C56" s="7" t="s">
        <v>9</v>
      </c>
      <c r="D56" s="9">
        <v>8.9275373393622893E-3</v>
      </c>
      <c r="E56" s="9">
        <v>8.9275373393622893E-3</v>
      </c>
      <c r="F56" s="9">
        <v>2.9553745269524923E-2</v>
      </c>
      <c r="G56" s="9">
        <v>2.9553745269524923E-2</v>
      </c>
      <c r="H56" s="35">
        <v>8.8879224787435339E-3</v>
      </c>
      <c r="J56" s="46"/>
    </row>
    <row r="57" spans="2:10" x14ac:dyDescent="0.35">
      <c r="B57" s="6">
        <v>45006</v>
      </c>
      <c r="C57" s="7" t="s">
        <v>9</v>
      </c>
      <c r="D57" s="9">
        <v>1.30568356374808E-2</v>
      </c>
      <c r="E57" s="9">
        <v>1.30568356374808E-2</v>
      </c>
      <c r="F57" s="9">
        <v>4.2996459301461787E-2</v>
      </c>
      <c r="G57" s="9">
        <v>4.2996459301461787E-2</v>
      </c>
      <c r="H57" s="35">
        <v>1.2972329948799972E-2</v>
      </c>
      <c r="J57" s="46"/>
    </row>
    <row r="58" spans="2:10" x14ac:dyDescent="0.35">
      <c r="B58" s="6">
        <v>45007</v>
      </c>
      <c r="C58" s="7" t="s">
        <v>9</v>
      </c>
      <c r="D58" s="9">
        <v>-1.63884251855364E-2</v>
      </c>
      <c r="E58" s="9">
        <v>-1.63884251855364E-2</v>
      </c>
      <c r="F58" s="9">
        <v>2.5903389859420312E-2</v>
      </c>
      <c r="G58" s="9">
        <v>2.5903389859420312E-2</v>
      </c>
      <c r="H58" s="35">
        <v>-1.652420090284961E-2</v>
      </c>
      <c r="J58" s="46"/>
    </row>
    <row r="59" spans="2:10" x14ac:dyDescent="0.35">
      <c r="B59" s="6">
        <v>45008</v>
      </c>
      <c r="C59" s="7" t="s">
        <v>9</v>
      </c>
      <c r="D59" s="9">
        <v>3.0700639665939499E-3</v>
      </c>
      <c r="E59" s="9">
        <v>3.0700639665939499E-3</v>
      </c>
      <c r="F59" s="9">
        <v>2.905297888983438E-2</v>
      </c>
      <c r="G59" s="9">
        <v>2.905297888983438E-2</v>
      </c>
      <c r="H59" s="35">
        <v>3.0653609434770348E-3</v>
      </c>
      <c r="J59" s="46"/>
    </row>
    <row r="60" spans="2:10" x14ac:dyDescent="0.35">
      <c r="B60" s="6">
        <v>45009</v>
      </c>
      <c r="C60" s="7" t="s">
        <v>9</v>
      </c>
      <c r="D60" s="9">
        <v>5.6453627631017798E-3</v>
      </c>
      <c r="E60" s="9">
        <v>5.6453627631017798E-3</v>
      </c>
      <c r="F60" s="9">
        <v>3.4862356258117844E-2</v>
      </c>
      <c r="G60" s="9">
        <v>3.4862356258117844E-2</v>
      </c>
      <c r="H60" s="35">
        <v>5.6294874227510614E-3</v>
      </c>
      <c r="J60" s="46"/>
    </row>
    <row r="61" spans="2:10" x14ac:dyDescent="0.35">
      <c r="B61" s="6">
        <v>45012</v>
      </c>
      <c r="C61" s="7" t="s">
        <v>9</v>
      </c>
      <c r="D61" s="9">
        <v>1.64713223563782E-3</v>
      </c>
      <c r="E61" s="9">
        <v>1.64713223563782E-3</v>
      </c>
      <c r="F61" s="9">
        <v>3.6566911404558589E-2</v>
      </c>
      <c r="G61" s="9">
        <v>3.6566911404558589E-2</v>
      </c>
      <c r="H61" s="35">
        <v>1.6457772010802308E-3</v>
      </c>
      <c r="J61" s="46"/>
    </row>
    <row r="62" spans="2:10" x14ac:dyDescent="0.35">
      <c r="B62" s="6">
        <v>45013</v>
      </c>
      <c r="C62" s="7" t="s">
        <v>9</v>
      </c>
      <c r="D62" s="9">
        <v>-1.5503894192681401E-3</v>
      </c>
      <c r="E62" s="9">
        <v>-1.5503894192681401E-3</v>
      </c>
      <c r="F62" s="9">
        <v>3.495982903275352E-2</v>
      </c>
      <c r="G62" s="9">
        <v>3.495982903275352E-2</v>
      </c>
      <c r="H62" s="35">
        <v>-1.5515925166175225E-3</v>
      </c>
      <c r="J62" s="46"/>
    </row>
    <row r="63" spans="2:10" x14ac:dyDescent="0.35">
      <c r="B63" s="6">
        <v>45014</v>
      </c>
      <c r="C63" s="7" t="s">
        <v>9</v>
      </c>
      <c r="D63" s="9">
        <v>1.4237699176511499E-2</v>
      </c>
      <c r="E63" s="9">
        <v>1.4237699176511499E-2</v>
      </c>
      <c r="F63" s="9">
        <v>4.9695275738295575E-2</v>
      </c>
      <c r="G63" s="9">
        <v>4.9695275738295575E-2</v>
      </c>
      <c r="H63" s="35">
        <v>1.4137295031379006E-2</v>
      </c>
      <c r="J63" s="46"/>
    </row>
    <row r="64" spans="2:10" x14ac:dyDescent="0.35">
      <c r="B64" s="6">
        <v>45015</v>
      </c>
      <c r="C64" s="7" t="s">
        <v>9</v>
      </c>
      <c r="D64" s="9">
        <v>5.8512249732742402E-3</v>
      </c>
      <c r="E64" s="9">
        <v>5.8512249732742402E-3</v>
      </c>
      <c r="F64" s="9">
        <v>5.5837278950023439E-2</v>
      </c>
      <c r="G64" s="9">
        <v>5.5837278950023439E-2</v>
      </c>
      <c r="H64" s="35">
        <v>5.8341730405606397E-3</v>
      </c>
      <c r="J64" s="46"/>
    </row>
    <row r="65" spans="2:10" x14ac:dyDescent="0.35">
      <c r="B65" s="6">
        <v>45016</v>
      </c>
      <c r="C65" s="7" t="s">
        <v>9</v>
      </c>
      <c r="D65" s="9">
        <v>1.4474306749598801E-2</v>
      </c>
      <c r="E65" s="9">
        <v>1.4474306749598801E-2</v>
      </c>
      <c r="F65" s="9">
        <v>7.1119791603207805E-2</v>
      </c>
      <c r="G65" s="9">
        <v>7.1119791603207805E-2</v>
      </c>
      <c r="H65" s="35">
        <v>1.4370553939956423E-2</v>
      </c>
      <c r="J65" s="46"/>
    </row>
    <row r="66" spans="2:10" x14ac:dyDescent="0.35">
      <c r="B66" s="6">
        <v>45019</v>
      </c>
      <c r="C66" s="7" t="s">
        <v>9</v>
      </c>
      <c r="D66" s="9">
        <v>3.7003206641240301E-3</v>
      </c>
      <c r="E66" s="9">
        <v>3.7003206641240301E-3</v>
      </c>
      <c r="F66" s="9">
        <v>7.508327830182937E-2</v>
      </c>
      <c r="G66" s="9">
        <v>7.508327830182937E-2</v>
      </c>
      <c r="H66" s="35">
        <v>3.6934913196069435E-3</v>
      </c>
      <c r="J66" s="46"/>
    </row>
    <row r="67" spans="2:10" x14ac:dyDescent="0.35">
      <c r="B67" s="6">
        <v>45020</v>
      </c>
      <c r="C67" s="7" t="s">
        <v>9</v>
      </c>
      <c r="D67" s="9">
        <v>-5.7062488808499404E-3</v>
      </c>
      <c r="E67" s="9">
        <v>-5.7062488808499404E-3</v>
      </c>
      <c r="F67" s="9">
        <v>6.8948585548199048E-2</v>
      </c>
      <c r="G67" s="9">
        <v>6.8948585548199048E-2</v>
      </c>
      <c r="H67" s="35">
        <v>-5.72259171951877E-3</v>
      </c>
      <c r="J67" s="46"/>
    </row>
    <row r="68" spans="2:10" x14ac:dyDescent="0.35">
      <c r="B68" s="6">
        <v>45021</v>
      </c>
      <c r="C68" s="7" t="s">
        <v>9</v>
      </c>
      <c r="D68" s="9">
        <v>-2.3674075121018902E-3</v>
      </c>
      <c r="E68" s="9">
        <v>-2.3674075121018902E-3</v>
      </c>
      <c r="F68" s="9">
        <v>6.6417948636721569E-2</v>
      </c>
      <c r="G68" s="9">
        <v>6.6417948636721569E-2</v>
      </c>
      <c r="H68" s="35">
        <v>-2.3702142519390437E-3</v>
      </c>
      <c r="J68" s="46"/>
    </row>
    <row r="69" spans="2:10" x14ac:dyDescent="0.35">
      <c r="B69" s="6">
        <v>45022</v>
      </c>
      <c r="C69" s="7" t="s">
        <v>9</v>
      </c>
      <c r="D69" s="9">
        <v>3.7886145050465198E-3</v>
      </c>
      <c r="E69" s="9">
        <v>3.7886145050465198E-3</v>
      </c>
      <c r="F69" s="9">
        <v>7.0458195145368663E-2</v>
      </c>
      <c r="G69" s="9">
        <v>7.0458195145368663E-2</v>
      </c>
      <c r="H69" s="35">
        <v>3.781455780513985E-3</v>
      </c>
      <c r="J69" s="46"/>
    </row>
    <row r="70" spans="2:10" x14ac:dyDescent="0.35">
      <c r="B70" s="6">
        <v>45026</v>
      </c>
      <c r="C70" s="7" t="s">
        <v>9</v>
      </c>
      <c r="D70" s="9">
        <v>1.0187008434158801E-3</v>
      </c>
      <c r="E70" s="9">
        <v>1.0187008434158801E-3</v>
      </c>
      <c r="F70" s="9">
        <v>7.1548671811604736E-2</v>
      </c>
      <c r="G70" s="9">
        <v>7.1548671811604736E-2</v>
      </c>
      <c r="H70" s="35">
        <v>1.0181823198288091E-3</v>
      </c>
      <c r="J70" s="46"/>
    </row>
    <row r="71" spans="2:10" x14ac:dyDescent="0.35">
      <c r="B71" s="6">
        <v>45027</v>
      </c>
      <c r="C71" s="7" t="s">
        <v>9</v>
      </c>
      <c r="D71" s="9">
        <v>-4.0933976906274099E-5</v>
      </c>
      <c r="E71" s="9">
        <v>-4.0933976906274099E-5</v>
      </c>
      <c r="F71" s="9">
        <v>7.1504809063018815E-2</v>
      </c>
      <c r="G71" s="9">
        <v>7.1504809063018815E-2</v>
      </c>
      <c r="H71" s="35">
        <v>-4.0934814724395097E-5</v>
      </c>
      <c r="J71" s="46"/>
    </row>
    <row r="72" spans="2:10" x14ac:dyDescent="0.35">
      <c r="B72" s="6">
        <v>45028</v>
      </c>
      <c r="C72" s="7" t="s">
        <v>9</v>
      </c>
      <c r="D72" s="9">
        <v>-4.11403308282991E-3</v>
      </c>
      <c r="E72" s="9">
        <v>-4.11403308282991E-3</v>
      </c>
      <c r="F72" s="9">
        <v>6.7096602830122309E-2</v>
      </c>
      <c r="G72" s="9">
        <v>6.7096602830122309E-2</v>
      </c>
      <c r="H72" s="35">
        <v>-4.1225189991569849E-3</v>
      </c>
      <c r="J72" s="46"/>
    </row>
    <row r="73" spans="2:10" x14ac:dyDescent="0.35">
      <c r="B73" s="6">
        <v>45029</v>
      </c>
      <c r="C73" s="7" t="s">
        <v>9</v>
      </c>
      <c r="D73" s="9">
        <v>1.3420703781980301E-2</v>
      </c>
      <c r="E73" s="9">
        <v>1.3420703781980301E-2</v>
      </c>
      <c r="F73" s="9">
        <v>8.141779024346274E-2</v>
      </c>
      <c r="G73" s="9">
        <v>8.141779024346274E-2</v>
      </c>
      <c r="H73" s="35">
        <v>1.3331443870698369E-2</v>
      </c>
      <c r="J73" s="46"/>
    </row>
    <row r="74" spans="2:10" x14ac:dyDescent="0.35">
      <c r="B74" s="6">
        <v>45030</v>
      </c>
      <c r="C74" s="7" t="s">
        <v>9</v>
      </c>
      <c r="D74" s="9">
        <v>-2.0663275365748E-3</v>
      </c>
      <c r="E74" s="9">
        <v>-2.0663275365748E-3</v>
      </c>
      <c r="F74" s="9">
        <v>7.9183226884940838E-2</v>
      </c>
      <c r="G74" s="9">
        <v>7.9183226884940838E-2</v>
      </c>
      <c r="H74" s="35">
        <v>-2.0684653367568817E-3</v>
      </c>
      <c r="J74" s="46"/>
    </row>
    <row r="75" spans="2:10" x14ac:dyDescent="0.35">
      <c r="B75" s="6">
        <v>45033</v>
      </c>
      <c r="C75" s="7" t="s">
        <v>9</v>
      </c>
      <c r="D75" s="9">
        <v>3.3249372552164001E-3</v>
      </c>
      <c r="E75" s="9">
        <v>3.3249372552164001E-3</v>
      </c>
      <c r="F75" s="9">
        <v>8.2771443401215228E-2</v>
      </c>
      <c r="G75" s="9">
        <v>8.2771443401215228E-2</v>
      </c>
      <c r="H75" s="35">
        <v>3.3194218734915507E-3</v>
      </c>
      <c r="J75" s="46"/>
    </row>
    <row r="76" spans="2:10" x14ac:dyDescent="0.35">
      <c r="B76" s="6">
        <v>45034</v>
      </c>
      <c r="C76" s="7" t="s">
        <v>9</v>
      </c>
      <c r="D76" s="9">
        <v>8.5407955205273295E-4</v>
      </c>
      <c r="E76" s="9">
        <v>8.5407955205273295E-4</v>
      </c>
      <c r="F76" s="9">
        <v>8.3696216350570785E-2</v>
      </c>
      <c r="G76" s="9">
        <v>8.3696216350570785E-2</v>
      </c>
      <c r="H76" s="35">
        <v>8.5371503364906065E-4</v>
      </c>
      <c r="J76" s="46"/>
    </row>
    <row r="77" spans="2:10" x14ac:dyDescent="0.35">
      <c r="B77" s="6">
        <v>45035</v>
      </c>
      <c r="C77" s="7" t="s">
        <v>9</v>
      </c>
      <c r="D77" s="9">
        <v>-8.4323193937724494E-5</v>
      </c>
      <c r="E77" s="9">
        <v>-8.4323193937724494E-5</v>
      </c>
      <c r="F77" s="9">
        <v>8.3604835624349949E-2</v>
      </c>
      <c r="G77" s="9">
        <v>8.3604835624349949E-2</v>
      </c>
      <c r="H77" s="35">
        <v>-8.4326749338084305E-5</v>
      </c>
      <c r="J77" s="46"/>
    </row>
    <row r="78" spans="2:10" x14ac:dyDescent="0.35">
      <c r="B78" s="6">
        <v>45036</v>
      </c>
      <c r="C78" s="7" t="s">
        <v>9</v>
      </c>
      <c r="D78" s="9">
        <v>-5.8446523342627899E-3</v>
      </c>
      <c r="E78" s="9">
        <v>-5.8446523342627899E-3</v>
      </c>
      <c r="F78" s="9">
        <v>7.7271542092399725E-2</v>
      </c>
      <c r="G78" s="9">
        <v>7.7271542092399725E-2</v>
      </c>
      <c r="H78" s="35">
        <v>-5.8617991588451835E-3</v>
      </c>
      <c r="J78" s="46"/>
    </row>
    <row r="79" spans="2:10" x14ac:dyDescent="0.35">
      <c r="B79" s="6">
        <v>45037</v>
      </c>
      <c r="C79" s="7" t="s">
        <v>9</v>
      </c>
      <c r="D79" s="9">
        <v>9.2064576401150705E-4</v>
      </c>
      <c r="E79" s="9">
        <v>9.2064576401150705E-4</v>
      </c>
      <c r="F79" s="9">
        <v>7.8263327574317199E-2</v>
      </c>
      <c r="G79" s="9">
        <v>7.8263327574317199E-2</v>
      </c>
      <c r="H79" s="35">
        <v>9.2022222963016693E-4</v>
      </c>
      <c r="J79" s="46"/>
    </row>
    <row r="80" spans="2:10" x14ac:dyDescent="0.35">
      <c r="B80" s="6">
        <v>45040</v>
      </c>
      <c r="C80" s="7" t="s">
        <v>9</v>
      </c>
      <c r="D80" s="9">
        <v>8.5200050622831101E-4</v>
      </c>
      <c r="E80" s="9">
        <v>8.5200050622831101E-4</v>
      </c>
      <c r="F80" s="9">
        <v>7.9182008475257915E-2</v>
      </c>
      <c r="G80" s="9">
        <v>7.9182008475257915E-2</v>
      </c>
      <c r="H80" s="35">
        <v>8.5163775982239752E-4</v>
      </c>
      <c r="J80" s="46"/>
    </row>
    <row r="81" spans="2:10" x14ac:dyDescent="0.35">
      <c r="B81" s="6">
        <v>45041</v>
      </c>
      <c r="C81" s="7" t="s">
        <v>9</v>
      </c>
      <c r="D81" s="9">
        <v>-1.5768913777336201E-2</v>
      </c>
      <c r="E81" s="9">
        <v>-1.5768913777336201E-2</v>
      </c>
      <c r="F81" s="9">
        <v>6.2164480433559044E-2</v>
      </c>
      <c r="G81" s="9">
        <v>6.2164480433559044E-2</v>
      </c>
      <c r="H81" s="35">
        <v>-1.5894565779134725E-2</v>
      </c>
      <c r="J81" s="46"/>
    </row>
    <row r="82" spans="2:10" x14ac:dyDescent="0.35">
      <c r="B82" s="6">
        <v>45042</v>
      </c>
      <c r="C82" s="7" t="s">
        <v>9</v>
      </c>
      <c r="D82" s="9">
        <v>-3.83590494205406E-3</v>
      </c>
      <c r="E82" s="9">
        <v>-3.83590494205406E-3</v>
      </c>
      <c r="F82" s="9">
        <v>5.8090118453789641E-2</v>
      </c>
      <c r="G82" s="9">
        <v>5.8090118453789641E-2</v>
      </c>
      <c r="H82" s="35">
        <v>-3.8432808937579337E-3</v>
      </c>
      <c r="J82" s="46"/>
    </row>
    <row r="83" spans="2:10" x14ac:dyDescent="0.35">
      <c r="B83" s="6">
        <v>45043</v>
      </c>
      <c r="C83" s="7" t="s">
        <v>9</v>
      </c>
      <c r="D83" s="9">
        <v>1.9590773578192E-2</v>
      </c>
      <c r="E83" s="9">
        <v>1.9590773578192E-2</v>
      </c>
      <c r="F83" s="9">
        <v>7.8818922389740198E-2</v>
      </c>
      <c r="G83" s="9">
        <v>7.8818922389740198E-2</v>
      </c>
      <c r="H83" s="35">
        <v>1.9401344418652738E-2</v>
      </c>
      <c r="J83" s="46"/>
    </row>
    <row r="84" spans="2:10" x14ac:dyDescent="0.35">
      <c r="B84" s="6">
        <v>45044</v>
      </c>
      <c r="C84" s="7" t="s">
        <v>9</v>
      </c>
      <c r="D84" s="9">
        <v>8.3608905031668894E-3</v>
      </c>
      <c r="E84" s="9">
        <v>8.3608905031668894E-3</v>
      </c>
      <c r="F84" s="9">
        <v>8.783880927258525E-2</v>
      </c>
      <c r="G84" s="9">
        <v>8.783880927258525E-2</v>
      </c>
      <c r="H84" s="35">
        <v>8.3261318658815094E-3</v>
      </c>
      <c r="J84" s="46"/>
    </row>
    <row r="85" spans="2:10" x14ac:dyDescent="0.35">
      <c r="B85" s="6">
        <v>45047</v>
      </c>
      <c r="C85" s="7" t="s">
        <v>9</v>
      </c>
      <c r="D85" s="9">
        <v>-3.8416952740431202E-4</v>
      </c>
      <c r="E85" s="9">
        <v>-3.8416952740431202E-4</v>
      </c>
      <c r="F85" s="9">
        <v>8.7420894751335076E-2</v>
      </c>
      <c r="G85" s="9">
        <v>8.7420894751335076E-2</v>
      </c>
      <c r="H85" s="35">
        <v>-3.8424333942199365E-4</v>
      </c>
      <c r="J85" s="46"/>
    </row>
    <row r="86" spans="2:10" x14ac:dyDescent="0.35">
      <c r="B86" s="6">
        <v>45048</v>
      </c>
      <c r="C86" s="7" t="s">
        <v>9</v>
      </c>
      <c r="D86" s="9">
        <v>-1.1577694814071201E-2</v>
      </c>
      <c r="E86" s="9">
        <v>-1.1577694814071201E-2</v>
      </c>
      <c r="F86" s="9">
        <v>7.4831067497459935E-2</v>
      </c>
      <c r="G86" s="9">
        <v>7.4831067497459935E-2</v>
      </c>
      <c r="H86" s="35">
        <v>-1.1645238159616069E-2</v>
      </c>
      <c r="J86" s="46"/>
    </row>
    <row r="87" spans="2:10" x14ac:dyDescent="0.35">
      <c r="B87" s="6">
        <v>45049</v>
      </c>
      <c r="C87" s="7" t="s">
        <v>9</v>
      </c>
      <c r="D87" s="9">
        <v>-6.9874024977356003E-3</v>
      </c>
      <c r="E87" s="9">
        <v>-6.9874024977356003E-3</v>
      </c>
      <c r="F87" s="9">
        <v>6.7320790211784498E-2</v>
      </c>
      <c r="G87" s="9">
        <v>6.7320790211784498E-2</v>
      </c>
      <c r="H87" s="35">
        <v>-7.0119287110256504E-3</v>
      </c>
      <c r="J87" s="46"/>
    </row>
    <row r="88" spans="2:10" x14ac:dyDescent="0.35">
      <c r="B88" s="6">
        <v>45050</v>
      </c>
      <c r="C88" s="7" t="s">
        <v>9</v>
      </c>
      <c r="D88" s="9">
        <v>-7.1084880621465202E-3</v>
      </c>
      <c r="E88" s="9">
        <v>-7.1084880621465202E-3</v>
      </c>
      <c r="F88" s="9">
        <v>5.973375311608331E-2</v>
      </c>
      <c r="G88" s="9">
        <v>5.973375311608331E-2</v>
      </c>
      <c r="H88" s="35">
        <v>-7.1338737374600997E-3</v>
      </c>
      <c r="J88" s="46"/>
    </row>
    <row r="89" spans="2:10" x14ac:dyDescent="0.35">
      <c r="B89" s="6">
        <v>45051</v>
      </c>
      <c r="C89" s="7" t="s">
        <v>9</v>
      </c>
      <c r="D89" s="9">
        <v>1.85313784825379E-2</v>
      </c>
      <c r="E89" s="9">
        <v>1.85313784825379E-2</v>
      </c>
      <c r="F89" s="9">
        <v>7.9372080385797794E-2</v>
      </c>
      <c r="G89" s="9">
        <v>7.9372080385797794E-2</v>
      </c>
      <c r="H89" s="35">
        <v>1.8361764734979108E-2</v>
      </c>
      <c r="J89" s="46"/>
    </row>
    <row r="90" spans="2:10" x14ac:dyDescent="0.35">
      <c r="B90" s="6">
        <v>45054</v>
      </c>
      <c r="C90" s="7" t="s">
        <v>9</v>
      </c>
      <c r="D90" s="9">
        <v>4.6845756677491599E-4</v>
      </c>
      <c r="E90" s="9">
        <v>4.6845756677491599E-4</v>
      </c>
      <c r="F90" s="9">
        <v>7.9877720404220032E-2</v>
      </c>
      <c r="G90" s="9">
        <v>7.9877720404220032E-2</v>
      </c>
      <c r="H90" s="35">
        <v>4.6834787478491744E-4</v>
      </c>
      <c r="J90" s="46"/>
    </row>
    <row r="91" spans="2:10" x14ac:dyDescent="0.35">
      <c r="B91" s="6">
        <v>45055</v>
      </c>
      <c r="C91" s="7" t="s">
        <v>9</v>
      </c>
      <c r="D91" s="9">
        <v>-4.5086263018998003E-3</v>
      </c>
      <c r="E91" s="9">
        <v>-4.5086263018998003E-3</v>
      </c>
      <c r="F91" s="9">
        <v>7.5008955311169911E-2</v>
      </c>
      <c r="G91" s="9">
        <v>7.5008955311169911E-2</v>
      </c>
      <c r="H91" s="35">
        <v>-4.5188208111606046E-3</v>
      </c>
      <c r="J91" s="46"/>
    </row>
    <row r="92" spans="2:10" x14ac:dyDescent="0.35">
      <c r="B92" s="6">
        <v>45056</v>
      </c>
      <c r="C92" s="7" t="s">
        <v>9</v>
      </c>
      <c r="D92" s="9">
        <v>4.5109117595390604E-3</v>
      </c>
      <c r="E92" s="9">
        <v>4.5109117595390604E-3</v>
      </c>
      <c r="F92" s="9">
        <v>7.9858225849292808E-2</v>
      </c>
      <c r="G92" s="9">
        <v>7.9858225849292808E-2</v>
      </c>
      <c r="H92" s="35">
        <v>4.5007680904457547E-3</v>
      </c>
      <c r="J92" s="46"/>
    </row>
    <row r="93" spans="2:10" x14ac:dyDescent="0.35">
      <c r="B93" s="6">
        <v>45057</v>
      </c>
      <c r="C93" s="7" t="s">
        <v>9</v>
      </c>
      <c r="D93" s="9">
        <v>-1.48484968153583E-3</v>
      </c>
      <c r="E93" s="9">
        <v>-1.48484968153583E-3</v>
      </c>
      <c r="F93" s="9">
        <v>7.8254798706536732E-2</v>
      </c>
      <c r="G93" s="9">
        <v>7.8254798706536732E-2</v>
      </c>
      <c r="H93" s="35">
        <v>-1.4859531632958466E-3</v>
      </c>
      <c r="J93" s="46"/>
    </row>
    <row r="94" spans="2:10" x14ac:dyDescent="0.35">
      <c r="B94" s="6">
        <v>45058</v>
      </c>
      <c r="C94" s="7" t="s">
        <v>9</v>
      </c>
      <c r="D94" s="9">
        <v>-1.35710968406805E-3</v>
      </c>
      <c r="E94" s="9">
        <v>-1.35710968406805E-3</v>
      </c>
      <c r="F94" s="9">
        <v>7.6791488677319109E-2</v>
      </c>
      <c r="G94" s="9">
        <v>7.6791488677319109E-2</v>
      </c>
      <c r="H94" s="35">
        <v>-1.3580313914150863E-3</v>
      </c>
      <c r="J94" s="46"/>
    </row>
    <row r="95" spans="2:10" x14ac:dyDescent="0.35">
      <c r="B95" s="6">
        <v>45061</v>
      </c>
      <c r="C95" s="7" t="s">
        <v>9</v>
      </c>
      <c r="D95" s="9">
        <v>3.0947035873668599E-3</v>
      </c>
      <c r="E95" s="9">
        <v>3.0947035873668599E-3</v>
      </c>
      <c r="F95" s="9">
        <v>8.012383916017507E-2</v>
      </c>
      <c r="G95" s="9">
        <v>8.012383916017507E-2</v>
      </c>
      <c r="H95" s="35">
        <v>3.0899248488678349E-3</v>
      </c>
      <c r="J95" s="46"/>
    </row>
    <row r="96" spans="2:10" x14ac:dyDescent="0.35">
      <c r="B96" s="6">
        <v>45062</v>
      </c>
      <c r="C96" s="7" t="s">
        <v>9</v>
      </c>
      <c r="D96" s="9">
        <v>-6.3259797203167904E-3</v>
      </c>
      <c r="E96" s="9">
        <v>-6.3259797203167904E-3</v>
      </c>
      <c r="F96" s="9">
        <v>7.3290997658217005E-2</v>
      </c>
      <c r="G96" s="9">
        <v>7.3290997658217005E-2</v>
      </c>
      <c r="H96" s="35">
        <v>-6.3460735168181671E-3</v>
      </c>
      <c r="J96" s="46"/>
    </row>
    <row r="97" spans="2:10" x14ac:dyDescent="0.35">
      <c r="B97" s="6">
        <v>45063</v>
      </c>
      <c r="C97" s="7" t="s">
        <v>9</v>
      </c>
      <c r="D97" s="9">
        <v>1.2087706253299199E-2</v>
      </c>
      <c r="E97" s="9">
        <v>1.2087706253299199E-2</v>
      </c>
      <c r="F97" s="9">
        <v>8.6264623962220011E-2</v>
      </c>
      <c r="G97" s="9">
        <v>8.6264623962220011E-2</v>
      </c>
      <c r="H97" s="35">
        <v>1.2015233368171344E-2</v>
      </c>
      <c r="J97" s="46"/>
    </row>
    <row r="98" spans="2:10" x14ac:dyDescent="0.35">
      <c r="B98" s="6">
        <v>45064</v>
      </c>
      <c r="C98" s="7" t="s">
        <v>9</v>
      </c>
      <c r="D98" s="9">
        <v>9.6260079435315695E-3</v>
      </c>
      <c r="E98" s="9">
        <v>9.6260079435315695E-3</v>
      </c>
      <c r="F98" s="9">
        <v>9.6721015861257698E-2</v>
      </c>
      <c r="G98" s="9">
        <v>9.6721015861257698E-2</v>
      </c>
      <c r="H98" s="35">
        <v>9.5799731143863635E-3</v>
      </c>
      <c r="J98" s="46"/>
    </row>
    <row r="99" spans="2:10" x14ac:dyDescent="0.35">
      <c r="B99" s="6">
        <v>45065</v>
      </c>
      <c r="C99" s="7" t="s">
        <v>9</v>
      </c>
      <c r="D99" s="9">
        <v>-1.4209137619775999E-3</v>
      </c>
      <c r="E99" s="9">
        <v>-1.4209137619775999E-3</v>
      </c>
      <c r="F99" s="9">
        <v>9.5162669876770467E-2</v>
      </c>
      <c r="G99" s="9">
        <v>9.5162669876770467E-2</v>
      </c>
      <c r="H99" s="35">
        <v>-1.4219242172303793E-3</v>
      </c>
      <c r="J99" s="46"/>
    </row>
    <row r="100" spans="2:10" x14ac:dyDescent="0.35">
      <c r="B100" s="6">
        <v>45068</v>
      </c>
      <c r="C100" s="7" t="s">
        <v>9</v>
      </c>
      <c r="D100" s="9">
        <v>2.7034664447528198E-4</v>
      </c>
      <c r="E100" s="9">
        <v>2.7034664447528198E-4</v>
      </c>
      <c r="F100" s="9">
        <v>9.5458743429726267E-2</v>
      </c>
      <c r="G100" s="9">
        <v>9.5458743429726267E-2</v>
      </c>
      <c r="H100" s="35">
        <v>2.7031010740621701E-4</v>
      </c>
      <c r="J100" s="46"/>
    </row>
    <row r="101" spans="2:10" x14ac:dyDescent="0.35">
      <c r="B101" s="6">
        <v>45069</v>
      </c>
      <c r="C101" s="7" t="s">
        <v>9</v>
      </c>
      <c r="D101" s="9">
        <v>-1.12035627173728E-2</v>
      </c>
      <c r="E101" s="9">
        <v>-1.12035627173728E-2</v>
      </c>
      <c r="F101" s="9">
        <v>8.3185702693416852E-2</v>
      </c>
      <c r="G101" s="9">
        <v>8.3185702693416852E-2</v>
      </c>
      <c r="H101" s="35">
        <v>-1.1266795356978478E-2</v>
      </c>
      <c r="J101" s="46"/>
    </row>
    <row r="102" spans="2:10" x14ac:dyDescent="0.35">
      <c r="B102" s="6">
        <v>45070</v>
      </c>
      <c r="C102" s="7" t="s">
        <v>9</v>
      </c>
      <c r="D102" s="9">
        <v>-7.3002060705318703E-3</v>
      </c>
      <c r="E102" s="9">
        <v>-7.3002060705318703E-3</v>
      </c>
      <c r="F102" s="9">
        <v>7.5278223851101167E-2</v>
      </c>
      <c r="G102" s="9">
        <v>7.5278223851101167E-2</v>
      </c>
      <c r="H102" s="35">
        <v>-7.3269829723913984E-3</v>
      </c>
      <c r="J102" s="46"/>
    </row>
    <row r="103" spans="2:10" x14ac:dyDescent="0.35">
      <c r="B103" s="6">
        <v>45071</v>
      </c>
      <c r="C103" s="7" t="s">
        <v>9</v>
      </c>
      <c r="D103" s="9">
        <v>8.7906758554422097E-3</v>
      </c>
      <c r="E103" s="9">
        <v>8.7906758554422097E-3</v>
      </c>
      <c r="F103" s="9">
        <v>8.4730646171391699E-2</v>
      </c>
      <c r="G103" s="9">
        <v>8.4730646171391699E-2</v>
      </c>
      <c r="H103" s="35">
        <v>8.7522628180089403E-3</v>
      </c>
      <c r="J103" s="46"/>
    </row>
    <row r="104" spans="2:10" x14ac:dyDescent="0.35">
      <c r="B104" s="6">
        <v>45072</v>
      </c>
      <c r="C104" s="7" t="s">
        <v>9</v>
      </c>
      <c r="D104" s="9">
        <v>1.31194090874372E-2</v>
      </c>
      <c r="E104" s="9">
        <v>1.31194090874372E-2</v>
      </c>
      <c r="F104" s="9">
        <v>9.8961671268194218E-2</v>
      </c>
      <c r="G104" s="9">
        <v>9.8961671268194218E-2</v>
      </c>
      <c r="H104" s="35">
        <v>1.303409501009631E-2</v>
      </c>
      <c r="J104" s="46"/>
    </row>
    <row r="105" spans="2:10" x14ac:dyDescent="0.35">
      <c r="B105" s="6">
        <v>45076</v>
      </c>
      <c r="C105" s="7" t="s">
        <v>9</v>
      </c>
      <c r="D105" s="9">
        <v>8.3151877458523894E-5</v>
      </c>
      <c r="E105" s="9">
        <v>8.3151877458523894E-5</v>
      </c>
      <c r="F105" s="9">
        <v>9.9053051994415053E-2</v>
      </c>
      <c r="G105" s="9">
        <v>9.9053051994415053E-2</v>
      </c>
      <c r="H105" s="35">
        <v>8.3148420532712247E-5</v>
      </c>
      <c r="J105" s="46"/>
    </row>
    <row r="106" spans="2:10" x14ac:dyDescent="0.35">
      <c r="B106" s="6">
        <v>45077</v>
      </c>
      <c r="C106" s="7" t="s">
        <v>9</v>
      </c>
      <c r="D106" s="9">
        <v>-5.9010752306717998E-3</v>
      </c>
      <c r="E106" s="9">
        <v>-5.9010752306717998E-3</v>
      </c>
      <c r="F106" s="9">
        <v>9.2567457252096474E-2</v>
      </c>
      <c r="G106" s="9">
        <v>9.2567457252096474E-2</v>
      </c>
      <c r="H106" s="35">
        <v>-5.9185553768062813E-3</v>
      </c>
      <c r="J106" s="46"/>
    </row>
    <row r="107" spans="2:10" x14ac:dyDescent="0.35">
      <c r="B107" s="6">
        <v>45078</v>
      </c>
      <c r="C107" s="7" t="s">
        <v>9</v>
      </c>
      <c r="D107" s="9">
        <v>1.00377377006767E-2</v>
      </c>
      <c r="E107" s="9">
        <v>1.00377377006767E-2</v>
      </c>
      <c r="F107" s="9">
        <v>0.10353436280828832</v>
      </c>
      <c r="G107" s="9">
        <v>0.10353436280828832</v>
      </c>
      <c r="H107" s="35">
        <v>9.987694215224838E-3</v>
      </c>
      <c r="J107" s="46"/>
    </row>
    <row r="108" spans="2:10" x14ac:dyDescent="0.35">
      <c r="B108" s="6">
        <v>45079</v>
      </c>
      <c r="C108" s="7" t="s">
        <v>9</v>
      </c>
      <c r="D108" s="9">
        <v>1.45928584756607E-2</v>
      </c>
      <c r="E108" s="9">
        <v>1.45928584756607E-2</v>
      </c>
      <c r="F108" s="9">
        <v>0.11963808358777817</v>
      </c>
      <c r="G108" s="9">
        <v>0.11963808358777817</v>
      </c>
      <c r="H108" s="35">
        <v>1.4487407367214706E-2</v>
      </c>
      <c r="J108" s="46"/>
    </row>
    <row r="109" spans="2:10" x14ac:dyDescent="0.35">
      <c r="B109" s="6">
        <v>45082</v>
      </c>
      <c r="C109" s="7" t="s">
        <v>9</v>
      </c>
      <c r="D109" s="9">
        <v>-1.98599681805222E-3</v>
      </c>
      <c r="E109" s="9">
        <v>-1.98599681805222E-3</v>
      </c>
      <c r="F109" s="9">
        <v>0.1174144859164028</v>
      </c>
      <c r="G109" s="9">
        <v>0.1174144859164028</v>
      </c>
      <c r="H109" s="35">
        <v>-1.9879715246734204E-3</v>
      </c>
      <c r="J109" s="46"/>
    </row>
    <row r="110" spans="2:10" x14ac:dyDescent="0.35">
      <c r="B110" s="6">
        <v>45083</v>
      </c>
      <c r="C110" s="7" t="s">
        <v>9</v>
      </c>
      <c r="D110" s="9">
        <v>2.3792155567113299E-3</v>
      </c>
      <c r="E110" s="9">
        <v>2.3792155567113299E-3</v>
      </c>
      <c r="F110" s="9">
        <v>0.12007305584458972</v>
      </c>
      <c r="G110" s="9">
        <v>0.12007305584458972</v>
      </c>
      <c r="H110" s="35">
        <v>2.3763897046984576E-3</v>
      </c>
      <c r="J110" s="46"/>
    </row>
    <row r="111" spans="2:10" x14ac:dyDescent="0.35">
      <c r="B111" s="6">
        <v>45084</v>
      </c>
      <c r="C111" s="7" t="s">
        <v>9</v>
      </c>
      <c r="D111" s="9">
        <v>-3.7822626350089801E-3</v>
      </c>
      <c r="E111" s="9">
        <v>-3.7822626350089801E-3</v>
      </c>
      <c r="F111" s="9">
        <v>0.11583664537698835</v>
      </c>
      <c r="G111" s="9">
        <v>0.11583664537698835</v>
      </c>
      <c r="H111" s="35">
        <v>-3.7894334773791128E-3</v>
      </c>
      <c r="J111" s="46"/>
    </row>
    <row r="112" spans="2:10" x14ac:dyDescent="0.35">
      <c r="B112" s="6">
        <v>45085</v>
      </c>
      <c r="C112" s="7" t="s">
        <v>9</v>
      </c>
      <c r="D112" s="9">
        <v>6.3025898271921099E-3</v>
      </c>
      <c r="E112" s="9">
        <v>6.3025898271921099E-3</v>
      </c>
      <c r="F112" s="9">
        <v>0.12286930606694946</v>
      </c>
      <c r="G112" s="9">
        <v>0.12286930606694946</v>
      </c>
      <c r="H112" s="35">
        <v>6.2828115672661604E-3</v>
      </c>
      <c r="J112" s="46"/>
    </row>
    <row r="113" spans="2:10" x14ac:dyDescent="0.35">
      <c r="B113" s="6">
        <v>45086</v>
      </c>
      <c r="C113" s="7" t="s">
        <v>9</v>
      </c>
      <c r="D113" s="9">
        <v>1.17623314590284E-3</v>
      </c>
      <c r="E113" s="9">
        <v>1.17623314590284E-3</v>
      </c>
      <c r="F113" s="9">
        <v>0.12419006216326234</v>
      </c>
      <c r="G113" s="9">
        <v>0.12419006216326234</v>
      </c>
      <c r="H113" s="35">
        <v>1.1755419256671176E-3</v>
      </c>
      <c r="J113" s="46"/>
    </row>
    <row r="114" spans="2:10" x14ac:dyDescent="0.35">
      <c r="B114" s="6">
        <v>45089</v>
      </c>
      <c r="C114" s="7" t="s">
        <v>9</v>
      </c>
      <c r="D114" s="9">
        <v>9.3229431974593997E-3</v>
      </c>
      <c r="E114" s="9">
        <v>9.3229431974593997E-3</v>
      </c>
      <c r="F114" s="9">
        <v>0.13467082225595872</v>
      </c>
      <c r="G114" s="9">
        <v>0.13467082225595872</v>
      </c>
      <c r="H114" s="35">
        <v>9.2797527961090993E-3</v>
      </c>
      <c r="J114" s="46"/>
    </row>
    <row r="115" spans="2:10" x14ac:dyDescent="0.35">
      <c r="B115" s="6">
        <v>45090</v>
      </c>
      <c r="C115" s="7" t="s">
        <v>9</v>
      </c>
      <c r="D115" s="9">
        <v>6.9721842812841299E-3</v>
      </c>
      <c r="E115" s="9">
        <v>6.9721842812841299E-3</v>
      </c>
      <c r="F115" s="9">
        <v>0.14258195632732362</v>
      </c>
      <c r="G115" s="9">
        <v>0.14258195632732362</v>
      </c>
      <c r="H115" s="35">
        <v>6.9479909927402444E-3</v>
      </c>
      <c r="J115" s="46"/>
    </row>
    <row r="116" spans="2:10" x14ac:dyDescent="0.35">
      <c r="B116" s="6">
        <v>45091</v>
      </c>
      <c r="C116" s="7" t="s">
        <v>9</v>
      </c>
      <c r="D116" s="9">
        <v>1.0546352231103999E-3</v>
      </c>
      <c r="E116" s="9">
        <v>1.0546352231103999E-3</v>
      </c>
      <c r="F116" s="9">
        <v>0.14378696350375675</v>
      </c>
      <c r="G116" s="9">
        <v>0.14378696350375675</v>
      </c>
      <c r="H116" s="35">
        <v>1.0540794860824413E-3</v>
      </c>
      <c r="J116" s="46"/>
    </row>
    <row r="117" spans="2:10" x14ac:dyDescent="0.35">
      <c r="B117" s="6">
        <v>45092</v>
      </c>
      <c r="C117" s="7" t="s">
        <v>9</v>
      </c>
      <c r="D117" s="9">
        <v>1.23557396293384E-2</v>
      </c>
      <c r="E117" s="9">
        <v>1.23557396293384E-2</v>
      </c>
      <c r="F117" s="9">
        <v>0.15791929741624067</v>
      </c>
      <c r="G117" s="9">
        <v>0.15791929741624067</v>
      </c>
      <c r="H117" s="35">
        <v>1.2280030468975011E-2</v>
      </c>
      <c r="J117" s="46"/>
    </row>
    <row r="118" spans="2:10" x14ac:dyDescent="0.35">
      <c r="B118" s="6">
        <v>45093</v>
      </c>
      <c r="C118" s="7" t="s">
        <v>9</v>
      </c>
      <c r="D118" s="9">
        <v>-3.6533793232621098E-3</v>
      </c>
      <c r="E118" s="9">
        <v>-3.6533793232621098E-3</v>
      </c>
      <c r="F118" s="9">
        <v>0.15368897899705392</v>
      </c>
      <c r="G118" s="9">
        <v>0.15368897899705392</v>
      </c>
      <c r="H118" s="35">
        <v>-3.6600692122737391E-3</v>
      </c>
      <c r="J118" s="46"/>
    </row>
    <row r="119" spans="2:10" x14ac:dyDescent="0.35">
      <c r="B119" s="6">
        <v>45097</v>
      </c>
      <c r="C119" s="7" t="s">
        <v>9</v>
      </c>
      <c r="D119" s="9">
        <v>-4.7302670557334099E-3</v>
      </c>
      <c r="E119" s="9">
        <v>-4.7302670557334099E-3</v>
      </c>
      <c r="F119" s="9">
        <v>0.14823172202714141</v>
      </c>
      <c r="G119" s="9">
        <v>0.14823172202714141</v>
      </c>
      <c r="H119" s="35">
        <v>-4.7414901751639746E-3</v>
      </c>
      <c r="J119" s="46"/>
    </row>
    <row r="120" spans="2:10" x14ac:dyDescent="0.35">
      <c r="B120" s="6">
        <v>45098</v>
      </c>
      <c r="C120" s="7" t="s">
        <v>9</v>
      </c>
      <c r="D120" s="9">
        <v>-5.17931838005451E-3</v>
      </c>
      <c r="E120" s="9">
        <v>-5.17931838005451E-3</v>
      </c>
      <c r="F120" s="9">
        <v>0.14228466436468468</v>
      </c>
      <c r="G120" s="9">
        <v>0.14228466436468468</v>
      </c>
      <c r="H120" s="35">
        <v>-5.1927775424673748E-3</v>
      </c>
      <c r="J120" s="46"/>
    </row>
    <row r="121" spans="2:10" x14ac:dyDescent="0.35">
      <c r="B121" s="6">
        <v>45099</v>
      </c>
      <c r="C121" s="7" t="s">
        <v>9</v>
      </c>
      <c r="D121" s="9">
        <v>3.7993815605198E-3</v>
      </c>
      <c r="E121" s="9">
        <v>3.7993815605198E-3</v>
      </c>
      <c r="F121" s="9">
        <v>0.14662463965533634</v>
      </c>
      <c r="G121" s="9">
        <v>0.14662463965533634</v>
      </c>
      <c r="H121" s="35">
        <v>3.7921821401997458E-3</v>
      </c>
      <c r="J121" s="46"/>
    </row>
    <row r="122" spans="2:10" x14ac:dyDescent="0.35">
      <c r="B122" s="6">
        <v>45100</v>
      </c>
      <c r="C122" s="7" t="s">
        <v>9</v>
      </c>
      <c r="D122" s="9">
        <v>-7.6496972105542004E-3</v>
      </c>
      <c r="E122" s="9">
        <v>-7.6496972105542004E-3</v>
      </c>
      <c r="F122" s="9">
        <v>0.13785330834781218</v>
      </c>
      <c r="G122" s="9">
        <v>0.13785330834781218</v>
      </c>
      <c r="H122" s="35">
        <v>-7.6791062202743359E-3</v>
      </c>
      <c r="J122" s="46"/>
    </row>
    <row r="123" spans="2:10" x14ac:dyDescent="0.35">
      <c r="B123" s="6">
        <v>45103</v>
      </c>
      <c r="C123" s="7" t="s">
        <v>9</v>
      </c>
      <c r="D123" s="9">
        <v>-4.4673642550894302E-3</v>
      </c>
      <c r="E123" s="9">
        <v>-4.4673642550894302E-3</v>
      </c>
      <c r="F123" s="9">
        <v>0.13277010315056392</v>
      </c>
      <c r="G123" s="9">
        <v>0.13277010315056392</v>
      </c>
      <c r="H123" s="35">
        <v>-4.4773727456218259E-3</v>
      </c>
      <c r="J123" s="46"/>
    </row>
    <row r="124" spans="2:10" x14ac:dyDescent="0.35">
      <c r="B124" s="6">
        <v>45104</v>
      </c>
      <c r="C124" s="7" t="s">
        <v>9</v>
      </c>
      <c r="D124" s="9">
        <v>1.14551603077082E-2</v>
      </c>
      <c r="E124" s="9">
        <v>1.14551603077082E-2</v>
      </c>
      <c r="F124" s="9">
        <v>0.14574616627393278</v>
      </c>
      <c r="G124" s="9">
        <v>0.14574616627393278</v>
      </c>
      <c r="H124" s="35">
        <v>1.1390046744604613E-2</v>
      </c>
      <c r="J124" s="46"/>
    </row>
    <row r="125" spans="2:10" x14ac:dyDescent="0.35">
      <c r="B125" s="6">
        <v>45105</v>
      </c>
      <c r="C125" s="7" t="s">
        <v>9</v>
      </c>
      <c r="D125" s="9">
        <v>-3.5305552542547701E-4</v>
      </c>
      <c r="E125" s="9">
        <v>-3.5305552542547701E-4</v>
      </c>
      <c r="F125" s="9">
        <v>0.14534165425919454</v>
      </c>
      <c r="G125" s="9">
        <v>0.14534165425919454</v>
      </c>
      <c r="H125" s="35">
        <v>-3.5311786420067528E-4</v>
      </c>
      <c r="J125" s="46"/>
    </row>
    <row r="126" spans="2:10" x14ac:dyDescent="0.35">
      <c r="B126" s="6">
        <v>45106</v>
      </c>
      <c r="C126" s="7" t="s">
        <v>9</v>
      </c>
      <c r="D126" s="9">
        <v>4.5913428294841498E-3</v>
      </c>
      <c r="E126" s="9">
        <v>4.5913428294841498E-3</v>
      </c>
      <c r="F126" s="9">
        <v>0.15060031045078692</v>
      </c>
      <c r="G126" s="9">
        <v>0.15060031045078692</v>
      </c>
      <c r="H126" s="35">
        <v>4.5808347667977492E-3</v>
      </c>
      <c r="J126" s="46"/>
    </row>
    <row r="127" spans="2:10" x14ac:dyDescent="0.35">
      <c r="B127" s="6">
        <v>45107</v>
      </c>
      <c r="C127" s="7" t="s">
        <v>9</v>
      </c>
      <c r="D127" s="9">
        <v>1.23058709413712E-2</v>
      </c>
      <c r="E127" s="9">
        <v>1.23058709413712E-2</v>
      </c>
      <c r="F127" s="9">
        <v>0.16475944937629605</v>
      </c>
      <c r="G127" s="9">
        <v>0.16475944937629605</v>
      </c>
      <c r="H127" s="35">
        <v>1.2230769211966133E-2</v>
      </c>
      <c r="J127" s="46"/>
    </row>
    <row r="128" spans="2:10" x14ac:dyDescent="0.35">
      <c r="B128" s="6">
        <v>45110</v>
      </c>
      <c r="C128" s="7" t="s">
        <v>9</v>
      </c>
      <c r="D128" s="9">
        <v>1.22179949726301E-3</v>
      </c>
      <c r="E128" s="9">
        <v>1.22179949726301E-3</v>
      </c>
      <c r="F128" s="9">
        <v>0.1661825518859763</v>
      </c>
      <c r="G128" s="9">
        <v>0.1661825518859763</v>
      </c>
      <c r="H128" s="35">
        <v>1.2210537076656467E-3</v>
      </c>
      <c r="J128" s="46"/>
    </row>
    <row r="129" spans="2:10" x14ac:dyDescent="0.35">
      <c r="B129" s="6">
        <v>45112</v>
      </c>
      <c r="C129" s="7" t="s">
        <v>9</v>
      </c>
      <c r="D129" s="9">
        <v>-1.8450897731249901E-3</v>
      </c>
      <c r="E129" s="9">
        <v>-1.8450897731249901E-3</v>
      </c>
      <c r="F129" s="9">
        <v>0.16403084038589455</v>
      </c>
      <c r="G129" s="9">
        <v>0.16403084038589455</v>
      </c>
      <c r="H129" s="35">
        <v>-1.8467940479431494E-3</v>
      </c>
      <c r="J129" s="46"/>
    </row>
    <row r="130" spans="2:10" x14ac:dyDescent="0.35">
      <c r="B130" s="6">
        <v>45113</v>
      </c>
      <c r="C130" s="7" t="s">
        <v>9</v>
      </c>
      <c r="D130" s="9">
        <v>-7.8461829931681798E-3</v>
      </c>
      <c r="E130" s="9">
        <v>-7.8461829931681798E-3</v>
      </c>
      <c r="F130" s="9">
        <v>0.15489764140253537</v>
      </c>
      <c r="G130" s="9">
        <v>0.15489764140253537</v>
      </c>
      <c r="H130" s="35">
        <v>-7.8771262508663779E-3</v>
      </c>
      <c r="J130" s="46"/>
    </row>
    <row r="131" spans="2:10" x14ac:dyDescent="0.35">
      <c r="B131" s="6">
        <v>45114</v>
      </c>
      <c r="C131" s="7" t="s">
        <v>9</v>
      </c>
      <c r="D131" s="9">
        <v>-2.7039487357482699E-3</v>
      </c>
      <c r="E131" s="9">
        <v>-2.7039487357482699E-3</v>
      </c>
      <c r="F131" s="9">
        <v>0.15177485738514629</v>
      </c>
      <c r="G131" s="9">
        <v>0.15177485738514629</v>
      </c>
      <c r="H131" s="35">
        <v>-2.7076110083523808E-3</v>
      </c>
      <c r="J131" s="46"/>
    </row>
    <row r="132" spans="2:10" x14ac:dyDescent="0.35">
      <c r="B132" s="6">
        <v>45117</v>
      </c>
      <c r="C132" s="7" t="s">
        <v>9</v>
      </c>
      <c r="D132" s="9">
        <v>2.4119072050437702E-3</v>
      </c>
      <c r="E132" s="9">
        <v>2.4119072050437702E-3</v>
      </c>
      <c r="F132" s="9">
        <v>0.15455283146226173</v>
      </c>
      <c r="G132" s="9">
        <v>0.15455283146226173</v>
      </c>
      <c r="H132" s="35">
        <v>2.4090032253432209E-3</v>
      </c>
      <c r="J132" s="46"/>
    </row>
    <row r="133" spans="2:10" x14ac:dyDescent="0.35">
      <c r="B133" s="6">
        <v>45118</v>
      </c>
      <c r="C133" s="7" t="s">
        <v>9</v>
      </c>
      <c r="D133" s="9">
        <v>6.75925241929538E-3</v>
      </c>
      <c r="E133" s="9">
        <v>6.75925241929538E-3</v>
      </c>
      <c r="F133" s="9">
        <v>0.16235674548152734</v>
      </c>
      <c r="G133" s="9">
        <v>0.16235674548152734</v>
      </c>
      <c r="H133" s="35">
        <v>6.736511091397235E-3</v>
      </c>
      <c r="J133" s="46"/>
    </row>
    <row r="134" spans="2:10" x14ac:dyDescent="0.35">
      <c r="B134" s="6">
        <v>45119</v>
      </c>
      <c r="C134" s="7" t="s">
        <v>9</v>
      </c>
      <c r="D134" s="9">
        <v>7.4340012264215299E-3</v>
      </c>
      <c r="E134" s="9">
        <v>7.4340012264215299E-3</v>
      </c>
      <c r="F134" s="9">
        <v>0.17099770695297645</v>
      </c>
      <c r="G134" s="9">
        <v>0.17099770695297645</v>
      </c>
      <c r="H134" s="35">
        <v>7.406505225421493E-3</v>
      </c>
      <c r="J134" s="46"/>
    </row>
    <row r="135" spans="2:10" x14ac:dyDescent="0.35">
      <c r="B135" s="6">
        <v>45120</v>
      </c>
      <c r="C135" s="7" t="s">
        <v>9</v>
      </c>
      <c r="D135" s="9">
        <v>8.5767469542297903E-3</v>
      </c>
      <c r="E135" s="9">
        <v>8.5767469542297903E-3</v>
      </c>
      <c r="F135" s="9">
        <v>0.18104105796949543</v>
      </c>
      <c r="G135" s="9">
        <v>0.18104105796949543</v>
      </c>
      <c r="H135" s="35">
        <v>8.5401756200146756E-3</v>
      </c>
      <c r="J135" s="46"/>
    </row>
    <row r="136" spans="2:10" x14ac:dyDescent="0.35">
      <c r="B136" s="6">
        <v>45121</v>
      </c>
      <c r="C136" s="7" t="s">
        <v>9</v>
      </c>
      <c r="D136" s="9">
        <v>-9.9140643537275891E-4</v>
      </c>
      <c r="E136" s="9">
        <v>-9.9140643537275891E-4</v>
      </c>
      <c r="F136" s="9">
        <v>0.17987016626418506</v>
      </c>
      <c r="G136" s="9">
        <v>0.17987016626418506</v>
      </c>
      <c r="H136" s="35">
        <v>-9.9189820378792985E-4</v>
      </c>
      <c r="J136" s="46"/>
    </row>
    <row r="137" spans="2:10" x14ac:dyDescent="0.35">
      <c r="B137" s="6">
        <v>45124</v>
      </c>
      <c r="C137" s="7" t="s">
        <v>9</v>
      </c>
      <c r="D137" s="9">
        <v>3.8559681278521E-3</v>
      </c>
      <c r="E137" s="9">
        <v>3.8559681278521E-3</v>
      </c>
      <c r="F137" s="9">
        <v>0.18441970802030316</v>
      </c>
      <c r="G137" s="9">
        <v>0.18441970802030316</v>
      </c>
      <c r="H137" s="35">
        <v>3.8485529384605982E-3</v>
      </c>
      <c r="J137" s="46"/>
    </row>
    <row r="138" spans="2:10" x14ac:dyDescent="0.35">
      <c r="B138" s="6">
        <v>45125</v>
      </c>
      <c r="C138" s="7" t="s">
        <v>9</v>
      </c>
      <c r="D138" s="9">
        <v>7.1155011351677804E-3</v>
      </c>
      <c r="E138" s="9">
        <v>7.1155011351677804E-3</v>
      </c>
      <c r="F138" s="9">
        <v>0.19284744779723684</v>
      </c>
      <c r="G138" s="9">
        <v>0.19284744779723684</v>
      </c>
      <c r="H138" s="35">
        <v>7.0903054065199339E-3</v>
      </c>
      <c r="J138" s="46"/>
    </row>
    <row r="139" spans="2:10" x14ac:dyDescent="0.35">
      <c r="B139" s="6">
        <v>45126</v>
      </c>
      <c r="C139" s="7" t="s">
        <v>9</v>
      </c>
      <c r="D139" s="9">
        <v>2.3758452329879299E-3</v>
      </c>
      <c r="E139" s="9">
        <v>2.3758452329879299E-3</v>
      </c>
      <c r="F139" s="9">
        <v>0.19568146871976766</v>
      </c>
      <c r="G139" s="9">
        <v>0.19568146871976766</v>
      </c>
      <c r="H139" s="35">
        <v>2.3730273750160323E-3</v>
      </c>
      <c r="J139" s="46"/>
    </row>
    <row r="140" spans="2:10" x14ac:dyDescent="0.35">
      <c r="B140" s="6">
        <v>45127</v>
      </c>
      <c r="C140" s="7" t="s">
        <v>9</v>
      </c>
      <c r="D140" s="9">
        <v>-6.6602401191831204E-3</v>
      </c>
      <c r="E140" s="9">
        <v>-6.6602401191831204E-3</v>
      </c>
      <c r="F140" s="9">
        <v>0.18771794303203659</v>
      </c>
      <c r="G140" s="9">
        <v>0.18771794303203659</v>
      </c>
      <c r="H140" s="35">
        <v>-6.6825184930501503E-3</v>
      </c>
      <c r="J140" s="46"/>
    </row>
    <row r="141" spans="2:10" x14ac:dyDescent="0.35">
      <c r="B141" s="6">
        <v>45128</v>
      </c>
      <c r="C141" s="7" t="s">
        <v>9</v>
      </c>
      <c r="D141" s="9">
        <v>3.2416573486113799E-4</v>
      </c>
      <c r="E141" s="9">
        <v>3.2416573486113799E-4</v>
      </c>
      <c r="F141" s="9">
        <v>0.18810296049184738</v>
      </c>
      <c r="G141" s="9">
        <v>0.18810296049184738</v>
      </c>
      <c r="H141" s="35">
        <v>3.2411320450138545E-4</v>
      </c>
      <c r="J141" s="46"/>
    </row>
    <row r="142" spans="2:10" x14ac:dyDescent="0.35">
      <c r="B142" s="6">
        <v>45131</v>
      </c>
      <c r="C142" s="7" t="s">
        <v>9</v>
      </c>
      <c r="D142" s="9">
        <v>4.0507585686362603E-3</v>
      </c>
      <c r="E142" s="9">
        <v>4.0507585686362603E-3</v>
      </c>
      <c r="F142" s="9">
        <v>0.1929156787394819</v>
      </c>
      <c r="G142" s="9">
        <v>0.1929156787394819</v>
      </c>
      <c r="H142" s="35">
        <v>4.0425763348717865E-3</v>
      </c>
      <c r="J142" s="46"/>
    </row>
    <row r="143" spans="2:10" x14ac:dyDescent="0.35">
      <c r="B143" s="6">
        <v>45132</v>
      </c>
      <c r="C143" s="7" t="s">
        <v>9</v>
      </c>
      <c r="D143" s="9">
        <v>2.8322622554326298E-3</v>
      </c>
      <c r="E143" s="9">
        <v>2.8322622554326298E-3</v>
      </c>
      <c r="F143" s="9">
        <v>0.19629432879028963</v>
      </c>
      <c r="G143" s="9">
        <v>0.19629432879028963</v>
      </c>
      <c r="H143" s="35">
        <v>2.8282589578352817E-3</v>
      </c>
      <c r="J143" s="46"/>
    </row>
    <row r="144" spans="2:10" x14ac:dyDescent="0.35">
      <c r="B144" s="6">
        <v>45133</v>
      </c>
      <c r="C144" s="7" t="s">
        <v>9</v>
      </c>
      <c r="D144" s="9">
        <v>-1.40551143811238E-4</v>
      </c>
      <c r="E144" s="9">
        <v>-1.40551143811238E-4</v>
      </c>
      <c r="F144" s="9">
        <v>0.19612618825404327</v>
      </c>
      <c r="G144" s="9">
        <v>0.19612618825404327</v>
      </c>
      <c r="H144" s="35">
        <v>-1.4056102204890755E-4</v>
      </c>
      <c r="J144" s="46"/>
    </row>
    <row r="145" spans="2:10" x14ac:dyDescent="0.35">
      <c r="B145" s="6">
        <v>45134</v>
      </c>
      <c r="C145" s="7" t="s">
        <v>9</v>
      </c>
      <c r="D145" s="9">
        <v>-6.3552308164012902E-3</v>
      </c>
      <c r="E145" s="9">
        <v>-6.3552308164012902E-3</v>
      </c>
      <c r="F145" s="9">
        <v>0.18852453024214655</v>
      </c>
      <c r="G145" s="9">
        <v>0.18852453024214655</v>
      </c>
      <c r="H145" s="35">
        <v>-6.3755112660527019E-3</v>
      </c>
      <c r="J145" s="46"/>
    </row>
    <row r="146" spans="2:10" x14ac:dyDescent="0.35">
      <c r="B146" s="6">
        <v>45135</v>
      </c>
      <c r="C146" s="7" t="s">
        <v>9</v>
      </c>
      <c r="D146" s="9">
        <v>9.9736332770187994E-3</v>
      </c>
      <c r="E146" s="9">
        <v>9.9736332770187994E-3</v>
      </c>
      <c r="F146" s="9">
        <v>0.20037843804752287</v>
      </c>
      <c r="G146" s="9">
        <v>0.20037843804752287</v>
      </c>
      <c r="H146" s="35">
        <v>9.9242248460912601E-3</v>
      </c>
      <c r="J146" s="46"/>
    </row>
    <row r="147" spans="2:10" x14ac:dyDescent="0.35">
      <c r="B147" s="6">
        <v>45138</v>
      </c>
      <c r="C147" s="7" t="s">
        <v>9</v>
      </c>
      <c r="D147" s="9">
        <v>1.49817143912767E-3</v>
      </c>
      <c r="E147" s="9">
        <v>1.49817143912767E-3</v>
      </c>
      <c r="F147" s="9">
        <v>0.20217681073955029</v>
      </c>
      <c r="G147" s="9">
        <v>0.20217681073955029</v>
      </c>
      <c r="H147" s="35">
        <v>1.4970502999298457E-3</v>
      </c>
      <c r="J147" s="46"/>
    </row>
    <row r="148" spans="2:10" x14ac:dyDescent="0.35">
      <c r="B148" s="6">
        <v>45139</v>
      </c>
      <c r="C148" s="7" t="s">
        <v>9</v>
      </c>
      <c r="D148" s="9">
        <v>-2.6411885551199899E-3</v>
      </c>
      <c r="E148" s="9">
        <v>-2.6411885551199899E-3</v>
      </c>
      <c r="F148" s="9">
        <v>0.19900163510579438</v>
      </c>
      <c r="G148" s="9">
        <v>0.19900163510579438</v>
      </c>
      <c r="H148" s="35">
        <v>-2.6446826473387757E-3</v>
      </c>
      <c r="J148" s="46"/>
    </row>
    <row r="149" spans="2:10" x14ac:dyDescent="0.35">
      <c r="B149" s="6">
        <v>45140</v>
      </c>
      <c r="C149" s="7" t="s">
        <v>9</v>
      </c>
      <c r="D149" s="9">
        <v>-1.38282705211311E-2</v>
      </c>
      <c r="E149" s="9">
        <v>-1.38282705211311E-2</v>
      </c>
      <c r="F149" s="9">
        <v>0.18242151614027291</v>
      </c>
      <c r="G149" s="9">
        <v>0.18242151614027291</v>
      </c>
      <c r="H149" s="35">
        <v>-1.3924771716489578E-2</v>
      </c>
      <c r="J149" s="46"/>
    </row>
    <row r="150" spans="2:10" x14ac:dyDescent="0.35">
      <c r="B150" s="6">
        <v>45141</v>
      </c>
      <c r="C150" s="7" t="s">
        <v>9</v>
      </c>
      <c r="D150" s="9">
        <v>-2.5008681423195501E-3</v>
      </c>
      <c r="E150" s="9">
        <v>-2.5008681423195501E-3</v>
      </c>
      <c r="F150" s="9">
        <v>0.17946443583976457</v>
      </c>
      <c r="G150" s="9">
        <v>0.17946443583976457</v>
      </c>
      <c r="H150" s="35">
        <v>-2.5040005366120787E-3</v>
      </c>
      <c r="J150" s="46"/>
    </row>
    <row r="151" spans="2:10" x14ac:dyDescent="0.35">
      <c r="B151" s="6">
        <v>45142</v>
      </c>
      <c r="C151" s="7" t="s">
        <v>9</v>
      </c>
      <c r="D151" s="9">
        <v>-5.2260453123644298E-3</v>
      </c>
      <c r="E151" s="9">
        <v>-5.2260453123644298E-3</v>
      </c>
      <c r="F151" s="9">
        <v>0.17330050125374363</v>
      </c>
      <c r="G151" s="9">
        <v>0.17330050125374363</v>
      </c>
      <c r="H151" s="35">
        <v>-5.239748851563095E-3</v>
      </c>
      <c r="J151" s="46"/>
    </row>
    <row r="152" spans="2:10" x14ac:dyDescent="0.35">
      <c r="B152" s="6">
        <v>45145</v>
      </c>
      <c r="C152" s="7" t="s">
        <v>9</v>
      </c>
      <c r="D152" s="9">
        <v>9.0490219392570497E-3</v>
      </c>
      <c r="E152" s="9">
        <v>9.0490219392570497E-3</v>
      </c>
      <c r="F152" s="9">
        <v>0.18391772323092992</v>
      </c>
      <c r="G152" s="9">
        <v>0.18391772323092992</v>
      </c>
      <c r="H152" s="35">
        <v>9.0083248684371814E-3</v>
      </c>
      <c r="J152" s="46"/>
    </row>
    <row r="153" spans="2:10" x14ac:dyDescent="0.35">
      <c r="B153" s="6">
        <v>45146</v>
      </c>
      <c r="C153" s="7" t="s">
        <v>9</v>
      </c>
      <c r="D153" s="9">
        <v>-4.2101861600035298E-3</v>
      </c>
      <c r="E153" s="9">
        <v>-4.2101861600035298E-3</v>
      </c>
      <c r="F153" s="9">
        <v>0.17893320921800004</v>
      </c>
      <c r="G153" s="9">
        <v>0.17893320921800004</v>
      </c>
      <c r="H153" s="35">
        <v>-4.2190739486898327E-3</v>
      </c>
      <c r="J153" s="46"/>
    </row>
    <row r="154" spans="2:10" x14ac:dyDescent="0.35">
      <c r="B154" s="6">
        <v>45147</v>
      </c>
      <c r="C154" s="7" t="s">
        <v>9</v>
      </c>
      <c r="D154" s="9">
        <v>-6.9522529971062898E-3</v>
      </c>
      <c r="E154" s="9">
        <v>-6.9522529971062898E-3</v>
      </c>
      <c r="F154" s="9">
        <v>0.1707369672808261</v>
      </c>
      <c r="G154" s="9">
        <v>0.1707369672808261</v>
      </c>
      <c r="H154" s="35">
        <v>-6.9765325049333882E-3</v>
      </c>
      <c r="J154" s="46"/>
    </row>
    <row r="155" spans="2:10" x14ac:dyDescent="0.35">
      <c r="B155" s="6">
        <v>45148</v>
      </c>
      <c r="C155" s="7" t="s">
        <v>9</v>
      </c>
      <c r="D155" s="9">
        <v>3.7778145498947502E-4</v>
      </c>
      <c r="E155" s="9">
        <v>3.7778145498947502E-4</v>
      </c>
      <c r="F155" s="9">
        <v>0.17117924999573542</v>
      </c>
      <c r="G155" s="9">
        <v>0.17117924999573542</v>
      </c>
      <c r="H155" s="35">
        <v>3.7771011354267435E-4</v>
      </c>
      <c r="J155" s="46"/>
    </row>
    <row r="156" spans="2:10" x14ac:dyDescent="0.35">
      <c r="B156" s="6">
        <v>45149</v>
      </c>
      <c r="C156" s="7" t="s">
        <v>9</v>
      </c>
      <c r="D156" s="9">
        <v>-9.2693157559640504E-4</v>
      </c>
      <c r="E156" s="9">
        <v>-9.2693157559640504E-4</v>
      </c>
      <c r="F156" s="9">
        <v>0.17009364696823104</v>
      </c>
      <c r="G156" s="9">
        <v>0.17009364696823104</v>
      </c>
      <c r="H156" s="35">
        <v>-9.2736144232790274E-4</v>
      </c>
      <c r="J156" s="46"/>
    </row>
    <row r="157" spans="2:10" x14ac:dyDescent="0.35">
      <c r="B157" s="6">
        <v>45152</v>
      </c>
      <c r="C157" s="7" t="s">
        <v>9</v>
      </c>
      <c r="D157" s="9">
        <v>5.8114531756815998E-3</v>
      </c>
      <c r="E157" s="9">
        <v>5.8114531756815998E-3</v>
      </c>
      <c r="F157" s="9">
        <v>0.1768935914087495</v>
      </c>
      <c r="G157" s="9">
        <v>0.1768935914087495</v>
      </c>
      <c r="H157" s="35">
        <v>5.7946318212202252E-3</v>
      </c>
      <c r="J157" s="46"/>
    </row>
    <row r="158" spans="2:10" x14ac:dyDescent="0.35">
      <c r="B158" s="6">
        <v>45153</v>
      </c>
      <c r="C158" s="7" t="s">
        <v>9</v>
      </c>
      <c r="D158" s="9">
        <v>-1.1397353420448401E-2</v>
      </c>
      <c r="E158" s="9">
        <v>-1.1397353420448401E-2</v>
      </c>
      <c r="F158" s="9">
        <v>0.16348011920920302</v>
      </c>
      <c r="G158" s="9">
        <v>0.16348011920920302</v>
      </c>
      <c r="H158" s="35">
        <v>-1.1462801014387401E-2</v>
      </c>
      <c r="J158" s="46"/>
    </row>
    <row r="159" spans="2:10" x14ac:dyDescent="0.35">
      <c r="B159" s="6">
        <v>45154</v>
      </c>
      <c r="C159" s="7" t="s">
        <v>9</v>
      </c>
      <c r="D159" s="9">
        <v>-7.3964543515299399E-3</v>
      </c>
      <c r="E159" s="9">
        <v>-7.3964543515299399E-3</v>
      </c>
      <c r="F159" s="9">
        <v>0.1548744916185596</v>
      </c>
      <c r="G159" s="9">
        <v>0.1548744916185596</v>
      </c>
      <c r="H159" s="35">
        <v>-7.4239437533005223E-3</v>
      </c>
      <c r="J159" s="46"/>
    </row>
    <row r="160" spans="2:10" x14ac:dyDescent="0.35">
      <c r="B160" s="6">
        <v>45155</v>
      </c>
      <c r="C160" s="7" t="s">
        <v>9</v>
      </c>
      <c r="D160" s="9">
        <v>-7.5190904928396597E-3</v>
      </c>
      <c r="E160" s="9">
        <v>-7.5190904928396597E-3</v>
      </c>
      <c r="F160" s="9">
        <v>0.14619088580820749</v>
      </c>
      <c r="G160" s="9">
        <v>0.14619088580820749</v>
      </c>
      <c r="H160" s="35">
        <v>-7.5475013592726063E-3</v>
      </c>
      <c r="J160" s="46"/>
    </row>
    <row r="161" spans="2:10" x14ac:dyDescent="0.35">
      <c r="B161" s="6">
        <v>45156</v>
      </c>
      <c r="C161" s="7" t="s">
        <v>9</v>
      </c>
      <c r="D161" s="9">
        <v>-8.1851589249637405E-5</v>
      </c>
      <c r="E161" s="9">
        <v>-8.1851589249637405E-5</v>
      </c>
      <c r="F161" s="9">
        <v>0.14609706826262059</v>
      </c>
      <c r="G161" s="9">
        <v>0.14609706826262059</v>
      </c>
      <c r="H161" s="35">
        <v>-8.1854939273806525E-5</v>
      </c>
      <c r="J161" s="46"/>
    </row>
    <row r="162" spans="2:10" x14ac:dyDescent="0.35">
      <c r="B162" s="6">
        <v>45159</v>
      </c>
      <c r="C162" s="7" t="s">
        <v>9</v>
      </c>
      <c r="D162" s="9">
        <v>6.8984213044171001E-3</v>
      </c>
      <c r="E162" s="9">
        <v>6.8984213044171001E-3</v>
      </c>
      <c r="F162" s="9">
        <v>0.15400332869525357</v>
      </c>
      <c r="G162" s="9">
        <v>0.15400332869525357</v>
      </c>
      <c r="H162" s="35">
        <v>6.8747360609731243E-3</v>
      </c>
      <c r="J162" s="46"/>
    </row>
    <row r="163" spans="2:10" x14ac:dyDescent="0.35">
      <c r="B163" s="6">
        <v>45160</v>
      </c>
      <c r="C163" s="7" t="s">
        <v>9</v>
      </c>
      <c r="D163" s="9">
        <v>-2.7630580094368498E-3</v>
      </c>
      <c r="E163" s="9">
        <v>-2.7630580094368498E-3</v>
      </c>
      <c r="F163" s="9">
        <v>0.15081475055498528</v>
      </c>
      <c r="G163" s="9">
        <v>0.15081475055498528</v>
      </c>
      <c r="H163" s="35">
        <v>-2.7668823003347905E-3</v>
      </c>
      <c r="J163" s="46"/>
    </row>
    <row r="164" spans="2:10" x14ac:dyDescent="0.35">
      <c r="B164" s="6">
        <v>45161</v>
      </c>
      <c r="C164" s="7" t="s">
        <v>9</v>
      </c>
      <c r="D164" s="9">
        <v>1.10648560859356E-2</v>
      </c>
      <c r="E164" s="9">
        <v>1.10648560859356E-2</v>
      </c>
      <c r="F164" s="9">
        <v>0.16354835015144809</v>
      </c>
      <c r="G164" s="9">
        <v>0.16354835015144809</v>
      </c>
      <c r="H164" s="35">
        <v>1.1004088411975988E-2</v>
      </c>
      <c r="J164" s="46"/>
    </row>
    <row r="165" spans="2:10" x14ac:dyDescent="0.35">
      <c r="B165" s="6">
        <v>45162</v>
      </c>
      <c r="C165" s="7" t="s">
        <v>9</v>
      </c>
      <c r="D165" s="9">
        <v>-1.34307462095787E-2</v>
      </c>
      <c r="E165" s="9">
        <v>-1.34307462095787E-2</v>
      </c>
      <c r="F165" s="9">
        <v>0.14792102755798986</v>
      </c>
      <c r="G165" s="9">
        <v>0.14792102755798986</v>
      </c>
      <c r="H165" s="35">
        <v>-1.3521754472660462E-2</v>
      </c>
      <c r="J165" s="46"/>
    </row>
    <row r="166" spans="2:10" x14ac:dyDescent="0.35">
      <c r="B166" s="6">
        <v>45163</v>
      </c>
      <c r="C166" s="7" t="s">
        <v>9</v>
      </c>
      <c r="D166" s="9">
        <v>6.8375741789763198E-3</v>
      </c>
      <c r="E166" s="9">
        <v>6.8375741789763198E-3</v>
      </c>
      <c r="F166" s="9">
        <v>0.15577002273552432</v>
      </c>
      <c r="G166" s="9">
        <v>0.15577002273552432</v>
      </c>
      <c r="H166" s="35">
        <v>6.8143039828895552E-3</v>
      </c>
      <c r="J166" s="46"/>
    </row>
    <row r="167" spans="2:10" x14ac:dyDescent="0.35">
      <c r="B167" s="6">
        <v>45166</v>
      </c>
      <c r="C167" s="7" t="s">
        <v>9</v>
      </c>
      <c r="D167" s="9">
        <v>6.2777451562268903E-3</v>
      </c>
      <c r="E167" s="9">
        <v>6.2777451562268903E-3</v>
      </c>
      <c r="F167" s="9">
        <v>0.16302565239746447</v>
      </c>
      <c r="G167" s="9">
        <v>0.16302565239746447</v>
      </c>
      <c r="H167" s="35">
        <v>6.2581221965766045E-3</v>
      </c>
      <c r="J167" s="46"/>
    </row>
    <row r="168" spans="2:10" x14ac:dyDescent="0.35">
      <c r="B168" s="6">
        <v>45167</v>
      </c>
      <c r="C168" s="7" t="s">
        <v>9</v>
      </c>
      <c r="D168" s="9">
        <v>1.45388792973398E-2</v>
      </c>
      <c r="E168" s="9">
        <v>1.45388792973398E-2</v>
      </c>
      <c r="F168" s="9">
        <v>0.17993474197738113</v>
      </c>
      <c r="G168" s="9">
        <v>0.17993474197738113</v>
      </c>
      <c r="H168" s="35">
        <v>1.4434203154468098E-2</v>
      </c>
      <c r="J168" s="46"/>
    </row>
    <row r="169" spans="2:10" x14ac:dyDescent="0.35">
      <c r="B169" s="6">
        <v>45168</v>
      </c>
      <c r="C169" s="7" t="s">
        <v>9</v>
      </c>
      <c r="D169" s="9">
        <v>4.0003221735978502E-3</v>
      </c>
      <c r="E169" s="9">
        <v>4.0003221735978502E-3</v>
      </c>
      <c r="F169" s="9">
        <v>0.18465486108911167</v>
      </c>
      <c r="G169" s="9">
        <v>0.18465486108911167</v>
      </c>
      <c r="H169" s="35">
        <v>3.9923421595236203E-3</v>
      </c>
      <c r="J169" s="46"/>
    </row>
    <row r="170" spans="2:10" x14ac:dyDescent="0.35">
      <c r="B170" s="6">
        <v>45169</v>
      </c>
      <c r="C170" s="7" t="s">
        <v>9</v>
      </c>
      <c r="D170" s="9">
        <v>-1.3658392094587301E-3</v>
      </c>
      <c r="E170" s="9">
        <v>-1.3658392094587301E-3</v>
      </c>
      <c r="F170" s="9">
        <v>0.18303681303016028</v>
      </c>
      <c r="G170" s="9">
        <v>0.18303681303016028</v>
      </c>
      <c r="H170" s="35">
        <v>-1.3667728180347734E-3</v>
      </c>
      <c r="J170" s="46"/>
    </row>
    <row r="171" spans="2:10" x14ac:dyDescent="0.35">
      <c r="B171" s="6">
        <v>45170</v>
      </c>
      <c r="C171" s="7" t="s">
        <v>9</v>
      </c>
      <c r="D171" s="9">
        <v>1.8497005050629001E-3</v>
      </c>
      <c r="E171" s="9">
        <v>1.8497005050629001E-3</v>
      </c>
      <c r="F171" s="9">
        <v>0.18522507682073019</v>
      </c>
      <c r="G171" s="9">
        <v>0.18522507682073019</v>
      </c>
      <c r="H171" s="35">
        <v>1.8479919156782739E-3</v>
      </c>
      <c r="J171" s="46"/>
    </row>
    <row r="172" spans="2:10" x14ac:dyDescent="0.35">
      <c r="B172" s="6">
        <v>45174</v>
      </c>
      <c r="C172" s="7" t="s">
        <v>9</v>
      </c>
      <c r="D172" s="9">
        <v>-4.1510582217268704E-3</v>
      </c>
      <c r="E172" s="9">
        <v>-4.1510582217268704E-3</v>
      </c>
      <c r="F172" s="9">
        <v>0.18030513852099661</v>
      </c>
      <c r="G172" s="9">
        <v>0.18030513852099661</v>
      </c>
      <c r="H172" s="35">
        <v>-4.1596977810718378E-3</v>
      </c>
      <c r="J172" s="46"/>
    </row>
    <row r="173" spans="2:10" x14ac:dyDescent="0.35">
      <c r="B173" s="6">
        <v>45175</v>
      </c>
      <c r="C173" s="7" t="s">
        <v>9</v>
      </c>
      <c r="D173" s="9">
        <v>-6.9452043199006398E-3</v>
      </c>
      <c r="E173" s="9">
        <v>-6.9452043199006398E-3</v>
      </c>
      <c r="F173" s="9">
        <v>0.17210767817413974</v>
      </c>
      <c r="G173" s="9">
        <v>0.17210767817413974</v>
      </c>
      <c r="H173" s="35">
        <v>-6.9694345056566763E-3</v>
      </c>
      <c r="J173" s="46"/>
    </row>
    <row r="174" spans="2:10" x14ac:dyDescent="0.35">
      <c r="B174" s="6">
        <v>45176</v>
      </c>
      <c r="C174" s="7" t="s">
        <v>9</v>
      </c>
      <c r="D174" s="9">
        <v>-3.0748504674645801E-3</v>
      </c>
      <c r="E174" s="9">
        <v>-3.0748504674645801E-3</v>
      </c>
      <c r="F174" s="9">
        <v>0.16850362233198712</v>
      </c>
      <c r="G174" s="9">
        <v>0.16850362233198712</v>
      </c>
      <c r="H174" s="35">
        <v>-3.0795875331679663E-3</v>
      </c>
      <c r="J174" s="46"/>
    </row>
    <row r="175" spans="2:10" x14ac:dyDescent="0.35">
      <c r="B175" s="6">
        <v>45177</v>
      </c>
      <c r="C175" s="7" t="s">
        <v>9</v>
      </c>
      <c r="D175" s="9">
        <v>1.4983733733734601E-3</v>
      </c>
      <c r="E175" s="9">
        <v>1.4983733733734601E-3</v>
      </c>
      <c r="F175" s="9">
        <v>0.17025447704637986</v>
      </c>
      <c r="G175" s="9">
        <v>0.17025447704637986</v>
      </c>
      <c r="H175" s="35">
        <v>1.4972519320759564E-3</v>
      </c>
      <c r="J175" s="46"/>
    </row>
    <row r="176" spans="2:10" x14ac:dyDescent="0.35">
      <c r="B176" s="6">
        <v>45180</v>
      </c>
      <c r="C176" s="7" t="s">
        <v>9</v>
      </c>
      <c r="D176" s="9">
        <v>6.7247836231372699E-3</v>
      </c>
      <c r="E176" s="9">
        <v>6.7247836231372699E-3</v>
      </c>
      <c r="F176" s="9">
        <v>0.17812418518852446</v>
      </c>
      <c r="G176" s="9">
        <v>0.17812418518852446</v>
      </c>
      <c r="H176" s="35">
        <v>6.7022731282005447E-3</v>
      </c>
      <c r="J176" s="46"/>
    </row>
    <row r="177" spans="2:10" x14ac:dyDescent="0.35">
      <c r="B177" s="6">
        <v>45181</v>
      </c>
      <c r="C177" s="7" t="s">
        <v>9</v>
      </c>
      <c r="D177" s="9">
        <v>-5.6570445200096698E-3</v>
      </c>
      <c r="E177" s="9">
        <v>-5.6570445200096698E-3</v>
      </c>
      <c r="F177" s="9">
        <v>0.17145948422281276</v>
      </c>
      <c r="G177" s="9">
        <v>0.17145948422281276</v>
      </c>
      <c r="H177" s="35">
        <v>-5.6731061994265627E-3</v>
      </c>
      <c r="J177" s="46"/>
    </row>
    <row r="178" spans="2:10" x14ac:dyDescent="0.35">
      <c r="B178" s="6">
        <v>45182</v>
      </c>
      <c r="C178" s="7" t="s">
        <v>9</v>
      </c>
      <c r="D178" s="9">
        <v>1.2501742131287501E-3</v>
      </c>
      <c r="E178" s="9">
        <v>1.2501742131287501E-3</v>
      </c>
      <c r="F178" s="9">
        <v>0.17292401266171331</v>
      </c>
      <c r="G178" s="9">
        <v>0.17292401266171331</v>
      </c>
      <c r="H178" s="35">
        <v>1.24939339605103E-3</v>
      </c>
      <c r="J178" s="46"/>
    </row>
    <row r="179" spans="2:10" x14ac:dyDescent="0.35">
      <c r="B179" s="6">
        <v>45183</v>
      </c>
      <c r="C179" s="7" t="s">
        <v>9</v>
      </c>
      <c r="D179" s="9">
        <v>8.7112067711818206E-3</v>
      </c>
      <c r="E179" s="9">
        <v>8.7112067711818206E-3</v>
      </c>
      <c r="F179" s="9">
        <v>0.18314159626289372</v>
      </c>
      <c r="G179" s="9">
        <v>0.18314159626289372</v>
      </c>
      <c r="H179" s="35">
        <v>8.6734831301328603E-3</v>
      </c>
      <c r="J179" s="46"/>
    </row>
    <row r="180" spans="2:10" x14ac:dyDescent="0.35">
      <c r="B180" s="6">
        <v>45184</v>
      </c>
      <c r="C180" s="7" t="s">
        <v>9</v>
      </c>
      <c r="D180" s="9">
        <v>-1.21187905101055E-2</v>
      </c>
      <c r="E180" s="9">
        <v>-1.21187905101055E-2</v>
      </c>
      <c r="F180" s="9">
        <v>0.16880335111399192</v>
      </c>
      <c r="G180" s="9">
        <v>0.16880335111399192</v>
      </c>
      <c r="H180" s="35">
        <v>-1.2192821772696379E-2</v>
      </c>
      <c r="J180" s="46"/>
    </row>
    <row r="181" spans="2:10" x14ac:dyDescent="0.35">
      <c r="B181" s="6">
        <v>45187</v>
      </c>
      <c r="C181" s="7" t="s">
        <v>9</v>
      </c>
      <c r="D181" s="9">
        <v>7.3700648190421901E-4</v>
      </c>
      <c r="E181" s="9">
        <v>7.3700648190421901E-4</v>
      </c>
      <c r="F181" s="9">
        <v>0.16966476675983411</v>
      </c>
      <c r="G181" s="9">
        <v>0.16966476675983411</v>
      </c>
      <c r="H181" s="35">
        <v>7.3673502599524911E-4</v>
      </c>
      <c r="J181" s="46"/>
    </row>
    <row r="182" spans="2:10" x14ac:dyDescent="0.35">
      <c r="B182" s="6">
        <v>45188</v>
      </c>
      <c r="C182" s="7" t="s">
        <v>9</v>
      </c>
      <c r="D182" s="9">
        <v>-2.1520990257220501E-3</v>
      </c>
      <c r="E182" s="9">
        <v>-2.1520990257220501E-3</v>
      </c>
      <c r="F182" s="9">
        <v>0.16714753235486901</v>
      </c>
      <c r="G182" s="9">
        <v>0.16714753235486901</v>
      </c>
      <c r="H182" s="35">
        <v>-2.1544181187061616E-3</v>
      </c>
      <c r="J182" s="46"/>
    </row>
    <row r="183" spans="2:10" x14ac:dyDescent="0.35">
      <c r="B183" s="6">
        <v>45189</v>
      </c>
      <c r="C183" s="7" t="s">
        <v>9</v>
      </c>
      <c r="D183" s="9">
        <v>-9.3274330925008208E-3</v>
      </c>
      <c r="E183" s="9">
        <v>-9.3274330925008208E-3</v>
      </c>
      <c r="F183" s="9">
        <v>0.15626104183775147</v>
      </c>
      <c r="G183" s="9">
        <v>0.15626104183775147</v>
      </c>
      <c r="H183" s="35">
        <v>-9.3712060017670587E-3</v>
      </c>
      <c r="J183" s="46"/>
    </row>
    <row r="184" spans="2:10" x14ac:dyDescent="0.35">
      <c r="B184" s="6">
        <v>45190</v>
      </c>
      <c r="C184" s="7" t="s">
        <v>9</v>
      </c>
      <c r="D184" s="9">
        <v>-1.63678935122741E-2</v>
      </c>
      <c r="E184" s="9">
        <v>-1.63678935122741E-2</v>
      </c>
      <c r="F184" s="9">
        <v>0.13733548423256003</v>
      </c>
      <c r="G184" s="9">
        <v>0.13733548423256003</v>
      </c>
      <c r="H184" s="35">
        <v>-1.6503327359365175E-2</v>
      </c>
      <c r="J184" s="46"/>
    </row>
    <row r="185" spans="2:10" x14ac:dyDescent="0.35">
      <c r="B185" s="6">
        <v>45191</v>
      </c>
      <c r="C185" s="7" t="s">
        <v>9</v>
      </c>
      <c r="D185" s="9">
        <v>-2.2807643399443199E-3</v>
      </c>
      <c r="E185" s="9">
        <v>-2.2807643399443199E-3</v>
      </c>
      <c r="F185" s="9">
        <v>0.13474149001756919</v>
      </c>
      <c r="G185" s="9">
        <v>0.13474149001756919</v>
      </c>
      <c r="H185" s="35">
        <v>-2.2833692444674146E-3</v>
      </c>
      <c r="J185" s="46"/>
    </row>
    <row r="186" spans="2:10" x14ac:dyDescent="0.35">
      <c r="B186" s="6">
        <v>45194</v>
      </c>
      <c r="C186" s="7" t="s">
        <v>9</v>
      </c>
      <c r="D186" s="9">
        <v>4.03723706956722E-3</v>
      </c>
      <c r="E186" s="9">
        <v>4.03723706956722E-3</v>
      </c>
      <c r="F186" s="9">
        <v>0.13932271042544397</v>
      </c>
      <c r="G186" s="9">
        <v>0.13932271042544397</v>
      </c>
      <c r="H186" s="35">
        <v>4.0291092964764028E-3</v>
      </c>
      <c r="J186" s="46"/>
    </row>
    <row r="187" spans="2:10" x14ac:dyDescent="0.35">
      <c r="B187" s="6">
        <v>45195</v>
      </c>
      <c r="C187" s="7" t="s">
        <v>9</v>
      </c>
      <c r="D187" s="9">
        <v>-1.46702456448043E-2</v>
      </c>
      <c r="E187" s="9">
        <v>-1.46702456448043E-2</v>
      </c>
      <c r="F187" s="9">
        <v>0.12260856639479845</v>
      </c>
      <c r="G187" s="9">
        <v>0.12260856639479845</v>
      </c>
      <c r="H187" s="35">
        <v>-1.4778917839905606E-2</v>
      </c>
      <c r="J187" s="46"/>
    </row>
    <row r="188" spans="2:10" x14ac:dyDescent="0.35">
      <c r="B188" s="6">
        <v>45196</v>
      </c>
      <c r="C188" s="7" t="s">
        <v>9</v>
      </c>
      <c r="D188" s="9">
        <v>2.4962772908240002E-4</v>
      </c>
      <c r="E188" s="9">
        <v>2.4962772908240002E-4</v>
      </c>
      <c r="F188" s="9">
        <v>0.12288880062187602</v>
      </c>
      <c r="G188" s="9">
        <v>0.12288880062187602</v>
      </c>
      <c r="H188" s="35">
        <v>2.495965772650026E-4</v>
      </c>
      <c r="J188" s="46"/>
    </row>
    <row r="189" spans="2:10" x14ac:dyDescent="0.35">
      <c r="B189" s="6">
        <v>45197</v>
      </c>
      <c r="C189" s="7" t="s">
        <v>9</v>
      </c>
      <c r="D189" s="9">
        <v>6.0253775490937298E-3</v>
      </c>
      <c r="E189" s="9">
        <v>6.0253775490937298E-3</v>
      </c>
      <c r="F189" s="9">
        <v>0.12965462959127194</v>
      </c>
      <c r="G189" s="9">
        <v>0.12965462959127194</v>
      </c>
      <c r="H189" s="35">
        <v>6.0072975513144958E-3</v>
      </c>
      <c r="J189" s="46"/>
    </row>
    <row r="190" spans="2:10" x14ac:dyDescent="0.35">
      <c r="B190" s="6">
        <v>45198</v>
      </c>
      <c r="C190" s="7" t="s">
        <v>9</v>
      </c>
      <c r="D190" s="9">
        <v>-2.6759279732083102E-3</v>
      </c>
      <c r="E190" s="9">
        <v>-2.6759279732083102E-3</v>
      </c>
      <c r="F190" s="9">
        <v>0.12663175516788439</v>
      </c>
      <c r="G190" s="9">
        <v>0.12663175516788439</v>
      </c>
      <c r="H190" s="35">
        <v>-2.6795146683879982E-3</v>
      </c>
      <c r="J190" s="46"/>
    </row>
    <row r="191" spans="2:10" x14ac:dyDescent="0.35">
      <c r="B191" s="6">
        <v>45201</v>
      </c>
      <c r="C191" s="7" t="s">
        <v>9</v>
      </c>
      <c r="D191" s="9">
        <v>8.3272591205163802E-5</v>
      </c>
      <c r="E191" s="9">
        <v>8.3272591205163802E-5</v>
      </c>
      <c r="F191" s="9">
        <v>0.12672557271347129</v>
      </c>
      <c r="G191" s="9">
        <v>0.12672557271347129</v>
      </c>
      <c r="H191" s="35">
        <v>8.3269124235463705E-5</v>
      </c>
      <c r="J191" s="46"/>
    </row>
    <row r="192" spans="2:10" x14ac:dyDescent="0.35">
      <c r="B192" s="6">
        <v>45202</v>
      </c>
      <c r="C192" s="7" t="s">
        <v>9</v>
      </c>
      <c r="D192" s="9">
        <v>-1.36653001726952E-2</v>
      </c>
      <c r="E192" s="9">
        <v>-1.36653001726952E-2</v>
      </c>
      <c r="F192" s="9">
        <v>0.11132852955008987</v>
      </c>
      <c r="G192" s="9">
        <v>0.11132852955008987</v>
      </c>
      <c r="H192" s="35">
        <v>-1.3759529822840512E-2</v>
      </c>
      <c r="J192" s="46"/>
    </row>
    <row r="193" spans="2:10" x14ac:dyDescent="0.35">
      <c r="B193" s="6">
        <v>45203</v>
      </c>
      <c r="C193" s="7" t="s">
        <v>9</v>
      </c>
      <c r="D193" s="9">
        <v>8.1130209600992903E-3</v>
      </c>
      <c r="E193" s="9">
        <v>8.1130209600992903E-3</v>
      </c>
      <c r="F193" s="9">
        <v>0.12034476120388593</v>
      </c>
      <c r="G193" s="9">
        <v>0.12034476120388593</v>
      </c>
      <c r="H193" s="35">
        <v>8.0802873321069897E-3</v>
      </c>
      <c r="J193" s="46"/>
    </row>
    <row r="194" spans="2:10" x14ac:dyDescent="0.35">
      <c r="B194" s="6">
        <v>45204</v>
      </c>
      <c r="C194" s="7" t="s">
        <v>9</v>
      </c>
      <c r="D194" s="9">
        <v>-1.1234195455425301E-3</v>
      </c>
      <c r="E194" s="9">
        <v>-1.1234195455425301E-3</v>
      </c>
      <c r="F194" s="9">
        <v>0.11908614400140327</v>
      </c>
      <c r="G194" s="9">
        <v>0.11908614400140327</v>
      </c>
      <c r="H194" s="35">
        <v>-1.1240510542906534E-3</v>
      </c>
      <c r="J194" s="46"/>
    </row>
    <row r="195" spans="2:10" x14ac:dyDescent="0.35">
      <c r="B195" s="6">
        <v>45205</v>
      </c>
      <c r="C195" s="7" t="s">
        <v>9</v>
      </c>
      <c r="D195" s="9">
        <v>1.1977384398806299E-2</v>
      </c>
      <c r="E195" s="9">
        <v>1.1977384398806299E-2</v>
      </c>
      <c r="F195" s="9">
        <v>0.13248986892348591</v>
      </c>
      <c r="G195" s="9">
        <v>0.13248986892348591</v>
      </c>
      <c r="H195" s="35">
        <v>1.1906223183556584E-2</v>
      </c>
      <c r="J195" s="46"/>
    </row>
    <row r="196" spans="2:10" x14ac:dyDescent="0.35">
      <c r="B196" s="6">
        <v>45208</v>
      </c>
      <c r="C196" s="7" t="s">
        <v>9</v>
      </c>
      <c r="D196" s="9">
        <v>6.3035109878405602E-3</v>
      </c>
      <c r="E196" s="9">
        <v>6.3035109878405602E-3</v>
      </c>
      <c r="F196" s="9">
        <v>0.13962853125586339</v>
      </c>
      <c r="G196" s="9">
        <v>0.13962853125586339</v>
      </c>
      <c r="H196" s="35">
        <v>6.283726958159863E-3</v>
      </c>
      <c r="J196" s="46"/>
    </row>
    <row r="197" spans="2:10" x14ac:dyDescent="0.35">
      <c r="B197" s="6">
        <v>45209</v>
      </c>
      <c r="C197" s="7" t="s">
        <v>9</v>
      </c>
      <c r="D197" s="9">
        <v>5.2280398271859797E-3</v>
      </c>
      <c r="E197" s="9">
        <v>5.2280398271859797E-3</v>
      </c>
      <c r="F197" s="9">
        <v>0.14558655460546643</v>
      </c>
      <c r="G197" s="9">
        <v>0.14558655460546643</v>
      </c>
      <c r="H197" s="35">
        <v>5.2144210726074135E-3</v>
      </c>
      <c r="J197" s="46"/>
    </row>
    <row r="198" spans="2:10" x14ac:dyDescent="0.35">
      <c r="B198" s="6">
        <v>45210</v>
      </c>
      <c r="C198" s="7" t="s">
        <v>9</v>
      </c>
      <c r="D198" s="9">
        <v>4.3414862943255096E-3</v>
      </c>
      <c r="E198" s="9">
        <v>4.3414862943255096E-3</v>
      </c>
      <c r="F198" s="9">
        <v>0.15056010293124955</v>
      </c>
      <c r="G198" s="9">
        <v>0.15056010293124955</v>
      </c>
      <c r="H198" s="35">
        <v>4.3320892310338421E-3</v>
      </c>
      <c r="J198" s="46"/>
    </row>
    <row r="199" spans="2:10" x14ac:dyDescent="0.35">
      <c r="B199" s="6">
        <v>45211</v>
      </c>
      <c r="C199" s="7" t="s">
        <v>9</v>
      </c>
      <c r="D199" s="9">
        <v>-6.1388543840865603E-3</v>
      </c>
      <c r="E199" s="9">
        <v>-6.1388543840865603E-3</v>
      </c>
      <c r="F199" s="9">
        <v>0.1434969819992149</v>
      </c>
      <c r="G199" s="9">
        <v>0.1434969819992149</v>
      </c>
      <c r="H199" s="35">
        <v>-6.1577746227970383E-3</v>
      </c>
      <c r="J199" s="46"/>
    </row>
    <row r="200" spans="2:10" x14ac:dyDescent="0.35">
      <c r="B200" s="6">
        <v>45212</v>
      </c>
      <c r="C200" s="7" t="s">
        <v>9</v>
      </c>
      <c r="D200" s="9">
        <v>-5.01536468211514E-3</v>
      </c>
      <c r="E200" s="9">
        <v>-5.01536468211514E-3</v>
      </c>
      <c r="F200" s="9">
        <v>0.13776192762159067</v>
      </c>
      <c r="G200" s="9">
        <v>0.13776192762159067</v>
      </c>
      <c r="H200" s="35">
        <v>-5.0279838343445463E-3</v>
      </c>
      <c r="J200" s="46"/>
    </row>
    <row r="201" spans="2:10" x14ac:dyDescent="0.35">
      <c r="B201" s="6">
        <v>45215</v>
      </c>
      <c r="C201" s="7" t="s">
        <v>9</v>
      </c>
      <c r="D201" s="9">
        <v>1.0625299177883201E-2</v>
      </c>
      <c r="E201" s="9">
        <v>1.0625299177883201E-2</v>
      </c>
      <c r="F201" s="9">
        <v>0.14985098849577527</v>
      </c>
      <c r="G201" s="9">
        <v>0.14985098849577527</v>
      </c>
      <c r="H201" s="35">
        <v>1.0569247381727952E-2</v>
      </c>
      <c r="J201" s="46"/>
    </row>
    <row r="202" spans="2:10" x14ac:dyDescent="0.35">
      <c r="B202" s="6">
        <v>45216</v>
      </c>
      <c r="C202" s="7" t="s">
        <v>9</v>
      </c>
      <c r="D202" s="9">
        <v>-1.00664278274096E-4</v>
      </c>
      <c r="E202" s="9">
        <v>-1.00664278274096E-4</v>
      </c>
      <c r="F202" s="9">
        <v>0.14973523957589574</v>
      </c>
      <c r="G202" s="9">
        <v>0.14973523957589574</v>
      </c>
      <c r="H202" s="35">
        <v>-1.0066934526254923E-4</v>
      </c>
      <c r="J202" s="46"/>
    </row>
    <row r="203" spans="2:10" x14ac:dyDescent="0.35">
      <c r="B203" s="6">
        <v>45217</v>
      </c>
      <c r="C203" s="7" t="s">
        <v>9</v>
      </c>
      <c r="D203" s="9">
        <v>-1.33992344505721E-2</v>
      </c>
      <c r="E203" s="9">
        <v>-1.33992344505721E-2</v>
      </c>
      <c r="F203" s="9">
        <v>0.13432966754473363</v>
      </c>
      <c r="G203" s="9">
        <v>0.13432966754473363</v>
      </c>
      <c r="H203" s="35">
        <v>-1.3489814235680943E-2</v>
      </c>
      <c r="J203" s="46"/>
    </row>
    <row r="204" spans="2:10" x14ac:dyDescent="0.35">
      <c r="B204" s="6">
        <v>45218</v>
      </c>
      <c r="C204" s="7" t="s">
        <v>9</v>
      </c>
      <c r="D204" s="9">
        <v>-8.3985684087511496E-3</v>
      </c>
      <c r="E204" s="9">
        <v>-8.3985684087511496E-3</v>
      </c>
      <c r="F204" s="9">
        <v>0.1248029222337832</v>
      </c>
      <c r="G204" s="9">
        <v>0.1248029222337832</v>
      </c>
      <c r="H204" s="35">
        <v>-8.4340351036597018E-3</v>
      </c>
      <c r="J204" s="46"/>
    </row>
    <row r="205" spans="2:10" x14ac:dyDescent="0.35">
      <c r="B205" s="6">
        <v>45219</v>
      </c>
      <c r="C205" s="7" t="s">
        <v>9</v>
      </c>
      <c r="D205" s="9">
        <v>-1.25534433957665E-2</v>
      </c>
      <c r="E205" s="9">
        <v>-1.25534433957665E-2</v>
      </c>
      <c r="F205" s="9">
        <v>0.11068277241812874</v>
      </c>
      <c r="G205" s="9">
        <v>0.11068277241812874</v>
      </c>
      <c r="H205" s="35">
        <v>-1.2632903565841506E-2</v>
      </c>
      <c r="J205" s="46"/>
    </row>
    <row r="206" spans="2:10" x14ac:dyDescent="0.35">
      <c r="B206" s="6">
        <v>45222</v>
      </c>
      <c r="C206" s="7" t="s">
        <v>9</v>
      </c>
      <c r="D206" s="9">
        <v>-1.6838821216695701E-3</v>
      </c>
      <c r="E206" s="9">
        <v>-1.6838821216695701E-3</v>
      </c>
      <c r="F206" s="9">
        <v>0.10881251355480748</v>
      </c>
      <c r="G206" s="9">
        <v>0.10881251355480748</v>
      </c>
      <c r="H206" s="35">
        <v>-1.685301444708335E-3</v>
      </c>
      <c r="J206" s="46"/>
    </row>
    <row r="207" spans="2:10" x14ac:dyDescent="0.35">
      <c r="B207" s="6">
        <v>45223</v>
      </c>
      <c r="C207" s="7" t="s">
        <v>9</v>
      </c>
      <c r="D207" s="9">
        <v>7.2864208410755296E-3</v>
      </c>
      <c r="E207" s="9">
        <v>7.2864208410755296E-3</v>
      </c>
      <c r="F207" s="9">
        <v>0.11689178816241852</v>
      </c>
      <c r="G207" s="9">
        <v>0.11689178816241852</v>
      </c>
      <c r="H207" s="35">
        <v>7.2600031261787247E-3</v>
      </c>
      <c r="J207" s="46"/>
    </row>
    <row r="208" spans="2:10" x14ac:dyDescent="0.35">
      <c r="B208" s="6">
        <v>45224</v>
      </c>
      <c r="C208" s="7" t="s">
        <v>9</v>
      </c>
      <c r="D208" s="9">
        <v>-1.43343369550988E-2</v>
      </c>
      <c r="E208" s="9">
        <v>-1.43343369550988E-2</v>
      </c>
      <c r="F208" s="9">
        <v>0.10088188492851557</v>
      </c>
      <c r="G208" s="9">
        <v>0.10088188492851557</v>
      </c>
      <c r="H208" s="35">
        <v>-1.4438066014485522E-2</v>
      </c>
      <c r="J208" s="46"/>
    </row>
    <row r="209" spans="2:10" x14ac:dyDescent="0.35">
      <c r="B209" s="6">
        <v>45225</v>
      </c>
      <c r="C209" s="7" t="s">
        <v>9</v>
      </c>
      <c r="D209" s="9">
        <v>-1.1816853708745601E-2</v>
      </c>
      <c r="E209" s="9">
        <v>-1.1816853708745601E-2</v>
      </c>
      <c r="F209" s="9">
        <v>8.7872924743707115E-2</v>
      </c>
      <c r="G209" s="9">
        <v>8.7872924743707115E-2</v>
      </c>
      <c r="H209" s="35">
        <v>-1.1887227673165928E-2</v>
      </c>
      <c r="J209" s="46"/>
    </row>
    <row r="210" spans="2:10" x14ac:dyDescent="0.35">
      <c r="B210" s="6">
        <v>45226</v>
      </c>
      <c r="C210" s="7" t="s">
        <v>9</v>
      </c>
      <c r="D210" s="9">
        <v>-4.7812486350088104E-3</v>
      </c>
      <c r="E210" s="9">
        <v>-4.7812486350088104E-3</v>
      </c>
      <c r="F210" s="9">
        <v>8.267153380721326E-2</v>
      </c>
      <c r="G210" s="9">
        <v>8.267153380721326E-2</v>
      </c>
      <c r="H210" s="35">
        <v>-4.7927153690683249E-3</v>
      </c>
      <c r="J210" s="46"/>
    </row>
    <row r="211" spans="2:10" x14ac:dyDescent="0.35">
      <c r="B211" s="6">
        <v>45229</v>
      </c>
      <c r="C211" s="7" t="s">
        <v>9</v>
      </c>
      <c r="D211" s="9">
        <v>1.2100014179703999E-2</v>
      </c>
      <c r="E211" s="9">
        <v>1.2100014179703999E-2</v>
      </c>
      <c r="F211" s="9">
        <v>9.5771874718242556E-2</v>
      </c>
      <c r="G211" s="9">
        <v>9.5771874718242556E-2</v>
      </c>
      <c r="H211" s="35">
        <v>1.2027394222899244E-2</v>
      </c>
      <c r="J211" s="46"/>
    </row>
    <row r="212" spans="2:10" x14ac:dyDescent="0.35">
      <c r="B212" s="6">
        <v>45230</v>
      </c>
      <c r="C212" s="7" t="s">
        <v>9</v>
      </c>
      <c r="D212" s="9">
        <v>6.5436439368163502E-3</v>
      </c>
      <c r="E212" s="9">
        <v>6.5436439368163502E-3</v>
      </c>
      <c r="F212" s="9">
        <v>0.10294221570237649</v>
      </c>
      <c r="G212" s="9">
        <v>0.10294221570237649</v>
      </c>
      <c r="H212" s="35">
        <v>6.5223272408761581E-3</v>
      </c>
      <c r="J212" s="46"/>
    </row>
    <row r="213" spans="2:10" x14ac:dyDescent="0.35">
      <c r="B213" s="6">
        <v>45231</v>
      </c>
      <c r="C213" s="7" t="s">
        <v>9</v>
      </c>
      <c r="D213" s="9">
        <v>1.05100245130802E-2</v>
      </c>
      <c r="E213" s="9">
        <v>1.05100245130802E-2</v>
      </c>
      <c r="F213" s="9">
        <v>0.11453416542591954</v>
      </c>
      <c r="G213" s="9">
        <v>0.11453416542591954</v>
      </c>
      <c r="H213" s="35">
        <v>1.0455178161743739E-2</v>
      </c>
    </row>
    <row r="214" spans="2:10" x14ac:dyDescent="0.35">
      <c r="B214" s="6">
        <v>45232</v>
      </c>
      <c r="C214" s="7" t="s">
        <v>9</v>
      </c>
      <c r="D214" s="9">
        <v>1.892439969609E-2</v>
      </c>
      <c r="E214" s="9">
        <v>1.892439969609E-2</v>
      </c>
      <c r="F214" s="9">
        <v>0.13562605544738759</v>
      </c>
      <c r="G214" s="9">
        <v>0.13562605544738759</v>
      </c>
      <c r="H214" s="35">
        <v>1.8747560807351467E-2</v>
      </c>
    </row>
    <row r="215" spans="2:10" x14ac:dyDescent="0.35">
      <c r="B215" s="6">
        <v>45233</v>
      </c>
      <c r="C215" s="7" t="s">
        <v>9</v>
      </c>
      <c r="D215" s="9">
        <v>9.4414927858412004E-3</v>
      </c>
      <c r="E215" s="9">
        <v>9.4414927858412004E-3</v>
      </c>
      <c r="F215" s="9">
        <v>0.14634806065730754</v>
      </c>
      <c r="G215" s="9">
        <v>0.14634806065730754</v>
      </c>
      <c r="H215" s="35">
        <v>9.3972004649952486E-3</v>
      </c>
    </row>
    <row r="216" spans="2:10" x14ac:dyDescent="0.35">
      <c r="B216" s="6">
        <v>45236</v>
      </c>
      <c r="C216" s="7" t="s">
        <v>9</v>
      </c>
      <c r="D216" s="9">
        <v>1.7834822757149501E-3</v>
      </c>
      <c r="E216" s="9">
        <v>1.7834822757149501E-3</v>
      </c>
      <c r="F216" s="9">
        <v>0.14839255210529023</v>
      </c>
      <c r="G216" s="9">
        <v>0.14839255210529023</v>
      </c>
      <c r="H216" s="35">
        <v>1.781893759647506E-3</v>
      </c>
    </row>
    <row r="217" spans="2:10" x14ac:dyDescent="0.35">
      <c r="B217" s="6">
        <v>45237</v>
      </c>
      <c r="C217" s="7" t="s">
        <v>9</v>
      </c>
      <c r="D217" s="9">
        <v>2.8582523282980302E-3</v>
      </c>
      <c r="E217" s="9">
        <v>2.8582523282980302E-3</v>
      </c>
      <c r="F217" s="9">
        <v>0.15167494779114543</v>
      </c>
      <c r="G217" s="9">
        <v>0.15167494779114543</v>
      </c>
      <c r="H217" s="35">
        <v>2.8541752920632074E-3</v>
      </c>
    </row>
    <row r="218" spans="2:10" x14ac:dyDescent="0.35">
      <c r="B218" s="6">
        <v>45238</v>
      </c>
      <c r="C218" s="7" t="s">
        <v>9</v>
      </c>
      <c r="D218" s="9">
        <v>1.0547719703605199E-3</v>
      </c>
      <c r="E218" s="9">
        <v>1.0547719703605199E-3</v>
      </c>
      <c r="F218" s="9">
        <v>0.15288970224504173</v>
      </c>
      <c r="G218" s="9">
        <v>0.15288970224504173</v>
      </c>
      <c r="H218" s="35">
        <v>1.0542160892565502E-3</v>
      </c>
    </row>
    <row r="219" spans="2:10" x14ac:dyDescent="0.35">
      <c r="B219" s="6">
        <v>45239</v>
      </c>
      <c r="C219" s="7" t="s">
        <v>9</v>
      </c>
      <c r="D219" s="9">
        <v>-7.8903009326534192E-3</v>
      </c>
      <c r="E219" s="9">
        <v>-7.8903009326534192E-3</v>
      </c>
      <c r="F219" s="9">
        <v>0.14379305555217115</v>
      </c>
      <c r="G219" s="9">
        <v>0.14379305555217115</v>
      </c>
      <c r="H219" s="35">
        <v>-7.9215940739504592E-3</v>
      </c>
    </row>
    <row r="220" spans="2:10" x14ac:dyDescent="0.35">
      <c r="B220" s="6">
        <v>45240</v>
      </c>
      <c r="C220" s="7" t="s">
        <v>9</v>
      </c>
      <c r="D220" s="9">
        <v>1.57697556028756E-2</v>
      </c>
      <c r="E220" s="9">
        <v>1.57697556028756E-2</v>
      </c>
      <c r="F220" s="9">
        <v>0.16183039249849518</v>
      </c>
      <c r="G220" s="9">
        <v>0.16183039249849518</v>
      </c>
      <c r="H220" s="35">
        <v>1.5646704973330799E-2</v>
      </c>
    </row>
    <row r="221" spans="2:10" x14ac:dyDescent="0.35">
      <c r="B221" s="6">
        <v>45243</v>
      </c>
      <c r="C221" s="7" t="s">
        <v>9</v>
      </c>
      <c r="D221" s="9">
        <v>-7.7393942508247504E-4</v>
      </c>
      <c r="E221" s="9">
        <v>-7.7393942508247504E-4</v>
      </c>
      <c r="F221" s="9">
        <v>0.16093120615248147</v>
      </c>
      <c r="G221" s="9">
        <v>0.16093120615248147</v>
      </c>
      <c r="H221" s="35">
        <v>-7.7423907081444689E-4</v>
      </c>
    </row>
    <row r="222" spans="2:10" x14ac:dyDescent="0.35">
      <c r="B222" s="6">
        <v>45244</v>
      </c>
      <c r="C222" s="7" t="s">
        <v>9</v>
      </c>
      <c r="D222" s="9">
        <v>1.9285807992023701E-2</v>
      </c>
      <c r="E222" s="9">
        <v>1.9285807992023701E-2</v>
      </c>
      <c r="F222" s="9">
        <v>0.18332070248628685</v>
      </c>
      <c r="G222" s="9">
        <v>0.18332070248628685</v>
      </c>
      <c r="H222" s="35">
        <v>1.9102193806792105E-2</v>
      </c>
    </row>
    <row r="223" spans="2:10" x14ac:dyDescent="0.35">
      <c r="B223" s="6">
        <v>45245</v>
      </c>
      <c r="C223" s="7" t="s">
        <v>9</v>
      </c>
      <c r="D223" s="9">
        <v>1.78129964857936E-3</v>
      </c>
      <c r="E223" s="9">
        <v>1.78129964857936E-3</v>
      </c>
      <c r="F223" s="9">
        <v>0.18542855123778224</v>
      </c>
      <c r="G223" s="9">
        <v>0.18542855123778224</v>
      </c>
      <c r="H223" s="35">
        <v>1.7797150158850024E-3</v>
      </c>
    </row>
    <row r="224" spans="2:10" x14ac:dyDescent="0.35">
      <c r="B224" s="6">
        <v>45246</v>
      </c>
      <c r="C224" s="7" t="s">
        <v>9</v>
      </c>
      <c r="D224" s="9">
        <v>1.42970056458267E-3</v>
      </c>
      <c r="E224" s="9">
        <v>1.42970056458267E-3</v>
      </c>
      <c r="F224" s="9">
        <v>0.18712335910675937</v>
      </c>
      <c r="G224" s="9">
        <v>0.18712335910675937</v>
      </c>
      <c r="H224" s="35">
        <v>1.428679515810652E-3</v>
      </c>
    </row>
    <row r="225" spans="2:8" x14ac:dyDescent="0.35">
      <c r="B225" s="6">
        <v>45247</v>
      </c>
      <c r="C225" s="7" t="s">
        <v>9</v>
      </c>
      <c r="D225" s="9">
        <v>1.3034705159075499E-3</v>
      </c>
      <c r="E225" s="9">
        <v>1.3034705159075499E-3</v>
      </c>
      <c r="F225" s="9">
        <v>0.18867073940410028</v>
      </c>
      <c r="G225" s="9">
        <v>0.18867073940410028</v>
      </c>
      <c r="H225" s="35">
        <v>1.3026217357079513E-3</v>
      </c>
    </row>
    <row r="226" spans="2:8" x14ac:dyDescent="0.35">
      <c r="B226" s="6">
        <v>45250</v>
      </c>
      <c r="C226" s="7" t="s">
        <v>9</v>
      </c>
      <c r="D226" s="9">
        <v>7.4928863705319799E-3</v>
      </c>
      <c r="E226" s="9">
        <v>7.4928863705319799E-3</v>
      </c>
      <c r="F226" s="9">
        <v>0.19757731418643143</v>
      </c>
      <c r="G226" s="9">
        <v>0.19757731418643143</v>
      </c>
      <c r="H226" s="35">
        <v>7.4649541393643059E-3</v>
      </c>
    </row>
    <row r="227" spans="2:8" x14ac:dyDescent="0.35">
      <c r="B227" s="6">
        <v>45251</v>
      </c>
      <c r="C227" s="7" t="s">
        <v>9</v>
      </c>
      <c r="D227" s="9">
        <v>-1.9971472232227601E-3</v>
      </c>
      <c r="E227" s="9">
        <v>-1.9971472232227601E-3</v>
      </c>
      <c r="F227" s="9">
        <v>0.19518557597880948</v>
      </c>
      <c r="G227" s="9">
        <v>0.19518557597880948</v>
      </c>
      <c r="H227" s="35">
        <v>-1.9991441809937838E-3</v>
      </c>
    </row>
    <row r="228" spans="2:8" x14ac:dyDescent="0.35">
      <c r="B228" s="6">
        <v>45252</v>
      </c>
      <c r="C228" s="7" t="s">
        <v>9</v>
      </c>
      <c r="D228" s="9">
        <v>4.1134056246107404E-3</v>
      </c>
      <c r="E228" s="9">
        <v>4.1134056246107404E-3</v>
      </c>
      <c r="F228" s="9">
        <v>0.20010185904949451</v>
      </c>
      <c r="G228" s="9">
        <v>0.20010185904949451</v>
      </c>
      <c r="H228" s="35">
        <v>4.1049687001095915E-3</v>
      </c>
    </row>
    <row r="229" spans="2:8" x14ac:dyDescent="0.35">
      <c r="B229" s="6">
        <v>45254</v>
      </c>
      <c r="C229" s="7" t="s">
        <v>9</v>
      </c>
      <c r="D229" s="9">
        <v>6.1930568725675596E-4</v>
      </c>
      <c r="E229" s="9">
        <v>6.1930568725675596E-4</v>
      </c>
      <c r="F229" s="9">
        <v>0.20084508895609132</v>
      </c>
      <c r="G229" s="9">
        <v>0.20084508895609132</v>
      </c>
      <c r="H229" s="35">
        <v>6.1911399662894584E-4</v>
      </c>
    </row>
    <row r="230" spans="2:8" x14ac:dyDescent="0.35">
      <c r="B230" s="6">
        <v>45257</v>
      </c>
      <c r="C230" s="7" t="s">
        <v>9</v>
      </c>
      <c r="D230" s="9">
        <v>-1.9369226773162001E-3</v>
      </c>
      <c r="E230" s="9">
        <v>-1.9369226773162001E-3</v>
      </c>
      <c r="F230" s="9">
        <v>0.19851914487134859</v>
      </c>
      <c r="G230" s="9">
        <v>0.19851914487134859</v>
      </c>
      <c r="H230" s="35">
        <v>-1.9388009378005402E-3</v>
      </c>
    </row>
    <row r="231" spans="2:8" x14ac:dyDescent="0.35">
      <c r="B231" s="6">
        <v>45258</v>
      </c>
      <c r="C231" s="7" t="s">
        <v>9</v>
      </c>
      <c r="D231" s="9">
        <v>9.840648588202701E-4</v>
      </c>
      <c r="E231" s="9">
        <v>9.840648588202701E-4</v>
      </c>
      <c r="F231" s="9">
        <v>0.19969856544443965</v>
      </c>
      <c r="G231" s="9">
        <v>0.19969856544443965</v>
      </c>
      <c r="H231" s="35">
        <v>9.8358098441352071E-4</v>
      </c>
    </row>
    <row r="232" spans="2:8" x14ac:dyDescent="0.35">
      <c r="B232" s="6">
        <v>45259</v>
      </c>
      <c r="C232" s="7" t="s">
        <v>9</v>
      </c>
      <c r="D232" s="9">
        <v>-7.7286894844127096E-4</v>
      </c>
      <c r="E232" s="9">
        <v>-7.7286894844127096E-4</v>
      </c>
      <c r="F232" s="9">
        <v>0.19877135567571802</v>
      </c>
      <c r="G232" s="9">
        <v>0.19877135567571802</v>
      </c>
      <c r="H232" s="35">
        <v>-7.7316776562130676E-4</v>
      </c>
    </row>
    <row r="233" spans="2:8" x14ac:dyDescent="0.35">
      <c r="B233" s="6">
        <v>45260</v>
      </c>
      <c r="C233" s="7" t="s">
        <v>9</v>
      </c>
      <c r="D233" s="9">
        <v>4.0858558241741103E-3</v>
      </c>
      <c r="E233" s="9">
        <v>4.0858558241741103E-3</v>
      </c>
      <c r="F233" s="9">
        <v>0.20366936260115875</v>
      </c>
      <c r="G233" s="9">
        <v>0.20366936260115875</v>
      </c>
      <c r="H233" s="35">
        <v>4.0775313825412284E-3</v>
      </c>
    </row>
    <row r="234" spans="2:8" x14ac:dyDescent="0.35">
      <c r="B234" s="6">
        <v>45261</v>
      </c>
      <c r="C234" s="7" t="s">
        <v>9</v>
      </c>
      <c r="D234" s="9">
        <v>5.95909310842563E-3</v>
      </c>
      <c r="E234" s="9">
        <v>5.95909310842563E-3</v>
      </c>
      <c r="F234" s="9">
        <v>0.21084214040465854</v>
      </c>
      <c r="G234" s="9">
        <v>0.21084214040465854</v>
      </c>
      <c r="H234" s="35">
        <v>5.9414079366989824E-3</v>
      </c>
    </row>
    <row r="235" spans="2:8" x14ac:dyDescent="0.35">
      <c r="B235" s="6">
        <v>45264</v>
      </c>
      <c r="C235" s="7" t="s">
        <v>9</v>
      </c>
      <c r="D235" s="9">
        <v>-5.4055740202396396E-3</v>
      </c>
      <c r="E235" s="9">
        <v>-5.4055740202396396E-3</v>
      </c>
      <c r="F235" s="9">
        <v>0.20429684358787581</v>
      </c>
      <c r="G235" s="9">
        <v>0.20429684358787581</v>
      </c>
      <c r="H235" s="35">
        <v>-5.420237000572801E-3</v>
      </c>
    </row>
    <row r="236" spans="2:8" x14ac:dyDescent="0.35">
      <c r="B236" s="6">
        <v>45265</v>
      </c>
      <c r="C236" s="7" t="s">
        <v>9</v>
      </c>
      <c r="D236" s="9">
        <v>-5.2609374383491298E-4</v>
      </c>
      <c r="E236" s="9">
        <v>-5.2609374383491298E-4</v>
      </c>
      <c r="F236" s="9">
        <v>0.20366327055274414</v>
      </c>
      <c r="G236" s="9">
        <v>0.20366327055274414</v>
      </c>
      <c r="H236" s="35">
        <v>-5.2623217970422021E-4</v>
      </c>
    </row>
    <row r="237" spans="2:8" x14ac:dyDescent="0.35">
      <c r="B237" s="6">
        <v>45266</v>
      </c>
      <c r="C237" s="7" t="s">
        <v>9</v>
      </c>
      <c r="D237" s="9">
        <v>-3.8789468942612101E-3</v>
      </c>
      <c r="E237" s="9">
        <v>-3.8789468942612101E-3</v>
      </c>
      <c r="F237" s="9">
        <v>0.19899432464769728</v>
      </c>
      <c r="G237" s="9">
        <v>0.19899432464769728</v>
      </c>
      <c r="H237" s="35">
        <v>-3.8864895200466211E-3</v>
      </c>
    </row>
    <row r="238" spans="2:8" x14ac:dyDescent="0.35">
      <c r="B238" s="6">
        <v>45267</v>
      </c>
      <c r="C238" s="7" t="s">
        <v>9</v>
      </c>
      <c r="D238" s="9">
        <v>8.1285280951969401E-3</v>
      </c>
      <c r="E238" s="9">
        <v>8.1285280951969401E-3</v>
      </c>
      <c r="F238" s="9">
        <v>0.20874038370157799</v>
      </c>
      <c r="G238" s="9">
        <v>0.20874038370157799</v>
      </c>
      <c r="H238" s="35">
        <v>8.0956695516682959E-3</v>
      </c>
    </row>
    <row r="239" spans="2:8" x14ac:dyDescent="0.35">
      <c r="B239" s="6">
        <v>45268</v>
      </c>
      <c r="C239" s="7" t="s">
        <v>9</v>
      </c>
      <c r="D239" s="9">
        <v>4.1186858912328804E-3</v>
      </c>
      <c r="E239" s="9">
        <v>4.1186858912328804E-3</v>
      </c>
      <c r="F239" s="9">
        <v>0.21371880566609325</v>
      </c>
      <c r="G239" s="9">
        <v>0.21371880566609325</v>
      </c>
      <c r="H239" s="35">
        <v>4.1102273220034301E-3</v>
      </c>
    </row>
    <row r="240" spans="2:8" x14ac:dyDescent="0.35">
      <c r="B240" s="6">
        <v>45271</v>
      </c>
      <c r="C240" s="7" t="s">
        <v>9</v>
      </c>
      <c r="D240" s="9">
        <v>3.9291271394869699E-3</v>
      </c>
      <c r="E240" s="9">
        <v>3.9291271394869699E-3</v>
      </c>
      <c r="F240" s="9">
        <v>0.21848766116514162</v>
      </c>
      <c r="G240" s="9">
        <v>0.21848766116514162</v>
      </c>
      <c r="H240" s="35">
        <v>3.9214282793920401E-3</v>
      </c>
    </row>
    <row r="241" spans="2:8" x14ac:dyDescent="0.35">
      <c r="B241" s="6">
        <v>45272</v>
      </c>
      <c r="C241" s="7" t="s">
        <v>9</v>
      </c>
      <c r="D241" s="9">
        <v>4.6397030590043702E-3</v>
      </c>
      <c r="E241" s="9">
        <v>4.6397030590043702E-3</v>
      </c>
      <c r="F241" s="9">
        <v>0.22414108209400863</v>
      </c>
      <c r="G241" s="9">
        <v>0.22414108209400863</v>
      </c>
      <c r="H241" s="35">
        <v>4.6289728140656928E-3</v>
      </c>
    </row>
    <row r="242" spans="2:8" x14ac:dyDescent="0.35">
      <c r="B242" s="6">
        <v>45273</v>
      </c>
      <c r="C242" s="7" t="s">
        <v>9</v>
      </c>
      <c r="D242" s="9">
        <v>1.36696977418223E-2</v>
      </c>
      <c r="E242" s="9">
        <v>1.36696977418223E-2</v>
      </c>
      <c r="F242" s="9">
        <v>0.24087472067958093</v>
      </c>
      <c r="G242" s="9">
        <v>0.24087472067958093</v>
      </c>
      <c r="H242" s="35">
        <v>1.3577110231613614E-2</v>
      </c>
    </row>
    <row r="243" spans="2:8" x14ac:dyDescent="0.35">
      <c r="B243" s="6">
        <v>45274</v>
      </c>
      <c r="C243" s="7" t="s">
        <v>9</v>
      </c>
      <c r="D243" s="9">
        <v>2.8779366048793699E-3</v>
      </c>
      <c r="E243" s="9">
        <v>2.8779366048793699E-3</v>
      </c>
      <c r="F243" s="9">
        <v>0.24444587946029417</v>
      </c>
      <c r="G243" s="9">
        <v>0.24444587946029417</v>
      </c>
      <c r="H243" s="35">
        <v>2.8738032737395921E-3</v>
      </c>
    </row>
    <row r="244" spans="2:8" x14ac:dyDescent="0.35">
      <c r="B244" s="6">
        <v>45275</v>
      </c>
      <c r="C244" s="7" t="s">
        <v>9</v>
      </c>
      <c r="D244" s="9">
        <v>-2.0560639690547301E-5</v>
      </c>
      <c r="E244" s="9">
        <v>-2.0560639690547301E-5</v>
      </c>
      <c r="F244" s="9">
        <v>0.2444202928569521</v>
      </c>
      <c r="G244" s="9">
        <v>0.2444202928569521</v>
      </c>
      <c r="H244" s="35">
        <v>-2.0560851063430639E-5</v>
      </c>
    </row>
    <row r="245" spans="2:8" x14ac:dyDescent="0.35">
      <c r="B245" s="6">
        <v>45278</v>
      </c>
      <c r="C245" s="7" t="s">
        <v>9</v>
      </c>
      <c r="D245" s="9">
        <v>4.54007840618485E-3</v>
      </c>
      <c r="E245" s="9">
        <v>4.54007840618485E-3</v>
      </c>
      <c r="F245" s="9">
        <v>0.25007005855677011</v>
      </c>
      <c r="G245" s="9">
        <v>0.25007005855677011</v>
      </c>
      <c r="H245" s="35">
        <v>4.5298033382226328E-3</v>
      </c>
    </row>
    <row r="246" spans="2:8" x14ac:dyDescent="0.35">
      <c r="B246" s="6">
        <v>45279</v>
      </c>
      <c r="C246" s="7" t="s">
        <v>9</v>
      </c>
      <c r="D246" s="9">
        <v>5.9464806990355799E-3</v>
      </c>
      <c r="E246" s="9">
        <v>5.9464806990355799E-3</v>
      </c>
      <c r="F246" s="9">
        <v>0.25750357603242002</v>
      </c>
      <c r="G246" s="9">
        <v>0.25750357603242002</v>
      </c>
      <c r="H246" s="35">
        <v>5.9288701620095795E-3</v>
      </c>
    </row>
    <row r="247" spans="2:8" x14ac:dyDescent="0.35">
      <c r="B247" s="6">
        <v>45280</v>
      </c>
      <c r="C247" s="7" t="s">
        <v>9</v>
      </c>
      <c r="D247" s="9">
        <v>-1.45675844842388E-2</v>
      </c>
      <c r="E247" s="9">
        <v>-1.45675844842388E-2</v>
      </c>
      <c r="F247" s="9">
        <v>0.23918478644933527</v>
      </c>
      <c r="G247" s="9">
        <v>0.23918478644933527</v>
      </c>
      <c r="H247" s="35">
        <v>-1.4674733618970263E-2</v>
      </c>
    </row>
    <row r="248" spans="2:8" x14ac:dyDescent="0.35">
      <c r="B248" s="6">
        <v>45281</v>
      </c>
      <c r="C248" s="7" t="s">
        <v>9</v>
      </c>
      <c r="D248" s="9">
        <v>1.03033181226899E-2</v>
      </c>
      <c r="E248" s="9">
        <v>1.03033181226899E-2</v>
      </c>
      <c r="F248" s="9">
        <v>0.25195250151692039</v>
      </c>
      <c r="G248" s="9">
        <v>0.25195250151692039</v>
      </c>
      <c r="H248" s="35">
        <v>1.0250600740613252E-2</v>
      </c>
    </row>
    <row r="249" spans="2:8" x14ac:dyDescent="0.35">
      <c r="B249" s="6">
        <v>45282</v>
      </c>
      <c r="C249" s="7" t="s">
        <v>9</v>
      </c>
      <c r="D249" s="9">
        <v>1.66126536451505E-3</v>
      </c>
      <c r="E249" s="9">
        <v>1.66126536451505E-3</v>
      </c>
      <c r="F249" s="9">
        <v>0.25403232684570831</v>
      </c>
      <c r="G249" s="9">
        <v>0.25403232684570831</v>
      </c>
      <c r="H249" s="35">
        <v>1.6598869895625024E-3</v>
      </c>
    </row>
    <row r="250" spans="2:8" x14ac:dyDescent="0.35">
      <c r="B250" s="6">
        <v>45286</v>
      </c>
      <c r="C250" s="7" t="s">
        <v>9</v>
      </c>
      <c r="D250" s="9">
        <v>4.2371193418035604E-3</v>
      </c>
      <c r="E250" s="9">
        <v>4.2371193418035604E-3</v>
      </c>
      <c r="F250" s="9">
        <v>0.25934581147303315</v>
      </c>
      <c r="G250" s="9">
        <v>0.25934581147303315</v>
      </c>
      <c r="H250" s="35">
        <v>4.2281680279274494E-3</v>
      </c>
    </row>
    <row r="251" spans="2:8" x14ac:dyDescent="0.35">
      <c r="B251" s="6">
        <v>45287</v>
      </c>
      <c r="C251" s="7" t="s">
        <v>9</v>
      </c>
      <c r="D251" s="9">
        <v>1.51122583441539E-3</v>
      </c>
      <c r="E251" s="9">
        <v>1.51122583441539E-3</v>
      </c>
      <c r="F251" s="9">
        <v>0.26124896739779402</v>
      </c>
      <c r="G251" s="9">
        <v>0.26124896739779402</v>
      </c>
      <c r="H251" s="35">
        <v>1.510085081799391E-3</v>
      </c>
    </row>
    <row r="252" spans="2:8" x14ac:dyDescent="0.35">
      <c r="B252" s="6">
        <v>45288</v>
      </c>
      <c r="C252" s="7" t="s">
        <v>9</v>
      </c>
      <c r="D252" s="9">
        <v>4.8205108389039203E-4</v>
      </c>
      <c r="E252" s="9">
        <v>4.8205108389039203E-4</v>
      </c>
      <c r="F252" s="9">
        <v>0.26185695382958363</v>
      </c>
      <c r="G252" s="9">
        <v>0.26185695382958363</v>
      </c>
      <c r="H252" s="35">
        <v>4.8193493459168036E-4</v>
      </c>
    </row>
    <row r="253" spans="2:8" x14ac:dyDescent="0.35">
      <c r="B253" s="6">
        <v>45289</v>
      </c>
      <c r="C253" s="7" t="s">
        <v>9</v>
      </c>
      <c r="D253" s="9">
        <v>-2.7769758192609899E-3</v>
      </c>
      <c r="E253" s="9">
        <v>-2.7769758192609899E-3</v>
      </c>
      <c r="F253" s="9">
        <v>0.25835280758143253</v>
      </c>
      <c r="G253" s="9">
        <v>0.25835280758143253</v>
      </c>
      <c r="H253" s="35">
        <v>-2.7808387698156144E-3</v>
      </c>
    </row>
    <row r="254" spans="2:8" x14ac:dyDescent="0.35">
      <c r="B254" s="6">
        <v>45293</v>
      </c>
      <c r="C254" s="7" t="s">
        <v>9</v>
      </c>
      <c r="D254" s="9">
        <v>-5.6294497488823302E-3</v>
      </c>
      <c r="E254" s="9">
        <v>-5.6294497488823302E-3</v>
      </c>
      <c r="F254" s="9">
        <v>0.25126897368478773</v>
      </c>
      <c r="G254" s="9">
        <v>0.25126897368478773</v>
      </c>
      <c r="H254" s="35">
        <v>-5.6453548204073159E-3</v>
      </c>
    </row>
    <row r="255" spans="2:8" x14ac:dyDescent="0.35">
      <c r="B255" s="6">
        <v>45294</v>
      </c>
      <c r="C255" s="7" t="s">
        <v>9</v>
      </c>
      <c r="D255" s="9">
        <v>-7.9749242674316007E-3</v>
      </c>
      <c r="E255" s="9">
        <v>-7.9749242674316007E-3</v>
      </c>
      <c r="F255" s="9">
        <v>0.24129019838146459</v>
      </c>
      <c r="G255" s="9">
        <v>0.24129019838146459</v>
      </c>
      <c r="H255" s="35">
        <v>-8.006894060528293E-3</v>
      </c>
    </row>
    <row r="256" spans="2:8" x14ac:dyDescent="0.35">
      <c r="B256" s="6">
        <v>45295</v>
      </c>
      <c r="C256" s="7" t="s">
        <v>9</v>
      </c>
      <c r="D256" s="9">
        <v>-3.2970840584660801E-3</v>
      </c>
      <c r="E256" s="9">
        <v>-3.2970840584660801E-3</v>
      </c>
      <c r="F256" s="9">
        <v>0.23719756025645089</v>
      </c>
      <c r="G256" s="9">
        <v>0.23719756025645089</v>
      </c>
      <c r="H256" s="35">
        <v>-3.3025314170053279E-3</v>
      </c>
    </row>
    <row r="257" spans="2:8" x14ac:dyDescent="0.35">
      <c r="B257" s="6">
        <v>45296</v>
      </c>
      <c r="C257" s="7" t="s">
        <v>9</v>
      </c>
      <c r="D257" s="9">
        <v>1.82683027712663E-3</v>
      </c>
      <c r="E257" s="9">
        <v>1.82683027712663E-3</v>
      </c>
      <c r="F257" s="9">
        <v>0.23945771021831463</v>
      </c>
      <c r="G257" s="9">
        <v>0.23945771021831463</v>
      </c>
      <c r="H257" s="35">
        <v>1.8251636521479449E-3</v>
      </c>
    </row>
    <row r="258" spans="2:8" x14ac:dyDescent="0.35">
      <c r="B258" s="6">
        <v>45299</v>
      </c>
      <c r="C258" s="7" t="s">
        <v>9</v>
      </c>
      <c r="D258" s="9">
        <v>1.41328549310659E-2</v>
      </c>
      <c r="E258" s="9">
        <v>1.41328549310659E-2</v>
      </c>
      <c r="F258" s="9">
        <v>0.25697478623002135</v>
      </c>
      <c r="G258" s="9">
        <v>0.25697478623002135</v>
      </c>
      <c r="H258" s="35">
        <v>1.4033917228613638E-2</v>
      </c>
    </row>
    <row r="259" spans="2:8" x14ac:dyDescent="0.35">
      <c r="B259" s="6">
        <v>45300</v>
      </c>
      <c r="C259" s="7" t="s">
        <v>9</v>
      </c>
      <c r="D259" s="9">
        <v>-1.3366910547356E-3</v>
      </c>
      <c r="E259" s="9">
        <v>-1.3366910547356E-3</v>
      </c>
      <c r="F259" s="9">
        <v>0.25529459927723952</v>
      </c>
      <c r="G259" s="9">
        <v>0.25529459927723952</v>
      </c>
      <c r="H259" s="35">
        <v>-1.3375852231302067E-3</v>
      </c>
    </row>
    <row r="260" spans="2:8" x14ac:dyDescent="0.35">
      <c r="B260" s="6">
        <v>45301</v>
      </c>
      <c r="C260" s="7" t="s">
        <v>9</v>
      </c>
      <c r="D260" s="9">
        <v>5.6819891426836298E-3</v>
      </c>
      <c r="E260" s="9">
        <v>5.6819891426836298E-3</v>
      </c>
      <c r="F260" s="9">
        <v>0.26242716956120216</v>
      </c>
      <c r="G260" s="9">
        <v>0.26242716956120216</v>
      </c>
      <c r="H260" s="35">
        <v>5.6659075306477198E-3</v>
      </c>
    </row>
    <row r="261" spans="2:8" x14ac:dyDescent="0.35">
      <c r="B261" s="6">
        <v>45302</v>
      </c>
      <c r="C261" s="7" t="s">
        <v>9</v>
      </c>
      <c r="D261" s="9">
        <v>-6.3505728544859105E-4</v>
      </c>
      <c r="E261" s="9">
        <v>-6.3505728544859105E-4</v>
      </c>
      <c r="F261" s="9">
        <v>0.26162545598982412</v>
      </c>
      <c r="G261" s="9">
        <v>0.26162545598982412</v>
      </c>
      <c r="H261" s="35">
        <v>-6.3525901973952436E-4</v>
      </c>
    </row>
    <row r="262" spans="2:8" x14ac:dyDescent="0.35">
      <c r="B262" s="6">
        <v>45303</v>
      </c>
      <c r="C262" s="7" t="s">
        <v>9</v>
      </c>
      <c r="D262" s="9">
        <v>8.3633599847024399E-4</v>
      </c>
      <c r="E262" s="9">
        <v>8.3633599847024399E-4</v>
      </c>
      <c r="F262" s="9">
        <v>0.26268059877525474</v>
      </c>
      <c r="G262" s="9">
        <v>0.26268059877525474</v>
      </c>
      <c r="H262" s="35">
        <v>8.359864643907607E-4</v>
      </c>
    </row>
    <row r="263" spans="2:8" x14ac:dyDescent="0.35">
      <c r="B263" s="6">
        <v>45307</v>
      </c>
      <c r="C263" s="7" t="s">
        <v>9</v>
      </c>
      <c r="D263" s="9">
        <v>-3.7169448103171699E-3</v>
      </c>
      <c r="E263" s="9">
        <v>-3.7169448103171699E-3</v>
      </c>
      <c r="F263" s="9">
        <v>0.25798728467654897</v>
      </c>
      <c r="G263" s="9">
        <v>0.25798728467654897</v>
      </c>
      <c r="H263" s="35">
        <v>-3.7238698149109736E-3</v>
      </c>
    </row>
    <row r="264" spans="2:8" x14ac:dyDescent="0.35">
      <c r="B264" s="6">
        <v>45308</v>
      </c>
      <c r="C264" s="7" t="s">
        <v>9</v>
      </c>
      <c r="D264" s="9">
        <v>-5.5962180491107997E-3</v>
      </c>
      <c r="E264" s="9">
        <v>-5.5962180491107997E-3</v>
      </c>
      <c r="F264" s="9">
        <v>0.25094731352849009</v>
      </c>
      <c r="G264" s="9">
        <v>0.25094731352849009</v>
      </c>
      <c r="H264" s="35">
        <v>-5.6119355437839703E-3</v>
      </c>
    </row>
    <row r="265" spans="2:8" x14ac:dyDescent="0.35">
      <c r="B265" s="6">
        <v>45309</v>
      </c>
      <c r="C265" s="7" t="s">
        <v>9</v>
      </c>
      <c r="D265" s="9">
        <v>8.8866811791119792E-3</v>
      </c>
      <c r="E265" s="9">
        <v>8.8866811791119792E-3</v>
      </c>
      <c r="F265" s="9">
        <v>0.26206408347568444</v>
      </c>
      <c r="G265" s="9">
        <v>0.26206408347568444</v>
      </c>
      <c r="H265" s="35">
        <v>8.8474270159988305E-3</v>
      </c>
    </row>
    <row r="266" spans="2:8" x14ac:dyDescent="0.35">
      <c r="B266" s="6">
        <v>45310</v>
      </c>
      <c r="C266" s="7" t="s">
        <v>9</v>
      </c>
      <c r="D266" s="9">
        <v>1.2371733172174101E-2</v>
      </c>
      <c r="E266" s="9">
        <v>1.2371733172174101E-2</v>
      </c>
      <c r="F266" s="9">
        <v>0.27767800356262984</v>
      </c>
      <c r="G266" s="9">
        <v>0.27767800356262984</v>
      </c>
      <c r="H266" s="35">
        <v>1.2295828686810084E-2</v>
      </c>
    </row>
    <row r="267" spans="2:8" x14ac:dyDescent="0.35">
      <c r="B267" s="6">
        <v>45313</v>
      </c>
      <c r="C267" s="7" t="s">
        <v>9</v>
      </c>
      <c r="D267" s="9">
        <v>2.19330869198698E-3</v>
      </c>
      <c r="E267" s="9">
        <v>2.19330869198698E-3</v>
      </c>
      <c r="F267" s="9">
        <v>0.28048034583340442</v>
      </c>
      <c r="G267" s="9">
        <v>0.28048034583340442</v>
      </c>
      <c r="H267" s="35">
        <v>2.1909069017482618E-3</v>
      </c>
    </row>
    <row r="268" spans="2:8" x14ac:dyDescent="0.35">
      <c r="B268" s="6">
        <v>45314</v>
      </c>
      <c r="C268" s="7" t="s">
        <v>9</v>
      </c>
      <c r="D268" s="9">
        <v>2.94401985262761E-3</v>
      </c>
      <c r="E268" s="9">
        <v>2.94401985262761E-3</v>
      </c>
      <c r="F268" s="9">
        <v>0.28425010539243734</v>
      </c>
      <c r="G268" s="9">
        <v>0.28425010539243734</v>
      </c>
      <c r="H268" s="35">
        <v>2.9396947129665999E-3</v>
      </c>
    </row>
    <row r="269" spans="2:8" x14ac:dyDescent="0.35">
      <c r="B269" s="6">
        <v>45315</v>
      </c>
      <c r="C269" s="7" t="s">
        <v>9</v>
      </c>
      <c r="D269" s="9">
        <v>8.2160225722428197E-4</v>
      </c>
      <c r="E269" s="9">
        <v>8.2160225722428197E-4</v>
      </c>
      <c r="F269" s="9">
        <v>0.28530524817786818</v>
      </c>
      <c r="G269" s="9">
        <v>0.28530524817786818</v>
      </c>
      <c r="H269" s="35">
        <v>8.2126492684469218E-4</v>
      </c>
    </row>
    <row r="270" spans="2:8" x14ac:dyDescent="0.35">
      <c r="B270" s="6">
        <v>45316</v>
      </c>
      <c r="C270" s="7" t="s">
        <v>9</v>
      </c>
      <c r="D270" s="9">
        <v>5.3170715060326199E-3</v>
      </c>
      <c r="E270" s="9">
        <v>5.3170715060326199E-3</v>
      </c>
      <c r="F270" s="9">
        <v>0.29213930808950894</v>
      </c>
      <c r="G270" s="9">
        <v>0.29213930808950894</v>
      </c>
      <c r="H270" s="35">
        <v>5.3029857891143898E-3</v>
      </c>
    </row>
    <row r="271" spans="2:8" x14ac:dyDescent="0.35">
      <c r="B271" s="6">
        <v>45317</v>
      </c>
      <c r="C271" s="7" t="s">
        <v>9</v>
      </c>
      <c r="D271" s="9">
        <v>-6.5062851657637704E-4</v>
      </c>
      <c r="E271" s="9">
        <v>-6.5062851657637704E-4</v>
      </c>
      <c r="F271" s="9">
        <v>0.29129860540827668</v>
      </c>
      <c r="G271" s="9">
        <v>0.29129860540827668</v>
      </c>
      <c r="H271" s="35">
        <v>-6.5084026716196494E-4</v>
      </c>
    </row>
    <row r="272" spans="2:8" x14ac:dyDescent="0.35">
      <c r="B272" s="6">
        <v>45320</v>
      </c>
      <c r="C272" s="7" t="s">
        <v>9</v>
      </c>
      <c r="D272" s="9">
        <v>7.5739062088669897E-3</v>
      </c>
      <c r="E272" s="9">
        <v>7.5739062088669897E-3</v>
      </c>
      <c r="F272" s="9">
        <v>0.30107877993327947</v>
      </c>
      <c r="G272" s="9">
        <v>0.30107877993327947</v>
      </c>
      <c r="H272" s="35">
        <v>7.545368186855925E-3</v>
      </c>
    </row>
    <row r="273" spans="2:8" x14ac:dyDescent="0.35">
      <c r="B273" s="6">
        <v>45321</v>
      </c>
      <c r="C273" s="7" t="s">
        <v>9</v>
      </c>
      <c r="D273" s="9">
        <v>-5.1973591796593797E-4</v>
      </c>
      <c r="E273" s="9">
        <v>-5.1973591796593797E-4</v>
      </c>
      <c r="F273" s="9">
        <v>0.3004025625592448</v>
      </c>
      <c r="G273" s="9">
        <v>0.3004025625592448</v>
      </c>
      <c r="H273" s="35">
        <v>-5.1987102749436994E-4</v>
      </c>
    </row>
    <row r="274" spans="2:8" x14ac:dyDescent="0.35">
      <c r="B274" s="6">
        <v>45322</v>
      </c>
      <c r="C274" s="7" t="s">
        <v>9</v>
      </c>
      <c r="D274" s="9">
        <v>-1.6075218191784001E-2</v>
      </c>
      <c r="E274" s="9">
        <v>-1.6075218191784001E-2</v>
      </c>
      <c r="F274" s="9">
        <v>0.27949830762894989</v>
      </c>
      <c r="G274" s="9">
        <v>0.27949830762894989</v>
      </c>
      <c r="H274" s="35">
        <v>-1.6205826103478059E-2</v>
      </c>
    </row>
    <row r="275" spans="2:8" x14ac:dyDescent="0.35">
      <c r="B275" s="6">
        <v>45323</v>
      </c>
      <c r="C275" s="7" t="s">
        <v>9</v>
      </c>
      <c r="D275" s="9">
        <v>1.2546922404484E-2</v>
      </c>
      <c r="E275" s="9">
        <v>1.2546922404484E-2</v>
      </c>
      <c r="F275" s="9">
        <v>0.29555207361143898</v>
      </c>
      <c r="G275" s="9">
        <v>0.29555207361143898</v>
      </c>
      <c r="H275" s="35">
        <v>1.2468862040287975E-2</v>
      </c>
    </row>
    <row r="276" spans="2:8" x14ac:dyDescent="0.35">
      <c r="B276" s="6">
        <v>45324</v>
      </c>
      <c r="C276" s="7" t="s">
        <v>9</v>
      </c>
      <c r="D276" s="9">
        <v>1.07315430813476E-2</v>
      </c>
      <c r="E276" s="9">
        <v>1.07315430813476E-2</v>
      </c>
      <c r="F276" s="9">
        <v>0.30945534650352924</v>
      </c>
      <c r="G276" s="9">
        <v>0.30945534650352924</v>
      </c>
      <c r="H276" s="35">
        <v>1.0674368754996557E-2</v>
      </c>
    </row>
    <row r="277" spans="2:8" x14ac:dyDescent="0.35">
      <c r="B277" s="6">
        <v>45327</v>
      </c>
      <c r="C277" s="7" t="s">
        <v>9</v>
      </c>
      <c r="D277" s="9">
        <v>-3.1766265788922199E-3</v>
      </c>
      <c r="E277" s="9">
        <v>-3.1766265788922199E-3</v>
      </c>
      <c r="F277" s="9">
        <v>0.30529569584595362</v>
      </c>
      <c r="G277" s="9">
        <v>0.30529569584595362</v>
      </c>
      <c r="H277" s="35">
        <v>-3.1816827676915418E-3</v>
      </c>
    </row>
    <row r="278" spans="2:8" x14ac:dyDescent="0.35">
      <c r="B278" s="6">
        <v>45328</v>
      </c>
      <c r="C278" s="7" t="s">
        <v>9</v>
      </c>
      <c r="D278" s="9">
        <v>2.3391900204515299E-3</v>
      </c>
      <c r="E278" s="9">
        <v>2.3391900204515299E-3</v>
      </c>
      <c r="F278" s="9">
        <v>0.30834903051141471</v>
      </c>
      <c r="G278" s="9">
        <v>0.30834903051141471</v>
      </c>
      <c r="H278" s="35">
        <v>2.3364583745387902E-3</v>
      </c>
    </row>
    <row r="279" spans="2:8" x14ac:dyDescent="0.35">
      <c r="B279" s="6">
        <v>45329</v>
      </c>
      <c r="C279" s="7" t="s">
        <v>9</v>
      </c>
      <c r="D279" s="9">
        <v>8.2546653666313204E-3</v>
      </c>
      <c r="E279" s="9">
        <v>8.2546653666313204E-3</v>
      </c>
      <c r="F279" s="9">
        <v>0.31914901394104289</v>
      </c>
      <c r="G279" s="9">
        <v>0.31914901394104289</v>
      </c>
      <c r="H279" s="35">
        <v>8.2207819529299501E-3</v>
      </c>
    </row>
    <row r="280" spans="2:8" x14ac:dyDescent="0.35">
      <c r="B280" s="6">
        <v>45330</v>
      </c>
      <c r="C280" s="7" t="s">
        <v>9</v>
      </c>
      <c r="D280" s="9">
        <v>6.9734298468349305E-4</v>
      </c>
      <c r="E280" s="9">
        <v>6.9734298468349305E-4</v>
      </c>
      <c r="F280" s="9">
        <v>0.32006891325166675</v>
      </c>
      <c r="G280" s="9">
        <v>0.32006891325166675</v>
      </c>
      <c r="H280" s="35">
        <v>6.9709995404159297E-4</v>
      </c>
    </row>
    <row r="281" spans="2:8" x14ac:dyDescent="0.35">
      <c r="B281" s="6">
        <v>45331</v>
      </c>
      <c r="C281" s="7" t="s">
        <v>9</v>
      </c>
      <c r="D281" s="9">
        <v>5.8379082843841301E-3</v>
      </c>
      <c r="E281" s="9">
        <v>5.8379082843841301E-3</v>
      </c>
      <c r="F281" s="9">
        <v>0.32777535449629669</v>
      </c>
      <c r="G281" s="9">
        <v>0.32777535449629669</v>
      </c>
      <c r="H281" s="35">
        <v>5.8209337297048204E-3</v>
      </c>
    </row>
    <row r="282" spans="2:8" x14ac:dyDescent="0.35">
      <c r="B282" s="6">
        <v>45334</v>
      </c>
      <c r="C282" s="7" t="s">
        <v>9</v>
      </c>
      <c r="D282" s="9">
        <v>-9.3598504626250399E-4</v>
      </c>
      <c r="E282" s="9">
        <v>-9.3598504626250399E-4</v>
      </c>
      <c r="F282" s="9">
        <v>0.32653257661969226</v>
      </c>
      <c r="G282" s="9">
        <v>0.32653257661969226</v>
      </c>
      <c r="H282" s="35">
        <v>-9.3642335378674873E-4</v>
      </c>
    </row>
    <row r="283" spans="2:8" x14ac:dyDescent="0.35">
      <c r="B283" s="6">
        <v>45335</v>
      </c>
      <c r="C283" s="7" t="s">
        <v>9</v>
      </c>
      <c r="D283" s="9">
        <v>-1.35569432950537E-2</v>
      </c>
      <c r="E283" s="9">
        <v>-1.35569432950537E-2</v>
      </c>
      <c r="F283" s="9">
        <v>0.30854884969941754</v>
      </c>
      <c r="G283" s="9">
        <v>0.30854884969941754</v>
      </c>
      <c r="H283" s="35">
        <v>-1.3649677734949099E-2</v>
      </c>
    </row>
    <row r="284" spans="2:8" x14ac:dyDescent="0.35">
      <c r="B284" s="6">
        <v>45336</v>
      </c>
      <c r="C284" s="7" t="s">
        <v>9</v>
      </c>
      <c r="D284" s="9">
        <v>9.7683292348747196E-3</v>
      </c>
      <c r="E284" s="9">
        <v>9.7683292348747196E-3</v>
      </c>
      <c r="F284" s="9">
        <v>0.32133118568319796</v>
      </c>
      <c r="G284" s="9">
        <v>0.32133118568319796</v>
      </c>
      <c r="H284" s="35">
        <v>9.7209275470680652E-3</v>
      </c>
    </row>
    <row r="285" spans="2:8" x14ac:dyDescent="0.35">
      <c r="B285" s="6">
        <v>45337</v>
      </c>
      <c r="C285" s="7" t="s">
        <v>9</v>
      </c>
      <c r="D285" s="9">
        <v>6.0481045153770799E-3</v>
      </c>
      <c r="E285" s="9">
        <v>6.0481045153770799E-3</v>
      </c>
      <c r="F285" s="9">
        <v>0.32932273479363716</v>
      </c>
      <c r="G285" s="9">
        <v>0.32932273479363716</v>
      </c>
      <c r="H285" s="35">
        <v>6.0298881440407686E-3</v>
      </c>
    </row>
    <row r="286" spans="2:8" x14ac:dyDescent="0.35">
      <c r="B286" s="6">
        <v>45338</v>
      </c>
      <c r="C286" s="7" t="s">
        <v>9</v>
      </c>
      <c r="D286" s="9">
        <v>-4.6451475714255896E-3</v>
      </c>
      <c r="E286" s="9">
        <v>-4.6451475714255896E-3</v>
      </c>
      <c r="F286" s="9">
        <v>0.32314783452046969</v>
      </c>
      <c r="G286" s="9">
        <v>0.32314783452046969</v>
      </c>
      <c r="H286" s="35">
        <v>-4.6559697962987355E-3</v>
      </c>
    </row>
    <row r="287" spans="2:8" x14ac:dyDescent="0.35">
      <c r="B287" s="6">
        <v>45342</v>
      </c>
      <c r="C287" s="7" t="s">
        <v>9</v>
      </c>
      <c r="D287" s="9">
        <v>-5.9698166512118702E-3</v>
      </c>
      <c r="E287" s="9">
        <v>-5.9698166512118702E-3</v>
      </c>
      <c r="F287" s="9">
        <v>0.31524888454593447</v>
      </c>
      <c r="G287" s="9">
        <v>0.31524888454593447</v>
      </c>
      <c r="H287" s="35">
        <v>-5.9877072445463919E-3</v>
      </c>
    </row>
    <row r="288" spans="2:8" x14ac:dyDescent="0.35">
      <c r="B288" s="6">
        <v>45343</v>
      </c>
      <c r="C288" s="7" t="s">
        <v>9</v>
      </c>
      <c r="D288" s="9">
        <v>1.3089635750547499E-3</v>
      </c>
      <c r="E288" s="9">
        <v>1.3089635750547499E-3</v>
      </c>
      <c r="F288" s="9">
        <v>0.31697049742793637</v>
      </c>
      <c r="G288" s="9">
        <v>0.31697049742793637</v>
      </c>
      <c r="H288" s="35">
        <v>1.308107629087622E-3</v>
      </c>
    </row>
    <row r="289" spans="2:8" x14ac:dyDescent="0.35">
      <c r="B289" s="6">
        <v>45344</v>
      </c>
      <c r="C289" s="7" t="s">
        <v>9</v>
      </c>
      <c r="D289" s="9">
        <v>2.1176009096182499E-2</v>
      </c>
      <c r="E289" s="9">
        <v>2.1176009096182499E-2</v>
      </c>
      <c r="F289" s="9">
        <v>0.34485867666087433</v>
      </c>
      <c r="G289" s="9">
        <v>0.34485867666087433</v>
      </c>
      <c r="H289" s="35">
        <v>2.0954913253944871E-2</v>
      </c>
    </row>
    <row r="290" spans="2:8" x14ac:dyDescent="0.35">
      <c r="B290" s="6">
        <v>45345</v>
      </c>
      <c r="C290" s="7" t="s">
        <v>9</v>
      </c>
      <c r="D290" s="9">
        <v>3.6963820754459901E-4</v>
      </c>
      <c r="E290" s="9">
        <v>3.6963820754459901E-4</v>
      </c>
      <c r="F290" s="9">
        <v>0.3453557878115161</v>
      </c>
      <c r="G290" s="9">
        <v>0.3453557878115161</v>
      </c>
      <c r="H290" s="35">
        <v>3.6956990817260183E-4</v>
      </c>
    </row>
    <row r="291" spans="2:8" x14ac:dyDescent="0.35">
      <c r="B291" s="6">
        <v>45348</v>
      </c>
      <c r="C291" s="7" t="s">
        <v>9</v>
      </c>
      <c r="D291" s="9">
        <v>-3.74935473061698E-3</v>
      </c>
      <c r="E291" s="9">
        <v>-3.74935473061698E-3</v>
      </c>
      <c r="F291" s="9">
        <v>0.34031157172412208</v>
      </c>
      <c r="G291" s="9">
        <v>0.34031157172412208</v>
      </c>
      <c r="H291" s="35">
        <v>-3.7564011796705644E-3</v>
      </c>
    </row>
    <row r="292" spans="2:8" x14ac:dyDescent="0.35">
      <c r="B292" s="6">
        <v>45349</v>
      </c>
      <c r="C292" s="7" t="s">
        <v>9</v>
      </c>
      <c r="D292" s="9">
        <v>1.7217399209127301E-3</v>
      </c>
      <c r="E292" s="9">
        <v>1.7217399209127301E-3</v>
      </c>
      <c r="F292" s="9">
        <v>0.34261923966362073</v>
      </c>
      <c r="G292" s="9">
        <v>0.34261923966362073</v>
      </c>
      <c r="H292" s="35">
        <v>1.7202594258430379E-3</v>
      </c>
    </row>
    <row r="293" spans="2:8" x14ac:dyDescent="0.35">
      <c r="B293" s="6">
        <v>45350</v>
      </c>
      <c r="C293" s="7" t="s">
        <v>9</v>
      </c>
      <c r="D293" s="9">
        <v>-1.5645078152791601E-3</v>
      </c>
      <c r="E293" s="9">
        <v>-1.5645078152791601E-3</v>
      </c>
      <c r="F293" s="9">
        <v>0.34051870137022289</v>
      </c>
      <c r="G293" s="9">
        <v>0.34051870137022289</v>
      </c>
      <c r="H293" s="35">
        <v>-1.5657329356048219E-3</v>
      </c>
    </row>
    <row r="294" spans="2:8" x14ac:dyDescent="0.35">
      <c r="B294" s="6">
        <v>45351</v>
      </c>
      <c r="C294" s="7" t="s">
        <v>9</v>
      </c>
      <c r="D294" s="9">
        <v>5.4452745814473303E-3</v>
      </c>
      <c r="E294" s="9">
        <v>5.4452745814473303E-3</v>
      </c>
      <c r="F294" s="9">
        <v>0.34781819378074896</v>
      </c>
      <c r="G294" s="9">
        <v>0.34781819378074896</v>
      </c>
      <c r="H294" s="35">
        <v>5.4305026742776617E-3</v>
      </c>
    </row>
    <row r="295" spans="2:8" x14ac:dyDescent="0.35">
      <c r="B295" s="6">
        <v>45352</v>
      </c>
      <c r="C295" s="7" t="s">
        <v>9</v>
      </c>
      <c r="D295" s="9">
        <v>8.0662730708698002E-3</v>
      </c>
      <c r="E295" s="9">
        <v>8.0662730708698002E-3</v>
      </c>
      <c r="F295" s="9">
        <v>0.35869006338167098</v>
      </c>
      <c r="G295" s="9">
        <v>0.35869006338167098</v>
      </c>
      <c r="H295" s="35">
        <v>8.0339145820482981E-3</v>
      </c>
    </row>
    <row r="296" spans="2:8" x14ac:dyDescent="0.35">
      <c r="B296" s="6">
        <v>45355</v>
      </c>
      <c r="C296" s="7" t="s">
        <v>9</v>
      </c>
      <c r="D296" s="9">
        <v>-1.15770840096346E-3</v>
      </c>
      <c r="E296" s="9">
        <v>-1.15770840096346E-3</v>
      </c>
      <c r="F296" s="9">
        <v>0.35711709648098844</v>
      </c>
      <c r="G296" s="9">
        <v>0.35711709648098844</v>
      </c>
      <c r="H296" s="35">
        <v>-1.1583790630049278E-3</v>
      </c>
    </row>
    <row r="297" spans="2:8" x14ac:dyDescent="0.35">
      <c r="B297" s="6">
        <v>45356</v>
      </c>
      <c r="C297" s="7" t="s">
        <v>9</v>
      </c>
      <c r="D297" s="9">
        <v>-1.01692967500806E-2</v>
      </c>
      <c r="E297" s="9">
        <v>-1.01692967500806E-2</v>
      </c>
      <c r="F297" s="9">
        <v>0.34331617000226555</v>
      </c>
      <c r="G297" s="9">
        <v>0.34331617000226555</v>
      </c>
      <c r="H297" s="35">
        <v>-1.0221357295097773E-2</v>
      </c>
    </row>
    <row r="298" spans="2:8" x14ac:dyDescent="0.35">
      <c r="B298" s="6">
        <v>45357</v>
      </c>
      <c r="C298" s="7" t="s">
        <v>9</v>
      </c>
      <c r="D298" s="9">
        <v>5.21443679728909E-3</v>
      </c>
      <c r="E298" s="9">
        <v>5.21443679728909E-3</v>
      </c>
      <c r="F298" s="9">
        <v>0.35032080726951875</v>
      </c>
      <c r="G298" s="9">
        <v>0.35032080726951875</v>
      </c>
      <c r="H298" s="35">
        <v>5.2008886984606095E-3</v>
      </c>
    </row>
    <row r="299" spans="2:8" x14ac:dyDescent="0.35">
      <c r="B299" s="6">
        <v>45358</v>
      </c>
      <c r="C299" s="7" t="s">
        <v>9</v>
      </c>
      <c r="D299" s="9">
        <v>1.04433506426712E-2</v>
      </c>
      <c r="E299" s="9">
        <v>1.04433506426712E-2</v>
      </c>
      <c r="F299" s="9">
        <v>0.36442268093992913</v>
      </c>
      <c r="G299" s="9">
        <v>0.36442268093992913</v>
      </c>
      <c r="H299" s="35">
        <v>1.0389195570306466E-2</v>
      </c>
    </row>
    <row r="300" spans="2:8" x14ac:dyDescent="0.35">
      <c r="B300" s="6">
        <v>45359</v>
      </c>
      <c r="C300" s="7" t="s">
        <v>9</v>
      </c>
      <c r="D300" s="9">
        <v>-6.4580712048785301E-3</v>
      </c>
      <c r="E300" s="9">
        <v>-6.4580712048785301E-3</v>
      </c>
      <c r="F300" s="9">
        <v>0.35561114211286782</v>
      </c>
      <c r="G300" s="9">
        <v>0.35561114211286782</v>
      </c>
      <c r="H300" s="35">
        <v>-6.4790147654205299E-3</v>
      </c>
    </row>
    <row r="301" spans="2:8" x14ac:dyDescent="0.35">
      <c r="B301" s="6">
        <v>45362</v>
      </c>
      <c r="C301" s="7" t="s">
        <v>9</v>
      </c>
      <c r="D301" s="9">
        <v>-1.11989228901123E-3</v>
      </c>
      <c r="E301" s="9">
        <v>-1.11989228901123E-3</v>
      </c>
      <c r="F301" s="9">
        <v>0.35409300364791796</v>
      </c>
      <c r="G301" s="9">
        <v>0.35409300364791796</v>
      </c>
      <c r="H301" s="35">
        <v>-1.1205198369485232E-3</v>
      </c>
    </row>
    <row r="302" spans="2:8" x14ac:dyDescent="0.35">
      <c r="B302" s="6">
        <v>45363</v>
      </c>
      <c r="C302" s="7" t="s">
        <v>9</v>
      </c>
      <c r="D302" s="9">
        <v>1.12339734793644E-2</v>
      </c>
      <c r="E302" s="9">
        <v>1.12339734793644E-2</v>
      </c>
      <c r="F302" s="9">
        <v>0.36930484853949164</v>
      </c>
      <c r="G302" s="9">
        <v>0.36930484853949164</v>
      </c>
      <c r="H302" s="35">
        <v>1.1171341036910185E-2</v>
      </c>
    </row>
    <row r="303" spans="2:8" x14ac:dyDescent="0.35">
      <c r="B303" s="6">
        <v>45364</v>
      </c>
      <c r="C303" s="7" t="s">
        <v>9</v>
      </c>
      <c r="D303" s="9">
        <v>-1.88282024405478E-3</v>
      </c>
      <c r="E303" s="9">
        <v>-1.88282024405478E-3</v>
      </c>
      <c r="F303" s="9">
        <v>0.36672669365037924</v>
      </c>
      <c r="G303" s="9">
        <v>0.36672669365037924</v>
      </c>
      <c r="H303" s="35">
        <v>-1.8845949781104545E-3</v>
      </c>
    </row>
    <row r="304" spans="2:8" x14ac:dyDescent="0.35">
      <c r="B304" s="6">
        <v>45365</v>
      </c>
      <c r="C304" s="7" t="s">
        <v>9</v>
      </c>
      <c r="D304" s="9">
        <v>-2.62540896650699E-3</v>
      </c>
      <c r="E304" s="9">
        <v>-2.62540896650699E-3</v>
      </c>
      <c r="F304" s="9">
        <v>0.36313847713410508</v>
      </c>
      <c r="G304" s="9">
        <v>0.36313847713410508</v>
      </c>
      <c r="H304" s="35">
        <v>-2.6288613966456167E-3</v>
      </c>
    </row>
    <row r="305" spans="2:8" x14ac:dyDescent="0.35">
      <c r="B305" s="6">
        <v>45366</v>
      </c>
      <c r="C305" s="7" t="s">
        <v>9</v>
      </c>
      <c r="D305" s="9">
        <v>-6.4498540827772899E-3</v>
      </c>
      <c r="E305" s="9">
        <v>-6.4498540827772899E-3</v>
      </c>
      <c r="F305" s="9">
        <v>0.35434643286197076</v>
      </c>
      <c r="G305" s="9">
        <v>0.35434643286197076</v>
      </c>
      <c r="H305" s="35">
        <v>-6.4707442658238452E-3</v>
      </c>
    </row>
    <row r="306" spans="2:8" x14ac:dyDescent="0.35">
      <c r="B306" s="6">
        <v>45369</v>
      </c>
      <c r="C306" s="7" t="s">
        <v>9</v>
      </c>
      <c r="D306" s="9">
        <v>6.3288918636630201E-3</v>
      </c>
      <c r="E306" s="9">
        <v>6.3288918636630201E-3</v>
      </c>
      <c r="F306" s="9">
        <v>0.36291794498149188</v>
      </c>
      <c r="G306" s="9">
        <v>0.36291794498149188</v>
      </c>
      <c r="H306" s="35">
        <v>6.3089485294589871E-3</v>
      </c>
    </row>
    <row r="307" spans="2:8" x14ac:dyDescent="0.35">
      <c r="B307" s="6">
        <v>45370</v>
      </c>
      <c r="C307" s="7" t="s">
        <v>9</v>
      </c>
      <c r="D307" s="9">
        <v>5.6490053674042497E-3</v>
      </c>
      <c r="E307" s="9">
        <v>5.6490053674042497E-3</v>
      </c>
      <c r="F307" s="9">
        <v>0.37061707576802405</v>
      </c>
      <c r="G307" s="9">
        <v>0.37061707576802405</v>
      </c>
      <c r="H307" s="35">
        <v>5.6331095721095601E-3</v>
      </c>
    </row>
    <row r="308" spans="2:8" x14ac:dyDescent="0.35">
      <c r="B308" s="6">
        <v>45371</v>
      </c>
      <c r="C308" s="7" t="s">
        <v>9</v>
      </c>
      <c r="D308" s="9">
        <v>9.0370629811995905E-3</v>
      </c>
      <c r="E308" s="9">
        <v>9.0370629811995905E-3</v>
      </c>
      <c r="F308" s="9">
        <v>0.38300342860484715</v>
      </c>
      <c r="G308" s="9">
        <v>0.38300342860484715</v>
      </c>
      <c r="H308" s="35">
        <v>8.9964730865465178E-3</v>
      </c>
    </row>
    <row r="309" spans="2:8" x14ac:dyDescent="0.35">
      <c r="B309" s="6">
        <v>45372</v>
      </c>
      <c r="C309" s="7" t="s">
        <v>9</v>
      </c>
      <c r="D309" s="9">
        <v>3.25965629126879E-3</v>
      </c>
      <c r="E309" s="9">
        <v>3.25965629126879E-3</v>
      </c>
      <c r="F309" s="9">
        <v>0.38751154443174518</v>
      </c>
      <c r="G309" s="9">
        <v>0.38751154443174518</v>
      </c>
      <c r="H309" s="35">
        <v>3.2543551285552736E-3</v>
      </c>
    </row>
    <row r="310" spans="2:8" x14ac:dyDescent="0.35">
      <c r="B310" s="6">
        <v>45373</v>
      </c>
      <c r="C310" s="7" t="s">
        <v>9</v>
      </c>
      <c r="D310" s="9">
        <v>-1.35231372976027E-3</v>
      </c>
      <c r="E310" s="9">
        <v>-1.35231372976027E-3</v>
      </c>
      <c r="F310" s="9">
        <v>0.3856351935200093</v>
      </c>
      <c r="G310" s="9">
        <v>0.3856351935200093</v>
      </c>
      <c r="H310" s="35">
        <v>-1.3532289311581438E-3</v>
      </c>
    </row>
    <row r="311" spans="2:8" x14ac:dyDescent="0.35">
      <c r="B311" s="6">
        <v>45376</v>
      </c>
      <c r="C311" s="7" t="s">
        <v>9</v>
      </c>
      <c r="D311" s="9">
        <v>-3.0556193058863998E-3</v>
      </c>
      <c r="E311" s="9">
        <v>-3.0556193058863998E-3</v>
      </c>
      <c r="F311" s="9">
        <v>0.381401219871774</v>
      </c>
      <c r="G311" s="9">
        <v>0.381401219871774</v>
      </c>
      <c r="H311" s="35">
        <v>-3.060297242316675E-3</v>
      </c>
    </row>
    <row r="312" spans="2:8" x14ac:dyDescent="0.35">
      <c r="B312" s="6">
        <v>45377</v>
      </c>
      <c r="C312" s="7" t="s">
        <v>9</v>
      </c>
      <c r="D312" s="9">
        <v>-2.7986177139359002E-3</v>
      </c>
      <c r="E312" s="9">
        <v>-2.7986177139359002E-3</v>
      </c>
      <c r="F312" s="9">
        <v>0.37753520594778833</v>
      </c>
      <c r="G312" s="9">
        <v>0.37753520594778833</v>
      </c>
      <c r="H312" s="35">
        <v>-2.8025411663622902E-3</v>
      </c>
    </row>
    <row r="313" spans="2:8" x14ac:dyDescent="0.35">
      <c r="B313" s="6">
        <v>45378</v>
      </c>
      <c r="C313" s="7" t="s">
        <v>9</v>
      </c>
      <c r="D313" s="9">
        <v>8.7510978674174601E-3</v>
      </c>
      <c r="E313" s="9">
        <v>8.7510978674174601E-3</v>
      </c>
      <c r="F313" s="9">
        <v>0.3895901513508504</v>
      </c>
      <c r="G313" s="9">
        <v>0.3895901513508504</v>
      </c>
      <c r="H313" s="35">
        <v>8.7130289458331768E-3</v>
      </c>
    </row>
    <row r="314" spans="2:8" x14ac:dyDescent="0.35">
      <c r="B314" s="6">
        <v>45379</v>
      </c>
      <c r="C314" s="7" t="s">
        <v>9</v>
      </c>
      <c r="D314" s="9">
        <v>1.1468704378361999E-3</v>
      </c>
      <c r="E314" s="9">
        <v>1.1468704378361999E-3</v>
      </c>
      <c r="F314" s="9">
        <v>0.39118383121614286</v>
      </c>
      <c r="G314" s="9">
        <v>0.39118383121614286</v>
      </c>
      <c r="H314" s="35">
        <v>1.1462132843341572E-3</v>
      </c>
    </row>
    <row r="315" spans="2:8" x14ac:dyDescent="0.35">
      <c r="B315" s="6">
        <v>45383</v>
      </c>
      <c r="C315" s="7" t="s">
        <v>9</v>
      </c>
      <c r="D315" s="9">
        <v>-2.0099789543380699E-3</v>
      </c>
      <c r="E315" s="9">
        <v>-2.0099789543380699E-3</v>
      </c>
      <c r="F315" s="9">
        <v>0.3883875809937829</v>
      </c>
      <c r="G315" s="9">
        <v>0.3883875809937829</v>
      </c>
      <c r="H315" s="35">
        <v>-2.012001672905495E-3</v>
      </c>
    </row>
    <row r="316" spans="2:8" x14ac:dyDescent="0.35">
      <c r="B316" s="6">
        <v>45384</v>
      </c>
      <c r="C316" s="7" t="s">
        <v>9</v>
      </c>
      <c r="D316" s="9">
        <v>-7.2118844273142699E-3</v>
      </c>
      <c r="E316" s="9">
        <v>-7.2118844273142699E-3</v>
      </c>
      <c r="F316" s="9">
        <v>0.37837469021933745</v>
      </c>
      <c r="G316" s="9">
        <v>0.37837469021933745</v>
      </c>
      <c r="H316" s="35">
        <v>-7.238015779135615E-3</v>
      </c>
    </row>
    <row r="317" spans="2:8" x14ac:dyDescent="0.35">
      <c r="B317" s="6">
        <v>45385</v>
      </c>
      <c r="C317" s="7" t="s">
        <v>9</v>
      </c>
      <c r="D317" s="9">
        <v>1.13852327873499E-3</v>
      </c>
      <c r="E317" s="9">
        <v>1.13852327873499E-3</v>
      </c>
      <c r="F317" s="9">
        <v>0.37994400189097144</v>
      </c>
      <c r="G317" s="9">
        <v>0.37994400189097144</v>
      </c>
      <c r="H317" s="35">
        <v>1.1378756526186458E-3</v>
      </c>
    </row>
    <row r="318" spans="2:8" x14ac:dyDescent="0.35">
      <c r="B318" s="6">
        <v>45386</v>
      </c>
      <c r="C318" s="7" t="s">
        <v>9</v>
      </c>
      <c r="D318" s="9">
        <v>-1.22101965604136E-2</v>
      </c>
      <c r="E318" s="9">
        <v>-1.22101965604136E-2</v>
      </c>
      <c r="F318" s="9">
        <v>0.36309461438551893</v>
      </c>
      <c r="G318" s="9">
        <v>0.36309461438551893</v>
      </c>
      <c r="H318" s="35">
        <v>-1.228535342374064E-2</v>
      </c>
    </row>
    <row r="319" spans="2:8" x14ac:dyDescent="0.35">
      <c r="B319" s="6">
        <v>45387</v>
      </c>
      <c r="C319" s="7" t="s">
        <v>9</v>
      </c>
      <c r="D319" s="9">
        <v>1.1102579756496001E-2</v>
      </c>
      <c r="E319" s="9">
        <v>1.1102579756496001E-2</v>
      </c>
      <c r="F319" s="9">
        <v>0.37822848105738438</v>
      </c>
      <c r="G319" s="9">
        <v>0.37822848105738438</v>
      </c>
      <c r="H319" s="35">
        <v>1.1041398547522792E-2</v>
      </c>
    </row>
    <row r="320" spans="2:8" x14ac:dyDescent="0.35">
      <c r="B320" s="6">
        <v>45390</v>
      </c>
      <c r="C320" s="7" t="s">
        <v>9</v>
      </c>
      <c r="D320" s="9">
        <v>-3.5715232900455901E-4</v>
      </c>
      <c r="E320" s="9">
        <v>-3.5715232900455901E-4</v>
      </c>
      <c r="F320" s="9">
        <v>0.3777362435454743</v>
      </c>
      <c r="G320" s="9">
        <v>0.3777362435454743</v>
      </c>
      <c r="H320" s="35">
        <v>-3.5721612308755213E-4</v>
      </c>
    </row>
    <row r="321" spans="2:8" x14ac:dyDescent="0.35">
      <c r="B321" s="6">
        <v>45391</v>
      </c>
      <c r="C321" s="7" t="s">
        <v>9</v>
      </c>
      <c r="D321" s="9">
        <v>1.5891882140070799E-3</v>
      </c>
      <c r="E321" s="9">
        <v>1.5891882140070799E-3</v>
      </c>
      <c r="F321" s="9">
        <v>0.37992572574572714</v>
      </c>
      <c r="G321" s="9">
        <v>0.37992572574572714</v>
      </c>
      <c r="H321" s="35">
        <v>1.5879267906665736E-3</v>
      </c>
    </row>
    <row r="322" spans="2:8" x14ac:dyDescent="0.35">
      <c r="B322" s="6">
        <v>45392</v>
      </c>
      <c r="C322" s="7" t="s">
        <v>9</v>
      </c>
      <c r="D322" s="9">
        <v>-9.43876852766686E-3</v>
      </c>
      <c r="E322" s="9">
        <v>-9.43876852766686E-3</v>
      </c>
      <c r="F322" s="9">
        <v>0.36690092623504045</v>
      </c>
      <c r="G322" s="9">
        <v>0.36690092623504045</v>
      </c>
      <c r="H322" s="35">
        <v>-9.4835960037691451E-3</v>
      </c>
    </row>
    <row r="323" spans="2:8" x14ac:dyDescent="0.35">
      <c r="B323" s="6">
        <v>45393</v>
      </c>
      <c r="C323" s="7" t="s">
        <v>9</v>
      </c>
      <c r="D323" s="9">
        <v>7.4696511993782803E-3</v>
      </c>
      <c r="E323" s="9">
        <v>7.4696511993782803E-3</v>
      </c>
      <c r="F323" s="9">
        <v>0.37711119937812332</v>
      </c>
      <c r="G323" s="9">
        <v>0.37711119937812332</v>
      </c>
      <c r="H323" s="35">
        <v>7.4418915059690487E-3</v>
      </c>
    </row>
    <row r="324" spans="2:8" x14ac:dyDescent="0.35">
      <c r="B324" s="6">
        <v>45394</v>
      </c>
      <c r="C324" s="7" t="s">
        <v>9</v>
      </c>
      <c r="D324" s="9">
        <v>-1.4434821230291E-2</v>
      </c>
      <c r="E324" s="9">
        <v>-1.4434821230291E-2</v>
      </c>
      <c r="F324" s="9">
        <v>0.35723284540086842</v>
      </c>
      <c r="G324" s="9">
        <v>0.35723284540086842</v>
      </c>
      <c r="H324" s="35">
        <v>-1.4540016809032552E-2</v>
      </c>
    </row>
    <row r="325" spans="2:8" x14ac:dyDescent="0.35">
      <c r="B325" s="6">
        <v>45397</v>
      </c>
      <c r="C325" s="7" t="s">
        <v>9</v>
      </c>
      <c r="D325" s="9">
        <v>-1.20087473450047E-2</v>
      </c>
      <c r="E325" s="9">
        <v>-1.20087473450047E-2</v>
      </c>
      <c r="F325" s="9">
        <v>0.34093417907210766</v>
      </c>
      <c r="G325" s="9">
        <v>0.34093417907210766</v>
      </c>
      <c r="H325" s="35">
        <v>-1.2081434861523894E-2</v>
      </c>
    </row>
    <row r="326" spans="2:8" x14ac:dyDescent="0.35">
      <c r="B326" s="6">
        <v>45398</v>
      </c>
      <c r="C326" s="7" t="s">
        <v>9</v>
      </c>
      <c r="D326" s="9">
        <v>-2.0553154254967102E-3</v>
      </c>
      <c r="E326" s="9">
        <v>-2.0553154254967102E-3</v>
      </c>
      <c r="F326" s="9">
        <v>0.33817813636928484</v>
      </c>
      <c r="G326" s="9">
        <v>0.33817813636928484</v>
      </c>
      <c r="H326" s="35">
        <v>-2.0574304848188438E-3</v>
      </c>
    </row>
    <row r="327" spans="2:8" x14ac:dyDescent="0.35">
      <c r="B327" s="6">
        <v>45399</v>
      </c>
      <c r="C327" s="7" t="s">
        <v>9</v>
      </c>
      <c r="D327" s="9">
        <v>-5.7816678336227202E-3</v>
      </c>
      <c r="E327" s="9">
        <v>-5.7816678336227202E-3</v>
      </c>
      <c r="F327" s="9">
        <v>0.33044123488258137</v>
      </c>
      <c r="G327" s="9">
        <v>0.33044123488258137</v>
      </c>
      <c r="H327" s="35">
        <v>-5.7984463783291975E-3</v>
      </c>
    </row>
    <row r="328" spans="2:8" x14ac:dyDescent="0.35">
      <c r="B328" s="6">
        <v>45400</v>
      </c>
      <c r="C328" s="7" t="s">
        <v>9</v>
      </c>
      <c r="D328" s="9">
        <v>-2.1447888133969699E-3</v>
      </c>
      <c r="E328" s="9">
        <v>-2.1447888133969699E-3</v>
      </c>
      <c r="F328" s="9">
        <v>0.3275877194051231</v>
      </c>
      <c r="G328" s="9">
        <v>0.3275877194051231</v>
      </c>
      <c r="H328" s="35">
        <v>-2.1470921669846689E-3</v>
      </c>
    </row>
    <row r="329" spans="2:8" x14ac:dyDescent="0.35">
      <c r="B329" s="6">
        <v>45401</v>
      </c>
      <c r="C329" s="7" t="s">
        <v>9</v>
      </c>
      <c r="D329" s="9">
        <v>-8.7104800171070706E-3</v>
      </c>
      <c r="E329" s="9">
        <v>-8.7104800171070706E-3</v>
      </c>
      <c r="F329" s="9">
        <v>0.31602379310428796</v>
      </c>
      <c r="G329" s="9">
        <v>0.31602379310428796</v>
      </c>
      <c r="H329" s="35">
        <v>-8.748637992619249E-3</v>
      </c>
    </row>
    <row r="330" spans="2:8" x14ac:dyDescent="0.35">
      <c r="B330" s="6">
        <v>45404</v>
      </c>
      <c r="C330" s="7" t="s">
        <v>9</v>
      </c>
      <c r="D330" s="9">
        <v>8.7314695828965994E-3</v>
      </c>
      <c r="E330" s="9">
        <v>8.7314695828965994E-3</v>
      </c>
      <c r="F330" s="9">
        <v>0.32751461482414634</v>
      </c>
      <c r="G330" s="9">
        <v>0.32751461482414634</v>
      </c>
      <c r="H330" s="35">
        <v>8.6935707509142781E-3</v>
      </c>
    </row>
    <row r="331" spans="2:8" x14ac:dyDescent="0.35">
      <c r="B331" s="6">
        <v>45405</v>
      </c>
      <c r="C331" s="7" t="s">
        <v>9</v>
      </c>
      <c r="D331" s="9">
        <v>1.19857151641921E-2</v>
      </c>
      <c r="E331" s="9">
        <v>1.19857151641921E-2</v>
      </c>
      <c r="F331" s="9">
        <v>0.34342582687373069</v>
      </c>
      <c r="G331" s="9">
        <v>0.34342582687373069</v>
      </c>
      <c r="H331" s="35">
        <v>1.1914455315246734E-2</v>
      </c>
    </row>
    <row r="332" spans="2:8" x14ac:dyDescent="0.35">
      <c r="B332" s="6">
        <v>45406</v>
      </c>
      <c r="C332" s="7" t="s">
        <v>9</v>
      </c>
      <c r="D332" s="9">
        <v>2.17666147291021E-4</v>
      </c>
      <c r="E332" s="9">
        <v>2.17666147291021E-4</v>
      </c>
      <c r="F332" s="9">
        <v>0.3437182451976375</v>
      </c>
      <c r="G332" s="9">
        <v>0.3437182451976375</v>
      </c>
      <c r="H332" s="35">
        <v>2.1764246145218757E-4</v>
      </c>
    </row>
    <row r="333" spans="2:8" x14ac:dyDescent="0.35">
      <c r="B333" s="6">
        <v>45407</v>
      </c>
      <c r="C333" s="7" t="s">
        <v>9</v>
      </c>
      <c r="D333" s="9">
        <v>-4.5572999312685899E-3</v>
      </c>
      <c r="E333" s="9">
        <v>-4.5572999312685899E-3</v>
      </c>
      <c r="F333" s="9">
        <v>0.33759451813115393</v>
      </c>
      <c r="G333" s="9">
        <v>0.33759451813115393</v>
      </c>
      <c r="H333" s="35">
        <v>-4.5677160809938092E-3</v>
      </c>
    </row>
    <row r="334" spans="2:8" x14ac:dyDescent="0.35">
      <c r="B334" s="6">
        <v>45408</v>
      </c>
      <c r="C334" s="7" t="s">
        <v>9</v>
      </c>
      <c r="D334" s="9">
        <v>1.0225720063398201E-2</v>
      </c>
      <c r="E334" s="9">
        <v>1.0225720063398201E-2</v>
      </c>
      <c r="F334" s="9">
        <v>0.35127238523189908</v>
      </c>
      <c r="G334" s="9">
        <v>0.35127238523189908</v>
      </c>
      <c r="H334" s="35">
        <v>1.0173791095353648E-2</v>
      </c>
    </row>
    <row r="335" spans="2:8" x14ac:dyDescent="0.35">
      <c r="B335" s="6">
        <v>45411</v>
      </c>
      <c r="C335" s="7" t="s">
        <v>9</v>
      </c>
      <c r="D335" s="9">
        <v>3.2298029116918101E-3</v>
      </c>
      <c r="E335" s="9">
        <v>3.2298029116918101E-3</v>
      </c>
      <c r="F335" s="9">
        <v>0.35563672871620966</v>
      </c>
      <c r="G335" s="9">
        <v>0.35563672871620966</v>
      </c>
      <c r="H335" s="35">
        <v>3.2245983018325238E-3</v>
      </c>
    </row>
    <row r="336" spans="2:8" x14ac:dyDescent="0.35">
      <c r="B336" s="6">
        <v>45412</v>
      </c>
      <c r="C336" s="7" t="s">
        <v>9</v>
      </c>
      <c r="D336" s="9">
        <v>-1.56943740405599E-2</v>
      </c>
      <c r="E336" s="9">
        <v>-1.56943740405599E-2</v>
      </c>
      <c r="F336" s="9">
        <v>0.33436085883261635</v>
      </c>
      <c r="G336" s="9">
        <v>0.33436085883261635</v>
      </c>
      <c r="H336" s="35">
        <v>-1.5818834667440811E-2</v>
      </c>
    </row>
    <row r="337" spans="2:8" x14ac:dyDescent="0.35">
      <c r="B337" s="6">
        <v>45413</v>
      </c>
      <c r="C337" s="7" t="s">
        <v>9</v>
      </c>
      <c r="D337" s="9">
        <v>-3.4287039590344499E-3</v>
      </c>
      <c r="E337" s="9">
        <v>-3.4287039590344499E-3</v>
      </c>
      <c r="F337" s="9">
        <v>0.32978573047315618</v>
      </c>
      <c r="G337" s="9">
        <v>0.32978573047315618</v>
      </c>
      <c r="H337" s="35">
        <v>-3.4345954350601384E-3</v>
      </c>
    </row>
    <row r="338" spans="2:8" x14ac:dyDescent="0.35">
      <c r="B338" s="6">
        <v>45414</v>
      </c>
      <c r="C338" s="7" t="s">
        <v>9</v>
      </c>
      <c r="D338" s="9">
        <v>9.1441262732370604E-3</v>
      </c>
      <c r="E338" s="9">
        <v>9.1441262732370604E-3</v>
      </c>
      <c r="F338" s="9">
        <v>0.34194545910895147</v>
      </c>
      <c r="G338" s="9">
        <v>0.34194545910895147</v>
      </c>
      <c r="H338" s="35">
        <v>9.1025718775846545E-3</v>
      </c>
    </row>
    <row r="339" spans="2:8" x14ac:dyDescent="0.35">
      <c r="B339" s="6">
        <v>45415</v>
      </c>
      <c r="C339" s="7" t="s">
        <v>9</v>
      </c>
      <c r="D339" s="9">
        <v>1.26067854195286E-2</v>
      </c>
      <c r="E339" s="9">
        <v>1.26067854195286E-2</v>
      </c>
      <c r="F339" s="9">
        <v>0.35886307755664881</v>
      </c>
      <c r="G339" s="9">
        <v>0.35886307755664881</v>
      </c>
      <c r="H339" s="35">
        <v>1.2527981518311524E-2</v>
      </c>
    </row>
    <row r="340" spans="2:8" x14ac:dyDescent="0.35">
      <c r="B340" s="6">
        <v>45418</v>
      </c>
      <c r="C340" s="7" t="s">
        <v>9</v>
      </c>
      <c r="D340" s="9">
        <v>1.03534909744314E-2</v>
      </c>
      <c r="E340" s="9">
        <v>1.03534909744314E-2</v>
      </c>
      <c r="F340" s="9">
        <v>0.37293205416561959</v>
      </c>
      <c r="G340" s="9">
        <v>0.37293205416561959</v>
      </c>
      <c r="H340" s="35">
        <v>1.0300260684375992E-2</v>
      </c>
    </row>
    <row r="341" spans="2:8" x14ac:dyDescent="0.35">
      <c r="B341" s="6">
        <v>45419</v>
      </c>
      <c r="C341" s="7" t="s">
        <v>9</v>
      </c>
      <c r="D341" s="9">
        <v>1.39596014635835E-3</v>
      </c>
      <c r="E341" s="9">
        <v>1.39596014635835E-3</v>
      </c>
      <c r="F341" s="9">
        <v>0.37484861259689284</v>
      </c>
      <c r="G341" s="9">
        <v>0.37484861259689284</v>
      </c>
      <c r="H341" s="35">
        <v>1.3949866998164207E-3</v>
      </c>
    </row>
    <row r="342" spans="2:8" x14ac:dyDescent="0.35">
      <c r="B342" s="6">
        <v>45420</v>
      </c>
      <c r="C342" s="7" t="s">
        <v>9</v>
      </c>
      <c r="D342" s="9">
        <v>-4.4310685255240498E-6</v>
      </c>
      <c r="E342" s="9">
        <v>-4.4310685255240498E-6</v>
      </c>
      <c r="F342" s="9">
        <v>0.37484252054847822</v>
      </c>
      <c r="G342" s="9">
        <v>0.37484252054847822</v>
      </c>
      <c r="H342" s="35">
        <v>-4.4310783427586732E-6</v>
      </c>
    </row>
    <row r="343" spans="2:8" x14ac:dyDescent="0.35">
      <c r="B343" s="6">
        <v>45421</v>
      </c>
      <c r="C343" s="7" t="s">
        <v>9</v>
      </c>
      <c r="D343" s="9">
        <v>5.2854019573002099E-3</v>
      </c>
      <c r="E343" s="9">
        <v>5.2854019573002099E-3</v>
      </c>
      <c r="F343" s="9">
        <v>0.38210911589756491</v>
      </c>
      <c r="G343" s="9">
        <v>0.38210911589756491</v>
      </c>
      <c r="H343" s="35">
        <v>5.2714832428348993E-3</v>
      </c>
    </row>
    <row r="344" spans="2:8" x14ac:dyDescent="0.35">
      <c r="B344" s="6">
        <v>45422</v>
      </c>
      <c r="C344" s="7" t="s">
        <v>9</v>
      </c>
      <c r="D344" s="9">
        <v>1.8063128385735999E-3</v>
      </c>
      <c r="E344" s="9">
        <v>1.8063128385735999E-3</v>
      </c>
      <c r="F344" s="9">
        <v>0.3846056373379203</v>
      </c>
      <c r="G344" s="9">
        <v>0.3846056373379203</v>
      </c>
      <c r="H344" s="35">
        <v>1.8046834174061327E-3</v>
      </c>
    </row>
    <row r="345" spans="2:8" x14ac:dyDescent="0.35">
      <c r="B345" s="6">
        <v>45425</v>
      </c>
      <c r="C345" s="7" t="s">
        <v>9</v>
      </c>
      <c r="D345" s="9">
        <v>-2.2703193582579301E-4</v>
      </c>
      <c r="E345" s="9">
        <v>-2.2703193582579301E-4</v>
      </c>
      <c r="F345" s="9">
        <v>0.3842912876397202</v>
      </c>
      <c r="G345" s="9">
        <v>0.3842912876397202</v>
      </c>
      <c r="H345" s="35">
        <v>-2.2705771147701911E-4</v>
      </c>
    </row>
    <row r="346" spans="2:8" x14ac:dyDescent="0.35">
      <c r="B346" s="6">
        <v>45426</v>
      </c>
      <c r="C346" s="7" t="s">
        <v>9</v>
      </c>
      <c r="D346" s="9">
        <v>4.9870351169657504E-3</v>
      </c>
      <c r="E346" s="9">
        <v>4.9870351169657504E-3</v>
      </c>
      <c r="F346" s="9">
        <v>0.3911947969032894</v>
      </c>
      <c r="G346" s="9">
        <v>0.3911947969032894</v>
      </c>
      <c r="H346" s="35">
        <v>4.9746410466999383E-3</v>
      </c>
    </row>
    <row r="347" spans="2:8" x14ac:dyDescent="0.35">
      <c r="B347" s="6">
        <v>45427</v>
      </c>
      <c r="C347" s="7" t="s">
        <v>9</v>
      </c>
      <c r="D347" s="9">
        <v>1.1903886103842E-2</v>
      </c>
      <c r="E347" s="9">
        <v>1.1903886103842E-2</v>
      </c>
      <c r="F347" s="9">
        <v>0.40775542131388387</v>
      </c>
      <c r="G347" s="9">
        <v>0.40775542131388387</v>
      </c>
      <c r="H347" s="35">
        <v>1.1833592149248701E-2</v>
      </c>
    </row>
    <row r="348" spans="2:8" x14ac:dyDescent="0.35">
      <c r="B348" s="6">
        <v>45428</v>
      </c>
      <c r="C348" s="7" t="s">
        <v>9</v>
      </c>
      <c r="D348" s="9">
        <v>-1.8763999432233501E-3</v>
      </c>
      <c r="E348" s="9">
        <v>-1.8763999432233501E-3</v>
      </c>
      <c r="F348" s="9">
        <v>0.40511390912125811</v>
      </c>
      <c r="G348" s="9">
        <v>0.40511390912125811</v>
      </c>
      <c r="H348" s="35">
        <v>-1.8781625868915489E-3</v>
      </c>
    </row>
    <row r="349" spans="2:8" x14ac:dyDescent="0.35">
      <c r="B349" s="6">
        <v>45429</v>
      </c>
      <c r="C349" s="7" t="s">
        <v>9</v>
      </c>
      <c r="D349" s="9">
        <v>1.20703828184344E-3</v>
      </c>
      <c r="E349" s="9">
        <v>1.20703828184344E-3</v>
      </c>
      <c r="F349" s="9">
        <v>0.40680993539991817</v>
      </c>
      <c r="G349" s="9">
        <v>0.40680993539991817</v>
      </c>
      <c r="H349" s="35">
        <v>1.2063103968010427E-3</v>
      </c>
    </row>
    <row r="350" spans="2:8" x14ac:dyDescent="0.35">
      <c r="B350" s="6">
        <v>45432</v>
      </c>
      <c r="C350" s="7" t="s">
        <v>9</v>
      </c>
      <c r="D350" s="9">
        <v>1.00118826150063E-3</v>
      </c>
      <c r="E350" s="9">
        <v>1.00118826150063E-3</v>
      </c>
      <c r="F350" s="9">
        <v>0.40821841699340311</v>
      </c>
      <c r="G350" s="9">
        <v>0.40821841699340311</v>
      </c>
      <c r="H350" s="35">
        <v>1.0006874068051754E-3</v>
      </c>
    </row>
    <row r="351" spans="2:8" x14ac:dyDescent="0.35">
      <c r="B351" s="6">
        <v>45433</v>
      </c>
      <c r="C351" s="7" t="s">
        <v>9</v>
      </c>
      <c r="D351" s="9">
        <v>2.5272888359762001E-3</v>
      </c>
      <c r="E351" s="9">
        <v>2.5272888359762001E-3</v>
      </c>
      <c r="F351" s="9">
        <v>0.41177739167728666</v>
      </c>
      <c r="G351" s="9">
        <v>0.41177739167728666</v>
      </c>
      <c r="H351" s="35">
        <v>2.5241006121245343E-3</v>
      </c>
    </row>
    <row r="352" spans="2:8" x14ac:dyDescent="0.35">
      <c r="B352" s="6">
        <v>45434</v>
      </c>
      <c r="C352" s="7" t="s">
        <v>9</v>
      </c>
      <c r="D352" s="9">
        <v>-2.69352423610834E-3</v>
      </c>
      <c r="E352" s="9">
        <v>-2.69352423610834E-3</v>
      </c>
      <c r="F352" s="9">
        <v>0.40797473505681414</v>
      </c>
      <c r="G352" s="9">
        <v>0.40797473505681414</v>
      </c>
      <c r="H352" s="35">
        <v>-2.6971582996058656E-3</v>
      </c>
    </row>
    <row r="353" spans="2:8" x14ac:dyDescent="0.35">
      <c r="B353" s="6">
        <v>45435</v>
      </c>
      <c r="C353" s="7" t="s">
        <v>9</v>
      </c>
      <c r="D353" s="9">
        <v>-7.3434730837395297E-3</v>
      </c>
      <c r="E353" s="9">
        <v>-7.3434730837395297E-3</v>
      </c>
      <c r="F353" s="9">
        <v>0.39763531048733913</v>
      </c>
      <c r="G353" s="9">
        <v>0.39763531048733913</v>
      </c>
      <c r="H353" s="35">
        <v>-7.3705691163598415E-3</v>
      </c>
    </row>
    <row r="354" spans="2:8" x14ac:dyDescent="0.35">
      <c r="B354" s="6">
        <v>45436</v>
      </c>
      <c r="C354" s="7" t="s">
        <v>9</v>
      </c>
      <c r="D354" s="9">
        <v>7.02468315697525E-3</v>
      </c>
      <c r="E354" s="9">
        <v>7.02468315697525E-3</v>
      </c>
      <c r="F354" s="9">
        <v>0.40745325571251367</v>
      </c>
      <c r="G354" s="9">
        <v>0.40745325571251367</v>
      </c>
      <c r="H354" s="35">
        <v>7.0001250119652208E-3</v>
      </c>
    </row>
    <row r="355" spans="2:8" x14ac:dyDescent="0.35">
      <c r="B355" s="6">
        <v>45440</v>
      </c>
      <c r="C355" s="7" t="s">
        <v>9</v>
      </c>
      <c r="D355" s="9">
        <v>2.5018265931192298E-4</v>
      </c>
      <c r="E355" s="9">
        <v>2.5018265931192298E-4</v>
      </c>
      <c r="F355" s="9">
        <v>0.40780537611088508</v>
      </c>
      <c r="G355" s="9">
        <v>0.40780537611088508</v>
      </c>
      <c r="H355" s="35">
        <v>2.5015136884925002E-4</v>
      </c>
    </row>
    <row r="356" spans="2:8" x14ac:dyDescent="0.35">
      <c r="B356" s="6">
        <v>45441</v>
      </c>
      <c r="C356" s="7" t="s">
        <v>9</v>
      </c>
      <c r="D356" s="9">
        <v>-7.3556075797637796E-3</v>
      </c>
      <c r="E356" s="9">
        <v>-7.3556075797637796E-3</v>
      </c>
      <c r="F356" s="9">
        <v>0.39745011221553161</v>
      </c>
      <c r="G356" s="9">
        <v>0.39745011221553161</v>
      </c>
      <c r="H356" s="35">
        <v>-7.3827934556590308E-3</v>
      </c>
    </row>
    <row r="357" spans="2:8" x14ac:dyDescent="0.35">
      <c r="B357" s="6">
        <v>45442</v>
      </c>
      <c r="C357" s="7" t="s">
        <v>9</v>
      </c>
      <c r="D357" s="9">
        <v>-5.87298791747814E-3</v>
      </c>
      <c r="E357" s="9">
        <v>-5.87298791747814E-3</v>
      </c>
      <c r="F357" s="9">
        <v>0.38924290459121136</v>
      </c>
      <c r="G357" s="9">
        <v>0.38924290459121136</v>
      </c>
      <c r="H357" s="35">
        <v>-5.8903017335206042E-3</v>
      </c>
    </row>
    <row r="358" spans="2:8" x14ac:dyDescent="0.35">
      <c r="B358" s="6">
        <v>45443</v>
      </c>
      <c r="C358" s="7" t="s">
        <v>9</v>
      </c>
      <c r="D358" s="9">
        <v>8.1213109865726808E-3</v>
      </c>
      <c r="E358" s="9">
        <v>8.1213109865726808E-3</v>
      </c>
      <c r="F358" s="9">
        <v>0.40052537825528622</v>
      </c>
      <c r="G358" s="9">
        <v>0.40052537825528622</v>
      </c>
      <c r="H358" s="35">
        <v>8.0885106088781529E-3</v>
      </c>
    </row>
    <row r="359" spans="2:8" x14ac:dyDescent="0.35">
      <c r="B359" s="6">
        <v>45446</v>
      </c>
      <c r="C359" s="7" t="s">
        <v>9</v>
      </c>
      <c r="D359" s="9">
        <v>1.23448197865092E-3</v>
      </c>
      <c r="E359" s="9">
        <v>1.23448197865092E-3</v>
      </c>
      <c r="F359" s="9">
        <v>0.40225430159538567</v>
      </c>
      <c r="G359" s="9">
        <v>0.40225430159538567</v>
      </c>
      <c r="H359" s="35">
        <v>1.2337206322876346E-3</v>
      </c>
    </row>
    <row r="360" spans="2:8" x14ac:dyDescent="0.35">
      <c r="B360" s="6">
        <v>45447</v>
      </c>
      <c r="C360" s="7" t="s">
        <v>9</v>
      </c>
      <c r="D360" s="9">
        <v>1.5570571966540699E-3</v>
      </c>
      <c r="E360" s="9">
        <v>1.5570571966540699E-3</v>
      </c>
      <c r="F360" s="9">
        <v>0.40443769174722388</v>
      </c>
      <c r="G360" s="9">
        <v>0.40443769174722388</v>
      </c>
      <c r="H360" s="35">
        <v>1.5558462399535454E-3</v>
      </c>
    </row>
    <row r="361" spans="2:8" x14ac:dyDescent="0.35">
      <c r="B361" s="6">
        <v>45448</v>
      </c>
      <c r="C361" s="7" t="s">
        <v>9</v>
      </c>
      <c r="D361" s="9">
        <v>1.18627790342688E-2</v>
      </c>
      <c r="E361" s="9">
        <v>1.18627790342688E-2</v>
      </c>
      <c r="F361" s="9">
        <v>0.42109822575181988</v>
      </c>
      <c r="G361" s="9">
        <v>0.42109822575181988</v>
      </c>
      <c r="H361" s="35">
        <v>1.179296783194282E-2</v>
      </c>
    </row>
    <row r="362" spans="2:8" x14ac:dyDescent="0.35">
      <c r="B362" s="6">
        <v>45449</v>
      </c>
      <c r="C362" s="7" t="s">
        <v>9</v>
      </c>
      <c r="D362" s="9">
        <v>-1.8690707374671299E-4</v>
      </c>
      <c r="E362" s="9">
        <v>-1.8690707374671299E-4</v>
      </c>
      <c r="F362" s="9">
        <v>0.42083261244093806</v>
      </c>
      <c r="G362" s="9">
        <v>0.42083261244093806</v>
      </c>
      <c r="H362" s="35">
        <v>-1.8692454305058919E-4</v>
      </c>
    </row>
    <row r="363" spans="2:8" x14ac:dyDescent="0.35">
      <c r="B363" s="6">
        <v>45450</v>
      </c>
      <c r="C363" s="7" t="s">
        <v>9</v>
      </c>
      <c r="D363" s="9">
        <v>-9.3299500830528598E-4</v>
      </c>
      <c r="E363" s="9">
        <v>-9.3299500830528598E-4</v>
      </c>
      <c r="F363" s="9">
        <v>0.41950698270589348</v>
      </c>
      <c r="G363" s="9">
        <v>0.41950698270589348</v>
      </c>
      <c r="H363" s="35">
        <v>-9.334305190553077E-4</v>
      </c>
    </row>
    <row r="364" spans="2:8" x14ac:dyDescent="0.35">
      <c r="B364" s="6">
        <v>45453</v>
      </c>
      <c r="C364" s="7" t="s">
        <v>9</v>
      </c>
      <c r="D364" s="9">
        <v>2.6651239561598801E-3</v>
      </c>
      <c r="E364" s="9">
        <v>2.6651239561598801E-3</v>
      </c>
      <c r="F364" s="9">
        <v>0.42329014477143923</v>
      </c>
      <c r="G364" s="9">
        <v>0.42329014477143923</v>
      </c>
      <c r="H364" s="35">
        <v>2.6615788107467713E-3</v>
      </c>
    </row>
    <row r="365" spans="2:8" x14ac:dyDescent="0.35">
      <c r="B365" s="6">
        <v>45454</v>
      </c>
      <c r="C365" s="7" t="s">
        <v>9</v>
      </c>
      <c r="D365" s="9">
        <v>2.7188196076885799E-3</v>
      </c>
      <c r="E365" s="9">
        <v>2.7188196076885799E-3</v>
      </c>
      <c r="F365" s="9">
        <v>0.42715981392447366</v>
      </c>
      <c r="G365" s="9">
        <v>0.42715981392447366</v>
      </c>
      <c r="H365" s="35">
        <v>2.7151303031817732E-3</v>
      </c>
    </row>
    <row r="366" spans="2:8" x14ac:dyDescent="0.35">
      <c r="B366" s="6">
        <v>45455</v>
      </c>
      <c r="C366" s="7" t="s">
        <v>9</v>
      </c>
      <c r="D366" s="9">
        <v>8.5262052538568004E-3</v>
      </c>
      <c r="E366" s="9">
        <v>8.5262052538568004E-3</v>
      </c>
      <c r="F366" s="9">
        <v>0.43932807142804986</v>
      </c>
      <c r="G366" s="9">
        <v>0.43932807142804986</v>
      </c>
      <c r="H366" s="35">
        <v>8.4900624611120665E-3</v>
      </c>
    </row>
    <row r="367" spans="2:8" x14ac:dyDescent="0.35">
      <c r="B367" s="6">
        <v>45456</v>
      </c>
      <c r="C367" s="7" t="s">
        <v>9</v>
      </c>
      <c r="D367" s="9">
        <v>2.3575382391009701E-3</v>
      </c>
      <c r="E367" s="9">
        <v>2.3575382391009701E-3</v>
      </c>
      <c r="F367" s="9">
        <v>0.4427213423950529</v>
      </c>
      <c r="G367" s="9">
        <v>0.4427213423950529</v>
      </c>
      <c r="H367" s="35">
        <v>2.3547636058402709E-3</v>
      </c>
    </row>
    <row r="368" spans="2:8" x14ac:dyDescent="0.35">
      <c r="B368" s="6">
        <v>45457</v>
      </c>
      <c r="C368" s="7" t="s">
        <v>9</v>
      </c>
      <c r="D368" s="9">
        <v>-1.47791322031379E-4</v>
      </c>
      <c r="E368" s="9">
        <v>-1.47791322031379E-4</v>
      </c>
      <c r="F368" s="9">
        <v>0.44250812070053747</v>
      </c>
      <c r="G368" s="9">
        <v>0.44250812070053747</v>
      </c>
      <c r="H368" s="35">
        <v>-1.4780224424494032E-4</v>
      </c>
    </row>
    <row r="369" spans="2:8" x14ac:dyDescent="0.35">
      <c r="B369" s="6">
        <v>45460</v>
      </c>
      <c r="C369" s="7" t="s">
        <v>9</v>
      </c>
      <c r="D369" s="9">
        <v>7.7884869590776401E-3</v>
      </c>
      <c r="E369" s="9">
        <v>7.7884869590776401E-3</v>
      </c>
      <c r="F369" s="9">
        <v>0.4537430763869772</v>
      </c>
      <c r="G369" s="9">
        <v>0.4537430763869772</v>
      </c>
      <c r="H369" s="35">
        <v>7.7583132648717003E-3</v>
      </c>
    </row>
    <row r="370" spans="2:8" x14ac:dyDescent="0.35">
      <c r="B370" s="6">
        <v>45461</v>
      </c>
      <c r="C370" s="7" t="s">
        <v>9</v>
      </c>
      <c r="D370" s="9">
        <v>2.5520723330216101E-3</v>
      </c>
      <c r="E370" s="9">
        <v>2.5520723330216101E-3</v>
      </c>
      <c r="F370" s="9">
        <v>0.45745313387154618</v>
      </c>
      <c r="G370" s="9">
        <v>0.45745313387154618</v>
      </c>
      <c r="H370" s="35">
        <v>2.5488213264530696E-3</v>
      </c>
    </row>
    <row r="371" spans="2:8" x14ac:dyDescent="0.35">
      <c r="B371" s="6">
        <v>45463</v>
      </c>
      <c r="C371" s="7" t="s">
        <v>9</v>
      </c>
      <c r="D371" s="9">
        <v>-2.5188243034360699E-3</v>
      </c>
      <c r="E371" s="9">
        <v>-2.5188243034360699E-3</v>
      </c>
      <c r="F371" s="9">
        <v>0.45378206549683142</v>
      </c>
      <c r="G371" s="9">
        <v>0.45378206549683142</v>
      </c>
      <c r="H371" s="35">
        <v>-2.522001878328628E-3</v>
      </c>
    </row>
    <row r="372" spans="2:8" x14ac:dyDescent="0.35">
      <c r="B372" s="6">
        <v>45464</v>
      </c>
      <c r="C372" s="7" t="s">
        <v>9</v>
      </c>
      <c r="D372" s="9">
        <v>-1.51024992038072E-3</v>
      </c>
      <c r="E372" s="9">
        <v>-1.51024992038072E-3</v>
      </c>
      <c r="F372" s="9">
        <v>0.45158649124816397</v>
      </c>
      <c r="G372" s="9">
        <v>0.45158649124816397</v>
      </c>
      <c r="H372" s="35">
        <v>-1.5113914973141592E-3</v>
      </c>
    </row>
    <row r="373" spans="2:8" x14ac:dyDescent="0.35">
      <c r="B373" s="6">
        <v>45467</v>
      </c>
      <c r="C373" s="7" t="s">
        <v>9</v>
      </c>
      <c r="D373" s="9">
        <v>-2.9998875252018899E-3</v>
      </c>
      <c r="E373" s="9">
        <v>-2.9998875252018899E-3</v>
      </c>
      <c r="F373" s="9">
        <v>0.447231895041317</v>
      </c>
      <c r="G373" s="9">
        <v>0.447231895041317</v>
      </c>
      <c r="H373" s="35">
        <v>-3.0043962070672326E-3</v>
      </c>
    </row>
    <row r="374" spans="2:8" x14ac:dyDescent="0.35">
      <c r="B374" s="6">
        <v>45468</v>
      </c>
      <c r="C374" s="7" t="s">
        <v>9</v>
      </c>
      <c r="D374" s="9">
        <v>3.9324669726654498E-3</v>
      </c>
      <c r="E374" s="9">
        <v>3.9324669726654498E-3</v>
      </c>
      <c r="F374" s="9">
        <v>0.45292308667035508</v>
      </c>
      <c r="G374" s="9">
        <v>0.45292308667035508</v>
      </c>
      <c r="H374" s="35">
        <v>3.9247550357663424E-3</v>
      </c>
    </row>
    <row r="375" spans="2:8" x14ac:dyDescent="0.35">
      <c r="B375" s="6">
        <v>45469</v>
      </c>
      <c r="C375" s="7" t="s">
        <v>9</v>
      </c>
      <c r="D375" s="9">
        <v>1.57487578355946E-3</v>
      </c>
      <c r="E375" s="9">
        <v>1.57487578355946E-3</v>
      </c>
      <c r="F375" s="9">
        <v>0.45521126005492651</v>
      </c>
      <c r="G375" s="9">
        <v>0.45521126005492651</v>
      </c>
      <c r="H375" s="35">
        <v>1.5736369671766543E-3</v>
      </c>
    </row>
    <row r="376" spans="2:8" x14ac:dyDescent="0.35">
      <c r="B376" s="6">
        <v>45470</v>
      </c>
      <c r="C376" s="7" t="s">
        <v>9</v>
      </c>
      <c r="D376" s="9">
        <v>9.1848892245419405E-4</v>
      </c>
      <c r="E376" s="9">
        <v>9.1848892245419405E-4</v>
      </c>
      <c r="F376" s="9">
        <v>0.45654785547711763</v>
      </c>
      <c r="G376" s="9">
        <v>0.45654785547711763</v>
      </c>
      <c r="H376" s="35">
        <v>9.1806736961193541E-4</v>
      </c>
    </row>
    <row r="377" spans="2:8" x14ac:dyDescent="0.35">
      <c r="B377" s="6">
        <v>45471</v>
      </c>
      <c r="C377" s="7" t="s">
        <v>9</v>
      </c>
      <c r="D377" s="9">
        <v>-3.9608515621732702E-3</v>
      </c>
      <c r="E377" s="9">
        <v>-3.9608515621732702E-3</v>
      </c>
      <c r="F377" s="9">
        <v>0.45077868562837087</v>
      </c>
      <c r="G377" s="9">
        <v>0.45077868562837087</v>
      </c>
      <c r="H377" s="35">
        <v>-3.9687165095174705E-3</v>
      </c>
    </row>
    <row r="378" spans="2:8" x14ac:dyDescent="0.35">
      <c r="B378" s="6">
        <v>45474</v>
      </c>
      <c r="C378" s="7" t="s">
        <v>9</v>
      </c>
      <c r="D378" s="9">
        <v>2.7067770205296501E-3</v>
      </c>
      <c r="E378" s="9">
        <v>2.7067770205296501E-3</v>
      </c>
      <c r="F378" s="9">
        <v>0.45470562003650383</v>
      </c>
      <c r="G378" s="9">
        <v>0.45470562003650383</v>
      </c>
      <c r="H378" s="35">
        <v>2.7031202967478015E-3</v>
      </c>
    </row>
    <row r="379" spans="2:8" x14ac:dyDescent="0.35">
      <c r="B379" s="6">
        <v>45475</v>
      </c>
      <c r="C379" s="7" t="s">
        <v>9</v>
      </c>
      <c r="D379" s="9">
        <v>6.1996519082230797E-3</v>
      </c>
      <c r="E379" s="9">
        <v>6.1996519082230797E-3</v>
      </c>
      <c r="F379" s="9">
        <v>0.46372428850966596</v>
      </c>
      <c r="G379" s="9">
        <v>0.46372428850966596</v>
      </c>
      <c r="H379" s="35">
        <v>6.1805131281151195E-3</v>
      </c>
    </row>
    <row r="380" spans="2:8" x14ac:dyDescent="0.35">
      <c r="B380" s="6">
        <v>45476</v>
      </c>
      <c r="C380" s="7" t="s">
        <v>9</v>
      </c>
      <c r="D380" s="9">
        <v>5.1134566400852597E-3</v>
      </c>
      <c r="E380" s="9">
        <v>5.1134566400852597E-3</v>
      </c>
      <c r="F380" s="9">
        <v>0.47120897919199978</v>
      </c>
      <c r="G380" s="9">
        <v>0.47120897919199978</v>
      </c>
      <c r="H380" s="35">
        <v>5.1004273183858388E-3</v>
      </c>
    </row>
    <row r="381" spans="2:8" x14ac:dyDescent="0.35">
      <c r="B381" s="6">
        <v>45478</v>
      </c>
      <c r="C381" s="7" t="s">
        <v>9</v>
      </c>
      <c r="D381" s="9">
        <v>5.6075323627745397E-3</v>
      </c>
      <c r="E381" s="9">
        <v>5.6075323627745397E-3</v>
      </c>
      <c r="F381" s="9">
        <v>0.47945883115522325</v>
      </c>
      <c r="G381" s="9">
        <v>0.47945883115522325</v>
      </c>
      <c r="H381" s="35">
        <v>5.5918686822899561E-3</v>
      </c>
    </row>
    <row r="382" spans="2:8" x14ac:dyDescent="0.35">
      <c r="B382" s="6">
        <v>45481</v>
      </c>
      <c r="C382" s="7" t="s">
        <v>9</v>
      </c>
      <c r="D382" s="9">
        <v>1.0483803224036799E-3</v>
      </c>
      <c r="E382" s="9">
        <v>1.0483803224036799E-3</v>
      </c>
      <c r="F382" s="9">
        <v>0.48100986668161272</v>
      </c>
      <c r="G382" s="9">
        <v>0.48100986668161272</v>
      </c>
      <c r="H382" s="35">
        <v>1.0478311555438343E-3</v>
      </c>
    </row>
    <row r="383" spans="2:8" x14ac:dyDescent="0.35">
      <c r="B383" s="6">
        <v>45482</v>
      </c>
      <c r="C383" s="7" t="s">
        <v>9</v>
      </c>
      <c r="D383" s="9">
        <v>7.6510024047176804E-4</v>
      </c>
      <c r="E383" s="9">
        <v>7.6510024047176804E-4</v>
      </c>
      <c r="F383" s="9">
        <v>0.48214298768675201</v>
      </c>
      <c r="G383" s="9">
        <v>0.48214298768675201</v>
      </c>
      <c r="H383" s="35">
        <v>7.6480770048827399E-4</v>
      </c>
    </row>
    <row r="384" spans="2:8" x14ac:dyDescent="0.35">
      <c r="B384" s="6">
        <v>45483</v>
      </c>
      <c r="C384" s="7" t="s">
        <v>9</v>
      </c>
      <c r="D384" s="9">
        <v>1.0328355215186401E-2</v>
      </c>
      <c r="E384" s="9">
        <v>1.0328355215186401E-2</v>
      </c>
      <c r="F384" s="9">
        <v>0.49745108694327866</v>
      </c>
      <c r="G384" s="9">
        <v>0.49745108694327866</v>
      </c>
      <c r="H384" s="35">
        <v>1.0275382191709179E-2</v>
      </c>
    </row>
    <row r="385" spans="2:8" x14ac:dyDescent="0.35">
      <c r="B385" s="6">
        <v>45484</v>
      </c>
      <c r="C385" s="7" t="s">
        <v>9</v>
      </c>
      <c r="D385" s="9">
        <v>-8.7256442322791693E-3</v>
      </c>
      <c r="E385" s="9">
        <v>-8.7256442322791693E-3</v>
      </c>
      <c r="F385" s="9">
        <v>0.4843848615033719</v>
      </c>
      <c r="G385" s="9">
        <v>0.4843848615033719</v>
      </c>
      <c r="H385" s="35">
        <v>-8.7639355730481944E-3</v>
      </c>
    </row>
    <row r="386" spans="2:8" x14ac:dyDescent="0.35">
      <c r="B386" s="6">
        <v>45485</v>
      </c>
      <c r="C386" s="7" t="s">
        <v>9</v>
      </c>
      <c r="D386" s="9">
        <v>5.5175380059214801E-3</v>
      </c>
      <c r="E386" s="9">
        <v>5.5175380059214801E-3</v>
      </c>
      <c r="F386" s="9">
        <v>0.49257501139213145</v>
      </c>
      <c r="G386" s="9">
        <v>0.49257501139213145</v>
      </c>
      <c r="H386" s="35">
        <v>5.5023721529702425E-3</v>
      </c>
    </row>
    <row r="387" spans="2:8" x14ac:dyDescent="0.35">
      <c r="B387" s="6">
        <v>45488</v>
      </c>
      <c r="C387" s="7" t="s">
        <v>9</v>
      </c>
      <c r="D387" s="9">
        <v>2.9273015357311801E-3</v>
      </c>
      <c r="E387" s="9">
        <v>2.9273015357311801E-3</v>
      </c>
      <c r="F387" s="9">
        <v>0.4969442285151735</v>
      </c>
      <c r="G387" s="9">
        <v>0.4969442285151735</v>
      </c>
      <c r="H387" s="35">
        <v>2.9230253317171187E-3</v>
      </c>
    </row>
    <row r="388" spans="2:8" x14ac:dyDescent="0.35">
      <c r="B388" s="6">
        <v>45489</v>
      </c>
      <c r="C388" s="7" t="s">
        <v>9</v>
      </c>
      <c r="D388" s="9">
        <v>6.39017422198349E-3</v>
      </c>
      <c r="E388" s="9">
        <v>6.39017422198349E-3</v>
      </c>
      <c r="F388" s="9">
        <v>0.50650996293597794</v>
      </c>
      <c r="G388" s="9">
        <v>0.50650996293597794</v>
      </c>
      <c r="H388" s="35">
        <v>6.3698436234360008E-3</v>
      </c>
    </row>
    <row r="389" spans="2:8" x14ac:dyDescent="0.35">
      <c r="B389" s="6">
        <v>45490</v>
      </c>
      <c r="C389" s="7" t="s">
        <v>9</v>
      </c>
      <c r="D389" s="9">
        <v>-1.39163868346306E-2</v>
      </c>
      <c r="E389" s="9">
        <v>-1.39163868346306E-2</v>
      </c>
      <c r="F389" s="9">
        <v>0.48554478752153596</v>
      </c>
      <c r="G389" s="9">
        <v>0.48554478752153596</v>
      </c>
      <c r="H389" s="35">
        <v>-1.4014127604292591E-2</v>
      </c>
    </row>
    <row r="390" spans="2:8" x14ac:dyDescent="0.35">
      <c r="B390" s="6">
        <v>45491</v>
      </c>
      <c r="C390" s="7" t="s">
        <v>9</v>
      </c>
      <c r="D390" s="9">
        <v>-7.8113658489775096E-3</v>
      </c>
      <c r="E390" s="9">
        <v>-7.8113658489775096E-3</v>
      </c>
      <c r="F390" s="9">
        <v>0.47394065370116367</v>
      </c>
      <c r="G390" s="9">
        <v>0.47394065370116367</v>
      </c>
      <c r="H390" s="35">
        <v>-7.8420343803336564E-3</v>
      </c>
    </row>
    <row r="391" spans="2:8" x14ac:dyDescent="0.35">
      <c r="B391" s="6">
        <v>45492</v>
      </c>
      <c r="C391" s="7" t="s">
        <v>9</v>
      </c>
      <c r="D391" s="9">
        <v>-7.0792948810679598E-3</v>
      </c>
      <c r="E391" s="9">
        <v>-7.0792948810679598E-3</v>
      </c>
      <c r="F391" s="9">
        <v>0.46350619317641906</v>
      </c>
      <c r="G391" s="9">
        <v>0.46350619317641906</v>
      </c>
      <c r="H391" s="35">
        <v>-7.1044719835280041E-3</v>
      </c>
    </row>
    <row r="392" spans="2:8" x14ac:dyDescent="0.35">
      <c r="B392" s="6">
        <v>45495</v>
      </c>
      <c r="C392" s="7" t="s">
        <v>9</v>
      </c>
      <c r="D392" s="9">
        <v>1.08345176042179E-2</v>
      </c>
      <c r="E392" s="9">
        <v>1.08345176042179E-2</v>
      </c>
      <c r="F392" s="9">
        <v>0.47936257679027094</v>
      </c>
      <c r="G392" s="9">
        <v>0.47936257679027094</v>
      </c>
      <c r="H392" s="35">
        <v>1.07762447460533E-2</v>
      </c>
    </row>
    <row r="393" spans="2:8" x14ac:dyDescent="0.35">
      <c r="B393" s="6">
        <v>45496</v>
      </c>
      <c r="C393" s="7" t="s">
        <v>9</v>
      </c>
      <c r="D393" s="9">
        <v>-1.55825972368069E-3</v>
      </c>
      <c r="E393" s="9">
        <v>-1.55825972368069E-3</v>
      </c>
      <c r="F393" s="9">
        <v>0.47705734567013813</v>
      </c>
      <c r="G393" s="9">
        <v>0.47705734567013813</v>
      </c>
      <c r="H393" s="35">
        <v>-1.5594750730813882E-3</v>
      </c>
    </row>
    <row r="394" spans="2:8" x14ac:dyDescent="0.35">
      <c r="B394" s="6">
        <v>45497</v>
      </c>
      <c r="C394" s="7" t="s">
        <v>9</v>
      </c>
      <c r="D394" s="9">
        <v>-2.31356869641824E-2</v>
      </c>
      <c r="E394" s="9">
        <v>-2.31356869641824E-2</v>
      </c>
      <c r="F394" s="9">
        <v>0.44288460929256757</v>
      </c>
      <c r="G394" s="9">
        <v>0.44288460929256757</v>
      </c>
      <c r="H394" s="35">
        <v>-2.3407517816776344E-2</v>
      </c>
    </row>
    <row r="395" spans="2:8" x14ac:dyDescent="0.35">
      <c r="B395" s="6">
        <v>45498</v>
      </c>
      <c r="C395" s="7" t="s">
        <v>9</v>
      </c>
      <c r="D395" s="9">
        <v>-5.1332673554933999E-3</v>
      </c>
      <c r="E395" s="9">
        <v>-5.1332673554933999E-3</v>
      </c>
      <c r="F395" s="9">
        <v>0.4354778968299422</v>
      </c>
      <c r="G395" s="9">
        <v>0.4354778968299422</v>
      </c>
      <c r="H395" s="35">
        <v>-5.146487834607541E-3</v>
      </c>
    </row>
    <row r="396" spans="2:8" x14ac:dyDescent="0.35">
      <c r="B396" s="6">
        <v>45499</v>
      </c>
      <c r="C396" s="7" t="s">
        <v>9</v>
      </c>
      <c r="D396" s="9">
        <v>1.11589541971063E-2</v>
      </c>
      <c r="E396" s="9">
        <v>1.11589541971063E-2</v>
      </c>
      <c r="F396" s="9">
        <v>0.45149632893162583</v>
      </c>
      <c r="G396" s="9">
        <v>0.45149632893162583</v>
      </c>
      <c r="H396" s="35">
        <v>1.1097152404952418E-2</v>
      </c>
    </row>
    <row r="397" spans="2:8" x14ac:dyDescent="0.35">
      <c r="B397" s="6">
        <v>45502</v>
      </c>
      <c r="C397" s="7" t="s">
        <v>9</v>
      </c>
      <c r="D397" s="9">
        <v>8.2682505892690199E-4</v>
      </c>
      <c r="E397" s="9">
        <v>8.2682505892690199E-4</v>
      </c>
      <c r="F397" s="9">
        <v>0.45269646246932704</v>
      </c>
      <c r="G397" s="9">
        <v>0.45269646246932704</v>
      </c>
      <c r="H397" s="35">
        <v>8.2648342738795731E-4</v>
      </c>
    </row>
    <row r="398" spans="2:8" x14ac:dyDescent="0.35">
      <c r="B398" s="6">
        <v>45503</v>
      </c>
      <c r="C398" s="7" t="s">
        <v>9</v>
      </c>
      <c r="D398" s="9">
        <v>-4.9560131813679497E-3</v>
      </c>
      <c r="E398" s="9">
        <v>-4.9560131813679497E-3</v>
      </c>
      <c r="F398" s="9">
        <v>0.44549687965280249</v>
      </c>
      <c r="G398" s="9">
        <v>0.44549687965280249</v>
      </c>
      <c r="H398" s="35">
        <v>-4.9683349427611847E-3</v>
      </c>
    </row>
    <row r="399" spans="2:8" x14ac:dyDescent="0.35">
      <c r="B399" s="6">
        <v>45504</v>
      </c>
      <c r="C399" s="7" t="s">
        <v>9</v>
      </c>
      <c r="D399" s="9">
        <v>1.58709688295488E-2</v>
      </c>
      <c r="E399" s="9">
        <v>1.58709688295488E-2</v>
      </c>
      <c r="F399" s="9">
        <v>0.46843831557298232</v>
      </c>
      <c r="G399" s="9">
        <v>0.46843831557298232</v>
      </c>
      <c r="H399" s="35">
        <v>1.5746341907696092E-2</v>
      </c>
    </row>
    <row r="400" spans="2:8" x14ac:dyDescent="0.35">
      <c r="B400" s="6">
        <v>45505</v>
      </c>
      <c r="C400" s="7" t="s">
        <v>9</v>
      </c>
      <c r="D400" s="9">
        <v>-1.36532335885311E-2</v>
      </c>
      <c r="E400" s="9">
        <v>-1.36532335885311E-2</v>
      </c>
      <c r="F400" s="9">
        <v>0.44838938424011521</v>
      </c>
      <c r="G400" s="9">
        <v>0.44838938424011521</v>
      </c>
      <c r="H400" s="35">
        <v>-1.3747296135475626E-2</v>
      </c>
    </row>
    <row r="401" spans="2:8" x14ac:dyDescent="0.35">
      <c r="B401" s="6">
        <v>45506</v>
      </c>
      <c r="C401" s="7" t="s">
        <v>9</v>
      </c>
      <c r="D401" s="9">
        <v>-1.8368813059724799E-2</v>
      </c>
      <c r="E401" s="9">
        <v>-1.8368813059724799E-2</v>
      </c>
      <c r="F401" s="9">
        <v>0.4217841904033186</v>
      </c>
      <c r="G401" s="9">
        <v>0.4217841904033186</v>
      </c>
      <c r="H401" s="35">
        <v>-1.8539614553592289E-2</v>
      </c>
    </row>
    <row r="402" spans="2:8" x14ac:dyDescent="0.35">
      <c r="B402" s="6">
        <v>45509</v>
      </c>
      <c r="C402" s="7" t="s">
        <v>9</v>
      </c>
      <c r="D402" s="9">
        <v>-2.99266957918209E-2</v>
      </c>
      <c r="E402" s="9">
        <v>-2.99266957918209E-2</v>
      </c>
      <c r="F402" s="9">
        <v>0.37923488745549805</v>
      </c>
      <c r="G402" s="9">
        <v>0.37923488745549805</v>
      </c>
      <c r="H402" s="35">
        <v>-3.0383638991440858E-2</v>
      </c>
    </row>
    <row r="403" spans="2:8" x14ac:dyDescent="0.35">
      <c r="B403" s="6">
        <v>45510</v>
      </c>
      <c r="C403" s="7" t="s">
        <v>9</v>
      </c>
      <c r="D403" s="9">
        <v>1.03675278004516E-2</v>
      </c>
      <c r="E403" s="9">
        <v>1.03675278004516E-2</v>
      </c>
      <c r="F403" s="9">
        <v>0.39353414349454563</v>
      </c>
      <c r="G403" s="9">
        <v>0.39353414349454563</v>
      </c>
      <c r="H403" s="35">
        <v>1.031415357299347E-2</v>
      </c>
    </row>
    <row r="404" spans="2:8" x14ac:dyDescent="0.35">
      <c r="B404" s="6">
        <v>45511</v>
      </c>
      <c r="C404" s="7" t="s">
        <v>9</v>
      </c>
      <c r="D404" s="9">
        <v>-7.70110480427232E-3</v>
      </c>
      <c r="E404" s="9">
        <v>-7.70110480427232E-3</v>
      </c>
      <c r="F404" s="9">
        <v>0.38280239100716229</v>
      </c>
      <c r="G404" s="9">
        <v>0.38280239100716229</v>
      </c>
      <c r="H404" s="35">
        <v>-7.7309114398383984E-3</v>
      </c>
    </row>
    <row r="405" spans="2:8" x14ac:dyDescent="0.35">
      <c r="B405" s="6">
        <v>45512</v>
      </c>
      <c r="C405" s="7" t="s">
        <v>9</v>
      </c>
      <c r="D405" s="9">
        <v>2.3050001586009301E-2</v>
      </c>
      <c r="E405" s="9">
        <v>2.3050001586009301E-2</v>
      </c>
      <c r="F405" s="9">
        <v>0.41467598831301489</v>
      </c>
      <c r="G405" s="9">
        <v>0.41467598831301489</v>
      </c>
      <c r="H405" s="35">
        <v>2.2788363180706685E-2</v>
      </c>
    </row>
    <row r="406" spans="2:8" x14ac:dyDescent="0.35">
      <c r="B406" s="6">
        <v>45513</v>
      </c>
      <c r="C406" s="7" t="s">
        <v>9</v>
      </c>
      <c r="D406" s="9">
        <v>4.7929348780966401E-3</v>
      </c>
      <c r="E406" s="9">
        <v>4.7929348780966401E-3</v>
      </c>
      <c r="F406" s="9">
        <v>0.42145643819860612</v>
      </c>
      <c r="G406" s="9">
        <v>0.42145643819860612</v>
      </c>
      <c r="H406" s="35">
        <v>4.7814853357559337E-3</v>
      </c>
    </row>
    <row r="407" spans="2:8" x14ac:dyDescent="0.35">
      <c r="B407" s="6">
        <v>45516</v>
      </c>
      <c r="C407" s="7" t="s">
        <v>9</v>
      </c>
      <c r="D407" s="9">
        <v>1.8000272575559301E-4</v>
      </c>
      <c r="E407" s="9">
        <v>1.8000272575559301E-4</v>
      </c>
      <c r="F407" s="9">
        <v>0.42171230423202477</v>
      </c>
      <c r="G407" s="9">
        <v>0.42171230423202477</v>
      </c>
      <c r="H407" s="35">
        <v>1.7998652720887636E-4</v>
      </c>
    </row>
    <row r="408" spans="2:8" x14ac:dyDescent="0.35">
      <c r="B408" s="6">
        <v>45517</v>
      </c>
      <c r="C408" s="7" t="s">
        <v>9</v>
      </c>
      <c r="D408" s="9">
        <v>1.6857220966714999E-2</v>
      </c>
      <c r="E408" s="9">
        <v>1.6857220966714999E-2</v>
      </c>
      <c r="F408" s="9">
        <v>0.44567842269556168</v>
      </c>
      <c r="G408" s="9">
        <v>0.44567842269556168</v>
      </c>
      <c r="H408" s="35">
        <v>1.6716714847380566E-2</v>
      </c>
    </row>
    <row r="409" spans="2:8" x14ac:dyDescent="0.35">
      <c r="B409" s="6">
        <v>45518</v>
      </c>
      <c r="C409" s="7" t="s">
        <v>9</v>
      </c>
      <c r="D409" s="9">
        <v>3.8540988041589801E-3</v>
      </c>
      <c r="E409" s="9">
        <v>3.8540988041589801E-3</v>
      </c>
      <c r="F409" s="9">
        <v>0.45125021017567102</v>
      </c>
      <c r="G409" s="9">
        <v>0.45125021017567102</v>
      </c>
      <c r="H409" s="35">
        <v>3.8466907933989575E-3</v>
      </c>
    </row>
    <row r="410" spans="2:8" x14ac:dyDescent="0.35">
      <c r="B410" s="6">
        <v>45519</v>
      </c>
      <c r="C410" s="7" t="s">
        <v>9</v>
      </c>
      <c r="D410" s="9">
        <v>1.6426804757275201E-2</v>
      </c>
      <c r="E410" s="9">
        <v>1.6426804757275201E-2</v>
      </c>
      <c r="F410" s="9">
        <v>0.4750896140321812</v>
      </c>
      <c r="G410" s="9">
        <v>0.4750896140321812</v>
      </c>
      <c r="H410" s="35">
        <v>1.6293344368467005E-2</v>
      </c>
    </row>
    <row r="411" spans="2:8" x14ac:dyDescent="0.35">
      <c r="B411" s="6">
        <v>45520</v>
      </c>
      <c r="C411" s="7" t="s">
        <v>9</v>
      </c>
      <c r="D411" s="9">
        <v>2.1310549217456202E-3</v>
      </c>
      <c r="E411" s="9">
        <v>2.1310549217456202E-3</v>
      </c>
      <c r="F411" s="9">
        <v>0.47823311101418042</v>
      </c>
      <c r="G411" s="9">
        <v>0.47823311101418042</v>
      </c>
      <c r="H411" s="35">
        <v>2.128787445046105E-3</v>
      </c>
    </row>
    <row r="412" spans="2:8" x14ac:dyDescent="0.35">
      <c r="B412" s="6">
        <v>45523</v>
      </c>
      <c r="C412" s="7" t="s">
        <v>9</v>
      </c>
      <c r="D412" s="9">
        <v>9.8298122065727904E-3</v>
      </c>
      <c r="E412" s="9">
        <v>9.8298122065727904E-3</v>
      </c>
      <c r="F412" s="9">
        <v>0.49276386489298774</v>
      </c>
      <c r="G412" s="9">
        <v>0.49276386489298774</v>
      </c>
      <c r="H412" s="35">
        <v>9.7818138892125164E-3</v>
      </c>
    </row>
    <row r="413" spans="2:8" x14ac:dyDescent="0.35">
      <c r="B413" s="6">
        <v>45524</v>
      </c>
      <c r="C413" s="7" t="s">
        <v>9</v>
      </c>
      <c r="D413" s="9">
        <v>-1.95400816537084E-3</v>
      </c>
      <c r="E413" s="9">
        <v>-1.95400816537084E-3</v>
      </c>
      <c r="F413" s="9">
        <v>0.48984699211201632</v>
      </c>
      <c r="G413" s="9">
        <v>0.48984699211201632</v>
      </c>
      <c r="H413" s="35">
        <v>-1.955919729873671E-3</v>
      </c>
    </row>
    <row r="414" spans="2:8" x14ac:dyDescent="0.35">
      <c r="B414" s="6">
        <v>45525</v>
      </c>
      <c r="C414" s="7" t="s">
        <v>9</v>
      </c>
      <c r="D414" s="9">
        <v>4.2836814471941802E-3</v>
      </c>
      <c r="E414" s="9">
        <v>4.2836814471941802E-3</v>
      </c>
      <c r="F414" s="9">
        <v>0.49622902203128483</v>
      </c>
      <c r="G414" s="9">
        <v>0.49622902203128483</v>
      </c>
      <c r="H414" s="35">
        <v>4.2745326016781606E-3</v>
      </c>
    </row>
    <row r="415" spans="2:8" x14ac:dyDescent="0.35">
      <c r="B415" s="6">
        <v>45526</v>
      </c>
      <c r="C415" s="7" t="s">
        <v>9</v>
      </c>
      <c r="D415" s="9">
        <v>-8.9143644474267598E-3</v>
      </c>
      <c r="E415" s="9">
        <v>-8.9143644474267598E-3</v>
      </c>
      <c r="F415" s="9">
        <v>0.48289109123208096</v>
      </c>
      <c r="G415" s="9">
        <v>0.48289109123208096</v>
      </c>
      <c r="H415" s="35">
        <v>-8.954335113539354E-3</v>
      </c>
    </row>
    <row r="416" spans="2:8" x14ac:dyDescent="0.35">
      <c r="B416" s="6">
        <v>45527</v>
      </c>
      <c r="C416" s="7" t="s">
        <v>9</v>
      </c>
      <c r="D416" s="9">
        <v>1.14964533704279E-2</v>
      </c>
      <c r="E416" s="9">
        <v>1.14964533704279E-2</v>
      </c>
      <c r="F416" s="9">
        <v>0.49993907951585337</v>
      </c>
      <c r="G416" s="9">
        <v>0.49993907951585337</v>
      </c>
      <c r="H416" s="35">
        <v>1.1430871312474786E-2</v>
      </c>
    </row>
    <row r="417" spans="2:8" x14ac:dyDescent="0.35">
      <c r="B417" s="6">
        <v>45530</v>
      </c>
      <c r="C417" s="7" t="s">
        <v>9</v>
      </c>
      <c r="D417" s="9">
        <v>-3.13144006439957E-3</v>
      </c>
      <c r="E417" s="9">
        <v>-3.13144006439957E-3</v>
      </c>
      <c r="F417" s="9">
        <v>0.49524211018809883</v>
      </c>
      <c r="G417" s="9">
        <v>0.49524211018809883</v>
      </c>
      <c r="H417" s="35">
        <v>-3.1363532824844179E-3</v>
      </c>
    </row>
    <row r="418" spans="2:8" x14ac:dyDescent="0.35">
      <c r="B418" s="6">
        <v>45531</v>
      </c>
      <c r="C418" s="7" t="s">
        <v>9</v>
      </c>
      <c r="D418" s="9">
        <v>1.67534761833361E-3</v>
      </c>
      <c r="E418" s="9">
        <v>1.67534761833361E-3</v>
      </c>
      <c r="F418" s="9">
        <v>0.49774716049623446</v>
      </c>
      <c r="G418" s="9">
        <v>0.49774716049623446</v>
      </c>
      <c r="H418" s="35">
        <v>1.6739457889949833E-3</v>
      </c>
    </row>
    <row r="419" spans="2:8" x14ac:dyDescent="0.35">
      <c r="B419" s="6">
        <v>45532</v>
      </c>
      <c r="C419" s="7" t="s">
        <v>9</v>
      </c>
      <c r="D419" s="9">
        <v>-5.97186609223079E-3</v>
      </c>
      <c r="E419" s="9">
        <v>-5.97186609223079E-3</v>
      </c>
      <c r="F419" s="9">
        <v>0.48880281501373202</v>
      </c>
      <c r="G419" s="9">
        <v>0.48880281501373202</v>
      </c>
      <c r="H419" s="35">
        <v>-5.9897689959558988E-3</v>
      </c>
    </row>
    <row r="420" spans="2:8" x14ac:dyDescent="0.35">
      <c r="B420" s="6">
        <v>45533</v>
      </c>
      <c r="C420" s="7" t="s">
        <v>9</v>
      </c>
      <c r="D420" s="9">
        <v>1.2275732595232E-5</v>
      </c>
      <c r="E420" s="9">
        <v>1.2275732595232E-5</v>
      </c>
      <c r="F420" s="9">
        <v>0.48882109115897632</v>
      </c>
      <c r="G420" s="9">
        <v>0.48882109115897632</v>
      </c>
      <c r="H420" s="35">
        <v>1.2275657249135017E-5</v>
      </c>
    </row>
    <row r="421" spans="2:8" x14ac:dyDescent="0.35">
      <c r="B421" s="6">
        <v>45534</v>
      </c>
      <c r="C421" s="7" t="s">
        <v>9</v>
      </c>
      <c r="D421" s="9">
        <v>1.02337434468853E-2</v>
      </c>
      <c r="E421" s="9">
        <v>1.02337434468853E-2</v>
      </c>
      <c r="F421" s="9">
        <v>0.50405730424420914</v>
      </c>
      <c r="G421" s="9">
        <v>0.50405730424420914</v>
      </c>
      <c r="H421" s="35">
        <v>1.0181733232904141E-2</v>
      </c>
    </row>
    <row r="422" spans="2:8" x14ac:dyDescent="0.35">
      <c r="B422" s="6">
        <v>45538</v>
      </c>
      <c r="C422" s="7" t="s">
        <v>9</v>
      </c>
      <c r="D422" s="9">
        <v>-2.1050789708394801E-2</v>
      </c>
      <c r="E422" s="9">
        <v>-2.1050789708394801E-2</v>
      </c>
      <c r="F422" s="9">
        <v>0.47239571022318905</v>
      </c>
      <c r="G422" s="9">
        <v>0.47239571022318905</v>
      </c>
      <c r="H422" s="35">
        <v>-2.1275516968382903E-2</v>
      </c>
    </row>
    <row r="423" spans="2:8" x14ac:dyDescent="0.35">
      <c r="B423" s="6">
        <v>45539</v>
      </c>
      <c r="C423" s="7" t="s">
        <v>9</v>
      </c>
      <c r="D423" s="9">
        <v>-1.56232286295658E-3</v>
      </c>
      <c r="E423" s="9">
        <v>-1.56232286295658E-3</v>
      </c>
      <c r="F423" s="9">
        <v>0.47009535274178815</v>
      </c>
      <c r="G423" s="9">
        <v>0.47009535274178815</v>
      </c>
      <c r="H423" s="35">
        <v>-1.563544561945248E-3</v>
      </c>
    </row>
    <row r="424" spans="2:8" x14ac:dyDescent="0.35">
      <c r="B424" s="6">
        <v>45540</v>
      </c>
      <c r="C424" s="7" t="s">
        <v>9</v>
      </c>
      <c r="D424" s="9">
        <v>-2.98118052096492E-3</v>
      </c>
      <c r="E424" s="9">
        <v>-2.98118052096492E-3</v>
      </c>
      <c r="F424" s="9">
        <v>0.46571273311223327</v>
      </c>
      <c r="G424" s="9">
        <v>0.46571273311223327</v>
      </c>
      <c r="H424" s="35">
        <v>-2.9856330910930885E-3</v>
      </c>
    </row>
    <row r="425" spans="2:8" x14ac:dyDescent="0.35">
      <c r="B425" s="6">
        <v>45541</v>
      </c>
      <c r="C425" s="7" t="s">
        <v>9</v>
      </c>
      <c r="D425" s="9">
        <v>-1.7136724711797099E-2</v>
      </c>
      <c r="E425" s="9">
        <v>-1.7136724711797099E-2</v>
      </c>
      <c r="F425" s="9">
        <v>0.44059521749831321</v>
      </c>
      <c r="G425" s="9">
        <v>0.44059521749831321</v>
      </c>
      <c r="H425" s="35">
        <v>-1.7285257737458991E-2</v>
      </c>
    </row>
    <row r="426" spans="2:8" x14ac:dyDescent="0.35">
      <c r="B426" s="6">
        <v>45544</v>
      </c>
      <c r="C426" s="7" t="s">
        <v>9</v>
      </c>
      <c r="D426" s="9">
        <v>1.1685979784447501E-2</v>
      </c>
      <c r="E426" s="9">
        <v>1.1685979784447501E-2</v>
      </c>
      <c r="F426" s="9">
        <v>0.45742998408757019</v>
      </c>
      <c r="G426" s="9">
        <v>0.45742998408757019</v>
      </c>
      <c r="H426" s="35">
        <v>1.161822605762108E-2</v>
      </c>
    </row>
    <row r="427" spans="2:8" x14ac:dyDescent="0.35">
      <c r="B427" s="6">
        <v>45545</v>
      </c>
      <c r="C427" s="7" t="s">
        <v>9</v>
      </c>
      <c r="D427" s="9">
        <v>4.5001814117344103E-3</v>
      </c>
      <c r="E427" s="9">
        <v>4.5001814117344103E-3</v>
      </c>
      <c r="F427" s="9">
        <v>0.46398868341086552</v>
      </c>
      <c r="G427" s="9">
        <v>0.46398868341086552</v>
      </c>
      <c r="H427" s="35">
        <v>4.4900858718745417E-3</v>
      </c>
    </row>
    <row r="428" spans="2:8" x14ac:dyDescent="0.35">
      <c r="B428" s="6">
        <v>45546</v>
      </c>
      <c r="C428" s="7" t="s">
        <v>9</v>
      </c>
      <c r="D428" s="9">
        <v>1.06761476983614E-2</v>
      </c>
      <c r="E428" s="9">
        <v>1.06761476983614E-2</v>
      </c>
      <c r="F428" s="9">
        <v>0.47961844282368959</v>
      </c>
      <c r="G428" s="9">
        <v>0.47961844282368959</v>
      </c>
      <c r="H428" s="35">
        <v>1.0619560036050262E-2</v>
      </c>
    </row>
    <row r="429" spans="2:8" x14ac:dyDescent="0.35">
      <c r="B429" s="6">
        <v>45547</v>
      </c>
      <c r="C429" s="7" t="s">
        <v>9</v>
      </c>
      <c r="D429" s="9">
        <v>7.5107976465453004E-3</v>
      </c>
      <c r="E429" s="9">
        <v>7.5107976465453004E-3</v>
      </c>
      <c r="F429" s="9">
        <v>0.49073155754183495</v>
      </c>
      <c r="G429" s="9">
        <v>0.49073155754183495</v>
      </c>
      <c r="H429" s="35">
        <v>7.482732048314066E-3</v>
      </c>
    </row>
    <row r="430" spans="2:8" x14ac:dyDescent="0.35">
      <c r="B430" s="6">
        <v>45548</v>
      </c>
      <c r="C430" s="7" t="s">
        <v>9</v>
      </c>
      <c r="D430" s="9">
        <v>5.5741451206614999E-3</v>
      </c>
      <c r="E430" s="9">
        <v>5.5741451206614999E-3</v>
      </c>
      <c r="F430" s="9">
        <v>0.4990411115795228</v>
      </c>
      <c r="G430" s="9">
        <v>0.4990411115795228</v>
      </c>
      <c r="H430" s="35">
        <v>5.5586670650617839E-3</v>
      </c>
    </row>
    <row r="431" spans="2:8" x14ac:dyDescent="0.35">
      <c r="B431" s="6">
        <v>45551</v>
      </c>
      <c r="C431" s="7" t="s">
        <v>9</v>
      </c>
      <c r="D431" s="9">
        <v>1.45896290901752E-3</v>
      </c>
      <c r="E431" s="9">
        <v>1.45896290901752E-3</v>
      </c>
      <c r="F431" s="9">
        <v>0.50122815696040979</v>
      </c>
      <c r="G431" s="9">
        <v>0.50122815696040979</v>
      </c>
      <c r="H431" s="35">
        <v>1.4578996566708355E-3</v>
      </c>
    </row>
    <row r="432" spans="2:8" x14ac:dyDescent="0.35">
      <c r="B432" s="6">
        <v>45552</v>
      </c>
      <c r="C432" s="7" t="s">
        <v>9</v>
      </c>
      <c r="D432" s="9">
        <v>2.8730944444586799E-4</v>
      </c>
      <c r="E432" s="9">
        <v>2.8730944444586799E-4</v>
      </c>
      <c r="F432" s="9">
        <v>0.50165947398817234</v>
      </c>
      <c r="G432" s="9">
        <v>0.50165947398817234</v>
      </c>
      <c r="H432" s="35">
        <v>2.8726817899111818E-4</v>
      </c>
    </row>
    <row r="433" spans="2:8" x14ac:dyDescent="0.35">
      <c r="B433" s="6">
        <v>45553</v>
      </c>
      <c r="C433" s="7" t="s">
        <v>9</v>
      </c>
      <c r="D433" s="9">
        <v>-2.8795715937442799E-3</v>
      </c>
      <c r="E433" s="9">
        <v>-2.8795715937442799E-3</v>
      </c>
      <c r="F433" s="9">
        <v>0.49733533802339891</v>
      </c>
      <c r="G433" s="9">
        <v>0.49733533802339891</v>
      </c>
      <c r="H433" s="35">
        <v>-2.8837255363259357E-3</v>
      </c>
    </row>
    <row r="434" spans="2:8" x14ac:dyDescent="0.35">
      <c r="B434" s="6">
        <v>45554</v>
      </c>
      <c r="C434" s="7" t="s">
        <v>9</v>
      </c>
      <c r="D434" s="9">
        <v>1.7033572403871301E-2</v>
      </c>
      <c r="E434" s="9">
        <v>1.7033572403871301E-2</v>
      </c>
      <c r="F434" s="9">
        <v>0.52284030791649561</v>
      </c>
      <c r="G434" s="9">
        <v>0.52284030791649561</v>
      </c>
      <c r="H434" s="35">
        <v>1.6890127734810873E-2</v>
      </c>
    </row>
    <row r="435" spans="2:8" x14ac:dyDescent="0.35">
      <c r="B435" s="6">
        <v>45555</v>
      </c>
      <c r="C435" s="7" t="s">
        <v>9</v>
      </c>
      <c r="D435" s="9">
        <v>-1.9322179541852E-3</v>
      </c>
      <c r="E435" s="9">
        <v>-1.9322179541852E-3</v>
      </c>
      <c r="F435" s="9">
        <v>0.51989784853218235</v>
      </c>
      <c r="G435" s="9">
        <v>0.51989784853218235</v>
      </c>
      <c r="H435" s="35">
        <v>-1.9340870954100036E-3</v>
      </c>
    </row>
    <row r="436" spans="2:8" x14ac:dyDescent="0.35">
      <c r="B436" s="6">
        <v>45558</v>
      </c>
      <c r="C436" s="7" t="s">
        <v>9</v>
      </c>
      <c r="D436" s="9">
        <v>2.8193650376289502E-3</v>
      </c>
      <c r="E436" s="9">
        <v>2.8193650376289502E-3</v>
      </c>
      <c r="F436" s="9">
        <v>0.52418299538710134</v>
      </c>
      <c r="G436" s="9">
        <v>0.52418299538710134</v>
      </c>
      <c r="H436" s="35">
        <v>2.8153980824684906E-3</v>
      </c>
    </row>
    <row r="437" spans="2:8" x14ac:dyDescent="0.35">
      <c r="B437" s="6">
        <v>45559</v>
      </c>
      <c r="C437" s="7" t="s">
        <v>9</v>
      </c>
      <c r="D437" s="9">
        <v>2.5164653414454599E-3</v>
      </c>
      <c r="E437" s="9">
        <v>2.5164653414454599E-3</v>
      </c>
      <c r="F437" s="9">
        <v>0.52801854906901369</v>
      </c>
      <c r="G437" s="9">
        <v>0.52801854906901369</v>
      </c>
      <c r="H437" s="35">
        <v>2.5133043444538795E-3</v>
      </c>
    </row>
    <row r="438" spans="2:8" x14ac:dyDescent="0.35">
      <c r="B438" s="6">
        <v>45560</v>
      </c>
      <c r="C438" s="7" t="s">
        <v>9</v>
      </c>
      <c r="D438" s="9">
        <v>-1.85550059843287E-3</v>
      </c>
      <c r="E438" s="9">
        <v>-1.85550059843287E-3</v>
      </c>
      <c r="F438" s="9">
        <v>0.52518330973679972</v>
      </c>
      <c r="G438" s="9">
        <v>0.52518330973679972</v>
      </c>
      <c r="H438" s="35">
        <v>-1.8572241720595216E-3</v>
      </c>
    </row>
    <row r="439" spans="2:8" x14ac:dyDescent="0.35">
      <c r="B439" s="6">
        <v>45561</v>
      </c>
      <c r="C439" s="7" t="s">
        <v>9</v>
      </c>
      <c r="D439" s="9">
        <v>4.0989565275742499E-3</v>
      </c>
      <c r="E439" s="9">
        <v>4.0989565275742499E-3</v>
      </c>
      <c r="F439" s="9">
        <v>0.5314349698199925</v>
      </c>
      <c r="G439" s="9">
        <v>0.5314349698199925</v>
      </c>
      <c r="H439" s="35">
        <v>4.0905786910555757E-3</v>
      </c>
    </row>
    <row r="440" spans="2:8" x14ac:dyDescent="0.35">
      <c r="B440" s="6">
        <v>45562</v>
      </c>
      <c r="C440" s="7" t="s">
        <v>9</v>
      </c>
      <c r="D440" s="9">
        <v>-1.2212460210053199E-3</v>
      </c>
      <c r="E440" s="9">
        <v>-1.2212460210053199E-3</v>
      </c>
      <c r="F440" s="9">
        <v>0.52956471095667146</v>
      </c>
      <c r="G440" s="9">
        <v>0.52956471095667146</v>
      </c>
      <c r="H440" s="35">
        <v>-1.2219923496230667E-3</v>
      </c>
    </row>
    <row r="441" spans="2:8" x14ac:dyDescent="0.35">
      <c r="B441" s="6">
        <v>45565</v>
      </c>
      <c r="C441" s="7" t="s">
        <v>9</v>
      </c>
      <c r="D441" s="9">
        <v>4.3245938673450602E-3</v>
      </c>
      <c r="E441" s="9">
        <v>4.3245938673450602E-3</v>
      </c>
      <c r="F441" s="9">
        <v>0.53617945712538218</v>
      </c>
      <c r="G441" s="9">
        <v>0.53617945712538218</v>
      </c>
      <c r="H441" s="35">
        <v>4.3152696838253089E-3</v>
      </c>
    </row>
    <row r="442" spans="2:8" x14ac:dyDescent="0.35">
      <c r="B442" s="6">
        <v>45566</v>
      </c>
      <c r="C442" s="7" t="s">
        <v>9</v>
      </c>
      <c r="D442" s="9">
        <v>-9.2956336695464801E-3</v>
      </c>
      <c r="E442" s="9">
        <v>-9.2956336695464801E-3</v>
      </c>
      <c r="F442" s="9">
        <v>0.52189969564126182</v>
      </c>
      <c r="G442" s="9">
        <v>0.52189969564126182</v>
      </c>
      <c r="H442" s="35">
        <v>-9.339107694348937E-3</v>
      </c>
    </row>
    <row r="443" spans="2:8" x14ac:dyDescent="0.35">
      <c r="B443" s="6">
        <v>45567</v>
      </c>
      <c r="C443" s="7" t="s">
        <v>9</v>
      </c>
      <c r="D443" s="9">
        <v>1.9854501728058701E-4</v>
      </c>
      <c r="E443" s="9">
        <v>1.9854501728058701E-4</v>
      </c>
      <c r="F443" s="9">
        <v>0.52220186124263224</v>
      </c>
      <c r="G443" s="9">
        <v>0.52220186124263224</v>
      </c>
      <c r="H443" s="35">
        <v>1.9852530982711813E-4</v>
      </c>
    </row>
    <row r="444" spans="2:8" x14ac:dyDescent="0.35">
      <c r="B444" s="6">
        <v>45568</v>
      </c>
      <c r="C444" s="7" t="s">
        <v>9</v>
      </c>
      <c r="D444" s="9">
        <v>-1.67769253242733E-3</v>
      </c>
      <c r="E444" s="9">
        <v>-1.67769253242733E-3</v>
      </c>
      <c r="F444" s="9">
        <v>0.51964807454717854</v>
      </c>
      <c r="G444" s="9">
        <v>0.51964807454717854</v>
      </c>
      <c r="H444" s="35">
        <v>-1.6791014345675873E-3</v>
      </c>
    </row>
    <row r="445" spans="2:8" x14ac:dyDescent="0.35">
      <c r="B445" s="6">
        <v>45569</v>
      </c>
      <c r="C445" s="7" t="s">
        <v>9</v>
      </c>
      <c r="D445" s="9">
        <v>9.1818809386172498E-3</v>
      </c>
      <c r="E445" s="9">
        <v>9.1818809386172498E-3</v>
      </c>
      <c r="F445" s="9">
        <v>0.53360130223626978</v>
      </c>
      <c r="G445" s="9">
        <v>0.53360130223626978</v>
      </c>
      <c r="H445" s="35">
        <v>9.1399837379578068E-3</v>
      </c>
    </row>
    <row r="446" spans="2:8" x14ac:dyDescent="0.35">
      <c r="B446" s="6">
        <v>45572</v>
      </c>
      <c r="C446" s="7" t="s">
        <v>9</v>
      </c>
      <c r="D446" s="9">
        <v>-9.5734378016526702E-3</v>
      </c>
      <c r="E446" s="9">
        <v>-9.5734378016526702E-3</v>
      </c>
      <c r="F446" s="9">
        <v>0.51891946555677726</v>
      </c>
      <c r="G446" s="9">
        <v>0.51891946555677726</v>
      </c>
      <c r="H446" s="35">
        <v>-9.6195577442942312E-3</v>
      </c>
    </row>
    <row r="447" spans="2:8" x14ac:dyDescent="0.35">
      <c r="B447" s="6">
        <v>45573</v>
      </c>
      <c r="C447" s="7" t="s">
        <v>9</v>
      </c>
      <c r="D447" s="9">
        <v>9.6932476952065697E-3</v>
      </c>
      <c r="E447" s="9">
        <v>9.6932476952065697E-3</v>
      </c>
      <c r="F447" s="9">
        <v>0.53364272816548985</v>
      </c>
      <c r="G447" s="9">
        <v>0.53364272816548985</v>
      </c>
      <c r="H447" s="35">
        <v>9.6465695691194016E-3</v>
      </c>
    </row>
    <row r="448" spans="2:8" x14ac:dyDescent="0.35">
      <c r="B448" s="6">
        <v>45574</v>
      </c>
      <c r="C448" s="7" t="s">
        <v>9</v>
      </c>
      <c r="D448" s="9">
        <v>7.1429422630042202E-3</v>
      </c>
      <c r="E448" s="9">
        <v>7.1429422630042202E-3</v>
      </c>
      <c r="F448" s="9">
        <v>0.54459744962485224</v>
      </c>
      <c r="G448" s="9">
        <v>0.54459744962485224</v>
      </c>
      <c r="H448" s="35">
        <v>7.1175522853185492E-3</v>
      </c>
    </row>
    <row r="449" spans="2:8" x14ac:dyDescent="0.35">
      <c r="B449" s="6">
        <v>45575</v>
      </c>
      <c r="C449" s="7" t="s">
        <v>9</v>
      </c>
      <c r="D449" s="9">
        <v>-1.91841074814862E-3</v>
      </c>
      <c r="E449" s="9">
        <v>-1.91841074814862E-3</v>
      </c>
      <c r="F449" s="9">
        <v>0.54163427727592905</v>
      </c>
      <c r="G449" s="9">
        <v>0.54163427727592905</v>
      </c>
      <c r="H449" s="35">
        <v>-1.9202532548814729E-3</v>
      </c>
    </row>
    <row r="450" spans="2:8" x14ac:dyDescent="0.35">
      <c r="B450" s="6">
        <v>45576</v>
      </c>
      <c r="C450" s="7" t="s">
        <v>9</v>
      </c>
      <c r="D450" s="9">
        <v>6.0602995058817097E-3</v>
      </c>
      <c r="E450" s="9">
        <v>6.0602995058817097E-3</v>
      </c>
      <c r="F450" s="9">
        <v>0.55097704272475445</v>
      </c>
      <c r="G450" s="9">
        <v>0.55097704272475445</v>
      </c>
      <c r="H450" s="35">
        <v>6.0420097479069517E-3</v>
      </c>
    </row>
    <row r="451" spans="2:8" x14ac:dyDescent="0.35">
      <c r="B451" s="6">
        <v>45579</v>
      </c>
      <c r="C451" s="7" t="s">
        <v>9</v>
      </c>
      <c r="D451" s="9">
        <v>7.7072819713546702E-3</v>
      </c>
      <c r="E451" s="9">
        <v>7.7072819713546702E-3</v>
      </c>
      <c r="F451" s="9">
        <v>0.56293086012413185</v>
      </c>
      <c r="G451" s="9">
        <v>0.56293086012413185</v>
      </c>
      <c r="H451" s="35">
        <v>7.6777326067341252E-3</v>
      </c>
    </row>
    <row r="452" spans="2:8" x14ac:dyDescent="0.35">
      <c r="B452" s="6">
        <v>45580</v>
      </c>
      <c r="C452" s="7" t="s">
        <v>9</v>
      </c>
      <c r="D452" s="9">
        <v>-7.5251624813000399E-3</v>
      </c>
      <c r="E452" s="9">
        <v>-7.5251624813000399E-3</v>
      </c>
      <c r="F452" s="9">
        <v>0.55116955145465973</v>
      </c>
      <c r="G452" s="9">
        <v>0.55116955145465973</v>
      </c>
      <c r="H452" s="35">
        <v>-7.5536193681698758E-3</v>
      </c>
    </row>
    <row r="453" spans="2:8" x14ac:dyDescent="0.35">
      <c r="B453" s="6">
        <v>45581</v>
      </c>
      <c r="C453" s="7" t="s">
        <v>9</v>
      </c>
      <c r="D453" s="9">
        <v>4.6924460572927498E-3</v>
      </c>
      <c r="E453" s="9">
        <v>4.6924460572927498E-3</v>
      </c>
      <c r="F453" s="9">
        <v>0.55844833090057588</v>
      </c>
      <c r="G453" s="9">
        <v>0.55844833090057588</v>
      </c>
      <c r="H453" s="35">
        <v>4.6814708526042199E-3</v>
      </c>
    </row>
    <row r="454" spans="2:8" x14ac:dyDescent="0.35">
      <c r="B454" s="6">
        <v>45582</v>
      </c>
      <c r="C454" s="7" t="s">
        <v>9</v>
      </c>
      <c r="D454" s="9">
        <v>-1.6105275337659501E-4</v>
      </c>
      <c r="E454" s="9">
        <v>-1.6105275337659501E-4</v>
      </c>
      <c r="F454" s="9">
        <v>0.55819733850588915</v>
      </c>
      <c r="G454" s="9">
        <v>0.55819733850588915</v>
      </c>
      <c r="H454" s="35">
        <v>-1.6106572376394857E-4</v>
      </c>
    </row>
    <row r="455" spans="2:8" x14ac:dyDescent="0.35">
      <c r="B455" s="6">
        <v>45583</v>
      </c>
      <c r="C455" s="7" t="s">
        <v>9</v>
      </c>
      <c r="D455" s="9">
        <v>4.0285312594319899E-3</v>
      </c>
      <c r="E455" s="9">
        <v>4.0285312594319899E-3</v>
      </c>
      <c r="F455" s="9">
        <v>0.56447458519242377</v>
      </c>
      <c r="G455" s="9">
        <v>0.56447458519242377</v>
      </c>
      <c r="H455" s="35">
        <v>4.0204384548410375E-3</v>
      </c>
    </row>
    <row r="456" spans="2:8" x14ac:dyDescent="0.35">
      <c r="B456" s="6">
        <v>45586</v>
      </c>
      <c r="C456" s="7" t="s">
        <v>9</v>
      </c>
      <c r="D456" s="9">
        <v>-1.7842262252439501E-3</v>
      </c>
      <c r="E456" s="9">
        <v>-1.7842262252439501E-3</v>
      </c>
      <c r="F456" s="9">
        <v>0.56168320860879573</v>
      </c>
      <c r="G456" s="9">
        <v>0.56168320860879573</v>
      </c>
      <c r="H456" s="35">
        <v>-1.7858198527321686E-3</v>
      </c>
    </row>
    <row r="457" spans="2:8" x14ac:dyDescent="0.35">
      <c r="B457" s="6">
        <v>45587</v>
      </c>
      <c r="C457" s="7" t="s">
        <v>9</v>
      </c>
      <c r="D457" s="9">
        <v>-4.7045459332975201E-4</v>
      </c>
      <c r="E457" s="9">
        <v>-4.7045459332975201E-4</v>
      </c>
      <c r="F457" s="9">
        <v>0.56094850756997983</v>
      </c>
      <c r="G457" s="9">
        <v>0.56094850756997983</v>
      </c>
      <c r="H457" s="35">
        <v>-4.7056529181235482E-4</v>
      </c>
    </row>
    <row r="458" spans="2:8" x14ac:dyDescent="0.35">
      <c r="B458" s="6">
        <v>45588</v>
      </c>
      <c r="C458" s="7" t="s">
        <v>9</v>
      </c>
      <c r="D458" s="9">
        <v>-9.1746699803924702E-3</v>
      </c>
      <c r="E458" s="9">
        <v>-9.1746699803924702E-3</v>
      </c>
      <c r="F458" s="9">
        <v>0.54662732015663895</v>
      </c>
      <c r="G458" s="9">
        <v>0.54662732015663895</v>
      </c>
      <c r="H458" s="35">
        <v>-9.2170164740891531E-3</v>
      </c>
    </row>
    <row r="459" spans="2:8" x14ac:dyDescent="0.35">
      <c r="B459" s="6">
        <v>45589</v>
      </c>
      <c r="C459" s="7" t="s">
        <v>9</v>
      </c>
      <c r="D459" s="9">
        <v>2.1451383429101399E-3</v>
      </c>
      <c r="E459" s="9">
        <v>2.1451383429101399E-3</v>
      </c>
      <c r="F459" s="9">
        <v>0.54994504972329916</v>
      </c>
      <c r="G459" s="9">
        <v>0.54994504972329916</v>
      </c>
      <c r="H459" s="35">
        <v>2.1428408187397492E-3</v>
      </c>
    </row>
    <row r="460" spans="2:8" x14ac:dyDescent="0.35">
      <c r="B460" s="6">
        <v>45590</v>
      </c>
      <c r="C460" s="7" t="s">
        <v>9</v>
      </c>
      <c r="D460" s="9">
        <v>-2.9164259239599901E-4</v>
      </c>
      <c r="E460" s="9">
        <v>-2.9164259239599901E-4</v>
      </c>
      <c r="F460" s="9">
        <v>0.54949301973092646</v>
      </c>
      <c r="G460" s="9">
        <v>0.54949301973092646</v>
      </c>
      <c r="H460" s="35">
        <v>-2.9168512836725337E-4</v>
      </c>
    </row>
    <row r="461" spans="2:8" x14ac:dyDescent="0.35">
      <c r="B461" s="6">
        <v>45593</v>
      </c>
      <c r="C461" s="7" t="s">
        <v>9</v>
      </c>
      <c r="D461" s="9">
        <v>2.6640791234644398E-3</v>
      </c>
      <c r="E461" s="9">
        <v>2.6640791234644398E-3</v>
      </c>
      <c r="F461" s="9">
        <v>0.55362099173674539</v>
      </c>
      <c r="G461" s="9">
        <v>0.55362099173674539</v>
      </c>
      <c r="H461" s="35">
        <v>2.6605367547154033E-3</v>
      </c>
    </row>
    <row r="462" spans="2:8" x14ac:dyDescent="0.35">
      <c r="B462" s="6">
        <v>45594</v>
      </c>
      <c r="C462" s="7" t="s">
        <v>9</v>
      </c>
      <c r="D462" s="9">
        <v>1.61396321293178E-3</v>
      </c>
      <c r="E462" s="9">
        <v>1.61396321293178E-3</v>
      </c>
      <c r="F462" s="9">
        <v>0.5561284788642471</v>
      </c>
      <c r="G462" s="9">
        <v>0.5561284788642471</v>
      </c>
      <c r="H462" s="35">
        <v>1.6126621740032365E-3</v>
      </c>
    </row>
    <row r="463" spans="2:8" x14ac:dyDescent="0.35">
      <c r="B463" s="6">
        <v>45595</v>
      </c>
      <c r="C463" s="7" t="s">
        <v>9</v>
      </c>
      <c r="D463" s="9">
        <v>-3.2939757904132299E-3</v>
      </c>
      <c r="E463" s="9">
        <v>-3.2939757904132299E-3</v>
      </c>
      <c r="F463" s="9">
        <v>0.55100262932809563</v>
      </c>
      <c r="G463" s="9">
        <v>0.55100262932809563</v>
      </c>
      <c r="H463" s="35">
        <v>-3.2994128716930964E-3</v>
      </c>
    </row>
    <row r="464" spans="2:8" x14ac:dyDescent="0.35">
      <c r="B464" s="6">
        <v>45596</v>
      </c>
      <c r="C464" s="7" t="s">
        <v>9</v>
      </c>
      <c r="D464" s="9">
        <v>-1.8538492175403501E-2</v>
      </c>
      <c r="E464" s="9">
        <v>-1.8538492175403501E-2</v>
      </c>
      <c r="F464" s="9">
        <v>0.52224937922026649</v>
      </c>
      <c r="G464" s="9">
        <v>0.52224937922026649</v>
      </c>
      <c r="H464" s="35">
        <v>-1.8712483737562784E-2</v>
      </c>
    </row>
    <row r="465" spans="2:8" x14ac:dyDescent="0.35">
      <c r="B465" s="6">
        <v>45597</v>
      </c>
      <c r="C465" s="7" t="s">
        <v>9</v>
      </c>
      <c r="D465" s="9">
        <v>4.1348707432682201E-3</v>
      </c>
      <c r="E465" s="9">
        <v>4.1348707432682201E-3</v>
      </c>
      <c r="F465" s="9">
        <v>0.5285436836423627</v>
      </c>
      <c r="G465" s="9">
        <v>0.5285436836423627</v>
      </c>
      <c r="H465" s="35">
        <v>4.1263456572426553E-3</v>
      </c>
    </row>
    <row r="466" spans="2:8" x14ac:dyDescent="0.35">
      <c r="B466" s="6">
        <v>45600</v>
      </c>
      <c r="C466" s="7" t="s">
        <v>9</v>
      </c>
      <c r="D466" s="9">
        <v>-2.7635627401278598E-3</v>
      </c>
      <c r="E466" s="9">
        <v>-2.7635627401278598E-3</v>
      </c>
      <c r="F466" s="9">
        <v>0.52431945727159079</v>
      </c>
      <c r="G466" s="9">
        <v>0.52431945727159079</v>
      </c>
      <c r="H466" s="35">
        <v>-2.7673884296181102E-3</v>
      </c>
    </row>
    <row r="467" spans="2:8" x14ac:dyDescent="0.35">
      <c r="B467" s="6">
        <v>45601</v>
      </c>
      <c r="C467" s="7" t="s">
        <v>9</v>
      </c>
      <c r="D467" s="9">
        <v>1.22766617135851E-2</v>
      </c>
      <c r="E467" s="9">
        <v>1.22766617135851E-2</v>
      </c>
      <c r="F467" s="9">
        <v>0.5430330115919495</v>
      </c>
      <c r="G467" s="9">
        <v>0.5430330115919495</v>
      </c>
      <c r="H467" s="35">
        <v>1.2201914643365279E-2</v>
      </c>
    </row>
    <row r="468" spans="2:8" x14ac:dyDescent="0.35">
      <c r="B468" s="6">
        <v>45602</v>
      </c>
      <c r="C468" s="7" t="s">
        <v>9</v>
      </c>
      <c r="D468" s="9">
        <v>2.5300213513240299E-2</v>
      </c>
      <c r="E468" s="9">
        <v>2.5300213513240299E-2</v>
      </c>
      <c r="F468" s="9">
        <v>0.58207207624320412</v>
      </c>
      <c r="G468" s="9">
        <v>0.58207207624320412</v>
      </c>
      <c r="H468" s="35">
        <v>2.4985460938537457E-2</v>
      </c>
    </row>
    <row r="469" spans="2:8" x14ac:dyDescent="0.35">
      <c r="B469" s="6">
        <v>45603</v>
      </c>
      <c r="C469" s="7" t="s">
        <v>9</v>
      </c>
      <c r="D469" s="9">
        <v>7.4549104987166499E-3</v>
      </c>
      <c r="E469" s="9">
        <v>7.4549104987166499E-3</v>
      </c>
      <c r="F469" s="9">
        <v>0.59386628197411606</v>
      </c>
      <c r="G469" s="9">
        <v>0.59386628197411606</v>
      </c>
      <c r="H469" s="35">
        <v>7.4272599897901078E-3</v>
      </c>
    </row>
    <row r="470" spans="2:8" x14ac:dyDescent="0.35">
      <c r="B470" s="6">
        <v>45604</v>
      </c>
      <c r="C470" s="7" t="s">
        <v>9</v>
      </c>
      <c r="D470" s="9">
        <v>3.9704835749334103E-3</v>
      </c>
      <c r="E470" s="9">
        <v>3.9704835749334103E-3</v>
      </c>
      <c r="F470" s="9">
        <v>0.60019470186733459</v>
      </c>
      <c r="G470" s="9">
        <v>0.60019470186733459</v>
      </c>
      <c r="H470" s="35">
        <v>3.9626220076358371E-3</v>
      </c>
    </row>
    <row r="471" spans="2:8" x14ac:dyDescent="0.35">
      <c r="B471" s="6">
        <v>45607</v>
      </c>
      <c r="C471" s="7" t="s">
        <v>9</v>
      </c>
      <c r="D471" s="9">
        <v>9.6927925369315099E-4</v>
      </c>
      <c r="E471" s="9">
        <v>9.6927925369315099E-4</v>
      </c>
      <c r="F471" s="9">
        <v>0.60174573739372406</v>
      </c>
      <c r="G471" s="9">
        <v>0.60174573739372406</v>
      </c>
      <c r="H471" s="35">
        <v>9.6880980588342797E-4</v>
      </c>
    </row>
    <row r="472" spans="2:8" x14ac:dyDescent="0.35">
      <c r="B472" s="6">
        <v>45608</v>
      </c>
      <c r="C472" s="7" t="s">
        <v>9</v>
      </c>
      <c r="D472" s="9">
        <v>-2.83351843118163E-3</v>
      </c>
      <c r="E472" s="9">
        <v>-2.83351843118163E-3</v>
      </c>
      <c r="F472" s="9">
        <v>0.59720716132475227</v>
      </c>
      <c r="G472" s="9">
        <v>0.59720716132475227</v>
      </c>
      <c r="H472" s="35">
        <v>-2.837540443959825E-3</v>
      </c>
    </row>
    <row r="473" spans="2:8" x14ac:dyDescent="0.35">
      <c r="B473" s="6">
        <v>45609</v>
      </c>
      <c r="C473" s="7" t="s">
        <v>9</v>
      </c>
      <c r="D473" s="9">
        <v>2.7614721240060998E-4</v>
      </c>
      <c r="E473" s="9">
        <v>2.7614721240060998E-4</v>
      </c>
      <c r="F473" s="9">
        <v>0.59764822562997844</v>
      </c>
      <c r="G473" s="9">
        <v>0.59764822562997844</v>
      </c>
      <c r="H473" s="35">
        <v>2.7610909077715724E-4</v>
      </c>
    </row>
    <row r="474" spans="2:8" x14ac:dyDescent="0.35">
      <c r="B474" s="6">
        <v>45610</v>
      </c>
      <c r="C474" s="7" t="s">
        <v>9</v>
      </c>
      <c r="D474" s="9">
        <v>-5.9317128526291101E-3</v>
      </c>
      <c r="E474" s="9">
        <v>-5.9317128526291101E-3</v>
      </c>
      <c r="F474" s="9">
        <v>0.58817143511602898</v>
      </c>
      <c r="G474" s="9">
        <v>0.58817143511602898</v>
      </c>
      <c r="H474" s="35">
        <v>-5.9493753418233047E-3</v>
      </c>
    </row>
    <row r="475" spans="2:8" x14ac:dyDescent="0.35">
      <c r="B475" s="6">
        <v>45611</v>
      </c>
      <c r="C475" s="7" t="s">
        <v>9</v>
      </c>
      <c r="D475" s="9">
        <v>-1.30704061975683E-2</v>
      </c>
      <c r="E475" s="9">
        <v>-1.30704061975683E-2</v>
      </c>
      <c r="F475" s="9">
        <v>0.56741338934768759</v>
      </c>
      <c r="G475" s="9">
        <v>0.56741338934768759</v>
      </c>
      <c r="H475" s="35">
        <v>-1.3156575626516794E-2</v>
      </c>
    </row>
    <row r="476" spans="2:8" x14ac:dyDescent="0.35">
      <c r="B476" s="6">
        <v>45614</v>
      </c>
      <c r="C476" s="7" t="s">
        <v>9</v>
      </c>
      <c r="D476" s="9">
        <v>4.071695420392E-3</v>
      </c>
      <c r="E476" s="9">
        <v>4.071695420392E-3</v>
      </c>
      <c r="F476" s="9">
        <v>0.57379541926695588</v>
      </c>
      <c r="G476" s="9">
        <v>0.57379541926695588</v>
      </c>
      <c r="H476" s="35">
        <v>4.0634285012474255E-3</v>
      </c>
    </row>
    <row r="477" spans="2:8" x14ac:dyDescent="0.35">
      <c r="B477" s="6">
        <v>45615</v>
      </c>
      <c r="C477" s="7" t="s">
        <v>9</v>
      </c>
      <c r="D477" s="9">
        <v>3.9762170196953302E-3</v>
      </c>
      <c r="E477" s="9">
        <v>3.9762170196953302E-3</v>
      </c>
      <c r="F477" s="9">
        <v>0.58005317139856372</v>
      </c>
      <c r="G477" s="9">
        <v>0.58005317139856372</v>
      </c>
      <c r="H477" s="35">
        <v>3.9683327615718487E-3</v>
      </c>
    </row>
    <row r="478" spans="2:8" x14ac:dyDescent="0.35">
      <c r="B478" s="6">
        <v>45616</v>
      </c>
      <c r="C478" s="7" t="s">
        <v>9</v>
      </c>
      <c r="D478" s="9">
        <v>5.3207239886037E-5</v>
      </c>
      <c r="E478" s="9">
        <v>5.3207239886037E-5</v>
      </c>
      <c r="F478" s="9">
        <v>0.58013724166668701</v>
      </c>
      <c r="G478" s="9">
        <v>0.58013724166668701</v>
      </c>
      <c r="H478" s="35">
        <v>5.3205824431019448E-5</v>
      </c>
    </row>
    <row r="479" spans="2:8" x14ac:dyDescent="0.35">
      <c r="B479" s="6">
        <v>45617</v>
      </c>
      <c r="C479" s="7" t="s">
        <v>9</v>
      </c>
      <c r="D479" s="9">
        <v>5.49239138397002E-3</v>
      </c>
      <c r="E479" s="9">
        <v>5.49239138397002E-3</v>
      </c>
      <c r="F479" s="9">
        <v>0.58881597383830719</v>
      </c>
      <c r="G479" s="9">
        <v>0.58881597383830719</v>
      </c>
      <c r="H479" s="35">
        <v>5.4773632043962567E-3</v>
      </c>
    </row>
    <row r="480" spans="2:8" x14ac:dyDescent="0.35">
      <c r="B480" s="6">
        <v>45618</v>
      </c>
      <c r="C480" s="7" t="s">
        <v>9</v>
      </c>
      <c r="D480" s="9">
        <v>3.5107146581923299E-3</v>
      </c>
      <c r="E480" s="9">
        <v>3.5107146581923299E-3</v>
      </c>
      <c r="F480" s="9">
        <v>0.59439385336683137</v>
      </c>
      <c r="G480" s="9">
        <v>0.59439385336683137</v>
      </c>
      <c r="H480" s="35">
        <v>3.5045664849393549E-3</v>
      </c>
    </row>
    <row r="481" spans="2:8" x14ac:dyDescent="0.35">
      <c r="B481" s="6">
        <v>45621</v>
      </c>
      <c r="C481" s="7" t="s">
        <v>9</v>
      </c>
      <c r="D481" s="9">
        <v>3.0261671758675798E-3</v>
      </c>
      <c r="E481" s="9">
        <v>3.0261671758675798E-3</v>
      </c>
      <c r="F481" s="9">
        <v>0.59921875571129513</v>
      </c>
      <c r="G481" s="9">
        <v>0.59921875571129513</v>
      </c>
      <c r="H481" s="35">
        <v>3.0215975486289539E-3</v>
      </c>
    </row>
    <row r="482" spans="2:8" x14ac:dyDescent="0.35">
      <c r="B482" s="6">
        <v>45622</v>
      </c>
      <c r="C482" s="7" t="s">
        <v>9</v>
      </c>
      <c r="D482" s="9">
        <v>5.7910351332448699E-3</v>
      </c>
      <c r="E482" s="9">
        <v>5.7910351332448699E-3</v>
      </c>
      <c r="F482" s="9">
        <v>0.6084798877113633</v>
      </c>
      <c r="G482" s="9">
        <v>0.6084798877113633</v>
      </c>
      <c r="H482" s="35">
        <v>5.774331545637783E-3</v>
      </c>
    </row>
    <row r="483" spans="2:8" x14ac:dyDescent="0.35">
      <c r="B483" s="6">
        <v>45623</v>
      </c>
      <c r="C483" s="7" t="s">
        <v>9</v>
      </c>
      <c r="D483" s="9">
        <v>-3.7412500274590201E-3</v>
      </c>
      <c r="E483" s="9">
        <v>-3.7412500274590201E-3</v>
      </c>
      <c r="F483" s="9">
        <v>0.60246216228729588</v>
      </c>
      <c r="G483" s="9">
        <v>0.60246216228729588</v>
      </c>
      <c r="H483" s="35">
        <v>-3.7482660078341575E-3</v>
      </c>
    </row>
    <row r="484" spans="2:8" x14ac:dyDescent="0.35">
      <c r="B484" s="6">
        <v>45625</v>
      </c>
      <c r="C484" s="7" t="s">
        <v>9</v>
      </c>
      <c r="D484" s="9">
        <v>5.7063217377022702E-3</v>
      </c>
      <c r="E484" s="9">
        <v>5.7063217377022702E-3</v>
      </c>
      <c r="F484" s="9">
        <v>0.61160632695780115</v>
      </c>
      <c r="G484" s="9">
        <v>0.61160632695780115</v>
      </c>
      <c r="H484" s="35">
        <v>5.6901023565679295E-3</v>
      </c>
    </row>
    <row r="485" spans="2:8" x14ac:dyDescent="0.35">
      <c r="B485" s="6">
        <v>45628</v>
      </c>
      <c r="C485" s="7" t="s">
        <v>9</v>
      </c>
      <c r="D485" s="9">
        <v>2.5666943622691201E-3</v>
      </c>
      <c r="E485" s="9">
        <v>2.5666943622691201E-3</v>
      </c>
      <c r="F485" s="9">
        <v>0.615742827831401</v>
      </c>
      <c r="G485" s="9">
        <v>0.615742827831401</v>
      </c>
      <c r="H485" s="35">
        <v>2.5634060278588227E-3</v>
      </c>
    </row>
    <row r="486" spans="2:8" x14ac:dyDescent="0.35">
      <c r="B486" s="6">
        <v>45629</v>
      </c>
      <c r="C486" s="7" t="s">
        <v>9</v>
      </c>
      <c r="D486" s="9">
        <v>4.71303996356255E-4</v>
      </c>
      <c r="E486" s="9">
        <v>4.71303996356255E-4</v>
      </c>
      <c r="F486" s="9">
        <v>0.61650433388324188</v>
      </c>
      <c r="G486" s="9">
        <v>0.61650433388324188</v>
      </c>
      <c r="H486" s="35">
        <v>4.7119296751189644E-4</v>
      </c>
    </row>
    <row r="487" spans="2:8" x14ac:dyDescent="0.35">
      <c r="B487" s="6">
        <v>45630</v>
      </c>
      <c r="C487" s="7" t="s">
        <v>9</v>
      </c>
      <c r="D487" s="9">
        <v>6.0713044749772004E-3</v>
      </c>
      <c r="E487" s="9">
        <v>6.0713044749772004E-3</v>
      </c>
      <c r="F487" s="9">
        <v>0.62631862387936721</v>
      </c>
      <c r="G487" s="9">
        <v>0.62631862387936721</v>
      </c>
      <c r="H487" s="35">
        <v>6.05294836551417E-3</v>
      </c>
    </row>
    <row r="488" spans="2:8" x14ac:dyDescent="0.35">
      <c r="B488" s="6">
        <v>45631</v>
      </c>
      <c r="C488" s="7" t="s">
        <v>9</v>
      </c>
      <c r="D488" s="9">
        <v>-1.80852689715516E-3</v>
      </c>
      <c r="E488" s="9">
        <v>-1.80852689715516E-3</v>
      </c>
      <c r="F488" s="9">
        <v>0.6233773829047371</v>
      </c>
      <c r="G488" s="9">
        <v>0.6233773829047371</v>
      </c>
      <c r="H488" s="35">
        <v>-1.8101642563606137E-3</v>
      </c>
    </row>
    <row r="489" spans="2:8" x14ac:dyDescent="0.35">
      <c r="B489" s="6">
        <v>45632</v>
      </c>
      <c r="C489" s="7" t="s">
        <v>9</v>
      </c>
      <c r="D489" s="9">
        <v>2.60887708706416E-3</v>
      </c>
      <c r="E489" s="9">
        <v>2.60887708706416E-3</v>
      </c>
      <c r="F489" s="9">
        <v>0.62761257496265555</v>
      </c>
      <c r="G489" s="9">
        <v>0.62761257496265555</v>
      </c>
      <c r="H489" s="35">
        <v>2.6054798745603395E-3</v>
      </c>
    </row>
    <row r="490" spans="2:8" x14ac:dyDescent="0.35">
      <c r="B490" s="6">
        <v>45635</v>
      </c>
      <c r="C490" s="7" t="s">
        <v>9</v>
      </c>
      <c r="D490" s="9">
        <v>-6.0044166635474898E-3</v>
      </c>
      <c r="E490" s="9">
        <v>-6.0044166635474898E-3</v>
      </c>
      <c r="F490" s="9">
        <v>0.61783971089575029</v>
      </c>
      <c r="G490" s="9">
        <v>0.61783971089575029</v>
      </c>
      <c r="H490" s="35">
        <v>-6.0225156589229891E-3</v>
      </c>
    </row>
    <row r="491" spans="2:8" x14ac:dyDescent="0.35">
      <c r="B491" s="6">
        <v>45636</v>
      </c>
      <c r="C491" s="7" t="s">
        <v>9</v>
      </c>
      <c r="D491" s="9">
        <v>-2.9431500592321598E-3</v>
      </c>
      <c r="E491" s="9">
        <v>-2.9431500592321598E-3</v>
      </c>
      <c r="F491" s="9">
        <v>0.61307816585479924</v>
      </c>
      <c r="G491" s="9">
        <v>0.61307816585479924</v>
      </c>
      <c r="H491" s="35">
        <v>-2.9474896421552038E-3</v>
      </c>
    </row>
    <row r="492" spans="2:8" x14ac:dyDescent="0.35">
      <c r="B492" s="6">
        <v>45637</v>
      </c>
      <c r="C492" s="7" t="s">
        <v>9</v>
      </c>
      <c r="D492" s="9">
        <v>8.1802464044305606E-3</v>
      </c>
      <c r="E492" s="9">
        <v>8.1802464044305606E-3</v>
      </c>
      <c r="F492" s="9">
        <v>0.62627354272109836</v>
      </c>
      <c r="G492" s="9">
        <v>0.62627354272109836</v>
      </c>
      <c r="H492" s="35">
        <v>8.1469695409346985E-3</v>
      </c>
    </row>
    <row r="493" spans="2:8" x14ac:dyDescent="0.35">
      <c r="B493" s="6">
        <v>45638</v>
      </c>
      <c r="C493" s="7" t="s">
        <v>9</v>
      </c>
      <c r="D493" s="9">
        <v>-5.4144930402749598E-3</v>
      </c>
      <c r="E493" s="9">
        <v>-5.4144930402749598E-3</v>
      </c>
      <c r="F493" s="9">
        <v>0.61746809594245167</v>
      </c>
      <c r="G493" s="9">
        <v>0.61746809594245167</v>
      </c>
      <c r="H493" s="35">
        <v>-5.4292045352715675E-3</v>
      </c>
    </row>
    <row r="494" spans="2:8" x14ac:dyDescent="0.35">
      <c r="B494" s="6">
        <v>45639</v>
      </c>
      <c r="C494" s="7" t="s">
        <v>9</v>
      </c>
      <c r="D494" s="9">
        <v>9.9433230585639797E-5</v>
      </c>
      <c r="E494" s="9">
        <v>9.9433230585639797E-5</v>
      </c>
      <c r="F494" s="9">
        <v>0.61762892602060049</v>
      </c>
      <c r="G494" s="9">
        <v>0.61762892602060049</v>
      </c>
      <c r="H494" s="35">
        <v>9.9428287429700223E-5</v>
      </c>
    </row>
    <row r="495" spans="2:8" x14ac:dyDescent="0.35">
      <c r="B495" s="6">
        <v>45642</v>
      </c>
      <c r="C495" s="7" t="s">
        <v>9</v>
      </c>
      <c r="D495" s="9">
        <v>3.93324776900049E-3</v>
      </c>
      <c r="E495" s="9">
        <v>3.93324776900049E-3</v>
      </c>
      <c r="F495" s="9">
        <v>0.62399146138494155</v>
      </c>
      <c r="G495" s="9">
        <v>0.62399146138494155</v>
      </c>
      <c r="H495" s="35">
        <v>3.9255327733701958E-3</v>
      </c>
    </row>
    <row r="496" spans="2:8" x14ac:dyDescent="0.35">
      <c r="B496" s="6">
        <v>45643</v>
      </c>
      <c r="C496" s="7" t="s">
        <v>9</v>
      </c>
      <c r="D496" s="9">
        <v>-3.84356257662002E-3</v>
      </c>
      <c r="E496" s="9">
        <v>-3.84356257662002E-3</v>
      </c>
      <c r="F496" s="9">
        <v>0.61774954857921194</v>
      </c>
      <c r="G496" s="9">
        <v>0.61774954857921194</v>
      </c>
      <c r="H496" s="35">
        <v>-3.8509680449377638E-3</v>
      </c>
    </row>
    <row r="497" spans="2:8" x14ac:dyDescent="0.35">
      <c r="B497" s="6">
        <v>45644</v>
      </c>
      <c r="C497" s="7" t="s">
        <v>9</v>
      </c>
      <c r="D497" s="9">
        <v>-2.9473811057009799E-2</v>
      </c>
      <c r="E497" s="9">
        <v>-2.9473811057009799E-2</v>
      </c>
      <c r="F497" s="9">
        <v>0.57006830404682551</v>
      </c>
      <c r="G497" s="9">
        <v>0.57006830404682551</v>
      </c>
      <c r="H497" s="35">
        <v>-2.9916891736655526E-2</v>
      </c>
    </row>
    <row r="498" spans="2:8" x14ac:dyDescent="0.35">
      <c r="B498" s="6">
        <v>45645</v>
      </c>
      <c r="C498" s="7" t="s">
        <v>9</v>
      </c>
      <c r="D498" s="9">
        <v>-8.6293797788480702E-4</v>
      </c>
      <c r="E498" s="9">
        <v>-8.6293797788480702E-4</v>
      </c>
      <c r="F498" s="9">
        <v>0.56871343247939032</v>
      </c>
      <c r="G498" s="9">
        <v>0.56871343247939032</v>
      </c>
      <c r="H498" s="35">
        <v>-8.6331052319942763E-4</v>
      </c>
    </row>
    <row r="499" spans="2:8" x14ac:dyDescent="0.35">
      <c r="B499" s="6">
        <v>45646</v>
      </c>
      <c r="C499" s="7" t="s">
        <v>9</v>
      </c>
      <c r="D499" s="9">
        <v>1.09179819325535E-2</v>
      </c>
      <c r="E499" s="9">
        <v>1.09179819325535E-2</v>
      </c>
      <c r="F499" s="9">
        <v>0.58584061739255433</v>
      </c>
      <c r="G499" s="9">
        <v>0.58584061739255433</v>
      </c>
      <c r="H499" s="35">
        <v>1.0858811062555596E-2</v>
      </c>
    </row>
    <row r="500" spans="2:8" x14ac:dyDescent="0.35">
      <c r="B500" s="6">
        <v>45649</v>
      </c>
      <c r="C500" s="7" t="s">
        <v>9</v>
      </c>
      <c r="D500" s="9">
        <v>7.3480714769746198E-3</v>
      </c>
      <c r="E500" s="9">
        <v>7.3480714769746198E-3</v>
      </c>
      <c r="F500" s="9">
        <v>0.59749348760024446</v>
      </c>
      <c r="G500" s="9">
        <v>0.59749348760024446</v>
      </c>
      <c r="H500" s="35">
        <v>7.3212059261442454E-3</v>
      </c>
    </row>
    <row r="501" spans="2:8" x14ac:dyDescent="0.35">
      <c r="B501" s="6">
        <v>45650</v>
      </c>
      <c r="C501" s="7" t="s">
        <v>9</v>
      </c>
      <c r="D501" s="9">
        <v>1.10416205868221E-2</v>
      </c>
      <c r="E501" s="9">
        <v>1.10416205868221E-2</v>
      </c>
      <c r="F501" s="9">
        <v>0.61513240458024532</v>
      </c>
      <c r="G501" s="9">
        <v>0.61513240458024532</v>
      </c>
      <c r="H501" s="35">
        <v>1.0981106932629853E-2</v>
      </c>
    </row>
    <row r="502" spans="2:8" x14ac:dyDescent="0.35">
      <c r="B502" s="6">
        <v>45652</v>
      </c>
      <c r="C502" s="7" t="s">
        <v>9</v>
      </c>
      <c r="D502" s="9">
        <v>-3.2513407065589502E-4</v>
      </c>
      <c r="E502" s="9">
        <v>-3.2513407065589502E-4</v>
      </c>
      <c r="F502" s="9">
        <v>0.61460727000689586</v>
      </c>
      <c r="G502" s="9">
        <v>0.61460727000689586</v>
      </c>
      <c r="H502" s="35">
        <v>-3.2518693819755078E-4</v>
      </c>
    </row>
    <row r="503" spans="2:8" x14ac:dyDescent="0.35">
      <c r="B503" s="6">
        <v>45653</v>
      </c>
      <c r="C503" s="7" t="s">
        <v>9</v>
      </c>
      <c r="D503" s="9">
        <v>-1.0969863625661901E-2</v>
      </c>
      <c r="E503" s="9">
        <v>-1.0969863625661901E-2</v>
      </c>
      <c r="F503" s="9">
        <v>0.59689524844591801</v>
      </c>
      <c r="G503" s="9">
        <v>0.59689524844591801</v>
      </c>
      <c r="H503" s="35">
        <v>-1.1030476262158754E-2</v>
      </c>
    </row>
    <row r="504" spans="2:8" x14ac:dyDescent="0.35">
      <c r="B504" s="6">
        <v>45656</v>
      </c>
      <c r="C504" s="7" t="s">
        <v>9</v>
      </c>
      <c r="D504" s="9">
        <v>-1.06947832316908E-2</v>
      </c>
      <c r="E504" s="9">
        <v>-1.06947832316908E-2</v>
      </c>
      <c r="F504" s="9">
        <v>0.57981679992007185</v>
      </c>
      <c r="G504" s="9">
        <v>0.57981679992007185</v>
      </c>
      <c r="H504" s="35">
        <v>-1.075238347540561E-2</v>
      </c>
    </row>
    <row r="505" spans="2:8" x14ac:dyDescent="0.35">
      <c r="B505" s="6">
        <v>45657</v>
      </c>
      <c r="C505" s="7" t="s">
        <v>9</v>
      </c>
      <c r="D505" s="9">
        <v>-4.1955172748881003E-3</v>
      </c>
      <c r="E505" s="9">
        <v>-4.1955172748881003E-3</v>
      </c>
      <c r="F505" s="9">
        <v>0.57318865124484875</v>
      </c>
      <c r="G505" s="9">
        <v>0.57318865124484875</v>
      </c>
      <c r="H505" s="35">
        <v>-4.2043431522208515E-3</v>
      </c>
    </row>
    <row r="506" spans="2:8" x14ac:dyDescent="0.35">
      <c r="B506" s="6"/>
      <c r="C506" s="7"/>
      <c r="D506" s="9"/>
      <c r="E506" s="9"/>
      <c r="F506" s="9"/>
      <c r="G506" s="9"/>
      <c r="H506" s="35"/>
    </row>
    <row r="507" spans="2:8" x14ac:dyDescent="0.35">
      <c r="B507" s="6"/>
      <c r="C507" s="7"/>
      <c r="D507" s="9"/>
      <c r="E507" s="9"/>
      <c r="F507" s="9"/>
      <c r="G507" s="9"/>
      <c r="H507" s="35"/>
    </row>
    <row r="508" spans="2:8" x14ac:dyDescent="0.35">
      <c r="B508" s="6"/>
      <c r="C508" s="7"/>
      <c r="D508" s="9"/>
      <c r="E508" s="9"/>
      <c r="F508" s="9"/>
      <c r="G508" s="9"/>
      <c r="H508" s="35"/>
    </row>
    <row r="509" spans="2:8" x14ac:dyDescent="0.35">
      <c r="B509" s="6"/>
      <c r="C509" s="7"/>
      <c r="D509" s="9"/>
      <c r="E509" s="9"/>
      <c r="F509" s="9"/>
      <c r="G509" s="9"/>
      <c r="H509" s="35"/>
    </row>
    <row r="510" spans="2:8" x14ac:dyDescent="0.35">
      <c r="B510" s="6"/>
      <c r="C510" s="7"/>
      <c r="D510" s="9"/>
      <c r="E510" s="9"/>
      <c r="F510" s="9"/>
      <c r="G510" s="9"/>
      <c r="H510" s="35"/>
    </row>
    <row r="511" spans="2:8" x14ac:dyDescent="0.35">
      <c r="B511" s="6"/>
      <c r="C511" s="7"/>
      <c r="D511" s="9"/>
      <c r="E511" s="9"/>
      <c r="F511" s="9"/>
      <c r="G511" s="9"/>
      <c r="H511" s="35"/>
    </row>
    <row r="512" spans="2:8" x14ac:dyDescent="0.35">
      <c r="B512" s="6"/>
      <c r="C512" s="7"/>
      <c r="D512" s="9"/>
      <c r="E512" s="9"/>
      <c r="F512" s="9"/>
      <c r="G512" s="9"/>
      <c r="H512" s="35"/>
    </row>
    <row r="513" spans="2:8" x14ac:dyDescent="0.35">
      <c r="B513" s="6"/>
      <c r="C513" s="7"/>
      <c r="D513" s="9"/>
      <c r="E513" s="9"/>
      <c r="F513" s="9"/>
      <c r="G513" s="9"/>
      <c r="H513" s="35"/>
    </row>
    <row r="514" spans="2:8" x14ac:dyDescent="0.35">
      <c r="B514" s="6"/>
      <c r="C514" s="7"/>
      <c r="D514" s="9"/>
      <c r="E514" s="9"/>
      <c r="F514" s="9"/>
      <c r="G514" s="9"/>
      <c r="H514" s="35"/>
    </row>
    <row r="515" spans="2:8" x14ac:dyDescent="0.35">
      <c r="B515" s="6"/>
      <c r="C515" s="7"/>
      <c r="D515" s="9"/>
      <c r="E515" s="9"/>
      <c r="F515" s="9"/>
      <c r="G515" s="9"/>
      <c r="H515" s="35"/>
    </row>
    <row r="516" spans="2:8" x14ac:dyDescent="0.35">
      <c r="B516" s="6"/>
      <c r="C516" s="7"/>
      <c r="D516" s="9"/>
      <c r="E516" s="9"/>
      <c r="F516" s="9"/>
      <c r="G516" s="9"/>
      <c r="H516" s="35"/>
    </row>
    <row r="517" spans="2:8" x14ac:dyDescent="0.35">
      <c r="B517" s="6"/>
      <c r="C517" s="7"/>
      <c r="D517" s="9"/>
      <c r="E517" s="9"/>
      <c r="F517" s="9"/>
      <c r="G517" s="9"/>
      <c r="H517" s="35"/>
    </row>
    <row r="518" spans="2:8" x14ac:dyDescent="0.35">
      <c r="B518" s="6"/>
      <c r="C518" s="7"/>
      <c r="D518" s="9"/>
      <c r="E518" s="9"/>
      <c r="F518" s="9"/>
      <c r="G518" s="9"/>
      <c r="H518" s="35"/>
    </row>
    <row r="519" spans="2:8" x14ac:dyDescent="0.35">
      <c r="B519" s="6"/>
      <c r="C519" s="7"/>
      <c r="D519" s="9"/>
      <c r="E519" s="9"/>
      <c r="F519" s="9"/>
      <c r="G519" s="9"/>
      <c r="H519" s="35"/>
    </row>
    <row r="520" spans="2:8" x14ac:dyDescent="0.35">
      <c r="B520" s="6"/>
      <c r="C520" s="7"/>
      <c r="D520" s="9"/>
      <c r="E520" s="9"/>
      <c r="F520" s="9"/>
      <c r="G520" s="9"/>
      <c r="H520" s="35"/>
    </row>
    <row r="521" spans="2:8" x14ac:dyDescent="0.35">
      <c r="B521" s="6"/>
      <c r="C521" s="7"/>
      <c r="D521" s="9"/>
      <c r="E521" s="9"/>
      <c r="F521" s="9"/>
      <c r="G521" s="9"/>
      <c r="H521" s="35"/>
    </row>
    <row r="522" spans="2:8" x14ac:dyDescent="0.35">
      <c r="B522" s="6"/>
      <c r="C522" s="7"/>
      <c r="D522" s="9"/>
      <c r="E522" s="9"/>
      <c r="F522" s="9"/>
      <c r="G522" s="9"/>
      <c r="H522" s="35"/>
    </row>
    <row r="523" spans="2:8" x14ac:dyDescent="0.35">
      <c r="B523" s="6"/>
      <c r="C523" s="7"/>
      <c r="D523" s="9"/>
      <c r="E523" s="9"/>
      <c r="F523" s="9"/>
      <c r="G523" s="9"/>
      <c r="H523" s="35"/>
    </row>
    <row r="524" spans="2:8" x14ac:dyDescent="0.35">
      <c r="B524" s="6"/>
      <c r="C524" s="7"/>
      <c r="D524" s="9"/>
      <c r="E524" s="9"/>
      <c r="F524" s="9"/>
      <c r="G524" s="9"/>
      <c r="H524" s="35"/>
    </row>
    <row r="525" spans="2:8" x14ac:dyDescent="0.35">
      <c r="B525" s="6"/>
      <c r="C525" s="7"/>
      <c r="D525" s="9"/>
      <c r="E525" s="9"/>
      <c r="F525" s="9"/>
      <c r="G525" s="9"/>
      <c r="H525" s="35"/>
    </row>
    <row r="526" spans="2:8" x14ac:dyDescent="0.35">
      <c r="B526" s="6"/>
      <c r="C526" s="7"/>
      <c r="D526" s="9"/>
      <c r="E526" s="9"/>
      <c r="F526" s="9"/>
      <c r="G526" s="9"/>
      <c r="H526" s="35"/>
    </row>
    <row r="527" spans="2:8" x14ac:dyDescent="0.35">
      <c r="B527" s="6"/>
      <c r="C527" s="7"/>
      <c r="D527" s="9"/>
      <c r="E527" s="9"/>
      <c r="F527" s="9"/>
      <c r="G527" s="9"/>
      <c r="H527" s="35"/>
    </row>
    <row r="528" spans="2:8" x14ac:dyDescent="0.35">
      <c r="B528" s="6"/>
      <c r="C528" s="7"/>
      <c r="D528" s="9"/>
      <c r="E528" s="9"/>
      <c r="F528" s="9"/>
      <c r="G528" s="9"/>
      <c r="H528" s="35"/>
    </row>
    <row r="529" spans="2:8" x14ac:dyDescent="0.35">
      <c r="B529" s="6"/>
      <c r="C529" s="7"/>
      <c r="D529" s="9"/>
      <c r="E529" s="9"/>
      <c r="F529" s="9"/>
      <c r="G529" s="9"/>
      <c r="H529" s="35"/>
    </row>
    <row r="530" spans="2:8" x14ac:dyDescent="0.35">
      <c r="B530" s="6"/>
      <c r="C530" s="7"/>
      <c r="D530" s="9"/>
      <c r="E530" s="9"/>
      <c r="F530" s="9"/>
      <c r="G530" s="9"/>
      <c r="H530" s="35"/>
    </row>
    <row r="531" spans="2:8" x14ac:dyDescent="0.35">
      <c r="B531" s="6"/>
      <c r="C531" s="7"/>
      <c r="D531" s="9"/>
      <c r="E531" s="9"/>
      <c r="F531" s="9"/>
      <c r="G531" s="9"/>
      <c r="H531" s="35"/>
    </row>
    <row r="532" spans="2:8" x14ac:dyDescent="0.35">
      <c r="B532" s="6"/>
      <c r="C532" s="7"/>
      <c r="D532" s="9"/>
      <c r="E532" s="9"/>
      <c r="F532" s="9"/>
      <c r="G532" s="9"/>
      <c r="H532" s="35"/>
    </row>
    <row r="533" spans="2:8" x14ac:dyDescent="0.35">
      <c r="B533" s="6"/>
      <c r="C533" s="7"/>
      <c r="D533" s="9"/>
      <c r="E533" s="9"/>
      <c r="F533" s="9"/>
      <c r="G533" s="9"/>
      <c r="H533" s="35"/>
    </row>
    <row r="534" spans="2:8" x14ac:dyDescent="0.35">
      <c r="B534" s="6"/>
      <c r="C534" s="7"/>
      <c r="D534" s="9"/>
      <c r="E534" s="9"/>
      <c r="F534" s="9"/>
      <c r="G534" s="9"/>
      <c r="H534" s="35"/>
    </row>
    <row r="535" spans="2:8" x14ac:dyDescent="0.35">
      <c r="B535" s="6"/>
      <c r="C535" s="7"/>
      <c r="D535" s="9"/>
      <c r="E535" s="9"/>
      <c r="F535" s="9"/>
      <c r="G535" s="9"/>
      <c r="H535" s="35"/>
    </row>
    <row r="536" spans="2:8" x14ac:dyDescent="0.35">
      <c r="B536" s="6"/>
      <c r="C536" s="7"/>
      <c r="D536" s="9"/>
      <c r="E536" s="9"/>
      <c r="F536" s="9"/>
      <c r="G536" s="9"/>
      <c r="H536" s="35"/>
    </row>
    <row r="537" spans="2:8" x14ac:dyDescent="0.35">
      <c r="B537" s="6"/>
      <c r="C537" s="7"/>
      <c r="D537" s="9"/>
      <c r="E537" s="9"/>
      <c r="F537" s="9"/>
      <c r="G537" s="9"/>
      <c r="H537" s="35"/>
    </row>
    <row r="538" spans="2:8" x14ac:dyDescent="0.35">
      <c r="B538" s="6"/>
      <c r="C538" s="7"/>
      <c r="D538" s="9"/>
      <c r="E538" s="9"/>
      <c r="F538" s="9"/>
      <c r="G538" s="9"/>
      <c r="H538" s="35"/>
    </row>
    <row r="539" spans="2:8" x14ac:dyDescent="0.35">
      <c r="B539" s="6"/>
      <c r="C539" s="7"/>
      <c r="D539" s="9"/>
      <c r="E539" s="9"/>
      <c r="F539" s="9"/>
      <c r="G539" s="9"/>
      <c r="H539" s="35"/>
    </row>
    <row r="540" spans="2:8" x14ac:dyDescent="0.35">
      <c r="B540" s="6"/>
      <c r="C540" s="7"/>
      <c r="D540" s="9"/>
      <c r="E540" s="9"/>
      <c r="F540" s="9"/>
      <c r="G540" s="9"/>
      <c r="H540" s="35"/>
    </row>
    <row r="541" spans="2:8" x14ac:dyDescent="0.35">
      <c r="B541" s="6"/>
      <c r="C541" s="7"/>
      <c r="D541" s="9"/>
      <c r="E541" s="9"/>
      <c r="F541" s="9"/>
      <c r="G541" s="9"/>
      <c r="H541" s="35"/>
    </row>
    <row r="542" spans="2:8" x14ac:dyDescent="0.35">
      <c r="B542" s="6"/>
      <c r="C542" s="7"/>
      <c r="D542" s="9"/>
      <c r="E542" s="9"/>
      <c r="F542" s="9"/>
      <c r="G542" s="9"/>
      <c r="H542" s="35"/>
    </row>
    <row r="543" spans="2:8" x14ac:dyDescent="0.35">
      <c r="B543" s="6"/>
      <c r="C543" s="7"/>
      <c r="D543" s="9"/>
      <c r="E543" s="9"/>
      <c r="F543" s="9"/>
      <c r="G543" s="9"/>
      <c r="H543" s="35"/>
    </row>
    <row r="544" spans="2:8" x14ac:dyDescent="0.35">
      <c r="B544" s="6"/>
      <c r="C544" s="7"/>
      <c r="D544" s="9"/>
      <c r="E544" s="9"/>
      <c r="F544" s="9"/>
      <c r="G544" s="9"/>
      <c r="H544" s="35"/>
    </row>
    <row r="545" spans="2:8" x14ac:dyDescent="0.35">
      <c r="B545" s="6"/>
      <c r="C545" s="7"/>
      <c r="D545" s="9"/>
      <c r="E545" s="9"/>
      <c r="F545" s="9"/>
      <c r="G545" s="9"/>
      <c r="H545" s="35"/>
    </row>
    <row r="546" spans="2:8" x14ac:dyDescent="0.35">
      <c r="B546" s="6"/>
      <c r="C546" s="7"/>
      <c r="D546" s="9"/>
      <c r="E546" s="9"/>
      <c r="F546" s="9"/>
      <c r="G546" s="9"/>
      <c r="H546" s="35"/>
    </row>
    <row r="547" spans="2:8" x14ac:dyDescent="0.35">
      <c r="B547" s="6"/>
      <c r="C547" s="7"/>
      <c r="D547" s="9"/>
      <c r="E547" s="9"/>
      <c r="F547" s="9"/>
      <c r="G547" s="9"/>
      <c r="H547" s="35"/>
    </row>
    <row r="548" spans="2:8" x14ac:dyDescent="0.35">
      <c r="B548" s="6"/>
      <c r="C548" s="7"/>
      <c r="D548" s="9"/>
      <c r="E548" s="9"/>
      <c r="F548" s="9"/>
      <c r="G548" s="9"/>
      <c r="H548" s="35"/>
    </row>
    <row r="549" spans="2:8" x14ac:dyDescent="0.35">
      <c r="B549" s="6"/>
      <c r="C549" s="7"/>
      <c r="D549" s="9"/>
      <c r="E549" s="9"/>
      <c r="F549" s="9"/>
      <c r="G549" s="9"/>
      <c r="H549" s="35"/>
    </row>
    <row r="550" spans="2:8" x14ac:dyDescent="0.35">
      <c r="B550" s="6"/>
      <c r="C550" s="7"/>
      <c r="D550" s="9"/>
      <c r="E550" s="9"/>
      <c r="F550" s="9"/>
      <c r="G550" s="9"/>
      <c r="H550" s="35"/>
    </row>
    <row r="551" spans="2:8" x14ac:dyDescent="0.35">
      <c r="B551" s="6"/>
      <c r="C551" s="7"/>
      <c r="D551" s="9"/>
      <c r="E551" s="9"/>
      <c r="F551" s="9"/>
      <c r="G551" s="9"/>
      <c r="H551" s="35"/>
    </row>
    <row r="552" spans="2:8" x14ac:dyDescent="0.35">
      <c r="B552" s="6"/>
      <c r="C552" s="7"/>
      <c r="D552" s="9"/>
      <c r="E552" s="9"/>
      <c r="F552" s="9"/>
      <c r="G552" s="9"/>
      <c r="H552" s="35"/>
    </row>
    <row r="553" spans="2:8" x14ac:dyDescent="0.35">
      <c r="B553" s="6"/>
      <c r="C553" s="7"/>
      <c r="D553" s="9"/>
      <c r="E553" s="9"/>
      <c r="F553" s="9"/>
      <c r="G553" s="9"/>
      <c r="H553" s="35"/>
    </row>
    <row r="554" spans="2:8" x14ac:dyDescent="0.35">
      <c r="B554" s="6"/>
      <c r="C554" s="7"/>
      <c r="D554" s="9"/>
      <c r="E554" s="9"/>
      <c r="F554" s="9"/>
      <c r="G554" s="9"/>
      <c r="H554" s="35"/>
    </row>
    <row r="555" spans="2:8" x14ac:dyDescent="0.35">
      <c r="B555" s="6"/>
      <c r="C555" s="7"/>
      <c r="D555" s="9"/>
      <c r="E555" s="9"/>
      <c r="F555" s="9"/>
      <c r="G555" s="9"/>
      <c r="H555" s="35"/>
    </row>
    <row r="556" spans="2:8" x14ac:dyDescent="0.35">
      <c r="B556" s="6"/>
      <c r="C556" s="7"/>
      <c r="D556" s="9"/>
      <c r="E556" s="9"/>
      <c r="F556" s="9"/>
      <c r="G556" s="9"/>
      <c r="H556" s="35"/>
    </row>
    <row r="557" spans="2:8" x14ac:dyDescent="0.35">
      <c r="B557" s="6"/>
      <c r="C557" s="7"/>
      <c r="D557" s="9"/>
      <c r="E557" s="9"/>
      <c r="F557" s="9"/>
      <c r="G557" s="9"/>
      <c r="H557" s="35"/>
    </row>
    <row r="558" spans="2:8" x14ac:dyDescent="0.35">
      <c r="B558" s="6"/>
      <c r="C558" s="7"/>
      <c r="D558" s="9"/>
      <c r="E558" s="9"/>
      <c r="F558" s="9"/>
      <c r="G558" s="9"/>
      <c r="H558" s="35"/>
    </row>
    <row r="559" spans="2:8" x14ac:dyDescent="0.35">
      <c r="B559" s="6"/>
      <c r="C559" s="7"/>
      <c r="D559" s="9"/>
      <c r="E559" s="9"/>
      <c r="F559" s="9"/>
      <c r="G559" s="9"/>
      <c r="H559" s="35"/>
    </row>
    <row r="560" spans="2:8" x14ac:dyDescent="0.35">
      <c r="B560" s="6"/>
      <c r="C560" s="7"/>
      <c r="D560" s="9"/>
      <c r="E560" s="9"/>
      <c r="F560" s="9"/>
      <c r="G560" s="9"/>
      <c r="H560" s="35"/>
    </row>
    <row r="561" spans="2:8" x14ac:dyDescent="0.35">
      <c r="B561" s="6"/>
      <c r="C561" s="7"/>
      <c r="D561" s="9"/>
      <c r="E561" s="9"/>
      <c r="F561" s="9"/>
      <c r="G561" s="9"/>
      <c r="H561" s="35"/>
    </row>
    <row r="562" spans="2:8" x14ac:dyDescent="0.35">
      <c r="B562" s="6"/>
      <c r="C562" s="7"/>
      <c r="D562" s="9"/>
      <c r="E562" s="9"/>
      <c r="F562" s="9"/>
      <c r="G562" s="9"/>
      <c r="H562" s="35"/>
    </row>
    <row r="563" spans="2:8" x14ac:dyDescent="0.35">
      <c r="B563" s="6"/>
      <c r="C563" s="7"/>
      <c r="D563" s="9"/>
      <c r="E563" s="9"/>
      <c r="F563" s="9"/>
      <c r="G563" s="9"/>
      <c r="H563" s="35"/>
    </row>
    <row r="564" spans="2:8" x14ac:dyDescent="0.35">
      <c r="B564" s="6"/>
      <c r="C564" s="7"/>
      <c r="D564" s="9"/>
      <c r="E564" s="9"/>
      <c r="F564" s="9"/>
      <c r="G564" s="9"/>
      <c r="H564" s="35"/>
    </row>
    <row r="565" spans="2:8" x14ac:dyDescent="0.35">
      <c r="B565" s="6"/>
      <c r="C565" s="7"/>
      <c r="D565" s="9"/>
      <c r="E565" s="9"/>
      <c r="F565" s="9"/>
      <c r="G565" s="9"/>
      <c r="H565" s="35"/>
    </row>
    <row r="566" spans="2:8" x14ac:dyDescent="0.35">
      <c r="B566" s="6"/>
      <c r="C566" s="7"/>
      <c r="D566" s="9"/>
      <c r="E566" s="9"/>
      <c r="F566" s="9"/>
      <c r="G566" s="9"/>
      <c r="H566" s="35"/>
    </row>
    <row r="567" spans="2:8" x14ac:dyDescent="0.35">
      <c r="B567" s="6"/>
      <c r="C567" s="7"/>
      <c r="D567" s="9"/>
      <c r="E567" s="9"/>
      <c r="F567" s="9"/>
      <c r="G567" s="9"/>
      <c r="H567" s="35"/>
    </row>
    <row r="568" spans="2:8" x14ac:dyDescent="0.35">
      <c r="B568" s="6"/>
      <c r="C568" s="7"/>
      <c r="D568" s="9"/>
      <c r="E568" s="9"/>
      <c r="F568" s="9"/>
      <c r="G568" s="9"/>
      <c r="H568" s="35"/>
    </row>
    <row r="569" spans="2:8" x14ac:dyDescent="0.35">
      <c r="B569" s="6"/>
      <c r="C569" s="7"/>
      <c r="D569" s="9"/>
      <c r="E569" s="9"/>
      <c r="F569" s="9"/>
      <c r="G569" s="9"/>
      <c r="H569" s="35"/>
    </row>
    <row r="570" spans="2:8" x14ac:dyDescent="0.35">
      <c r="B570" s="6"/>
      <c r="C570" s="7"/>
      <c r="D570" s="9"/>
      <c r="E570" s="9"/>
      <c r="F570" s="9"/>
      <c r="G570" s="9"/>
      <c r="H570" s="35"/>
    </row>
    <row r="571" spans="2:8" x14ac:dyDescent="0.35">
      <c r="B571" s="6"/>
      <c r="C571" s="7"/>
      <c r="D571" s="9"/>
      <c r="E571" s="9"/>
      <c r="F571" s="9"/>
      <c r="G571" s="9"/>
      <c r="H571" s="35"/>
    </row>
    <row r="572" spans="2:8" x14ac:dyDescent="0.35">
      <c r="B572" s="6"/>
      <c r="C572" s="7"/>
      <c r="D572" s="9"/>
      <c r="E572" s="9"/>
      <c r="F572" s="9"/>
      <c r="G572" s="9"/>
      <c r="H572" s="35"/>
    </row>
    <row r="573" spans="2:8" x14ac:dyDescent="0.35">
      <c r="B573" s="6"/>
      <c r="C573" s="7"/>
      <c r="D573" s="9"/>
      <c r="E573" s="9"/>
      <c r="F573" s="9"/>
      <c r="G573" s="9"/>
      <c r="H573" s="35"/>
    </row>
    <row r="574" spans="2:8" x14ac:dyDescent="0.35">
      <c r="B574" s="6"/>
      <c r="C574" s="7"/>
      <c r="D574" s="9"/>
      <c r="E574" s="9"/>
      <c r="F574" s="9"/>
      <c r="G574" s="9"/>
      <c r="H574" s="35"/>
    </row>
    <row r="575" spans="2:8" x14ac:dyDescent="0.35">
      <c r="B575" s="6"/>
      <c r="C575" s="7"/>
      <c r="D575" s="9"/>
      <c r="E575" s="9"/>
      <c r="F575" s="9"/>
      <c r="G575" s="9"/>
      <c r="H575" s="35"/>
    </row>
    <row r="576" spans="2:8" x14ac:dyDescent="0.35">
      <c r="B576" s="6"/>
      <c r="C576" s="7"/>
      <c r="D576" s="9"/>
      <c r="E576" s="9"/>
      <c r="F576" s="9"/>
      <c r="G576" s="9"/>
      <c r="H576" s="35"/>
    </row>
    <row r="577" spans="2:8" x14ac:dyDescent="0.35">
      <c r="B577" s="6"/>
      <c r="C577" s="7"/>
      <c r="D577" s="9"/>
      <c r="E577" s="9"/>
      <c r="F577" s="9"/>
      <c r="G577" s="9"/>
      <c r="H577" s="35"/>
    </row>
    <row r="578" spans="2:8" x14ac:dyDescent="0.35">
      <c r="B578" s="6"/>
      <c r="C578" s="7"/>
      <c r="D578" s="9"/>
      <c r="E578" s="9"/>
      <c r="F578" s="9"/>
      <c r="G578" s="9"/>
      <c r="H578" s="35"/>
    </row>
    <row r="579" spans="2:8" x14ac:dyDescent="0.35">
      <c r="B579" s="6"/>
      <c r="C579" s="7"/>
      <c r="D579" s="9"/>
      <c r="E579" s="9"/>
      <c r="F579" s="9"/>
      <c r="G579" s="9"/>
      <c r="H579" s="35"/>
    </row>
    <row r="580" spans="2:8" x14ac:dyDescent="0.35">
      <c r="B580" s="6"/>
      <c r="C580" s="7"/>
      <c r="D580" s="9"/>
      <c r="E580" s="9"/>
      <c r="F580" s="9"/>
      <c r="G580" s="9"/>
      <c r="H580" s="35"/>
    </row>
    <row r="581" spans="2:8" x14ac:dyDescent="0.35">
      <c r="B581" s="6"/>
      <c r="C581" s="7"/>
      <c r="D581" s="9"/>
      <c r="E581" s="9"/>
      <c r="F581" s="9"/>
      <c r="G581" s="9"/>
      <c r="H581" s="35"/>
    </row>
    <row r="582" spans="2:8" x14ac:dyDescent="0.35">
      <c r="B582" s="6"/>
      <c r="C582" s="7"/>
      <c r="D582" s="9"/>
      <c r="E582" s="9"/>
      <c r="F582" s="9"/>
      <c r="G582" s="9"/>
      <c r="H582" s="35"/>
    </row>
    <row r="583" spans="2:8" x14ac:dyDescent="0.35">
      <c r="B583" s="6"/>
      <c r="C583" s="7"/>
      <c r="D583" s="9"/>
      <c r="E583" s="9"/>
      <c r="F583" s="9"/>
      <c r="G583" s="9"/>
      <c r="H583" s="35"/>
    </row>
    <row r="584" spans="2:8" x14ac:dyDescent="0.35">
      <c r="B584" s="6"/>
      <c r="C584" s="7"/>
      <c r="D584" s="9"/>
      <c r="E584" s="9"/>
      <c r="F584" s="9"/>
      <c r="G584" s="9"/>
      <c r="H584" s="35"/>
    </row>
    <row r="585" spans="2:8" x14ac:dyDescent="0.35">
      <c r="B585" s="6"/>
      <c r="C585" s="7"/>
      <c r="D585" s="9"/>
      <c r="E585" s="9"/>
      <c r="F585" s="9"/>
      <c r="G585" s="9"/>
      <c r="H585" s="35"/>
    </row>
    <row r="586" spans="2:8" x14ac:dyDescent="0.35">
      <c r="B586" s="6"/>
      <c r="C586" s="7"/>
      <c r="D586" s="9"/>
      <c r="E586" s="9"/>
      <c r="F586" s="9"/>
      <c r="G586" s="9"/>
      <c r="H586" s="35"/>
    </row>
    <row r="587" spans="2:8" x14ac:dyDescent="0.35">
      <c r="B587" s="6"/>
      <c r="C587" s="7"/>
      <c r="D587" s="9"/>
      <c r="E587" s="9"/>
      <c r="F587" s="9"/>
      <c r="G587" s="9"/>
      <c r="H587" s="35"/>
    </row>
    <row r="588" spans="2:8" x14ac:dyDescent="0.35">
      <c r="B588" s="6"/>
      <c r="C588" s="7"/>
      <c r="D588" s="9"/>
      <c r="E588" s="9"/>
      <c r="F588" s="9"/>
      <c r="G588" s="9"/>
      <c r="H588" s="35"/>
    </row>
    <row r="589" spans="2:8" x14ac:dyDescent="0.35">
      <c r="B589" s="6"/>
      <c r="C589" s="7"/>
      <c r="D589" s="9"/>
      <c r="E589" s="9"/>
      <c r="F589" s="9"/>
      <c r="G589" s="9"/>
      <c r="H589" s="35"/>
    </row>
    <row r="590" spans="2:8" x14ac:dyDescent="0.35">
      <c r="B590" s="6"/>
      <c r="C590" s="7"/>
      <c r="D590" s="9"/>
      <c r="E590" s="9"/>
      <c r="F590" s="9"/>
      <c r="G590" s="9"/>
      <c r="H590" s="35"/>
    </row>
    <row r="591" spans="2:8" x14ac:dyDescent="0.35">
      <c r="B591" s="6"/>
      <c r="C591" s="7"/>
      <c r="D591" s="9"/>
      <c r="E591" s="9"/>
      <c r="F591" s="9"/>
      <c r="G591" s="9"/>
      <c r="H591" s="35"/>
    </row>
    <row r="592" spans="2:8" x14ac:dyDescent="0.35">
      <c r="B592" s="6"/>
      <c r="C592" s="7"/>
      <c r="D592" s="9"/>
      <c r="E592" s="9"/>
      <c r="F592" s="9"/>
      <c r="G592" s="9"/>
      <c r="H592" s="35"/>
    </row>
    <row r="593" spans="2:8" x14ac:dyDescent="0.35">
      <c r="B593" s="6"/>
      <c r="C593" s="7"/>
      <c r="D593" s="9"/>
      <c r="E593" s="9"/>
      <c r="F593" s="9"/>
      <c r="G593" s="9"/>
      <c r="H593" s="35"/>
    </row>
    <row r="594" spans="2:8" x14ac:dyDescent="0.35">
      <c r="B594" s="6"/>
      <c r="C594" s="7"/>
      <c r="D594" s="9"/>
      <c r="E594" s="9"/>
      <c r="F594" s="9"/>
      <c r="G594" s="9"/>
      <c r="H594" s="35"/>
    </row>
    <row r="595" spans="2:8" x14ac:dyDescent="0.35">
      <c r="B595" s="6"/>
      <c r="C595" s="7"/>
      <c r="D595" s="9"/>
      <c r="E595" s="9"/>
      <c r="F595" s="9"/>
      <c r="G595" s="9"/>
      <c r="H595" s="35"/>
    </row>
    <row r="596" spans="2:8" x14ac:dyDescent="0.35">
      <c r="B596" s="6"/>
      <c r="C596" s="7"/>
      <c r="D596" s="9"/>
      <c r="E596" s="9"/>
      <c r="F596" s="9"/>
      <c r="G596" s="9"/>
      <c r="H596" s="35"/>
    </row>
    <row r="597" spans="2:8" x14ac:dyDescent="0.35">
      <c r="B597" s="6"/>
      <c r="C597" s="7"/>
      <c r="D597" s="9"/>
      <c r="E597" s="9"/>
      <c r="F597" s="9"/>
      <c r="G597" s="9"/>
      <c r="H597" s="35"/>
    </row>
    <row r="598" spans="2:8" x14ac:dyDescent="0.35">
      <c r="B598" s="6"/>
      <c r="C598" s="7"/>
      <c r="D598" s="9"/>
      <c r="E598" s="9"/>
      <c r="F598" s="9"/>
      <c r="G598" s="9"/>
      <c r="H598" s="35"/>
    </row>
    <row r="599" spans="2:8" x14ac:dyDescent="0.35">
      <c r="B599" s="6"/>
      <c r="C599" s="7"/>
      <c r="D599" s="9"/>
      <c r="E599" s="9"/>
      <c r="F599" s="9"/>
      <c r="G599" s="9"/>
      <c r="H599" s="35"/>
    </row>
    <row r="600" spans="2:8" x14ac:dyDescent="0.35">
      <c r="B600" s="6"/>
      <c r="C600" s="7"/>
      <c r="D600" s="9"/>
      <c r="E600" s="9"/>
      <c r="F600" s="9"/>
      <c r="G600" s="9"/>
      <c r="H600" s="35"/>
    </row>
    <row r="601" spans="2:8" x14ac:dyDescent="0.35">
      <c r="B601" s="6"/>
      <c r="C601" s="7"/>
      <c r="D601" s="9"/>
      <c r="E601" s="9"/>
      <c r="F601" s="9"/>
      <c r="G601" s="9"/>
      <c r="H601" s="35"/>
    </row>
    <row r="602" spans="2:8" x14ac:dyDescent="0.35">
      <c r="B602" s="6"/>
      <c r="C602" s="7"/>
      <c r="D602" s="9"/>
      <c r="E602" s="9"/>
      <c r="F602" s="9"/>
      <c r="G602" s="9"/>
      <c r="H602" s="35"/>
    </row>
    <row r="603" spans="2:8" x14ac:dyDescent="0.35">
      <c r="B603" s="6"/>
      <c r="C603" s="7"/>
      <c r="D603" s="9"/>
      <c r="E603" s="9"/>
      <c r="F603" s="9"/>
      <c r="G603" s="9"/>
      <c r="H603" s="35"/>
    </row>
    <row r="604" spans="2:8" x14ac:dyDescent="0.35">
      <c r="B604" s="6"/>
      <c r="C604" s="7"/>
      <c r="D604" s="9"/>
      <c r="E604" s="9"/>
      <c r="F604" s="9"/>
      <c r="G604" s="9"/>
      <c r="H604" s="35"/>
    </row>
    <row r="605" spans="2:8" x14ac:dyDescent="0.35">
      <c r="B605" s="6"/>
      <c r="C605" s="7"/>
      <c r="D605" s="9"/>
      <c r="E605" s="9"/>
      <c r="F605" s="9"/>
      <c r="G605" s="9"/>
      <c r="H605" s="35"/>
    </row>
    <row r="606" spans="2:8" x14ac:dyDescent="0.35">
      <c r="B606" s="6"/>
      <c r="C606" s="7"/>
      <c r="D606" s="9"/>
      <c r="E606" s="9"/>
      <c r="F606" s="9"/>
      <c r="G606" s="9"/>
      <c r="H606" s="35"/>
    </row>
    <row r="607" spans="2:8" x14ac:dyDescent="0.35">
      <c r="B607" s="6"/>
      <c r="C607" s="7"/>
      <c r="D607" s="9"/>
      <c r="E607" s="9"/>
      <c r="F607" s="9"/>
      <c r="G607" s="9"/>
      <c r="H607" s="35"/>
    </row>
    <row r="608" spans="2:8" x14ac:dyDescent="0.35">
      <c r="B608" s="6"/>
      <c r="C608" s="7"/>
      <c r="D608" s="9"/>
      <c r="E608" s="9"/>
      <c r="F608" s="9"/>
      <c r="G608" s="9"/>
      <c r="H608" s="35"/>
    </row>
    <row r="609" spans="2:8" x14ac:dyDescent="0.35">
      <c r="B609" s="6"/>
      <c r="C609" s="7"/>
      <c r="D609" s="9"/>
      <c r="E609" s="9"/>
      <c r="F609" s="9"/>
      <c r="G609" s="9"/>
      <c r="H609" s="35"/>
    </row>
    <row r="610" spans="2:8" x14ac:dyDescent="0.35">
      <c r="B610" s="6"/>
      <c r="C610" s="7"/>
      <c r="D610" s="9"/>
      <c r="E610" s="9"/>
      <c r="F610" s="9"/>
      <c r="G610" s="9"/>
      <c r="H610" s="35"/>
    </row>
    <row r="611" spans="2:8" x14ac:dyDescent="0.35">
      <c r="B611" s="6"/>
      <c r="C611" s="7"/>
      <c r="D611" s="9"/>
      <c r="E611" s="9"/>
      <c r="F611" s="9"/>
      <c r="G611" s="9"/>
      <c r="H611" s="35"/>
    </row>
    <row r="612" spans="2:8" x14ac:dyDescent="0.35">
      <c r="B612" s="6"/>
      <c r="C612" s="7"/>
      <c r="D612" s="9"/>
      <c r="E612" s="9"/>
      <c r="F612" s="9"/>
      <c r="G612" s="9"/>
      <c r="H612" s="35"/>
    </row>
    <row r="613" spans="2:8" x14ac:dyDescent="0.35">
      <c r="B613" s="6"/>
      <c r="C613" s="7"/>
      <c r="D613" s="9"/>
      <c r="E613" s="9"/>
      <c r="F613" s="9"/>
      <c r="G613" s="9"/>
      <c r="H613" s="35"/>
    </row>
    <row r="614" spans="2:8" x14ac:dyDescent="0.35">
      <c r="B614" s="6"/>
      <c r="C614" s="7"/>
      <c r="D614" s="9"/>
      <c r="E614" s="9"/>
      <c r="F614" s="9"/>
      <c r="G614" s="9"/>
      <c r="H614" s="35"/>
    </row>
    <row r="615" spans="2:8" x14ac:dyDescent="0.35">
      <c r="B615" s="6"/>
      <c r="C615" s="7"/>
      <c r="D615" s="9"/>
      <c r="E615" s="9"/>
      <c r="F615" s="9"/>
      <c r="G615" s="9"/>
      <c r="H615" s="35"/>
    </row>
    <row r="616" spans="2:8" x14ac:dyDescent="0.35">
      <c r="B616" s="6"/>
      <c r="C616" s="7"/>
      <c r="D616" s="9"/>
      <c r="E616" s="9"/>
      <c r="F616" s="9"/>
      <c r="G616" s="9"/>
      <c r="H616" s="35"/>
    </row>
    <row r="617" spans="2:8" x14ac:dyDescent="0.35">
      <c r="B617" s="6"/>
      <c r="C617" s="7"/>
      <c r="D617" s="9"/>
      <c r="E617" s="9"/>
      <c r="F617" s="9"/>
      <c r="G617" s="9"/>
      <c r="H617" s="35"/>
    </row>
    <row r="618" spans="2:8" x14ac:dyDescent="0.35">
      <c r="B618" s="6"/>
      <c r="C618" s="7"/>
      <c r="D618" s="9"/>
      <c r="E618" s="9"/>
      <c r="F618" s="9"/>
      <c r="G618" s="9"/>
      <c r="H618" s="35"/>
    </row>
    <row r="619" spans="2:8" x14ac:dyDescent="0.35">
      <c r="B619" s="6"/>
      <c r="C619" s="7"/>
      <c r="D619" s="9"/>
      <c r="E619" s="9"/>
      <c r="F619" s="9"/>
      <c r="G619" s="9"/>
      <c r="H619" s="35"/>
    </row>
    <row r="620" spans="2:8" x14ac:dyDescent="0.35">
      <c r="B620" s="6"/>
      <c r="C620" s="7"/>
      <c r="D620" s="9"/>
      <c r="E620" s="9"/>
      <c r="F620" s="9"/>
      <c r="G620" s="9"/>
      <c r="H620" s="35"/>
    </row>
    <row r="621" spans="2:8" x14ac:dyDescent="0.35">
      <c r="B621" s="6"/>
      <c r="C621" s="7"/>
      <c r="D621" s="9"/>
      <c r="E621" s="9"/>
      <c r="F621" s="9"/>
      <c r="G621" s="9"/>
      <c r="H621" s="35"/>
    </row>
    <row r="622" spans="2:8" x14ac:dyDescent="0.35">
      <c r="B622" s="6"/>
      <c r="C622" s="7"/>
      <c r="D622" s="9"/>
      <c r="E622" s="9"/>
      <c r="F622" s="9"/>
      <c r="G622" s="9"/>
      <c r="H622" s="35"/>
    </row>
    <row r="623" spans="2:8" x14ac:dyDescent="0.35">
      <c r="B623" s="6"/>
      <c r="C623" s="7"/>
      <c r="D623" s="9"/>
      <c r="E623" s="9"/>
      <c r="F623" s="9"/>
      <c r="G623" s="9"/>
      <c r="H623" s="35"/>
    </row>
    <row r="624" spans="2:8" x14ac:dyDescent="0.35">
      <c r="B624" s="6"/>
      <c r="C624" s="7"/>
      <c r="D624" s="9"/>
      <c r="E624" s="9"/>
      <c r="F624" s="9"/>
      <c r="G624" s="9"/>
      <c r="H624" s="35"/>
    </row>
    <row r="625" spans="2:8" x14ac:dyDescent="0.35">
      <c r="B625" s="6"/>
      <c r="C625" s="7"/>
      <c r="D625" s="9"/>
      <c r="E625" s="9"/>
      <c r="F625" s="9"/>
      <c r="G625" s="9"/>
      <c r="H625" s="35"/>
    </row>
    <row r="626" spans="2:8" x14ac:dyDescent="0.35">
      <c r="B626" s="6"/>
      <c r="C626" s="7"/>
      <c r="D626" s="9"/>
      <c r="E626" s="9"/>
      <c r="F626" s="9"/>
      <c r="G626" s="9"/>
      <c r="H626" s="35"/>
    </row>
    <row r="627" spans="2:8" x14ac:dyDescent="0.35">
      <c r="B627" s="6"/>
      <c r="C627" s="7"/>
      <c r="D627" s="9"/>
      <c r="E627" s="9"/>
      <c r="F627" s="9"/>
      <c r="G627" s="9"/>
      <c r="H627" s="35"/>
    </row>
    <row r="628" spans="2:8" x14ac:dyDescent="0.35">
      <c r="B628" s="6"/>
      <c r="C628" s="7"/>
      <c r="D628" s="9"/>
      <c r="E628" s="9"/>
      <c r="F628" s="9"/>
      <c r="G628" s="9"/>
      <c r="H628" s="35"/>
    </row>
    <row r="629" spans="2:8" x14ac:dyDescent="0.35">
      <c r="B629" s="6"/>
      <c r="C629" s="7"/>
      <c r="D629" s="9"/>
      <c r="E629" s="9"/>
      <c r="F629" s="9"/>
      <c r="G629" s="9"/>
      <c r="H629" s="35"/>
    </row>
    <row r="630" spans="2:8" x14ac:dyDescent="0.35">
      <c r="B630" s="6"/>
      <c r="C630" s="7"/>
      <c r="D630" s="9"/>
      <c r="E630" s="9"/>
      <c r="F630" s="9"/>
      <c r="G630" s="9"/>
      <c r="H630" s="35"/>
    </row>
    <row r="631" spans="2:8" x14ac:dyDescent="0.35">
      <c r="B631" s="6"/>
      <c r="C631" s="7"/>
      <c r="D631" s="9"/>
      <c r="E631" s="9"/>
      <c r="F631" s="9"/>
      <c r="G631" s="9"/>
      <c r="H631" s="35"/>
    </row>
    <row r="632" spans="2:8" x14ac:dyDescent="0.35">
      <c r="B632" s="6"/>
      <c r="C632" s="7"/>
      <c r="D632" s="9"/>
      <c r="E632" s="9"/>
      <c r="F632" s="9"/>
      <c r="G632" s="9"/>
      <c r="H632" s="35"/>
    </row>
    <row r="633" spans="2:8" x14ac:dyDescent="0.35">
      <c r="B633" s="6"/>
      <c r="C633" s="7"/>
      <c r="D633" s="9"/>
      <c r="E633" s="9"/>
      <c r="F633" s="9"/>
      <c r="G633" s="9"/>
      <c r="H633" s="35"/>
    </row>
    <row r="634" spans="2:8" x14ac:dyDescent="0.35">
      <c r="B634" s="6"/>
      <c r="C634" s="7"/>
      <c r="D634" s="9"/>
      <c r="E634" s="9"/>
      <c r="F634" s="9"/>
      <c r="G634" s="9"/>
      <c r="H634" s="35"/>
    </row>
    <row r="635" spans="2:8" x14ac:dyDescent="0.35">
      <c r="B635" s="6"/>
      <c r="C635" s="7"/>
      <c r="D635" s="9"/>
      <c r="E635" s="9"/>
      <c r="F635" s="9"/>
      <c r="G635" s="9"/>
      <c r="H635" s="35"/>
    </row>
    <row r="636" spans="2:8" x14ac:dyDescent="0.35">
      <c r="B636" s="6"/>
      <c r="C636" s="7"/>
      <c r="D636" s="9"/>
      <c r="E636" s="9"/>
      <c r="F636" s="9"/>
      <c r="G636" s="9"/>
      <c r="H636" s="35"/>
    </row>
    <row r="637" spans="2:8" x14ac:dyDescent="0.35">
      <c r="B637" s="6"/>
      <c r="C637" s="7"/>
      <c r="D637" s="9"/>
      <c r="E637" s="9"/>
      <c r="F637" s="9"/>
      <c r="G637" s="9"/>
      <c r="H637" s="35"/>
    </row>
    <row r="638" spans="2:8" x14ac:dyDescent="0.35">
      <c r="B638" s="6"/>
      <c r="C638" s="7"/>
      <c r="D638" s="9"/>
      <c r="E638" s="9"/>
      <c r="F638" s="9"/>
      <c r="G638" s="9"/>
      <c r="H638" s="35"/>
    </row>
    <row r="639" spans="2:8" x14ac:dyDescent="0.35">
      <c r="B639" s="6"/>
      <c r="C639" s="7"/>
      <c r="D639" s="9"/>
      <c r="E639" s="9"/>
      <c r="F639" s="9"/>
      <c r="G639" s="9"/>
      <c r="H639" s="35"/>
    </row>
    <row r="640" spans="2:8" x14ac:dyDescent="0.35">
      <c r="B640" s="6"/>
      <c r="C640" s="7"/>
      <c r="D640" s="9"/>
      <c r="E640" s="9"/>
      <c r="F640" s="9"/>
      <c r="G640" s="9"/>
      <c r="H640" s="35"/>
    </row>
    <row r="641" spans="2:8" x14ac:dyDescent="0.35">
      <c r="B641" s="6"/>
      <c r="C641" s="7"/>
      <c r="D641" s="9"/>
      <c r="E641" s="9"/>
      <c r="F641" s="9"/>
      <c r="G641" s="9"/>
      <c r="H641" s="35"/>
    </row>
    <row r="642" spans="2:8" x14ac:dyDescent="0.35">
      <c r="B642" s="6"/>
      <c r="C642" s="7"/>
      <c r="D642" s="9"/>
      <c r="E642" s="9"/>
      <c r="F642" s="9"/>
      <c r="G642" s="9"/>
      <c r="H642" s="35"/>
    </row>
    <row r="643" spans="2:8" x14ac:dyDescent="0.35">
      <c r="B643" s="6"/>
      <c r="C643" s="7"/>
      <c r="D643" s="9"/>
      <c r="E643" s="9"/>
      <c r="F643" s="9"/>
      <c r="G643" s="9"/>
      <c r="H643" s="35"/>
    </row>
    <row r="644" spans="2:8" x14ac:dyDescent="0.35">
      <c r="B644" s="6"/>
      <c r="C644" s="7"/>
      <c r="D644" s="9"/>
      <c r="E644" s="9"/>
      <c r="F644" s="9"/>
      <c r="G644" s="9"/>
      <c r="H644" s="35"/>
    </row>
    <row r="645" spans="2:8" x14ac:dyDescent="0.35">
      <c r="B645" s="6"/>
      <c r="C645" s="7"/>
      <c r="D645" s="9"/>
      <c r="E645" s="9"/>
      <c r="F645" s="9"/>
      <c r="G645" s="9"/>
      <c r="H645" s="35"/>
    </row>
    <row r="646" spans="2:8" x14ac:dyDescent="0.35">
      <c r="B646" s="6"/>
      <c r="C646" s="7"/>
      <c r="D646" s="9"/>
      <c r="E646" s="9"/>
      <c r="F646" s="9"/>
      <c r="G646" s="9"/>
      <c r="H646" s="35"/>
    </row>
    <row r="647" spans="2:8" x14ac:dyDescent="0.35">
      <c r="B647" s="6"/>
      <c r="C647" s="7"/>
      <c r="D647" s="9"/>
      <c r="E647" s="9"/>
      <c r="F647" s="9"/>
      <c r="G647" s="9"/>
      <c r="H647" s="35"/>
    </row>
    <row r="648" spans="2:8" x14ac:dyDescent="0.35">
      <c r="B648" s="6"/>
      <c r="C648" s="7"/>
      <c r="D648" s="9"/>
      <c r="E648" s="9"/>
      <c r="F648" s="9"/>
      <c r="G648" s="9"/>
      <c r="H648" s="35"/>
    </row>
    <row r="649" spans="2:8" x14ac:dyDescent="0.35">
      <c r="B649" s="6"/>
      <c r="C649" s="7"/>
      <c r="D649" s="9"/>
      <c r="E649" s="9"/>
      <c r="F649" s="9"/>
      <c r="G649" s="9"/>
      <c r="H649" s="35"/>
    </row>
    <row r="650" spans="2:8" x14ac:dyDescent="0.35">
      <c r="B650" s="6"/>
      <c r="C650" s="7"/>
      <c r="D650" s="9"/>
      <c r="E650" s="9"/>
      <c r="F650" s="9"/>
      <c r="G650" s="9"/>
      <c r="H650" s="35"/>
    </row>
    <row r="651" spans="2:8" x14ac:dyDescent="0.35">
      <c r="B651" s="6"/>
      <c r="C651" s="7"/>
      <c r="D651" s="9"/>
      <c r="E651" s="9"/>
      <c r="F651" s="9"/>
      <c r="G651" s="9"/>
      <c r="H651" s="35"/>
    </row>
    <row r="652" spans="2:8" x14ac:dyDescent="0.35">
      <c r="B652" s="6"/>
      <c r="C652" s="7"/>
      <c r="D652" s="9"/>
      <c r="E652" s="9"/>
      <c r="F652" s="9"/>
      <c r="G652" s="9"/>
      <c r="H652" s="35"/>
    </row>
    <row r="653" spans="2:8" x14ac:dyDescent="0.35">
      <c r="B653" s="6"/>
      <c r="C653" s="7"/>
      <c r="D653" s="9"/>
      <c r="E653" s="9"/>
      <c r="F653" s="9"/>
      <c r="G653" s="9"/>
      <c r="H653" s="35"/>
    </row>
    <row r="654" spans="2:8" x14ac:dyDescent="0.35">
      <c r="B654" s="6"/>
      <c r="C654" s="7"/>
      <c r="D654" s="9"/>
      <c r="E654" s="9"/>
      <c r="F654" s="9"/>
      <c r="G654" s="9"/>
      <c r="H654" s="35"/>
    </row>
    <row r="655" spans="2:8" x14ac:dyDescent="0.35">
      <c r="B655" s="6"/>
      <c r="C655" s="7"/>
      <c r="D655" s="9"/>
      <c r="E655" s="9"/>
      <c r="F655" s="9"/>
      <c r="G655" s="9"/>
      <c r="H655" s="35"/>
    </row>
    <row r="656" spans="2:8" x14ac:dyDescent="0.35">
      <c r="B656" s="6"/>
      <c r="C656" s="7"/>
      <c r="D656" s="9"/>
      <c r="E656" s="9"/>
      <c r="F656" s="9"/>
      <c r="G656" s="9"/>
      <c r="H656" s="35"/>
    </row>
    <row r="657" spans="2:8" x14ac:dyDescent="0.35">
      <c r="B657" s="6"/>
      <c r="C657" s="7"/>
      <c r="D657" s="9"/>
      <c r="E657" s="9"/>
      <c r="F657" s="9"/>
      <c r="G657" s="9"/>
      <c r="H657" s="35"/>
    </row>
    <row r="658" spans="2:8" x14ac:dyDescent="0.35">
      <c r="B658" s="6"/>
      <c r="C658" s="7"/>
      <c r="D658" s="9"/>
      <c r="E658" s="9"/>
      <c r="F658" s="9"/>
      <c r="G658" s="9"/>
      <c r="H658" s="35"/>
    </row>
    <row r="659" spans="2:8" x14ac:dyDescent="0.35">
      <c r="B659" s="6"/>
      <c r="C659" s="7"/>
      <c r="D659" s="9"/>
      <c r="E659" s="9"/>
      <c r="F659" s="9"/>
      <c r="G659" s="9"/>
      <c r="H659" s="35"/>
    </row>
    <row r="660" spans="2:8" x14ac:dyDescent="0.35">
      <c r="B660" s="6"/>
      <c r="C660" s="7"/>
      <c r="D660" s="9"/>
      <c r="E660" s="9"/>
      <c r="F660" s="9"/>
      <c r="G660" s="9"/>
      <c r="H660" s="35"/>
    </row>
    <row r="661" spans="2:8" x14ac:dyDescent="0.35">
      <c r="B661" s="6"/>
      <c r="C661" s="7"/>
      <c r="D661" s="9"/>
      <c r="E661" s="9"/>
      <c r="F661" s="9"/>
      <c r="G661" s="9"/>
      <c r="H661" s="35"/>
    </row>
    <row r="662" spans="2:8" x14ac:dyDescent="0.35">
      <c r="B662" s="6"/>
      <c r="C662" s="7"/>
      <c r="D662" s="9"/>
      <c r="E662" s="9"/>
      <c r="F662" s="9"/>
      <c r="G662" s="9"/>
      <c r="H662" s="35"/>
    </row>
    <row r="663" spans="2:8" x14ac:dyDescent="0.35">
      <c r="B663" s="6"/>
      <c r="C663" s="7"/>
      <c r="D663" s="9"/>
      <c r="E663" s="9"/>
      <c r="F663" s="9"/>
      <c r="G663" s="9"/>
      <c r="H663" s="35"/>
    </row>
    <row r="664" spans="2:8" x14ac:dyDescent="0.35">
      <c r="B664" s="6"/>
      <c r="C664" s="7"/>
      <c r="D664" s="9"/>
      <c r="E664" s="9"/>
      <c r="F664" s="9"/>
      <c r="G664" s="9"/>
      <c r="H664" s="35"/>
    </row>
    <row r="665" spans="2:8" x14ac:dyDescent="0.35">
      <c r="B665" s="6"/>
      <c r="C665" s="7"/>
      <c r="D665" s="9"/>
      <c r="E665" s="9"/>
      <c r="F665" s="9"/>
      <c r="G665" s="9"/>
      <c r="H665" s="35"/>
    </row>
    <row r="666" spans="2:8" x14ac:dyDescent="0.35">
      <c r="B666" s="6"/>
      <c r="C666" s="7"/>
      <c r="D666" s="9"/>
      <c r="E666" s="9"/>
      <c r="F666" s="9"/>
      <c r="G666" s="9"/>
      <c r="H666" s="35"/>
    </row>
    <row r="667" spans="2:8" x14ac:dyDescent="0.35">
      <c r="B667" s="6"/>
      <c r="C667" s="7"/>
      <c r="D667" s="9"/>
      <c r="E667" s="9"/>
      <c r="F667" s="9"/>
      <c r="G667" s="9"/>
      <c r="H667" s="35"/>
    </row>
    <row r="668" spans="2:8" x14ac:dyDescent="0.35">
      <c r="B668" s="6"/>
      <c r="C668" s="7"/>
      <c r="D668" s="9"/>
      <c r="E668" s="9"/>
      <c r="F668" s="9"/>
      <c r="G668" s="9"/>
      <c r="H668" s="35"/>
    </row>
    <row r="669" spans="2:8" x14ac:dyDescent="0.35">
      <c r="B669" s="6"/>
      <c r="C669" s="7"/>
      <c r="D669" s="9"/>
      <c r="E669" s="9"/>
      <c r="F669" s="9"/>
      <c r="G669" s="9"/>
      <c r="H669" s="35"/>
    </row>
    <row r="670" spans="2:8" x14ac:dyDescent="0.35">
      <c r="B670" s="6"/>
      <c r="C670" s="7"/>
      <c r="D670" s="9"/>
      <c r="E670" s="9"/>
      <c r="F670" s="9"/>
      <c r="G670" s="9"/>
      <c r="H670" s="35"/>
    </row>
    <row r="671" spans="2:8" x14ac:dyDescent="0.35">
      <c r="B671" s="6"/>
      <c r="C671" s="7"/>
      <c r="D671" s="9"/>
      <c r="E671" s="9"/>
      <c r="F671" s="9"/>
      <c r="G671" s="9"/>
      <c r="H671" s="35"/>
    </row>
    <row r="672" spans="2:8" x14ac:dyDescent="0.35">
      <c r="B672" s="6"/>
      <c r="C672" s="7"/>
      <c r="D672" s="9"/>
      <c r="E672" s="9"/>
      <c r="F672" s="9"/>
      <c r="G672" s="9"/>
      <c r="H672" s="35"/>
    </row>
    <row r="673" spans="2:8" x14ac:dyDescent="0.35">
      <c r="B673" s="6"/>
      <c r="C673" s="7"/>
      <c r="D673" s="9"/>
      <c r="E673" s="9"/>
      <c r="F673" s="9"/>
      <c r="G673" s="9"/>
      <c r="H673" s="35"/>
    </row>
    <row r="674" spans="2:8" x14ac:dyDescent="0.35">
      <c r="B674" s="6"/>
      <c r="C674" s="7"/>
      <c r="D674" s="9"/>
      <c r="E674" s="9"/>
      <c r="F674" s="9"/>
      <c r="G674" s="9"/>
      <c r="H674" s="35"/>
    </row>
    <row r="675" spans="2:8" x14ac:dyDescent="0.35">
      <c r="B675" s="6"/>
      <c r="C675" s="7"/>
      <c r="D675" s="9"/>
      <c r="E675" s="9"/>
      <c r="F675" s="9"/>
      <c r="G675" s="9"/>
      <c r="H675" s="35"/>
    </row>
    <row r="676" spans="2:8" x14ac:dyDescent="0.35">
      <c r="B676" s="6"/>
      <c r="C676" s="7"/>
      <c r="D676" s="9"/>
      <c r="E676" s="9"/>
      <c r="F676" s="9"/>
      <c r="G676" s="9"/>
      <c r="H676" s="35"/>
    </row>
    <row r="677" spans="2:8" x14ac:dyDescent="0.35">
      <c r="B677" s="6"/>
      <c r="C677" s="7"/>
      <c r="D677" s="9"/>
      <c r="E677" s="9"/>
      <c r="F677" s="9"/>
      <c r="G677" s="9"/>
      <c r="H677" s="35"/>
    </row>
    <row r="678" spans="2:8" x14ac:dyDescent="0.35">
      <c r="B678" s="6"/>
      <c r="C678" s="7"/>
      <c r="D678" s="9"/>
      <c r="E678" s="9"/>
      <c r="F678" s="9"/>
      <c r="G678" s="9"/>
      <c r="H678" s="35"/>
    </row>
    <row r="679" spans="2:8" x14ac:dyDescent="0.35">
      <c r="B679" s="6"/>
      <c r="C679" s="7"/>
      <c r="D679" s="9"/>
      <c r="E679" s="9"/>
      <c r="F679" s="9"/>
      <c r="G679" s="9"/>
      <c r="H679" s="35"/>
    </row>
    <row r="680" spans="2:8" x14ac:dyDescent="0.35">
      <c r="B680" s="6"/>
      <c r="C680" s="7"/>
      <c r="D680" s="9"/>
      <c r="E680" s="9"/>
      <c r="F680" s="9"/>
      <c r="G680" s="9"/>
      <c r="H680" s="35"/>
    </row>
    <row r="681" spans="2:8" x14ac:dyDescent="0.35">
      <c r="B681" s="6"/>
      <c r="C681" s="7"/>
      <c r="D681" s="9"/>
      <c r="E681" s="9"/>
      <c r="F681" s="9"/>
      <c r="G681" s="9"/>
      <c r="H681" s="35"/>
    </row>
    <row r="682" spans="2:8" x14ac:dyDescent="0.35">
      <c r="B682" s="6"/>
      <c r="C682" s="7"/>
      <c r="D682" s="9"/>
      <c r="E682" s="9"/>
      <c r="F682" s="9"/>
      <c r="G682" s="9"/>
      <c r="H682" s="35"/>
    </row>
    <row r="683" spans="2:8" x14ac:dyDescent="0.35">
      <c r="B683" s="6"/>
      <c r="C683" s="7"/>
      <c r="D683" s="9"/>
      <c r="E683" s="9"/>
      <c r="F683" s="9"/>
      <c r="G683" s="9"/>
      <c r="H683" s="35"/>
    </row>
    <row r="684" spans="2:8" x14ac:dyDescent="0.35">
      <c r="B684" s="6"/>
      <c r="C684" s="7"/>
      <c r="D684" s="9"/>
      <c r="E684" s="9"/>
      <c r="F684" s="9"/>
      <c r="G684" s="9"/>
      <c r="H684" s="35"/>
    </row>
    <row r="685" spans="2:8" x14ac:dyDescent="0.35">
      <c r="B685" s="6"/>
      <c r="C685" s="7"/>
      <c r="D685" s="9"/>
      <c r="E685" s="9"/>
      <c r="F685" s="9"/>
      <c r="G685" s="9"/>
      <c r="H685" s="35"/>
    </row>
    <row r="686" spans="2:8" x14ac:dyDescent="0.35">
      <c r="B686" s="6"/>
      <c r="C686" s="7"/>
      <c r="D686" s="9"/>
      <c r="E686" s="9"/>
      <c r="F686" s="9"/>
      <c r="G686" s="9"/>
      <c r="H686" s="35"/>
    </row>
    <row r="687" spans="2:8" x14ac:dyDescent="0.35">
      <c r="B687" s="6"/>
      <c r="C687" s="7"/>
      <c r="D687" s="9"/>
      <c r="E687" s="9"/>
      <c r="F687" s="9"/>
      <c r="G687" s="9"/>
      <c r="H687" s="35"/>
    </row>
    <row r="688" spans="2:8" x14ac:dyDescent="0.35">
      <c r="B688" s="6"/>
      <c r="C688" s="7"/>
      <c r="D688" s="9"/>
      <c r="E688" s="9"/>
      <c r="F688" s="9"/>
      <c r="G688" s="9"/>
      <c r="H688" s="35"/>
    </row>
    <row r="689" spans="2:8" x14ac:dyDescent="0.35">
      <c r="B689" s="6"/>
      <c r="C689" s="7"/>
      <c r="D689" s="9"/>
      <c r="E689" s="9"/>
      <c r="F689" s="9"/>
      <c r="G689" s="9"/>
      <c r="H689" s="35"/>
    </row>
    <row r="690" spans="2:8" x14ac:dyDescent="0.35">
      <c r="B690" s="6"/>
      <c r="C690" s="7"/>
      <c r="D690" s="9"/>
      <c r="E690" s="9"/>
      <c r="F690" s="9"/>
      <c r="G690" s="9"/>
      <c r="H690" s="35"/>
    </row>
    <row r="691" spans="2:8" x14ac:dyDescent="0.35">
      <c r="B691" s="6"/>
      <c r="C691" s="7"/>
      <c r="D691" s="9"/>
      <c r="E691" s="9"/>
      <c r="F691" s="9"/>
      <c r="G691" s="9"/>
      <c r="H691" s="35"/>
    </row>
    <row r="692" spans="2:8" x14ac:dyDescent="0.35">
      <c r="B692" s="6"/>
      <c r="C692" s="7"/>
      <c r="D692" s="9"/>
      <c r="E692" s="9"/>
      <c r="F692" s="9"/>
      <c r="G692" s="9"/>
      <c r="H692" s="35"/>
    </row>
    <row r="693" spans="2:8" x14ac:dyDescent="0.35">
      <c r="B693" s="6"/>
      <c r="C693" s="7"/>
      <c r="D693" s="9"/>
      <c r="E693" s="9"/>
      <c r="F693" s="9"/>
      <c r="G693" s="9"/>
      <c r="H693" s="35"/>
    </row>
    <row r="694" spans="2:8" x14ac:dyDescent="0.35">
      <c r="B694" s="6"/>
      <c r="C694" s="7"/>
      <c r="D694" s="9"/>
      <c r="E694" s="9"/>
      <c r="F694" s="9"/>
      <c r="G694" s="9"/>
      <c r="H694" s="35"/>
    </row>
    <row r="695" spans="2:8" x14ac:dyDescent="0.35">
      <c r="B695" s="6"/>
      <c r="C695" s="7"/>
      <c r="D695" s="9"/>
      <c r="E695" s="9"/>
      <c r="F695" s="9"/>
      <c r="G695" s="9"/>
      <c r="H695" s="35"/>
    </row>
    <row r="696" spans="2:8" x14ac:dyDescent="0.35">
      <c r="B696" s="6"/>
      <c r="C696" s="7"/>
      <c r="D696" s="9"/>
      <c r="E696" s="9"/>
      <c r="F696" s="9"/>
      <c r="G696" s="9"/>
      <c r="H696" s="35"/>
    </row>
    <row r="697" spans="2:8" x14ac:dyDescent="0.35">
      <c r="B697" s="6"/>
      <c r="C697" s="7"/>
      <c r="D697" s="9"/>
      <c r="E697" s="9"/>
      <c r="F697" s="9"/>
      <c r="G697" s="9"/>
      <c r="H697" s="35"/>
    </row>
    <row r="698" spans="2:8" x14ac:dyDescent="0.35">
      <c r="B698" s="6"/>
      <c r="C698" s="7"/>
      <c r="D698" s="9"/>
      <c r="E698" s="9"/>
      <c r="F698" s="9"/>
      <c r="G698" s="9"/>
      <c r="H698" s="35"/>
    </row>
    <row r="699" spans="2:8" x14ac:dyDescent="0.35">
      <c r="B699" s="6"/>
      <c r="C699" s="7"/>
      <c r="D699" s="9"/>
      <c r="E699" s="9"/>
      <c r="F699" s="9"/>
      <c r="G699" s="9"/>
      <c r="H699" s="35"/>
    </row>
    <row r="700" spans="2:8" x14ac:dyDescent="0.35">
      <c r="B700" s="6"/>
      <c r="C700" s="7"/>
      <c r="D700" s="9"/>
      <c r="E700" s="9"/>
      <c r="F700" s="9"/>
      <c r="G700" s="9"/>
      <c r="H700" s="35"/>
    </row>
    <row r="701" spans="2:8" x14ac:dyDescent="0.35">
      <c r="B701" s="6"/>
      <c r="C701" s="7"/>
      <c r="D701" s="9"/>
      <c r="E701" s="9"/>
      <c r="F701" s="9"/>
      <c r="G701" s="9"/>
      <c r="H701" s="35"/>
    </row>
    <row r="702" spans="2:8" x14ac:dyDescent="0.35">
      <c r="B702" s="6"/>
      <c r="C702" s="7"/>
      <c r="D702" s="9"/>
      <c r="E702" s="9"/>
      <c r="F702" s="9"/>
      <c r="G702" s="9"/>
      <c r="H702" s="35"/>
    </row>
    <row r="703" spans="2:8" x14ac:dyDescent="0.35">
      <c r="B703" s="6"/>
      <c r="C703" s="7"/>
      <c r="D703" s="9"/>
      <c r="E703" s="9"/>
      <c r="F703" s="9"/>
      <c r="G703" s="9"/>
      <c r="H703" s="35"/>
    </row>
    <row r="704" spans="2:8" x14ac:dyDescent="0.35">
      <c r="B704" s="6"/>
      <c r="C704" s="7"/>
      <c r="D704" s="9"/>
      <c r="E704" s="9"/>
      <c r="F704" s="9"/>
      <c r="G704" s="9"/>
      <c r="H704" s="35"/>
    </row>
    <row r="705" spans="2:8" x14ac:dyDescent="0.35">
      <c r="B705" s="6"/>
      <c r="C705" s="7"/>
      <c r="D705" s="9"/>
      <c r="E705" s="9"/>
      <c r="F705" s="9"/>
      <c r="G705" s="9"/>
      <c r="H705" s="35"/>
    </row>
    <row r="706" spans="2:8" x14ac:dyDescent="0.35">
      <c r="B706" s="6"/>
      <c r="C706" s="7"/>
      <c r="D706" s="9"/>
      <c r="E706" s="9"/>
      <c r="F706" s="9"/>
      <c r="G706" s="9"/>
      <c r="H706" s="35"/>
    </row>
    <row r="707" spans="2:8" x14ac:dyDescent="0.35">
      <c r="B707" s="6"/>
      <c r="C707" s="7"/>
      <c r="D707" s="9"/>
      <c r="E707" s="9"/>
      <c r="F707" s="9"/>
      <c r="G707" s="9"/>
      <c r="H707" s="35"/>
    </row>
    <row r="708" spans="2:8" x14ac:dyDescent="0.35">
      <c r="B708" s="6"/>
      <c r="C708" s="7"/>
      <c r="D708" s="9"/>
      <c r="E708" s="9"/>
      <c r="F708" s="9"/>
      <c r="G708" s="9"/>
      <c r="H708" s="35"/>
    </row>
    <row r="709" spans="2:8" x14ac:dyDescent="0.35">
      <c r="B709" s="6"/>
      <c r="C709" s="7"/>
      <c r="D709" s="9"/>
      <c r="E709" s="9"/>
      <c r="F709" s="9"/>
      <c r="G709" s="9"/>
      <c r="H709" s="35"/>
    </row>
    <row r="710" spans="2:8" x14ac:dyDescent="0.35">
      <c r="B710" s="6"/>
      <c r="C710" s="7"/>
      <c r="D710" s="9"/>
      <c r="E710" s="9"/>
      <c r="F710" s="9"/>
      <c r="G710" s="9"/>
      <c r="H710" s="35"/>
    </row>
    <row r="711" spans="2:8" x14ac:dyDescent="0.35">
      <c r="B711" s="6"/>
      <c r="C711" s="7"/>
      <c r="D711" s="9"/>
      <c r="E711" s="9"/>
      <c r="F711" s="9"/>
      <c r="G711" s="9"/>
      <c r="H711" s="35"/>
    </row>
    <row r="712" spans="2:8" x14ac:dyDescent="0.35">
      <c r="B712" s="6"/>
      <c r="C712" s="7"/>
      <c r="D712" s="9"/>
      <c r="E712" s="9"/>
      <c r="F712" s="9"/>
      <c r="G712" s="9"/>
      <c r="H712" s="35"/>
    </row>
    <row r="713" spans="2:8" x14ac:dyDescent="0.35">
      <c r="B713" s="6"/>
      <c r="C713" s="7"/>
      <c r="D713" s="9"/>
      <c r="E713" s="9"/>
      <c r="F713" s="9"/>
      <c r="G713" s="9"/>
      <c r="H713" s="35"/>
    </row>
    <row r="714" spans="2:8" x14ac:dyDescent="0.35">
      <c r="B714" s="6"/>
      <c r="C714" s="7"/>
      <c r="D714" s="9"/>
      <c r="E714" s="9"/>
      <c r="F714" s="9"/>
      <c r="G714" s="9"/>
      <c r="H714" s="35"/>
    </row>
    <row r="715" spans="2:8" x14ac:dyDescent="0.35">
      <c r="B715" s="6"/>
      <c r="C715" s="7"/>
      <c r="D715" s="9"/>
      <c r="E715" s="9"/>
      <c r="F715" s="9"/>
      <c r="G715" s="9"/>
      <c r="H715" s="35"/>
    </row>
    <row r="716" spans="2:8" x14ac:dyDescent="0.35">
      <c r="B716" s="6"/>
      <c r="C716" s="7"/>
      <c r="D716" s="9"/>
      <c r="E716" s="9"/>
      <c r="F716" s="9"/>
      <c r="G716" s="9"/>
      <c r="H716" s="35"/>
    </row>
    <row r="717" spans="2:8" x14ac:dyDescent="0.35">
      <c r="B717" s="6"/>
      <c r="C717" s="7"/>
      <c r="D717" s="9"/>
      <c r="E717" s="9"/>
      <c r="F717" s="9"/>
      <c r="G717" s="9"/>
      <c r="H717" s="35"/>
    </row>
    <row r="718" spans="2:8" x14ac:dyDescent="0.35">
      <c r="B718" s="6"/>
      <c r="C718" s="7"/>
      <c r="D718" s="9"/>
      <c r="E718" s="9"/>
      <c r="F718" s="9"/>
      <c r="G718" s="9"/>
      <c r="H718" s="35"/>
    </row>
    <row r="719" spans="2:8" x14ac:dyDescent="0.35">
      <c r="B719" s="6"/>
      <c r="C719" s="7"/>
      <c r="D719" s="9"/>
      <c r="E719" s="9"/>
      <c r="F719" s="9"/>
      <c r="G719" s="9"/>
      <c r="H719" s="35"/>
    </row>
    <row r="720" spans="2:8" x14ac:dyDescent="0.35">
      <c r="B720" s="6"/>
      <c r="C720" s="7"/>
      <c r="D720" s="9"/>
      <c r="E720" s="9"/>
      <c r="F720" s="9"/>
      <c r="G720" s="9"/>
      <c r="H720" s="35"/>
    </row>
    <row r="721" spans="2:8" x14ac:dyDescent="0.35">
      <c r="B721" s="6"/>
      <c r="C721" s="7"/>
      <c r="D721" s="9"/>
      <c r="E721" s="9"/>
      <c r="F721" s="9"/>
      <c r="G721" s="9"/>
      <c r="H721" s="35"/>
    </row>
    <row r="722" spans="2:8" x14ac:dyDescent="0.35">
      <c r="B722" s="6"/>
      <c r="C722" s="7"/>
      <c r="D722" s="9"/>
      <c r="E722" s="9"/>
      <c r="F722" s="9"/>
      <c r="G722" s="9"/>
      <c r="H722" s="35"/>
    </row>
    <row r="723" spans="2:8" x14ac:dyDescent="0.35">
      <c r="B723" s="6"/>
      <c r="C723" s="7"/>
      <c r="D723" s="9"/>
      <c r="E723" s="9"/>
      <c r="F723" s="9"/>
      <c r="G723" s="9"/>
      <c r="H723" s="35"/>
    </row>
    <row r="724" spans="2:8" x14ac:dyDescent="0.35">
      <c r="B724" s="6"/>
      <c r="C724" s="7"/>
      <c r="D724" s="9"/>
      <c r="E724" s="9"/>
      <c r="F724" s="9"/>
      <c r="G724" s="9"/>
      <c r="H724" s="35"/>
    </row>
    <row r="725" spans="2:8" x14ac:dyDescent="0.35">
      <c r="B725" s="6"/>
      <c r="C725" s="7"/>
      <c r="D725" s="9"/>
      <c r="E725" s="9"/>
      <c r="F725" s="9"/>
      <c r="G725" s="9"/>
      <c r="H725" s="35"/>
    </row>
    <row r="726" spans="2:8" x14ac:dyDescent="0.35">
      <c r="B726" s="6"/>
      <c r="C726" s="7"/>
      <c r="D726" s="9"/>
      <c r="E726" s="9"/>
      <c r="F726" s="9"/>
      <c r="G726" s="9"/>
      <c r="H726" s="35"/>
    </row>
    <row r="727" spans="2:8" x14ac:dyDescent="0.35">
      <c r="B727" s="6"/>
      <c r="C727" s="7"/>
      <c r="D727" s="9"/>
      <c r="E727" s="9"/>
      <c r="F727" s="9"/>
      <c r="G727" s="9"/>
      <c r="H727" s="35"/>
    </row>
    <row r="728" spans="2:8" x14ac:dyDescent="0.35">
      <c r="B728" s="6"/>
      <c r="C728" s="7"/>
      <c r="D728" s="9"/>
      <c r="E728" s="9"/>
      <c r="F728" s="9"/>
      <c r="G728" s="9"/>
      <c r="H728" s="35"/>
    </row>
    <row r="729" spans="2:8" x14ac:dyDescent="0.35">
      <c r="B729" s="6"/>
      <c r="C729" s="7"/>
      <c r="D729" s="9"/>
      <c r="E729" s="9"/>
      <c r="F729" s="9"/>
      <c r="G729" s="9"/>
      <c r="H729" s="35"/>
    </row>
    <row r="730" spans="2:8" x14ac:dyDescent="0.35">
      <c r="B730" s="6"/>
      <c r="C730" s="7"/>
      <c r="D730" s="9"/>
      <c r="E730" s="9"/>
      <c r="F730" s="9"/>
      <c r="G730" s="9"/>
      <c r="H730" s="35"/>
    </row>
    <row r="731" spans="2:8" x14ac:dyDescent="0.35">
      <c r="B731" s="6"/>
      <c r="C731" s="7"/>
      <c r="D731" s="9"/>
      <c r="E731" s="9"/>
      <c r="F731" s="9"/>
      <c r="G731" s="9"/>
      <c r="H731" s="35"/>
    </row>
    <row r="732" spans="2:8" x14ac:dyDescent="0.35">
      <c r="B732" s="6"/>
      <c r="C732" s="7"/>
      <c r="D732" s="9"/>
      <c r="E732" s="9"/>
      <c r="F732" s="9"/>
      <c r="G732" s="9"/>
      <c r="H732" s="35"/>
    </row>
    <row r="733" spans="2:8" x14ac:dyDescent="0.35">
      <c r="B733" s="6"/>
      <c r="C733" s="7"/>
      <c r="D733" s="9"/>
      <c r="E733" s="9"/>
      <c r="F733" s="9"/>
      <c r="G733" s="9"/>
      <c r="H733" s="35"/>
    </row>
    <row r="734" spans="2:8" x14ac:dyDescent="0.35">
      <c r="B734" s="6"/>
      <c r="C734" s="7"/>
      <c r="D734" s="9"/>
      <c r="E734" s="9"/>
      <c r="F734" s="9"/>
      <c r="G734" s="9"/>
      <c r="H734" s="35"/>
    </row>
    <row r="735" spans="2:8" x14ac:dyDescent="0.35">
      <c r="B735" s="6"/>
      <c r="C735" s="7"/>
      <c r="D735" s="9"/>
      <c r="E735" s="9"/>
      <c r="F735" s="9"/>
      <c r="G735" s="9"/>
      <c r="H735" s="35"/>
    </row>
    <row r="736" spans="2:8" x14ac:dyDescent="0.35">
      <c r="B736" s="6"/>
      <c r="C736" s="7"/>
      <c r="D736" s="9"/>
      <c r="E736" s="9"/>
      <c r="F736" s="9"/>
      <c r="G736" s="9"/>
      <c r="H736" s="35"/>
    </row>
    <row r="737" spans="2:8" x14ac:dyDescent="0.35">
      <c r="B737" s="6"/>
      <c r="C737" s="7"/>
      <c r="D737" s="9"/>
      <c r="E737" s="9"/>
      <c r="F737" s="9"/>
      <c r="G737" s="9"/>
      <c r="H737" s="35"/>
    </row>
    <row r="738" spans="2:8" x14ac:dyDescent="0.35">
      <c r="B738" s="6"/>
      <c r="C738" s="7"/>
      <c r="D738" s="9"/>
      <c r="E738" s="9"/>
      <c r="F738" s="9"/>
      <c r="G738" s="9"/>
      <c r="H738" s="35"/>
    </row>
    <row r="739" spans="2:8" x14ac:dyDescent="0.35">
      <c r="B739" s="6"/>
      <c r="C739" s="7"/>
      <c r="D739" s="9"/>
      <c r="E739" s="9"/>
      <c r="F739" s="9"/>
      <c r="G739" s="9"/>
      <c r="H739" s="35"/>
    </row>
    <row r="740" spans="2:8" x14ac:dyDescent="0.35">
      <c r="B740" s="6"/>
      <c r="C740" s="7"/>
      <c r="D740" s="9"/>
      <c r="E740" s="9"/>
      <c r="F740" s="9"/>
      <c r="G740" s="9"/>
      <c r="H740" s="35"/>
    </row>
    <row r="741" spans="2:8" x14ac:dyDescent="0.35">
      <c r="B741" s="6"/>
      <c r="C741" s="7"/>
      <c r="D741" s="9"/>
      <c r="E741" s="9"/>
      <c r="F741" s="9"/>
      <c r="G741" s="9"/>
      <c r="H741" s="35"/>
    </row>
    <row r="742" spans="2:8" x14ac:dyDescent="0.35">
      <c r="B742" s="6"/>
      <c r="C742" s="7"/>
      <c r="D742" s="9"/>
      <c r="E742" s="9"/>
      <c r="F742" s="9"/>
      <c r="G742" s="9"/>
      <c r="H742" s="35"/>
    </row>
    <row r="743" spans="2:8" x14ac:dyDescent="0.35">
      <c r="B743" s="6"/>
      <c r="C743" s="7"/>
      <c r="D743" s="9"/>
      <c r="E743" s="9"/>
      <c r="F743" s="9"/>
      <c r="G743" s="9"/>
      <c r="H743" s="35"/>
    </row>
    <row r="744" spans="2:8" x14ac:dyDescent="0.35">
      <c r="B744" s="6"/>
      <c r="C744" s="7"/>
      <c r="D744" s="9"/>
      <c r="E744" s="9"/>
      <c r="F744" s="9"/>
      <c r="G744" s="9"/>
      <c r="H744" s="35"/>
    </row>
    <row r="745" spans="2:8" x14ac:dyDescent="0.35">
      <c r="B745" s="6"/>
      <c r="C745" s="7"/>
      <c r="D745" s="9"/>
      <c r="E745" s="9"/>
      <c r="F745" s="9"/>
      <c r="G745" s="9"/>
      <c r="H745" s="35"/>
    </row>
    <row r="746" spans="2:8" x14ac:dyDescent="0.35">
      <c r="B746" s="6"/>
      <c r="C746" s="7"/>
      <c r="D746" s="9"/>
      <c r="E746" s="9"/>
      <c r="F746" s="9"/>
      <c r="G746" s="9"/>
      <c r="H746" s="35"/>
    </row>
    <row r="747" spans="2:8" x14ac:dyDescent="0.35">
      <c r="B747" s="6"/>
      <c r="C747" s="7"/>
      <c r="D747" s="9"/>
      <c r="E747" s="9"/>
      <c r="F747" s="9"/>
      <c r="G747" s="9"/>
      <c r="H747" s="35"/>
    </row>
    <row r="748" spans="2:8" x14ac:dyDescent="0.35">
      <c r="B748" s="6"/>
      <c r="C748" s="7"/>
      <c r="D748" s="9"/>
      <c r="E748" s="9"/>
      <c r="F748" s="9"/>
      <c r="G748" s="9"/>
      <c r="H748" s="35"/>
    </row>
    <row r="749" spans="2:8" x14ac:dyDescent="0.35">
      <c r="B749" s="6"/>
      <c r="C749" s="7"/>
      <c r="D749" s="9"/>
      <c r="E749" s="9"/>
      <c r="F749" s="9"/>
      <c r="G749" s="9"/>
      <c r="H749" s="35"/>
    </row>
    <row r="750" spans="2:8" x14ac:dyDescent="0.35">
      <c r="B750" s="6"/>
      <c r="C750" s="7"/>
      <c r="D750" s="9"/>
      <c r="E750" s="9"/>
      <c r="F750" s="9"/>
      <c r="G750" s="9"/>
      <c r="H750" s="35"/>
    </row>
    <row r="751" spans="2:8" x14ac:dyDescent="0.35">
      <c r="B751" s="6"/>
      <c r="C751" s="7"/>
      <c r="D751" s="9"/>
      <c r="E751" s="9"/>
      <c r="F751" s="9"/>
      <c r="G751" s="9"/>
      <c r="H751" s="35"/>
    </row>
    <row r="752" spans="2:8" x14ac:dyDescent="0.35">
      <c r="B752" s="6"/>
      <c r="C752" s="7"/>
      <c r="D752" s="9"/>
      <c r="E752" s="9"/>
      <c r="F752" s="9"/>
      <c r="G752" s="9"/>
      <c r="H752" s="35"/>
    </row>
    <row r="753" spans="2:8" x14ac:dyDescent="0.35">
      <c r="B753" s="6"/>
      <c r="C753" s="7"/>
      <c r="D753" s="9"/>
      <c r="E753" s="9"/>
      <c r="F753" s="9"/>
      <c r="G753" s="9"/>
      <c r="H753" s="35"/>
    </row>
    <row r="754" spans="2:8" x14ac:dyDescent="0.35">
      <c r="B754" s="6"/>
      <c r="C754" s="7"/>
      <c r="D754" s="9"/>
      <c r="E754" s="9"/>
      <c r="F754" s="9"/>
      <c r="G754" s="9"/>
      <c r="H754" s="35"/>
    </row>
    <row r="755" spans="2:8" x14ac:dyDescent="0.35">
      <c r="B755" s="6"/>
      <c r="C755" s="7"/>
      <c r="D755" s="9"/>
      <c r="E755" s="9"/>
      <c r="F755" s="9"/>
      <c r="G755" s="9"/>
      <c r="H755" s="35"/>
    </row>
    <row r="756" spans="2:8" x14ac:dyDescent="0.35">
      <c r="B756" s="6"/>
      <c r="C756" s="7"/>
      <c r="D756" s="9"/>
      <c r="E756" s="9"/>
      <c r="F756" s="9"/>
      <c r="G756" s="9"/>
      <c r="H756" s="35"/>
    </row>
    <row r="757" spans="2:8" x14ac:dyDescent="0.35">
      <c r="B757" s="6"/>
      <c r="C757" s="7"/>
      <c r="D757" s="9"/>
      <c r="E757" s="9"/>
      <c r="F757" s="9"/>
      <c r="G757" s="9"/>
      <c r="H757" s="35"/>
    </row>
    <row r="758" spans="2:8" x14ac:dyDescent="0.35">
      <c r="B758" s="6"/>
      <c r="C758" s="7"/>
      <c r="D758" s="9"/>
      <c r="E758" s="9"/>
      <c r="F758" s="9"/>
      <c r="G758" s="9"/>
      <c r="H758" s="35"/>
    </row>
    <row r="759" spans="2:8" x14ac:dyDescent="0.35">
      <c r="B759" s="6"/>
      <c r="C759" s="7"/>
      <c r="D759" s="9"/>
      <c r="E759" s="9"/>
      <c r="F759" s="9"/>
      <c r="G759" s="9"/>
      <c r="H759" s="35"/>
    </row>
    <row r="760" spans="2:8" x14ac:dyDescent="0.35">
      <c r="B760" s="6"/>
      <c r="C760" s="7"/>
      <c r="D760" s="9"/>
      <c r="E760" s="9"/>
      <c r="F760" s="9"/>
      <c r="G760" s="9"/>
      <c r="H760" s="35"/>
    </row>
    <row r="761" spans="2:8" x14ac:dyDescent="0.35">
      <c r="B761" s="6"/>
      <c r="C761" s="7"/>
      <c r="D761" s="9"/>
      <c r="E761" s="9"/>
      <c r="F761" s="9"/>
      <c r="G761" s="9"/>
      <c r="H761" s="35"/>
    </row>
    <row r="762" spans="2:8" x14ac:dyDescent="0.35">
      <c r="B762" s="6"/>
      <c r="C762" s="7"/>
      <c r="D762" s="9"/>
      <c r="E762" s="9"/>
      <c r="F762" s="9"/>
      <c r="G762" s="9"/>
      <c r="H762" s="35"/>
    </row>
    <row r="763" spans="2:8" x14ac:dyDescent="0.35">
      <c r="B763" s="6"/>
      <c r="C763" s="7"/>
      <c r="D763" s="9"/>
      <c r="E763" s="9"/>
      <c r="F763" s="9"/>
      <c r="G763" s="9"/>
      <c r="H763" s="35"/>
    </row>
    <row r="764" spans="2:8" x14ac:dyDescent="0.35">
      <c r="B764" s="6"/>
      <c r="C764" s="7"/>
      <c r="D764" s="9"/>
      <c r="E764" s="9"/>
      <c r="F764" s="9"/>
      <c r="G764" s="9"/>
      <c r="H764" s="35"/>
    </row>
    <row r="765" spans="2:8" x14ac:dyDescent="0.35">
      <c r="B765" s="6"/>
      <c r="C765" s="7"/>
      <c r="D765" s="9"/>
      <c r="E765" s="9"/>
      <c r="F765" s="9"/>
      <c r="G765" s="9"/>
      <c r="H765" s="35"/>
    </row>
    <row r="766" spans="2:8" x14ac:dyDescent="0.35">
      <c r="B766" s="6"/>
      <c r="C766" s="7"/>
      <c r="D766" s="9"/>
      <c r="E766" s="9"/>
      <c r="F766" s="9"/>
      <c r="G766" s="9"/>
      <c r="H766" s="35"/>
    </row>
    <row r="767" spans="2:8" x14ac:dyDescent="0.35">
      <c r="B767" s="6"/>
      <c r="C767" s="7"/>
      <c r="D767" s="9"/>
      <c r="E767" s="9"/>
      <c r="F767" s="9"/>
      <c r="G767" s="9"/>
      <c r="H767" s="35"/>
    </row>
    <row r="768" spans="2:8" x14ac:dyDescent="0.35">
      <c r="B768" s="6"/>
      <c r="C768" s="7"/>
      <c r="D768" s="9"/>
      <c r="E768" s="9"/>
      <c r="F768" s="9"/>
      <c r="G768" s="9"/>
      <c r="H768" s="35"/>
    </row>
    <row r="769" spans="2:8" x14ac:dyDescent="0.35">
      <c r="B769" s="6"/>
      <c r="C769" s="7"/>
      <c r="D769" s="9"/>
      <c r="E769" s="9"/>
      <c r="F769" s="9"/>
      <c r="G769" s="9"/>
      <c r="H769" s="35"/>
    </row>
    <row r="770" spans="2:8" x14ac:dyDescent="0.35">
      <c r="B770" s="6"/>
      <c r="C770" s="7"/>
      <c r="D770" s="9"/>
      <c r="E770" s="9"/>
      <c r="F770" s="9"/>
      <c r="G770" s="9"/>
      <c r="H770" s="35"/>
    </row>
    <row r="771" spans="2:8" x14ac:dyDescent="0.35">
      <c r="B771" s="6"/>
      <c r="C771" s="7"/>
      <c r="D771" s="9"/>
      <c r="E771" s="9"/>
      <c r="F771" s="9"/>
      <c r="G771" s="9"/>
      <c r="H771" s="35"/>
    </row>
    <row r="772" spans="2:8" x14ac:dyDescent="0.35">
      <c r="B772" s="6"/>
      <c r="C772" s="7"/>
      <c r="D772" s="9"/>
      <c r="E772" s="9"/>
      <c r="F772" s="9"/>
      <c r="G772" s="9"/>
      <c r="H772" s="35"/>
    </row>
    <row r="773" spans="2:8" x14ac:dyDescent="0.35">
      <c r="B773" s="6"/>
      <c r="C773" s="7"/>
      <c r="D773" s="9"/>
      <c r="E773" s="9"/>
      <c r="F773" s="9"/>
      <c r="G773" s="9"/>
      <c r="H773" s="35"/>
    </row>
    <row r="774" spans="2:8" x14ac:dyDescent="0.35">
      <c r="B774" s="6"/>
      <c r="C774" s="7"/>
      <c r="D774" s="9"/>
      <c r="E774" s="9"/>
      <c r="F774" s="9"/>
      <c r="G774" s="9"/>
      <c r="H774" s="35"/>
    </row>
    <row r="775" spans="2:8" x14ac:dyDescent="0.35">
      <c r="B775" s="6"/>
      <c r="C775" s="7"/>
      <c r="D775" s="9"/>
      <c r="E775" s="9"/>
      <c r="F775" s="9"/>
      <c r="G775" s="9"/>
      <c r="H775" s="35"/>
    </row>
    <row r="776" spans="2:8" x14ac:dyDescent="0.35">
      <c r="B776" s="6"/>
      <c r="C776" s="7"/>
      <c r="D776" s="9"/>
      <c r="E776" s="9"/>
      <c r="F776" s="9"/>
      <c r="G776" s="9"/>
      <c r="H776" s="35"/>
    </row>
    <row r="777" spans="2:8" x14ac:dyDescent="0.35">
      <c r="B777" s="6"/>
      <c r="C777" s="7"/>
      <c r="D777" s="9"/>
      <c r="E777" s="9"/>
      <c r="F777" s="9"/>
      <c r="G777" s="9"/>
      <c r="H777" s="35"/>
    </row>
    <row r="778" spans="2:8" x14ac:dyDescent="0.35">
      <c r="B778" s="6"/>
      <c r="C778" s="7"/>
      <c r="D778" s="9"/>
      <c r="E778" s="9"/>
      <c r="F778" s="9"/>
      <c r="G778" s="9"/>
      <c r="H778" s="35"/>
    </row>
    <row r="779" spans="2:8" x14ac:dyDescent="0.35">
      <c r="B779" s="6"/>
      <c r="C779" s="7"/>
      <c r="D779" s="9"/>
      <c r="E779" s="9"/>
      <c r="F779" s="9"/>
      <c r="G779" s="9"/>
      <c r="H779" s="35"/>
    </row>
    <row r="780" spans="2:8" x14ac:dyDescent="0.35">
      <c r="B780" s="6"/>
      <c r="C780" s="7"/>
      <c r="D780" s="9"/>
      <c r="E780" s="9"/>
      <c r="F780" s="9"/>
      <c r="G780" s="9"/>
      <c r="H780" s="35"/>
    </row>
    <row r="781" spans="2:8" x14ac:dyDescent="0.35">
      <c r="B781" s="6"/>
      <c r="C781" s="7"/>
      <c r="D781" s="9"/>
      <c r="E781" s="9"/>
      <c r="F781" s="9"/>
      <c r="G781" s="9"/>
      <c r="H781" s="35"/>
    </row>
    <row r="782" spans="2:8" x14ac:dyDescent="0.35">
      <c r="B782" s="6"/>
      <c r="C782" s="7"/>
      <c r="D782" s="9"/>
      <c r="E782" s="9"/>
      <c r="F782" s="9"/>
      <c r="G782" s="9"/>
      <c r="H782" s="35"/>
    </row>
    <row r="783" spans="2:8" x14ac:dyDescent="0.35">
      <c r="B783" s="6"/>
      <c r="C783" s="7"/>
      <c r="D783" s="9"/>
      <c r="E783" s="9"/>
      <c r="F783" s="9"/>
      <c r="G783" s="9"/>
      <c r="H783" s="35"/>
    </row>
    <row r="784" spans="2:8" x14ac:dyDescent="0.35">
      <c r="B784" s="6"/>
      <c r="C784" s="7"/>
      <c r="D784" s="9"/>
      <c r="E784" s="9"/>
      <c r="F784" s="9"/>
      <c r="G784" s="9"/>
      <c r="H784" s="35"/>
    </row>
    <row r="785" spans="2:8" x14ac:dyDescent="0.35">
      <c r="B785" s="6"/>
      <c r="C785" s="7"/>
      <c r="D785" s="9"/>
      <c r="E785" s="9"/>
      <c r="F785" s="9"/>
      <c r="G785" s="9"/>
      <c r="H785" s="35"/>
    </row>
    <row r="786" spans="2:8" x14ac:dyDescent="0.35">
      <c r="B786" s="6"/>
      <c r="C786" s="7"/>
      <c r="D786" s="9"/>
      <c r="E786" s="9"/>
      <c r="F786" s="9"/>
      <c r="G786" s="9"/>
      <c r="H786" s="35"/>
    </row>
    <row r="787" spans="2:8" x14ac:dyDescent="0.35">
      <c r="B787" s="6"/>
      <c r="C787" s="7"/>
      <c r="D787" s="9"/>
      <c r="E787" s="9"/>
      <c r="F787" s="9"/>
      <c r="G787" s="9"/>
      <c r="H787" s="35"/>
    </row>
    <row r="788" spans="2:8" x14ac:dyDescent="0.35">
      <c r="B788" s="6"/>
      <c r="C788" s="7"/>
      <c r="D788" s="9"/>
      <c r="E788" s="9"/>
      <c r="F788" s="9"/>
      <c r="G788" s="9"/>
      <c r="H788" s="35"/>
    </row>
    <row r="789" spans="2:8" x14ac:dyDescent="0.35">
      <c r="B789" s="6"/>
      <c r="C789" s="7"/>
      <c r="D789" s="9"/>
      <c r="E789" s="9"/>
      <c r="F789" s="9"/>
      <c r="G789" s="9"/>
      <c r="H789" s="35"/>
    </row>
    <row r="790" spans="2:8" x14ac:dyDescent="0.35">
      <c r="B790" s="6"/>
      <c r="C790" s="7"/>
      <c r="D790" s="9"/>
      <c r="E790" s="9"/>
      <c r="F790" s="9"/>
      <c r="G790" s="9"/>
      <c r="H790" s="35"/>
    </row>
    <row r="791" spans="2:8" x14ac:dyDescent="0.35">
      <c r="B791" s="6"/>
      <c r="C791" s="7"/>
      <c r="D791" s="9"/>
      <c r="E791" s="9"/>
      <c r="F791" s="9"/>
      <c r="G791" s="9"/>
      <c r="H791" s="35"/>
    </row>
    <row r="792" spans="2:8" x14ac:dyDescent="0.35">
      <c r="B792" s="6"/>
      <c r="C792" s="7"/>
      <c r="D792" s="9"/>
      <c r="E792" s="9"/>
      <c r="F792" s="9"/>
      <c r="G792" s="9"/>
      <c r="H792" s="35"/>
    </row>
    <row r="793" spans="2:8" x14ac:dyDescent="0.35">
      <c r="B793" s="6"/>
      <c r="C793" s="7"/>
      <c r="D793" s="9"/>
      <c r="E793" s="9"/>
      <c r="F793" s="9"/>
      <c r="G793" s="9"/>
      <c r="H793" s="35"/>
    </row>
    <row r="794" spans="2:8" x14ac:dyDescent="0.35">
      <c r="B794" s="6"/>
      <c r="C794" s="7"/>
      <c r="D794" s="9"/>
      <c r="E794" s="9"/>
      <c r="F794" s="9"/>
      <c r="G794" s="9"/>
      <c r="H794" s="35"/>
    </row>
    <row r="795" spans="2:8" x14ac:dyDescent="0.35">
      <c r="B795" s="6"/>
      <c r="C795" s="7"/>
      <c r="D795" s="9"/>
      <c r="E795" s="9"/>
      <c r="F795" s="9"/>
      <c r="G795" s="9"/>
      <c r="H795" s="35"/>
    </row>
    <row r="796" spans="2:8" x14ac:dyDescent="0.35">
      <c r="B796" s="6"/>
      <c r="C796" s="7"/>
      <c r="D796" s="9"/>
      <c r="E796" s="9"/>
      <c r="F796" s="9"/>
      <c r="G796" s="9"/>
      <c r="H796" s="35"/>
    </row>
    <row r="797" spans="2:8" x14ac:dyDescent="0.35">
      <c r="B797" s="6"/>
      <c r="C797" s="7"/>
      <c r="D797" s="9"/>
      <c r="E797" s="9"/>
      <c r="F797" s="9"/>
      <c r="G797" s="9"/>
      <c r="H797" s="35"/>
    </row>
    <row r="798" spans="2:8" x14ac:dyDescent="0.35">
      <c r="B798" s="6"/>
      <c r="C798" s="7"/>
      <c r="D798" s="9"/>
      <c r="E798" s="9"/>
      <c r="F798" s="9"/>
      <c r="G798" s="9"/>
      <c r="H798" s="35"/>
    </row>
    <row r="799" spans="2:8" x14ac:dyDescent="0.35">
      <c r="B799" s="6"/>
      <c r="C799" s="7"/>
      <c r="D799" s="9"/>
      <c r="E799" s="9"/>
      <c r="F799" s="9"/>
      <c r="G799" s="9"/>
      <c r="H799" s="35"/>
    </row>
    <row r="800" spans="2:8" x14ac:dyDescent="0.35">
      <c r="B800" s="6"/>
      <c r="C800" s="7"/>
      <c r="D800" s="9"/>
      <c r="E800" s="9"/>
      <c r="F800" s="9"/>
      <c r="G800" s="9"/>
      <c r="H800" s="35"/>
    </row>
    <row r="801" spans="2:8" x14ac:dyDescent="0.35">
      <c r="B801" s="6"/>
      <c r="C801" s="7"/>
      <c r="D801" s="9"/>
      <c r="E801" s="9"/>
      <c r="F801" s="9"/>
      <c r="G801" s="9"/>
      <c r="H801" s="35"/>
    </row>
    <row r="802" spans="2:8" x14ac:dyDescent="0.35">
      <c r="B802" s="6"/>
      <c r="C802" s="7"/>
      <c r="D802" s="9"/>
      <c r="E802" s="9"/>
      <c r="F802" s="9"/>
      <c r="G802" s="9"/>
      <c r="H802" s="35"/>
    </row>
    <row r="803" spans="2:8" x14ac:dyDescent="0.35">
      <c r="B803" s="6"/>
      <c r="C803" s="7"/>
      <c r="D803" s="9"/>
      <c r="E803" s="9"/>
      <c r="F803" s="9"/>
      <c r="G803" s="9"/>
      <c r="H803" s="35"/>
    </row>
    <row r="804" spans="2:8" x14ac:dyDescent="0.35">
      <c r="B804" s="6"/>
      <c r="C804" s="7"/>
      <c r="D804" s="9"/>
      <c r="E804" s="9"/>
      <c r="F804" s="9"/>
      <c r="G804" s="9"/>
      <c r="H804" s="35"/>
    </row>
    <row r="805" spans="2:8" x14ac:dyDescent="0.35">
      <c r="B805" s="6"/>
      <c r="C805" s="7"/>
      <c r="D805" s="9"/>
      <c r="E805" s="9"/>
      <c r="F805" s="9"/>
      <c r="G805" s="9"/>
      <c r="H805" s="35"/>
    </row>
    <row r="806" spans="2:8" x14ac:dyDescent="0.35">
      <c r="B806" s="6"/>
      <c r="C806" s="7"/>
      <c r="D806" s="9"/>
      <c r="E806" s="9"/>
      <c r="F806" s="9"/>
      <c r="G806" s="9"/>
      <c r="H806" s="35"/>
    </row>
    <row r="807" spans="2:8" x14ac:dyDescent="0.35">
      <c r="B807" s="6"/>
      <c r="C807" s="7"/>
      <c r="D807" s="9"/>
      <c r="E807" s="9"/>
      <c r="F807" s="9"/>
      <c r="G807" s="9"/>
      <c r="H807" s="35"/>
    </row>
    <row r="808" spans="2:8" x14ac:dyDescent="0.35">
      <c r="B808" s="6"/>
      <c r="C808" s="7"/>
      <c r="D808" s="9"/>
      <c r="E808" s="9"/>
      <c r="F808" s="9"/>
      <c r="G808" s="9"/>
      <c r="H808" s="35"/>
    </row>
    <row r="809" spans="2:8" x14ac:dyDescent="0.35">
      <c r="B809" s="6"/>
      <c r="C809" s="7"/>
      <c r="D809" s="9"/>
      <c r="E809" s="9"/>
      <c r="F809" s="9"/>
      <c r="G809" s="9"/>
      <c r="H809" s="35"/>
    </row>
    <row r="810" spans="2:8" x14ac:dyDescent="0.35">
      <c r="B810" s="6"/>
      <c r="C810" s="7"/>
      <c r="D810" s="9"/>
      <c r="E810" s="9"/>
      <c r="F810" s="9"/>
      <c r="G810" s="9"/>
      <c r="H810" s="35"/>
    </row>
    <row r="811" spans="2:8" x14ac:dyDescent="0.35">
      <c r="B811" s="6"/>
      <c r="C811" s="7"/>
      <c r="D811" s="9"/>
      <c r="E811" s="9"/>
      <c r="F811" s="9"/>
      <c r="G811" s="9"/>
      <c r="H811" s="35"/>
    </row>
    <row r="812" spans="2:8" x14ac:dyDescent="0.35">
      <c r="B812" s="6"/>
      <c r="C812" s="7"/>
      <c r="D812" s="9"/>
      <c r="E812" s="9"/>
      <c r="F812" s="9"/>
      <c r="G812" s="9"/>
      <c r="H812" s="35"/>
    </row>
    <row r="813" spans="2:8" x14ac:dyDescent="0.35">
      <c r="B813" s="6"/>
      <c r="C813" s="7"/>
      <c r="D813" s="9"/>
      <c r="E813" s="9"/>
      <c r="F813" s="9"/>
      <c r="G813" s="9"/>
      <c r="H813" s="35"/>
    </row>
    <row r="814" spans="2:8" x14ac:dyDescent="0.35">
      <c r="B814" s="6"/>
      <c r="C814" s="7"/>
      <c r="D814" s="9"/>
      <c r="E814" s="9"/>
      <c r="F814" s="9"/>
      <c r="G814" s="9"/>
      <c r="H814" s="35"/>
    </row>
    <row r="815" spans="2:8" x14ac:dyDescent="0.35">
      <c r="B815" s="6"/>
      <c r="C815" s="7"/>
      <c r="D815" s="9"/>
      <c r="E815" s="9"/>
      <c r="F815" s="9"/>
      <c r="G815" s="9"/>
      <c r="H815" s="35"/>
    </row>
    <row r="816" spans="2:8" x14ac:dyDescent="0.35">
      <c r="B816" s="6"/>
      <c r="C816" s="7"/>
      <c r="D816" s="9"/>
      <c r="E816" s="9"/>
      <c r="F816" s="9"/>
      <c r="G816" s="9"/>
      <c r="H816" s="35"/>
    </row>
    <row r="817" spans="2:8" x14ac:dyDescent="0.35">
      <c r="B817" s="6"/>
      <c r="C817" s="7"/>
      <c r="D817" s="9"/>
      <c r="E817" s="9"/>
      <c r="F817" s="9"/>
      <c r="G817" s="9"/>
      <c r="H817" s="35"/>
    </row>
    <row r="818" spans="2:8" x14ac:dyDescent="0.35">
      <c r="B818" s="6"/>
      <c r="C818" s="7"/>
      <c r="D818" s="9"/>
      <c r="E818" s="9"/>
      <c r="F818" s="9"/>
      <c r="G818" s="9"/>
      <c r="H818" s="35"/>
    </row>
    <row r="819" spans="2:8" x14ac:dyDescent="0.35">
      <c r="B819" s="6"/>
      <c r="C819" s="7"/>
      <c r="D819" s="9"/>
      <c r="E819" s="9"/>
      <c r="F819" s="9"/>
      <c r="G819" s="9"/>
      <c r="H819" s="35"/>
    </row>
    <row r="820" spans="2:8" x14ac:dyDescent="0.35">
      <c r="B820" s="6"/>
      <c r="C820" s="7"/>
      <c r="D820" s="9"/>
      <c r="E820" s="9"/>
      <c r="F820" s="9"/>
      <c r="G820" s="9"/>
      <c r="H820" s="35"/>
    </row>
    <row r="821" spans="2:8" x14ac:dyDescent="0.35">
      <c r="B821" s="6"/>
      <c r="C821" s="7"/>
      <c r="D821" s="9"/>
      <c r="E821" s="9"/>
      <c r="F821" s="9"/>
      <c r="G821" s="9"/>
      <c r="H821" s="35"/>
    </row>
    <row r="822" spans="2:8" x14ac:dyDescent="0.35">
      <c r="B822" s="6"/>
      <c r="C822" s="7"/>
      <c r="D822" s="9"/>
      <c r="E822" s="9"/>
      <c r="F822" s="9"/>
      <c r="G822" s="9"/>
      <c r="H822" s="35"/>
    </row>
    <row r="823" spans="2:8" x14ac:dyDescent="0.35">
      <c r="B823" s="6"/>
      <c r="C823" s="7"/>
      <c r="D823" s="9"/>
      <c r="E823" s="9"/>
      <c r="F823" s="9"/>
      <c r="G823" s="9"/>
      <c r="H823" s="35"/>
    </row>
    <row r="824" spans="2:8" x14ac:dyDescent="0.35">
      <c r="B824" s="6"/>
      <c r="C824" s="7"/>
      <c r="D824" s="9"/>
      <c r="E824" s="9"/>
      <c r="F824" s="9"/>
      <c r="G824" s="9"/>
      <c r="H824" s="35"/>
    </row>
    <row r="825" spans="2:8" x14ac:dyDescent="0.35">
      <c r="B825" s="6"/>
      <c r="C825" s="7"/>
      <c r="D825" s="9"/>
      <c r="E825" s="9"/>
      <c r="F825" s="9"/>
      <c r="G825" s="9"/>
      <c r="H825" s="35"/>
    </row>
    <row r="826" spans="2:8" x14ac:dyDescent="0.35">
      <c r="B826" s="6"/>
      <c r="C826" s="7"/>
      <c r="D826" s="9"/>
      <c r="E826" s="9"/>
      <c r="F826" s="9"/>
      <c r="G826" s="9"/>
      <c r="H826" s="35"/>
    </row>
    <row r="827" spans="2:8" x14ac:dyDescent="0.35">
      <c r="B827" s="6"/>
      <c r="C827" s="7"/>
      <c r="D827" s="9"/>
      <c r="E827" s="9"/>
      <c r="F827" s="9"/>
      <c r="G827" s="9"/>
      <c r="H827" s="35"/>
    </row>
    <row r="828" spans="2:8" x14ac:dyDescent="0.35">
      <c r="B828" s="6"/>
      <c r="C828" s="7"/>
      <c r="D828" s="9"/>
      <c r="E828" s="9"/>
      <c r="F828" s="9"/>
      <c r="G828" s="9"/>
      <c r="H828" s="35"/>
    </row>
    <row r="829" spans="2:8" x14ac:dyDescent="0.35">
      <c r="B829" s="6"/>
      <c r="C829" s="7"/>
      <c r="D829" s="9"/>
      <c r="E829" s="9"/>
      <c r="F829" s="9"/>
      <c r="G829" s="9"/>
      <c r="H829" s="35"/>
    </row>
    <row r="830" spans="2:8" x14ac:dyDescent="0.35">
      <c r="B830" s="6"/>
      <c r="C830" s="7"/>
      <c r="D830" s="9"/>
      <c r="E830" s="9"/>
      <c r="F830" s="9"/>
      <c r="G830" s="9"/>
      <c r="H830" s="35"/>
    </row>
    <row r="831" spans="2:8" x14ac:dyDescent="0.35">
      <c r="B831" s="6"/>
      <c r="C831" s="7"/>
      <c r="D831" s="9"/>
      <c r="E831" s="9"/>
      <c r="F831" s="9"/>
      <c r="G831" s="9"/>
      <c r="H831" s="35"/>
    </row>
    <row r="832" spans="2:8" x14ac:dyDescent="0.35">
      <c r="B832" s="6"/>
      <c r="C832" s="7"/>
      <c r="D832" s="9"/>
      <c r="E832" s="9"/>
      <c r="F832" s="9"/>
      <c r="G832" s="9"/>
      <c r="H832" s="35"/>
    </row>
    <row r="833" spans="2:8" x14ac:dyDescent="0.35">
      <c r="B833" s="6"/>
      <c r="C833" s="7"/>
      <c r="D833" s="9"/>
      <c r="E833" s="9"/>
      <c r="F833" s="9"/>
      <c r="G833" s="9"/>
      <c r="H833" s="35"/>
    </row>
    <row r="834" spans="2:8" x14ac:dyDescent="0.35">
      <c r="B834" s="6"/>
      <c r="C834" s="7"/>
      <c r="D834" s="9"/>
      <c r="E834" s="9"/>
      <c r="F834" s="9"/>
      <c r="G834" s="9"/>
      <c r="H834" s="35"/>
    </row>
    <row r="835" spans="2:8" x14ac:dyDescent="0.35">
      <c r="B835" s="6"/>
      <c r="C835" s="7"/>
      <c r="D835" s="9"/>
      <c r="E835" s="9"/>
      <c r="F835" s="9"/>
      <c r="G835" s="9"/>
      <c r="H835" s="35"/>
    </row>
    <row r="836" spans="2:8" x14ac:dyDescent="0.35">
      <c r="B836" s="6"/>
      <c r="C836" s="7"/>
      <c r="D836" s="9"/>
      <c r="E836" s="9"/>
      <c r="F836" s="9"/>
      <c r="G836" s="9"/>
      <c r="H836" s="35"/>
    </row>
    <row r="837" spans="2:8" x14ac:dyDescent="0.35">
      <c r="B837" s="6"/>
      <c r="C837" s="7"/>
      <c r="D837" s="9"/>
      <c r="E837" s="9"/>
      <c r="F837" s="9"/>
      <c r="G837" s="9"/>
      <c r="H837" s="35"/>
    </row>
    <row r="838" spans="2:8" x14ac:dyDescent="0.35">
      <c r="B838" s="6"/>
      <c r="C838" s="7"/>
      <c r="D838" s="9"/>
      <c r="E838" s="9"/>
      <c r="F838" s="9"/>
      <c r="G838" s="9"/>
      <c r="H838" s="35"/>
    </row>
    <row r="839" spans="2:8" x14ac:dyDescent="0.35">
      <c r="B839" s="6"/>
      <c r="C839" s="7"/>
      <c r="D839" s="9"/>
      <c r="E839" s="9"/>
      <c r="F839" s="9"/>
      <c r="G839" s="9"/>
      <c r="H839" s="35"/>
    </row>
    <row r="840" spans="2:8" x14ac:dyDescent="0.35">
      <c r="B840" s="6"/>
      <c r="C840" s="7"/>
      <c r="D840" s="9"/>
      <c r="E840" s="9"/>
      <c r="F840" s="9"/>
      <c r="G840" s="9"/>
      <c r="H840" s="35"/>
    </row>
    <row r="841" spans="2:8" x14ac:dyDescent="0.35">
      <c r="B841" s="6"/>
      <c r="C841" s="7"/>
      <c r="D841" s="9"/>
      <c r="E841" s="9"/>
      <c r="F841" s="9"/>
      <c r="G841" s="9"/>
      <c r="H841" s="35"/>
    </row>
    <row r="842" spans="2:8" x14ac:dyDescent="0.35">
      <c r="B842" s="6"/>
      <c r="C842" s="7"/>
      <c r="D842" s="9"/>
      <c r="E842" s="9"/>
      <c r="F842" s="9"/>
      <c r="G842" s="9"/>
      <c r="H842" s="35"/>
    </row>
    <row r="843" spans="2:8" x14ac:dyDescent="0.35">
      <c r="B843" s="6"/>
      <c r="C843" s="7"/>
      <c r="D843" s="9"/>
      <c r="E843" s="9"/>
      <c r="F843" s="9"/>
      <c r="G843" s="9"/>
      <c r="H843" s="35"/>
    </row>
    <row r="844" spans="2:8" x14ac:dyDescent="0.35">
      <c r="B844" s="6"/>
      <c r="C844" s="7"/>
      <c r="D844" s="9"/>
      <c r="E844" s="9"/>
      <c r="F844" s="9"/>
      <c r="G844" s="9"/>
      <c r="H844" s="35"/>
    </row>
    <row r="845" spans="2:8" x14ac:dyDescent="0.35">
      <c r="B845" s="6"/>
      <c r="C845" s="7"/>
      <c r="D845" s="9"/>
      <c r="E845" s="9"/>
      <c r="F845" s="9"/>
      <c r="G845" s="9"/>
      <c r="H845" s="35"/>
    </row>
    <row r="846" spans="2:8" x14ac:dyDescent="0.35">
      <c r="B846" s="6"/>
      <c r="C846" s="7"/>
      <c r="D846" s="9"/>
      <c r="E846" s="9"/>
      <c r="F846" s="9"/>
      <c r="G846" s="9"/>
      <c r="H846" s="35"/>
    </row>
    <row r="847" spans="2:8" x14ac:dyDescent="0.35">
      <c r="B847" s="6"/>
      <c r="C847" s="7"/>
      <c r="D847" s="9"/>
      <c r="E847" s="9"/>
      <c r="F847" s="9"/>
      <c r="G847" s="9"/>
      <c r="H847" s="35"/>
    </row>
    <row r="848" spans="2:8" x14ac:dyDescent="0.35">
      <c r="B848" s="6"/>
      <c r="C848" s="7"/>
      <c r="D848" s="9"/>
      <c r="E848" s="9"/>
      <c r="F848" s="9"/>
      <c r="G848" s="9"/>
      <c r="H848" s="35"/>
    </row>
    <row r="849" spans="2:8" x14ac:dyDescent="0.35">
      <c r="B849" s="6"/>
      <c r="C849" s="7"/>
      <c r="D849" s="9"/>
      <c r="E849" s="9"/>
      <c r="F849" s="9"/>
      <c r="G849" s="9"/>
      <c r="H849" s="35"/>
    </row>
    <row r="850" spans="2:8" x14ac:dyDescent="0.35">
      <c r="B850" s="6"/>
      <c r="C850" s="7"/>
      <c r="D850" s="9"/>
      <c r="E850" s="9"/>
      <c r="F850" s="9"/>
      <c r="G850" s="9"/>
      <c r="H850" s="35"/>
    </row>
    <row r="851" spans="2:8" x14ac:dyDescent="0.35">
      <c r="B851" s="6"/>
      <c r="C851" s="7"/>
      <c r="D851" s="9"/>
      <c r="E851" s="9"/>
      <c r="F851" s="9"/>
      <c r="G851" s="9"/>
      <c r="H851" s="35"/>
    </row>
    <row r="852" spans="2:8" x14ac:dyDescent="0.35">
      <c r="B852" s="6"/>
      <c r="C852" s="7"/>
      <c r="D852" s="9"/>
      <c r="E852" s="9"/>
      <c r="F852" s="9"/>
      <c r="G852" s="9"/>
      <c r="H852" s="35"/>
    </row>
    <row r="853" spans="2:8" x14ac:dyDescent="0.35">
      <c r="B853" s="6"/>
      <c r="C853" s="7"/>
      <c r="D853" s="9"/>
      <c r="E853" s="9"/>
      <c r="F853" s="9"/>
      <c r="G853" s="9"/>
      <c r="H853" s="35"/>
    </row>
    <row r="854" spans="2:8" x14ac:dyDescent="0.35">
      <c r="B854" s="6"/>
      <c r="C854" s="7"/>
      <c r="D854" s="9"/>
      <c r="E854" s="9"/>
      <c r="F854" s="9"/>
      <c r="G854" s="9"/>
      <c r="H854" s="35"/>
    </row>
    <row r="855" spans="2:8" x14ac:dyDescent="0.35">
      <c r="B855" s="6"/>
      <c r="C855" s="7"/>
      <c r="D855" s="9"/>
      <c r="E855" s="9"/>
      <c r="F855" s="9"/>
      <c r="G855" s="9"/>
      <c r="H855" s="35"/>
    </row>
    <row r="856" spans="2:8" x14ac:dyDescent="0.35">
      <c r="B856" s="6"/>
      <c r="C856" s="7"/>
      <c r="D856" s="9"/>
      <c r="E856" s="9"/>
      <c r="F856" s="9"/>
      <c r="G856" s="9"/>
      <c r="H856" s="35"/>
    </row>
    <row r="857" spans="2:8" x14ac:dyDescent="0.35">
      <c r="B857" s="6"/>
      <c r="C857" s="7"/>
      <c r="D857" s="9"/>
      <c r="E857" s="9"/>
      <c r="F857" s="9"/>
      <c r="G857" s="9"/>
      <c r="H857" s="35"/>
    </row>
    <row r="858" spans="2:8" x14ac:dyDescent="0.35">
      <c r="B858" s="6"/>
      <c r="C858" s="7"/>
      <c r="D858" s="9"/>
      <c r="E858" s="9"/>
      <c r="F858" s="9"/>
      <c r="G858" s="9"/>
      <c r="H858" s="35"/>
    </row>
    <row r="859" spans="2:8" x14ac:dyDescent="0.35">
      <c r="B859" s="6"/>
      <c r="C859" s="7"/>
      <c r="D859" s="9"/>
      <c r="E859" s="9"/>
      <c r="F859" s="9"/>
      <c r="G859" s="9"/>
      <c r="H859" s="35"/>
    </row>
    <row r="860" spans="2:8" x14ac:dyDescent="0.35">
      <c r="B860" s="6"/>
      <c r="C860" s="7"/>
      <c r="D860" s="9"/>
      <c r="E860" s="9"/>
      <c r="F860" s="9"/>
      <c r="G860" s="9"/>
      <c r="H860" s="35"/>
    </row>
    <row r="861" spans="2:8" x14ac:dyDescent="0.35">
      <c r="B861" s="6"/>
      <c r="C861" s="7"/>
      <c r="D861" s="9"/>
      <c r="E861" s="9"/>
      <c r="F861" s="9"/>
      <c r="G861" s="9"/>
      <c r="H861" s="35"/>
    </row>
    <row r="862" spans="2:8" x14ac:dyDescent="0.35">
      <c r="B862" s="6"/>
      <c r="C862" s="7"/>
      <c r="D862" s="9"/>
      <c r="E862" s="9"/>
      <c r="F862" s="9"/>
      <c r="G862" s="9"/>
      <c r="H862" s="35"/>
    </row>
    <row r="863" spans="2:8" x14ac:dyDescent="0.35">
      <c r="B863" s="6"/>
      <c r="C863" s="7"/>
      <c r="D863" s="9"/>
      <c r="E863" s="9"/>
      <c r="F863" s="9"/>
      <c r="G863" s="9"/>
      <c r="H863" s="35"/>
    </row>
    <row r="864" spans="2:8" x14ac:dyDescent="0.35">
      <c r="B864" s="6"/>
      <c r="C864" s="7"/>
      <c r="D864" s="9"/>
      <c r="E864" s="9"/>
      <c r="F864" s="9"/>
      <c r="G864" s="9"/>
      <c r="H864" s="35"/>
    </row>
    <row r="865" spans="2:8" x14ac:dyDescent="0.35">
      <c r="B865" s="6"/>
      <c r="C865" s="7"/>
      <c r="D865" s="9"/>
      <c r="E865" s="9"/>
      <c r="F865" s="9"/>
      <c r="G865" s="9"/>
      <c r="H865" s="35"/>
    </row>
    <row r="866" spans="2:8" x14ac:dyDescent="0.35">
      <c r="B866" s="6"/>
      <c r="C866" s="7"/>
      <c r="D866" s="9"/>
      <c r="E866" s="9"/>
      <c r="F866" s="9"/>
      <c r="G866" s="9"/>
      <c r="H866" s="35"/>
    </row>
    <row r="867" spans="2:8" x14ac:dyDescent="0.35">
      <c r="B867" s="6"/>
      <c r="C867" s="7"/>
      <c r="D867" s="9"/>
      <c r="E867" s="9"/>
      <c r="F867" s="9"/>
      <c r="G867" s="9"/>
      <c r="H867" s="35"/>
    </row>
    <row r="868" spans="2:8" x14ac:dyDescent="0.35">
      <c r="B868" s="6"/>
      <c r="C868" s="7"/>
      <c r="D868" s="9"/>
      <c r="E868" s="9"/>
      <c r="F868" s="9"/>
      <c r="G868" s="9"/>
      <c r="H868" s="35"/>
    </row>
    <row r="869" spans="2:8" x14ac:dyDescent="0.35">
      <c r="B869" s="6"/>
      <c r="C869" s="7"/>
      <c r="D869" s="9"/>
      <c r="E869" s="9"/>
      <c r="F869" s="9"/>
      <c r="G869" s="9"/>
      <c r="H869" s="35"/>
    </row>
    <row r="870" spans="2:8" x14ac:dyDescent="0.35">
      <c r="B870" s="6"/>
      <c r="C870" s="7"/>
      <c r="D870" s="9"/>
      <c r="E870" s="9"/>
      <c r="F870" s="9"/>
      <c r="G870" s="9"/>
      <c r="H870" s="35"/>
    </row>
    <row r="871" spans="2:8" x14ac:dyDescent="0.35">
      <c r="B871" s="6"/>
      <c r="C871" s="7"/>
      <c r="D871" s="9"/>
      <c r="E871" s="9"/>
      <c r="F871" s="9"/>
      <c r="G871" s="9"/>
      <c r="H871" s="35"/>
    </row>
    <row r="872" spans="2:8" x14ac:dyDescent="0.35">
      <c r="B872" s="6"/>
      <c r="C872" s="7"/>
      <c r="D872" s="9"/>
      <c r="E872" s="9"/>
      <c r="F872" s="9"/>
      <c r="G872" s="9"/>
      <c r="H872" s="35"/>
    </row>
    <row r="873" spans="2:8" x14ac:dyDescent="0.35">
      <c r="B873" s="6"/>
      <c r="C873" s="7"/>
      <c r="D873" s="9"/>
      <c r="E873" s="9"/>
      <c r="F873" s="9"/>
      <c r="G873" s="9"/>
      <c r="H873" s="35"/>
    </row>
    <row r="874" spans="2:8" x14ac:dyDescent="0.35">
      <c r="B874" s="6"/>
      <c r="C874" s="7"/>
      <c r="D874" s="9"/>
      <c r="E874" s="9"/>
      <c r="F874" s="9"/>
      <c r="G874" s="9"/>
      <c r="H874" s="35"/>
    </row>
    <row r="875" spans="2:8" x14ac:dyDescent="0.35">
      <c r="B875" s="6"/>
      <c r="C875" s="7"/>
      <c r="D875" s="9"/>
      <c r="E875" s="9"/>
      <c r="F875" s="9"/>
      <c r="G875" s="9"/>
      <c r="H875" s="35"/>
    </row>
    <row r="876" spans="2:8" x14ac:dyDescent="0.35">
      <c r="B876" s="6"/>
      <c r="C876" s="7"/>
      <c r="D876" s="9"/>
      <c r="E876" s="9"/>
      <c r="F876" s="9"/>
      <c r="G876" s="9"/>
      <c r="H876" s="35"/>
    </row>
    <row r="877" spans="2:8" x14ac:dyDescent="0.35">
      <c r="B877" s="6"/>
      <c r="C877" s="7"/>
      <c r="D877" s="9"/>
      <c r="E877" s="9"/>
      <c r="F877" s="9"/>
      <c r="G877" s="9"/>
      <c r="H877" s="35"/>
    </row>
    <row r="878" spans="2:8" x14ac:dyDescent="0.35">
      <c r="B878" s="6"/>
      <c r="C878" s="7"/>
      <c r="D878" s="9"/>
      <c r="E878" s="9"/>
      <c r="F878" s="9"/>
      <c r="G878" s="9"/>
      <c r="H878" s="35"/>
    </row>
    <row r="879" spans="2:8" x14ac:dyDescent="0.35">
      <c r="B879" s="6"/>
      <c r="C879" s="7"/>
      <c r="D879" s="9"/>
      <c r="E879" s="9"/>
      <c r="F879" s="9"/>
      <c r="G879" s="9"/>
      <c r="H879" s="35"/>
    </row>
    <row r="880" spans="2:8" x14ac:dyDescent="0.35">
      <c r="B880" s="6"/>
      <c r="C880" s="7"/>
      <c r="D880" s="9"/>
      <c r="E880" s="9"/>
      <c r="F880" s="9"/>
      <c r="G880" s="9"/>
      <c r="H880" s="35"/>
    </row>
    <row r="881" spans="2:8" x14ac:dyDescent="0.35">
      <c r="B881" s="6"/>
      <c r="C881" s="7"/>
      <c r="D881" s="9"/>
      <c r="E881" s="9"/>
      <c r="F881" s="9"/>
      <c r="G881" s="9"/>
      <c r="H881" s="35"/>
    </row>
    <row r="882" spans="2:8" x14ac:dyDescent="0.35">
      <c r="B882" s="6"/>
      <c r="C882" s="7"/>
      <c r="D882" s="9"/>
      <c r="E882" s="9"/>
      <c r="F882" s="9"/>
      <c r="G882" s="9"/>
      <c r="H882" s="35"/>
    </row>
    <row r="883" spans="2:8" x14ac:dyDescent="0.35">
      <c r="B883" s="6"/>
      <c r="C883" s="7"/>
      <c r="D883" s="9"/>
      <c r="E883" s="9"/>
      <c r="F883" s="9"/>
      <c r="G883" s="9"/>
      <c r="H883" s="35"/>
    </row>
    <row r="884" spans="2:8" x14ac:dyDescent="0.35">
      <c r="B884" s="6"/>
      <c r="C884" s="7"/>
      <c r="D884" s="9"/>
      <c r="E884" s="9"/>
      <c r="F884" s="9"/>
      <c r="G884" s="9"/>
      <c r="H884" s="35"/>
    </row>
    <row r="885" spans="2:8" x14ac:dyDescent="0.35">
      <c r="B885" s="6"/>
      <c r="C885" s="7"/>
      <c r="D885" s="9"/>
      <c r="E885" s="9"/>
      <c r="F885" s="9"/>
      <c r="G885" s="9"/>
      <c r="H885" s="35"/>
    </row>
    <row r="886" spans="2:8" x14ac:dyDescent="0.35">
      <c r="B886" s="6"/>
      <c r="C886" s="7"/>
      <c r="D886" s="9"/>
      <c r="E886" s="9"/>
      <c r="F886" s="9"/>
      <c r="G886" s="9"/>
      <c r="H886" s="35"/>
    </row>
    <row r="887" spans="2:8" x14ac:dyDescent="0.35">
      <c r="B887" s="6"/>
      <c r="C887" s="7"/>
      <c r="D887" s="9"/>
      <c r="E887" s="9"/>
      <c r="F887" s="9"/>
      <c r="G887" s="9"/>
      <c r="H887" s="35"/>
    </row>
    <row r="888" spans="2:8" x14ac:dyDescent="0.35">
      <c r="B888" s="6"/>
      <c r="C888" s="7"/>
      <c r="D888" s="9"/>
      <c r="E888" s="9"/>
      <c r="F888" s="9"/>
      <c r="G888" s="9"/>
      <c r="H888" s="35"/>
    </row>
    <row r="889" spans="2:8" x14ac:dyDescent="0.35">
      <c r="B889" s="6"/>
      <c r="C889" s="7"/>
      <c r="D889" s="9"/>
      <c r="E889" s="9"/>
      <c r="F889" s="9"/>
      <c r="G889" s="9"/>
      <c r="H889" s="35"/>
    </row>
    <row r="890" spans="2:8" x14ac:dyDescent="0.35">
      <c r="B890" s="6"/>
      <c r="C890" s="7"/>
      <c r="D890" s="9"/>
      <c r="E890" s="9"/>
      <c r="F890" s="9"/>
      <c r="G890" s="9"/>
      <c r="H890" s="35"/>
    </row>
    <row r="891" spans="2:8" x14ac:dyDescent="0.35">
      <c r="B891" s="6"/>
      <c r="C891" s="7"/>
      <c r="D891" s="9"/>
      <c r="E891" s="9"/>
      <c r="F891" s="9"/>
      <c r="G891" s="9"/>
      <c r="H891" s="35"/>
    </row>
    <row r="892" spans="2:8" x14ac:dyDescent="0.35">
      <c r="B892" s="6"/>
      <c r="C892" s="7"/>
      <c r="D892" s="9"/>
      <c r="E892" s="9"/>
      <c r="F892" s="9"/>
      <c r="G892" s="9"/>
      <c r="H892" s="35"/>
    </row>
    <row r="893" spans="2:8" x14ac:dyDescent="0.35">
      <c r="B893" s="6"/>
      <c r="C893" s="7"/>
      <c r="D893" s="9"/>
      <c r="E893" s="9"/>
      <c r="F893" s="9"/>
      <c r="G893" s="9"/>
      <c r="H893" s="35"/>
    </row>
    <row r="894" spans="2:8" x14ac:dyDescent="0.35">
      <c r="B894" s="6"/>
      <c r="C894" s="7"/>
      <c r="D894" s="9"/>
      <c r="E894" s="9"/>
      <c r="F894" s="9"/>
      <c r="G894" s="9"/>
      <c r="H894" s="35"/>
    </row>
    <row r="895" spans="2:8" x14ac:dyDescent="0.35">
      <c r="B895" s="6"/>
      <c r="C895" s="7"/>
      <c r="D895" s="9"/>
      <c r="E895" s="9"/>
      <c r="F895" s="9"/>
      <c r="G895" s="9"/>
      <c r="H895" s="35"/>
    </row>
    <row r="896" spans="2:8" x14ac:dyDescent="0.35">
      <c r="B896" s="6"/>
      <c r="C896" s="7"/>
      <c r="D896" s="9"/>
      <c r="E896" s="9"/>
      <c r="F896" s="9"/>
      <c r="G896" s="9"/>
      <c r="H896" s="35"/>
    </row>
    <row r="897" spans="2:8" x14ac:dyDescent="0.35">
      <c r="B897" s="6"/>
      <c r="C897" s="7"/>
      <c r="D897" s="9"/>
      <c r="E897" s="9"/>
      <c r="F897" s="9"/>
      <c r="G897" s="9"/>
      <c r="H897" s="35"/>
    </row>
    <row r="898" spans="2:8" x14ac:dyDescent="0.35">
      <c r="B898" s="6"/>
      <c r="C898" s="7"/>
      <c r="D898" s="9"/>
      <c r="E898" s="9"/>
      <c r="F898" s="9"/>
      <c r="G898" s="9"/>
      <c r="H898" s="35"/>
    </row>
    <row r="899" spans="2:8" x14ac:dyDescent="0.35">
      <c r="B899" s="6"/>
      <c r="C899" s="7"/>
      <c r="D899" s="9"/>
      <c r="E899" s="9"/>
      <c r="F899" s="9"/>
      <c r="G899" s="9"/>
      <c r="H899" s="35"/>
    </row>
    <row r="900" spans="2:8" x14ac:dyDescent="0.35">
      <c r="B900" s="6"/>
      <c r="C900" s="7"/>
      <c r="D900" s="9"/>
      <c r="E900" s="9"/>
      <c r="F900" s="9"/>
      <c r="G900" s="9"/>
      <c r="H900" s="35"/>
    </row>
    <row r="901" spans="2:8" x14ac:dyDescent="0.35">
      <c r="B901" s="6"/>
      <c r="C901" s="7"/>
      <c r="D901" s="9"/>
      <c r="E901" s="9"/>
      <c r="F901" s="9"/>
      <c r="G901" s="9"/>
      <c r="H901" s="35"/>
    </row>
    <row r="902" spans="2:8" x14ac:dyDescent="0.35">
      <c r="B902" s="6"/>
      <c r="C902" s="7"/>
      <c r="D902" s="9"/>
      <c r="E902" s="9"/>
      <c r="F902" s="9"/>
      <c r="G902" s="9"/>
      <c r="H902" s="35"/>
    </row>
    <row r="903" spans="2:8" x14ac:dyDescent="0.35">
      <c r="B903" s="6"/>
      <c r="C903" s="7"/>
      <c r="D903" s="9"/>
      <c r="E903" s="9"/>
      <c r="F903" s="9"/>
      <c r="G903" s="9"/>
      <c r="H903" s="35"/>
    </row>
    <row r="904" spans="2:8" x14ac:dyDescent="0.35">
      <c r="B904" s="6"/>
      <c r="C904" s="7"/>
      <c r="D904" s="9"/>
      <c r="E904" s="9"/>
      <c r="F904" s="9"/>
      <c r="G904" s="9"/>
      <c r="H904" s="35"/>
    </row>
    <row r="905" spans="2:8" x14ac:dyDescent="0.35">
      <c r="B905" s="6"/>
      <c r="C905" s="7"/>
      <c r="D905" s="9"/>
      <c r="E905" s="9"/>
      <c r="F905" s="9"/>
      <c r="G905" s="9"/>
      <c r="H905" s="35"/>
    </row>
    <row r="906" spans="2:8" x14ac:dyDescent="0.35">
      <c r="B906" s="6"/>
      <c r="C906" s="7"/>
      <c r="D906" s="9"/>
      <c r="E906" s="9"/>
      <c r="F906" s="9"/>
      <c r="G906" s="9"/>
      <c r="H906" s="35"/>
    </row>
    <row r="907" spans="2:8" x14ac:dyDescent="0.35">
      <c r="B907" s="6"/>
      <c r="C907" s="7"/>
      <c r="D907" s="9"/>
      <c r="E907" s="9"/>
      <c r="F907" s="9"/>
      <c r="G907" s="9"/>
      <c r="H907" s="35"/>
    </row>
    <row r="908" spans="2:8" x14ac:dyDescent="0.35">
      <c r="B908" s="6"/>
      <c r="C908" s="7"/>
      <c r="D908" s="9"/>
      <c r="E908" s="9"/>
      <c r="F908" s="9"/>
      <c r="G908" s="9"/>
      <c r="H908" s="35"/>
    </row>
    <row r="909" spans="2:8" x14ac:dyDescent="0.35">
      <c r="B909" s="6"/>
      <c r="C909" s="7"/>
      <c r="D909" s="9"/>
      <c r="E909" s="9"/>
      <c r="F909" s="9"/>
      <c r="G909" s="9"/>
      <c r="H909" s="35"/>
    </row>
    <row r="910" spans="2:8" x14ac:dyDescent="0.35">
      <c r="B910" s="6"/>
      <c r="C910" s="7"/>
      <c r="D910" s="9"/>
      <c r="E910" s="9"/>
      <c r="F910" s="9"/>
      <c r="G910" s="9"/>
      <c r="H910" s="35"/>
    </row>
    <row r="911" spans="2:8" x14ac:dyDescent="0.35">
      <c r="B911" s="6"/>
      <c r="C911" s="7"/>
      <c r="D911" s="9"/>
      <c r="E911" s="9"/>
      <c r="F911" s="9"/>
      <c r="G911" s="9"/>
      <c r="H911" s="35"/>
    </row>
    <row r="912" spans="2:8" x14ac:dyDescent="0.35">
      <c r="B912" s="6"/>
      <c r="C912" s="7"/>
      <c r="D912" s="9"/>
      <c r="E912" s="9"/>
      <c r="F912" s="9"/>
      <c r="G912" s="9"/>
      <c r="H912" s="35"/>
    </row>
    <row r="913" spans="2:8" x14ac:dyDescent="0.35">
      <c r="B913" s="6"/>
      <c r="C913" s="7"/>
      <c r="D913" s="9"/>
      <c r="E913" s="9"/>
      <c r="F913" s="9"/>
      <c r="G913" s="9"/>
      <c r="H913" s="35"/>
    </row>
    <row r="914" spans="2:8" x14ac:dyDescent="0.35">
      <c r="B914" s="6"/>
      <c r="C914" s="7"/>
      <c r="D914" s="9"/>
      <c r="E914" s="9"/>
      <c r="F914" s="9"/>
      <c r="G914" s="9"/>
      <c r="H914" s="35"/>
    </row>
    <row r="915" spans="2:8" x14ac:dyDescent="0.35">
      <c r="B915" s="6"/>
      <c r="C915" s="7"/>
      <c r="D915" s="9"/>
      <c r="E915" s="9"/>
      <c r="F915" s="9"/>
      <c r="G915" s="9"/>
      <c r="H915" s="35"/>
    </row>
    <row r="916" spans="2:8" x14ac:dyDescent="0.35">
      <c r="B916" s="6"/>
      <c r="C916" s="7"/>
      <c r="D916" s="9"/>
      <c r="E916" s="9"/>
      <c r="F916" s="9"/>
      <c r="G916" s="9"/>
      <c r="H916" s="35"/>
    </row>
    <row r="917" spans="2:8" x14ac:dyDescent="0.35">
      <c r="B917" s="6"/>
      <c r="C917" s="7"/>
      <c r="D917" s="9"/>
      <c r="E917" s="9"/>
      <c r="F917" s="9"/>
      <c r="G917" s="9"/>
      <c r="H917" s="35"/>
    </row>
    <row r="918" spans="2:8" x14ac:dyDescent="0.35">
      <c r="B918" s="6"/>
      <c r="C918" s="7"/>
      <c r="D918" s="9"/>
      <c r="E918" s="9"/>
      <c r="F918" s="9"/>
      <c r="G918" s="9"/>
      <c r="H918" s="35"/>
    </row>
    <row r="919" spans="2:8" x14ac:dyDescent="0.35">
      <c r="B919" s="6"/>
      <c r="C919" s="7"/>
      <c r="D919" s="9"/>
      <c r="E919" s="9"/>
      <c r="F919" s="9"/>
      <c r="G919" s="9"/>
      <c r="H919" s="35"/>
    </row>
    <row r="920" spans="2:8" x14ac:dyDescent="0.35">
      <c r="B920" s="6"/>
      <c r="C920" s="7"/>
      <c r="D920" s="9"/>
      <c r="E920" s="9"/>
      <c r="F920" s="9"/>
      <c r="G920" s="9"/>
      <c r="H920" s="35"/>
    </row>
    <row r="921" spans="2:8" x14ac:dyDescent="0.35">
      <c r="B921" s="6"/>
      <c r="C921" s="7"/>
      <c r="D921" s="9"/>
      <c r="E921" s="9"/>
      <c r="F921" s="9"/>
      <c r="G921" s="9"/>
      <c r="H921" s="35"/>
    </row>
    <row r="922" spans="2:8" x14ac:dyDescent="0.35">
      <c r="B922" s="6"/>
      <c r="C922" s="7"/>
      <c r="D922" s="9"/>
      <c r="E922" s="9"/>
      <c r="F922" s="9"/>
      <c r="G922" s="9"/>
      <c r="H922" s="35"/>
    </row>
    <row r="923" spans="2:8" x14ac:dyDescent="0.35">
      <c r="B923" s="6"/>
      <c r="C923" s="7"/>
      <c r="D923" s="9"/>
      <c r="E923" s="9"/>
      <c r="F923" s="9"/>
      <c r="G923" s="9"/>
      <c r="H923" s="35"/>
    </row>
    <row r="924" spans="2:8" x14ac:dyDescent="0.35">
      <c r="B924" s="6"/>
      <c r="C924" s="7"/>
      <c r="D924" s="9"/>
      <c r="E924" s="9"/>
      <c r="F924" s="9"/>
      <c r="G924" s="9"/>
      <c r="H924" s="35"/>
    </row>
    <row r="925" spans="2:8" x14ac:dyDescent="0.35">
      <c r="B925" s="6"/>
      <c r="C925" s="7"/>
      <c r="D925" s="9"/>
      <c r="E925" s="9"/>
      <c r="F925" s="9"/>
      <c r="G925" s="9"/>
      <c r="H925" s="35"/>
    </row>
    <row r="926" spans="2:8" x14ac:dyDescent="0.35">
      <c r="B926" s="6"/>
      <c r="C926" s="7"/>
      <c r="D926" s="9"/>
      <c r="E926" s="9"/>
      <c r="F926" s="9"/>
      <c r="G926" s="9"/>
      <c r="H926" s="35"/>
    </row>
    <row r="927" spans="2:8" x14ac:dyDescent="0.35">
      <c r="B927" s="6"/>
      <c r="C927" s="7"/>
      <c r="D927" s="9"/>
      <c r="E927" s="9"/>
      <c r="F927" s="9"/>
      <c r="G927" s="9"/>
      <c r="H927" s="35"/>
    </row>
    <row r="928" spans="2:8" x14ac:dyDescent="0.35">
      <c r="B928" s="6"/>
      <c r="C928" s="7"/>
      <c r="D928" s="9"/>
      <c r="E928" s="9"/>
      <c r="F928" s="9"/>
      <c r="G928" s="9"/>
      <c r="H928" s="35"/>
    </row>
    <row r="929" spans="2:8" x14ac:dyDescent="0.35">
      <c r="B929" s="6"/>
      <c r="C929" s="7"/>
      <c r="D929" s="9"/>
      <c r="E929" s="9"/>
      <c r="F929" s="9"/>
      <c r="G929" s="9"/>
      <c r="H929" s="35"/>
    </row>
    <row r="930" spans="2:8" x14ac:dyDescent="0.35">
      <c r="B930" s="6"/>
      <c r="C930" s="7"/>
      <c r="D930" s="9"/>
      <c r="E930" s="9"/>
      <c r="F930" s="9"/>
      <c r="G930" s="9"/>
      <c r="H930" s="35"/>
    </row>
    <row r="931" spans="2:8" x14ac:dyDescent="0.35">
      <c r="B931" s="6"/>
      <c r="C931" s="7"/>
      <c r="D931" s="9"/>
      <c r="E931" s="9"/>
      <c r="F931" s="9"/>
      <c r="G931" s="9"/>
      <c r="H931" s="35"/>
    </row>
    <row r="932" spans="2:8" x14ac:dyDescent="0.35">
      <c r="B932" s="6"/>
      <c r="C932" s="7"/>
      <c r="D932" s="9"/>
      <c r="E932" s="9"/>
      <c r="F932" s="9"/>
      <c r="G932" s="9"/>
      <c r="H932" s="35"/>
    </row>
    <row r="933" spans="2:8" x14ac:dyDescent="0.35">
      <c r="B933" s="6"/>
      <c r="C933" s="7"/>
      <c r="D933" s="9"/>
      <c r="E933" s="9"/>
      <c r="F933" s="9"/>
      <c r="G933" s="9"/>
      <c r="H933" s="35"/>
    </row>
    <row r="934" spans="2:8" x14ac:dyDescent="0.35">
      <c r="B934" s="6"/>
      <c r="C934" s="7"/>
      <c r="D934" s="9"/>
      <c r="E934" s="9"/>
      <c r="F934" s="9"/>
      <c r="G934" s="9"/>
      <c r="H934" s="35"/>
    </row>
    <row r="935" spans="2:8" x14ac:dyDescent="0.35">
      <c r="B935" s="6"/>
      <c r="C935" s="7"/>
      <c r="D935" s="9"/>
      <c r="E935" s="9"/>
      <c r="F935" s="9"/>
      <c r="G935" s="9"/>
      <c r="H935" s="35"/>
    </row>
    <row r="936" spans="2:8" x14ac:dyDescent="0.35">
      <c r="B936" s="6"/>
      <c r="C936" s="7"/>
      <c r="D936" s="9"/>
      <c r="E936" s="9"/>
      <c r="F936" s="9"/>
      <c r="G936" s="9"/>
      <c r="H936" s="35"/>
    </row>
    <row r="937" spans="2:8" x14ac:dyDescent="0.35">
      <c r="B937" s="6"/>
      <c r="C937" s="7"/>
      <c r="D937" s="9"/>
      <c r="E937" s="9"/>
      <c r="F937" s="9"/>
      <c r="G937" s="9"/>
      <c r="H937" s="35"/>
    </row>
    <row r="938" spans="2:8" x14ac:dyDescent="0.35">
      <c r="B938" s="6"/>
      <c r="C938" s="7"/>
      <c r="D938" s="9"/>
      <c r="E938" s="9"/>
      <c r="F938" s="9"/>
      <c r="G938" s="9"/>
      <c r="H938" s="35"/>
    </row>
    <row r="939" spans="2:8" x14ac:dyDescent="0.35">
      <c r="B939" s="6"/>
      <c r="C939" s="7"/>
      <c r="D939" s="9"/>
      <c r="E939" s="9"/>
      <c r="F939" s="9"/>
      <c r="G939" s="9"/>
      <c r="H939" s="35"/>
    </row>
    <row r="940" spans="2:8" x14ac:dyDescent="0.35">
      <c r="B940" s="6"/>
      <c r="C940" s="7"/>
      <c r="D940" s="9"/>
      <c r="E940" s="9"/>
      <c r="F940" s="9"/>
      <c r="G940" s="9"/>
      <c r="H940" s="35"/>
    </row>
    <row r="941" spans="2:8" x14ac:dyDescent="0.35">
      <c r="B941" s="6"/>
      <c r="C941" s="7"/>
      <c r="D941" s="9"/>
      <c r="E941" s="9"/>
      <c r="F941" s="9"/>
      <c r="G941" s="9"/>
      <c r="H941" s="35"/>
    </row>
    <row r="942" spans="2:8" x14ac:dyDescent="0.35">
      <c r="B942" s="6"/>
      <c r="C942" s="7"/>
      <c r="D942" s="9"/>
      <c r="E942" s="9"/>
      <c r="F942" s="9"/>
      <c r="G942" s="9"/>
      <c r="H942" s="35"/>
    </row>
    <row r="943" spans="2:8" x14ac:dyDescent="0.35">
      <c r="B943" s="6"/>
      <c r="C943" s="7"/>
      <c r="D943" s="9"/>
      <c r="E943" s="9"/>
      <c r="F943" s="9"/>
      <c r="G943" s="9"/>
      <c r="H943" s="35"/>
    </row>
    <row r="944" spans="2:8" x14ac:dyDescent="0.35">
      <c r="B944" s="6"/>
      <c r="C944" s="7"/>
      <c r="D944" s="9"/>
      <c r="E944" s="9"/>
      <c r="F944" s="9"/>
      <c r="G944" s="9"/>
      <c r="H944" s="35"/>
    </row>
    <row r="945" spans="2:8" x14ac:dyDescent="0.35">
      <c r="B945" s="6"/>
      <c r="C945" s="7"/>
      <c r="D945" s="9"/>
      <c r="E945" s="9"/>
      <c r="F945" s="9"/>
      <c r="G945" s="9"/>
      <c r="H945" s="35"/>
    </row>
    <row r="946" spans="2:8" x14ac:dyDescent="0.35">
      <c r="B946" s="6"/>
      <c r="C946" s="7"/>
      <c r="D946" s="9"/>
      <c r="E946" s="9"/>
      <c r="F946" s="9"/>
      <c r="G946" s="9"/>
      <c r="H946" s="35"/>
    </row>
    <row r="947" spans="2:8" x14ac:dyDescent="0.35">
      <c r="B947" s="6"/>
      <c r="C947" s="7"/>
      <c r="D947" s="9"/>
      <c r="E947" s="9"/>
      <c r="F947" s="9"/>
      <c r="G947" s="9"/>
      <c r="H947" s="35"/>
    </row>
    <row r="948" spans="2:8" x14ac:dyDescent="0.35">
      <c r="B948" s="6"/>
      <c r="C948" s="7"/>
      <c r="D948" s="9"/>
      <c r="E948" s="9"/>
      <c r="F948" s="9"/>
      <c r="G948" s="9"/>
      <c r="H948" s="35"/>
    </row>
    <row r="949" spans="2:8" x14ac:dyDescent="0.35">
      <c r="B949" s="6"/>
      <c r="C949" s="7"/>
      <c r="D949" s="9"/>
      <c r="E949" s="9"/>
      <c r="F949" s="9"/>
      <c r="G949" s="9"/>
      <c r="H949" s="35"/>
    </row>
    <row r="950" spans="2:8" x14ac:dyDescent="0.35">
      <c r="B950" s="6"/>
      <c r="C950" s="7"/>
      <c r="D950" s="9"/>
      <c r="E950" s="9"/>
      <c r="F950" s="9"/>
      <c r="G950" s="9"/>
      <c r="H950" s="35"/>
    </row>
    <row r="951" spans="2:8" x14ac:dyDescent="0.35">
      <c r="B951" s="6"/>
      <c r="C951" s="7"/>
      <c r="D951" s="9"/>
      <c r="E951" s="9"/>
      <c r="F951" s="9"/>
      <c r="G951" s="9"/>
      <c r="H951" s="35"/>
    </row>
    <row r="952" spans="2:8" x14ac:dyDescent="0.35">
      <c r="B952" s="6"/>
      <c r="C952" s="7"/>
      <c r="D952" s="9"/>
      <c r="E952" s="9"/>
      <c r="F952" s="9"/>
      <c r="G952" s="9"/>
      <c r="H952" s="35"/>
    </row>
    <row r="953" spans="2:8" x14ac:dyDescent="0.35">
      <c r="B953" s="6"/>
      <c r="C953" s="7"/>
      <c r="D953" s="9"/>
      <c r="E953" s="9"/>
      <c r="F953" s="9"/>
      <c r="G953" s="9"/>
      <c r="H953" s="35"/>
    </row>
    <row r="954" spans="2:8" x14ac:dyDescent="0.35">
      <c r="B954" s="6"/>
      <c r="C954" s="7"/>
      <c r="D954" s="9"/>
      <c r="E954" s="9"/>
      <c r="F954" s="9"/>
      <c r="G954" s="9"/>
      <c r="H954" s="35"/>
    </row>
    <row r="955" spans="2:8" x14ac:dyDescent="0.35">
      <c r="B955" s="6"/>
      <c r="C955" s="7"/>
      <c r="D955" s="9"/>
      <c r="E955" s="9"/>
      <c r="F955" s="9"/>
      <c r="G955" s="9"/>
      <c r="H955" s="35"/>
    </row>
    <row r="956" spans="2:8" x14ac:dyDescent="0.35">
      <c r="B956" s="6"/>
      <c r="C956" s="7"/>
      <c r="D956" s="9"/>
      <c r="E956" s="9"/>
      <c r="F956" s="9"/>
      <c r="G956" s="9"/>
      <c r="H956" s="35"/>
    </row>
    <row r="957" spans="2:8" x14ac:dyDescent="0.35">
      <c r="B957" s="6"/>
      <c r="C957" s="7"/>
      <c r="D957" s="9"/>
      <c r="E957" s="9"/>
      <c r="F957" s="9"/>
      <c r="G957" s="9"/>
      <c r="H957" s="35"/>
    </row>
    <row r="958" spans="2:8" x14ac:dyDescent="0.35">
      <c r="B958" s="6"/>
      <c r="C958" s="7"/>
      <c r="D958" s="9"/>
      <c r="E958" s="9"/>
      <c r="F958" s="9"/>
      <c r="G958" s="9"/>
      <c r="H958" s="35"/>
    </row>
    <row r="959" spans="2:8" x14ac:dyDescent="0.35">
      <c r="B959" s="6"/>
      <c r="C959" s="7"/>
      <c r="D959" s="9"/>
      <c r="E959" s="9"/>
      <c r="F959" s="9"/>
      <c r="G959" s="9"/>
      <c r="H959" s="35"/>
    </row>
    <row r="960" spans="2:8" x14ac:dyDescent="0.35">
      <c r="B960" s="6"/>
      <c r="C960" s="7"/>
      <c r="D960" s="9"/>
      <c r="E960" s="9"/>
      <c r="F960" s="9"/>
      <c r="G960" s="9"/>
      <c r="H960" s="35"/>
    </row>
    <row r="961" spans="2:8" x14ac:dyDescent="0.35">
      <c r="B961" s="6"/>
      <c r="C961" s="7"/>
      <c r="D961" s="9"/>
      <c r="E961" s="9"/>
      <c r="F961" s="9"/>
      <c r="G961" s="9"/>
      <c r="H961" s="35"/>
    </row>
    <row r="962" spans="2:8" x14ac:dyDescent="0.35">
      <c r="B962" s="6"/>
      <c r="C962" s="7"/>
      <c r="D962" s="9"/>
      <c r="E962" s="9"/>
      <c r="F962" s="9"/>
      <c r="G962" s="9"/>
      <c r="H962" s="35"/>
    </row>
    <row r="963" spans="2:8" x14ac:dyDescent="0.35">
      <c r="B963" s="6"/>
      <c r="C963" s="7"/>
      <c r="D963" s="9"/>
      <c r="E963" s="9"/>
      <c r="F963" s="9"/>
      <c r="G963" s="9"/>
      <c r="H963" s="35"/>
    </row>
    <row r="964" spans="2:8" x14ac:dyDescent="0.35">
      <c r="B964" s="6"/>
      <c r="C964" s="7"/>
      <c r="D964" s="9"/>
      <c r="E964" s="9"/>
      <c r="F964" s="9"/>
      <c r="G964" s="9"/>
      <c r="H964" s="35"/>
    </row>
    <row r="965" spans="2:8" x14ac:dyDescent="0.35">
      <c r="B965" s="6"/>
      <c r="C965" s="7"/>
      <c r="D965" s="9"/>
      <c r="E965" s="9"/>
      <c r="F965" s="9"/>
      <c r="G965" s="9"/>
      <c r="H965" s="35"/>
    </row>
    <row r="966" spans="2:8" x14ac:dyDescent="0.35">
      <c r="B966" s="6"/>
      <c r="C966" s="7"/>
      <c r="D966" s="9"/>
      <c r="E966" s="9"/>
      <c r="F966" s="9"/>
      <c r="G966" s="9"/>
      <c r="H966" s="35"/>
    </row>
    <row r="967" spans="2:8" x14ac:dyDescent="0.35">
      <c r="B967" s="6"/>
      <c r="C967" s="7"/>
      <c r="D967" s="9"/>
      <c r="E967" s="9"/>
      <c r="F967" s="9"/>
      <c r="G967" s="9"/>
      <c r="H967" s="35"/>
    </row>
    <row r="968" spans="2:8" x14ac:dyDescent="0.35">
      <c r="B968" s="6"/>
      <c r="C968" s="7"/>
      <c r="D968" s="9"/>
      <c r="E968" s="9"/>
      <c r="F968" s="9"/>
      <c r="G968" s="9"/>
      <c r="H968" s="35"/>
    </row>
    <row r="969" spans="2:8" x14ac:dyDescent="0.35">
      <c r="B969" s="6"/>
      <c r="C969" s="7"/>
      <c r="D969" s="9"/>
      <c r="E969" s="9"/>
      <c r="F969" s="9"/>
      <c r="G969" s="9"/>
      <c r="H969" s="35"/>
    </row>
    <row r="970" spans="2:8" x14ac:dyDescent="0.35">
      <c r="B970" s="6"/>
      <c r="C970" s="7"/>
      <c r="D970" s="9"/>
      <c r="E970" s="9"/>
      <c r="F970" s="9"/>
      <c r="G970" s="9"/>
      <c r="H970" s="35"/>
    </row>
    <row r="971" spans="2:8" x14ac:dyDescent="0.35">
      <c r="B971" s="6"/>
      <c r="C971" s="7"/>
      <c r="D971" s="9"/>
      <c r="E971" s="9"/>
      <c r="F971" s="9"/>
      <c r="G971" s="9"/>
      <c r="H971" s="35"/>
    </row>
    <row r="972" spans="2:8" x14ac:dyDescent="0.35">
      <c r="B972" s="6"/>
      <c r="C972" s="7"/>
      <c r="D972" s="9"/>
      <c r="E972" s="9"/>
      <c r="F972" s="9"/>
      <c r="G972" s="9"/>
      <c r="H972" s="35"/>
    </row>
    <row r="973" spans="2:8" x14ac:dyDescent="0.35">
      <c r="B973" s="6"/>
      <c r="C973" s="7"/>
      <c r="D973" s="9"/>
      <c r="E973" s="9"/>
      <c r="F973" s="9"/>
      <c r="G973" s="9"/>
      <c r="H973" s="35"/>
    </row>
    <row r="974" spans="2:8" x14ac:dyDescent="0.35">
      <c r="B974" s="6"/>
      <c r="C974" s="7"/>
      <c r="D974" s="9"/>
      <c r="E974" s="9"/>
      <c r="F974" s="9"/>
      <c r="G974" s="9"/>
      <c r="H974" s="35"/>
    </row>
    <row r="975" spans="2:8" x14ac:dyDescent="0.35">
      <c r="B975" s="6"/>
      <c r="C975" s="7"/>
      <c r="D975" s="9"/>
      <c r="E975" s="9"/>
      <c r="F975" s="9"/>
      <c r="G975" s="9"/>
      <c r="H975" s="35"/>
    </row>
    <row r="976" spans="2:8" x14ac:dyDescent="0.35">
      <c r="B976" s="6"/>
      <c r="C976" s="7"/>
      <c r="D976" s="9"/>
      <c r="E976" s="9"/>
      <c r="F976" s="9"/>
      <c r="G976" s="9"/>
      <c r="H976" s="35"/>
    </row>
    <row r="977" spans="2:8" x14ac:dyDescent="0.35">
      <c r="B977" s="6"/>
      <c r="C977" s="7"/>
      <c r="D977" s="9"/>
      <c r="E977" s="9"/>
      <c r="F977" s="9"/>
      <c r="G977" s="9"/>
      <c r="H977" s="35"/>
    </row>
    <row r="978" spans="2:8" x14ac:dyDescent="0.35">
      <c r="B978" s="6"/>
      <c r="C978" s="7"/>
      <c r="D978" s="9"/>
      <c r="E978" s="9"/>
      <c r="F978" s="9"/>
      <c r="G978" s="9"/>
      <c r="H978" s="35"/>
    </row>
    <row r="979" spans="2:8" x14ac:dyDescent="0.35">
      <c r="B979" s="6"/>
      <c r="C979" s="7"/>
      <c r="D979" s="9"/>
      <c r="E979" s="9"/>
      <c r="F979" s="9"/>
      <c r="G979" s="9"/>
      <c r="H979" s="35"/>
    </row>
    <row r="980" spans="2:8" x14ac:dyDescent="0.35">
      <c r="B980" s="6"/>
      <c r="C980" s="7"/>
      <c r="D980" s="9"/>
      <c r="E980" s="9"/>
      <c r="F980" s="9"/>
      <c r="G980" s="9"/>
      <c r="H980" s="35"/>
    </row>
    <row r="981" spans="2:8" x14ac:dyDescent="0.35">
      <c r="B981" s="6"/>
      <c r="C981" s="7"/>
      <c r="D981" s="9"/>
      <c r="E981" s="9"/>
      <c r="F981" s="9"/>
      <c r="G981" s="9"/>
      <c r="H981" s="35"/>
    </row>
    <row r="982" spans="2:8" x14ac:dyDescent="0.35">
      <c r="B982" s="6"/>
      <c r="C982" s="7"/>
      <c r="D982" s="9"/>
      <c r="E982" s="9"/>
      <c r="F982" s="9"/>
      <c r="G982" s="9"/>
      <c r="H982" s="35"/>
    </row>
    <row r="983" spans="2:8" x14ac:dyDescent="0.35">
      <c r="B983" s="6"/>
      <c r="C983" s="7"/>
      <c r="D983" s="9"/>
      <c r="E983" s="9"/>
      <c r="F983" s="9"/>
      <c r="G983" s="9"/>
      <c r="H983" s="35"/>
    </row>
    <row r="984" spans="2:8" x14ac:dyDescent="0.35">
      <c r="B984" s="6"/>
      <c r="C984" s="7"/>
      <c r="D984" s="9"/>
      <c r="E984" s="9"/>
      <c r="F984" s="9"/>
      <c r="G984" s="9"/>
      <c r="H984" s="35"/>
    </row>
    <row r="985" spans="2:8" x14ac:dyDescent="0.35">
      <c r="B985" s="6"/>
      <c r="C985" s="7"/>
      <c r="D985" s="9"/>
      <c r="E985" s="9"/>
      <c r="F985" s="9"/>
      <c r="G985" s="9"/>
      <c r="H985" s="35"/>
    </row>
    <row r="986" spans="2:8" x14ac:dyDescent="0.35">
      <c r="B986" s="6"/>
      <c r="C986" s="7"/>
      <c r="D986" s="9"/>
      <c r="E986" s="9"/>
      <c r="F986" s="9"/>
      <c r="G986" s="9"/>
      <c r="H986" s="35"/>
    </row>
    <row r="987" spans="2:8" x14ac:dyDescent="0.35">
      <c r="B987" s="6"/>
      <c r="C987" s="7"/>
      <c r="D987" s="9"/>
      <c r="E987" s="9"/>
      <c r="F987" s="9"/>
      <c r="G987" s="9"/>
      <c r="H987" s="35"/>
    </row>
    <row r="988" spans="2:8" x14ac:dyDescent="0.35">
      <c r="B988" s="6"/>
      <c r="C988" s="7"/>
      <c r="D988" s="9"/>
      <c r="E988" s="9"/>
      <c r="F988" s="9"/>
      <c r="G988" s="9"/>
      <c r="H988" s="35"/>
    </row>
    <row r="989" spans="2:8" x14ac:dyDescent="0.35">
      <c r="B989" s="6"/>
      <c r="C989" s="7"/>
      <c r="D989" s="9"/>
      <c r="E989" s="9"/>
      <c r="F989" s="9"/>
      <c r="G989" s="9"/>
      <c r="H989" s="35"/>
    </row>
    <row r="990" spans="2:8" x14ac:dyDescent="0.35">
      <c r="B990" s="6"/>
      <c r="C990" s="7"/>
      <c r="D990" s="9"/>
      <c r="E990" s="9"/>
      <c r="F990" s="9"/>
      <c r="G990" s="9"/>
      <c r="H990" s="35"/>
    </row>
    <row r="991" spans="2:8" x14ac:dyDescent="0.35">
      <c r="B991" s="6"/>
      <c r="C991" s="7"/>
      <c r="D991" s="9"/>
      <c r="E991" s="9"/>
      <c r="F991" s="9"/>
      <c r="G991" s="9"/>
      <c r="H991" s="35"/>
    </row>
    <row r="992" spans="2:8" x14ac:dyDescent="0.35">
      <c r="B992" s="6"/>
      <c r="C992" s="7"/>
      <c r="D992" s="9"/>
      <c r="E992" s="9"/>
      <c r="F992" s="9"/>
      <c r="G992" s="9"/>
      <c r="H992" s="35"/>
    </row>
    <row r="993" spans="2:8" x14ac:dyDescent="0.35">
      <c r="B993" s="6"/>
      <c r="C993" s="7"/>
      <c r="D993" s="9"/>
      <c r="E993" s="9"/>
      <c r="F993" s="9"/>
      <c r="G993" s="9"/>
      <c r="H993" s="35"/>
    </row>
    <row r="994" spans="2:8" x14ac:dyDescent="0.35">
      <c r="B994" s="6"/>
      <c r="C994" s="7"/>
      <c r="D994" s="9"/>
      <c r="E994" s="9"/>
      <c r="F994" s="9"/>
      <c r="G994" s="9"/>
      <c r="H994" s="35"/>
    </row>
    <row r="995" spans="2:8" x14ac:dyDescent="0.35">
      <c r="B995" s="6"/>
      <c r="C995" s="7"/>
      <c r="D995" s="9"/>
      <c r="E995" s="9"/>
      <c r="F995" s="9"/>
      <c r="G995" s="9"/>
      <c r="H995" s="35"/>
    </row>
    <row r="996" spans="2:8" x14ac:dyDescent="0.35">
      <c r="B996" s="6"/>
      <c r="C996" s="7"/>
      <c r="D996" s="9"/>
      <c r="E996" s="9"/>
      <c r="F996" s="9"/>
      <c r="G996" s="9"/>
      <c r="H996" s="35"/>
    </row>
    <row r="997" spans="2:8" x14ac:dyDescent="0.35">
      <c r="B997" s="6"/>
      <c r="C997" s="7"/>
      <c r="D997" s="9"/>
      <c r="E997" s="9"/>
      <c r="F997" s="9"/>
      <c r="G997" s="9"/>
      <c r="H997" s="35"/>
    </row>
    <row r="998" spans="2:8" x14ac:dyDescent="0.35">
      <c r="B998" s="6"/>
      <c r="C998" s="7"/>
      <c r="D998" s="9"/>
      <c r="E998" s="9"/>
      <c r="F998" s="9"/>
      <c r="G998" s="9"/>
      <c r="H998" s="35"/>
    </row>
    <row r="999" spans="2:8" x14ac:dyDescent="0.35">
      <c r="B999" s="6"/>
      <c r="C999" s="7"/>
      <c r="D999" s="9"/>
      <c r="E999" s="9"/>
      <c r="F999" s="9"/>
      <c r="G999" s="9"/>
      <c r="H999" s="35"/>
    </row>
    <row r="1000" spans="2:8" x14ac:dyDescent="0.35">
      <c r="B1000" s="6"/>
      <c r="C1000" s="7"/>
      <c r="D1000" s="9"/>
      <c r="E1000" s="9"/>
      <c r="F1000" s="9"/>
      <c r="G1000" s="9"/>
      <c r="H1000" s="35"/>
    </row>
  </sheetData>
  <conditionalFormatting sqref="J6:J212">
    <cfRule type="cellIs" dxfId="0" priority="1" operator="notEqual">
      <formula>0</formula>
    </cfRule>
  </conditionalFormatting>
  <dataValidations count="1">
    <dataValidation type="list" allowBlank="1" showInputMessage="1" showErrorMessage="1" sqref="B1" xr:uid="{481C357B-A085-4D48-B098-B8CB5FC6EFA6}">
      <formula1>EntityList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5EC83-50F0-4C37-BB69-49ED57CFE6EB}">
  <sheetPr codeName="Sheet6"/>
  <dimension ref="A1:AY1000"/>
  <sheetViews>
    <sheetView showGridLines="0" zoomScale="91" zoomScaleNormal="91" workbookViewId="0">
      <pane ySplit="5" topLeftCell="A460" activePane="bottomLeft" state="frozen"/>
      <selection activeCell="B5" sqref="B5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7" width="19.26953125" customWidth="1"/>
    <col min="8" max="8" width="19.26953125" style="32" customWidth="1"/>
    <col min="10" max="10" width="24.26953125" bestFit="1" customWidth="1"/>
  </cols>
  <sheetData>
    <row r="1" spans="1:51" x14ac:dyDescent="0.35">
      <c r="A1" s="10" t="s">
        <v>4</v>
      </c>
      <c r="B1" s="15" t="s">
        <v>33</v>
      </c>
      <c r="AY1" t="s">
        <v>2</v>
      </c>
    </row>
    <row r="2" spans="1:51" x14ac:dyDescent="0.35">
      <c r="A2" s="10" t="s">
        <v>0</v>
      </c>
      <c r="B2" s="15">
        <f>AMF!BegDate</f>
        <v>44931</v>
      </c>
      <c r="AY2" t="s">
        <v>9</v>
      </c>
    </row>
    <row r="3" spans="1:51" x14ac:dyDescent="0.35">
      <c r="A3" s="10" t="s">
        <v>1</v>
      </c>
      <c r="B3" s="15">
        <f>AMF!EndDate</f>
        <v>45657</v>
      </c>
      <c r="AY3" t="s">
        <v>10</v>
      </c>
    </row>
    <row r="4" spans="1:51" x14ac:dyDescent="0.35">
      <c r="AY4" t="s">
        <v>11</v>
      </c>
    </row>
    <row r="5" spans="1:51" ht="16" x14ac:dyDescent="0.35">
      <c r="B5" s="12" t="s">
        <v>3</v>
      </c>
      <c r="C5" s="13" t="s">
        <v>4</v>
      </c>
      <c r="D5" s="14" t="s">
        <v>5</v>
      </c>
      <c r="E5" s="14" t="s">
        <v>6</v>
      </c>
      <c r="F5" s="14" t="s">
        <v>7</v>
      </c>
      <c r="G5" s="14" t="s">
        <v>8</v>
      </c>
      <c r="H5" s="33" t="s">
        <v>32</v>
      </c>
      <c r="AY5" t="s">
        <v>33</v>
      </c>
    </row>
    <row r="6" spans="1:51" x14ac:dyDescent="0.35">
      <c r="B6" s="4">
        <v>44931</v>
      </c>
      <c r="C6" s="5" t="s">
        <v>33</v>
      </c>
      <c r="D6" s="8">
        <v>-8.6496876501681794E-3</v>
      </c>
      <c r="E6" s="8">
        <v>-8.6496876501681794E-3</v>
      </c>
      <c r="F6" s="8">
        <v>-8.6496876501681585E-3</v>
      </c>
      <c r="G6" s="8">
        <v>-8.6496876501681585E-3</v>
      </c>
      <c r="H6" s="34">
        <v>-8.6873133223825724E-3</v>
      </c>
      <c r="J6" s="42"/>
    </row>
    <row r="7" spans="1:51" x14ac:dyDescent="0.35">
      <c r="B7" s="6">
        <v>44932</v>
      </c>
      <c r="C7" s="7" t="s">
        <v>33</v>
      </c>
      <c r="D7" s="9">
        <v>7.7556955889481402E-3</v>
      </c>
      <c r="E7" s="9">
        <v>7.7556955889481402E-3</v>
      </c>
      <c r="F7" s="9">
        <v>-9.610764055741905E-4</v>
      </c>
      <c r="G7" s="9">
        <v>-9.610764055741905E-4</v>
      </c>
      <c r="H7" s="35">
        <v>7.725774786761141E-3</v>
      </c>
      <c r="J7" s="42"/>
    </row>
    <row r="8" spans="1:51" x14ac:dyDescent="0.35">
      <c r="B8" s="6">
        <v>44935</v>
      </c>
      <c r="C8" s="7" t="s">
        <v>33</v>
      </c>
      <c r="D8" s="9">
        <v>-2.27272727272727E-2</v>
      </c>
      <c r="E8" s="9">
        <v>-2.27272727272727E-2</v>
      </c>
      <c r="F8" s="9">
        <v>-2.3666506487265648E-2</v>
      </c>
      <c r="G8" s="9">
        <v>-2.3666506487265648E-2</v>
      </c>
      <c r="H8" s="35">
        <v>-2.2989518224698718E-2</v>
      </c>
      <c r="J8" s="42"/>
    </row>
    <row r="9" spans="1:51" x14ac:dyDescent="0.35">
      <c r="B9" s="6">
        <v>44936</v>
      </c>
      <c r="C9" s="7" t="s">
        <v>33</v>
      </c>
      <c r="D9" s="9">
        <v>2.8423772609819199E-2</v>
      </c>
      <c r="E9" s="9">
        <v>2.8423772609819199E-2</v>
      </c>
      <c r="F9" s="9">
        <v>4.0845747236906149E-3</v>
      </c>
      <c r="G9" s="9">
        <v>4.0845747236906149E-3</v>
      </c>
      <c r="H9" s="35">
        <v>2.8027312254655875E-2</v>
      </c>
      <c r="J9" s="42"/>
    </row>
    <row r="10" spans="1:51" x14ac:dyDescent="0.35">
      <c r="B10" s="6">
        <v>44937</v>
      </c>
      <c r="C10" s="7" t="s">
        <v>33</v>
      </c>
      <c r="D10" s="9">
        <v>9.5716678631251207E-3</v>
      </c>
      <c r="E10" s="9">
        <v>9.5716678631251207E-3</v>
      </c>
      <c r="F10" s="9">
        <v>1.3695338779432964E-2</v>
      </c>
      <c r="G10" s="9">
        <v>1.3695338779432964E-2</v>
      </c>
      <c r="H10" s="35">
        <v>9.526149676423153E-3</v>
      </c>
      <c r="J10" s="42"/>
    </row>
    <row r="11" spans="1:51" x14ac:dyDescent="0.35">
      <c r="B11" s="6">
        <v>44938</v>
      </c>
      <c r="C11" s="7" t="s">
        <v>33</v>
      </c>
      <c r="D11" s="9">
        <v>4.1953069447736503E-2</v>
      </c>
      <c r="E11" s="9">
        <v>4.1953069447736503E-2</v>
      </c>
      <c r="F11" s="9">
        <v>5.6222969726093419E-2</v>
      </c>
      <c r="G11" s="9">
        <v>5.6222969726093419E-2</v>
      </c>
      <c r="H11" s="35">
        <v>4.1096903399173455E-2</v>
      </c>
      <c r="J11" s="42"/>
    </row>
    <row r="12" spans="1:51" x14ac:dyDescent="0.35">
      <c r="B12" s="6">
        <v>44939</v>
      </c>
      <c r="C12" s="7" t="s">
        <v>33</v>
      </c>
      <c r="D12" s="9">
        <v>-4.5495905368523899E-4</v>
      </c>
      <c r="E12" s="9">
        <v>-4.5495905368523899E-4</v>
      </c>
      <c r="F12" s="9">
        <v>5.5742431523306157E-2</v>
      </c>
      <c r="G12" s="9">
        <v>5.5742431523306157E-2</v>
      </c>
      <c r="H12" s="35">
        <v>-4.5506257895649543E-4</v>
      </c>
      <c r="J12" s="42"/>
    </row>
    <row r="13" spans="1:51" x14ac:dyDescent="0.35">
      <c r="B13" s="6">
        <v>44943</v>
      </c>
      <c r="C13" s="7" t="s">
        <v>33</v>
      </c>
      <c r="D13" s="9">
        <v>-1.16067364588074E-2</v>
      </c>
      <c r="E13" s="9">
        <v>-1.16067364588074E-2</v>
      </c>
      <c r="F13" s="9">
        <v>4.3488707352234535E-2</v>
      </c>
      <c r="G13" s="9">
        <v>4.3488707352234535E-2</v>
      </c>
      <c r="H13" s="35">
        <v>-1.1674620409733565E-2</v>
      </c>
      <c r="J13" s="42"/>
    </row>
    <row r="14" spans="1:51" x14ac:dyDescent="0.35">
      <c r="B14" s="6">
        <v>44944</v>
      </c>
      <c r="C14" s="7" t="s">
        <v>33</v>
      </c>
      <c r="D14" s="9">
        <v>-1.24338015196868E-2</v>
      </c>
      <c r="E14" s="9">
        <v>-1.24338015196868E-2</v>
      </c>
      <c r="F14" s="9">
        <v>3.0514175876982241E-2</v>
      </c>
      <c r="G14" s="9">
        <v>3.0514175876982241E-2</v>
      </c>
      <c r="H14" s="35">
        <v>-1.2511748017941322E-2</v>
      </c>
      <c r="J14" s="42"/>
    </row>
    <row r="15" spans="1:51" x14ac:dyDescent="0.35">
      <c r="B15" s="6">
        <v>44945</v>
      </c>
      <c r="C15" s="7" t="s">
        <v>33</v>
      </c>
      <c r="D15" s="9">
        <v>-1.0375378876194901E-2</v>
      </c>
      <c r="E15" s="9">
        <v>-1.0375378876194901E-2</v>
      </c>
      <c r="F15" s="9">
        <v>1.9822200864968886E-2</v>
      </c>
      <c r="G15" s="9">
        <v>1.9822200864968886E-2</v>
      </c>
      <c r="H15" s="35">
        <v>-1.0429578338857938E-2</v>
      </c>
      <c r="J15" s="42"/>
    </row>
    <row r="16" spans="1:51" x14ac:dyDescent="0.35">
      <c r="B16" s="6">
        <v>44946</v>
      </c>
      <c r="C16" s="7" t="s">
        <v>33</v>
      </c>
      <c r="D16" s="9">
        <v>2.47378961008363E-2</v>
      </c>
      <c r="E16" s="9">
        <v>2.47378961008363E-2</v>
      </c>
      <c r="F16" s="9">
        <v>4.505045651129258E-2</v>
      </c>
      <c r="G16" s="9">
        <v>4.505045651129258E-2</v>
      </c>
      <c r="H16" s="35">
        <v>2.4436868769572795E-2</v>
      </c>
      <c r="J16" s="42"/>
    </row>
    <row r="17" spans="2:10" x14ac:dyDescent="0.35">
      <c r="B17" s="6">
        <v>44949</v>
      </c>
      <c r="C17" s="7" t="s">
        <v>33</v>
      </c>
      <c r="D17" s="9">
        <v>1.9542476146683701E-3</v>
      </c>
      <c r="E17" s="9">
        <v>1.9542476146683701E-3</v>
      </c>
      <c r="F17" s="9">
        <v>4.7092743873137888E-2</v>
      </c>
      <c r="G17" s="9">
        <v>4.7092743873137888E-2</v>
      </c>
      <c r="H17" s="35">
        <v>1.9523405569697218E-3</v>
      </c>
      <c r="J17" s="42"/>
    </row>
    <row r="18" spans="2:10" x14ac:dyDescent="0.35">
      <c r="B18" s="6">
        <v>44950</v>
      </c>
      <c r="C18" s="7" t="s">
        <v>33</v>
      </c>
      <c r="D18" s="9">
        <v>1.90454336851766E-2</v>
      </c>
      <c r="E18" s="9">
        <v>1.90454336851766E-2</v>
      </c>
      <c r="F18" s="9">
        <v>6.7035079288803479E-2</v>
      </c>
      <c r="G18" s="9">
        <v>6.7035079288803479E-2</v>
      </c>
      <c r="H18" s="35">
        <v>1.8866339787537038E-2</v>
      </c>
      <c r="J18" s="42"/>
    </row>
    <row r="19" spans="2:10" x14ac:dyDescent="0.35">
      <c r="B19" s="6">
        <v>44951</v>
      </c>
      <c r="C19" s="7" t="s">
        <v>33</v>
      </c>
      <c r="D19" s="9">
        <v>9.0069804098190202E-4</v>
      </c>
      <c r="E19" s="9">
        <v>9.0069804098190202E-4</v>
      </c>
      <c r="F19" s="9">
        <v>6.799615569437778E-2</v>
      </c>
      <c r="G19" s="9">
        <v>6.799615569437778E-2</v>
      </c>
      <c r="H19" s="35">
        <v>9.002926559027282E-4</v>
      </c>
      <c r="J19" s="42"/>
    </row>
    <row r="20" spans="2:10" x14ac:dyDescent="0.35">
      <c r="B20" s="6">
        <v>44952</v>
      </c>
      <c r="C20" s="7" t="s">
        <v>33</v>
      </c>
      <c r="D20" s="9">
        <v>-3.4870641169853999E-3</v>
      </c>
      <c r="E20" s="9">
        <v>-3.4870641169853999E-3</v>
      </c>
      <c r="F20" s="9">
        <v>6.42719846227775E-2</v>
      </c>
      <c r="G20" s="9">
        <v>6.42719846227775E-2</v>
      </c>
      <c r="H20" s="35">
        <v>-3.4931580959179308E-3</v>
      </c>
      <c r="J20" s="42"/>
    </row>
    <row r="21" spans="2:10" x14ac:dyDescent="0.35">
      <c r="B21" s="6">
        <v>44953</v>
      </c>
      <c r="C21" s="7" t="s">
        <v>33</v>
      </c>
      <c r="D21" s="9">
        <v>9.0303646009707306E-3</v>
      </c>
      <c r="E21" s="9">
        <v>9.0303646009707306E-3</v>
      </c>
      <c r="F21" s="9">
        <v>7.3882748678520072E-2</v>
      </c>
      <c r="G21" s="9">
        <v>7.3882748678520072E-2</v>
      </c>
      <c r="H21" s="35">
        <v>8.9898346758203133E-3</v>
      </c>
      <c r="J21" s="42"/>
    </row>
    <row r="22" spans="2:10" x14ac:dyDescent="0.35">
      <c r="B22" s="6">
        <v>44956</v>
      </c>
      <c r="C22" s="7" t="s">
        <v>33</v>
      </c>
      <c r="D22" s="9">
        <v>-2.5618078084796998E-2</v>
      </c>
      <c r="E22" s="9">
        <v>-2.5618078084796998E-2</v>
      </c>
      <c r="F22" s="9">
        <v>4.6371936568957217E-2</v>
      </c>
      <c r="G22" s="9">
        <v>4.6371936568957217E-2</v>
      </c>
      <c r="H22" s="35">
        <v>-2.5951935241304153E-2</v>
      </c>
      <c r="J22" s="42"/>
    </row>
    <row r="23" spans="2:10" x14ac:dyDescent="0.35">
      <c r="B23" s="6">
        <v>44957</v>
      </c>
      <c r="C23" s="7" t="s">
        <v>33</v>
      </c>
      <c r="D23" s="9">
        <v>2.06659012629163E-2</v>
      </c>
      <c r="E23" s="9">
        <v>2.06659012629163E-2</v>
      </c>
      <c r="F23" s="9">
        <v>6.799615569437778E-2</v>
      </c>
      <c r="G23" s="9">
        <v>6.799615569437778E-2</v>
      </c>
      <c r="H23" s="35">
        <v>2.0455258661401823E-2</v>
      </c>
      <c r="J23" s="42"/>
    </row>
    <row r="24" spans="2:10" x14ac:dyDescent="0.35">
      <c r="B24" s="6">
        <v>44958</v>
      </c>
      <c r="C24" s="7" t="s">
        <v>33</v>
      </c>
      <c r="D24" s="9">
        <v>9.4488188976376702E-3</v>
      </c>
      <c r="E24" s="9">
        <v>9.4488188976376702E-3</v>
      </c>
      <c r="F24" s="9">
        <v>7.8087457952907169E-2</v>
      </c>
      <c r="G24" s="9">
        <v>7.8087457952907169E-2</v>
      </c>
      <c r="H24" s="35">
        <v>9.4044580279781988E-3</v>
      </c>
    </row>
    <row r="25" spans="2:10" x14ac:dyDescent="0.35">
      <c r="B25" s="6">
        <v>44959</v>
      </c>
      <c r="C25" s="7" t="s">
        <v>33</v>
      </c>
      <c r="D25" s="9">
        <v>2.48495654111879E-2</v>
      </c>
      <c r="E25" s="9">
        <v>2.48495654111879E-2</v>
      </c>
      <c r="F25" s="9">
        <v>0.10487746275828935</v>
      </c>
      <c r="G25" s="9">
        <v>0.10487746275828935</v>
      </c>
      <c r="H25" s="35">
        <v>2.4545836366769058E-2</v>
      </c>
    </row>
    <row r="26" spans="2:10" x14ac:dyDescent="0.35">
      <c r="B26" s="6">
        <v>44960</v>
      </c>
      <c r="C26" s="7" t="s">
        <v>33</v>
      </c>
      <c r="D26" s="9">
        <v>-1.71795150592584E-2</v>
      </c>
      <c r="E26" s="9">
        <v>-1.71795150592584E-2</v>
      </c>
      <c r="F26" s="9">
        <v>8.5896203748198063E-2</v>
      </c>
      <c r="G26" s="9">
        <v>8.5896203748198063E-2</v>
      </c>
      <c r="H26" s="35">
        <v>-1.7328795104286632E-2</v>
      </c>
    </row>
    <row r="27" spans="2:10" x14ac:dyDescent="0.35">
      <c r="B27" s="6">
        <v>44963</v>
      </c>
      <c r="C27" s="7" t="s">
        <v>33</v>
      </c>
      <c r="D27" s="9">
        <v>-7.63358778625952E-3</v>
      </c>
      <c r="E27" s="9">
        <v>-7.63358778625952E-3</v>
      </c>
      <c r="F27" s="9">
        <v>7.7606919750120129E-2</v>
      </c>
      <c r="G27" s="9">
        <v>7.7606919750120129E-2</v>
      </c>
      <c r="H27" s="35">
        <v>-7.6628727455691371E-3</v>
      </c>
    </row>
    <row r="28" spans="2:10" x14ac:dyDescent="0.35">
      <c r="B28" s="6">
        <v>44964</v>
      </c>
      <c r="C28" s="7" t="s">
        <v>33</v>
      </c>
      <c r="D28" s="9">
        <v>6.9119286510589796E-3</v>
      </c>
      <c r="E28" s="9">
        <v>6.9119286510589796E-3</v>
      </c>
      <c r="F28" s="9">
        <v>8.5055261893320466E-2</v>
      </c>
      <c r="G28" s="9">
        <v>8.5055261893320466E-2</v>
      </c>
      <c r="H28" s="35">
        <v>6.8881507766561092E-3</v>
      </c>
    </row>
    <row r="29" spans="2:10" x14ac:dyDescent="0.35">
      <c r="B29" s="6">
        <v>44965</v>
      </c>
      <c r="C29" s="7" t="s">
        <v>33</v>
      </c>
      <c r="D29" s="9">
        <v>-3.4654561558901599E-2</v>
      </c>
      <c r="E29" s="9">
        <v>-3.4654561558901599E-2</v>
      </c>
      <c r="F29" s="9">
        <v>4.7453147525228223E-2</v>
      </c>
      <c r="G29" s="9">
        <v>4.7453147525228223E-2</v>
      </c>
      <c r="H29" s="35">
        <v>-3.5269274401682794E-2</v>
      </c>
    </row>
    <row r="30" spans="2:10" x14ac:dyDescent="0.35">
      <c r="B30" s="6">
        <v>44966</v>
      </c>
      <c r="C30" s="7" t="s">
        <v>33</v>
      </c>
      <c r="D30" s="9">
        <v>-1.26161257024888E-2</v>
      </c>
      <c r="E30" s="9">
        <v>-1.26161257024888E-2</v>
      </c>
      <c r="F30" s="9">
        <v>3.4238346948582299E-2</v>
      </c>
      <c r="G30" s="9">
        <v>3.4238346948582299E-2</v>
      </c>
      <c r="H30" s="35">
        <v>-1.2696384769860404E-2</v>
      </c>
    </row>
    <row r="31" spans="2:10" x14ac:dyDescent="0.35">
      <c r="B31" s="6">
        <v>44967</v>
      </c>
      <c r="C31" s="7" t="s">
        <v>33</v>
      </c>
      <c r="D31" s="9">
        <v>-5.4594029504007298E-3</v>
      </c>
      <c r="E31" s="9">
        <v>-5.4594029504007298E-3</v>
      </c>
      <c r="F31" s="9">
        <v>2.8592023065833638E-2</v>
      </c>
      <c r="G31" s="9">
        <v>2.8592023065833638E-2</v>
      </c>
      <c r="H31" s="35">
        <v>-5.4743599530631742E-3</v>
      </c>
    </row>
    <row r="32" spans="2:10" x14ac:dyDescent="0.35">
      <c r="B32" s="6">
        <v>44970</v>
      </c>
      <c r="C32" s="7" t="s">
        <v>33</v>
      </c>
      <c r="D32" s="9">
        <v>-7.0077084793275296E-4</v>
      </c>
      <c r="E32" s="9">
        <v>-7.0077084793275296E-4</v>
      </c>
      <c r="F32" s="9">
        <v>2.7871215761652968E-2</v>
      </c>
      <c r="G32" s="9">
        <v>2.7871215761652968E-2</v>
      </c>
      <c r="H32" s="35">
        <v>-7.0101650259518601E-4</v>
      </c>
    </row>
    <row r="33" spans="2:8" x14ac:dyDescent="0.35">
      <c r="B33" s="6">
        <v>44971</v>
      </c>
      <c r="C33" s="7" t="s">
        <v>33</v>
      </c>
      <c r="D33" s="9">
        <v>3.7400654511453202E-3</v>
      </c>
      <c r="E33" s="9">
        <v>3.7400654511453202E-3</v>
      </c>
      <c r="F33" s="9">
        <v>3.171552138394973E-2</v>
      </c>
      <c r="G33" s="9">
        <v>3.171552138394973E-2</v>
      </c>
      <c r="H33" s="35">
        <v>3.7330887963752529E-3</v>
      </c>
    </row>
    <row r="34" spans="2:8" x14ac:dyDescent="0.35">
      <c r="B34" s="6">
        <v>44972</v>
      </c>
      <c r="C34" s="7" t="s">
        <v>33</v>
      </c>
      <c r="D34" s="9">
        <v>2.0959478341873198E-3</v>
      </c>
      <c r="E34" s="9">
        <v>2.0959478341873198E-3</v>
      </c>
      <c r="F34" s="9">
        <v>3.3877943296491964E-2</v>
      </c>
      <c r="G34" s="9">
        <v>3.3877943296491964E-2</v>
      </c>
      <c r="H34" s="35">
        <v>2.0937543998733781E-3</v>
      </c>
    </row>
    <row r="35" spans="2:8" x14ac:dyDescent="0.35">
      <c r="B35" s="6">
        <v>44973</v>
      </c>
      <c r="C35" s="7" t="s">
        <v>33</v>
      </c>
      <c r="D35" s="9">
        <v>-1.4989542179874599E-2</v>
      </c>
      <c r="E35" s="9">
        <v>-1.4989542179874599E-2</v>
      </c>
      <c r="F35" s="9">
        <v>1.8380586256607323E-2</v>
      </c>
      <c r="G35" s="9">
        <v>1.8380586256607323E-2</v>
      </c>
      <c r="H35" s="35">
        <v>-1.5103020790139466E-2</v>
      </c>
    </row>
    <row r="36" spans="2:8" x14ac:dyDescent="0.35">
      <c r="B36" s="6">
        <v>44974</v>
      </c>
      <c r="C36" s="7" t="s">
        <v>33</v>
      </c>
      <c r="D36" s="9">
        <v>2.3947151114781198E-2</v>
      </c>
      <c r="E36" s="9">
        <v>2.3947151114781198E-2</v>
      </c>
      <c r="F36" s="9">
        <v>4.2767900048053864E-2</v>
      </c>
      <c r="G36" s="9">
        <v>4.2767900048053864E-2</v>
      </c>
      <c r="H36" s="35">
        <v>2.3664915045990418E-2</v>
      </c>
    </row>
    <row r="37" spans="2:8" x14ac:dyDescent="0.35">
      <c r="B37" s="6">
        <v>44978</v>
      </c>
      <c r="C37" s="7" t="s">
        <v>33</v>
      </c>
      <c r="D37" s="9">
        <v>-4.6428571428571402E-2</v>
      </c>
      <c r="E37" s="9">
        <v>-4.6428571428571402E-2</v>
      </c>
      <c r="F37" s="9">
        <v>-5.6463238827485496E-3</v>
      </c>
      <c r="G37" s="9">
        <v>-5.6463238827485496E-3</v>
      </c>
      <c r="H37" s="35">
        <v>-4.7540944769000018E-2</v>
      </c>
    </row>
    <row r="38" spans="2:8" x14ac:dyDescent="0.35">
      <c r="B38" s="6">
        <v>44979</v>
      </c>
      <c r="C38" s="7" t="s">
        <v>33</v>
      </c>
      <c r="D38" s="9">
        <v>1.03902380089404E-2</v>
      </c>
      <c r="E38" s="9">
        <v>1.03902380089404E-2</v>
      </c>
      <c r="F38" s="9">
        <v>4.6852474771745811E-3</v>
      </c>
      <c r="G38" s="9">
        <v>4.6852474771745811E-3</v>
      </c>
      <c r="H38" s="35">
        <v>1.0336630496130008E-2</v>
      </c>
    </row>
    <row r="39" spans="2:8" x14ac:dyDescent="0.35">
      <c r="B39" s="6">
        <v>44980</v>
      </c>
      <c r="C39" s="7" t="s">
        <v>33</v>
      </c>
      <c r="D39" s="9">
        <v>-1.91318904699267E-3</v>
      </c>
      <c r="E39" s="9">
        <v>-1.91318904699267E-3</v>
      </c>
      <c r="F39" s="9">
        <v>2.7630946660262001E-3</v>
      </c>
      <c r="G39" s="9">
        <v>2.7630946660262001E-3</v>
      </c>
      <c r="H39" s="35">
        <v>-1.9150215307890699E-3</v>
      </c>
    </row>
    <row r="40" spans="2:8" x14ac:dyDescent="0.35">
      <c r="B40" s="6">
        <v>44981</v>
      </c>
      <c r="C40" s="7" t="s">
        <v>33</v>
      </c>
      <c r="D40" s="9">
        <v>-2.3960704444710702E-2</v>
      </c>
      <c r="E40" s="9">
        <v>-2.3960704444710702E-2</v>
      </c>
      <c r="F40" s="9">
        <v>-2.1263815473329895E-2</v>
      </c>
      <c r="G40" s="9">
        <v>-2.1263815473329895E-2</v>
      </c>
      <c r="H40" s="35">
        <v>-2.4252431540094866E-2</v>
      </c>
    </row>
    <row r="41" spans="2:8" x14ac:dyDescent="0.35">
      <c r="B41" s="6">
        <v>44984</v>
      </c>
      <c r="C41" s="7" t="s">
        <v>33</v>
      </c>
      <c r="D41" s="9">
        <v>8.1011415244874995E-3</v>
      </c>
      <c r="E41" s="9">
        <v>8.1011415244874995E-3</v>
      </c>
      <c r="F41" s="9">
        <v>-1.3334935127342296E-2</v>
      </c>
      <c r="G41" s="9">
        <v>-1.3334935127342296E-2</v>
      </c>
      <c r="H41" s="35">
        <v>8.0685034295505786E-3</v>
      </c>
    </row>
    <row r="42" spans="2:8" x14ac:dyDescent="0.35">
      <c r="B42" s="6">
        <v>44985</v>
      </c>
      <c r="C42" s="7" t="s">
        <v>33</v>
      </c>
      <c r="D42" s="9">
        <v>8.7665895531474393E-3</v>
      </c>
      <c r="E42" s="9">
        <v>8.7665895531474393E-3</v>
      </c>
      <c r="F42" s="9">
        <v>-4.685247477174137E-3</v>
      </c>
      <c r="G42" s="9">
        <v>-4.685247477174137E-3</v>
      </c>
      <c r="H42" s="35">
        <v>8.7283861204710041E-3</v>
      </c>
    </row>
    <row r="43" spans="2:8" x14ac:dyDescent="0.35">
      <c r="B43" s="6">
        <v>44986</v>
      </c>
      <c r="C43" s="7" t="s">
        <v>33</v>
      </c>
      <c r="D43" s="9">
        <v>3.01750150875075E-3</v>
      </c>
      <c r="E43" s="9">
        <v>3.01750150875075E-3</v>
      </c>
      <c r="F43" s="9">
        <v>-1.6818837097546391E-3</v>
      </c>
      <c r="G43" s="9">
        <v>-1.6818837097546391E-3</v>
      </c>
      <c r="H43" s="35">
        <v>3.0129579888306317E-3</v>
      </c>
    </row>
    <row r="44" spans="2:8" x14ac:dyDescent="0.35">
      <c r="B44" s="6">
        <v>44987</v>
      </c>
      <c r="C44" s="7" t="s">
        <v>33</v>
      </c>
      <c r="D44" s="9">
        <v>-8.1829121540311998E-3</v>
      </c>
      <c r="E44" s="9">
        <v>-8.1829121540311998E-3</v>
      </c>
      <c r="F44" s="9">
        <v>-9.8510331571356469E-3</v>
      </c>
      <c r="G44" s="9">
        <v>-9.8510331571356469E-3</v>
      </c>
      <c r="H44" s="35">
        <v>-8.2165759507311469E-3</v>
      </c>
    </row>
    <row r="45" spans="2:8" x14ac:dyDescent="0.35">
      <c r="B45" s="6">
        <v>44988</v>
      </c>
      <c r="C45" s="7" t="s">
        <v>33</v>
      </c>
      <c r="D45" s="9">
        <v>1.4195583596214501E-2</v>
      </c>
      <c r="E45" s="9">
        <v>1.4195583596214501E-2</v>
      </c>
      <c r="F45" s="9">
        <v>4.2047092743875414E-3</v>
      </c>
      <c r="G45" s="9">
        <v>4.2047092743875414E-3</v>
      </c>
      <c r="H45" s="35">
        <v>1.4095769800393376E-2</v>
      </c>
    </row>
    <row r="46" spans="2:8" x14ac:dyDescent="0.35">
      <c r="B46" s="6">
        <v>44991</v>
      </c>
      <c r="C46" s="7" t="s">
        <v>33</v>
      </c>
      <c r="D46" s="9">
        <v>-1.6987677951908101E-2</v>
      </c>
      <c r="E46" s="9">
        <v>-1.6987677951908101E-2</v>
      </c>
      <c r="F46" s="9">
        <v>-1.2854396924555256E-2</v>
      </c>
      <c r="G46" s="9">
        <v>-1.2854396924555256E-2</v>
      </c>
      <c r="H46" s="35">
        <v>-1.7133623767968294E-2</v>
      </c>
    </row>
    <row r="47" spans="2:8" x14ac:dyDescent="0.35">
      <c r="B47" s="6">
        <v>44992</v>
      </c>
      <c r="C47" s="7" t="s">
        <v>33</v>
      </c>
      <c r="D47" s="9">
        <v>-1.2169891687964999E-3</v>
      </c>
      <c r="E47" s="9">
        <v>-1.2169891687964999E-3</v>
      </c>
      <c r="F47" s="9">
        <v>-1.4055742431523188E-2</v>
      </c>
      <c r="G47" s="9">
        <v>-1.4055742431523188E-2</v>
      </c>
      <c r="H47" s="35">
        <v>-1.217730301476335E-3</v>
      </c>
    </row>
    <row r="48" spans="2:8" x14ac:dyDescent="0.35">
      <c r="B48" s="6">
        <v>44993</v>
      </c>
      <c r="C48" s="7" t="s">
        <v>33</v>
      </c>
      <c r="D48" s="9">
        <v>-1.0235165102960801E-2</v>
      </c>
      <c r="E48" s="9">
        <v>-1.0235165102960801E-2</v>
      </c>
      <c r="F48" s="9">
        <v>-2.4147044690052688E-2</v>
      </c>
      <c r="G48" s="9">
        <v>-2.4147044690052688E-2</v>
      </c>
      <c r="H48" s="35">
        <v>-1.0287904578757763E-2</v>
      </c>
    </row>
    <row r="49" spans="2:8" x14ac:dyDescent="0.35">
      <c r="B49" s="6">
        <v>44994</v>
      </c>
      <c r="C49" s="7" t="s">
        <v>33</v>
      </c>
      <c r="D49" s="9">
        <v>-3.0776806598547299E-2</v>
      </c>
      <c r="E49" s="9">
        <v>-3.0776806598547299E-2</v>
      </c>
      <c r="F49" s="9">
        <v>-5.4180682364247779E-2</v>
      </c>
      <c r="G49" s="9">
        <v>-5.4180682364247779E-2</v>
      </c>
      <c r="H49" s="35">
        <v>-3.1260359866486634E-2</v>
      </c>
    </row>
    <row r="50" spans="2:8" x14ac:dyDescent="0.35">
      <c r="B50" s="6">
        <v>44995</v>
      </c>
      <c r="C50" s="7" t="s">
        <v>33</v>
      </c>
      <c r="D50" s="9">
        <v>-3.89940302298998E-2</v>
      </c>
      <c r="E50" s="9">
        <v>-3.89940302298998E-2</v>
      </c>
      <c r="F50" s="9">
        <v>-9.1061989428159462E-2</v>
      </c>
      <c r="G50" s="9">
        <v>-9.1061989428159462E-2</v>
      </c>
      <c r="H50" s="35">
        <v>-3.9774657991492768E-2</v>
      </c>
    </row>
    <row r="51" spans="2:8" x14ac:dyDescent="0.35">
      <c r="B51" s="6">
        <v>44998</v>
      </c>
      <c r="C51" s="7" t="s">
        <v>33</v>
      </c>
      <c r="D51" s="9">
        <v>2.9077451757864199E-2</v>
      </c>
      <c r="E51" s="9">
        <v>2.9077451757864199E-2</v>
      </c>
      <c r="F51" s="9">
        <v>-6.4632388274867614E-2</v>
      </c>
      <c r="G51" s="9">
        <v>-6.4632388274867614E-2</v>
      </c>
      <c r="H51" s="35">
        <v>2.8662722977426596E-2</v>
      </c>
    </row>
    <row r="52" spans="2:8" x14ac:dyDescent="0.35">
      <c r="B52" s="6">
        <v>44999</v>
      </c>
      <c r="C52" s="7" t="s">
        <v>33</v>
      </c>
      <c r="D52" s="9">
        <v>1.50269714872849E-2</v>
      </c>
      <c r="E52" s="9">
        <v>1.50269714872849E-2</v>
      </c>
      <c r="F52" s="9">
        <v>-5.0576645843344314E-2</v>
      </c>
      <c r="G52" s="9">
        <v>-5.0576645843344314E-2</v>
      </c>
      <c r="H52" s="35">
        <v>1.4915185034574239E-2</v>
      </c>
    </row>
    <row r="53" spans="2:8" x14ac:dyDescent="0.35">
      <c r="B53" s="6">
        <v>45000</v>
      </c>
      <c r="C53" s="7" t="s">
        <v>33</v>
      </c>
      <c r="D53" s="9">
        <v>-1.24003542958371E-2</v>
      </c>
      <c r="E53" s="9">
        <v>-1.24003542958371E-2</v>
      </c>
      <c r="F53" s="9">
        <v>-6.2349831811628897E-2</v>
      </c>
      <c r="G53" s="9">
        <v>-6.2349831811628897E-2</v>
      </c>
      <c r="H53" s="35">
        <v>-1.247788025544294E-2</v>
      </c>
    </row>
    <row r="54" spans="2:8" x14ac:dyDescent="0.35">
      <c r="B54" s="6">
        <v>45001</v>
      </c>
      <c r="C54" s="7" t="s">
        <v>33</v>
      </c>
      <c r="D54" s="9">
        <v>2.30621396540688E-3</v>
      </c>
      <c r="E54" s="9">
        <v>2.30621396540688E-3</v>
      </c>
      <c r="F54" s="9">
        <v>-6.0187409899086775E-2</v>
      </c>
      <c r="G54" s="9">
        <v>-6.0187409899086775E-2</v>
      </c>
      <c r="H54" s="35">
        <v>2.3035587355482679E-3</v>
      </c>
    </row>
    <row r="55" spans="2:8" x14ac:dyDescent="0.35">
      <c r="B55" s="6">
        <v>45002</v>
      </c>
      <c r="C55" s="7" t="s">
        <v>33</v>
      </c>
      <c r="D55" s="9">
        <v>-2.2114278409817299E-2</v>
      </c>
      <c r="E55" s="9">
        <v>-2.2114278409817299E-2</v>
      </c>
      <c r="F55" s="9">
        <v>-8.0970687169629851E-2</v>
      </c>
      <c r="G55" s="9">
        <v>-8.0970687169629851E-2</v>
      </c>
      <c r="H55" s="35">
        <v>-2.2362464864499183E-2</v>
      </c>
    </row>
    <row r="56" spans="2:8" x14ac:dyDescent="0.35">
      <c r="B56" s="6">
        <v>45005</v>
      </c>
      <c r="C56" s="7" t="s">
        <v>33</v>
      </c>
      <c r="D56" s="9">
        <v>3.66013071895426E-3</v>
      </c>
      <c r="E56" s="9">
        <v>3.66013071895426E-3</v>
      </c>
      <c r="F56" s="9">
        <v>-7.7606919750119907E-2</v>
      </c>
      <c r="G56" s="9">
        <v>-7.7606919750119907E-2</v>
      </c>
      <c r="H56" s="35">
        <v>3.6534487401615706E-3</v>
      </c>
    </row>
    <row r="57" spans="2:8" x14ac:dyDescent="0.35">
      <c r="B57" s="6">
        <v>45006</v>
      </c>
      <c r="C57" s="7" t="s">
        <v>33</v>
      </c>
      <c r="D57" s="9">
        <v>-9.8984110445429208E-3</v>
      </c>
      <c r="E57" s="9">
        <v>-9.8984110445429208E-3</v>
      </c>
      <c r="F57" s="9">
        <v>-8.6737145603075327E-2</v>
      </c>
      <c r="G57" s="9">
        <v>-8.6737145603075327E-2</v>
      </c>
      <c r="H57" s="35">
        <v>-9.9477260115490365E-3</v>
      </c>
    </row>
    <row r="58" spans="2:8" x14ac:dyDescent="0.35">
      <c r="B58" s="6">
        <v>45007</v>
      </c>
      <c r="C58" s="7" t="s">
        <v>33</v>
      </c>
      <c r="D58" s="9">
        <v>-3.80163114969745E-2</v>
      </c>
      <c r="E58" s="9">
        <v>-3.80163114969745E-2</v>
      </c>
      <c r="F58" s="9">
        <v>-0.12145603075444489</v>
      </c>
      <c r="G58" s="9">
        <v>-0.12145603075444489</v>
      </c>
      <c r="H58" s="35">
        <v>-3.875778427824287E-2</v>
      </c>
    </row>
    <row r="59" spans="2:8" x14ac:dyDescent="0.35">
      <c r="B59" s="6">
        <v>45008</v>
      </c>
      <c r="C59" s="7" t="s">
        <v>33</v>
      </c>
      <c r="D59" s="9">
        <v>8.0678244222617702E-3</v>
      </c>
      <c r="E59" s="9">
        <v>8.0678244222617702E-3</v>
      </c>
      <c r="F59" s="9">
        <v>-0.11436809226333478</v>
      </c>
      <c r="G59" s="9">
        <v>-0.11436809226333478</v>
      </c>
      <c r="H59" s="35">
        <v>8.0354535187628206E-3</v>
      </c>
    </row>
    <row r="60" spans="2:8" x14ac:dyDescent="0.35">
      <c r="B60" s="6">
        <v>45009</v>
      </c>
      <c r="C60" s="7" t="s">
        <v>33</v>
      </c>
      <c r="D60" s="9">
        <v>6.3754747693977104E-3</v>
      </c>
      <c r="E60" s="9">
        <v>6.3754747693977104E-3</v>
      </c>
      <c r="F60" s="9">
        <v>-0.108721768380586</v>
      </c>
      <c r="G60" s="9">
        <v>-0.108721768380586</v>
      </c>
      <c r="H60" s="35">
        <v>6.3552373998120894E-3</v>
      </c>
    </row>
    <row r="61" spans="2:8" x14ac:dyDescent="0.35">
      <c r="B61" s="6">
        <v>45012</v>
      </c>
      <c r="C61" s="7" t="s">
        <v>33</v>
      </c>
      <c r="D61" s="9">
        <v>1.02439681897831E-2</v>
      </c>
      <c r="E61" s="9">
        <v>1.02439681897831E-2</v>
      </c>
      <c r="F61" s="9">
        <v>-9.9591542527630694E-2</v>
      </c>
      <c r="G61" s="9">
        <v>-9.9591542527630694E-2</v>
      </c>
      <c r="H61" s="35">
        <v>1.0191854347172208E-2</v>
      </c>
    </row>
    <row r="62" spans="2:8" x14ac:dyDescent="0.35">
      <c r="B62" s="6">
        <v>45013</v>
      </c>
      <c r="C62" s="7" t="s">
        <v>33</v>
      </c>
      <c r="D62" s="9">
        <v>-6.6711140760507001E-3</v>
      </c>
      <c r="E62" s="9">
        <v>-6.6711140760507001E-3</v>
      </c>
      <c r="F62" s="9">
        <v>-0.10559827006246969</v>
      </c>
      <c r="G62" s="9">
        <v>-0.10559827006246969</v>
      </c>
      <c r="H62" s="35">
        <v>-6.6934654185887175E-3</v>
      </c>
    </row>
    <row r="63" spans="2:8" x14ac:dyDescent="0.35">
      <c r="B63" s="6">
        <v>45014</v>
      </c>
      <c r="C63" s="7" t="s">
        <v>33</v>
      </c>
      <c r="D63" s="9">
        <v>2.5117528542645901E-2</v>
      </c>
      <c r="E63" s="9">
        <v>2.5117528542645901E-2</v>
      </c>
      <c r="F63" s="9">
        <v>-8.3133109082171863E-2</v>
      </c>
      <c r="G63" s="9">
        <v>-8.3133109082171863E-2</v>
      </c>
      <c r="H63" s="35">
        <v>2.4807268010012956E-2</v>
      </c>
    </row>
    <row r="64" spans="2:8" x14ac:dyDescent="0.35">
      <c r="B64" s="6">
        <v>45015</v>
      </c>
      <c r="C64" s="7" t="s">
        <v>33</v>
      </c>
      <c r="D64" s="9">
        <v>-2.16194968553458E-2</v>
      </c>
      <c r="E64" s="9">
        <v>-2.16194968553458E-2</v>
      </c>
      <c r="F64" s="9">
        <v>-0.10295530994714053</v>
      </c>
      <c r="G64" s="9">
        <v>-0.10295530994714053</v>
      </c>
      <c r="H64" s="35">
        <v>-2.1856622092420654E-2</v>
      </c>
    </row>
    <row r="65" spans="2:8" x14ac:dyDescent="0.35">
      <c r="B65" s="6">
        <v>45016</v>
      </c>
      <c r="C65" s="7" t="s">
        <v>33</v>
      </c>
      <c r="D65" s="9">
        <v>2.0624079282174801E-2</v>
      </c>
      <c r="E65" s="9">
        <v>2.0624079282174801E-2</v>
      </c>
      <c r="F65" s="9">
        <v>-8.4454589139836389E-2</v>
      </c>
      <c r="G65" s="9">
        <v>-8.4454589139836389E-2</v>
      </c>
      <c r="H65" s="35">
        <v>2.041428263041566E-2</v>
      </c>
    </row>
    <row r="66" spans="2:8" x14ac:dyDescent="0.35">
      <c r="B66" s="6">
        <v>45019</v>
      </c>
      <c r="C66" s="7" t="s">
        <v>33</v>
      </c>
      <c r="D66" s="9">
        <v>1.11533919433146E-2</v>
      </c>
      <c r="E66" s="9">
        <v>1.11533919433146E-2</v>
      </c>
      <c r="F66" s="9">
        <v>-7.4243152330609963E-2</v>
      </c>
      <c r="G66" s="9">
        <v>-7.4243152330609963E-2</v>
      </c>
      <c r="H66" s="35">
        <v>1.1091651519985575E-2</v>
      </c>
    </row>
    <row r="67" spans="2:8" x14ac:dyDescent="0.35">
      <c r="B67" s="6">
        <v>45020</v>
      </c>
      <c r="C67" s="7" t="s">
        <v>33</v>
      </c>
      <c r="D67" s="9">
        <v>-1.9335582662860201E-2</v>
      </c>
      <c r="E67" s="9">
        <v>-1.9335582662860201E-2</v>
      </c>
      <c r="F67" s="9">
        <v>-9.2143200384430357E-2</v>
      </c>
      <c r="G67" s="9">
        <v>-9.2143200384430357E-2</v>
      </c>
      <c r="H67" s="35">
        <v>-1.952496016538308E-2</v>
      </c>
    </row>
    <row r="68" spans="2:8" x14ac:dyDescent="0.35">
      <c r="B68" s="6">
        <v>45021</v>
      </c>
      <c r="C68" s="7" t="s">
        <v>33</v>
      </c>
      <c r="D68" s="9">
        <v>-2.5142252216487698E-3</v>
      </c>
      <c r="E68" s="9">
        <v>-2.5142252216487698E-3</v>
      </c>
      <c r="F68" s="9">
        <v>-9.4425756847669184E-2</v>
      </c>
      <c r="G68" s="9">
        <v>-9.4425756847669184E-2</v>
      </c>
      <c r="H68" s="35">
        <v>-2.5173911936391333E-3</v>
      </c>
    </row>
    <row r="69" spans="2:8" x14ac:dyDescent="0.35">
      <c r="B69" s="6">
        <v>45022</v>
      </c>
      <c r="C69" s="7" t="s">
        <v>33</v>
      </c>
      <c r="D69" s="9">
        <v>1.9766516317325698E-2</v>
      </c>
      <c r="E69" s="9">
        <v>1.9766516317325698E-2</v>
      </c>
      <c r="F69" s="9">
        <v>-7.652570879384879E-2</v>
      </c>
      <c r="G69" s="9">
        <v>-7.652570879384879E-2</v>
      </c>
      <c r="H69" s="35">
        <v>1.9573695522051425E-2</v>
      </c>
    </row>
    <row r="70" spans="2:8" x14ac:dyDescent="0.35">
      <c r="B70" s="6">
        <v>45026</v>
      </c>
      <c r="C70" s="7" t="s">
        <v>33</v>
      </c>
      <c r="D70" s="9">
        <v>-9.3664628593729503E-3</v>
      </c>
      <c r="E70" s="9">
        <v>-9.3664628593729503E-3</v>
      </c>
      <c r="F70" s="9">
        <v>-8.5175396444016949E-2</v>
      </c>
      <c r="G70" s="9">
        <v>-8.5175396444016949E-2</v>
      </c>
      <c r="H70" s="35">
        <v>-9.4106040198697581E-3</v>
      </c>
    </row>
    <row r="71" spans="2:8" x14ac:dyDescent="0.35">
      <c r="B71" s="6">
        <v>45027</v>
      </c>
      <c r="C71" s="7" t="s">
        <v>33</v>
      </c>
      <c r="D71" s="9">
        <v>9.5863427445829208E-3</v>
      </c>
      <c r="E71" s="9">
        <v>9.5863427445829208E-3</v>
      </c>
      <c r="F71" s="9">
        <v>-7.6405574243151975E-2</v>
      </c>
      <c r="G71" s="9">
        <v>-7.6405574243151975E-2</v>
      </c>
      <c r="H71" s="35">
        <v>9.540685320866207E-3</v>
      </c>
    </row>
    <row r="72" spans="2:8" x14ac:dyDescent="0.35">
      <c r="B72" s="6">
        <v>45028</v>
      </c>
      <c r="C72" s="7" t="s">
        <v>33</v>
      </c>
      <c r="D72" s="9">
        <v>-1.0796045785639899E-2</v>
      </c>
      <c r="E72" s="9">
        <v>-1.0796045785639899E-2</v>
      </c>
      <c r="F72" s="9">
        <v>-8.6376741950984659E-2</v>
      </c>
      <c r="G72" s="9">
        <v>-8.6376741950984659E-2</v>
      </c>
      <c r="H72" s="35">
        <v>-1.0854745956735095E-2</v>
      </c>
    </row>
    <row r="73" spans="2:8" x14ac:dyDescent="0.35">
      <c r="B73" s="6">
        <v>45029</v>
      </c>
      <c r="C73" s="7" t="s">
        <v>33</v>
      </c>
      <c r="D73" s="9">
        <v>4.4444444444444599E-2</v>
      </c>
      <c r="E73" s="9">
        <v>4.4444444444444599E-2</v>
      </c>
      <c r="F73" s="9">
        <v>-4.5771263815472807E-2</v>
      </c>
      <c r="G73" s="9">
        <v>-4.5771263815472807E-2</v>
      </c>
      <c r="H73" s="35">
        <v>4.3485111939738891E-2</v>
      </c>
    </row>
    <row r="74" spans="2:8" x14ac:dyDescent="0.35">
      <c r="B74" s="6">
        <v>45030</v>
      </c>
      <c r="C74" s="7" t="s">
        <v>33</v>
      </c>
      <c r="D74" s="9">
        <v>-1.5611230013848801E-2</v>
      </c>
      <c r="E74" s="9">
        <v>-1.5611230013848801E-2</v>
      </c>
      <c r="F74" s="9">
        <v>-6.0667948101873703E-2</v>
      </c>
      <c r="G74" s="9">
        <v>-6.0667948101873703E-2</v>
      </c>
      <c r="H74" s="35">
        <v>-1.5734368508618164E-2</v>
      </c>
    </row>
    <row r="75" spans="2:8" x14ac:dyDescent="0.35">
      <c r="B75" s="6">
        <v>45033</v>
      </c>
      <c r="C75" s="7" t="s">
        <v>33</v>
      </c>
      <c r="D75" s="9">
        <v>4.6553267681289201E-2</v>
      </c>
      <c r="E75" s="9">
        <v>4.6553267681289201E-2</v>
      </c>
      <c r="F75" s="9">
        <v>-1.6938971648245538E-2</v>
      </c>
      <c r="G75" s="9">
        <v>-1.6938971648245538E-2</v>
      </c>
      <c r="H75" s="35">
        <v>4.5502162402867738E-2</v>
      </c>
    </row>
    <row r="76" spans="2:8" x14ac:dyDescent="0.35">
      <c r="B76" s="6">
        <v>45034</v>
      </c>
      <c r="C76" s="7" t="s">
        <v>33</v>
      </c>
      <c r="D76" s="9">
        <v>-6.1102285225467399E-3</v>
      </c>
      <c r="E76" s="9">
        <v>-6.1102285225467399E-3</v>
      </c>
      <c r="F76" s="9">
        <v>-2.2945699183084534E-2</v>
      </c>
      <c r="G76" s="9">
        <v>-2.2945699183084534E-2</v>
      </c>
      <c r="H76" s="35">
        <v>-6.1289723606064803E-3</v>
      </c>
    </row>
    <row r="77" spans="2:8" x14ac:dyDescent="0.35">
      <c r="B77" s="6">
        <v>45035</v>
      </c>
      <c r="C77" s="7" t="s">
        <v>33</v>
      </c>
      <c r="D77" s="9">
        <v>1.25414976023607E-2</v>
      </c>
      <c r="E77" s="9">
        <v>1.25414976023607E-2</v>
      </c>
      <c r="F77" s="9">
        <v>-1.0691975012012911E-2</v>
      </c>
      <c r="G77" s="9">
        <v>-1.0691975012012911E-2</v>
      </c>
      <c r="H77" s="35">
        <v>1.2463504444965513E-2</v>
      </c>
    </row>
    <row r="78" spans="2:8" x14ac:dyDescent="0.35">
      <c r="B78" s="6">
        <v>45036</v>
      </c>
      <c r="C78" s="7" t="s">
        <v>33</v>
      </c>
      <c r="D78" s="9">
        <v>-2.1007893139040602E-2</v>
      </c>
      <c r="E78" s="9">
        <v>-2.1007893139040602E-2</v>
      </c>
      <c r="F78" s="9">
        <v>-3.1475252282555877E-2</v>
      </c>
      <c r="G78" s="9">
        <v>-3.1475252282555877E-2</v>
      </c>
      <c r="H78" s="35">
        <v>-2.1231698934629534E-2</v>
      </c>
    </row>
    <row r="79" spans="2:8" x14ac:dyDescent="0.35">
      <c r="B79" s="6">
        <v>45037</v>
      </c>
      <c r="C79" s="7" t="s">
        <v>33</v>
      </c>
      <c r="D79" s="9">
        <v>2.0466385512279701E-2</v>
      </c>
      <c r="E79" s="9">
        <v>2.0466385512279701E-2</v>
      </c>
      <c r="F79" s="9">
        <v>-1.1653051417587212E-2</v>
      </c>
      <c r="G79" s="9">
        <v>-1.1653051417587212E-2</v>
      </c>
      <c r="H79" s="35">
        <v>2.0259763491819134E-2</v>
      </c>
    </row>
    <row r="80" spans="2:8" x14ac:dyDescent="0.35">
      <c r="B80" s="6">
        <v>45040</v>
      </c>
      <c r="C80" s="7" t="s">
        <v>33</v>
      </c>
      <c r="D80" s="9">
        <v>-1.2762854017260201E-2</v>
      </c>
      <c r="E80" s="9">
        <v>-1.2762854017260201E-2</v>
      </c>
      <c r="F80" s="9">
        <v>-2.4267179240749059E-2</v>
      </c>
      <c r="G80" s="9">
        <v>-2.4267179240749059E-2</v>
      </c>
      <c r="H80" s="35">
        <v>-1.2844998922687149E-2</v>
      </c>
    </row>
    <row r="81" spans="2:8" x14ac:dyDescent="0.35">
      <c r="B81" s="6">
        <v>45041</v>
      </c>
      <c r="C81" s="7" t="s">
        <v>33</v>
      </c>
      <c r="D81" s="9">
        <v>-1.4897808421571001E-2</v>
      </c>
      <c r="E81" s="9">
        <v>-1.4897808421571001E-2</v>
      </c>
      <c r="F81" s="9">
        <v>-3.8803459875059398E-2</v>
      </c>
      <c r="G81" s="9">
        <v>-3.8803459875059398E-2</v>
      </c>
      <c r="H81" s="35">
        <v>-1.5009895396119053E-2</v>
      </c>
    </row>
    <row r="82" spans="2:8" x14ac:dyDescent="0.35">
      <c r="B82" s="6">
        <v>45042</v>
      </c>
      <c r="C82" s="7" t="s">
        <v>33</v>
      </c>
      <c r="D82" s="9">
        <v>-8.2489688788902702E-3</v>
      </c>
      <c r="E82" s="9">
        <v>-8.2489688788902702E-3</v>
      </c>
      <c r="F82" s="9">
        <v>-4.6732340221046997E-2</v>
      </c>
      <c r="G82" s="9">
        <v>-4.6732340221046997E-2</v>
      </c>
      <c r="H82" s="35">
        <v>-8.2831798896146371E-3</v>
      </c>
    </row>
    <row r="83" spans="2:8" x14ac:dyDescent="0.35">
      <c r="B83" s="6">
        <v>45043</v>
      </c>
      <c r="C83" s="7" t="s">
        <v>33</v>
      </c>
      <c r="D83" s="9">
        <v>-6.9313169502205098E-3</v>
      </c>
      <c r="E83" s="9">
        <v>-6.9313169502205098E-3</v>
      </c>
      <c r="F83" s="9">
        <v>-5.3339740509369959E-2</v>
      </c>
      <c r="G83" s="9">
        <v>-5.3339740509369959E-2</v>
      </c>
      <c r="H83" s="35">
        <v>-6.9554501085846302E-3</v>
      </c>
    </row>
    <row r="84" spans="2:8" x14ac:dyDescent="0.35">
      <c r="B84" s="6">
        <v>45044</v>
      </c>
      <c r="C84" s="7" t="s">
        <v>33</v>
      </c>
      <c r="D84" s="9">
        <v>1.7766497461929001E-2</v>
      </c>
      <c r="E84" s="9">
        <v>1.7766497461929001E-2</v>
      </c>
      <c r="F84" s="9">
        <v>-3.6520903411820682E-2</v>
      </c>
      <c r="G84" s="9">
        <v>-3.6520903411820682E-2</v>
      </c>
      <c r="H84" s="35">
        <v>1.7610518008635369E-2</v>
      </c>
    </row>
    <row r="85" spans="2:8" x14ac:dyDescent="0.35">
      <c r="B85" s="6">
        <v>45047</v>
      </c>
      <c r="C85" s="7" t="s">
        <v>33</v>
      </c>
      <c r="D85" s="9">
        <v>2.3316708229426299E-2</v>
      </c>
      <c r="E85" s="9">
        <v>2.3316708229426299E-2</v>
      </c>
      <c r="F85" s="9">
        <v>-1.4055742431522855E-2</v>
      </c>
      <c r="G85" s="9">
        <v>-1.4055742431522855E-2</v>
      </c>
      <c r="H85" s="35">
        <v>2.3049026769151371E-2</v>
      </c>
    </row>
    <row r="86" spans="2:8" x14ac:dyDescent="0.35">
      <c r="B86" s="6">
        <v>45048</v>
      </c>
      <c r="C86" s="7" t="s">
        <v>33</v>
      </c>
      <c r="D86" s="9">
        <v>-2.8512245643962299E-2</v>
      </c>
      <c r="E86" s="9">
        <v>-2.8512245643962299E-2</v>
      </c>
      <c r="F86" s="9">
        <v>-4.2167227294569232E-2</v>
      </c>
      <c r="G86" s="9">
        <v>-4.2167227294569232E-2</v>
      </c>
      <c r="H86" s="35">
        <v>-2.8926615127215994E-2</v>
      </c>
    </row>
    <row r="87" spans="2:8" x14ac:dyDescent="0.35">
      <c r="B87" s="6">
        <v>45049</v>
      </c>
      <c r="C87" s="7" t="s">
        <v>33</v>
      </c>
      <c r="D87" s="9">
        <v>4.3647309670136601E-2</v>
      </c>
      <c r="E87" s="9">
        <v>4.3647309670136601E-2</v>
      </c>
      <c r="F87" s="9">
        <v>-3.6040365208966918E-4</v>
      </c>
      <c r="G87" s="9">
        <v>-3.6040365208966918E-4</v>
      </c>
      <c r="H87" s="35">
        <v>4.2721606397934375E-2</v>
      </c>
    </row>
    <row r="88" spans="2:8" x14ac:dyDescent="0.35">
      <c r="B88" s="6">
        <v>45050</v>
      </c>
      <c r="C88" s="7" t="s">
        <v>33</v>
      </c>
      <c r="D88" s="9">
        <v>9.2536954692946805E-3</v>
      </c>
      <c r="E88" s="9">
        <v>9.2536954692946805E-3</v>
      </c>
      <c r="F88" s="9">
        <v>8.8899567515625666E-3</v>
      </c>
      <c r="G88" s="9">
        <v>8.8899567515625666E-3</v>
      </c>
      <c r="H88" s="35">
        <v>9.2111423437089123E-3</v>
      </c>
    </row>
    <row r="89" spans="2:8" x14ac:dyDescent="0.35">
      <c r="B89" s="6">
        <v>45051</v>
      </c>
      <c r="C89" s="7" t="s">
        <v>33</v>
      </c>
      <c r="D89" s="9">
        <v>1.6670635865682199E-2</v>
      </c>
      <c r="E89" s="9">
        <v>1.6670635865682199E-2</v>
      </c>
      <c r="F89" s="9">
        <v>2.5708793849111844E-2</v>
      </c>
      <c r="G89" s="9">
        <v>2.5708793849111844E-2</v>
      </c>
      <c r="H89" s="35">
        <v>1.6533206073768771E-2</v>
      </c>
    </row>
    <row r="90" spans="2:8" x14ac:dyDescent="0.35">
      <c r="B90" s="6">
        <v>45054</v>
      </c>
      <c r="C90" s="7" t="s">
        <v>33</v>
      </c>
      <c r="D90" s="9">
        <v>-4.45069102834382E-3</v>
      </c>
      <c r="E90" s="9">
        <v>-4.45069102834382E-3</v>
      </c>
      <c r="F90" s="9">
        <v>2.1143680922634189E-2</v>
      </c>
      <c r="G90" s="9">
        <v>2.1143680922634189E-2</v>
      </c>
      <c r="H90" s="35">
        <v>-4.4606248394995062E-3</v>
      </c>
    </row>
    <row r="91" spans="2:8" x14ac:dyDescent="0.35">
      <c r="B91" s="6">
        <v>45055</v>
      </c>
      <c r="C91" s="7" t="s">
        <v>33</v>
      </c>
      <c r="D91" s="9">
        <v>1.07058823529411E-2</v>
      </c>
      <c r="E91" s="9">
        <v>1.07058823529411E-2</v>
      </c>
      <c r="F91" s="9">
        <v>3.2075925036041175E-2</v>
      </c>
      <c r="G91" s="9">
        <v>3.2075925036041175E-2</v>
      </c>
      <c r="H91" s="35">
        <v>1.0648980159648632E-2</v>
      </c>
    </row>
    <row r="92" spans="2:8" x14ac:dyDescent="0.35">
      <c r="B92" s="6">
        <v>45056</v>
      </c>
      <c r="C92" s="7" t="s">
        <v>33</v>
      </c>
      <c r="D92" s="9">
        <v>1.5946921196601099E-2</v>
      </c>
      <c r="E92" s="9">
        <v>1.5946921196601099E-2</v>
      </c>
      <c r="F92" s="9">
        <v>4.8534358481500117E-2</v>
      </c>
      <c r="G92" s="9">
        <v>4.8534358481500117E-2</v>
      </c>
      <c r="H92" s="35">
        <v>1.582110487485016E-2</v>
      </c>
    </row>
    <row r="93" spans="2:8" x14ac:dyDescent="0.35">
      <c r="B93" s="6">
        <v>45057</v>
      </c>
      <c r="C93" s="7" t="s">
        <v>33</v>
      </c>
      <c r="D93" s="9">
        <v>-1.4550870760769901E-2</v>
      </c>
      <c r="E93" s="9">
        <v>-1.4550870760769901E-2</v>
      </c>
      <c r="F93" s="9">
        <v>3.3277270543009108E-2</v>
      </c>
      <c r="G93" s="9">
        <v>3.3277270543009108E-2</v>
      </c>
      <c r="H93" s="35">
        <v>-1.4657772961427168E-2</v>
      </c>
    </row>
    <row r="94" spans="2:8" x14ac:dyDescent="0.35">
      <c r="B94" s="6">
        <v>45058</v>
      </c>
      <c r="C94" s="7" t="s">
        <v>33</v>
      </c>
      <c r="D94" s="9">
        <v>-6.7434019300081204E-3</v>
      </c>
      <c r="E94" s="9">
        <v>-6.7434019300081204E-3</v>
      </c>
      <c r="F94" s="9">
        <v>2.630946660259581E-2</v>
      </c>
      <c r="G94" s="9">
        <v>2.630946660259581E-2</v>
      </c>
      <c r="H94" s="35">
        <v>-6.7662413998608477E-3</v>
      </c>
    </row>
    <row r="95" spans="2:8" x14ac:dyDescent="0.35">
      <c r="B95" s="6">
        <v>45061</v>
      </c>
      <c r="C95" s="7" t="s">
        <v>33</v>
      </c>
      <c r="D95" s="9">
        <v>2.4815638534472599E-2</v>
      </c>
      <c r="E95" s="9">
        <v>2.4815638534472599E-2</v>
      </c>
      <c r="F95" s="9">
        <v>5.1777991350313357E-2</v>
      </c>
      <c r="G95" s="9">
        <v>5.1777991350313357E-2</v>
      </c>
      <c r="H95" s="35">
        <v>2.4512731568333571E-2</v>
      </c>
    </row>
    <row r="96" spans="2:8" x14ac:dyDescent="0.35">
      <c r="B96" s="6">
        <v>45062</v>
      </c>
      <c r="C96" s="7" t="s">
        <v>33</v>
      </c>
      <c r="D96" s="9">
        <v>-2.87835522558538E-2</v>
      </c>
      <c r="E96" s="9">
        <v>-2.87835522558538E-2</v>
      </c>
      <c r="F96" s="9">
        <v>2.1504084574724747E-2</v>
      </c>
      <c r="G96" s="9">
        <v>2.1504084574724747E-2</v>
      </c>
      <c r="H96" s="35">
        <v>-2.920592333415975E-2</v>
      </c>
    </row>
    <row r="97" spans="2:8" x14ac:dyDescent="0.35">
      <c r="B97" s="6">
        <v>45063</v>
      </c>
      <c r="C97" s="7" t="s">
        <v>33</v>
      </c>
      <c r="D97" s="9">
        <v>8.3499941197223808E-3</v>
      </c>
      <c r="E97" s="9">
        <v>8.3499941197223808E-3</v>
      </c>
      <c r="F97" s="9">
        <v>3.003363767419609E-2</v>
      </c>
      <c r="G97" s="9">
        <v>3.003363767419609E-2</v>
      </c>
      <c r="H97" s="35">
        <v>8.3153257721299313E-3</v>
      </c>
    </row>
    <row r="98" spans="2:8" x14ac:dyDescent="0.35">
      <c r="B98" s="6">
        <v>45064</v>
      </c>
      <c r="C98" s="7" t="s">
        <v>33</v>
      </c>
      <c r="D98" s="9">
        <v>-1.17797993935152E-2</v>
      </c>
      <c r="E98" s="9">
        <v>-1.17797993935152E-2</v>
      </c>
      <c r="F98" s="9">
        <v>1.7900048053821394E-2</v>
      </c>
      <c r="G98" s="9">
        <v>1.7900048053821394E-2</v>
      </c>
      <c r="H98" s="35">
        <v>-1.1849730959458179E-2</v>
      </c>
    </row>
    <row r="99" spans="2:8" x14ac:dyDescent="0.35">
      <c r="B99" s="6">
        <v>45065</v>
      </c>
      <c r="C99" s="7" t="s">
        <v>33</v>
      </c>
      <c r="D99" s="9">
        <v>7.5534049333176E-3</v>
      </c>
      <c r="E99" s="9">
        <v>7.5534049333176E-3</v>
      </c>
      <c r="F99" s="9">
        <v>2.5588659298415362E-2</v>
      </c>
      <c r="G99" s="9">
        <v>2.5588659298415362E-2</v>
      </c>
      <c r="H99" s="35">
        <v>7.5250208118423948E-3</v>
      </c>
    </row>
    <row r="100" spans="2:8" x14ac:dyDescent="0.35">
      <c r="B100" s="6">
        <v>45068</v>
      </c>
      <c r="C100" s="7" t="s">
        <v>33</v>
      </c>
      <c r="D100" s="9">
        <v>2.4598805200890202E-2</v>
      </c>
      <c r="E100" s="9">
        <v>2.4598805200890202E-2</v>
      </c>
      <c r="F100" s="9">
        <v>5.0816914944739278E-2</v>
      </c>
      <c r="G100" s="9">
        <v>5.0816914944739278E-2</v>
      </c>
      <c r="H100" s="35">
        <v>2.4301126409548571E-2</v>
      </c>
    </row>
    <row r="101" spans="2:8" x14ac:dyDescent="0.35">
      <c r="B101" s="6">
        <v>45069</v>
      </c>
      <c r="C101" s="7" t="s">
        <v>33</v>
      </c>
      <c r="D101" s="9">
        <v>2.28649822796342E-4</v>
      </c>
      <c r="E101" s="9">
        <v>2.28649822796342E-4</v>
      </c>
      <c r="F101" s="9">
        <v>5.1057184046132909E-2</v>
      </c>
      <c r="G101" s="9">
        <v>5.1057184046132909E-2</v>
      </c>
      <c r="H101" s="35">
        <v>2.2862368640960142E-4</v>
      </c>
    </row>
    <row r="102" spans="2:8" x14ac:dyDescent="0.35">
      <c r="B102" s="6">
        <v>45070</v>
      </c>
      <c r="C102" s="7" t="s">
        <v>33</v>
      </c>
      <c r="D102" s="9">
        <v>-1.94307920905245E-2</v>
      </c>
      <c r="E102" s="9">
        <v>-1.94307920905245E-2</v>
      </c>
      <c r="F102" s="9">
        <v>3.06343104276805E-2</v>
      </c>
      <c r="G102" s="9">
        <v>3.06343104276805E-2</v>
      </c>
      <c r="H102" s="35">
        <v>-1.9622051533299125E-2</v>
      </c>
    </row>
    <row r="103" spans="2:8" x14ac:dyDescent="0.35">
      <c r="B103" s="6">
        <v>45071</v>
      </c>
      <c r="C103" s="7" t="s">
        <v>33</v>
      </c>
      <c r="D103" s="9">
        <v>-2.6110269262151899E-2</v>
      </c>
      <c r="E103" s="9">
        <v>-2.6110269262151899E-2</v>
      </c>
      <c r="F103" s="9">
        <v>3.7241710716016119E-3</v>
      </c>
      <c r="G103" s="9">
        <v>3.7241710716016119E-3</v>
      </c>
      <c r="H103" s="35">
        <v>-2.6457194543471257E-2</v>
      </c>
    </row>
    <row r="104" spans="2:8" x14ac:dyDescent="0.35">
      <c r="B104" s="6">
        <v>45072</v>
      </c>
      <c r="C104" s="7" t="s">
        <v>33</v>
      </c>
      <c r="D104" s="9">
        <v>9.0963494913226198E-3</v>
      </c>
      <c r="E104" s="9">
        <v>9.0963494913226198E-3</v>
      </c>
      <c r="F104" s="9">
        <v>1.2854396924556921E-2</v>
      </c>
      <c r="G104" s="9">
        <v>1.2854396924556921E-2</v>
      </c>
      <c r="H104" s="35">
        <v>9.0552268931815422E-3</v>
      </c>
    </row>
    <row r="105" spans="2:8" x14ac:dyDescent="0.35">
      <c r="B105" s="6">
        <v>45076</v>
      </c>
      <c r="C105" s="7" t="s">
        <v>33</v>
      </c>
      <c r="D105" s="9">
        <v>-1.3877357371604801E-2</v>
      </c>
      <c r="E105" s="9">
        <v>-1.3877357371604801E-2</v>
      </c>
      <c r="F105" s="9">
        <v>-1.2013455069663781E-3</v>
      </c>
      <c r="G105" s="9">
        <v>-1.2013455069663781E-3</v>
      </c>
      <c r="H105" s="35">
        <v>-1.3974548110092888E-2</v>
      </c>
    </row>
    <row r="106" spans="2:8" x14ac:dyDescent="0.35">
      <c r="B106" s="6">
        <v>45077</v>
      </c>
      <c r="C106" s="7" t="s">
        <v>33</v>
      </c>
      <c r="D106" s="9">
        <v>9.3817656964156997E-3</v>
      </c>
      <c r="E106" s="9">
        <v>9.3817656964156997E-3</v>
      </c>
      <c r="F106" s="9">
        <v>8.1691494473825621E-3</v>
      </c>
      <c r="G106" s="9">
        <v>8.1691494473825621E-3</v>
      </c>
      <c r="H106" s="35">
        <v>9.3380302635503575E-3</v>
      </c>
    </row>
    <row r="107" spans="2:8" x14ac:dyDescent="0.35">
      <c r="B107" s="6">
        <v>45078</v>
      </c>
      <c r="C107" s="7" t="s">
        <v>33</v>
      </c>
      <c r="D107" s="9">
        <v>1.38226882745471E-2</v>
      </c>
      <c r="E107" s="9">
        <v>1.38226882745471E-2</v>
      </c>
      <c r="F107" s="9">
        <v>2.2104757328209157E-2</v>
      </c>
      <c r="G107" s="9">
        <v>2.2104757328209157E-2</v>
      </c>
      <c r="H107" s="35">
        <v>1.3728026243994653E-2</v>
      </c>
    </row>
    <row r="108" spans="2:8" x14ac:dyDescent="0.35">
      <c r="B108" s="6">
        <v>45079</v>
      </c>
      <c r="C108" s="7" t="s">
        <v>33</v>
      </c>
      <c r="D108" s="9">
        <v>1.5867418899859102E-2</v>
      </c>
      <c r="E108" s="9">
        <v>1.5867418899859102E-2</v>
      </c>
      <c r="F108" s="9">
        <v>3.832292167227469E-2</v>
      </c>
      <c r="G108" s="9">
        <v>3.832292167227469E-2</v>
      </c>
      <c r="H108" s="35">
        <v>1.5742847432510504E-2</v>
      </c>
    </row>
    <row r="109" spans="2:8" x14ac:dyDescent="0.35">
      <c r="B109" s="6">
        <v>45082</v>
      </c>
      <c r="C109" s="7" t="s">
        <v>33</v>
      </c>
      <c r="D109" s="9">
        <v>3.2396158741176298E-3</v>
      </c>
      <c r="E109" s="9">
        <v>3.2396158741176298E-3</v>
      </c>
      <c r="F109" s="9">
        <v>4.1686689091784412E-2</v>
      </c>
      <c r="G109" s="9">
        <v>4.1686689091784412E-2</v>
      </c>
      <c r="H109" s="35">
        <v>3.2343796245221925E-3</v>
      </c>
    </row>
    <row r="110" spans="2:8" x14ac:dyDescent="0.35">
      <c r="B110" s="6">
        <v>45083</v>
      </c>
      <c r="C110" s="7" t="s">
        <v>33</v>
      </c>
      <c r="D110" s="9">
        <v>1.6261100219121302E-2</v>
      </c>
      <c r="E110" s="9">
        <v>1.6261100219121302E-2</v>
      </c>
      <c r="F110" s="9">
        <v>5.8625660740030616E-2</v>
      </c>
      <c r="G110" s="9">
        <v>5.8625660740030616E-2</v>
      </c>
      <c r="H110" s="35">
        <v>1.6130304545073384E-2</v>
      </c>
    </row>
    <row r="111" spans="2:8" x14ac:dyDescent="0.35">
      <c r="B111" s="6">
        <v>45084</v>
      </c>
      <c r="C111" s="7" t="s">
        <v>33</v>
      </c>
      <c r="D111" s="9">
        <v>1.02133454380378E-3</v>
      </c>
      <c r="E111" s="9">
        <v>1.02133454380378E-3</v>
      </c>
      <c r="F111" s="9">
        <v>5.97068716963014E-2</v>
      </c>
      <c r="G111" s="9">
        <v>5.97068716963014E-2</v>
      </c>
      <c r="H111" s="35">
        <v>1.0208133365329976E-3</v>
      </c>
    </row>
    <row r="112" spans="2:8" x14ac:dyDescent="0.35">
      <c r="B112" s="6">
        <v>45085</v>
      </c>
      <c r="C112" s="7" t="s">
        <v>33</v>
      </c>
      <c r="D112" s="9">
        <v>-1.02029248384525E-3</v>
      </c>
      <c r="E112" s="9">
        <v>-1.02029248384525E-3</v>
      </c>
      <c r="F112" s="9">
        <v>5.8625660740030394E-2</v>
      </c>
      <c r="G112" s="9">
        <v>5.8625660740030394E-2</v>
      </c>
      <c r="H112" s="35">
        <v>-1.0208133365330982E-3</v>
      </c>
    </row>
    <row r="113" spans="2:8" x14ac:dyDescent="0.35">
      <c r="B113" s="6">
        <v>45086</v>
      </c>
      <c r="C113" s="7" t="s">
        <v>33</v>
      </c>
      <c r="D113" s="9">
        <v>-5.2201543349978197E-3</v>
      </c>
      <c r="E113" s="9">
        <v>-5.2201543349978197E-3</v>
      </c>
      <c r="F113" s="9">
        <v>5.3099471407978438E-2</v>
      </c>
      <c r="G113" s="9">
        <v>5.3099471407978438E-2</v>
      </c>
      <c r="H113" s="35">
        <v>-5.2338269434793134E-3</v>
      </c>
    </row>
    <row r="114" spans="2:8" x14ac:dyDescent="0.35">
      <c r="B114" s="6">
        <v>45089</v>
      </c>
      <c r="C114" s="7" t="s">
        <v>33</v>
      </c>
      <c r="D114" s="9">
        <v>1.08373260323979E-2</v>
      </c>
      <c r="E114" s="9">
        <v>1.08373260323979E-2</v>
      </c>
      <c r="F114" s="9">
        <v>6.4512253724172686E-2</v>
      </c>
      <c r="G114" s="9">
        <v>6.4512253724172686E-2</v>
      </c>
      <c r="H114" s="35">
        <v>1.0779023068547977E-2</v>
      </c>
    </row>
    <row r="115" spans="2:8" x14ac:dyDescent="0.35">
      <c r="B115" s="6">
        <v>45090</v>
      </c>
      <c r="C115" s="7" t="s">
        <v>33</v>
      </c>
      <c r="D115" s="9">
        <v>1.82823609073469E-2</v>
      </c>
      <c r="E115" s="9">
        <v>1.82823609073469E-2</v>
      </c>
      <c r="F115" s="9">
        <v>8.3974050937051237E-2</v>
      </c>
      <c r="G115" s="9">
        <v>8.3974050937051237E-2</v>
      </c>
      <c r="H115" s="35">
        <v>1.8117247947198292E-2</v>
      </c>
    </row>
    <row r="116" spans="2:8" x14ac:dyDescent="0.35">
      <c r="B116" s="6">
        <v>45091</v>
      </c>
      <c r="C116" s="7" t="s">
        <v>33</v>
      </c>
      <c r="D116" s="9">
        <v>-1.48509364956223E-2</v>
      </c>
      <c r="E116" s="9">
        <v>-1.48509364956223E-2</v>
      </c>
      <c r="F116" s="9">
        <v>6.787602114368263E-2</v>
      </c>
      <c r="G116" s="9">
        <v>6.787602114368263E-2</v>
      </c>
      <c r="H116" s="35">
        <v>-1.4962315752825764E-2</v>
      </c>
    </row>
    <row r="117" spans="2:8" x14ac:dyDescent="0.35">
      <c r="B117" s="6">
        <v>45092</v>
      </c>
      <c r="C117" s="7" t="s">
        <v>33</v>
      </c>
      <c r="D117" s="9">
        <v>3.37495781302731E-3</v>
      </c>
      <c r="E117" s="9">
        <v>3.37495781302731E-3</v>
      </c>
      <c r="F117" s="9">
        <v>7.1480057664585983E-2</v>
      </c>
      <c r="G117" s="9">
        <v>7.1480057664585983E-2</v>
      </c>
      <c r="H117" s="35">
        <v>3.3692754245324267E-3</v>
      </c>
    </row>
    <row r="118" spans="2:8" x14ac:dyDescent="0.35">
      <c r="B118" s="6">
        <v>45093</v>
      </c>
      <c r="C118" s="7" t="s">
        <v>33</v>
      </c>
      <c r="D118" s="9">
        <v>-1.7042269312703199E-2</v>
      </c>
      <c r="E118" s="9">
        <v>-1.7042269312703199E-2</v>
      </c>
      <c r="F118" s="9">
        <v>5.3219605958675364E-2</v>
      </c>
      <c r="G118" s="9">
        <v>5.3219605958675364E-2</v>
      </c>
      <c r="H118" s="35">
        <v>-1.7189160077621824E-2</v>
      </c>
    </row>
    <row r="119" spans="2:8" x14ac:dyDescent="0.35">
      <c r="B119" s="6">
        <v>45097</v>
      </c>
      <c r="C119" s="7" t="s">
        <v>33</v>
      </c>
      <c r="D119" s="9">
        <v>-3.1230751682438402E-4</v>
      </c>
      <c r="E119" s="9">
        <v>-3.1230751682438402E-4</v>
      </c>
      <c r="F119" s="9">
        <v>5.289067755886756E-2</v>
      </c>
      <c r="G119" s="9">
        <v>5.289067755886756E-2</v>
      </c>
      <c r="H119" s="35">
        <v>-3.123562949730801E-4</v>
      </c>
    </row>
    <row r="120" spans="2:8" x14ac:dyDescent="0.35">
      <c r="B120" s="6">
        <v>45098</v>
      </c>
      <c r="C120" s="7" t="s">
        <v>33</v>
      </c>
      <c r="D120" s="9">
        <v>-5.4769511638521097E-3</v>
      </c>
      <c r="E120" s="9">
        <v>-5.4769511638521097E-3</v>
      </c>
      <c r="F120" s="9">
        <v>4.7124046737002434E-2</v>
      </c>
      <c r="G120" s="9">
        <v>4.7124046737002434E-2</v>
      </c>
      <c r="H120" s="35">
        <v>-5.4920046508466864E-3</v>
      </c>
    </row>
    <row r="121" spans="2:8" x14ac:dyDescent="0.35">
      <c r="B121" s="6">
        <v>45099</v>
      </c>
      <c r="C121" s="7" t="s">
        <v>33</v>
      </c>
      <c r="D121" s="9">
        <v>-6.5396971087654096E-3</v>
      </c>
      <c r="E121" s="9">
        <v>-6.5396971087654096E-3</v>
      </c>
      <c r="F121" s="9">
        <v>4.0276172636037666E-2</v>
      </c>
      <c r="G121" s="9">
        <v>4.0276172636037666E-2</v>
      </c>
      <c r="H121" s="35">
        <v>-6.5611746167092526E-3</v>
      </c>
    </row>
    <row r="122" spans="2:8" x14ac:dyDescent="0.35">
      <c r="B122" s="6">
        <v>45100</v>
      </c>
      <c r="C122" s="7" t="s">
        <v>33</v>
      </c>
      <c r="D122" s="9">
        <v>-1.6976556184316999E-2</v>
      </c>
      <c r="E122" s="9">
        <v>-1.6976556184316999E-2</v>
      </c>
      <c r="F122" s="9">
        <v>2.2615865744075592E-2</v>
      </c>
      <c r="G122" s="9">
        <v>2.2615865744075592E-2</v>
      </c>
      <c r="H122" s="35">
        <v>-1.7122309866375727E-2</v>
      </c>
    </row>
    <row r="123" spans="2:8" x14ac:dyDescent="0.35">
      <c r="B123" s="6">
        <v>45103</v>
      </c>
      <c r="C123" s="7" t="s">
        <v>33</v>
      </c>
      <c r="D123" s="9">
        <v>-2.2908834586466101E-2</v>
      </c>
      <c r="E123" s="9">
        <v>-2.2908834586466101E-2</v>
      </c>
      <c r="F123" s="9">
        <v>-8.1107196975127582E-4</v>
      </c>
      <c r="G123" s="9">
        <v>-8.1107196975127582E-4</v>
      </c>
      <c r="H123" s="35">
        <v>-2.3175319712738032E-2</v>
      </c>
    </row>
    <row r="124" spans="2:8" x14ac:dyDescent="0.35">
      <c r="B124" s="6">
        <v>45104</v>
      </c>
      <c r="C124" s="7" t="s">
        <v>33</v>
      </c>
      <c r="D124" s="9">
        <v>-3.0058915474330699E-3</v>
      </c>
      <c r="E124" s="9">
        <v>-3.0058915474330699E-3</v>
      </c>
      <c r="F124" s="9">
        <v>-3.8145255228060337E-3</v>
      </c>
      <c r="G124" s="9">
        <v>-3.8145255228060337E-3</v>
      </c>
      <c r="H124" s="35">
        <v>-3.0104183130173602E-3</v>
      </c>
    </row>
    <row r="125" spans="2:8" x14ac:dyDescent="0.35">
      <c r="B125" s="6">
        <v>45105</v>
      </c>
      <c r="C125" s="7" t="s">
        <v>33</v>
      </c>
      <c r="D125" s="9">
        <v>1.2783405692233501E-2</v>
      </c>
      <c r="E125" s="9">
        <v>1.2783405692233501E-2</v>
      </c>
      <c r="F125" s="9">
        <v>8.9201175421460555E-3</v>
      </c>
      <c r="G125" s="9">
        <v>8.9201175421460555E-3</v>
      </c>
      <c r="H125" s="35">
        <v>1.2702387688468474E-2</v>
      </c>
    </row>
    <row r="126" spans="2:8" x14ac:dyDescent="0.35">
      <c r="B126" s="6">
        <v>45106</v>
      </c>
      <c r="C126" s="7" t="s">
        <v>33</v>
      </c>
      <c r="D126" s="9">
        <v>-1.6194331983805599E-2</v>
      </c>
      <c r="E126" s="9">
        <v>-1.6194331983805599E-2</v>
      </c>
      <c r="F126" s="9">
        <v>-7.4186697864716544E-3</v>
      </c>
      <c r="G126" s="9">
        <v>-7.4186697864716544E-3</v>
      </c>
      <c r="H126" s="35">
        <v>-1.632689328742867E-2</v>
      </c>
    </row>
    <row r="127" spans="2:8" x14ac:dyDescent="0.35">
      <c r="B127" s="6">
        <v>45107</v>
      </c>
      <c r="C127" s="7" t="s">
        <v>33</v>
      </c>
      <c r="D127" s="9">
        <v>7.0200919874122804E-3</v>
      </c>
      <c r="E127" s="9">
        <v>7.0200919874122804E-3</v>
      </c>
      <c r="F127" s="9">
        <v>-4.5065754338458053E-4</v>
      </c>
      <c r="G127" s="9">
        <v>-4.5065754338458053E-4</v>
      </c>
      <c r="H127" s="35">
        <v>6.9955658585445606E-3</v>
      </c>
    </row>
    <row r="128" spans="2:8" x14ac:dyDescent="0.35">
      <c r="B128" s="6">
        <v>45110</v>
      </c>
      <c r="C128" s="7" t="s">
        <v>33</v>
      </c>
      <c r="D128" s="9">
        <v>-3.1250000000000401E-3</v>
      </c>
      <c r="E128" s="9">
        <v>-3.1250000000000401E-3</v>
      </c>
      <c r="F128" s="9">
        <v>-3.5742492385615332E-3</v>
      </c>
      <c r="G128" s="9">
        <v>-3.5742492385615332E-3</v>
      </c>
      <c r="H128" s="35">
        <v>-3.1298930089277044E-3</v>
      </c>
    </row>
    <row r="129" spans="2:8" x14ac:dyDescent="0.35">
      <c r="B129" s="6">
        <v>45112</v>
      </c>
      <c r="C129" s="7" t="s">
        <v>33</v>
      </c>
      <c r="D129" s="9">
        <v>8.4398360260435495E-4</v>
      </c>
      <c r="E129" s="9">
        <v>8.4398360260435495E-4</v>
      </c>
      <c r="F129" s="9">
        <v>-2.7332822437060589E-3</v>
      </c>
      <c r="G129" s="9">
        <v>-2.7332822437060589E-3</v>
      </c>
      <c r="H129" s="35">
        <v>8.4362764870909177E-4</v>
      </c>
    </row>
    <row r="130" spans="2:8" x14ac:dyDescent="0.35">
      <c r="B130" s="6">
        <v>45113</v>
      </c>
      <c r="C130" s="7" t="s">
        <v>33</v>
      </c>
      <c r="D130" s="9">
        <v>-1.5540296349837401E-2</v>
      </c>
      <c r="E130" s="9">
        <v>-1.5540296349837401E-2</v>
      </c>
      <c r="F130" s="9">
        <v>-1.8231102577468516E-2</v>
      </c>
      <c r="G130" s="9">
        <v>-1.8231102577468516E-2</v>
      </c>
      <c r="H130" s="35">
        <v>-1.5662312517522998E-2</v>
      </c>
    </row>
    <row r="131" spans="2:8" x14ac:dyDescent="0.35">
      <c r="B131" s="6">
        <v>45114</v>
      </c>
      <c r="C131" s="7" t="s">
        <v>33</v>
      </c>
      <c r="D131" s="9">
        <v>7.3421439060201098E-4</v>
      </c>
      <c r="E131" s="9">
        <v>7.3421439060201098E-4</v>
      </c>
      <c r="F131" s="9">
        <v>-1.7510273724735459E-2</v>
      </c>
      <c r="G131" s="9">
        <v>-1.7510273724735459E-2</v>
      </c>
      <c r="H131" s="35">
        <v>7.3394498707483294E-4</v>
      </c>
    </row>
    <row r="132" spans="2:8" x14ac:dyDescent="0.35">
      <c r="B132" s="6">
        <v>45117</v>
      </c>
      <c r="C132" s="7" t="s">
        <v>33</v>
      </c>
      <c r="D132" s="9">
        <v>2.9958425042797901E-2</v>
      </c>
      <c r="E132" s="9">
        <v>2.9958425042797901E-2</v>
      </c>
      <c r="F132" s="9">
        <v>1.1923571095201257E-2</v>
      </c>
      <c r="G132" s="9">
        <v>1.1923571095201257E-2</v>
      </c>
      <c r="H132" s="35">
        <v>2.9518437390776326E-2</v>
      </c>
    </row>
    <row r="133" spans="2:8" x14ac:dyDescent="0.35">
      <c r="B133" s="6">
        <v>45118</v>
      </c>
      <c r="C133" s="7" t="s">
        <v>33</v>
      </c>
      <c r="D133" s="9">
        <v>-4.7489018164551004E-3</v>
      </c>
      <c r="E133" s="9">
        <v>-4.7489018164551004E-3</v>
      </c>
      <c r="F133" s="9">
        <v>7.1180454103134672E-3</v>
      </c>
      <c r="G133" s="9">
        <v>7.1180454103134672E-3</v>
      </c>
      <c r="H133" s="35">
        <v>-4.7602136775065354E-3</v>
      </c>
    </row>
    <row r="134" spans="2:8" x14ac:dyDescent="0.35">
      <c r="B134" s="6">
        <v>45119</v>
      </c>
      <c r="C134" s="7" t="s">
        <v>33</v>
      </c>
      <c r="D134" s="9">
        <v>1.1332458547059601E-2</v>
      </c>
      <c r="E134" s="9">
        <v>1.1332458547059601E-2</v>
      </c>
      <c r="F134" s="9">
        <v>1.8531168911921414E-2</v>
      </c>
      <c r="G134" s="9">
        <v>1.8531168911921414E-2</v>
      </c>
      <c r="H134" s="35">
        <v>1.1268727274725094E-2</v>
      </c>
    </row>
    <row r="135" spans="2:8" x14ac:dyDescent="0.35">
      <c r="B135" s="6">
        <v>45120</v>
      </c>
      <c r="C135" s="7" t="s">
        <v>33</v>
      </c>
      <c r="D135" s="9">
        <v>-1.17952347251698E-3</v>
      </c>
      <c r="E135" s="9">
        <v>-1.17952347251698E-3</v>
      </c>
      <c r="F135" s="9">
        <v>1.7329787490699688E-2</v>
      </c>
      <c r="G135" s="9">
        <v>1.7329787490699688E-2</v>
      </c>
      <c r="H135" s="35">
        <v>-1.1802196578264926E-3</v>
      </c>
    </row>
    <row r="136" spans="2:8" x14ac:dyDescent="0.35">
      <c r="B136" s="6">
        <v>45121</v>
      </c>
      <c r="C136" s="7" t="s">
        <v>33</v>
      </c>
      <c r="D136" s="9">
        <v>-3.0703826169107599E-3</v>
      </c>
      <c r="E136" s="9">
        <v>-3.0703826169107599E-3</v>
      </c>
      <c r="F136" s="9">
        <v>1.4206195795522847E-2</v>
      </c>
      <c r="G136" s="9">
        <v>1.4206195795522847E-2</v>
      </c>
      <c r="H136" s="35">
        <v>-3.0751059123117225E-3</v>
      </c>
    </row>
    <row r="137" spans="2:8" x14ac:dyDescent="0.35">
      <c r="B137" s="6">
        <v>45124</v>
      </c>
      <c r="C137" s="7" t="s">
        <v>33</v>
      </c>
      <c r="D137" s="9">
        <v>1.5873015873015799E-2</v>
      </c>
      <c r="E137" s="9">
        <v>1.5873015873015799E-2</v>
      </c>
      <c r="F137" s="9">
        <v>3.0304706839896278E-2</v>
      </c>
      <c r="G137" s="9">
        <v>3.0304706839896278E-2</v>
      </c>
      <c r="H137" s="35">
        <v>1.5748356968139112E-2</v>
      </c>
    </row>
    <row r="138" spans="2:8" x14ac:dyDescent="0.35">
      <c r="B138" s="6">
        <v>45125</v>
      </c>
      <c r="C138" s="7" t="s">
        <v>33</v>
      </c>
      <c r="D138" s="9">
        <v>-2.0988805970149601E-3</v>
      </c>
      <c r="E138" s="9">
        <v>-2.0988805970149601E-3</v>
      </c>
      <c r="F138" s="9">
        <v>2.8142220281696995E-2</v>
      </c>
      <c r="G138" s="9">
        <v>2.8142220281696995E-2</v>
      </c>
      <c r="H138" s="35">
        <v>-2.1010863338210609E-3</v>
      </c>
    </row>
    <row r="139" spans="2:8" x14ac:dyDescent="0.35">
      <c r="B139" s="6">
        <v>45126</v>
      </c>
      <c r="C139" s="7" t="s">
        <v>33</v>
      </c>
      <c r="D139" s="9">
        <v>2.1032951624211601E-3</v>
      </c>
      <c r="E139" s="9">
        <v>2.1032951624211601E-3</v>
      </c>
      <c r="F139" s="9">
        <v>3.03047068398965E-2</v>
      </c>
      <c r="G139" s="9">
        <v>3.03047068398965E-2</v>
      </c>
      <c r="H139" s="35">
        <v>2.10108633382109E-3</v>
      </c>
    </row>
    <row r="140" spans="2:8" x14ac:dyDescent="0.35">
      <c r="B140" s="6">
        <v>45127</v>
      </c>
      <c r="C140" s="7" t="s">
        <v>33</v>
      </c>
      <c r="D140" s="9">
        <v>-1.6674440298507499E-2</v>
      </c>
      <c r="E140" s="9">
        <v>-1.6674440298507499E-2</v>
      </c>
      <c r="F140" s="9">
        <v>1.3124952516423427E-2</v>
      </c>
      <c r="G140" s="9">
        <v>1.3124952516423427E-2</v>
      </c>
      <c r="H140" s="35">
        <v>-1.6815023735941702E-2</v>
      </c>
    </row>
    <row r="141" spans="2:8" x14ac:dyDescent="0.35">
      <c r="B141" s="6">
        <v>45128</v>
      </c>
      <c r="C141" s="7" t="s">
        <v>33</v>
      </c>
      <c r="D141" s="9">
        <v>7.5892327759990398E-3</v>
      </c>
      <c r="E141" s="9">
        <v>7.5892327759990398E-3</v>
      </c>
      <c r="F141" s="9">
        <v>2.0813793612243447E-2</v>
      </c>
      <c r="G141" s="9">
        <v>2.0813793612243447E-2</v>
      </c>
      <c r="H141" s="35">
        <v>7.5605794288997E-3</v>
      </c>
    </row>
    <row r="142" spans="2:8" x14ac:dyDescent="0.35">
      <c r="B142" s="6">
        <v>45131</v>
      </c>
      <c r="C142" s="7" t="s">
        <v>33</v>
      </c>
      <c r="D142" s="9">
        <v>-1.8241732376132701E-2</v>
      </c>
      <c r="E142" s="9">
        <v>-1.8241732376132701E-2</v>
      </c>
      <c r="F142" s="9">
        <v>2.1923815833042593E-3</v>
      </c>
      <c r="G142" s="9">
        <v>2.1923815833042593E-3</v>
      </c>
      <c r="H142" s="35">
        <v>-1.8410164246650717E-2</v>
      </c>
    </row>
    <row r="143" spans="2:8" x14ac:dyDescent="0.35">
      <c r="B143" s="6">
        <v>45132</v>
      </c>
      <c r="C143" s="7" t="s">
        <v>33</v>
      </c>
      <c r="D143" s="9">
        <v>-3.1167585710861101E-3</v>
      </c>
      <c r="E143" s="9">
        <v>-3.1167585710861101E-3</v>
      </c>
      <c r="F143" s="9">
        <v>-9.3121011187269342E-4</v>
      </c>
      <c r="G143" s="9">
        <v>-9.3121011187269342E-4</v>
      </c>
      <c r="H143" s="35">
        <v>-3.1216257789870067E-3</v>
      </c>
    </row>
    <row r="144" spans="2:8" x14ac:dyDescent="0.35">
      <c r="B144" s="6">
        <v>45133</v>
      </c>
      <c r="C144" s="7" t="s">
        <v>33</v>
      </c>
      <c r="D144" s="9">
        <v>-1.3227513227512999E-3</v>
      </c>
      <c r="E144" s="9">
        <v>-1.3227513227512999E-3</v>
      </c>
      <c r="F144" s="9">
        <v>-2.2527296752167247E-3</v>
      </c>
      <c r="G144" s="9">
        <v>-2.2527296752167247E-3</v>
      </c>
      <c r="H144" s="35">
        <v>-1.323626930508253E-3</v>
      </c>
    </row>
    <row r="145" spans="2:8" x14ac:dyDescent="0.35">
      <c r="B145" s="6">
        <v>45134</v>
      </c>
      <c r="C145" s="7" t="s">
        <v>33</v>
      </c>
      <c r="D145" s="9">
        <v>-1.5412402167368999E-2</v>
      </c>
      <c r="E145" s="9">
        <v>-1.5412402167368999E-2</v>
      </c>
      <c r="F145" s="9">
        <v>-1.7630411866856877E-2</v>
      </c>
      <c r="G145" s="9">
        <v>-1.7630411866856877E-2</v>
      </c>
      <c r="H145" s="35">
        <v>-1.5532407885417874E-2</v>
      </c>
    </row>
    <row r="146" spans="2:8" x14ac:dyDescent="0.35">
      <c r="B146" s="6">
        <v>45135</v>
      </c>
      <c r="C146" s="7" t="s">
        <v>33</v>
      </c>
      <c r="D146" s="9">
        <v>2.4948024948025001E-2</v>
      </c>
      <c r="E146" s="9">
        <v>2.4948024948025001E-2</v>
      </c>
      <c r="F146" s="9">
        <v>6.8777691260697438E-3</v>
      </c>
      <c r="G146" s="9">
        <v>6.8777691260697438E-3</v>
      </c>
      <c r="H146" s="35">
        <v>2.464190393692893E-2</v>
      </c>
    </row>
    <row r="147" spans="2:8" x14ac:dyDescent="0.35">
      <c r="B147" s="6">
        <v>45138</v>
      </c>
      <c r="C147" s="7" t="s">
        <v>33</v>
      </c>
      <c r="D147" s="9">
        <v>5.7272401861352901E-3</v>
      </c>
      <c r="E147" s="9">
        <v>5.7272401861352901E-3</v>
      </c>
      <c r="F147" s="9">
        <v>1.264439994793487E-2</v>
      </c>
      <c r="G147" s="9">
        <v>1.264439994793487E-2</v>
      </c>
      <c r="H147" s="35">
        <v>5.7109018985759099E-3</v>
      </c>
    </row>
    <row r="148" spans="2:8" x14ac:dyDescent="0.35">
      <c r="B148" s="6">
        <v>45139</v>
      </c>
      <c r="C148" s="7" t="s">
        <v>33</v>
      </c>
      <c r="D148" s="9">
        <v>-1.17451655000594E-2</v>
      </c>
      <c r="E148" s="9">
        <v>-1.17451655000594E-2</v>
      </c>
      <c r="F148" s="9">
        <v>7.5072387783792216E-4</v>
      </c>
      <c r="G148" s="9">
        <v>7.5072387783792216E-4</v>
      </c>
      <c r="H148" s="35">
        <v>-1.1814684836593911E-2</v>
      </c>
    </row>
    <row r="149" spans="2:8" x14ac:dyDescent="0.35">
      <c r="B149" s="6">
        <v>45140</v>
      </c>
      <c r="C149" s="7" t="s">
        <v>33</v>
      </c>
      <c r="D149" s="9">
        <v>-1.48859543817526E-2</v>
      </c>
      <c r="E149" s="9">
        <v>-1.48859543817526E-2</v>
      </c>
      <c r="F149" s="9">
        <v>-1.4146405745313451E-2</v>
      </c>
      <c r="G149" s="9">
        <v>-1.4146405745313451E-2</v>
      </c>
      <c r="H149" s="35">
        <v>-1.499786215875683E-2</v>
      </c>
    </row>
    <row r="150" spans="2:8" x14ac:dyDescent="0.35">
      <c r="B150" s="6">
        <v>45141</v>
      </c>
      <c r="C150" s="7" t="s">
        <v>33</v>
      </c>
      <c r="D150" s="9">
        <v>-9.6271021203997494E-3</v>
      </c>
      <c r="E150" s="9">
        <v>-9.6271021203997494E-3</v>
      </c>
      <c r="F150" s="9">
        <v>-2.3637318972966503E-2</v>
      </c>
      <c r="G150" s="9">
        <v>-2.3637318972966503E-2</v>
      </c>
      <c r="H150" s="35">
        <v>-9.6737422489266284E-3</v>
      </c>
    </row>
    <row r="151" spans="2:8" x14ac:dyDescent="0.35">
      <c r="B151" s="6">
        <v>45142</v>
      </c>
      <c r="C151" s="7" t="s">
        <v>33</v>
      </c>
      <c r="D151" s="9">
        <v>-6.1523317337272901E-4</v>
      </c>
      <c r="E151" s="9">
        <v>-6.1523317337272901E-4</v>
      </c>
      <c r="F151" s="9">
        <v>-2.4238009683577477E-2</v>
      </c>
      <c r="G151" s="9">
        <v>-2.4238009683577477E-2</v>
      </c>
      <c r="H151" s="35">
        <v>-6.1542250696174842E-4</v>
      </c>
    </row>
    <row r="152" spans="2:8" x14ac:dyDescent="0.35">
      <c r="B152" s="6">
        <v>45145</v>
      </c>
      <c r="C152" s="7" t="s">
        <v>33</v>
      </c>
      <c r="D152" s="9">
        <v>-3.1149963063284901E-2</v>
      </c>
      <c r="E152" s="9">
        <v>-3.1149963063284901E-2</v>
      </c>
      <c r="F152" s="9">
        <v>-5.4632959640491419E-2</v>
      </c>
      <c r="G152" s="9">
        <v>-5.4632959640491419E-2</v>
      </c>
      <c r="H152" s="35">
        <v>-3.1645439711259708E-2</v>
      </c>
    </row>
    <row r="153" spans="2:8" x14ac:dyDescent="0.35">
      <c r="B153" s="6">
        <v>45146</v>
      </c>
      <c r="C153" s="7" t="s">
        <v>33</v>
      </c>
      <c r="D153" s="9">
        <v>8.1331808361926397E-3</v>
      </c>
      <c r="E153" s="9">
        <v>8.1331808361926397E-3</v>
      </c>
      <c r="F153" s="9">
        <v>-4.6944118544671287E-2</v>
      </c>
      <c r="G153" s="9">
        <v>-4.6944118544671287E-2</v>
      </c>
      <c r="H153" s="35">
        <v>8.1002847670195461E-3</v>
      </c>
    </row>
    <row r="154" spans="2:8" x14ac:dyDescent="0.35">
      <c r="B154" s="6">
        <v>45147</v>
      </c>
      <c r="C154" s="7" t="s">
        <v>33</v>
      </c>
      <c r="D154" s="9">
        <v>-8.82390016387129E-4</v>
      </c>
      <c r="E154" s="9">
        <v>-8.82390016387129E-4</v>
      </c>
      <c r="F154" s="9">
        <v>-4.7785085539526539E-2</v>
      </c>
      <c r="G154" s="9">
        <v>-4.7785085539526539E-2</v>
      </c>
      <c r="H154" s="35">
        <v>-8.8277955162249398E-4</v>
      </c>
    </row>
    <row r="155" spans="2:8" x14ac:dyDescent="0.35">
      <c r="B155" s="6">
        <v>45148</v>
      </c>
      <c r="C155" s="7" t="s">
        <v>33</v>
      </c>
      <c r="D155" s="9">
        <v>8.57935907141044E-3</v>
      </c>
      <c r="E155" s="9">
        <v>8.57935907141044E-3</v>
      </c>
      <c r="F155" s="9">
        <v>-3.961569187521774E-2</v>
      </c>
      <c r="G155" s="9">
        <v>-3.961569187521774E-2</v>
      </c>
      <c r="H155" s="35">
        <v>8.5427655208884616E-3</v>
      </c>
    </row>
    <row r="156" spans="2:8" x14ac:dyDescent="0.35">
      <c r="B156" s="6">
        <v>45149</v>
      </c>
      <c r="C156" s="7" t="s">
        <v>33</v>
      </c>
      <c r="D156" s="9">
        <v>-8.7565674255680505E-4</v>
      </c>
      <c r="E156" s="9">
        <v>-8.7565674255680505E-4</v>
      </c>
      <c r="F156" s="9">
        <v>-4.0456658870072992E-2</v>
      </c>
      <c r="G156" s="9">
        <v>-4.0456658870072992E-2</v>
      </c>
      <c r="H156" s="35">
        <v>-8.7604035387982098E-4</v>
      </c>
    </row>
    <row r="157" spans="2:8" x14ac:dyDescent="0.35">
      <c r="B157" s="6">
        <v>45152</v>
      </c>
      <c r="C157" s="7" t="s">
        <v>33</v>
      </c>
      <c r="D157" s="9">
        <v>2.0032552898458199E-3</v>
      </c>
      <c r="E157" s="9">
        <v>2.0032552898458199E-3</v>
      </c>
      <c r="F157" s="9">
        <v>-3.8534448596118098E-2</v>
      </c>
      <c r="G157" s="9">
        <v>-3.8534448596118098E-2</v>
      </c>
      <c r="H157" s="35">
        <v>2.0012514496571257E-3</v>
      </c>
    </row>
    <row r="158" spans="2:8" x14ac:dyDescent="0.35">
      <c r="B158" s="6">
        <v>45153</v>
      </c>
      <c r="C158" s="7" t="s">
        <v>33</v>
      </c>
      <c r="D158" s="9">
        <v>-2.6240159940022702E-3</v>
      </c>
      <c r="E158" s="9">
        <v>-2.6240159940022702E-3</v>
      </c>
      <c r="F158" s="9">
        <v>-4.1057349580684077E-2</v>
      </c>
      <c r="G158" s="9">
        <v>-4.1057349580684077E-2</v>
      </c>
      <c r="H158" s="35">
        <v>-2.6274647583670193E-3</v>
      </c>
    </row>
    <row r="159" spans="2:8" x14ac:dyDescent="0.35">
      <c r="B159" s="6">
        <v>45154</v>
      </c>
      <c r="C159" s="7" t="s">
        <v>33</v>
      </c>
      <c r="D159" s="9">
        <v>-2.17990478576797E-2</v>
      </c>
      <c r="E159" s="9">
        <v>-2.17990478576797E-2</v>
      </c>
      <c r="F159" s="9">
        <v>-6.1961386309944966E-2</v>
      </c>
      <c r="G159" s="9">
        <v>-6.1961386309944966E-2</v>
      </c>
      <c r="H159" s="35">
        <v>-2.2040157515750725E-2</v>
      </c>
    </row>
    <row r="160" spans="2:8" x14ac:dyDescent="0.35">
      <c r="B160" s="6">
        <v>45155</v>
      </c>
      <c r="C160" s="7" t="s">
        <v>33</v>
      </c>
      <c r="D160" s="9">
        <v>-1.44723360655737E-2</v>
      </c>
      <c r="E160" s="9">
        <v>-1.44723360655737E-2</v>
      </c>
      <c r="F160" s="9">
        <v>-7.5536996369752307E-2</v>
      </c>
      <c r="G160" s="9">
        <v>-7.5536996369752307E-2</v>
      </c>
      <c r="H160" s="35">
        <v>-1.4578081819948787E-2</v>
      </c>
    </row>
    <row r="161" spans="2:8" x14ac:dyDescent="0.35">
      <c r="B161" s="6">
        <v>45156</v>
      </c>
      <c r="C161" s="7" t="s">
        <v>33</v>
      </c>
      <c r="D161" s="9">
        <v>7.5373619233266801E-3</v>
      </c>
      <c r="E161" s="9">
        <v>7.5373619233266801E-3</v>
      </c>
      <c r="F161" s="9">
        <v>-6.8568984126665344E-2</v>
      </c>
      <c r="G161" s="9">
        <v>-6.8568984126665344E-2</v>
      </c>
      <c r="H161" s="35">
        <v>7.5090979459793523E-3</v>
      </c>
    </row>
    <row r="162" spans="2:8" x14ac:dyDescent="0.35">
      <c r="B162" s="6">
        <v>45159</v>
      </c>
      <c r="C162" s="7" t="s">
        <v>33</v>
      </c>
      <c r="D162" s="9">
        <v>1.1092480330194899E-2</v>
      </c>
      <c r="E162" s="9">
        <v>1.1092480330194899E-2</v>
      </c>
      <c r="F162" s="9">
        <v>-5.8237103904157039E-2</v>
      </c>
      <c r="G162" s="9">
        <v>-5.8237103904157039E-2</v>
      </c>
      <c r="H162" s="35">
        <v>1.1031409969763227E-2</v>
      </c>
    </row>
    <row r="163" spans="2:8" x14ac:dyDescent="0.35">
      <c r="B163" s="6">
        <v>45160</v>
      </c>
      <c r="C163" s="7" t="s">
        <v>33</v>
      </c>
      <c r="D163" s="9">
        <v>-2.5513458349283701E-4</v>
      </c>
      <c r="E163" s="9">
        <v>-2.5513458349283701E-4</v>
      </c>
      <c r="F163" s="9">
        <v>-5.8477380188401429E-2</v>
      </c>
      <c r="G163" s="9">
        <v>-5.8477380188401429E-2</v>
      </c>
      <c r="H163" s="35">
        <v>-2.5516713585758727E-4</v>
      </c>
    </row>
    <row r="164" spans="2:8" x14ac:dyDescent="0.35">
      <c r="B164" s="6">
        <v>45161</v>
      </c>
      <c r="C164" s="7" t="s">
        <v>33</v>
      </c>
      <c r="D164" s="9">
        <v>6.2523924971289203E-3</v>
      </c>
      <c r="E164" s="9">
        <v>6.2523924971289203E-3</v>
      </c>
      <c r="F164" s="9">
        <v>-5.2590611224414219E-2</v>
      </c>
      <c r="G164" s="9">
        <v>-5.2590611224414219E-2</v>
      </c>
      <c r="H164" s="35">
        <v>6.2329273847078299E-3</v>
      </c>
    </row>
    <row r="165" spans="2:8" x14ac:dyDescent="0.35">
      <c r="B165" s="6">
        <v>45162</v>
      </c>
      <c r="C165" s="7" t="s">
        <v>33</v>
      </c>
      <c r="D165" s="9">
        <v>-1.31879279736241E-2</v>
      </c>
      <c r="E165" s="9">
        <v>-1.31879279736241E-2</v>
      </c>
      <c r="F165" s="9">
        <v>-6.5084978005121918E-2</v>
      </c>
      <c r="G165" s="9">
        <v>-6.5084978005121918E-2</v>
      </c>
      <c r="H165" s="35">
        <v>-1.3275660893073573E-2</v>
      </c>
    </row>
    <row r="166" spans="2:8" x14ac:dyDescent="0.35">
      <c r="B166" s="6">
        <v>45163</v>
      </c>
      <c r="C166" s="7" t="s">
        <v>33</v>
      </c>
      <c r="D166" s="9">
        <v>1.11796453353894E-2</v>
      </c>
      <c r="E166" s="9">
        <v>1.11796453353894E-2</v>
      </c>
      <c r="F166" s="9">
        <v>-5.4632959640491419E-2</v>
      </c>
      <c r="G166" s="9">
        <v>-5.4632959640491419E-2</v>
      </c>
      <c r="H166" s="35">
        <v>1.1117614990484519E-2</v>
      </c>
    </row>
    <row r="167" spans="2:8" x14ac:dyDescent="0.35">
      <c r="B167" s="6">
        <v>45166</v>
      </c>
      <c r="C167" s="7" t="s">
        <v>33</v>
      </c>
      <c r="D167" s="9">
        <v>3.0499428135722399E-3</v>
      </c>
      <c r="E167" s="9">
        <v>3.0499428135722399E-3</v>
      </c>
      <c r="F167" s="9">
        <v>-5.1749644229558966E-2</v>
      </c>
      <c r="G167" s="9">
        <v>-5.1749644229558966E-2</v>
      </c>
      <c r="H167" s="35">
        <v>3.045301173418996E-3</v>
      </c>
    </row>
    <row r="168" spans="2:8" x14ac:dyDescent="0.35">
      <c r="B168" s="6">
        <v>45167</v>
      </c>
      <c r="C168" s="7" t="s">
        <v>33</v>
      </c>
      <c r="D168" s="9">
        <v>4.5610034207526498E-3</v>
      </c>
      <c r="E168" s="9">
        <v>4.5610034207526498E-3</v>
      </c>
      <c r="F168" s="9">
        <v>-4.7424671113160066E-2</v>
      </c>
      <c r="G168" s="9">
        <v>-4.7424671113160066E-2</v>
      </c>
      <c r="H168" s="35">
        <v>4.5506335639965093E-3</v>
      </c>
    </row>
    <row r="169" spans="2:8" x14ac:dyDescent="0.35">
      <c r="B169" s="6">
        <v>45168</v>
      </c>
      <c r="C169" s="7" t="s">
        <v>33</v>
      </c>
      <c r="D169" s="9">
        <v>4.9186530457813703E-3</v>
      </c>
      <c r="E169" s="9">
        <v>4.9186530457813703E-3</v>
      </c>
      <c r="F169" s="9">
        <v>-4.2739283570394582E-2</v>
      </c>
      <c r="G169" s="9">
        <v>-4.2739283570394582E-2</v>
      </c>
      <c r="H169" s="35">
        <v>4.9065959920353902E-3</v>
      </c>
    </row>
    <row r="170" spans="2:8" x14ac:dyDescent="0.35">
      <c r="B170" s="6">
        <v>45169</v>
      </c>
      <c r="C170" s="7" t="s">
        <v>33</v>
      </c>
      <c r="D170" s="9">
        <v>-6.0240963855423303E-3</v>
      </c>
      <c r="E170" s="9">
        <v>-6.0240963855423303E-3</v>
      </c>
      <c r="F170" s="9">
        <v>-4.8505914392259819E-2</v>
      </c>
      <c r="G170" s="9">
        <v>-4.8505914392259819E-2</v>
      </c>
      <c r="H170" s="35">
        <v>-6.0423144559628101E-3</v>
      </c>
    </row>
    <row r="171" spans="2:8" x14ac:dyDescent="0.35">
      <c r="B171" s="6">
        <v>45170</v>
      </c>
      <c r="C171" s="7" t="s">
        <v>33</v>
      </c>
      <c r="D171" s="9">
        <v>2.43686868686868E-2</v>
      </c>
      <c r="E171" s="9">
        <v>2.43686868686868E-2</v>
      </c>
      <c r="F171" s="9">
        <v>-2.5319252962677341E-2</v>
      </c>
      <c r="G171" s="9">
        <v>-2.5319252962677341E-2</v>
      </c>
      <c r="H171" s="35">
        <v>2.4076507586593372E-2</v>
      </c>
    </row>
    <row r="172" spans="2:8" x14ac:dyDescent="0.35">
      <c r="B172" s="6">
        <v>45174</v>
      </c>
      <c r="C172" s="7" t="s">
        <v>33</v>
      </c>
      <c r="D172" s="9">
        <v>-1.8242327129298502E-2</v>
      </c>
      <c r="E172" s="9">
        <v>-1.8242327129298502E-2</v>
      </c>
      <c r="F172" s="9">
        <v>-4.3099697996761277E-2</v>
      </c>
      <c r="G172" s="9">
        <v>-4.3099697996761277E-2</v>
      </c>
      <c r="H172" s="35">
        <v>-1.8410770050915973E-2</v>
      </c>
    </row>
    <row r="173" spans="2:8" x14ac:dyDescent="0.35">
      <c r="B173" s="6">
        <v>45175</v>
      </c>
      <c r="C173" s="7" t="s">
        <v>33</v>
      </c>
      <c r="D173" s="9">
        <v>3.0131826741996198E-3</v>
      </c>
      <c r="E173" s="9">
        <v>3.0131826741996198E-3</v>
      </c>
      <c r="F173" s="9">
        <v>-4.0216382585828714E-2</v>
      </c>
      <c r="G173" s="9">
        <v>-4.0216382585828714E-2</v>
      </c>
      <c r="H173" s="35">
        <v>3.0086521378930985E-3</v>
      </c>
    </row>
    <row r="174" spans="2:8" x14ac:dyDescent="0.35">
      <c r="B174" s="6">
        <v>45176</v>
      </c>
      <c r="C174" s="7" t="s">
        <v>33</v>
      </c>
      <c r="D174" s="9">
        <v>-1.4144448616848101E-2</v>
      </c>
      <c r="E174" s="9">
        <v>-1.4144448616848101E-2</v>
      </c>
      <c r="F174" s="9">
        <v>-5.3791992645636055E-2</v>
      </c>
      <c r="G174" s="9">
        <v>-5.3791992645636055E-2</v>
      </c>
      <c r="H174" s="35">
        <v>-1.4245434723025644E-2</v>
      </c>
    </row>
    <row r="175" spans="2:8" x14ac:dyDescent="0.35">
      <c r="B175" s="6">
        <v>45177</v>
      </c>
      <c r="C175" s="7" t="s">
        <v>33</v>
      </c>
      <c r="D175" s="9">
        <v>-1.3966480446927099E-3</v>
      </c>
      <c r="E175" s="9">
        <v>-1.3966480446927099E-3</v>
      </c>
      <c r="F175" s="9">
        <v>-5.5113512208980198E-2</v>
      </c>
      <c r="G175" s="9">
        <v>-5.5113512208980198E-2</v>
      </c>
      <c r="H175" s="35">
        <v>-1.3976242666379726E-3</v>
      </c>
    </row>
    <row r="176" spans="2:8" x14ac:dyDescent="0.35">
      <c r="B176" s="6">
        <v>45180</v>
      </c>
      <c r="C176" s="7" t="s">
        <v>33</v>
      </c>
      <c r="D176" s="9">
        <v>2.2886204704385101E-3</v>
      </c>
      <c r="E176" s="9">
        <v>2.2886204704385101E-3</v>
      </c>
      <c r="F176" s="9">
        <v>-5.2951025650781025E-2</v>
      </c>
      <c r="G176" s="9">
        <v>-5.2951025650781025E-2</v>
      </c>
      <c r="H176" s="35">
        <v>2.2860055675298133E-3</v>
      </c>
    </row>
    <row r="177" spans="2:8" x14ac:dyDescent="0.35">
      <c r="B177" s="6">
        <v>45181</v>
      </c>
      <c r="C177" s="7" t="s">
        <v>33</v>
      </c>
      <c r="D177" s="9">
        <v>3.80565774451346E-3</v>
      </c>
      <c r="E177" s="9">
        <v>3.80565774451346E-3</v>
      </c>
      <c r="F177" s="9">
        <v>-4.9346881387115515E-2</v>
      </c>
      <c r="G177" s="9">
        <v>-4.9346881387115515E-2</v>
      </c>
      <c r="H177" s="35">
        <v>3.7984345492849698E-3</v>
      </c>
    </row>
    <row r="178" spans="2:8" x14ac:dyDescent="0.35">
      <c r="B178" s="6">
        <v>45182</v>
      </c>
      <c r="C178" s="7" t="s">
        <v>33</v>
      </c>
      <c r="D178" s="9">
        <v>-1.06154429419941E-2</v>
      </c>
      <c r="E178" s="9">
        <v>-1.06154429419941E-2</v>
      </c>
      <c r="F178" s="9">
        <v>-5.943848532537932E-2</v>
      </c>
      <c r="G178" s="9">
        <v>-5.943848532537932E-2</v>
      </c>
      <c r="H178" s="35">
        <v>-1.0672188701279102E-2</v>
      </c>
    </row>
    <row r="179" spans="2:8" x14ac:dyDescent="0.35">
      <c r="B179" s="6">
        <v>45183</v>
      </c>
      <c r="C179" s="7" t="s">
        <v>33</v>
      </c>
      <c r="D179" s="9">
        <v>-1.0218418699707999E-3</v>
      </c>
      <c r="E179" s="9">
        <v>-1.0218418699707999E-3</v>
      </c>
      <c r="F179" s="9">
        <v>-6.0399590462356989E-2</v>
      </c>
      <c r="G179" s="9">
        <v>-6.0399590462356989E-2</v>
      </c>
      <c r="H179" s="35">
        <v>-1.0223643063029331E-3</v>
      </c>
    </row>
    <row r="180" spans="2:8" x14ac:dyDescent="0.35">
      <c r="B180" s="6">
        <v>45184</v>
      </c>
      <c r="C180" s="7" t="s">
        <v>33</v>
      </c>
      <c r="D180" s="9">
        <v>-1.40646976090013E-2</v>
      </c>
      <c r="E180" s="9">
        <v>-1.40646976090013E-2</v>
      </c>
      <c r="F180" s="9">
        <v>-7.3614786095797746E-2</v>
      </c>
      <c r="G180" s="9">
        <v>-7.3614786095797746E-2</v>
      </c>
      <c r="H180" s="35">
        <v>-1.4164542768650687E-2</v>
      </c>
    </row>
    <row r="181" spans="2:8" x14ac:dyDescent="0.35">
      <c r="B181" s="6">
        <v>45187</v>
      </c>
      <c r="C181" s="7" t="s">
        <v>33</v>
      </c>
      <c r="D181" s="9">
        <v>-1.50434444300349E-2</v>
      </c>
      <c r="E181" s="9">
        <v>-1.50434444300349E-2</v>
      </c>
      <c r="F181" s="9">
        <v>-8.7550810581971672E-2</v>
      </c>
      <c r="G181" s="9">
        <v>-8.7550810581971672E-2</v>
      </c>
      <c r="H181" s="35">
        <v>-1.5157744803087301E-2</v>
      </c>
    </row>
    <row r="182" spans="2:8" x14ac:dyDescent="0.35">
      <c r="B182" s="6">
        <v>45188</v>
      </c>
      <c r="C182" s="7" t="s">
        <v>33</v>
      </c>
      <c r="D182" s="9">
        <v>5.2666227781425696E-4</v>
      </c>
      <c r="E182" s="9">
        <v>5.2666227781425696E-4</v>
      </c>
      <c r="F182" s="9">
        <v>-8.7070258013483115E-2</v>
      </c>
      <c r="G182" s="9">
        <v>-8.7070258013483115E-2</v>
      </c>
      <c r="H182" s="35">
        <v>5.2652363991150203E-4</v>
      </c>
    </row>
    <row r="183" spans="2:8" x14ac:dyDescent="0.35">
      <c r="B183" s="6">
        <v>45189</v>
      </c>
      <c r="C183" s="7" t="s">
        <v>33</v>
      </c>
      <c r="D183" s="9">
        <v>-2.17133833399131E-2</v>
      </c>
      <c r="E183" s="9">
        <v>-2.17133833399131E-2</v>
      </c>
      <c r="F183" s="9">
        <v>-0.10689305146364436</v>
      </c>
      <c r="G183" s="9">
        <v>-0.10689305146364436</v>
      </c>
      <c r="H183" s="35">
        <v>-2.1952587812587444E-2</v>
      </c>
    </row>
    <row r="184" spans="2:8" x14ac:dyDescent="0.35">
      <c r="B184" s="6">
        <v>45190</v>
      </c>
      <c r="C184" s="7" t="s">
        <v>33</v>
      </c>
      <c r="D184" s="9">
        <v>-8.6090933548560507E-3</v>
      </c>
      <c r="E184" s="9">
        <v>-8.6090933548560507E-3</v>
      </c>
      <c r="F184" s="9">
        <v>-0.11458189255946449</v>
      </c>
      <c r="G184" s="9">
        <v>-0.11458189255946449</v>
      </c>
      <c r="H184" s="35">
        <v>-8.6463656738151387E-3</v>
      </c>
    </row>
    <row r="185" spans="2:8" x14ac:dyDescent="0.35">
      <c r="B185" s="6">
        <v>45191</v>
      </c>
      <c r="C185" s="7" t="s">
        <v>33</v>
      </c>
      <c r="D185" s="9">
        <v>-1.0040705563093701E-2</v>
      </c>
      <c r="E185" s="9">
        <v>-1.0040705563093701E-2</v>
      </c>
      <c r="F185" s="9">
        <v>-0.12347211507650657</v>
      </c>
      <c r="G185" s="9">
        <v>-0.12347211507650657</v>
      </c>
      <c r="H185" s="35">
        <v>-1.0091453429215014E-2</v>
      </c>
    </row>
    <row r="186" spans="2:8" x14ac:dyDescent="0.35">
      <c r="B186" s="6">
        <v>45194</v>
      </c>
      <c r="C186" s="7" t="s">
        <v>33</v>
      </c>
      <c r="D186" s="9">
        <v>-1.4802631578947401E-2</v>
      </c>
      <c r="E186" s="9">
        <v>-1.4802631578947401E-2</v>
      </c>
      <c r="F186" s="9">
        <v>-0.13644703442570305</v>
      </c>
      <c r="G186" s="9">
        <v>-0.13644703442570305</v>
      </c>
      <c r="H186" s="35">
        <v>-1.4913283850717635E-2</v>
      </c>
    </row>
    <row r="187" spans="2:8" x14ac:dyDescent="0.35">
      <c r="B187" s="6">
        <v>45195</v>
      </c>
      <c r="C187" s="7" t="s">
        <v>33</v>
      </c>
      <c r="D187" s="9">
        <v>1.850306065665E-2</v>
      </c>
      <c r="E187" s="9">
        <v>1.850306065665E-2</v>
      </c>
      <c r="F187" s="9">
        <v>-0.12046866152345181</v>
      </c>
      <c r="G187" s="9">
        <v>-0.12046866152345181</v>
      </c>
      <c r="H187" s="35">
        <v>1.8333961743193128E-2</v>
      </c>
    </row>
    <row r="188" spans="2:8" x14ac:dyDescent="0.35">
      <c r="B188" s="6">
        <v>45196</v>
      </c>
      <c r="C188" s="7" t="s">
        <v>33</v>
      </c>
      <c r="D188" s="9">
        <v>1.06542822018851E-2</v>
      </c>
      <c r="E188" s="9">
        <v>1.06542822018851E-2</v>
      </c>
      <c r="F188" s="9">
        <v>-0.11109788643792096</v>
      </c>
      <c r="G188" s="9">
        <v>-0.11109788643792096</v>
      </c>
      <c r="H188" s="35">
        <v>1.0597925278908406E-2</v>
      </c>
    </row>
    <row r="189" spans="2:8" x14ac:dyDescent="0.35">
      <c r="B189" s="6">
        <v>45197</v>
      </c>
      <c r="C189" s="7" t="s">
        <v>33</v>
      </c>
      <c r="D189" s="9">
        <v>-2.9733747803758698E-3</v>
      </c>
      <c r="E189" s="9">
        <v>-2.9733747803758698E-3</v>
      </c>
      <c r="F189" s="9">
        <v>-0.11374092556460924</v>
      </c>
      <c r="G189" s="9">
        <v>-0.11374092556460924</v>
      </c>
      <c r="H189" s="35">
        <v>-2.977804041248804E-3</v>
      </c>
    </row>
    <row r="190" spans="2:8" x14ac:dyDescent="0.35">
      <c r="B190" s="6">
        <v>45198</v>
      </c>
      <c r="C190" s="7" t="s">
        <v>33</v>
      </c>
      <c r="D190" s="9">
        <v>-1.0166734444896301E-2</v>
      </c>
      <c r="E190" s="9">
        <v>-1.0166734444896301E-2</v>
      </c>
      <c r="F190" s="9">
        <v>-0.12275128622377351</v>
      </c>
      <c r="G190" s="9">
        <v>-0.12275128622377351</v>
      </c>
      <c r="H190" s="35">
        <v>-1.0218768668720138E-2</v>
      </c>
    </row>
    <row r="191" spans="2:8" x14ac:dyDescent="0.35">
      <c r="B191" s="6">
        <v>45201</v>
      </c>
      <c r="C191" s="7" t="s">
        <v>33</v>
      </c>
      <c r="D191" s="9">
        <v>-3.2456861133935699E-2</v>
      </c>
      <c r="E191" s="9">
        <v>-3.2456861133935699E-2</v>
      </c>
      <c r="F191" s="9">
        <v>-0.15122402590673223</v>
      </c>
      <c r="G191" s="9">
        <v>-0.15122402590673223</v>
      </c>
      <c r="H191" s="35">
        <v>-3.2995267096954203E-2</v>
      </c>
    </row>
    <row r="192" spans="2:8" x14ac:dyDescent="0.35">
      <c r="B192" s="6">
        <v>45202</v>
      </c>
      <c r="C192" s="7" t="s">
        <v>33</v>
      </c>
      <c r="D192" s="9">
        <v>-1.4154281670207701E-3</v>
      </c>
      <c r="E192" s="9">
        <v>-1.4154281670207701E-3</v>
      </c>
      <c r="F192" s="9">
        <v>-0.15242540732795429</v>
      </c>
      <c r="G192" s="9">
        <v>-0.15242540732795429</v>
      </c>
      <c r="H192" s="35">
        <v>-1.4164308317136955E-3</v>
      </c>
    </row>
    <row r="193" spans="2:8" x14ac:dyDescent="0.35">
      <c r="B193" s="6">
        <v>45203</v>
      </c>
      <c r="C193" s="7" t="s">
        <v>33</v>
      </c>
      <c r="D193" s="9">
        <v>-9.4968107725017306E-3</v>
      </c>
      <c r="E193" s="9">
        <v>-9.4968107725017306E-3</v>
      </c>
      <c r="F193" s="9">
        <v>-0.160474662850141</v>
      </c>
      <c r="G193" s="9">
        <v>-0.160474662850141</v>
      </c>
      <c r="H193" s="35">
        <v>-9.5421930329671733E-3</v>
      </c>
    </row>
    <row r="194" spans="2:8" x14ac:dyDescent="0.35">
      <c r="B194" s="6">
        <v>45204</v>
      </c>
      <c r="C194" s="7" t="s">
        <v>33</v>
      </c>
      <c r="D194" s="9">
        <v>3.2484258729250301E-2</v>
      </c>
      <c r="E194" s="9">
        <v>3.2484258729250301E-2</v>
      </c>
      <c r="F194" s="9">
        <v>-0.13320330458840401</v>
      </c>
      <c r="G194" s="9">
        <v>-0.13320330458840401</v>
      </c>
      <c r="H194" s="35">
        <v>3.1967799954024122E-2</v>
      </c>
    </row>
    <row r="195" spans="2:8" x14ac:dyDescent="0.35">
      <c r="B195" s="6">
        <v>45205</v>
      </c>
      <c r="C195" s="7" t="s">
        <v>33</v>
      </c>
      <c r="D195" s="9">
        <v>1.10880110880111E-3</v>
      </c>
      <c r="E195" s="9">
        <v>1.10880110880111E-3</v>
      </c>
      <c r="F195" s="9">
        <v>-0.13224219945142646</v>
      </c>
      <c r="G195" s="9">
        <v>-0.13224219945142646</v>
      </c>
      <c r="H195" s="35">
        <v>1.1081868428756388E-3</v>
      </c>
    </row>
    <row r="196" spans="2:8" x14ac:dyDescent="0.35">
      <c r="B196" s="6">
        <v>45208</v>
      </c>
      <c r="C196" s="7" t="s">
        <v>33</v>
      </c>
      <c r="D196" s="9">
        <v>-7.8914578430016296E-3</v>
      </c>
      <c r="E196" s="9">
        <v>-7.8914578430016296E-3</v>
      </c>
      <c r="F196" s="9">
        <v>-0.13909007355239134</v>
      </c>
      <c r="G196" s="9">
        <v>-0.13909007355239134</v>
      </c>
      <c r="H196" s="35">
        <v>-7.922760185947772E-3</v>
      </c>
    </row>
    <row r="197" spans="2:8" x14ac:dyDescent="0.35">
      <c r="B197" s="6">
        <v>45209</v>
      </c>
      <c r="C197" s="7" t="s">
        <v>33</v>
      </c>
      <c r="D197" s="9">
        <v>6.1401060563772304E-3</v>
      </c>
      <c r="E197" s="9">
        <v>6.1401060563772304E-3</v>
      </c>
      <c r="F197" s="9">
        <v>-0.1338039952990151</v>
      </c>
      <c r="G197" s="9">
        <v>-0.1338039952990151</v>
      </c>
      <c r="H197" s="35">
        <v>6.1213324140955722E-3</v>
      </c>
    </row>
    <row r="198" spans="2:8" x14ac:dyDescent="0.35">
      <c r="B198" s="6">
        <v>45210</v>
      </c>
      <c r="C198" s="7" t="s">
        <v>33</v>
      </c>
      <c r="D198" s="9">
        <v>-1.0818307905686501E-2</v>
      </c>
      <c r="E198" s="9">
        <v>-1.0818307905686501E-2</v>
      </c>
      <c r="F198" s="9">
        <v>-0.14317477038454585</v>
      </c>
      <c r="G198" s="9">
        <v>-0.14317477038454585</v>
      </c>
      <c r="H198" s="35">
        <v>-1.0877251295963683E-2</v>
      </c>
    </row>
    <row r="199" spans="2:8" x14ac:dyDescent="0.35">
      <c r="B199" s="6">
        <v>45211</v>
      </c>
      <c r="C199" s="7" t="s">
        <v>33</v>
      </c>
      <c r="D199" s="9">
        <v>-3.6455412226584202E-2</v>
      </c>
      <c r="E199" s="9">
        <v>-3.6455412226584202E-2</v>
      </c>
      <c r="F199" s="9">
        <v>-0.17441068733631493</v>
      </c>
      <c r="G199" s="9">
        <v>-0.17441068733631493</v>
      </c>
      <c r="H199" s="35">
        <v>-3.7136515318939529E-2</v>
      </c>
    </row>
    <row r="200" spans="2:8" x14ac:dyDescent="0.35">
      <c r="B200" s="6">
        <v>45212</v>
      </c>
      <c r="C200" s="7" t="s">
        <v>33</v>
      </c>
      <c r="D200" s="9">
        <v>1.28055878928985E-2</v>
      </c>
      <c r="E200" s="9">
        <v>1.28055878928985E-2</v>
      </c>
      <c r="F200" s="9">
        <v>-0.16383853082956246</v>
      </c>
      <c r="G200" s="9">
        <v>-0.16383853082956246</v>
      </c>
      <c r="H200" s="35">
        <v>1.2724289664373854E-2</v>
      </c>
    </row>
    <row r="201" spans="2:8" x14ac:dyDescent="0.35">
      <c r="B201" s="6">
        <v>45215</v>
      </c>
      <c r="C201" s="7" t="s">
        <v>33</v>
      </c>
      <c r="D201" s="9">
        <v>8.76436781609196E-3</v>
      </c>
      <c r="E201" s="9">
        <v>8.76436781609196E-3</v>
      </c>
      <c r="F201" s="9">
        <v>-0.1565101041601088</v>
      </c>
      <c r="G201" s="9">
        <v>-0.1565101041601088</v>
      </c>
      <c r="H201" s="35">
        <v>8.7261836887835738E-3</v>
      </c>
    </row>
    <row r="202" spans="2:8" x14ac:dyDescent="0.35">
      <c r="B202" s="6">
        <v>45216</v>
      </c>
      <c r="C202" s="7" t="s">
        <v>33</v>
      </c>
      <c r="D202" s="9">
        <v>1.28186867967538E-3</v>
      </c>
      <c r="E202" s="9">
        <v>1.28186867967538E-3</v>
      </c>
      <c r="F202" s="9">
        <v>-0.15542886088100893</v>
      </c>
      <c r="G202" s="9">
        <v>-0.15542886088100893</v>
      </c>
      <c r="H202" s="35">
        <v>1.2810477874618832E-3</v>
      </c>
    </row>
    <row r="203" spans="2:8" x14ac:dyDescent="0.35">
      <c r="B203" s="6">
        <v>45217</v>
      </c>
      <c r="C203" s="7" t="s">
        <v>33</v>
      </c>
      <c r="D203" s="9">
        <v>-2.5746799431009899E-2</v>
      </c>
      <c r="E203" s="9">
        <v>-2.5746799431009899E-2</v>
      </c>
      <c r="F203" s="9">
        <v>-0.17717386460512519</v>
      </c>
      <c r="G203" s="9">
        <v>-0.17717386460512519</v>
      </c>
      <c r="H203" s="35">
        <v>-2.6084049606805292E-2</v>
      </c>
    </row>
    <row r="204" spans="2:8" x14ac:dyDescent="0.35">
      <c r="B204" s="6">
        <v>45218</v>
      </c>
      <c r="C204" s="7" t="s">
        <v>33</v>
      </c>
      <c r="D204" s="9">
        <v>-2.0440940283252901E-2</v>
      </c>
      <c r="E204" s="9">
        <v>-2.0440940283252901E-2</v>
      </c>
      <c r="F204" s="9">
        <v>-0.19399320450223168</v>
      </c>
      <c r="G204" s="9">
        <v>-0.19399320450223168</v>
      </c>
      <c r="H204" s="35">
        <v>-2.0652747635017076E-2</v>
      </c>
    </row>
    <row r="205" spans="2:8" x14ac:dyDescent="0.35">
      <c r="B205" s="6">
        <v>45219</v>
      </c>
      <c r="C205" s="7" t="s">
        <v>33</v>
      </c>
      <c r="D205" s="9">
        <v>-2.53390967357294E-3</v>
      </c>
      <c r="E205" s="9">
        <v>-2.53390967357294E-3</v>
      </c>
      <c r="F205" s="9">
        <v>-0.19603555291830899</v>
      </c>
      <c r="G205" s="9">
        <v>-0.19603555291830899</v>
      </c>
      <c r="H205" s="35">
        <v>-2.5371254561735671E-3</v>
      </c>
    </row>
    <row r="206" spans="2:8" x14ac:dyDescent="0.35">
      <c r="B206" s="6">
        <v>45222</v>
      </c>
      <c r="C206" s="7" t="s">
        <v>33</v>
      </c>
      <c r="D206" s="9">
        <v>-2.1817095038852399E-2</v>
      </c>
      <c r="E206" s="9">
        <v>-2.1817095038852399E-2</v>
      </c>
      <c r="F206" s="9">
        <v>-0.21357572166814864</v>
      </c>
      <c r="G206" s="9">
        <v>-0.21357572166814864</v>
      </c>
      <c r="H206" s="35">
        <v>-2.2058607045588843E-2</v>
      </c>
    </row>
    <row r="207" spans="2:8" x14ac:dyDescent="0.35">
      <c r="B207" s="6">
        <v>45223</v>
      </c>
      <c r="C207" s="7" t="s">
        <v>33</v>
      </c>
      <c r="D207" s="9">
        <v>2.4900702719218001E-2</v>
      </c>
      <c r="E207" s="9">
        <v>2.4900702719218001E-2</v>
      </c>
      <c r="F207" s="9">
        <v>-0.19399320450223156</v>
      </c>
      <c r="G207" s="9">
        <v>-0.19399320450223156</v>
      </c>
      <c r="H207" s="35">
        <v>2.4595732501762453E-2</v>
      </c>
    </row>
    <row r="208" spans="2:8" x14ac:dyDescent="0.35">
      <c r="B208" s="6">
        <v>45224</v>
      </c>
      <c r="C208" s="7" t="s">
        <v>33</v>
      </c>
      <c r="D208" s="9">
        <v>-2.36995081234165E-2</v>
      </c>
      <c r="E208" s="9">
        <v>-2.36995081234165E-2</v>
      </c>
      <c r="F208" s="9">
        <v>-0.21309516909965986</v>
      </c>
      <c r="G208" s="9">
        <v>-0.21309516909965986</v>
      </c>
      <c r="H208" s="35">
        <v>-2.3984858933590623E-2</v>
      </c>
    </row>
    <row r="209" spans="2:8" x14ac:dyDescent="0.35">
      <c r="B209" s="6">
        <v>45225</v>
      </c>
      <c r="C209" s="7" t="s">
        <v>33</v>
      </c>
      <c r="D209" s="9">
        <v>1.03816793893133E-2</v>
      </c>
      <c r="E209" s="9">
        <v>1.03816793893133E-2</v>
      </c>
      <c r="F209" s="9">
        <v>-0.20492577543535084</v>
      </c>
      <c r="G209" s="9">
        <v>-0.20492577543535084</v>
      </c>
      <c r="H209" s="35">
        <v>1.0328159852260115E-2</v>
      </c>
    </row>
    <row r="210" spans="2:8" x14ac:dyDescent="0.35">
      <c r="B210" s="6">
        <v>45226</v>
      </c>
      <c r="C210" s="7" t="s">
        <v>33</v>
      </c>
      <c r="D210" s="9">
        <v>-3.11272287700213E-2</v>
      </c>
      <c r="E210" s="9">
        <v>-3.11272287700213E-2</v>
      </c>
      <c r="F210" s="9">
        <v>-0.22967423271252196</v>
      </c>
      <c r="G210" s="9">
        <v>-0.22967423271252196</v>
      </c>
      <c r="H210" s="35">
        <v>-3.1621974752114021E-2</v>
      </c>
    </row>
    <row r="211" spans="2:8" x14ac:dyDescent="0.35">
      <c r="B211" s="6">
        <v>45229</v>
      </c>
      <c r="C211" s="7" t="s">
        <v>33</v>
      </c>
      <c r="D211" s="9">
        <v>1.6687461010605101E-2</v>
      </c>
      <c r="E211" s="9">
        <v>1.6687461010605101E-2</v>
      </c>
      <c r="F211" s="9">
        <v>-0.21681945150544768</v>
      </c>
      <c r="G211" s="9">
        <v>-0.21681945150544768</v>
      </c>
      <c r="H211" s="35">
        <v>1.6549755195095783E-2</v>
      </c>
    </row>
    <row r="212" spans="2:8" x14ac:dyDescent="0.35">
      <c r="B212" s="6">
        <v>45230</v>
      </c>
      <c r="C212" s="7" t="s">
        <v>33</v>
      </c>
      <c r="D212" s="9">
        <v>1.5953367080840601E-2</v>
      </c>
      <c r="E212" s="9">
        <v>1.5953367080840601E-2</v>
      </c>
      <c r="F212" s="9">
        <v>-0.20432508472474009</v>
      </c>
      <c r="G212" s="9">
        <v>-0.20432508472474009</v>
      </c>
      <c r="H212" s="35">
        <v>1.582744956043999E-2</v>
      </c>
    </row>
    <row r="213" spans="2:8" x14ac:dyDescent="0.35">
      <c r="B213" s="6">
        <v>45231</v>
      </c>
      <c r="C213" s="7" t="s">
        <v>33</v>
      </c>
      <c r="D213" s="9">
        <v>2.0685489959232899E-2</v>
      </c>
      <c r="E213" s="9">
        <v>2.0685489959232899E-2</v>
      </c>
      <c r="F213" s="9">
        <v>-0.1878661592540003</v>
      </c>
      <c r="G213" s="9">
        <v>-0.1878661592540003</v>
      </c>
      <c r="H213" s="35">
        <v>2.0474450552030166E-2</v>
      </c>
    </row>
    <row r="214" spans="2:8" x14ac:dyDescent="0.35">
      <c r="B214" s="6">
        <v>45232</v>
      </c>
      <c r="C214" s="7" t="s">
        <v>33</v>
      </c>
      <c r="D214" s="9">
        <v>9.7633136094676994E-3</v>
      </c>
      <c r="E214" s="9">
        <v>9.7633136094676994E-3</v>
      </c>
      <c r="F214" s="9">
        <v>-0.17993704187393555</v>
      </c>
      <c r="G214" s="9">
        <v>-0.17993704187393555</v>
      </c>
      <c r="H214" s="35">
        <v>9.7159604296428118E-3</v>
      </c>
    </row>
    <row r="215" spans="2:8" x14ac:dyDescent="0.35">
      <c r="B215" s="6">
        <v>45233</v>
      </c>
      <c r="C215" s="7" t="s">
        <v>33</v>
      </c>
      <c r="D215" s="9">
        <v>4.6879578083796898E-2</v>
      </c>
      <c r="E215" s="9">
        <v>4.6879578083796898E-2</v>
      </c>
      <c r="F215" s="9">
        <v>-0.14149283639483523</v>
      </c>
      <c r="G215" s="9">
        <v>-0.14149283639483523</v>
      </c>
      <c r="H215" s="35">
        <v>4.5813909116702467E-2</v>
      </c>
    </row>
    <row r="216" spans="2:8" x14ac:dyDescent="0.35">
      <c r="B216" s="6">
        <v>45236</v>
      </c>
      <c r="C216" s="7" t="s">
        <v>33</v>
      </c>
      <c r="D216" s="9">
        <v>-2.2110271480548501E-2</v>
      </c>
      <c r="E216" s="9">
        <v>-2.2110271480548501E-2</v>
      </c>
      <c r="F216" s="9">
        <v>-0.160474662850141</v>
      </c>
      <c r="G216" s="9">
        <v>-0.160474662850141</v>
      </c>
      <c r="H216" s="35">
        <v>-2.2358367329407811E-2</v>
      </c>
    </row>
    <row r="217" spans="2:8" x14ac:dyDescent="0.35">
      <c r="B217" s="6">
        <v>45237</v>
      </c>
      <c r="C217" s="7" t="s">
        <v>33</v>
      </c>
      <c r="D217" s="9">
        <v>2.3468803663423101E-2</v>
      </c>
      <c r="E217" s="9">
        <v>2.3468803663423101E-2</v>
      </c>
      <c r="F217" s="9">
        <v>-0.14077200754210184</v>
      </c>
      <c r="G217" s="9">
        <v>-0.14077200754210184</v>
      </c>
      <c r="H217" s="35">
        <v>2.3197645599403058E-2</v>
      </c>
    </row>
    <row r="218" spans="2:8" x14ac:dyDescent="0.35">
      <c r="B218" s="6">
        <v>45238</v>
      </c>
      <c r="C218" s="7" t="s">
        <v>33</v>
      </c>
      <c r="D218" s="9">
        <v>-2.92225950782996E-2</v>
      </c>
      <c r="E218" s="9">
        <v>-2.92225950782996E-2</v>
      </c>
      <c r="F218" s="9">
        <v>-0.16588087924563921</v>
      </c>
      <c r="G218" s="9">
        <v>-0.16588087924563921</v>
      </c>
      <c r="H218" s="35">
        <v>-2.9658080100076516E-2</v>
      </c>
    </row>
    <row r="219" spans="2:8" x14ac:dyDescent="0.35">
      <c r="B219" s="6">
        <v>45239</v>
      </c>
      <c r="C219" s="7" t="s">
        <v>33</v>
      </c>
      <c r="D219" s="9">
        <v>-4.0904508137692697E-2</v>
      </c>
      <c r="E219" s="9">
        <v>-4.0904508137692697E-2</v>
      </c>
      <c r="F219" s="9">
        <v>-0.20000011160834097</v>
      </c>
      <c r="G219" s="9">
        <v>-0.20000011160834097</v>
      </c>
      <c r="H219" s="35">
        <v>-4.1764634642651011E-2</v>
      </c>
    </row>
    <row r="220" spans="2:8" x14ac:dyDescent="0.35">
      <c r="B220" s="6">
        <v>45240</v>
      </c>
      <c r="C220" s="7" t="s">
        <v>33</v>
      </c>
      <c r="D220" s="9">
        <v>5.4062171497220599E-3</v>
      </c>
      <c r="E220" s="9">
        <v>5.4062171497220599E-3</v>
      </c>
      <c r="F220" s="9">
        <v>-0.19567513849194229</v>
      </c>
      <c r="G220" s="9">
        <v>-0.19567513849194229</v>
      </c>
      <c r="H220" s="35">
        <v>5.391656014650339E-3</v>
      </c>
    </row>
    <row r="221" spans="2:8" x14ac:dyDescent="0.35">
      <c r="B221" s="6">
        <v>45243</v>
      </c>
      <c r="C221" s="7" t="s">
        <v>33</v>
      </c>
      <c r="D221" s="9">
        <v>4.9290515309933997E-3</v>
      </c>
      <c r="E221" s="9">
        <v>4.9290515309933997E-3</v>
      </c>
      <c r="F221" s="9">
        <v>-0.19171057980190986</v>
      </c>
      <c r="G221" s="9">
        <v>-0.19171057980190986</v>
      </c>
      <c r="H221" s="35">
        <v>4.9169435275112552E-3</v>
      </c>
    </row>
    <row r="222" spans="2:8" x14ac:dyDescent="0.35">
      <c r="B222" s="6">
        <v>45244</v>
      </c>
      <c r="C222" s="7" t="s">
        <v>33</v>
      </c>
      <c r="D222" s="9">
        <v>5.3953626634958202E-2</v>
      </c>
      <c r="E222" s="9">
        <v>5.3953626634958202E-2</v>
      </c>
      <c r="F222" s="9">
        <v>-0.14810043421155517</v>
      </c>
      <c r="G222" s="9">
        <v>-0.14810043421155517</v>
      </c>
      <c r="H222" s="35">
        <v>5.2548451651212608E-2</v>
      </c>
    </row>
    <row r="223" spans="2:8" x14ac:dyDescent="0.35">
      <c r="B223" s="6">
        <v>45245</v>
      </c>
      <c r="C223" s="7" t="s">
        <v>33</v>
      </c>
      <c r="D223" s="9">
        <v>2.6794528275278198E-3</v>
      </c>
      <c r="E223" s="9">
        <v>2.6794528275278198E-3</v>
      </c>
      <c r="F223" s="9">
        <v>-0.14581780951123358</v>
      </c>
      <c r="G223" s="9">
        <v>-0.14581780951123358</v>
      </c>
      <c r="H223" s="35">
        <v>2.6758694932898183E-3</v>
      </c>
    </row>
    <row r="224" spans="2:8" x14ac:dyDescent="0.35">
      <c r="B224" s="6">
        <v>45246</v>
      </c>
      <c r="C224" s="7" t="s">
        <v>33</v>
      </c>
      <c r="D224" s="9">
        <v>-1.36427566807315E-2</v>
      </c>
      <c r="E224" s="9">
        <v>-1.36427566807315E-2</v>
      </c>
      <c r="F224" s="9">
        <v>-0.15747120929708602</v>
      </c>
      <c r="G224" s="9">
        <v>-0.15747120929708602</v>
      </c>
      <c r="H224" s="35">
        <v>-1.3736674260376201E-2</v>
      </c>
    </row>
    <row r="225" spans="2:8" x14ac:dyDescent="0.35">
      <c r="B225" s="6">
        <v>45247</v>
      </c>
      <c r="C225" s="7" t="s">
        <v>33</v>
      </c>
      <c r="D225" s="9">
        <v>3.6075859118779599E-2</v>
      </c>
      <c r="E225" s="9">
        <v>3.6075859118779599E-2</v>
      </c>
      <c r="F225" s="9">
        <v>-0.12707625934017197</v>
      </c>
      <c r="G225" s="9">
        <v>-0.12707625934017197</v>
      </c>
      <c r="H225" s="35">
        <v>3.5440364244236924E-2</v>
      </c>
    </row>
    <row r="226" spans="2:8" x14ac:dyDescent="0.35">
      <c r="B226" s="6">
        <v>45250</v>
      </c>
      <c r="C226" s="7" t="s">
        <v>33</v>
      </c>
      <c r="D226" s="9">
        <v>1.14230663363611E-2</v>
      </c>
      <c r="E226" s="9">
        <v>1.14230663363611E-2</v>
      </c>
      <c r="F226" s="9">
        <v>-0.11710479354403036</v>
      </c>
      <c r="G226" s="9">
        <v>-0.11710479354403036</v>
      </c>
      <c r="H226" s="35">
        <v>1.135831574772388E-2</v>
      </c>
    </row>
    <row r="227" spans="2:8" x14ac:dyDescent="0.35">
      <c r="B227" s="6">
        <v>45251</v>
      </c>
      <c r="C227" s="7" t="s">
        <v>33</v>
      </c>
      <c r="D227" s="9">
        <v>-2.0274867328888301E-2</v>
      </c>
      <c r="E227" s="9">
        <v>-2.0274867328888301E-2</v>
      </c>
      <c r="F227" s="9">
        <v>-0.1350053767202366</v>
      </c>
      <c r="G227" s="9">
        <v>-0.1350053767202366</v>
      </c>
      <c r="H227" s="35">
        <v>-2.048322352472455E-2</v>
      </c>
    </row>
    <row r="228" spans="2:8" x14ac:dyDescent="0.35">
      <c r="B228" s="6">
        <v>45252</v>
      </c>
      <c r="C228" s="7" t="s">
        <v>33</v>
      </c>
      <c r="D228" s="9">
        <v>1.1111111111111099E-2</v>
      </c>
      <c r="E228" s="9">
        <v>1.1111111111111099E-2</v>
      </c>
      <c r="F228" s="9">
        <v>-0.12539432535046147</v>
      </c>
      <c r="G228" s="9">
        <v>-0.12539432535046147</v>
      </c>
      <c r="H228" s="35">
        <v>1.1049836186584935E-2</v>
      </c>
    </row>
    <row r="229" spans="2:8" x14ac:dyDescent="0.35">
      <c r="B229" s="6">
        <v>45254</v>
      </c>
      <c r="C229" s="7" t="s">
        <v>33</v>
      </c>
      <c r="D229" s="9">
        <v>1.18131868131867E-2</v>
      </c>
      <c r="E229" s="9">
        <v>1.18131868131867E-2</v>
      </c>
      <c r="F229" s="9">
        <v>-0.11506244512795327</v>
      </c>
      <c r="G229" s="9">
        <v>-0.11506244512795327</v>
      </c>
      <c r="H229" s="35">
        <v>1.1743955814278915E-2</v>
      </c>
    </row>
    <row r="230" spans="2:8" x14ac:dyDescent="0.35">
      <c r="B230" s="6">
        <v>45257</v>
      </c>
      <c r="C230" s="7" t="s">
        <v>33</v>
      </c>
      <c r="D230" s="9">
        <v>-5.8376323649196697E-3</v>
      </c>
      <c r="E230" s="9">
        <v>-5.8376323649196697E-3</v>
      </c>
      <c r="F230" s="9">
        <v>-0.1202283852392072</v>
      </c>
      <c r="G230" s="9">
        <v>-0.1202283852392072</v>
      </c>
      <c r="H230" s="35">
        <v>-5.8547379439405772E-3</v>
      </c>
    </row>
    <row r="231" spans="2:8" x14ac:dyDescent="0.35">
      <c r="B231" s="6">
        <v>45258</v>
      </c>
      <c r="C231" s="7" t="s">
        <v>33</v>
      </c>
      <c r="D231" s="9">
        <v>-2.7311211252219899E-3</v>
      </c>
      <c r="E231" s="9">
        <v>-2.7311211252219899E-3</v>
      </c>
      <c r="F231" s="9">
        <v>-0.1226311480816511</v>
      </c>
      <c r="G231" s="9">
        <v>-0.1226311480816511</v>
      </c>
      <c r="H231" s="35">
        <v>-2.7348574409600994E-3</v>
      </c>
    </row>
    <row r="232" spans="2:8" x14ac:dyDescent="0.35">
      <c r="B232" s="6">
        <v>45259</v>
      </c>
      <c r="C232" s="7" t="s">
        <v>33</v>
      </c>
      <c r="D232" s="9">
        <v>1.12282623579349E-2</v>
      </c>
      <c r="E232" s="9">
        <v>1.12282623579349E-2</v>
      </c>
      <c r="F232" s="9">
        <v>-0.11277982042763168</v>
      </c>
      <c r="G232" s="9">
        <v>-0.11277982042763168</v>
      </c>
      <c r="H232" s="35">
        <v>1.116569334537027E-2</v>
      </c>
    </row>
    <row r="233" spans="2:8" x14ac:dyDescent="0.35">
      <c r="B233" s="6">
        <v>45260</v>
      </c>
      <c r="C233" s="7" t="s">
        <v>33</v>
      </c>
      <c r="D233" s="9">
        <v>2.26134055517942E-2</v>
      </c>
      <c r="E233" s="9">
        <v>2.26134055517942E-2</v>
      </c>
      <c r="F233" s="9">
        <v>-9.2716750693226047E-2</v>
      </c>
      <c r="G233" s="9">
        <v>-9.2716750693226047E-2</v>
      </c>
      <c r="H233" s="35">
        <v>2.2361512859856405E-2</v>
      </c>
    </row>
    <row r="234" spans="2:8" x14ac:dyDescent="0.35">
      <c r="B234" s="6">
        <v>45261</v>
      </c>
      <c r="C234" s="7" t="s">
        <v>33</v>
      </c>
      <c r="D234" s="9">
        <v>3.0587923728813599E-2</v>
      </c>
      <c r="E234" s="9">
        <v>3.0587923728813599E-2</v>
      </c>
      <c r="F234" s="9">
        <v>-6.4964839863000279E-2</v>
      </c>
      <c r="G234" s="9">
        <v>-6.4964839863000279E-2</v>
      </c>
      <c r="H234" s="35">
        <v>3.0129439134051576E-2</v>
      </c>
    </row>
    <row r="235" spans="2:8" x14ac:dyDescent="0.35">
      <c r="B235" s="6">
        <v>45264</v>
      </c>
      <c r="C235" s="7" t="s">
        <v>33</v>
      </c>
      <c r="D235" s="9">
        <v>1.74739817551074E-2</v>
      </c>
      <c r="E235" s="9">
        <v>1.74739817551074E-2</v>
      </c>
      <c r="F235" s="9">
        <v>-4.8626052534382347E-2</v>
      </c>
      <c r="G235" s="9">
        <v>-4.8626052534382347E-2</v>
      </c>
      <c r="H235" s="35">
        <v>1.7323067251024529E-2</v>
      </c>
    </row>
    <row r="236" spans="2:8" x14ac:dyDescent="0.35">
      <c r="B236" s="6">
        <v>45265</v>
      </c>
      <c r="C236" s="7" t="s">
        <v>33</v>
      </c>
      <c r="D236" s="9">
        <v>-4.9248642505367399E-3</v>
      </c>
      <c r="E236" s="9">
        <v>-4.9248642505367399E-3</v>
      </c>
      <c r="F236" s="9">
        <v>-5.3311440077147831E-2</v>
      </c>
      <c r="G236" s="9">
        <v>-5.3311440077147831E-2</v>
      </c>
      <c r="H236" s="35">
        <v>-4.9370313584877219E-3</v>
      </c>
    </row>
    <row r="237" spans="2:8" x14ac:dyDescent="0.35">
      <c r="B237" s="6">
        <v>45266</v>
      </c>
      <c r="C237" s="7" t="s">
        <v>33</v>
      </c>
      <c r="D237" s="9">
        <v>9.3908629441624598E-3</v>
      </c>
      <c r="E237" s="9">
        <v>9.3908629441624598E-3</v>
      </c>
      <c r="F237" s="9">
        <v>-4.4421217560105863E-2</v>
      </c>
      <c r="G237" s="9">
        <v>-4.4421217560105863E-2</v>
      </c>
      <c r="H237" s="35">
        <v>9.3470429157110485E-3</v>
      </c>
    </row>
    <row r="238" spans="2:8" x14ac:dyDescent="0.35">
      <c r="B238" s="6">
        <v>45267</v>
      </c>
      <c r="C238" s="7" t="s">
        <v>33</v>
      </c>
      <c r="D238" s="9">
        <v>1.23208448579331E-2</v>
      </c>
      <c r="E238" s="9">
        <v>1.23208448579331E-2</v>
      </c>
      <c r="F238" s="9">
        <v>-3.2647679632131332E-2</v>
      </c>
      <c r="G238" s="9">
        <v>-3.2647679632131332E-2</v>
      </c>
      <c r="H238" s="35">
        <v>1.2245560992046108E-2</v>
      </c>
    </row>
    <row r="239" spans="2:8" x14ac:dyDescent="0.35">
      <c r="B239" s="6">
        <v>45268</v>
      </c>
      <c r="C239" s="7" t="s">
        <v>33</v>
      </c>
      <c r="D239" s="9">
        <v>-1.49031296572282E-2</v>
      </c>
      <c r="E239" s="9">
        <v>-1.49031296572282E-2</v>
      </c>
      <c r="F239" s="9">
        <v>-4.7064256686794259E-2</v>
      </c>
      <c r="G239" s="9">
        <v>-4.7064256686794259E-2</v>
      </c>
      <c r="H239" s="35">
        <v>-1.5015297119995667E-2</v>
      </c>
    </row>
    <row r="240" spans="2:8" x14ac:dyDescent="0.35">
      <c r="B240" s="6">
        <v>45271</v>
      </c>
      <c r="C240" s="7" t="s">
        <v>33</v>
      </c>
      <c r="D240" s="9">
        <v>-5.7992939989913702E-3</v>
      </c>
      <c r="E240" s="9">
        <v>-5.7992939989913702E-3</v>
      </c>
      <c r="F240" s="9">
        <v>-5.2590611224414885E-2</v>
      </c>
      <c r="G240" s="9">
        <v>-5.2590611224414885E-2</v>
      </c>
      <c r="H240" s="35">
        <v>-5.8161752021140545E-3</v>
      </c>
    </row>
    <row r="241" spans="2:8" x14ac:dyDescent="0.35">
      <c r="B241" s="6">
        <v>45272</v>
      </c>
      <c r="C241" s="7" t="s">
        <v>33</v>
      </c>
      <c r="D241" s="9">
        <v>1.5470453969059101E-2</v>
      </c>
      <c r="E241" s="9">
        <v>1.5470453969059101E-2</v>
      </c>
      <c r="F241" s="9">
        <v>-3.7933757885507791E-2</v>
      </c>
      <c r="G241" s="9">
        <v>-3.7933757885507791E-2</v>
      </c>
      <c r="H241" s="35">
        <v>1.5352006557484039E-2</v>
      </c>
    </row>
    <row r="242" spans="2:8" x14ac:dyDescent="0.35">
      <c r="B242" s="6">
        <v>45273</v>
      </c>
      <c r="C242" s="7" t="s">
        <v>33</v>
      </c>
      <c r="D242" s="9">
        <v>4.8326673326673397E-2</v>
      </c>
      <c r="E242" s="9">
        <v>4.8326673326673397E-2</v>
      </c>
      <c r="F242" s="9">
        <v>8.5597031157795822E-3</v>
      </c>
      <c r="G242" s="9">
        <v>8.5597031157795822E-3</v>
      </c>
      <c r="H242" s="35">
        <v>4.7195248516584749E-2</v>
      </c>
    </row>
    <row r="243" spans="2:8" x14ac:dyDescent="0.35">
      <c r="B243" s="6">
        <v>45274</v>
      </c>
      <c r="C243" s="7" t="s">
        <v>33</v>
      </c>
      <c r="D243" s="9">
        <v>1.82251340083384E-2</v>
      </c>
      <c r="E243" s="9">
        <v>1.82251340083384E-2</v>
      </c>
      <c r="F243" s="9">
        <v>2.6940838860474603E-2</v>
      </c>
      <c r="G243" s="9">
        <v>2.6940838860474603E-2</v>
      </c>
      <c r="H243" s="35">
        <v>1.8061046927397108E-2</v>
      </c>
    </row>
    <row r="244" spans="2:8" x14ac:dyDescent="0.35">
      <c r="B244" s="6">
        <v>45275</v>
      </c>
      <c r="C244" s="7" t="s">
        <v>33</v>
      </c>
      <c r="D244" s="9">
        <v>2.8076743097798901E-3</v>
      </c>
      <c r="E244" s="9">
        <v>2.8076743097798901E-3</v>
      </c>
      <c r="F244" s="9">
        <v>2.9824154271406833E-2</v>
      </c>
      <c r="G244" s="9">
        <v>2.9824154271406833E-2</v>
      </c>
      <c r="H244" s="35">
        <v>2.8037401544291287E-3</v>
      </c>
    </row>
    <row r="245" spans="2:8" x14ac:dyDescent="0.35">
      <c r="B245" s="6">
        <v>45278</v>
      </c>
      <c r="C245" s="7" t="s">
        <v>33</v>
      </c>
      <c r="D245" s="9">
        <v>-1.5703721418572E-2</v>
      </c>
      <c r="E245" s="9">
        <v>-1.5703721418572E-2</v>
      </c>
      <c r="F245" s="9">
        <v>1.3652082642612084E-2</v>
      </c>
      <c r="G245" s="9">
        <v>1.3652082642612084E-2</v>
      </c>
      <c r="H245" s="35">
        <v>-1.5828331130885828E-2</v>
      </c>
    </row>
    <row r="246" spans="2:8" x14ac:dyDescent="0.35">
      <c r="B246" s="6">
        <v>45279</v>
      </c>
      <c r="C246" s="7" t="s">
        <v>33</v>
      </c>
      <c r="D246" s="9">
        <v>2.53674727358939E-2</v>
      </c>
      <c r="E246" s="9">
        <v>2.53674727358939E-2</v>
      </c>
      <c r="F246" s="9">
        <v>3.9365874212730523E-2</v>
      </c>
      <c r="G246" s="9">
        <v>3.9365874212730523E-2</v>
      </c>
      <c r="H246" s="35">
        <v>2.5051058327259904E-2</v>
      </c>
    </row>
    <row r="247" spans="2:8" x14ac:dyDescent="0.35">
      <c r="B247" s="6">
        <v>45280</v>
      </c>
      <c r="C247" s="7" t="s">
        <v>33</v>
      </c>
      <c r="D247" s="9">
        <v>-4.4393063583815097E-2</v>
      </c>
      <c r="E247" s="9">
        <v>-4.4393063583815097E-2</v>
      </c>
      <c r="F247" s="9">
        <v>-6.7747611280427611E-3</v>
      </c>
      <c r="G247" s="9">
        <v>-6.7747611280427611E-3</v>
      </c>
      <c r="H247" s="35">
        <v>-4.5408604854247428E-2</v>
      </c>
    </row>
    <row r="248" spans="2:8" x14ac:dyDescent="0.35">
      <c r="B248" s="6">
        <v>45281</v>
      </c>
      <c r="C248" s="7" t="s">
        <v>33</v>
      </c>
      <c r="D248" s="9">
        <v>2.4316477135252899E-2</v>
      </c>
      <c r="E248" s="9">
        <v>2.4316477135252899E-2</v>
      </c>
      <c r="F248" s="9">
        <v>1.7376977683143169E-2</v>
      </c>
      <c r="G248" s="9">
        <v>1.7376977683143169E-2</v>
      </c>
      <c r="H248" s="35">
        <v>2.4025538570599563E-2</v>
      </c>
    </row>
    <row r="249" spans="2:8" x14ac:dyDescent="0.35">
      <c r="B249" s="6">
        <v>45282</v>
      </c>
      <c r="C249" s="7" t="s">
        <v>33</v>
      </c>
      <c r="D249" s="9">
        <v>3.4841147986299802E-2</v>
      </c>
      <c r="E249" s="9">
        <v>3.4841147986299802E-2</v>
      </c>
      <c r="F249" s="9">
        <v>5.2823559520456032E-2</v>
      </c>
      <c r="G249" s="9">
        <v>5.2823559520456032E-2</v>
      </c>
      <c r="H249" s="35">
        <v>3.4247934731566593E-2</v>
      </c>
    </row>
    <row r="250" spans="2:8" x14ac:dyDescent="0.35">
      <c r="B250" s="6">
        <v>45286</v>
      </c>
      <c r="C250" s="7" t="s">
        <v>33</v>
      </c>
      <c r="D250" s="9">
        <v>2.0999771741611301E-2</v>
      </c>
      <c r="E250" s="9">
        <v>2.0999771741611301E-2</v>
      </c>
      <c r="F250" s="9">
        <v>7.4932613954576288E-2</v>
      </c>
      <c r="G250" s="9">
        <v>7.4932613954576288E-2</v>
      </c>
      <c r="H250" s="35">
        <v>2.0782315618949422E-2</v>
      </c>
    </row>
    <row r="251" spans="2:8" x14ac:dyDescent="0.35">
      <c r="B251" s="6">
        <v>45287</v>
      </c>
      <c r="C251" s="7" t="s">
        <v>33</v>
      </c>
      <c r="D251" s="9">
        <v>1.53141068634026E-2</v>
      </c>
      <c r="E251" s="9">
        <v>1.53141068634026E-2</v>
      </c>
      <c r="F251" s="9">
        <v>9.1394246875633467E-2</v>
      </c>
      <c r="G251" s="9">
        <v>9.1394246875633467E-2</v>
      </c>
      <c r="H251" s="35">
        <v>1.5198029509420117E-2</v>
      </c>
    </row>
    <row r="252" spans="2:8" x14ac:dyDescent="0.35">
      <c r="B252" s="6">
        <v>45288</v>
      </c>
      <c r="C252" s="7" t="s">
        <v>33</v>
      </c>
      <c r="D252" s="9">
        <v>3.3028734999453597E-4</v>
      </c>
      <c r="E252" s="9">
        <v>3.3028734999453597E-4</v>
      </c>
      <c r="F252" s="9">
        <v>9.1754720589233507E-2</v>
      </c>
      <c r="G252" s="9">
        <v>9.1754720589233507E-2</v>
      </c>
      <c r="H252" s="35">
        <v>3.3023281713519113E-4</v>
      </c>
    </row>
    <row r="253" spans="2:8" x14ac:dyDescent="0.35">
      <c r="B253" s="6">
        <v>45289</v>
      </c>
      <c r="C253" s="7" t="s">
        <v>33</v>
      </c>
      <c r="D253" s="9">
        <v>-1.7279330838652799E-2</v>
      </c>
      <c r="E253" s="9">
        <v>-1.7279330838652799E-2</v>
      </c>
      <c r="F253" s="9">
        <v>7.288992957751117E-2</v>
      </c>
      <c r="G253" s="9">
        <v>7.288992957751117E-2</v>
      </c>
      <c r="H253" s="35">
        <v>-1.7430360802132162E-2</v>
      </c>
    </row>
    <row r="254" spans="2:8" x14ac:dyDescent="0.35">
      <c r="B254" s="6">
        <v>45293</v>
      </c>
      <c r="C254" s="7" t="s">
        <v>33</v>
      </c>
      <c r="D254" s="9">
        <v>1.05274946802553E-2</v>
      </c>
      <c r="E254" s="9">
        <v>1.05274946802553E-2</v>
      </c>
      <c r="F254" s="9">
        <v>8.4184772603637992E-2</v>
      </c>
      <c r="G254" s="9">
        <v>8.4184772603637992E-2</v>
      </c>
      <c r="H254" s="35">
        <v>1.0472466477284299E-2</v>
      </c>
    </row>
    <row r="255" spans="2:8" x14ac:dyDescent="0.35">
      <c r="B255" s="6">
        <v>45294</v>
      </c>
      <c r="C255" s="7" t="s">
        <v>33</v>
      </c>
      <c r="D255" s="9">
        <v>-2.2498060512024801E-2</v>
      </c>
      <c r="E255" s="9">
        <v>-2.2498060512024801E-2</v>
      </c>
      <c r="F255" s="9">
        <v>5.9792717983385479E-2</v>
      </c>
      <c r="G255" s="9">
        <v>5.9792717983385479E-2</v>
      </c>
      <c r="H255" s="35">
        <v>-2.2755002993663734E-2</v>
      </c>
    </row>
    <row r="256" spans="2:8" x14ac:dyDescent="0.35">
      <c r="B256" s="6">
        <v>45295</v>
      </c>
      <c r="C256" s="7" t="s">
        <v>33</v>
      </c>
      <c r="D256" s="9">
        <v>1.4172335600907001E-2</v>
      </c>
      <c r="E256" s="9">
        <v>1.4172335600907001E-2</v>
      </c>
      <c r="F256" s="9">
        <v>7.4812456050043386E-2</v>
      </c>
      <c r="G256" s="9">
        <v>7.4812456050043386E-2</v>
      </c>
      <c r="H256" s="35">
        <v>1.4072846941982436E-2</v>
      </c>
    </row>
    <row r="257" spans="2:8" x14ac:dyDescent="0.35">
      <c r="B257" s="6">
        <v>45296</v>
      </c>
      <c r="C257" s="7" t="s">
        <v>33</v>
      </c>
      <c r="D257" s="9">
        <v>-1.6769144773617201E-3</v>
      </c>
      <c r="E257" s="9">
        <v>-1.6769144773617201E-3</v>
      </c>
      <c r="F257" s="9">
        <v>7.3010087482044295E-2</v>
      </c>
      <c r="G257" s="9">
        <v>7.3010087482044295E-2</v>
      </c>
      <c r="H257" s="35">
        <v>-1.6783220722748843E-3</v>
      </c>
    </row>
    <row r="258" spans="2:8" x14ac:dyDescent="0.35">
      <c r="B258" s="6">
        <v>45299</v>
      </c>
      <c r="C258" s="7" t="s">
        <v>33</v>
      </c>
      <c r="D258" s="9">
        <v>4.6136618141097499E-2</v>
      </c>
      <c r="E258" s="9">
        <v>4.6136618141097499E-2</v>
      </c>
      <c r="F258" s="9">
        <v>0.12251514414974918</v>
      </c>
      <c r="G258" s="9">
        <v>0.12251514414974918</v>
      </c>
      <c r="H258" s="35">
        <v>4.5103967191508762E-2</v>
      </c>
    </row>
    <row r="259" spans="2:8" x14ac:dyDescent="0.35">
      <c r="B259" s="6">
        <v>45300</v>
      </c>
      <c r="C259" s="7" t="s">
        <v>33</v>
      </c>
      <c r="D259" s="9">
        <v>1.926782273603E-3</v>
      </c>
      <c r="E259" s="9">
        <v>1.926782273603E-3</v>
      </c>
      <c r="F259" s="9">
        <v>0.12467798643134786</v>
      </c>
      <c r="G259" s="9">
        <v>0.12467798643134786</v>
      </c>
      <c r="H259" s="35">
        <v>1.924928409584418E-3</v>
      </c>
    </row>
    <row r="260" spans="2:8" x14ac:dyDescent="0.35">
      <c r="B260" s="6">
        <v>45301</v>
      </c>
      <c r="C260" s="7" t="s">
        <v>33</v>
      </c>
      <c r="D260" s="9">
        <v>-1.14316239316239E-2</v>
      </c>
      <c r="E260" s="9">
        <v>-1.14316239316239E-2</v>
      </c>
      <c r="F260" s="9">
        <v>0.11182109064628865</v>
      </c>
      <c r="G260" s="9">
        <v>0.11182109064628865</v>
      </c>
      <c r="H260" s="35">
        <v>-1.1497467222607438E-2</v>
      </c>
    </row>
    <row r="261" spans="2:8" x14ac:dyDescent="0.35">
      <c r="B261" s="6">
        <v>45302</v>
      </c>
      <c r="C261" s="7" t="s">
        <v>33</v>
      </c>
      <c r="D261" s="9">
        <v>-2.2263049821679499E-2</v>
      </c>
      <c r="E261" s="9">
        <v>-2.2263049821679499E-2</v>
      </c>
      <c r="F261" s="9">
        <v>8.7068562312436315E-2</v>
      </c>
      <c r="G261" s="9">
        <v>8.7068562312436315E-2</v>
      </c>
      <c r="H261" s="35">
        <v>-2.2514612223288655E-2</v>
      </c>
    </row>
    <row r="262" spans="2:8" x14ac:dyDescent="0.35">
      <c r="B262" s="6">
        <v>45303</v>
      </c>
      <c r="C262" s="7" t="s">
        <v>33</v>
      </c>
      <c r="D262" s="9">
        <v>-5.5266939316897501E-4</v>
      </c>
      <c r="E262" s="9">
        <v>-5.5266939316897501E-4</v>
      </c>
      <c r="F262" s="9">
        <v>8.6467772789770025E-2</v>
      </c>
      <c r="G262" s="9">
        <v>8.6467772789770025E-2</v>
      </c>
      <c r="H262" s="35">
        <v>-5.5282217119116033E-4</v>
      </c>
    </row>
    <row r="263" spans="2:8" x14ac:dyDescent="0.35">
      <c r="B263" s="6">
        <v>45307</v>
      </c>
      <c r="C263" s="7" t="s">
        <v>33</v>
      </c>
      <c r="D263" s="9">
        <v>-1.50409201504092E-2</v>
      </c>
      <c r="E263" s="9">
        <v>-1.50409201504092E-2</v>
      </c>
      <c r="F263" s="9">
        <v>7.0126297773246193E-2</v>
      </c>
      <c r="G263" s="9">
        <v>7.0126297773246193E-2</v>
      </c>
      <c r="H263" s="35">
        <v>-1.5155181972902826E-2</v>
      </c>
    </row>
    <row r="264" spans="2:8" x14ac:dyDescent="0.35">
      <c r="B264" s="6">
        <v>45308</v>
      </c>
      <c r="C264" s="7" t="s">
        <v>33</v>
      </c>
      <c r="D264" s="9">
        <v>-8.0844374578935407E-3</v>
      </c>
      <c r="E264" s="9">
        <v>-8.0844374578935407E-3</v>
      </c>
      <c r="F264" s="9">
        <v>6.1474928646851223E-2</v>
      </c>
      <c r="G264" s="9">
        <v>6.1474928646851223E-2</v>
      </c>
      <c r="H264" s="35">
        <v>-8.117293725175917E-3</v>
      </c>
    </row>
    <row r="265" spans="2:8" x14ac:dyDescent="0.35">
      <c r="B265" s="6">
        <v>45309</v>
      </c>
      <c r="C265" s="7" t="s">
        <v>33</v>
      </c>
      <c r="D265" s="9">
        <v>-1.44894724926421E-2</v>
      </c>
      <c r="E265" s="9">
        <v>-1.44894724926421E-2</v>
      </c>
      <c r="F265" s="9">
        <v>4.6094716866593499E-2</v>
      </c>
      <c r="G265" s="9">
        <v>4.6094716866593499E-2</v>
      </c>
      <c r="H265" s="35">
        <v>-1.4595470044228957E-2</v>
      </c>
    </row>
    <row r="266" spans="2:8" x14ac:dyDescent="0.35">
      <c r="B266" s="6">
        <v>45310</v>
      </c>
      <c r="C266" s="7" t="s">
        <v>33</v>
      </c>
      <c r="D266" s="9">
        <v>-1.14863312657996E-4</v>
      </c>
      <c r="E266" s="9">
        <v>-1.14863312657996E-4</v>
      </c>
      <c r="F266" s="9">
        <v>4.5974558962060152E-2</v>
      </c>
      <c r="G266" s="9">
        <v>4.5974558962060152E-2</v>
      </c>
      <c r="H266" s="35">
        <v>-1.1486990995346936E-4</v>
      </c>
    </row>
    <row r="267" spans="2:8" x14ac:dyDescent="0.35">
      <c r="B267" s="6">
        <v>45313</v>
      </c>
      <c r="C267" s="7" t="s">
        <v>33</v>
      </c>
      <c r="D267" s="9">
        <v>2.2515795519816299E-2</v>
      </c>
      <c r="E267" s="9">
        <v>2.2515795519816299E-2</v>
      </c>
      <c r="F267" s="9">
        <v>6.9525508250579904E-2</v>
      </c>
      <c r="G267" s="9">
        <v>6.9525508250579904E-2</v>
      </c>
      <c r="H267" s="35">
        <v>2.2266056756642186E-2</v>
      </c>
    </row>
    <row r="268" spans="2:8" x14ac:dyDescent="0.35">
      <c r="B268" s="6">
        <v>45314</v>
      </c>
      <c r="C268" s="7" t="s">
        <v>33</v>
      </c>
      <c r="D268" s="9">
        <v>2.4716324008538198E-3</v>
      </c>
      <c r="E268" s="9">
        <v>2.4716324008538198E-3</v>
      </c>
      <c r="F268" s="9">
        <v>7.2168982150311756E-2</v>
      </c>
      <c r="G268" s="9">
        <v>7.2168982150311756E-2</v>
      </c>
      <c r="H268" s="35">
        <v>2.4685829412198932E-3</v>
      </c>
    </row>
    <row r="269" spans="2:8" x14ac:dyDescent="0.35">
      <c r="B269" s="6">
        <v>45315</v>
      </c>
      <c r="C269" s="7" t="s">
        <v>33</v>
      </c>
      <c r="D269" s="9">
        <v>-1.6922559677238699E-2</v>
      </c>
      <c r="E269" s="9">
        <v>-1.6922559677238699E-2</v>
      </c>
      <c r="F269" s="9">
        <v>5.4025138565788833E-2</v>
      </c>
      <c r="G269" s="9">
        <v>5.4025138565788833E-2</v>
      </c>
      <c r="H269" s="35">
        <v>-1.7067382362372679E-2</v>
      </c>
    </row>
    <row r="270" spans="2:8" x14ac:dyDescent="0.35">
      <c r="B270" s="6">
        <v>45316</v>
      </c>
      <c r="C270" s="7" t="s">
        <v>33</v>
      </c>
      <c r="D270" s="9">
        <v>8.8919288645691007E-3</v>
      </c>
      <c r="E270" s="9">
        <v>8.8919288645691007E-3</v>
      </c>
      <c r="F270" s="9">
        <v>6.3397455119383439E-2</v>
      </c>
      <c r="G270" s="9">
        <v>6.3397455119383439E-2</v>
      </c>
      <c r="H270" s="35">
        <v>8.852628464196325E-3</v>
      </c>
    </row>
    <row r="271" spans="2:8" x14ac:dyDescent="0.35">
      <c r="B271" s="6">
        <v>45317</v>
      </c>
      <c r="C271" s="7" t="s">
        <v>33</v>
      </c>
      <c r="D271" s="9">
        <v>-2.9378531073446898E-3</v>
      </c>
      <c r="E271" s="9">
        <v>-2.9378531073446898E-3</v>
      </c>
      <c r="F271" s="9">
        <v>6.0273349601518422E-2</v>
      </c>
      <c r="G271" s="9">
        <v>6.0273349601518422E-2</v>
      </c>
      <c r="H271" s="35">
        <v>-2.9421770686369037E-3</v>
      </c>
    </row>
    <row r="272" spans="2:8" x14ac:dyDescent="0.35">
      <c r="B272" s="6">
        <v>45320</v>
      </c>
      <c r="C272" s="7" t="s">
        <v>33</v>
      </c>
      <c r="D272" s="9">
        <v>2.9011786038078E-2</v>
      </c>
      <c r="E272" s="9">
        <v>2.9011786038078E-2</v>
      </c>
      <c r="F272" s="9">
        <v>9.1033773162034093E-2</v>
      </c>
      <c r="G272" s="9">
        <v>9.1033773162034093E-2</v>
      </c>
      <c r="H272" s="35">
        <v>2.8598910662000689E-2</v>
      </c>
    </row>
    <row r="273" spans="2:8" x14ac:dyDescent="0.35">
      <c r="B273" s="6">
        <v>45321</v>
      </c>
      <c r="C273" s="7" t="s">
        <v>33</v>
      </c>
      <c r="D273" s="9">
        <v>-2.2356828193832601E-2</v>
      </c>
      <c r="E273" s="9">
        <v>-2.2356828193832601E-2</v>
      </c>
      <c r="F273" s="9">
        <v>6.664171854178158E-2</v>
      </c>
      <c r="G273" s="9">
        <v>6.664171854178158E-2</v>
      </c>
      <c r="H273" s="35">
        <v>-2.2610530527019591E-2</v>
      </c>
    </row>
    <row r="274" spans="2:8" x14ac:dyDescent="0.35">
      <c r="B274" s="6">
        <v>45322</v>
      </c>
      <c r="C274" s="7" t="s">
        <v>33</v>
      </c>
      <c r="D274" s="9">
        <v>-1.5095189816379299E-2</v>
      </c>
      <c r="E274" s="9">
        <v>-1.5095189816379299E-2</v>
      </c>
      <c r="F274" s="9">
        <v>5.0540559334324442E-2</v>
      </c>
      <c r="G274" s="9">
        <v>5.0540559334324442E-2</v>
      </c>
      <c r="H274" s="35">
        <v>-1.5210281887428201E-2</v>
      </c>
    </row>
    <row r="275" spans="2:8" x14ac:dyDescent="0.35">
      <c r="B275" s="6">
        <v>45323</v>
      </c>
      <c r="C275" s="7" t="s">
        <v>33</v>
      </c>
      <c r="D275" s="9">
        <v>1.7614091273018301E-2</v>
      </c>
      <c r="E275" s="9">
        <v>1.7614091273018301E-2</v>
      </c>
      <c r="F275" s="9">
        <v>6.9044876632446961E-2</v>
      </c>
      <c r="G275" s="9">
        <v>6.9044876632446961E-2</v>
      </c>
      <c r="H275" s="35">
        <v>1.7460761063876236E-2</v>
      </c>
    </row>
    <row r="276" spans="2:8" x14ac:dyDescent="0.35">
      <c r="B276" s="6">
        <v>45324</v>
      </c>
      <c r="C276" s="7" t="s">
        <v>33</v>
      </c>
      <c r="D276" s="9">
        <v>-1.12397437338429E-2</v>
      </c>
      <c r="E276" s="9">
        <v>-1.12397437338429E-2</v>
      </c>
      <c r="F276" s="9">
        <v>5.7029086179120503E-2</v>
      </c>
      <c r="G276" s="9">
        <v>5.7029086179120503E-2</v>
      </c>
      <c r="H276" s="35">
        <v>-1.1303386992092908E-2</v>
      </c>
    </row>
    <row r="277" spans="2:8" x14ac:dyDescent="0.35">
      <c r="B277" s="6">
        <v>45327</v>
      </c>
      <c r="C277" s="7" t="s">
        <v>33</v>
      </c>
      <c r="D277" s="9">
        <v>5.0017051267477299E-3</v>
      </c>
      <c r="E277" s="9">
        <v>5.0017051267477299E-3</v>
      </c>
      <c r="F277" s="9">
        <v>6.2316033978583985E-2</v>
      </c>
      <c r="G277" s="9">
        <v>6.2316033978583985E-2</v>
      </c>
      <c r="H277" s="35">
        <v>4.9892381531298161E-3</v>
      </c>
    </row>
    <row r="278" spans="2:8" x14ac:dyDescent="0.35">
      <c r="B278" s="6">
        <v>45328</v>
      </c>
      <c r="C278" s="7" t="s">
        <v>33</v>
      </c>
      <c r="D278" s="9">
        <v>1.52697658635902E-2</v>
      </c>
      <c r="E278" s="9">
        <v>1.52697658635902E-2</v>
      </c>
      <c r="F278" s="9">
        <v>7.8537351090574692E-2</v>
      </c>
      <c r="G278" s="9">
        <v>7.8537351090574692E-2</v>
      </c>
      <c r="H278" s="35">
        <v>1.5154356356673346E-2</v>
      </c>
    </row>
    <row r="279" spans="2:8" x14ac:dyDescent="0.35">
      <c r="B279" s="6">
        <v>45329</v>
      </c>
      <c r="C279" s="7" t="s">
        <v>33</v>
      </c>
      <c r="D279" s="9">
        <v>-1.88279857397506E-2</v>
      </c>
      <c r="E279" s="9">
        <v>-1.88279857397506E-2</v>
      </c>
      <c r="F279" s="9">
        <v>5.823066522445286E-2</v>
      </c>
      <c r="G279" s="9">
        <v>5.823066522445286E-2</v>
      </c>
      <c r="H279" s="35">
        <v>-1.9007488957018266E-2</v>
      </c>
    </row>
    <row r="280" spans="2:8" x14ac:dyDescent="0.35">
      <c r="B280" s="6">
        <v>45330</v>
      </c>
      <c r="C280" s="7" t="s">
        <v>33</v>
      </c>
      <c r="D280" s="9">
        <v>1.3057794935846599E-2</v>
      </c>
      <c r="E280" s="9">
        <v>1.3057794935846599E-2</v>
      </c>
      <c r="F280" s="9">
        <v>7.2048824245778187E-2</v>
      </c>
      <c r="G280" s="9">
        <v>7.2048824245778187E-2</v>
      </c>
      <c r="H280" s="35">
        <v>1.2973276882750677E-2</v>
      </c>
    </row>
    <row r="281" spans="2:8" x14ac:dyDescent="0.35">
      <c r="B281" s="6">
        <v>45331</v>
      </c>
      <c r="C281" s="7" t="s">
        <v>33</v>
      </c>
      <c r="D281" s="9">
        <v>2.0399013674064201E-2</v>
      </c>
      <c r="E281" s="9">
        <v>2.0399013674064201E-2</v>
      </c>
      <c r="F281" s="9">
        <v>9.3917562870832194E-2</v>
      </c>
      <c r="G281" s="9">
        <v>9.3917562870832194E-2</v>
      </c>
      <c r="H281" s="35">
        <v>2.0193740677902132E-2</v>
      </c>
    </row>
    <row r="282" spans="2:8" x14ac:dyDescent="0.35">
      <c r="B282" s="6">
        <v>45334</v>
      </c>
      <c r="C282" s="7" t="s">
        <v>33</v>
      </c>
      <c r="D282" s="9">
        <v>2.2627416520210799E-2</v>
      </c>
      <c r="E282" s="9">
        <v>2.2627416520210799E-2</v>
      </c>
      <c r="F282" s="9">
        <v>0.1186700912046843</v>
      </c>
      <c r="G282" s="9">
        <v>0.1186700912046843</v>
      </c>
      <c r="H282" s="35">
        <v>2.2375213905000423E-2</v>
      </c>
    </row>
    <row r="283" spans="2:8" x14ac:dyDescent="0.35">
      <c r="B283" s="6">
        <v>45335</v>
      </c>
      <c r="C283" s="7" t="s">
        <v>33</v>
      </c>
      <c r="D283" s="9">
        <v>-4.7046186895810901E-2</v>
      </c>
      <c r="E283" s="9">
        <v>-4.7046186895810901E-2</v>
      </c>
      <c r="F283" s="9">
        <v>6.6040929019114847E-2</v>
      </c>
      <c r="G283" s="9">
        <v>6.6040929019114847E-2</v>
      </c>
      <c r="H283" s="35">
        <v>-4.8188841240909691E-2</v>
      </c>
    </row>
    <row r="284" spans="2:8" x14ac:dyDescent="0.35">
      <c r="B284" s="6">
        <v>45336</v>
      </c>
      <c r="C284" s="7" t="s">
        <v>33</v>
      </c>
      <c r="D284" s="9">
        <v>2.7276825969341799E-2</v>
      </c>
      <c r="E284" s="9">
        <v>2.7276825969341799E-2</v>
      </c>
      <c r="F284" s="9">
        <v>9.5119141916164773E-2</v>
      </c>
      <c r="G284" s="9">
        <v>9.5119141916164773E-2</v>
      </c>
      <c r="H284" s="35">
        <v>2.6911442793625031E-2</v>
      </c>
    </row>
    <row r="285" spans="2:8" x14ac:dyDescent="0.35">
      <c r="B285" s="6">
        <v>45337</v>
      </c>
      <c r="C285" s="7" t="s">
        <v>33</v>
      </c>
      <c r="D285" s="9">
        <v>2.3370638578011801E-2</v>
      </c>
      <c r="E285" s="9">
        <v>2.3370638578011801E-2</v>
      </c>
      <c r="F285" s="9">
        <v>0.12071277558174986</v>
      </c>
      <c r="G285" s="9">
        <v>0.12071277558174986</v>
      </c>
      <c r="H285" s="35">
        <v>2.3101726903035493E-2</v>
      </c>
    </row>
    <row r="286" spans="2:8" x14ac:dyDescent="0.35">
      <c r="B286" s="6">
        <v>45338</v>
      </c>
      <c r="C286" s="7" t="s">
        <v>33</v>
      </c>
      <c r="D286" s="9">
        <v>-1.2865873271147199E-3</v>
      </c>
      <c r="E286" s="9">
        <v>-1.2865873271147199E-3</v>
      </c>
      <c r="F286" s="9">
        <v>0.11927088072735081</v>
      </c>
      <c r="G286" s="9">
        <v>0.11927088072735081</v>
      </c>
      <c r="H286" s="35">
        <v>-1.2874156911745736E-3</v>
      </c>
    </row>
    <row r="287" spans="2:8" x14ac:dyDescent="0.35">
      <c r="B287" s="6">
        <v>45342</v>
      </c>
      <c r="C287" s="7" t="s">
        <v>33</v>
      </c>
      <c r="D287" s="9">
        <v>-8.2662372517446105E-3</v>
      </c>
      <c r="E287" s="9">
        <v>-8.2662372517446105E-3</v>
      </c>
      <c r="F287" s="9">
        <v>0.11001872207828933</v>
      </c>
      <c r="G287" s="9">
        <v>0.11001872207828933</v>
      </c>
      <c r="H287" s="35">
        <v>-8.3005920451382168E-3</v>
      </c>
    </row>
    <row r="288" spans="2:8" x14ac:dyDescent="0.35">
      <c r="B288" s="6">
        <v>45343</v>
      </c>
      <c r="C288" s="7" t="s">
        <v>33</v>
      </c>
      <c r="D288" s="9">
        <v>9.7423684780259198E-4</v>
      </c>
      <c r="E288" s="9">
        <v>9.7423684780259198E-4</v>
      </c>
      <c r="F288" s="9">
        <v>0.11110014321908857</v>
      </c>
      <c r="G288" s="9">
        <v>0.11110014321908857</v>
      </c>
      <c r="H288" s="35">
        <v>9.7376258708788501E-4</v>
      </c>
    </row>
    <row r="289" spans="2:8" x14ac:dyDescent="0.35">
      <c r="B289" s="6">
        <v>45344</v>
      </c>
      <c r="C289" s="7" t="s">
        <v>33</v>
      </c>
      <c r="D289" s="9">
        <v>1.8168054504163599E-2</v>
      </c>
      <c r="E289" s="9">
        <v>1.8168054504163599E-2</v>
      </c>
      <c r="F289" s="9">
        <v>0.13128667118067683</v>
      </c>
      <c r="G289" s="9">
        <v>0.13128667118067683</v>
      </c>
      <c r="H289" s="35">
        <v>1.8004987513614238E-2</v>
      </c>
    </row>
    <row r="290" spans="2:8" x14ac:dyDescent="0.35">
      <c r="B290" s="6">
        <v>45345</v>
      </c>
      <c r="C290" s="7" t="s">
        <v>33</v>
      </c>
      <c r="D290" s="9">
        <v>6.3728093467869803E-3</v>
      </c>
      <c r="E290" s="9">
        <v>6.3728093467869803E-3</v>
      </c>
      <c r="F290" s="9">
        <v>0.13849614545267253</v>
      </c>
      <c r="G290" s="9">
        <v>0.13849614545267253</v>
      </c>
      <c r="H290" s="35">
        <v>6.3525888593742369E-3</v>
      </c>
    </row>
    <row r="291" spans="2:8" x14ac:dyDescent="0.35">
      <c r="B291" s="6">
        <v>45348</v>
      </c>
      <c r="C291" s="7" t="s">
        <v>33</v>
      </c>
      <c r="D291" s="9">
        <v>2.7335092348285E-2</v>
      </c>
      <c r="E291" s="9">
        <v>2.7335092348285E-2</v>
      </c>
      <c r="F291" s="9">
        <v>0.16961704272678779</v>
      </c>
      <c r="G291" s="9">
        <v>0.16961704272678779</v>
      </c>
      <c r="H291" s="35">
        <v>2.6968160442772462E-2</v>
      </c>
    </row>
    <row r="292" spans="2:8" x14ac:dyDescent="0.35">
      <c r="B292" s="6">
        <v>45349</v>
      </c>
      <c r="C292" s="7" t="s">
        <v>33</v>
      </c>
      <c r="D292" s="9">
        <v>5.7016642695705701E-2</v>
      </c>
      <c r="E292" s="9">
        <v>5.7016642695705701E-2</v>
      </c>
      <c r="F292" s="9">
        <v>0.23630467974274905</v>
      </c>
      <c r="G292" s="9">
        <v>0.23630467974274905</v>
      </c>
      <c r="H292" s="35">
        <v>5.5450451982410567E-2</v>
      </c>
    </row>
    <row r="293" spans="2:8" x14ac:dyDescent="0.35">
      <c r="B293" s="6">
        <v>45350</v>
      </c>
      <c r="C293" s="7" t="s">
        <v>33</v>
      </c>
      <c r="D293" s="9">
        <v>-1.32179998056176E-2</v>
      </c>
      <c r="E293" s="9">
        <v>-1.32179998056176E-2</v>
      </c>
      <c r="F293" s="9">
        <v>0.21996320472622521</v>
      </c>
      <c r="G293" s="9">
        <v>0.21996320472622521</v>
      </c>
      <c r="H293" s="35">
        <v>-1.3306135074587434E-2</v>
      </c>
    </row>
    <row r="294" spans="2:8" x14ac:dyDescent="0.35">
      <c r="B294" s="6">
        <v>45351</v>
      </c>
      <c r="C294" s="7" t="s">
        <v>33</v>
      </c>
      <c r="D294" s="9">
        <v>-3.0631340490495401E-2</v>
      </c>
      <c r="E294" s="9">
        <v>-3.0631340490495401E-2</v>
      </c>
      <c r="F294" s="9">
        <v>0.18259409641638014</v>
      </c>
      <c r="G294" s="9">
        <v>0.18259409641638014</v>
      </c>
      <c r="H294" s="35">
        <v>-3.1110285875299192E-2</v>
      </c>
    </row>
    <row r="295" spans="2:8" x14ac:dyDescent="0.35">
      <c r="B295" s="6">
        <v>45352</v>
      </c>
      <c r="C295" s="7" t="s">
        <v>33</v>
      </c>
      <c r="D295" s="9">
        <v>3.1599268441373701E-2</v>
      </c>
      <c r="E295" s="9">
        <v>3.1599268441373701E-2</v>
      </c>
      <c r="F295" s="9">
        <v>0.21996320472622521</v>
      </c>
      <c r="G295" s="9">
        <v>0.21996320472622521</v>
      </c>
      <c r="H295" s="35">
        <v>3.1110285875299206E-2</v>
      </c>
    </row>
    <row r="296" spans="2:8" x14ac:dyDescent="0.35">
      <c r="B296" s="6">
        <v>45355</v>
      </c>
      <c r="C296" s="7" t="s">
        <v>33</v>
      </c>
      <c r="D296" s="9">
        <v>-7.8794444991627799E-3</v>
      </c>
      <c r="E296" s="9">
        <v>-7.8794444991627799E-3</v>
      </c>
      <c r="F296" s="9">
        <v>0.21035057236356414</v>
      </c>
      <c r="G296" s="9">
        <v>0.21035057236356414</v>
      </c>
      <c r="H296" s="35">
        <v>-7.9106513585415501E-3</v>
      </c>
    </row>
    <row r="297" spans="2:8" x14ac:dyDescent="0.35">
      <c r="B297" s="6">
        <v>45356</v>
      </c>
      <c r="C297" s="7" t="s">
        <v>33</v>
      </c>
      <c r="D297" s="9">
        <v>-1.2607961878288601E-2</v>
      </c>
      <c r="E297" s="9">
        <v>-1.2607961878288601E-2</v>
      </c>
      <c r="F297" s="9">
        <v>0.19509051848783954</v>
      </c>
      <c r="G297" s="9">
        <v>0.19509051848783954</v>
      </c>
      <c r="H297" s="35">
        <v>-1.2688116667997384E-2</v>
      </c>
    </row>
    <row r="298" spans="2:8" x14ac:dyDescent="0.35">
      <c r="B298" s="6">
        <v>45357</v>
      </c>
      <c r="C298" s="7" t="s">
        <v>33</v>
      </c>
      <c r="D298" s="9">
        <v>6.6358335009049996E-3</v>
      </c>
      <c r="E298" s="9">
        <v>6.6358335009049996E-3</v>
      </c>
      <c r="F298" s="9">
        <v>0.20302094018703487</v>
      </c>
      <c r="G298" s="9">
        <v>0.20302094018703487</v>
      </c>
      <c r="H298" s="35">
        <v>6.6139132769810005E-3</v>
      </c>
    </row>
    <row r="299" spans="2:8" x14ac:dyDescent="0.35">
      <c r="B299" s="6">
        <v>45358</v>
      </c>
      <c r="C299" s="7" t="s">
        <v>33</v>
      </c>
      <c r="D299" s="9">
        <v>-1.32840591290451E-2</v>
      </c>
      <c r="E299" s="9">
        <v>-1.32840591290451E-2</v>
      </c>
      <c r="F299" s="9">
        <v>0.18703993888411086</v>
      </c>
      <c r="G299" s="9">
        <v>0.18703993888411086</v>
      </c>
      <c r="H299" s="35">
        <v>-1.3373081507190779E-2</v>
      </c>
    </row>
    <row r="300" spans="2:8" x14ac:dyDescent="0.35">
      <c r="B300" s="6">
        <v>45359</v>
      </c>
      <c r="C300" s="7" t="s">
        <v>33</v>
      </c>
      <c r="D300" s="9">
        <v>1.61959712521507E-3</v>
      </c>
      <c r="E300" s="9">
        <v>1.61959712521507E-3</v>
      </c>
      <c r="F300" s="9">
        <v>0.18896246535664307</v>
      </c>
      <c r="G300" s="9">
        <v>0.18896246535664307</v>
      </c>
      <c r="H300" s="35">
        <v>1.6182869921921137E-3</v>
      </c>
    </row>
    <row r="301" spans="2:8" x14ac:dyDescent="0.35">
      <c r="B301" s="6">
        <v>45362</v>
      </c>
      <c r="C301" s="7" t="s">
        <v>33</v>
      </c>
      <c r="D301" s="9">
        <v>-2.1424962102071801E-2</v>
      </c>
      <c r="E301" s="9">
        <v>-2.1424962102071801E-2</v>
      </c>
      <c r="F301" s="9">
        <v>0.16348898959559111</v>
      </c>
      <c r="G301" s="9">
        <v>0.16348898959559111</v>
      </c>
      <c r="H301" s="35">
        <v>-2.1657808425135028E-2</v>
      </c>
    </row>
    <row r="302" spans="2:8" x14ac:dyDescent="0.35">
      <c r="B302" s="6">
        <v>45363</v>
      </c>
      <c r="C302" s="7" t="s">
        <v>33</v>
      </c>
      <c r="D302" s="9">
        <v>-6.5062480636165999E-3</v>
      </c>
      <c r="E302" s="9">
        <v>-6.5062480636165999E-3</v>
      </c>
      <c r="F302" s="9">
        <v>0.15591904160999559</v>
      </c>
      <c r="G302" s="9">
        <v>0.15591904160999559</v>
      </c>
      <c r="H302" s="35">
        <v>-6.5275059517788349E-3</v>
      </c>
    </row>
    <row r="303" spans="2:8" x14ac:dyDescent="0.35">
      <c r="B303" s="6">
        <v>45364</v>
      </c>
      <c r="C303" s="7" t="s">
        <v>33</v>
      </c>
      <c r="D303" s="9">
        <v>9.3555093555092693E-3</v>
      </c>
      <c r="E303" s="9">
        <v>9.3555093555092693E-3</v>
      </c>
      <c r="F303" s="9">
        <v>0.16673325301798925</v>
      </c>
      <c r="G303" s="9">
        <v>0.16673325301798925</v>
      </c>
      <c r="H303" s="35">
        <v>9.3120176256183945E-3</v>
      </c>
    </row>
    <row r="304" spans="2:8" x14ac:dyDescent="0.35">
      <c r="B304" s="6">
        <v>45365</v>
      </c>
      <c r="C304" s="7" t="s">
        <v>33</v>
      </c>
      <c r="D304" s="9">
        <v>-2.7291452111225498E-2</v>
      </c>
      <c r="E304" s="9">
        <v>-2.7291452111225498E-2</v>
      </c>
      <c r="F304" s="9">
        <v>0.13489140831667434</v>
      </c>
      <c r="G304" s="9">
        <v>0.13489140831667434</v>
      </c>
      <c r="H304" s="35">
        <v>-2.7670781349760649E-2</v>
      </c>
    </row>
    <row r="305" spans="2:8" x14ac:dyDescent="0.35">
      <c r="B305" s="6">
        <v>45366</v>
      </c>
      <c r="C305" s="7" t="s">
        <v>33</v>
      </c>
      <c r="D305" s="9">
        <v>2.7527792482794199E-3</v>
      </c>
      <c r="E305" s="9">
        <v>2.7527792482794199E-3</v>
      </c>
      <c r="F305" s="9">
        <v>0.13801551383453892</v>
      </c>
      <c r="G305" s="9">
        <v>0.13801551383453892</v>
      </c>
      <c r="H305" s="35">
        <v>2.7489972904912296E-3</v>
      </c>
    </row>
    <row r="306" spans="2:8" x14ac:dyDescent="0.35">
      <c r="B306" s="6">
        <v>45369</v>
      </c>
      <c r="C306" s="7" t="s">
        <v>33</v>
      </c>
      <c r="D306" s="9">
        <v>-1.8583042973286799E-2</v>
      </c>
      <c r="E306" s="9">
        <v>-1.8583042973286799E-2</v>
      </c>
      <c r="F306" s="9">
        <v>0.11686772263668455</v>
      </c>
      <c r="G306" s="9">
        <v>0.11686772263668455</v>
      </c>
      <c r="H306" s="35">
        <v>-1.875787707055691E-2</v>
      </c>
    </row>
    <row r="307" spans="2:8" x14ac:dyDescent="0.35">
      <c r="B307" s="6">
        <v>45370</v>
      </c>
      <c r="C307" s="7" t="s">
        <v>33</v>
      </c>
      <c r="D307" s="9">
        <v>9.6826250672403594E-3</v>
      </c>
      <c r="E307" s="9">
        <v>9.6826250672403594E-3</v>
      </c>
      <c r="F307" s="9">
        <v>0.1276819340446782</v>
      </c>
      <c r="G307" s="9">
        <v>0.1276819340446782</v>
      </c>
      <c r="H307" s="35">
        <v>9.6360488650647311E-3</v>
      </c>
    </row>
    <row r="308" spans="2:8" x14ac:dyDescent="0.35">
      <c r="B308" s="6">
        <v>45371</v>
      </c>
      <c r="C308" s="7" t="s">
        <v>33</v>
      </c>
      <c r="D308" s="9">
        <v>1.39584443260522E-2</v>
      </c>
      <c r="E308" s="9">
        <v>1.39584443260522E-2</v>
      </c>
      <c r="F308" s="9">
        <v>0.14342261953853552</v>
      </c>
      <c r="G308" s="9">
        <v>0.14342261953853552</v>
      </c>
      <c r="H308" s="35">
        <v>1.386192240223898E-2</v>
      </c>
    </row>
    <row r="309" spans="2:8" x14ac:dyDescent="0.35">
      <c r="B309" s="6">
        <v>45372</v>
      </c>
      <c r="C309" s="7" t="s">
        <v>33</v>
      </c>
      <c r="D309" s="9">
        <v>4.2034468263982998E-4</v>
      </c>
      <c r="E309" s="9">
        <v>4.2034468263982998E-4</v>
      </c>
      <c r="F309" s="9">
        <v>0.14390325115666869</v>
      </c>
      <c r="G309" s="9">
        <v>0.14390325115666869</v>
      </c>
      <c r="H309" s="35">
        <v>4.2025636256278842E-4</v>
      </c>
    </row>
    <row r="310" spans="2:8" x14ac:dyDescent="0.35">
      <c r="B310" s="6">
        <v>45373</v>
      </c>
      <c r="C310" s="7" t="s">
        <v>33</v>
      </c>
      <c r="D310" s="9">
        <v>-1.7226890756302501E-2</v>
      </c>
      <c r="E310" s="9">
        <v>-1.7226890756302501E-2</v>
      </c>
      <c r="F310" s="9">
        <v>0.12419735481321359</v>
      </c>
      <c r="G310" s="9">
        <v>0.12419735481321359</v>
      </c>
      <c r="H310" s="35">
        <v>-1.7377000081341291E-2</v>
      </c>
    </row>
    <row r="311" spans="2:8" x14ac:dyDescent="0.35">
      <c r="B311" s="6">
        <v>45376</v>
      </c>
      <c r="C311" s="7" t="s">
        <v>33</v>
      </c>
      <c r="D311" s="9">
        <v>-9.5126122274476303E-3</v>
      </c>
      <c r="E311" s="9">
        <v>-9.5126122274476303E-3</v>
      </c>
      <c r="F311" s="9">
        <v>0.11350330130975328</v>
      </c>
      <c r="G311" s="9">
        <v>0.11350330130975328</v>
      </c>
      <c r="H311" s="35">
        <v>-9.5581461173782113E-3</v>
      </c>
    </row>
    <row r="312" spans="2:8" x14ac:dyDescent="0.35">
      <c r="B312" s="6">
        <v>45377</v>
      </c>
      <c r="C312" s="7" t="s">
        <v>33</v>
      </c>
      <c r="D312" s="9">
        <v>2.1581957483539501E-4</v>
      </c>
      <c r="E312" s="9">
        <v>2.1581957483539501E-4</v>
      </c>
      <c r="F312" s="9">
        <v>0.11374361711881975</v>
      </c>
      <c r="G312" s="9">
        <v>0.11374361711881975</v>
      </c>
      <c r="H312" s="35">
        <v>2.1579628914124524E-4</v>
      </c>
    </row>
    <row r="313" spans="2:8" x14ac:dyDescent="0.35">
      <c r="B313" s="6">
        <v>45378</v>
      </c>
      <c r="C313" s="7" t="s">
        <v>33</v>
      </c>
      <c r="D313" s="9">
        <v>2.3950803754450301E-2</v>
      </c>
      <c r="E313" s="9">
        <v>2.3950803754450301E-2</v>
      </c>
      <c r="F313" s="9">
        <v>0.14041867192520407</v>
      </c>
      <c r="G313" s="9">
        <v>0.14041867192520407</v>
      </c>
      <c r="H313" s="35">
        <v>2.3668482254659451E-2</v>
      </c>
    </row>
    <row r="314" spans="2:8" x14ac:dyDescent="0.35">
      <c r="B314" s="6">
        <v>45379</v>
      </c>
      <c r="C314" s="7" t="s">
        <v>33</v>
      </c>
      <c r="D314" s="9">
        <v>-2.1072595090081199E-4</v>
      </c>
      <c r="E314" s="9">
        <v>-2.1072595090081199E-4</v>
      </c>
      <c r="F314" s="9">
        <v>0.1401783561161376</v>
      </c>
      <c r="G314" s="9">
        <v>0.1401783561161376</v>
      </c>
      <c r="H314" s="35">
        <v>-2.1074815673357953E-4</v>
      </c>
    </row>
    <row r="315" spans="2:8" x14ac:dyDescent="0.35">
      <c r="B315" s="6">
        <v>45383</v>
      </c>
      <c r="C315" s="7" t="s">
        <v>33</v>
      </c>
      <c r="D315" s="9">
        <v>-1.0960059015702499E-2</v>
      </c>
      <c r="E315" s="9">
        <v>-1.0960059015702499E-2</v>
      </c>
      <c r="F315" s="9">
        <v>0.12768193404467798</v>
      </c>
      <c r="G315" s="9">
        <v>0.12768193404467798</v>
      </c>
      <c r="H315" s="35">
        <v>-1.1020562953149465E-2</v>
      </c>
    </row>
    <row r="316" spans="2:8" x14ac:dyDescent="0.35">
      <c r="B316" s="6">
        <v>45384</v>
      </c>
      <c r="C316" s="7" t="s">
        <v>33</v>
      </c>
      <c r="D316" s="9">
        <v>-3.3777304208843797E-2</v>
      </c>
      <c r="E316" s="9">
        <v>-3.3777304208843797E-2</v>
      </c>
      <c r="F316" s="9">
        <v>8.9591878307633488E-2</v>
      </c>
      <c r="G316" s="9">
        <v>8.9591878307633488E-2</v>
      </c>
      <c r="H316" s="35">
        <v>-3.4360937393189517E-2</v>
      </c>
    </row>
    <row r="317" spans="2:8" x14ac:dyDescent="0.35">
      <c r="B317" s="6">
        <v>45385</v>
      </c>
      <c r="C317" s="7" t="s">
        <v>33</v>
      </c>
      <c r="D317" s="9">
        <v>3.9700044111160102E-3</v>
      </c>
      <c r="E317" s="9">
        <v>3.9700044111160102E-3</v>
      </c>
      <c r="F317" s="9">
        <v>9.3917562870830862E-2</v>
      </c>
      <c r="G317" s="9">
        <v>9.3917562870830862E-2</v>
      </c>
      <c r="H317" s="35">
        <v>3.9621447386924795E-3</v>
      </c>
    </row>
    <row r="318" spans="2:8" x14ac:dyDescent="0.35">
      <c r="B318" s="6">
        <v>45386</v>
      </c>
      <c r="C318" s="7" t="s">
        <v>33</v>
      </c>
      <c r="D318" s="9">
        <v>-1.7025483304042299E-2</v>
      </c>
      <c r="E318" s="9">
        <v>-1.7025483304042299E-2</v>
      </c>
      <c r="F318" s="9">
        <v>7.5293087668174996E-2</v>
      </c>
      <c r="G318" s="9">
        <v>7.5293087668174996E-2</v>
      </c>
      <c r="H318" s="35">
        <v>-1.7172083183254073E-2</v>
      </c>
    </row>
    <row r="319" spans="2:8" x14ac:dyDescent="0.35">
      <c r="B319" s="6">
        <v>45387</v>
      </c>
      <c r="C319" s="7" t="s">
        <v>33</v>
      </c>
      <c r="D319" s="9">
        <v>7.7103586992961397E-3</v>
      </c>
      <c r="E319" s="9">
        <v>7.7103586992961397E-3</v>
      </c>
      <c r="F319" s="9">
        <v>8.358398308097037E-2</v>
      </c>
      <c r="G319" s="9">
        <v>8.358398308097037E-2</v>
      </c>
      <c r="H319" s="35">
        <v>7.6807857981714195E-3</v>
      </c>
    </row>
    <row r="320" spans="2:8" x14ac:dyDescent="0.35">
      <c r="B320" s="6">
        <v>45390</v>
      </c>
      <c r="C320" s="7" t="s">
        <v>33</v>
      </c>
      <c r="D320" s="9">
        <v>2.4395653138168001E-3</v>
      </c>
      <c r="E320" s="9">
        <v>2.4395653138168001E-3</v>
      </c>
      <c r="F320" s="9">
        <v>8.6227456980702E-2</v>
      </c>
      <c r="G320" s="9">
        <v>8.6227456980702E-2</v>
      </c>
      <c r="H320" s="35">
        <v>2.4365944051926067E-3</v>
      </c>
    </row>
    <row r="321" spans="2:8" x14ac:dyDescent="0.35">
      <c r="B321" s="6">
        <v>45391</v>
      </c>
      <c r="C321" s="7" t="s">
        <v>33</v>
      </c>
      <c r="D321" s="9">
        <v>1.3716814159292001E-2</v>
      </c>
      <c r="E321" s="9">
        <v>1.3716814159292001E-2</v>
      </c>
      <c r="F321" s="9">
        <v>0.10112703714282678</v>
      </c>
      <c r="G321" s="9">
        <v>0.10112703714282678</v>
      </c>
      <c r="H321" s="35">
        <v>1.362359018716397E-2</v>
      </c>
    </row>
    <row r="322" spans="2:8" x14ac:dyDescent="0.35">
      <c r="B322" s="6">
        <v>45392</v>
      </c>
      <c r="C322" s="7" t="s">
        <v>33</v>
      </c>
      <c r="D322" s="9">
        <v>-1.84417285028372E-2</v>
      </c>
      <c r="E322" s="9">
        <v>-1.84417285028372E-2</v>
      </c>
      <c r="F322" s="9">
        <v>8.0820351276705171E-2</v>
      </c>
      <c r="G322" s="9">
        <v>8.0820351276705171E-2</v>
      </c>
      <c r="H322" s="35">
        <v>-1.8613897188752681E-2</v>
      </c>
    </row>
    <row r="323" spans="2:8" x14ac:dyDescent="0.35">
      <c r="B323" s="6">
        <v>45393</v>
      </c>
      <c r="C323" s="7" t="s">
        <v>33</v>
      </c>
      <c r="D323" s="9">
        <v>1.4785992217898799E-2</v>
      </c>
      <c r="E323" s="9">
        <v>1.4785992217898799E-2</v>
      </c>
      <c r="F323" s="9">
        <v>9.6801352579629185E-2</v>
      </c>
      <c r="G323" s="9">
        <v>9.6801352579629185E-2</v>
      </c>
      <c r="H323" s="35">
        <v>1.4677745157278037E-2</v>
      </c>
    </row>
    <row r="324" spans="2:8" x14ac:dyDescent="0.35">
      <c r="B324" s="6">
        <v>45394</v>
      </c>
      <c r="C324" s="7" t="s">
        <v>33</v>
      </c>
      <c r="D324" s="9">
        <v>-3.4290096406660801E-2</v>
      </c>
      <c r="E324" s="9">
        <v>-3.4290096406660801E-2</v>
      </c>
      <c r="F324" s="9">
        <v>5.9191928460717635E-2</v>
      </c>
      <c r="G324" s="9">
        <v>5.9191928460717635E-2</v>
      </c>
      <c r="H324" s="35">
        <v>-3.4891796709940949E-2</v>
      </c>
    </row>
    <row r="325" spans="2:8" x14ac:dyDescent="0.35">
      <c r="B325" s="6">
        <v>45397</v>
      </c>
      <c r="C325" s="7" t="s">
        <v>33</v>
      </c>
      <c r="D325" s="9">
        <v>-2.0419739081111901E-2</v>
      </c>
      <c r="E325" s="9">
        <v>-2.0419739081111901E-2</v>
      </c>
      <c r="F325" s="9">
        <v>3.75635056447301E-2</v>
      </c>
      <c r="G325" s="9">
        <v>3.75635056447301E-2</v>
      </c>
      <c r="H325" s="35">
        <v>-2.0631104251191832E-2</v>
      </c>
    </row>
    <row r="326" spans="2:8" x14ac:dyDescent="0.35">
      <c r="B326" s="6">
        <v>45398</v>
      </c>
      <c r="C326" s="7" t="s">
        <v>33</v>
      </c>
      <c r="D326" s="9">
        <v>-8.5697741748696592E-3</v>
      </c>
      <c r="E326" s="9">
        <v>-8.5697741748696592E-3</v>
      </c>
      <c r="F326" s="9">
        <v>2.8671820709268658E-2</v>
      </c>
      <c r="G326" s="9">
        <v>2.8671820709268658E-2</v>
      </c>
      <c r="H326" s="35">
        <v>-8.6067058382933038E-3</v>
      </c>
    </row>
    <row r="327" spans="2:8" x14ac:dyDescent="0.35">
      <c r="B327" s="6">
        <v>45399</v>
      </c>
      <c r="C327" s="7" t="s">
        <v>33</v>
      </c>
      <c r="D327" s="9">
        <v>-1.1213643265973501E-2</v>
      </c>
      <c r="E327" s="9">
        <v>-1.1213643265973501E-2</v>
      </c>
      <c r="F327" s="9">
        <v>1.7136661874075365E-2</v>
      </c>
      <c r="G327" s="9">
        <v>1.7136661874075365E-2</v>
      </c>
      <c r="H327" s="35">
        <v>-1.1276990175249885E-2</v>
      </c>
    </row>
    <row r="328" spans="2:8" x14ac:dyDescent="0.35">
      <c r="B328" s="6">
        <v>45400</v>
      </c>
      <c r="C328" s="7" t="s">
        <v>33</v>
      </c>
      <c r="D328" s="9">
        <v>-1.38216184288246E-2</v>
      </c>
      <c r="E328" s="9">
        <v>-1.38216184288246E-2</v>
      </c>
      <c r="F328" s="9">
        <v>3.0781870436835668E-3</v>
      </c>
      <c r="G328" s="9">
        <v>3.0781870436835668E-3</v>
      </c>
      <c r="H328" s="35">
        <v>-1.3918026370144318E-2</v>
      </c>
    </row>
    <row r="329" spans="2:8" x14ac:dyDescent="0.35">
      <c r="B329" s="6">
        <v>45401</v>
      </c>
      <c r="C329" s="7" t="s">
        <v>33</v>
      </c>
      <c r="D329" s="9">
        <v>-7.7862961188309302E-3</v>
      </c>
      <c r="E329" s="9">
        <v>-7.7862961188309302E-3</v>
      </c>
      <c r="F329" s="9">
        <v>-4.7320767509786421E-3</v>
      </c>
      <c r="G329" s="9">
        <v>-4.7320767509786421E-3</v>
      </c>
      <c r="H329" s="35">
        <v>-7.8167675988273597E-3</v>
      </c>
    </row>
    <row r="330" spans="2:8" x14ac:dyDescent="0.35">
      <c r="B330" s="6">
        <v>45404</v>
      </c>
      <c r="C330" s="7" t="s">
        <v>33</v>
      </c>
      <c r="D330" s="9">
        <v>1.1107086804298E-2</v>
      </c>
      <c r="E330" s="9">
        <v>1.1107086804298E-2</v>
      </c>
      <c r="F330" s="9">
        <v>6.3224504660814862E-3</v>
      </c>
      <c r="G330" s="9">
        <v>6.3224504660814862E-3</v>
      </c>
      <c r="H330" s="35">
        <v>1.1045856095003052E-2</v>
      </c>
    </row>
    <row r="331" spans="2:8" x14ac:dyDescent="0.35">
      <c r="B331" s="6">
        <v>45405</v>
      </c>
      <c r="C331" s="7" t="s">
        <v>33</v>
      </c>
      <c r="D331" s="9">
        <v>1.12238805970149E-2</v>
      </c>
      <c r="E331" s="9">
        <v>1.12238805970149E-2</v>
      </c>
      <c r="F331" s="9">
        <v>1.7617293492208086E-2</v>
      </c>
      <c r="G331" s="9">
        <v>1.7617293492208086E-2</v>
      </c>
      <c r="H331" s="35">
        <v>1.1161360228331755E-2</v>
      </c>
    </row>
    <row r="332" spans="2:8" x14ac:dyDescent="0.35">
      <c r="B332" s="6">
        <v>45406</v>
      </c>
      <c r="C332" s="7" t="s">
        <v>33</v>
      </c>
      <c r="D332" s="9">
        <v>-8.8558271342543404E-3</v>
      </c>
      <c r="E332" s="9">
        <v>-8.8558271342543404E-3</v>
      </c>
      <c r="F332" s="9">
        <v>8.6054506522132979E-3</v>
      </c>
      <c r="G332" s="9">
        <v>8.6054506522132979E-3</v>
      </c>
      <c r="H332" s="35">
        <v>-8.8952730280628702E-3</v>
      </c>
    </row>
    <row r="333" spans="2:8" x14ac:dyDescent="0.35">
      <c r="B333" s="6">
        <v>45407</v>
      </c>
      <c r="C333" s="7" t="s">
        <v>33</v>
      </c>
      <c r="D333" s="9">
        <v>-2.0490826781034099E-2</v>
      </c>
      <c r="E333" s="9">
        <v>-2.0490826781034099E-2</v>
      </c>
      <c r="F333" s="9">
        <v>-1.2061708927508019E-2</v>
      </c>
      <c r="G333" s="9">
        <v>-1.2061708927508019E-2</v>
      </c>
      <c r="H333" s="35">
        <v>-2.0703676435712474E-2</v>
      </c>
    </row>
    <row r="334" spans="2:8" x14ac:dyDescent="0.35">
      <c r="B334" s="6">
        <v>45408</v>
      </c>
      <c r="C334" s="7" t="s">
        <v>33</v>
      </c>
      <c r="D334" s="9">
        <v>1.54463634152274E-2</v>
      </c>
      <c r="E334" s="9">
        <v>1.54463634152274E-2</v>
      </c>
      <c r="F334" s="9">
        <v>3.1983449482162474E-3</v>
      </c>
      <c r="G334" s="9">
        <v>3.1983449482162474E-3</v>
      </c>
      <c r="H334" s="35">
        <v>1.5328282736176629E-2</v>
      </c>
    </row>
    <row r="335" spans="2:8" x14ac:dyDescent="0.35">
      <c r="B335" s="6">
        <v>45411</v>
      </c>
      <c r="C335" s="7" t="s">
        <v>33</v>
      </c>
      <c r="D335" s="9">
        <v>2.43142891364235E-2</v>
      </c>
      <c r="E335" s="9">
        <v>2.43142891364235E-2</v>
      </c>
      <c r="F335" s="9">
        <v>2.7590399568468538E-2</v>
      </c>
      <c r="G335" s="9">
        <v>2.7590399568468538E-2</v>
      </c>
      <c r="H335" s="35">
        <v>2.402340251088058E-2</v>
      </c>
    </row>
    <row r="336" spans="2:8" x14ac:dyDescent="0.35">
      <c r="B336" s="6">
        <v>45412</v>
      </c>
      <c r="C336" s="7" t="s">
        <v>33</v>
      </c>
      <c r="D336" s="9">
        <v>-1.0523854069223499E-2</v>
      </c>
      <c r="E336" s="9">
        <v>-1.0523854069223499E-2</v>
      </c>
      <c r="F336" s="9">
        <v>1.6776188160474881E-2</v>
      </c>
      <c r="G336" s="9">
        <v>1.6776188160474881E-2</v>
      </c>
      <c r="H336" s="35">
        <v>-1.057962142486831E-2</v>
      </c>
    </row>
    <row r="337" spans="2:8" x14ac:dyDescent="0.35">
      <c r="B337" s="6">
        <v>45413</v>
      </c>
      <c r="C337" s="7" t="s">
        <v>33</v>
      </c>
      <c r="D337" s="9">
        <v>3.20255258804064E-2</v>
      </c>
      <c r="E337" s="9">
        <v>3.20255258804064E-2</v>
      </c>
      <c r="F337" s="9">
        <v>4.9338980288988976E-2</v>
      </c>
      <c r="G337" s="9">
        <v>4.9338980288988976E-2</v>
      </c>
      <c r="H337" s="35">
        <v>3.1523401133719917E-2</v>
      </c>
    </row>
    <row r="338" spans="2:8" x14ac:dyDescent="0.35">
      <c r="B338" s="6">
        <v>45414</v>
      </c>
      <c r="C338" s="7" t="s">
        <v>33</v>
      </c>
      <c r="D338" s="9">
        <v>1.15653269208749E-2</v>
      </c>
      <c r="E338" s="9">
        <v>1.15653269208749E-2</v>
      </c>
      <c r="F338" s="9">
        <v>6.1474928646848559E-2</v>
      </c>
      <c r="G338" s="9">
        <v>6.1474928646848559E-2</v>
      </c>
      <c r="H338" s="35">
        <v>1.1498959742738875E-2</v>
      </c>
    </row>
    <row r="339" spans="2:8" x14ac:dyDescent="0.35">
      <c r="B339" s="6">
        <v>45415</v>
      </c>
      <c r="C339" s="7" t="s">
        <v>33</v>
      </c>
      <c r="D339" s="9">
        <v>1.8564636631197701E-2</v>
      </c>
      <c r="E339" s="9">
        <v>1.8564636631197701E-2</v>
      </c>
      <c r="F339" s="9">
        <v>8.1180824990303879E-2</v>
      </c>
      <c r="G339" s="9">
        <v>8.1180824990303879E-2</v>
      </c>
      <c r="H339" s="35">
        <v>1.8394417244645963E-2</v>
      </c>
    </row>
    <row r="340" spans="2:8" x14ac:dyDescent="0.35">
      <c r="B340" s="6">
        <v>45418</v>
      </c>
      <c r="C340" s="7" t="s">
        <v>33</v>
      </c>
      <c r="D340" s="9">
        <v>6.6681484774393698E-3</v>
      </c>
      <c r="E340" s="9">
        <v>6.6681484774393698E-3</v>
      </c>
      <c r="F340" s="9">
        <v>8.8390299262299576E-2</v>
      </c>
      <c r="G340" s="9">
        <v>8.8390299262299576E-2</v>
      </c>
      <c r="H340" s="35">
        <v>6.6460147150415004E-3</v>
      </c>
    </row>
    <row r="341" spans="2:8" x14ac:dyDescent="0.35">
      <c r="B341" s="6">
        <v>45419</v>
      </c>
      <c r="C341" s="7" t="s">
        <v>33</v>
      </c>
      <c r="D341" s="9">
        <v>-1.6559947008168601E-3</v>
      </c>
      <c r="E341" s="9">
        <v>-1.6559947008168601E-3</v>
      </c>
      <c r="F341" s="9">
        <v>8.6587930694300708E-2</v>
      </c>
      <c r="G341" s="9">
        <v>8.6587930694300708E-2</v>
      </c>
      <c r="H341" s="35">
        <v>-1.6573673756789769E-3</v>
      </c>
    </row>
    <row r="342" spans="2:8" x14ac:dyDescent="0.35">
      <c r="B342" s="6">
        <v>45420</v>
      </c>
      <c r="C342" s="7" t="s">
        <v>33</v>
      </c>
      <c r="D342" s="9">
        <v>-1.4596925798960599E-2</v>
      </c>
      <c r="E342" s="9">
        <v>-1.4596925798960599E-2</v>
      </c>
      <c r="F342" s="9">
        <v>7.0727087295909818E-2</v>
      </c>
      <c r="G342" s="9">
        <v>7.0727087295909818E-2</v>
      </c>
      <c r="H342" s="35">
        <v>-1.4704509127760343E-2</v>
      </c>
    </row>
    <row r="343" spans="2:8" x14ac:dyDescent="0.35">
      <c r="B343" s="6">
        <v>45421</v>
      </c>
      <c r="C343" s="7" t="s">
        <v>33</v>
      </c>
      <c r="D343" s="9">
        <v>-1.4588710582425701E-3</v>
      </c>
      <c r="E343" s="9">
        <v>-1.4588710582425701E-3</v>
      </c>
      <c r="F343" s="9">
        <v>6.9165034536977421E-2</v>
      </c>
      <c r="G343" s="9">
        <v>6.9165034536977421E-2</v>
      </c>
      <c r="H343" s="35">
        <v>-1.4599362467327128E-3</v>
      </c>
    </row>
    <row r="344" spans="2:8" x14ac:dyDescent="0.35">
      <c r="B344" s="6">
        <v>45422</v>
      </c>
      <c r="C344" s="7" t="s">
        <v>33</v>
      </c>
      <c r="D344" s="9">
        <v>-9.4403236682400905E-3</v>
      </c>
      <c r="E344" s="9">
        <v>-9.4403236682400905E-3</v>
      </c>
      <c r="F344" s="9">
        <v>5.9071770556183179E-2</v>
      </c>
      <c r="G344" s="9">
        <v>5.9071770556183179E-2</v>
      </c>
      <c r="H344" s="35">
        <v>-9.4851659640548397E-3</v>
      </c>
    </row>
    <row r="345" spans="2:8" x14ac:dyDescent="0.35">
      <c r="B345" s="6">
        <v>45425</v>
      </c>
      <c r="C345" s="7" t="s">
        <v>33</v>
      </c>
      <c r="D345" s="9">
        <v>1.9741320626276301E-2</v>
      </c>
      <c r="E345" s="9">
        <v>1.9741320626276301E-2</v>
      </c>
      <c r="F345" s="9">
        <v>7.9979245944970856E-2</v>
      </c>
      <c r="G345" s="9">
        <v>7.9979245944970856E-2</v>
      </c>
      <c r="H345" s="35">
        <v>1.9548987903287313E-2</v>
      </c>
    </row>
    <row r="346" spans="2:8" x14ac:dyDescent="0.35">
      <c r="B346" s="6">
        <v>45426</v>
      </c>
      <c r="C346" s="7" t="s">
        <v>33</v>
      </c>
      <c r="D346" s="9">
        <v>1.00133511348465E-2</v>
      </c>
      <c r="E346" s="9">
        <v>1.00133511348465E-2</v>
      </c>
      <c r="F346" s="9">
        <v>9.0793457352964735E-2</v>
      </c>
      <c r="G346" s="9">
        <v>9.0793457352964735E-2</v>
      </c>
      <c r="H346" s="35">
        <v>9.9635497111912504E-3</v>
      </c>
    </row>
    <row r="347" spans="2:8" x14ac:dyDescent="0.35">
      <c r="B347" s="6">
        <v>45427</v>
      </c>
      <c r="C347" s="7" t="s">
        <v>33</v>
      </c>
      <c r="D347" s="9">
        <v>2.0158625247851902E-2</v>
      </c>
      <c r="E347" s="9">
        <v>2.0158625247851902E-2</v>
      </c>
      <c r="F347" s="9">
        <v>0.11278235388255187</v>
      </c>
      <c r="G347" s="9">
        <v>0.11278235388255187</v>
      </c>
      <c r="H347" s="35">
        <v>1.9958130153857959E-2</v>
      </c>
    </row>
    <row r="348" spans="2:8" x14ac:dyDescent="0.35">
      <c r="B348" s="6">
        <v>45428</v>
      </c>
      <c r="C348" s="7" t="s">
        <v>33</v>
      </c>
      <c r="D348" s="9">
        <v>-2.1595939963282599E-4</v>
      </c>
      <c r="E348" s="9">
        <v>-2.1595939963282599E-4</v>
      </c>
      <c r="F348" s="9">
        <v>0.1125420380734854</v>
      </c>
      <c r="G348" s="9">
        <v>0.1125420380734854</v>
      </c>
      <c r="H348" s="35">
        <v>-2.159827222218415E-4</v>
      </c>
    </row>
    <row r="349" spans="2:8" x14ac:dyDescent="0.35">
      <c r="B349" s="6">
        <v>45429</v>
      </c>
      <c r="C349" s="7" t="s">
        <v>33</v>
      </c>
      <c r="D349" s="9">
        <v>-1.5228426395939E-2</v>
      </c>
      <c r="E349" s="9">
        <v>-1.5228426395939E-2</v>
      </c>
      <c r="F349" s="9">
        <v>9.5599773534295274E-2</v>
      </c>
      <c r="G349" s="9">
        <v>9.5599773534295274E-2</v>
      </c>
      <c r="H349" s="35">
        <v>-1.5345569674660308E-2</v>
      </c>
    </row>
    <row r="350" spans="2:8" x14ac:dyDescent="0.35">
      <c r="B350" s="6">
        <v>45432</v>
      </c>
      <c r="C350" s="7" t="s">
        <v>33</v>
      </c>
      <c r="D350" s="9">
        <v>1.19543759596402E-2</v>
      </c>
      <c r="E350" s="9">
        <v>1.19543759596402E-2</v>
      </c>
      <c r="F350" s="9">
        <v>0.10869698512842074</v>
      </c>
      <c r="G350" s="9">
        <v>0.10869698512842074</v>
      </c>
      <c r="H350" s="35">
        <v>1.1883486805168949E-2</v>
      </c>
    </row>
    <row r="351" spans="2:8" x14ac:dyDescent="0.35">
      <c r="B351" s="6">
        <v>45433</v>
      </c>
      <c r="C351" s="7" t="s">
        <v>33</v>
      </c>
      <c r="D351" s="9">
        <v>-7.5864311260431701E-3</v>
      </c>
      <c r="E351" s="9">
        <v>-7.5864311260431701E-3</v>
      </c>
      <c r="F351" s="9">
        <v>0.10028593181109224</v>
      </c>
      <c r="G351" s="9">
        <v>0.10028593181109224</v>
      </c>
      <c r="H351" s="35">
        <v>-7.6153544708237372E-3</v>
      </c>
    </row>
    <row r="352" spans="2:8" x14ac:dyDescent="0.35">
      <c r="B352" s="6">
        <v>45434</v>
      </c>
      <c r="C352" s="7" t="s">
        <v>33</v>
      </c>
      <c r="D352" s="9">
        <v>6.5523643114558097E-3</v>
      </c>
      <c r="E352" s="9">
        <v>6.5523643114558097E-3</v>
      </c>
      <c r="F352" s="9">
        <v>0.10749540608308816</v>
      </c>
      <c r="G352" s="9">
        <v>0.10749540608308816</v>
      </c>
      <c r="H352" s="35">
        <v>6.5309908859321596E-3</v>
      </c>
    </row>
    <row r="353" spans="2:8" x14ac:dyDescent="0.35">
      <c r="B353" s="6">
        <v>45435</v>
      </c>
      <c r="C353" s="7" t="s">
        <v>33</v>
      </c>
      <c r="D353" s="9">
        <v>-3.09211240099816E-2</v>
      </c>
      <c r="E353" s="9">
        <v>-3.09211240099816E-2</v>
      </c>
      <c r="F353" s="9">
        <v>7.3250403291108102E-2</v>
      </c>
      <c r="G353" s="9">
        <v>7.3250403291108102E-2</v>
      </c>
      <c r="H353" s="35">
        <v>-3.1409271033615779E-2</v>
      </c>
    </row>
    <row r="354" spans="2:8" x14ac:dyDescent="0.35">
      <c r="B354" s="6">
        <v>45436</v>
      </c>
      <c r="C354" s="7" t="s">
        <v>33</v>
      </c>
      <c r="D354" s="9">
        <v>-5.4858934169278398E-3</v>
      </c>
      <c r="E354" s="9">
        <v>-5.4858934169278398E-3</v>
      </c>
      <c r="F354" s="9">
        <v>6.736266596897833E-2</v>
      </c>
      <c r="G354" s="9">
        <v>6.736266596897833E-2</v>
      </c>
      <c r="H354" s="35">
        <v>-5.5009961903474741E-3</v>
      </c>
    </row>
    <row r="355" spans="2:8" x14ac:dyDescent="0.35">
      <c r="B355" s="6">
        <v>45440</v>
      </c>
      <c r="C355" s="7" t="s">
        <v>33</v>
      </c>
      <c r="D355" s="9">
        <v>3.3772374197905798E-3</v>
      </c>
      <c r="E355" s="9">
        <v>3.3772374197905798E-3</v>
      </c>
      <c r="F355" s="9">
        <v>7.096740310497629E-2</v>
      </c>
      <c r="G355" s="9">
        <v>7.096740310497629E-2</v>
      </c>
      <c r="H355" s="35">
        <v>3.3715473610164354E-3</v>
      </c>
    </row>
    <row r="356" spans="2:8" x14ac:dyDescent="0.35">
      <c r="B356" s="6">
        <v>45441</v>
      </c>
      <c r="C356" s="7" t="s">
        <v>33</v>
      </c>
      <c r="D356" s="9">
        <v>-1.8512285425782499E-2</v>
      </c>
      <c r="E356" s="9">
        <v>-1.8512285425782499E-2</v>
      </c>
      <c r="F356" s="9">
        <v>5.1141348856987845E-2</v>
      </c>
      <c r="G356" s="9">
        <v>5.1141348856987845E-2</v>
      </c>
      <c r="H356" s="35">
        <v>-1.8685782334058848E-2</v>
      </c>
    </row>
    <row r="357" spans="2:8" x14ac:dyDescent="0.35">
      <c r="B357" s="6">
        <v>45442</v>
      </c>
      <c r="C357" s="7" t="s">
        <v>33</v>
      </c>
      <c r="D357" s="9">
        <v>1.69181527206217E-2</v>
      </c>
      <c r="E357" s="9">
        <v>1.69181527206217E-2</v>
      </c>
      <c r="F357" s="9">
        <v>6.8924718727910728E-2</v>
      </c>
      <c r="G357" s="9">
        <v>6.8924718727910728E-2</v>
      </c>
      <c r="H357" s="35">
        <v>1.6776634693704995E-2</v>
      </c>
    </row>
    <row r="358" spans="2:8" x14ac:dyDescent="0.35">
      <c r="B358" s="6">
        <v>45443</v>
      </c>
      <c r="C358" s="7" t="s">
        <v>33</v>
      </c>
      <c r="D358" s="9">
        <v>1.9109712230215999E-3</v>
      </c>
      <c r="E358" s="9">
        <v>1.9109712230215999E-3</v>
      </c>
      <c r="F358" s="9">
        <v>7.096740310497629E-2</v>
      </c>
      <c r="G358" s="9">
        <v>7.096740310497629E-2</v>
      </c>
      <c r="H358" s="35">
        <v>1.9091476403537769E-3</v>
      </c>
    </row>
    <row r="359" spans="2:8" x14ac:dyDescent="0.35">
      <c r="B359" s="6">
        <v>45446</v>
      </c>
      <c r="C359" s="7" t="s">
        <v>33</v>
      </c>
      <c r="D359" s="9">
        <v>2.5692808257601299E-2</v>
      </c>
      <c r="E359" s="9">
        <v>2.5692808257601299E-2</v>
      </c>
      <c r="F359" s="9">
        <v>9.8483563243093597E-2</v>
      </c>
      <c r="G359" s="9">
        <v>9.8483563243093597E-2</v>
      </c>
      <c r="H359" s="35">
        <v>2.5368294760972424E-2</v>
      </c>
    </row>
    <row r="360" spans="2:8" x14ac:dyDescent="0.35">
      <c r="B360" s="6">
        <v>45447</v>
      </c>
      <c r="C360" s="7" t="s">
        <v>33</v>
      </c>
      <c r="D360" s="9">
        <v>-2.7346313716911002E-3</v>
      </c>
      <c r="E360" s="9">
        <v>-2.7346313716911002E-3</v>
      </c>
      <c r="F360" s="9">
        <v>9.5479615629762149E-2</v>
      </c>
      <c r="G360" s="9">
        <v>9.5479615629762149E-2</v>
      </c>
      <c r="H360" s="35">
        <v>-2.7383773067868708E-3</v>
      </c>
    </row>
    <row r="361" spans="2:8" x14ac:dyDescent="0.35">
      <c r="B361" s="6">
        <v>45448</v>
      </c>
      <c r="C361" s="7" t="s">
        <v>33</v>
      </c>
      <c r="D361" s="9">
        <v>3.2357135022485502E-2</v>
      </c>
      <c r="E361" s="9">
        <v>3.2357135022485502E-2</v>
      </c>
      <c r="F361" s="9">
        <v>0.13092619746707501</v>
      </c>
      <c r="G361" s="9">
        <v>0.13092619746707501</v>
      </c>
      <c r="H361" s="35">
        <v>3.1844668262350474E-2</v>
      </c>
    </row>
    <row r="362" spans="2:8" x14ac:dyDescent="0.35">
      <c r="B362" s="6">
        <v>45449</v>
      </c>
      <c r="C362" s="7" t="s">
        <v>33</v>
      </c>
      <c r="D362" s="9">
        <v>-1.38121546961327E-2</v>
      </c>
      <c r="E362" s="9">
        <v>-1.38121546961327E-2</v>
      </c>
      <c r="F362" s="9">
        <v>0.11530566987775059</v>
      </c>
      <c r="G362" s="9">
        <v>0.11530566987775059</v>
      </c>
      <c r="H362" s="35">
        <v>-1.3908430046132113E-2</v>
      </c>
    </row>
    <row r="363" spans="2:8" x14ac:dyDescent="0.35">
      <c r="B363" s="6">
        <v>45450</v>
      </c>
      <c r="C363" s="7" t="s">
        <v>33</v>
      </c>
      <c r="D363" s="9">
        <v>-1.54061624649859E-2</v>
      </c>
      <c r="E363" s="9">
        <v>-1.54061624649859E-2</v>
      </c>
      <c r="F363" s="9">
        <v>9.8123089529494001E-2</v>
      </c>
      <c r="G363" s="9">
        <v>9.8123089529494001E-2</v>
      </c>
      <c r="H363" s="35">
        <v>-1.5526070528919427E-2</v>
      </c>
    </row>
    <row r="364" spans="2:8" x14ac:dyDescent="0.35">
      <c r="B364" s="6">
        <v>45453</v>
      </c>
      <c r="C364" s="7" t="s">
        <v>33</v>
      </c>
      <c r="D364" s="9">
        <v>6.5652697231644002E-3</v>
      </c>
      <c r="E364" s="9">
        <v>6.5652697231644002E-3</v>
      </c>
      <c r="F364" s="9">
        <v>0.1053325638014897</v>
      </c>
      <c r="G364" s="9">
        <v>0.1053325638014897</v>
      </c>
      <c r="H364" s="35">
        <v>6.5438122049555607E-3</v>
      </c>
    </row>
    <row r="365" spans="2:8" x14ac:dyDescent="0.35">
      <c r="B365" s="6">
        <v>45454</v>
      </c>
      <c r="C365" s="7" t="s">
        <v>33</v>
      </c>
      <c r="D365" s="9">
        <v>5.10925100554407E-3</v>
      </c>
      <c r="E365" s="9">
        <v>5.10925100554407E-3</v>
      </c>
      <c r="F365" s="9">
        <v>0.11097998531455322</v>
      </c>
      <c r="G365" s="9">
        <v>0.11097998531455322</v>
      </c>
      <c r="H365" s="35">
        <v>5.0962430710135695E-3</v>
      </c>
    </row>
    <row r="366" spans="2:8" x14ac:dyDescent="0.35">
      <c r="B366" s="6">
        <v>45455</v>
      </c>
      <c r="C366" s="7" t="s">
        <v>33</v>
      </c>
      <c r="D366" s="9">
        <v>1.4709063378758399E-2</v>
      </c>
      <c r="E366" s="9">
        <v>1.4709063378758399E-2</v>
      </c>
      <c r="F366" s="9">
        <v>0.12732146033107705</v>
      </c>
      <c r="G366" s="9">
        <v>0.12732146033107705</v>
      </c>
      <c r="H366" s="35">
        <v>1.460193434023253E-2</v>
      </c>
    </row>
    <row r="367" spans="2:8" x14ac:dyDescent="0.35">
      <c r="B367" s="6">
        <v>45456</v>
      </c>
      <c r="C367" s="7" t="s">
        <v>33</v>
      </c>
      <c r="D367" s="9">
        <v>0</v>
      </c>
      <c r="E367" s="9">
        <v>0</v>
      </c>
      <c r="F367" s="9">
        <v>0.12732146033107705</v>
      </c>
      <c r="G367" s="9">
        <v>0.12732146033107705</v>
      </c>
      <c r="H367" s="35">
        <v>0</v>
      </c>
    </row>
    <row r="368" spans="2:8" x14ac:dyDescent="0.35">
      <c r="B368" s="6">
        <v>45457</v>
      </c>
      <c r="C368" s="7" t="s">
        <v>33</v>
      </c>
      <c r="D368" s="9">
        <v>-2.20635259006608E-2</v>
      </c>
      <c r="E368" s="9">
        <v>-2.20635259006608E-2</v>
      </c>
      <c r="F368" s="9">
        <v>0.1024487740926916</v>
      </c>
      <c r="G368" s="9">
        <v>0.1024487740926916</v>
      </c>
      <c r="H368" s="35">
        <v>-2.2310565965632329E-2</v>
      </c>
    </row>
    <row r="369" spans="2:8" x14ac:dyDescent="0.35">
      <c r="B369" s="6">
        <v>45460</v>
      </c>
      <c r="C369" s="7" t="s">
        <v>33</v>
      </c>
      <c r="D369" s="9">
        <v>-1.26430517711171E-2</v>
      </c>
      <c r="E369" s="9">
        <v>-1.26430517711171E-2</v>
      </c>
      <c r="F369" s="9">
        <v>8.8510457166833145E-2</v>
      </c>
      <c r="G369" s="9">
        <v>8.8510457166833145E-2</v>
      </c>
      <c r="H369" s="35">
        <v>-1.2723655253483191E-2</v>
      </c>
    </row>
    <row r="370" spans="2:8" x14ac:dyDescent="0.35">
      <c r="B370" s="6">
        <v>45461</v>
      </c>
      <c r="C370" s="7" t="s">
        <v>33</v>
      </c>
      <c r="D370" s="9">
        <v>-9.8244839386245793E-3</v>
      </c>
      <c r="E370" s="9">
        <v>-9.8244839386245793E-3</v>
      </c>
      <c r="F370" s="9">
        <v>7.7816403663372613E-2</v>
      </c>
      <c r="G370" s="9">
        <v>7.7816403663372613E-2</v>
      </c>
      <c r="H370" s="35">
        <v>-9.8730626164459812E-3</v>
      </c>
    </row>
    <row r="371" spans="2:8" x14ac:dyDescent="0.35">
      <c r="B371" s="6">
        <v>45463</v>
      </c>
      <c r="C371" s="7" t="s">
        <v>33</v>
      </c>
      <c r="D371" s="9">
        <v>2.1181716833890501E-3</v>
      </c>
      <c r="E371" s="9">
        <v>2.1181716833890501E-3</v>
      </c>
      <c r="F371" s="9">
        <v>8.0099403849504647E-2</v>
      </c>
      <c r="G371" s="9">
        <v>8.0099403849504647E-2</v>
      </c>
      <c r="H371" s="35">
        <v>2.1159315205575373E-3</v>
      </c>
    </row>
    <row r="372" spans="2:8" x14ac:dyDescent="0.35">
      <c r="B372" s="6">
        <v>45464</v>
      </c>
      <c r="C372" s="7" t="s">
        <v>33</v>
      </c>
      <c r="D372" s="9">
        <v>2.77005228612748E-2</v>
      </c>
      <c r="E372" s="9">
        <v>2.77005228612748E-2</v>
      </c>
      <c r="F372" s="9">
        <v>0.11001872207828711</v>
      </c>
      <c r="G372" s="9">
        <v>0.11001872207828711</v>
      </c>
      <c r="H372" s="35">
        <v>2.7323804417151296E-2</v>
      </c>
    </row>
    <row r="373" spans="2:8" x14ac:dyDescent="0.35">
      <c r="B373" s="6">
        <v>45467</v>
      </c>
      <c r="C373" s="7" t="s">
        <v>33</v>
      </c>
      <c r="D373" s="9">
        <v>1.5964299631955E-2</v>
      </c>
      <c r="E373" s="9">
        <v>1.5964299631955E-2</v>
      </c>
      <c r="F373" s="9">
        <v>0.12773939355462449</v>
      </c>
      <c r="G373" s="9">
        <v>0.12773939355462449</v>
      </c>
      <c r="H373" s="35">
        <v>1.5838210381405919E-2</v>
      </c>
    </row>
    <row r="374" spans="2:8" x14ac:dyDescent="0.35">
      <c r="B374" s="6">
        <v>45468</v>
      </c>
      <c r="C374" s="7" t="s">
        <v>33</v>
      </c>
      <c r="D374" s="9">
        <v>-7.0407510134414403E-3</v>
      </c>
      <c r="E374" s="9">
        <v>-7.0407510134414403E-3</v>
      </c>
      <c r="F374" s="9">
        <v>0.11979926127655682</v>
      </c>
      <c r="G374" s="9">
        <v>0.11979926127655682</v>
      </c>
      <c r="H374" s="35">
        <v>-7.0656540604691308E-3</v>
      </c>
    </row>
    <row r="375" spans="2:8" x14ac:dyDescent="0.35">
      <c r="B375" s="6">
        <v>45469</v>
      </c>
      <c r="C375" s="7" t="s">
        <v>33</v>
      </c>
      <c r="D375" s="9">
        <v>-9.5616673828964605E-3</v>
      </c>
      <c r="E375" s="9">
        <v>-9.5616673828964605E-3</v>
      </c>
      <c r="F375" s="9">
        <v>0.1090921132046172</v>
      </c>
      <c r="G375" s="9">
        <v>0.1090921132046172</v>
      </c>
      <c r="H375" s="35">
        <v>-9.6076736235880048E-3</v>
      </c>
    </row>
    <row r="376" spans="2:8" x14ac:dyDescent="0.35">
      <c r="B376" s="6">
        <v>45470</v>
      </c>
      <c r="C376" s="7" t="s">
        <v>33</v>
      </c>
      <c r="D376" s="9">
        <v>7.2675995227249402E-3</v>
      </c>
      <c r="E376" s="9">
        <v>7.2675995227249402E-3</v>
      </c>
      <c r="F376" s="9">
        <v>0.11715255051720108</v>
      </c>
      <c r="G376" s="9">
        <v>0.11715255051720108</v>
      </c>
      <c r="H376" s="35">
        <v>7.2413177812727944E-3</v>
      </c>
    </row>
    <row r="377" spans="2:8" x14ac:dyDescent="0.35">
      <c r="B377" s="6">
        <v>45471</v>
      </c>
      <c r="C377" s="7" t="s">
        <v>33</v>
      </c>
      <c r="D377" s="9">
        <v>-1.61533491277204E-3</v>
      </c>
      <c r="E377" s="9">
        <v>-1.61533491277204E-3</v>
      </c>
      <c r="F377" s="9">
        <v>0.11534797499945837</v>
      </c>
      <c r="G377" s="9">
        <v>0.11534797499945837</v>
      </c>
      <c r="H377" s="35">
        <v>-1.6166409728846935E-3</v>
      </c>
    </row>
    <row r="378" spans="2:8" x14ac:dyDescent="0.35">
      <c r="B378" s="6">
        <v>45474</v>
      </c>
      <c r="C378" s="7" t="s">
        <v>33</v>
      </c>
      <c r="D378" s="9">
        <v>3.55948657102809E-3</v>
      </c>
      <c r="E378" s="9">
        <v>3.55948657102809E-3</v>
      </c>
      <c r="F378" s="9">
        <v>0.1193180411384922</v>
      </c>
      <c r="G378" s="9">
        <v>0.1193180411384922</v>
      </c>
      <c r="H378" s="35">
        <v>3.5531665915180173E-3</v>
      </c>
    </row>
    <row r="379" spans="2:8" x14ac:dyDescent="0.35">
      <c r="B379" s="6">
        <v>45475</v>
      </c>
      <c r="C379" s="7" t="s">
        <v>33</v>
      </c>
      <c r="D379" s="9">
        <v>-1.8056749785038798E-2</v>
      </c>
      <c r="E379" s="9">
        <v>-1.8056749785038798E-2</v>
      </c>
      <c r="F379" s="9">
        <v>9.9106795339774623E-2</v>
      </c>
      <c r="G379" s="9">
        <v>9.9106795339774623E-2</v>
      </c>
      <c r="H379" s="35">
        <v>-1.8221762302709003E-2</v>
      </c>
    </row>
    <row r="380" spans="2:8" x14ac:dyDescent="0.35">
      <c r="B380" s="6">
        <v>45476</v>
      </c>
      <c r="C380" s="7" t="s">
        <v>33</v>
      </c>
      <c r="D380" s="9">
        <v>-5.3633975481610701E-3</v>
      </c>
      <c r="E380" s="9">
        <v>-5.3633975481610701E-3</v>
      </c>
      <c r="F380" s="9">
        <v>9.3211848648482087E-2</v>
      </c>
      <c r="G380" s="9">
        <v>9.3211848648482087E-2</v>
      </c>
      <c r="H380" s="35">
        <v>-5.3778322004444049E-3</v>
      </c>
    </row>
    <row r="381" spans="2:8" x14ac:dyDescent="0.35">
      <c r="B381" s="6">
        <v>45478</v>
      </c>
      <c r="C381" s="7" t="s">
        <v>33</v>
      </c>
      <c r="D381" s="9">
        <v>9.2439749092108406E-3</v>
      </c>
      <c r="E381" s="9">
        <v>9.2439749092108406E-3</v>
      </c>
      <c r="F381" s="9">
        <v>0.10331747154784066</v>
      </c>
      <c r="G381" s="9">
        <v>0.10331747154784066</v>
      </c>
      <c r="H381" s="35">
        <v>9.2015108635970493E-3</v>
      </c>
    </row>
    <row r="382" spans="2:8" x14ac:dyDescent="0.35">
      <c r="B382" s="6">
        <v>45481</v>
      </c>
      <c r="C382" s="7" t="s">
        <v>33</v>
      </c>
      <c r="D382" s="9">
        <v>1.6573983207938198E-2</v>
      </c>
      <c r="E382" s="9">
        <v>1.6573983207938198E-2</v>
      </c>
      <c r="F382" s="9">
        <v>0.12160383679429931</v>
      </c>
      <c r="G382" s="9">
        <v>0.12160383679429931</v>
      </c>
      <c r="H382" s="35">
        <v>1.6438133737749504E-2</v>
      </c>
    </row>
    <row r="383" spans="2:8" x14ac:dyDescent="0.35">
      <c r="B383" s="6">
        <v>45482</v>
      </c>
      <c r="C383" s="7" t="s">
        <v>33</v>
      </c>
      <c r="D383" s="9">
        <v>1.2227823661911399E-2</v>
      </c>
      <c r="E383" s="9">
        <v>1.2227823661911399E-2</v>
      </c>
      <c r="F383" s="9">
        <v>0.13531861072914309</v>
      </c>
      <c r="G383" s="9">
        <v>0.13531861072914309</v>
      </c>
      <c r="H383" s="35">
        <v>1.2153667724639312E-2</v>
      </c>
    </row>
    <row r="384" spans="2:8" x14ac:dyDescent="0.35">
      <c r="B384" s="6">
        <v>45483</v>
      </c>
      <c r="C384" s="7" t="s">
        <v>33</v>
      </c>
      <c r="D384" s="9">
        <v>1.17622125675532E-2</v>
      </c>
      <c r="E384" s="9">
        <v>1.17622125675532E-2</v>
      </c>
      <c r="F384" s="9">
        <v>0.14867246956043845</v>
      </c>
      <c r="G384" s="9">
        <v>0.14867246956043845</v>
      </c>
      <c r="H384" s="35">
        <v>1.169357543738761E-2</v>
      </c>
    </row>
    <row r="385" spans="2:8" x14ac:dyDescent="0.35">
      <c r="B385" s="6">
        <v>45484</v>
      </c>
      <c r="C385" s="7" t="s">
        <v>33</v>
      </c>
      <c r="D385" s="9">
        <v>2.5974025974025899E-2</v>
      </c>
      <c r="E385" s="9">
        <v>2.5974025974025899E-2</v>
      </c>
      <c r="F385" s="9">
        <v>0.17850811812044975</v>
      </c>
      <c r="G385" s="9">
        <v>0.17850811812044975</v>
      </c>
      <c r="H385" s="35">
        <v>2.5642430613337652E-2</v>
      </c>
    </row>
    <row r="386" spans="2:8" x14ac:dyDescent="0.35">
      <c r="B386" s="6">
        <v>45485</v>
      </c>
      <c r="C386" s="7" t="s">
        <v>33</v>
      </c>
      <c r="D386" s="9">
        <v>1.02082482645978E-2</v>
      </c>
      <c r="E386" s="9">
        <v>1.02082482645978E-2</v>
      </c>
      <c r="F386" s="9">
        <v>0.19053862157206725</v>
      </c>
      <c r="G386" s="9">
        <v>0.19053862157206725</v>
      </c>
      <c r="H386" s="35">
        <v>1.0156496000265438E-2</v>
      </c>
    </row>
    <row r="387" spans="2:8" x14ac:dyDescent="0.35">
      <c r="B387" s="6">
        <v>45488</v>
      </c>
      <c r="C387" s="7" t="s">
        <v>33</v>
      </c>
      <c r="D387" s="9">
        <v>9.4987873888441408E-3</v>
      </c>
      <c r="E387" s="9">
        <v>9.4987873888441408E-3</v>
      </c>
      <c r="F387" s="9">
        <v>0.20184729481658792</v>
      </c>
      <c r="G387" s="9">
        <v>0.20184729481658792</v>
      </c>
      <c r="H387" s="35">
        <v>9.4539575702755289E-3</v>
      </c>
    </row>
    <row r="388" spans="2:8" x14ac:dyDescent="0.35">
      <c r="B388" s="6">
        <v>45489</v>
      </c>
      <c r="C388" s="7" t="s">
        <v>33</v>
      </c>
      <c r="D388" s="9">
        <v>1.9519519519519302E-2</v>
      </c>
      <c r="E388" s="9">
        <v>1.9519519519519302E-2</v>
      </c>
      <c r="F388" s="9">
        <v>0.22530677654724163</v>
      </c>
      <c r="G388" s="9">
        <v>0.22530677654724163</v>
      </c>
      <c r="H388" s="35">
        <v>1.9331457018306724E-2</v>
      </c>
    </row>
    <row r="389" spans="2:8" x14ac:dyDescent="0.35">
      <c r="B389" s="6">
        <v>45490</v>
      </c>
      <c r="C389" s="7" t="s">
        <v>33</v>
      </c>
      <c r="D389" s="9">
        <v>-2.0127638684339699E-2</v>
      </c>
      <c r="E389" s="9">
        <v>-2.0127638684339699E-2</v>
      </c>
      <c r="F389" s="9">
        <v>0.20064424447142581</v>
      </c>
      <c r="G389" s="9">
        <v>0.20064424447142581</v>
      </c>
      <c r="H389" s="35">
        <v>-2.033295935539646E-2</v>
      </c>
    </row>
    <row r="390" spans="2:8" x14ac:dyDescent="0.35">
      <c r="B390" s="6">
        <v>45491</v>
      </c>
      <c r="C390" s="7" t="s">
        <v>33</v>
      </c>
      <c r="D390" s="9">
        <v>-2.26452905811622E-2</v>
      </c>
      <c r="E390" s="9">
        <v>-2.26452905811622E-2</v>
      </c>
      <c r="F390" s="9">
        <v>0.17345530667077047</v>
      </c>
      <c r="G390" s="9">
        <v>0.17345530667077047</v>
      </c>
      <c r="H390" s="35">
        <v>-2.2905633035511578E-2</v>
      </c>
    </row>
    <row r="391" spans="2:8" x14ac:dyDescent="0.35">
      <c r="B391" s="6">
        <v>45492</v>
      </c>
      <c r="C391" s="7" t="s">
        <v>33</v>
      </c>
      <c r="D391" s="9">
        <v>-3.0756612671729698E-4</v>
      </c>
      <c r="E391" s="9">
        <v>-3.0756612671729698E-4</v>
      </c>
      <c r="F391" s="9">
        <v>0.17309439156722184</v>
      </c>
      <c r="G391" s="9">
        <v>0.17309439156722184</v>
      </c>
      <c r="H391" s="35">
        <v>-3.0761343487899949E-4</v>
      </c>
    </row>
    <row r="392" spans="2:8" x14ac:dyDescent="0.35">
      <c r="B392" s="6">
        <v>45495</v>
      </c>
      <c r="C392" s="7" t="s">
        <v>33</v>
      </c>
      <c r="D392" s="9">
        <v>1.4152394626192199E-2</v>
      </c>
      <c r="E392" s="9">
        <v>1.4152394626192199E-2</v>
      </c>
      <c r="F392" s="9">
        <v>0.18969648633045399</v>
      </c>
      <c r="G392" s="9">
        <v>0.18969648633045399</v>
      </c>
      <c r="H392" s="35">
        <v>1.4053184434871737E-2</v>
      </c>
    </row>
    <row r="393" spans="2:8" x14ac:dyDescent="0.35">
      <c r="B393" s="6">
        <v>45496</v>
      </c>
      <c r="C393" s="7" t="s">
        <v>33</v>
      </c>
      <c r="D393" s="9">
        <v>8.7976539589443709E-3</v>
      </c>
      <c r="E393" s="9">
        <v>8.7976539589443709E-3</v>
      </c>
      <c r="F393" s="9">
        <v>0.20016302433336119</v>
      </c>
      <c r="G393" s="9">
        <v>0.20016302433336119</v>
      </c>
      <c r="H393" s="35">
        <v>8.7591800898815537E-3</v>
      </c>
    </row>
    <row r="394" spans="2:8" x14ac:dyDescent="0.35">
      <c r="B394" s="6">
        <v>45497</v>
      </c>
      <c r="C394" s="7" t="s">
        <v>33</v>
      </c>
      <c r="D394" s="9">
        <v>-7.2173215717722203E-3</v>
      </c>
      <c r="E394" s="9">
        <v>-7.2173215717722203E-3</v>
      </c>
      <c r="F394" s="9">
        <v>0.19150106184819671</v>
      </c>
      <c r="G394" s="9">
        <v>0.19150106184819671</v>
      </c>
      <c r="H394" s="35">
        <v>-7.2434924354950253E-3</v>
      </c>
    </row>
    <row r="395" spans="2:8" x14ac:dyDescent="0.35">
      <c r="B395" s="6">
        <v>45498</v>
      </c>
      <c r="C395" s="7" t="s">
        <v>33</v>
      </c>
      <c r="D395" s="9">
        <v>1.9588045234248602E-2</v>
      </c>
      <c r="E395" s="9">
        <v>1.9588045234248602E-2</v>
      </c>
      <c r="F395" s="9">
        <v>0.21484023854433421</v>
      </c>
      <c r="G395" s="9">
        <v>0.21484023854433421</v>
      </c>
      <c r="H395" s="35">
        <v>1.9398668494483393E-2</v>
      </c>
    </row>
    <row r="396" spans="2:8" x14ac:dyDescent="0.35">
      <c r="B396" s="6">
        <v>45499</v>
      </c>
      <c r="C396" s="7" t="s">
        <v>33</v>
      </c>
      <c r="D396" s="9">
        <v>5.54565260447616E-3</v>
      </c>
      <c r="E396" s="9">
        <v>5.54565260447616E-3</v>
      </c>
      <c r="F396" s="9">
        <v>0.22157732047723999</v>
      </c>
      <c r="G396" s="9">
        <v>0.22157732047723999</v>
      </c>
      <c r="H396" s="35">
        <v>5.5303320884786452E-3</v>
      </c>
    </row>
    <row r="397" spans="2:8" x14ac:dyDescent="0.35">
      <c r="B397" s="6">
        <v>45502</v>
      </c>
      <c r="C397" s="7" t="s">
        <v>33</v>
      </c>
      <c r="D397" s="9">
        <v>-1.25073862517235E-2</v>
      </c>
      <c r="E397" s="9">
        <v>-1.25073862517235E-2</v>
      </c>
      <c r="F397" s="9">
        <v>0.20629858109368571</v>
      </c>
      <c r="G397" s="9">
        <v>0.20629858109368571</v>
      </c>
      <c r="H397" s="35">
        <v>-1.2586261983414377E-2</v>
      </c>
    </row>
    <row r="398" spans="2:8" x14ac:dyDescent="0.35">
      <c r="B398" s="6">
        <v>45503</v>
      </c>
      <c r="C398" s="7" t="s">
        <v>33</v>
      </c>
      <c r="D398" s="9">
        <v>-1.2765533060736E-2</v>
      </c>
      <c r="E398" s="9">
        <v>-1.2765533060736E-2</v>
      </c>
      <c r="F398" s="9">
        <v>0.19089953667561521</v>
      </c>
      <c r="G398" s="9">
        <v>0.19089953667561521</v>
      </c>
      <c r="H398" s="35">
        <v>-1.2847712604117977E-2</v>
      </c>
    </row>
    <row r="399" spans="2:8" x14ac:dyDescent="0.35">
      <c r="B399" s="6">
        <v>45504</v>
      </c>
      <c r="C399" s="7" t="s">
        <v>33</v>
      </c>
      <c r="D399" s="9">
        <v>7.0714213556932401E-4</v>
      </c>
      <c r="E399" s="9">
        <v>7.0714213556932401E-4</v>
      </c>
      <c r="F399" s="9">
        <v>0.19174167191722846</v>
      </c>
      <c r="G399" s="9">
        <v>0.19174167191722846</v>
      </c>
      <c r="H399" s="35">
        <v>7.0689222837570982E-4</v>
      </c>
    </row>
    <row r="400" spans="2:8" x14ac:dyDescent="0.35">
      <c r="B400" s="6">
        <v>45505</v>
      </c>
      <c r="C400" s="7" t="s">
        <v>33</v>
      </c>
      <c r="D400" s="9">
        <v>-3.9370078740157098E-3</v>
      </c>
      <c r="E400" s="9">
        <v>-3.9370078740157098E-3</v>
      </c>
      <c r="F400" s="9">
        <v>0.18704977557109759</v>
      </c>
      <c r="G400" s="9">
        <v>0.18704977557109759</v>
      </c>
      <c r="H400" s="35">
        <v>-3.9447782910163407E-3</v>
      </c>
    </row>
    <row r="401" spans="2:8" x14ac:dyDescent="0.35">
      <c r="B401" s="6">
        <v>45506</v>
      </c>
      <c r="C401" s="7" t="s">
        <v>33</v>
      </c>
      <c r="D401" s="9">
        <v>-2.22965440356745E-2</v>
      </c>
      <c r="E401" s="9">
        <v>-2.22965440356745E-2</v>
      </c>
      <c r="F401" s="9">
        <v>0.16058266797753906</v>
      </c>
      <c r="G401" s="9">
        <v>0.16058266797753906</v>
      </c>
      <c r="H401" s="35">
        <v>-2.2548869686613102E-2</v>
      </c>
    </row>
    <row r="402" spans="2:8" x14ac:dyDescent="0.35">
      <c r="B402" s="6">
        <v>45509</v>
      </c>
      <c r="C402" s="7" t="s">
        <v>33</v>
      </c>
      <c r="D402" s="9">
        <v>-3.1512387270654099E-2</v>
      </c>
      <c r="E402" s="9">
        <v>-3.1512387270654099E-2</v>
      </c>
      <c r="F402" s="9">
        <v>0.12400993748462197</v>
      </c>
      <c r="G402" s="9">
        <v>0.12400993748462197</v>
      </c>
      <c r="H402" s="35">
        <v>-3.2019586377597949E-2</v>
      </c>
    </row>
    <row r="403" spans="2:8" x14ac:dyDescent="0.35">
      <c r="B403" s="6">
        <v>45510</v>
      </c>
      <c r="C403" s="7" t="s">
        <v>33</v>
      </c>
      <c r="D403" s="9">
        <v>1.0810232259445499E-2</v>
      </c>
      <c r="E403" s="9">
        <v>1.0810232259445499E-2</v>
      </c>
      <c r="F403" s="9">
        <v>0.13616074597075545</v>
      </c>
      <c r="G403" s="9">
        <v>0.13616074597075545</v>
      </c>
      <c r="H403" s="35">
        <v>1.0752219412447772E-2</v>
      </c>
    </row>
    <row r="404" spans="2:8" x14ac:dyDescent="0.35">
      <c r="B404" s="6">
        <v>45511</v>
      </c>
      <c r="C404" s="7" t="s">
        <v>33</v>
      </c>
      <c r="D404" s="9">
        <v>-2.2024565861922901E-2</v>
      </c>
      <c r="E404" s="9">
        <v>-2.2024565861922901E-2</v>
      </c>
      <c r="F404" s="9">
        <v>0.111137298791391</v>
      </c>
      <c r="G404" s="9">
        <v>0.111137298791391</v>
      </c>
      <c r="H404" s="35">
        <v>-2.2270727731017567E-2</v>
      </c>
    </row>
    <row r="405" spans="2:8" x14ac:dyDescent="0.35">
      <c r="B405" s="6">
        <v>45512</v>
      </c>
      <c r="C405" s="7" t="s">
        <v>33</v>
      </c>
      <c r="D405" s="9">
        <v>2.8583802511909999E-2</v>
      </c>
      <c r="E405" s="9">
        <v>2.8583802511909999E-2</v>
      </c>
      <c r="F405" s="9">
        <v>0.14289782790366123</v>
      </c>
      <c r="G405" s="9">
        <v>0.14289782790366123</v>
      </c>
      <c r="H405" s="35">
        <v>2.8182907114246366E-2</v>
      </c>
    </row>
    <row r="406" spans="2:8" x14ac:dyDescent="0.35">
      <c r="B406" s="6">
        <v>45513</v>
      </c>
      <c r="C406" s="7" t="s">
        <v>33</v>
      </c>
      <c r="D406" s="9">
        <v>5.6842105263158801E-3</v>
      </c>
      <c r="E406" s="9">
        <v>5.6842105263158801E-3</v>
      </c>
      <c r="F406" s="9">
        <v>0.14939429976753482</v>
      </c>
      <c r="G406" s="9">
        <v>0.14939429976753482</v>
      </c>
      <c r="H406" s="35">
        <v>5.66811636127512E-3</v>
      </c>
    </row>
    <row r="407" spans="2:8" x14ac:dyDescent="0.35">
      <c r="B407" s="6">
        <v>45516</v>
      </c>
      <c r="C407" s="7" t="s">
        <v>33</v>
      </c>
      <c r="D407" s="9">
        <v>2.8260414486078098E-3</v>
      </c>
      <c r="E407" s="9">
        <v>2.8260414486078098E-3</v>
      </c>
      <c r="F407" s="9">
        <v>0.15264253569947139</v>
      </c>
      <c r="G407" s="9">
        <v>0.15264253569947139</v>
      </c>
      <c r="H407" s="35">
        <v>2.8220557009661466E-3</v>
      </c>
    </row>
    <row r="408" spans="2:8" x14ac:dyDescent="0.35">
      <c r="B408" s="6">
        <v>45517</v>
      </c>
      <c r="C408" s="7" t="s">
        <v>33</v>
      </c>
      <c r="D408" s="9">
        <v>1.1898549211981999E-2</v>
      </c>
      <c r="E408" s="9">
        <v>1.1898549211981999E-2</v>
      </c>
      <c r="F408" s="9">
        <v>0.16635730963431539</v>
      </c>
      <c r="G408" s="9">
        <v>0.16635730963431539</v>
      </c>
      <c r="H408" s="35">
        <v>1.1828318025878871E-2</v>
      </c>
    </row>
    <row r="409" spans="2:8" x14ac:dyDescent="0.35">
      <c r="B409" s="6">
        <v>45518</v>
      </c>
      <c r="C409" s="7" t="s">
        <v>33</v>
      </c>
      <c r="D409" s="9">
        <v>-8.8705518308406194E-3</v>
      </c>
      <c r="E409" s="9">
        <v>-8.8705518308406194E-3</v>
      </c>
      <c r="F409" s="9">
        <v>0.1560110766659244</v>
      </c>
      <c r="G409" s="9">
        <v>0.1560110766659244</v>
      </c>
      <c r="H409" s="35">
        <v>-8.9101293994843268E-3</v>
      </c>
    </row>
    <row r="410" spans="2:8" x14ac:dyDescent="0.35">
      <c r="B410" s="6">
        <v>45519</v>
      </c>
      <c r="C410" s="7" t="s">
        <v>33</v>
      </c>
      <c r="D410" s="9">
        <v>1.6859194505151401E-2</v>
      </c>
      <c r="E410" s="9">
        <v>1.6859194505151401E-2</v>
      </c>
      <c r="F410" s="9">
        <v>0.17550049225754472</v>
      </c>
      <c r="G410" s="9">
        <v>0.17550049225754472</v>
      </c>
      <c r="H410" s="35">
        <v>1.6718655667075422E-2</v>
      </c>
    </row>
    <row r="411" spans="2:8" x14ac:dyDescent="0.35">
      <c r="B411" s="6">
        <v>45520</v>
      </c>
      <c r="C411" s="7" t="s">
        <v>33</v>
      </c>
      <c r="D411" s="9">
        <v>6.1406202026400799E-4</v>
      </c>
      <c r="E411" s="9">
        <v>6.1406202026400799E-4</v>
      </c>
      <c r="F411" s="9">
        <v>0.17622232246464153</v>
      </c>
      <c r="G411" s="9">
        <v>0.17622232246464153</v>
      </c>
      <c r="H411" s="35">
        <v>6.1387356132793273E-4</v>
      </c>
    </row>
    <row r="412" spans="2:8" x14ac:dyDescent="0.35">
      <c r="B412" s="6">
        <v>45523</v>
      </c>
      <c r="C412" s="7" t="s">
        <v>33</v>
      </c>
      <c r="D412" s="9">
        <v>3.1502505881149598E-2</v>
      </c>
      <c r="E412" s="9">
        <v>3.1502505881149598E-2</v>
      </c>
      <c r="F412" s="9">
        <v>0.21327627309562325</v>
      </c>
      <c r="G412" s="9">
        <v>0.21327627309562325</v>
      </c>
      <c r="H412" s="35">
        <v>3.1016482882640833E-2</v>
      </c>
    </row>
    <row r="413" spans="2:8" x14ac:dyDescent="0.35">
      <c r="B413" s="6">
        <v>45524</v>
      </c>
      <c r="C413" s="7" t="s">
        <v>33</v>
      </c>
      <c r="D413" s="9">
        <v>-1.9831432821015399E-4</v>
      </c>
      <c r="E413" s="9">
        <v>-1.9831432821015399E-4</v>
      </c>
      <c r="F413" s="9">
        <v>0.21303566302659105</v>
      </c>
      <c r="G413" s="9">
        <v>0.21303566302659105</v>
      </c>
      <c r="H413" s="35">
        <v>-1.9833399509673846E-4</v>
      </c>
    </row>
    <row r="414" spans="2:8" x14ac:dyDescent="0.35">
      <c r="B414" s="6">
        <v>45525</v>
      </c>
      <c r="C414" s="7" t="s">
        <v>33</v>
      </c>
      <c r="D414" s="9">
        <v>9.8185063969055495E-3</v>
      </c>
      <c r="E414" s="9">
        <v>9.8185063969055495E-3</v>
      </c>
      <c r="F414" s="9">
        <v>0.22494586144369233</v>
      </c>
      <c r="G414" s="9">
        <v>0.22494586144369233</v>
      </c>
      <c r="H414" s="35">
        <v>9.770618069065904E-3</v>
      </c>
    </row>
    <row r="415" spans="2:8" x14ac:dyDescent="0.35">
      <c r="B415" s="6">
        <v>45526</v>
      </c>
      <c r="C415" s="7" t="s">
        <v>33</v>
      </c>
      <c r="D415" s="9">
        <v>-1.64997053624042E-2</v>
      </c>
      <c r="E415" s="9">
        <v>-1.64997053624042E-2</v>
      </c>
      <c r="F415" s="9">
        <v>0.20473461564497497</v>
      </c>
      <c r="G415" s="9">
        <v>0.20473461564497497</v>
      </c>
      <c r="H415" s="35">
        <v>-1.663734157239119E-2</v>
      </c>
    </row>
    <row r="416" spans="2:8" x14ac:dyDescent="0.35">
      <c r="B416" s="6">
        <v>45527</v>
      </c>
      <c r="C416" s="7" t="s">
        <v>33</v>
      </c>
      <c r="D416" s="9">
        <v>1.3680846814459901E-2</v>
      </c>
      <c r="E416" s="9">
        <v>1.3680846814459901E-2</v>
      </c>
      <c r="F416" s="9">
        <v>0.22121640537369092</v>
      </c>
      <c r="G416" s="9">
        <v>0.22121640537369092</v>
      </c>
      <c r="H416" s="35">
        <v>1.3588108894541049E-2</v>
      </c>
    </row>
    <row r="417" spans="2:8" x14ac:dyDescent="0.35">
      <c r="B417" s="6">
        <v>45530</v>
      </c>
      <c r="C417" s="7" t="s">
        <v>33</v>
      </c>
      <c r="D417" s="9">
        <v>1.871736774702E-3</v>
      </c>
      <c r="E417" s="9">
        <v>1.871736774702E-3</v>
      </c>
      <c r="F417" s="9">
        <v>0.22350220102949825</v>
      </c>
      <c r="G417" s="9">
        <v>0.22350220102949825</v>
      </c>
      <c r="H417" s="35">
        <v>1.8699872581746473E-3</v>
      </c>
    </row>
    <row r="418" spans="2:8" x14ac:dyDescent="0.35">
      <c r="B418" s="6">
        <v>45531</v>
      </c>
      <c r="C418" s="7" t="s">
        <v>33</v>
      </c>
      <c r="D418" s="9">
        <v>-6.1946902654868201E-3</v>
      </c>
      <c r="E418" s="9">
        <v>-6.1946902654868201E-3</v>
      </c>
      <c r="F418" s="9">
        <v>0.21592298385497921</v>
      </c>
      <c r="G418" s="9">
        <v>0.21592298385497921</v>
      </c>
      <c r="H418" s="35">
        <v>-6.2139569679431489E-3</v>
      </c>
    </row>
    <row r="419" spans="2:8" x14ac:dyDescent="0.35">
      <c r="B419" s="6">
        <v>45532</v>
      </c>
      <c r="C419" s="7" t="s">
        <v>33</v>
      </c>
      <c r="D419" s="9">
        <v>-5.2438903730087803E-3</v>
      </c>
      <c r="E419" s="9">
        <v>-5.2438903730087803E-3</v>
      </c>
      <c r="F419" s="9">
        <v>0.20954681702562206</v>
      </c>
      <c r="G419" s="9">
        <v>0.20954681702562206</v>
      </c>
      <c r="H419" s="35">
        <v>-5.2576878221419687E-3</v>
      </c>
    </row>
    <row r="420" spans="2:8" x14ac:dyDescent="0.35">
      <c r="B420" s="6">
        <v>45533</v>
      </c>
      <c r="C420" s="7" t="s">
        <v>33</v>
      </c>
      <c r="D420" s="9">
        <v>3.6801273125123199E-3</v>
      </c>
      <c r="E420" s="9">
        <v>3.6801273125123199E-3</v>
      </c>
      <c r="F420" s="9">
        <v>0.21399810330272029</v>
      </c>
      <c r="G420" s="9">
        <v>0.21399810330272029</v>
      </c>
      <c r="H420" s="35">
        <v>3.673372212008006E-3</v>
      </c>
    </row>
    <row r="421" spans="2:8" x14ac:dyDescent="0.35">
      <c r="B421" s="6">
        <v>45534</v>
      </c>
      <c r="C421" s="7" t="s">
        <v>33</v>
      </c>
      <c r="D421" s="9">
        <v>3.4684372212863798E-3</v>
      </c>
      <c r="E421" s="9">
        <v>3.4684372212863798E-3</v>
      </c>
      <c r="F421" s="9">
        <v>0.21820877951078632</v>
      </c>
      <c r="G421" s="9">
        <v>0.21820877951078632</v>
      </c>
      <c r="H421" s="35">
        <v>3.4624360653257255E-3</v>
      </c>
    </row>
    <row r="422" spans="2:8" x14ac:dyDescent="0.35">
      <c r="B422" s="6">
        <v>45538</v>
      </c>
      <c r="C422" s="7" t="s">
        <v>33</v>
      </c>
      <c r="D422" s="9">
        <v>-2.56764763973929E-2</v>
      </c>
      <c r="E422" s="9">
        <v>-2.56764763973929E-2</v>
      </c>
      <c r="F422" s="9">
        <v>0.18692947053658071</v>
      </c>
      <c r="G422" s="9">
        <v>0.18692947053658071</v>
      </c>
      <c r="H422" s="35">
        <v>-2.6011870736170974E-2</v>
      </c>
    </row>
    <row r="423" spans="2:8" x14ac:dyDescent="0.35">
      <c r="B423" s="6">
        <v>45539</v>
      </c>
      <c r="C423" s="7" t="s">
        <v>33</v>
      </c>
      <c r="D423" s="9">
        <v>-1.41901479829719E-3</v>
      </c>
      <c r="E423" s="9">
        <v>-1.41901479829719E-3</v>
      </c>
      <c r="F423" s="9">
        <v>0.18524520005335421</v>
      </c>
      <c r="G423" s="9">
        <v>0.18524520005335421</v>
      </c>
      <c r="H423" s="35">
        <v>-1.4200225532550474E-3</v>
      </c>
    </row>
    <row r="424" spans="2:8" x14ac:dyDescent="0.35">
      <c r="B424" s="6">
        <v>45540</v>
      </c>
      <c r="C424" s="7" t="s">
        <v>33</v>
      </c>
      <c r="D424" s="9">
        <v>-4.4660982541615503E-3</v>
      </c>
      <c r="E424" s="9">
        <v>-4.4660982541615503E-3</v>
      </c>
      <c r="F424" s="9">
        <v>0.1799517785346425</v>
      </c>
      <c r="G424" s="9">
        <v>0.1799517785346425</v>
      </c>
      <c r="H424" s="35">
        <v>-4.4761010644358574E-3</v>
      </c>
    </row>
    <row r="425" spans="2:8" x14ac:dyDescent="0.35">
      <c r="B425" s="6">
        <v>45541</v>
      </c>
      <c r="C425" s="7" t="s">
        <v>33</v>
      </c>
      <c r="D425" s="9">
        <v>-1.5905383360522E-2</v>
      </c>
      <c r="E425" s="9">
        <v>-1.5905383360522E-2</v>
      </c>
      <c r="F425" s="9">
        <v>0.16118419315011923</v>
      </c>
      <c r="G425" s="9">
        <v>0.16118419315011923</v>
      </c>
      <c r="H425" s="35">
        <v>-1.6033231431070313E-2</v>
      </c>
    </row>
    <row r="426" spans="2:8" x14ac:dyDescent="0.35">
      <c r="B426" s="6">
        <v>45544</v>
      </c>
      <c r="C426" s="7" t="s">
        <v>33</v>
      </c>
      <c r="D426" s="9">
        <v>1.41939494405305E-2</v>
      </c>
      <c r="E426" s="9">
        <v>1.41939494405305E-2</v>
      </c>
      <c r="F426" s="9">
        <v>0.17766598287883517</v>
      </c>
      <c r="G426" s="9">
        <v>0.17766598287883517</v>
      </c>
      <c r="H426" s="35">
        <v>1.409415851650804E-2</v>
      </c>
    </row>
    <row r="427" spans="2:8" x14ac:dyDescent="0.35">
      <c r="B427" s="6">
        <v>45545</v>
      </c>
      <c r="C427" s="7" t="s">
        <v>33</v>
      </c>
      <c r="D427" s="9">
        <v>2.1452650934722E-3</v>
      </c>
      <c r="E427" s="9">
        <v>2.1452650934722E-3</v>
      </c>
      <c r="F427" s="9">
        <v>0.1801923886036747</v>
      </c>
      <c r="G427" s="9">
        <v>0.1801923886036747</v>
      </c>
      <c r="H427" s="35">
        <v>2.1429672979783152E-3</v>
      </c>
    </row>
    <row r="428" spans="2:8" x14ac:dyDescent="0.35">
      <c r="B428" s="6">
        <v>45546</v>
      </c>
      <c r="C428" s="7" t="s">
        <v>33</v>
      </c>
      <c r="D428" s="9">
        <v>8.1549439347606105E-3</v>
      </c>
      <c r="E428" s="9">
        <v>8.1549439347606105E-3</v>
      </c>
      <c r="F428" s="9">
        <v>0.18981679136496887</v>
      </c>
      <c r="G428" s="9">
        <v>0.18981679136496887</v>
      </c>
      <c r="H428" s="35">
        <v>8.1218720573491537E-3</v>
      </c>
    </row>
    <row r="429" spans="2:8" x14ac:dyDescent="0.35">
      <c r="B429" s="6">
        <v>45547</v>
      </c>
      <c r="C429" s="7" t="s">
        <v>33</v>
      </c>
      <c r="D429" s="9">
        <v>1.61779575328609E-3</v>
      </c>
      <c r="E429" s="9">
        <v>1.61779575328609E-3</v>
      </c>
      <c r="F429" s="9">
        <v>0.19174167191722757</v>
      </c>
      <c r="G429" s="9">
        <v>0.19174167191722757</v>
      </c>
      <c r="H429" s="35">
        <v>1.6164885314251972E-3</v>
      </c>
    </row>
    <row r="430" spans="2:8" x14ac:dyDescent="0.35">
      <c r="B430" s="6">
        <v>45548</v>
      </c>
      <c r="C430" s="7" t="s">
        <v>33</v>
      </c>
      <c r="D430" s="9">
        <v>2.1704017767009798E-2</v>
      </c>
      <c r="E430" s="9">
        <v>2.1704017767009798E-2</v>
      </c>
      <c r="F430" s="9">
        <v>0.21760725433820505</v>
      </c>
      <c r="G430" s="9">
        <v>0.21760725433820505</v>
      </c>
      <c r="H430" s="35">
        <v>2.1471839040718099E-2</v>
      </c>
    </row>
    <row r="431" spans="2:8" x14ac:dyDescent="0.35">
      <c r="B431" s="6">
        <v>45551</v>
      </c>
      <c r="C431" s="7" t="s">
        <v>33</v>
      </c>
      <c r="D431" s="9">
        <v>6.9163126173310302E-4</v>
      </c>
      <c r="E431" s="9">
        <v>6.9163126173310302E-4</v>
      </c>
      <c r="F431" s="9">
        <v>0.2184493895798183</v>
      </c>
      <c r="G431" s="9">
        <v>0.2184493895798183</v>
      </c>
      <c r="H431" s="35">
        <v>6.9139219505630952E-4</v>
      </c>
    </row>
    <row r="432" spans="2:8" x14ac:dyDescent="0.35">
      <c r="B432" s="6">
        <v>45552</v>
      </c>
      <c r="C432" s="7" t="s">
        <v>33</v>
      </c>
      <c r="D432" s="9">
        <v>-3.2582938388625599E-3</v>
      </c>
      <c r="E432" s="9">
        <v>-3.2582938388625599E-3</v>
      </c>
      <c r="F432" s="9">
        <v>0.21447932344078446</v>
      </c>
      <c r="G432" s="9">
        <v>0.21447932344078446</v>
      </c>
      <c r="H432" s="35">
        <v>-3.2636136370195533E-3</v>
      </c>
    </row>
    <row r="433" spans="2:8" x14ac:dyDescent="0.35">
      <c r="B433" s="6">
        <v>45553</v>
      </c>
      <c r="C433" s="7" t="s">
        <v>33</v>
      </c>
      <c r="D433" s="9">
        <v>-1.3868251609707801E-3</v>
      </c>
      <c r="E433" s="9">
        <v>-1.3868251609707801E-3</v>
      </c>
      <c r="F433" s="9">
        <v>0.21279505295755796</v>
      </c>
      <c r="G433" s="9">
        <v>0.21279505295755796</v>
      </c>
      <c r="H433" s="35">
        <v>-1.3877876929963328E-3</v>
      </c>
    </row>
    <row r="434" spans="2:8" x14ac:dyDescent="0.35">
      <c r="B434" s="6">
        <v>45554</v>
      </c>
      <c r="C434" s="7" t="s">
        <v>33</v>
      </c>
      <c r="D434" s="9">
        <v>1.60698343418311E-2</v>
      </c>
      <c r="E434" s="9">
        <v>1.60698343418311E-2</v>
      </c>
      <c r="F434" s="9">
        <v>0.23228446854917806</v>
      </c>
      <c r="G434" s="9">
        <v>0.23228446854917806</v>
      </c>
      <c r="H434" s="35">
        <v>1.5942081382592972E-2</v>
      </c>
    </row>
    <row r="435" spans="2:8" x14ac:dyDescent="0.35">
      <c r="B435" s="6">
        <v>45555</v>
      </c>
      <c r="C435" s="7" t="s">
        <v>33</v>
      </c>
      <c r="D435" s="9">
        <v>-8.0054671482964902E-3</v>
      </c>
      <c r="E435" s="9">
        <v>-8.0054671482964902E-3</v>
      </c>
      <c r="F435" s="9">
        <v>0.22241945571885147</v>
      </c>
      <c r="G435" s="9">
        <v>0.22241945571885147</v>
      </c>
      <c r="H435" s="35">
        <v>-8.0376829506533347E-3</v>
      </c>
    </row>
    <row r="436" spans="2:8" x14ac:dyDescent="0.35">
      <c r="B436" s="6">
        <v>45558</v>
      </c>
      <c r="C436" s="7" t="s">
        <v>33</v>
      </c>
      <c r="D436" s="9">
        <v>-2.3666686349768699E-2</v>
      </c>
      <c r="E436" s="9">
        <v>-2.3666686349768699E-2</v>
      </c>
      <c r="F436" s="9">
        <v>0.1934888378724986</v>
      </c>
      <c r="G436" s="9">
        <v>0.1934888378724986</v>
      </c>
      <c r="H436" s="35">
        <v>-2.3951240982740835E-2</v>
      </c>
    </row>
    <row r="437" spans="2:8" x14ac:dyDescent="0.35">
      <c r="B437" s="6">
        <v>45559</v>
      </c>
      <c r="C437" s="7" t="s">
        <v>33</v>
      </c>
      <c r="D437" s="9">
        <v>-4.8391974997478897E-3</v>
      </c>
      <c r="E437" s="9">
        <v>-4.8391974997478897E-3</v>
      </c>
      <c r="F437" s="9">
        <v>0.18771330967228894</v>
      </c>
      <c r="G437" s="9">
        <v>0.18771330967228894</v>
      </c>
      <c r="H437" s="35">
        <v>-4.8509443281057373E-3</v>
      </c>
    </row>
    <row r="438" spans="2:8" x14ac:dyDescent="0.35">
      <c r="B438" s="6">
        <v>45560</v>
      </c>
      <c r="C438" s="7" t="s">
        <v>33</v>
      </c>
      <c r="D438" s="9">
        <v>-9.7254584135346E-3</v>
      </c>
      <c r="E438" s="9">
        <v>-9.7254584135346E-3</v>
      </c>
      <c r="F438" s="9">
        <v>0.17616225327186963</v>
      </c>
      <c r="G438" s="9">
        <v>0.17616225327186963</v>
      </c>
      <c r="H438" s="35">
        <v>-9.7730595643214166E-3</v>
      </c>
    </row>
    <row r="439" spans="2:8" x14ac:dyDescent="0.35">
      <c r="B439" s="6">
        <v>45561</v>
      </c>
      <c r="C439" s="7" t="s">
        <v>33</v>
      </c>
      <c r="D439" s="9">
        <v>4.5012787723785501E-3</v>
      </c>
      <c r="E439" s="9">
        <v>4.5012787723785501E-3</v>
      </c>
      <c r="F439" s="9">
        <v>0.18145648745539522</v>
      </c>
      <c r="G439" s="9">
        <v>0.18145648745539522</v>
      </c>
      <c r="H439" s="35">
        <v>4.4911783157237668E-3</v>
      </c>
    </row>
    <row r="440" spans="2:8" x14ac:dyDescent="0.35">
      <c r="B440" s="6">
        <v>45562</v>
      </c>
      <c r="C440" s="7" t="s">
        <v>33</v>
      </c>
      <c r="D440" s="9">
        <v>2.4442407577146001E-3</v>
      </c>
      <c r="E440" s="9">
        <v>2.4442407577146001E-3</v>
      </c>
      <c r="F440" s="9">
        <v>0.18434425155550005</v>
      </c>
      <c r="G440" s="9">
        <v>0.18434425155550005</v>
      </c>
      <c r="H440" s="35">
        <v>2.4412584599210318E-3</v>
      </c>
    </row>
    <row r="441" spans="2:8" x14ac:dyDescent="0.35">
      <c r="B441" s="6">
        <v>45565</v>
      </c>
      <c r="C441" s="7" t="s">
        <v>33</v>
      </c>
      <c r="D441" s="9">
        <v>3.7590165599918702E-3</v>
      </c>
      <c r="E441" s="9">
        <v>3.7590165599918702E-3</v>
      </c>
      <c r="F441" s="9">
        <v>0.18879622120982842</v>
      </c>
      <c r="G441" s="9">
        <v>0.18879622120982842</v>
      </c>
      <c r="H441" s="35">
        <v>3.751969112702193E-3</v>
      </c>
    </row>
    <row r="442" spans="2:8" x14ac:dyDescent="0.35">
      <c r="B442" s="6">
        <v>45566</v>
      </c>
      <c r="C442" s="7" t="s">
        <v>33</v>
      </c>
      <c r="D442" s="9">
        <v>-8.4008097165991606E-3</v>
      </c>
      <c r="E442" s="9">
        <v>-8.4008097165991606E-3</v>
      </c>
      <c r="F442" s="9">
        <v>0.17880937036363242</v>
      </c>
      <c r="G442" s="9">
        <v>0.17880937036363242</v>
      </c>
      <c r="H442" s="35">
        <v>-8.4362953972712141E-3</v>
      </c>
    </row>
    <row r="443" spans="2:8" x14ac:dyDescent="0.35">
      <c r="B443" s="6">
        <v>45567</v>
      </c>
      <c r="C443" s="7" t="s">
        <v>33</v>
      </c>
      <c r="D443" s="9">
        <v>1.2248647545166701E-3</v>
      </c>
      <c r="E443" s="9">
        <v>1.2248647545166701E-3</v>
      </c>
      <c r="F443" s="9">
        <v>0.18025325241368484</v>
      </c>
      <c r="G443" s="9">
        <v>0.18025325241368484</v>
      </c>
      <c r="H443" s="35">
        <v>1.2241152196734544E-3</v>
      </c>
    </row>
    <row r="444" spans="2:8" x14ac:dyDescent="0.35">
      <c r="B444" s="6">
        <v>45568</v>
      </c>
      <c r="C444" s="7" t="s">
        <v>33</v>
      </c>
      <c r="D444" s="9">
        <v>-1.4782342746457299E-2</v>
      </c>
      <c r="E444" s="9">
        <v>-1.4782342746457299E-2</v>
      </c>
      <c r="F444" s="9">
        <v>0.16280634430888474</v>
      </c>
      <c r="G444" s="9">
        <v>0.16280634430888474</v>
      </c>
      <c r="H444" s="35">
        <v>-1.489269038971941E-2</v>
      </c>
    </row>
    <row r="445" spans="2:8" x14ac:dyDescent="0.35">
      <c r="B445" s="6">
        <v>45569</v>
      </c>
      <c r="C445" s="7" t="s">
        <v>33</v>
      </c>
      <c r="D445" s="9">
        <v>9.0024834437086206E-3</v>
      </c>
      <c r="E445" s="9">
        <v>9.0024834437086206E-3</v>
      </c>
      <c r="F445" s="9">
        <v>0.1732744891717648</v>
      </c>
      <c r="G445" s="9">
        <v>0.1732744891717648</v>
      </c>
      <c r="H445" s="35">
        <v>8.9622026605227865E-3</v>
      </c>
    </row>
    <row r="446" spans="2:8" x14ac:dyDescent="0.35">
      <c r="B446" s="6">
        <v>45572</v>
      </c>
      <c r="C446" s="7" t="s">
        <v>33</v>
      </c>
      <c r="D446" s="9">
        <v>-1.21013229412368E-2</v>
      </c>
      <c r="E446" s="9">
        <v>-1.21013229412368E-2</v>
      </c>
      <c r="F446" s="9">
        <v>0.15907631567958269</v>
      </c>
      <c r="G446" s="9">
        <v>0.15907631567958269</v>
      </c>
      <c r="H446" s="35">
        <v>-1.2175140077495367E-2</v>
      </c>
    </row>
    <row r="447" spans="2:8" x14ac:dyDescent="0.35">
      <c r="B447" s="6">
        <v>45573</v>
      </c>
      <c r="C447" s="7" t="s">
        <v>33</v>
      </c>
      <c r="D447" s="9">
        <v>7.9933561714938001E-3</v>
      </c>
      <c r="E447" s="9">
        <v>7.9933561714938001E-3</v>
      </c>
      <c r="F447" s="9">
        <v>0.16834122550075237</v>
      </c>
      <c r="G447" s="9">
        <v>0.16834122550075237</v>
      </c>
      <c r="H447" s="35">
        <v>7.9615785277469195E-3</v>
      </c>
    </row>
    <row r="448" spans="2:8" x14ac:dyDescent="0.35">
      <c r="B448" s="6">
        <v>45574</v>
      </c>
      <c r="C448" s="7" t="s">
        <v>33</v>
      </c>
      <c r="D448" s="9">
        <v>-8.1359423274973506E-3</v>
      </c>
      <c r="E448" s="9">
        <v>-8.1359423274973506E-3</v>
      </c>
      <c r="F448" s="9">
        <v>0.15883566867124066</v>
      </c>
      <c r="G448" s="9">
        <v>0.15883566867124066</v>
      </c>
      <c r="H448" s="35">
        <v>-8.1692197245062399E-3</v>
      </c>
    </row>
    <row r="449" spans="2:8" x14ac:dyDescent="0.35">
      <c r="B449" s="6">
        <v>45575</v>
      </c>
      <c r="C449" s="7" t="s">
        <v>33</v>
      </c>
      <c r="D449" s="9">
        <v>-9.3448240058158899E-4</v>
      </c>
      <c r="E449" s="9">
        <v>-9.3448240058158899E-4</v>
      </c>
      <c r="F449" s="9">
        <v>0.15775275713370118</v>
      </c>
      <c r="G449" s="9">
        <v>0.15775275713370118</v>
      </c>
      <c r="H449" s="35">
        <v>-9.3491930146541154E-4</v>
      </c>
    </row>
    <row r="450" spans="2:8" x14ac:dyDescent="0.35">
      <c r="B450" s="6">
        <v>45576</v>
      </c>
      <c r="C450" s="7" t="s">
        <v>33</v>
      </c>
      <c r="D450" s="9">
        <v>2.5566410309707001E-2</v>
      </c>
      <c r="E450" s="9">
        <v>2.5566410309707001E-2</v>
      </c>
      <c r="F450" s="9">
        <v>0.187352339159776</v>
      </c>
      <c r="G450" s="9">
        <v>0.187352339159776</v>
      </c>
      <c r="H450" s="35">
        <v>2.5245055389848454E-2</v>
      </c>
    </row>
    <row r="451" spans="2:8" x14ac:dyDescent="0.35">
      <c r="B451" s="6">
        <v>45579</v>
      </c>
      <c r="C451" s="7" t="s">
        <v>33</v>
      </c>
      <c r="D451" s="9">
        <v>3.9521686258613097E-3</v>
      </c>
      <c r="E451" s="9">
        <v>3.9521686258613097E-3</v>
      </c>
      <c r="F451" s="9">
        <v>0.19204495582244618</v>
      </c>
      <c r="G451" s="9">
        <v>0.19204495582244618</v>
      </c>
      <c r="H451" s="35">
        <v>3.9443793237827884E-3</v>
      </c>
    </row>
    <row r="452" spans="2:8" x14ac:dyDescent="0.35">
      <c r="B452" s="6">
        <v>45580</v>
      </c>
      <c r="C452" s="7" t="s">
        <v>33</v>
      </c>
      <c r="D452" s="9">
        <v>2.42252952457869E-3</v>
      </c>
      <c r="E452" s="9">
        <v>2.42252952457869E-3</v>
      </c>
      <c r="F452" s="9">
        <v>0.19493271992255123</v>
      </c>
      <c r="G452" s="9">
        <v>0.19493271992255123</v>
      </c>
      <c r="H452" s="35">
        <v>2.419599930328504E-3</v>
      </c>
    </row>
    <row r="453" spans="2:8" x14ac:dyDescent="0.35">
      <c r="B453" s="6">
        <v>45581</v>
      </c>
      <c r="C453" s="7" t="s">
        <v>33</v>
      </c>
      <c r="D453" s="9">
        <v>9.4653106434396395E-3</v>
      </c>
      <c r="E453" s="9">
        <v>9.4653106434396395E-3</v>
      </c>
      <c r="F453" s="9">
        <v>0.20624312931462851</v>
      </c>
      <c r="G453" s="9">
        <v>0.20624312931462851</v>
      </c>
      <c r="H453" s="35">
        <v>9.4207952714113405E-3</v>
      </c>
    </row>
    <row r="454" spans="2:8" x14ac:dyDescent="0.35">
      <c r="B454" s="6">
        <v>45582</v>
      </c>
      <c r="C454" s="7" t="s">
        <v>33</v>
      </c>
      <c r="D454" s="9">
        <v>-9.4763092269326207E-3</v>
      </c>
      <c r="E454" s="9">
        <v>-9.4763092269326207E-3</v>
      </c>
      <c r="F454" s="9">
        <v>0.19481239641838011</v>
      </c>
      <c r="G454" s="9">
        <v>0.19481239641838011</v>
      </c>
      <c r="H454" s="35">
        <v>-9.5214951355516459E-3</v>
      </c>
    </row>
    <row r="455" spans="2:8" x14ac:dyDescent="0.35">
      <c r="B455" s="6">
        <v>45583</v>
      </c>
      <c r="C455" s="7" t="s">
        <v>33</v>
      </c>
      <c r="D455" s="9">
        <v>5.3373615307150202E-3</v>
      </c>
      <c r="E455" s="9">
        <v>5.3373615307150202E-3</v>
      </c>
      <c r="F455" s="9">
        <v>0.20118954213944495</v>
      </c>
      <c r="G455" s="9">
        <v>0.20118954213944495</v>
      </c>
      <c r="H455" s="35">
        <v>5.323168297206987E-3</v>
      </c>
    </row>
    <row r="456" spans="2:8" x14ac:dyDescent="0.35">
      <c r="B456" s="6">
        <v>45586</v>
      </c>
      <c r="C456" s="7" t="s">
        <v>33</v>
      </c>
      <c r="D456" s="9">
        <v>-1.6828608634678999E-2</v>
      </c>
      <c r="E456" s="9">
        <v>-1.6828608634678999E-2</v>
      </c>
      <c r="F456" s="9">
        <v>0.18097519343871094</v>
      </c>
      <c r="G456" s="9">
        <v>0.18097519343871094</v>
      </c>
      <c r="H456" s="35">
        <v>-1.6971818625863749E-2</v>
      </c>
    </row>
    <row r="457" spans="2:8" x14ac:dyDescent="0.35">
      <c r="B457" s="6">
        <v>45587</v>
      </c>
      <c r="C457" s="7" t="s">
        <v>33</v>
      </c>
      <c r="D457" s="9">
        <v>1.22261844116147E-3</v>
      </c>
      <c r="E457" s="9">
        <v>1.22261844116147E-3</v>
      </c>
      <c r="F457" s="9">
        <v>0.18241907548876335</v>
      </c>
      <c r="G457" s="9">
        <v>0.18241907548876335</v>
      </c>
      <c r="H457" s="35">
        <v>1.2218716518653827E-3</v>
      </c>
    </row>
    <row r="458" spans="2:8" x14ac:dyDescent="0.35">
      <c r="B458" s="6">
        <v>45588</v>
      </c>
      <c r="C458" s="7" t="s">
        <v>33</v>
      </c>
      <c r="D458" s="9">
        <v>-1.6281672941894702E-2</v>
      </c>
      <c r="E458" s="9">
        <v>-1.6281672941894702E-2</v>
      </c>
      <c r="F458" s="9">
        <v>0.16316731482139768</v>
      </c>
      <c r="G458" s="9">
        <v>0.16316731482139768</v>
      </c>
      <c r="H458" s="35">
        <v>-1.6415675897821409E-2</v>
      </c>
    </row>
    <row r="459" spans="2:8" x14ac:dyDescent="0.35">
      <c r="B459" s="6">
        <v>45589</v>
      </c>
      <c r="C459" s="7" t="s">
        <v>33</v>
      </c>
      <c r="D459" s="9">
        <v>5.9997931105823504E-3</v>
      </c>
      <c r="E459" s="9">
        <v>5.9997931105823504E-3</v>
      </c>
      <c r="F459" s="9">
        <v>0.17014607806331772</v>
      </c>
      <c r="G459" s="9">
        <v>0.17014607806331772</v>
      </c>
      <c r="H459" s="35">
        <v>5.9818660220416322E-3</v>
      </c>
    </row>
    <row r="460" spans="2:8" x14ac:dyDescent="0.35">
      <c r="B460" s="6">
        <v>45590</v>
      </c>
      <c r="C460" s="7" t="s">
        <v>33</v>
      </c>
      <c r="D460" s="9">
        <v>-1.02827763496133E-3</v>
      </c>
      <c r="E460" s="9">
        <v>-1.02827763496133E-3</v>
      </c>
      <c r="F460" s="9">
        <v>0.16894284302160734</v>
      </c>
      <c r="G460" s="9">
        <v>0.16894284302160734</v>
      </c>
      <c r="H460" s="35">
        <v>-1.028806675106524E-3</v>
      </c>
    </row>
    <row r="461" spans="2:8" x14ac:dyDescent="0.35">
      <c r="B461" s="6">
        <v>45593</v>
      </c>
      <c r="C461" s="7" t="s">
        <v>33</v>
      </c>
      <c r="D461" s="9">
        <v>1.3793103448275799E-2</v>
      </c>
      <c r="E461" s="9">
        <v>1.3793103448275799E-2</v>
      </c>
      <c r="F461" s="9">
        <v>0.18506619258052615</v>
      </c>
      <c r="G461" s="9">
        <v>0.18506619258052615</v>
      </c>
      <c r="H461" s="35">
        <v>1.3698844358161927E-2</v>
      </c>
    </row>
    <row r="462" spans="2:8" x14ac:dyDescent="0.35">
      <c r="B462" s="6">
        <v>45594</v>
      </c>
      <c r="C462" s="7" t="s">
        <v>33</v>
      </c>
      <c r="D462" s="9">
        <v>7.1073205401567404E-4</v>
      </c>
      <c r="E462" s="9">
        <v>7.1073205401567404E-4</v>
      </c>
      <c r="F462" s="9">
        <v>0.18590845710972337</v>
      </c>
      <c r="G462" s="9">
        <v>0.18590845710972337</v>
      </c>
      <c r="H462" s="35">
        <v>7.104796035986347E-4</v>
      </c>
    </row>
    <row r="463" spans="2:8" x14ac:dyDescent="0.35">
      <c r="B463" s="6">
        <v>45595</v>
      </c>
      <c r="C463" s="7" t="s">
        <v>33</v>
      </c>
      <c r="D463" s="9">
        <v>-1.4204545454546201E-3</v>
      </c>
      <c r="E463" s="9">
        <v>-1.4204545454546201E-3</v>
      </c>
      <c r="F463" s="9">
        <v>0.18422392805132892</v>
      </c>
      <c r="G463" s="9">
        <v>0.18422392805132892</v>
      </c>
      <c r="H463" s="35">
        <v>-1.4214643473775366E-3</v>
      </c>
    </row>
    <row r="464" spans="2:8" x14ac:dyDescent="0.35">
      <c r="B464" s="6">
        <v>45596</v>
      </c>
      <c r="C464" s="7" t="s">
        <v>33</v>
      </c>
      <c r="D464" s="9">
        <v>-1.4123145702093101E-2</v>
      </c>
      <c r="E464" s="9">
        <v>-1.4123145702093101E-2</v>
      </c>
      <c r="F464" s="9">
        <v>0.16749896097155514</v>
      </c>
      <c r="G464" s="9">
        <v>0.16749896097155514</v>
      </c>
      <c r="H464" s="35">
        <v>-1.4223826400624039E-2</v>
      </c>
    </row>
    <row r="465" spans="2:8" x14ac:dyDescent="0.35">
      <c r="B465" s="6">
        <v>45597</v>
      </c>
      <c r="C465" s="7" t="s">
        <v>33</v>
      </c>
      <c r="D465" s="9">
        <v>2.30856436153767E-2</v>
      </c>
      <c r="E465" s="9">
        <v>2.30856436153767E-2</v>
      </c>
      <c r="F465" s="9">
        <v>0.19445142590586717</v>
      </c>
      <c r="G465" s="9">
        <v>0.19445142590586717</v>
      </c>
      <c r="H465" s="35">
        <v>2.2823201564422496E-2</v>
      </c>
    </row>
    <row r="466" spans="2:8" x14ac:dyDescent="0.35">
      <c r="B466" s="6">
        <v>45600</v>
      </c>
      <c r="C466" s="7" t="s">
        <v>33</v>
      </c>
      <c r="D466" s="9">
        <v>-5.0367684093894196E-4</v>
      </c>
      <c r="E466" s="9">
        <v>-5.0367684093894196E-4</v>
      </c>
      <c r="F466" s="9">
        <v>0.19384980838501176</v>
      </c>
      <c r="G466" s="9">
        <v>0.19384980838501176</v>
      </c>
      <c r="H466" s="35">
        <v>-5.0380372872779191E-4</v>
      </c>
    </row>
    <row r="467" spans="2:8" x14ac:dyDescent="0.35">
      <c r="B467" s="6">
        <v>45601</v>
      </c>
      <c r="C467" s="7" t="s">
        <v>33</v>
      </c>
      <c r="D467" s="9">
        <v>1.4110058455956601E-2</v>
      </c>
      <c r="E467" s="9">
        <v>1.4110058455956601E-2</v>
      </c>
      <c r="F467" s="9">
        <v>0.21069509896895688</v>
      </c>
      <c r="G467" s="9">
        <v>0.21069509896895688</v>
      </c>
      <c r="H467" s="35">
        <v>1.4011438190269775E-2</v>
      </c>
    </row>
    <row r="468" spans="2:8" x14ac:dyDescent="0.35">
      <c r="B468" s="6">
        <v>45602</v>
      </c>
      <c r="C468" s="7" t="s">
        <v>33</v>
      </c>
      <c r="D468" s="9">
        <v>1.8087855297157399E-2</v>
      </c>
      <c r="E468" s="9">
        <v>1.8087855297157399E-2</v>
      </c>
      <c r="F468" s="9">
        <v>0.23259397672808513</v>
      </c>
      <c r="G468" s="9">
        <v>0.23259397672808513</v>
      </c>
      <c r="H468" s="35">
        <v>1.7926216268151895E-2</v>
      </c>
    </row>
    <row r="469" spans="2:8" x14ac:dyDescent="0.35">
      <c r="B469" s="6">
        <v>45603</v>
      </c>
      <c r="C469" s="7" t="s">
        <v>33</v>
      </c>
      <c r="D469" s="9">
        <v>5.5642327215931903E-3</v>
      </c>
      <c r="E469" s="9">
        <v>5.5642327215931903E-3</v>
      </c>
      <c r="F469" s="9">
        <v>0.23945241646583426</v>
      </c>
      <c r="G469" s="9">
        <v>0.23945241646583426</v>
      </c>
      <c r="H469" s="35">
        <v>5.5488095642776368E-3</v>
      </c>
    </row>
    <row r="470" spans="2:8" x14ac:dyDescent="0.35">
      <c r="B470" s="6">
        <v>45604</v>
      </c>
      <c r="C470" s="7" t="s">
        <v>33</v>
      </c>
      <c r="D470" s="9">
        <v>1.1358120570818499E-2</v>
      </c>
      <c r="E470" s="9">
        <v>1.1358120570818499E-2</v>
      </c>
      <c r="F470" s="9">
        <v>0.25353026645384547</v>
      </c>
      <c r="G470" s="9">
        <v>0.25353026645384547</v>
      </c>
      <c r="H470" s="35">
        <v>1.1294101421443506E-2</v>
      </c>
    </row>
    <row r="471" spans="2:8" x14ac:dyDescent="0.35">
      <c r="B471" s="6">
        <v>45607</v>
      </c>
      <c r="C471" s="7" t="s">
        <v>33</v>
      </c>
      <c r="D471" s="9">
        <v>-6.2392013822232103E-3</v>
      </c>
      <c r="E471" s="9">
        <v>-6.2392013822232103E-3</v>
      </c>
      <c r="F471" s="9">
        <v>0.24570923868272798</v>
      </c>
      <c r="G471" s="9">
        <v>0.24570923868272798</v>
      </c>
      <c r="H471" s="35">
        <v>-6.2587465390238958E-3</v>
      </c>
    </row>
    <row r="472" spans="2:8" x14ac:dyDescent="0.35">
      <c r="B472" s="6">
        <v>45608</v>
      </c>
      <c r="C472" s="7" t="s">
        <v>33</v>
      </c>
      <c r="D472" s="9">
        <v>-2.9170288805177198E-2</v>
      </c>
      <c r="E472" s="9">
        <v>-2.9170288805177198E-2</v>
      </c>
      <c r="F472" s="9">
        <v>0.20937154042307538</v>
      </c>
      <c r="G472" s="9">
        <v>0.20937154042307538</v>
      </c>
      <c r="H472" s="35">
        <v>-2.9604200741373266E-2</v>
      </c>
    </row>
    <row r="473" spans="2:8" x14ac:dyDescent="0.35">
      <c r="B473" s="6">
        <v>45609</v>
      </c>
      <c r="C473" s="7" t="s">
        <v>33</v>
      </c>
      <c r="D473" s="9">
        <v>-4.9746293901104599E-3</v>
      </c>
      <c r="E473" s="9">
        <v>-4.9746293901104599E-3</v>
      </c>
      <c r="F473" s="9">
        <v>0.20335536521452346</v>
      </c>
      <c r="G473" s="9">
        <v>0.20335536521452346</v>
      </c>
      <c r="H473" s="35">
        <v>-4.9870440482238688E-3</v>
      </c>
    </row>
    <row r="474" spans="2:8" x14ac:dyDescent="0.35">
      <c r="B474" s="6">
        <v>45610</v>
      </c>
      <c r="C474" s="7" t="s">
        <v>33</v>
      </c>
      <c r="D474" s="9">
        <v>-3.04969503049696E-2</v>
      </c>
      <c r="E474" s="9">
        <v>-3.04969503049696E-2</v>
      </c>
      <c r="F474" s="9">
        <v>0.1666566964423577</v>
      </c>
      <c r="G474" s="9">
        <v>0.1666566964423577</v>
      </c>
      <c r="H474" s="35">
        <v>-3.0971658667420427E-2</v>
      </c>
    </row>
    <row r="475" spans="2:8" x14ac:dyDescent="0.35">
      <c r="B475" s="6">
        <v>45611</v>
      </c>
      <c r="C475" s="7" t="s">
        <v>33</v>
      </c>
      <c r="D475" s="9">
        <v>-5.2908415841584101E-2</v>
      </c>
      <c r="E475" s="9">
        <v>-5.2908415841584101E-2</v>
      </c>
      <c r="F475" s="9">
        <v>0.10493073880261661</v>
      </c>
      <c r="G475" s="9">
        <v>0.10493073880261661</v>
      </c>
      <c r="H475" s="35">
        <v>-5.4359480695573455E-2</v>
      </c>
    </row>
    <row r="476" spans="2:8" x14ac:dyDescent="0.35">
      <c r="B476" s="6">
        <v>45614</v>
      </c>
      <c r="C476" s="7" t="s">
        <v>33</v>
      </c>
      <c r="D476" s="9">
        <v>1.4156593705761001E-3</v>
      </c>
      <c r="E476" s="9">
        <v>1.4156593705761001E-3</v>
      </c>
      <c r="F476" s="9">
        <v>0.10649494435684015</v>
      </c>
      <c r="G476" s="9">
        <v>0.10649494435684015</v>
      </c>
      <c r="H476" s="35">
        <v>1.4146582695499889E-3</v>
      </c>
    </row>
    <row r="477" spans="2:8" x14ac:dyDescent="0.35">
      <c r="B477" s="6">
        <v>45615</v>
      </c>
      <c r="C477" s="7" t="s">
        <v>33</v>
      </c>
      <c r="D477" s="9">
        <v>1.3157894736842099E-2</v>
      </c>
      <c r="E477" s="9">
        <v>1.3157894736842099E-2</v>
      </c>
      <c r="F477" s="9">
        <v>0.12105408836153542</v>
      </c>
      <c r="G477" s="9">
        <v>0.12105408836153542</v>
      </c>
      <c r="H477" s="35">
        <v>1.3072081567352701E-2</v>
      </c>
    </row>
    <row r="478" spans="2:8" x14ac:dyDescent="0.35">
      <c r="B478" s="6">
        <v>45616</v>
      </c>
      <c r="C478" s="7" t="s">
        <v>33</v>
      </c>
      <c r="D478" s="9">
        <v>9.0157776108189501E-3</v>
      </c>
      <c r="E478" s="9">
        <v>9.0157776108189501E-3</v>
      </c>
      <c r="F478" s="9">
        <v>0.13116126271190232</v>
      </c>
      <c r="G478" s="9">
        <v>0.13116126271190232</v>
      </c>
      <c r="H478" s="35">
        <v>8.9753781281258528E-3</v>
      </c>
    </row>
    <row r="479" spans="2:8" x14ac:dyDescent="0.35">
      <c r="B479" s="6">
        <v>45617</v>
      </c>
      <c r="C479" s="7" t="s">
        <v>33</v>
      </c>
      <c r="D479" s="9">
        <v>3.0847782150834101E-3</v>
      </c>
      <c r="E479" s="9">
        <v>3.0847782150834101E-3</v>
      </c>
      <c r="F479" s="9">
        <v>0.13465064433286211</v>
      </c>
      <c r="G479" s="9">
        <v>0.13465064433286211</v>
      </c>
      <c r="H479" s="35">
        <v>3.080030048952148E-3</v>
      </c>
    </row>
    <row r="480" spans="2:8" x14ac:dyDescent="0.35">
      <c r="B480" s="6">
        <v>45618</v>
      </c>
      <c r="C480" s="7" t="s">
        <v>33</v>
      </c>
      <c r="D480" s="9">
        <v>2.0572640509013699E-2</v>
      </c>
      <c r="E480" s="9">
        <v>2.0572640509013699E-2</v>
      </c>
      <c r="F480" s="9">
        <v>0.15799340414204277</v>
      </c>
      <c r="G480" s="9">
        <v>0.15799340414204277</v>
      </c>
      <c r="H480" s="35">
        <v>2.0363882027011483E-2</v>
      </c>
    </row>
    <row r="481" spans="2:8" x14ac:dyDescent="0.35">
      <c r="B481" s="6">
        <v>45621</v>
      </c>
      <c r="C481" s="7" t="s">
        <v>33</v>
      </c>
      <c r="D481" s="9">
        <v>1.4443059019118999E-2</v>
      </c>
      <c r="E481" s="9">
        <v>1.4443059019118999E-2</v>
      </c>
      <c r="F481" s="9">
        <v>0.17471837122181677</v>
      </c>
      <c r="G481" s="9">
        <v>0.17471837122181677</v>
      </c>
      <c r="H481" s="35">
        <v>1.4339751571156713E-2</v>
      </c>
    </row>
    <row r="482" spans="2:8" x14ac:dyDescent="0.35">
      <c r="B482" s="6">
        <v>45622</v>
      </c>
      <c r="C482" s="7" t="s">
        <v>33</v>
      </c>
      <c r="D482" s="9">
        <v>1.24961589675304E-2</v>
      </c>
      <c r="E482" s="9">
        <v>1.24961589675304E-2</v>
      </c>
      <c r="F482" s="9">
        <v>0.18939783873068294</v>
      </c>
      <c r="G482" s="9">
        <v>0.18939783873068294</v>
      </c>
      <c r="H482" s="35">
        <v>1.2418726379045647E-2</v>
      </c>
    </row>
    <row r="483" spans="2:8" x14ac:dyDescent="0.35">
      <c r="B483" s="6">
        <v>45623</v>
      </c>
      <c r="C483" s="7" t="s">
        <v>33</v>
      </c>
      <c r="D483" s="9">
        <v>1.16337885685382E-2</v>
      </c>
      <c r="E483" s="9">
        <v>1.16337885685382E-2</v>
      </c>
      <c r="F483" s="9">
        <v>0.20323504171035212</v>
      </c>
      <c r="G483" s="9">
        <v>0.20323504171035212</v>
      </c>
      <c r="H483" s="35">
        <v>1.1566636371465511E-2</v>
      </c>
    </row>
    <row r="484" spans="2:8" x14ac:dyDescent="0.35">
      <c r="B484" s="6">
        <v>45625</v>
      </c>
      <c r="C484" s="7" t="s">
        <v>33</v>
      </c>
      <c r="D484" s="9">
        <v>-3.7999999999998998E-3</v>
      </c>
      <c r="E484" s="9">
        <v>-3.7999999999998998E-3</v>
      </c>
      <c r="F484" s="9">
        <v>0.19866274855185284</v>
      </c>
      <c r="G484" s="9">
        <v>0.19866274855185284</v>
      </c>
      <c r="H484" s="35">
        <v>-3.8072383429539548E-3</v>
      </c>
    </row>
    <row r="485" spans="2:8" x14ac:dyDescent="0.35">
      <c r="B485" s="6">
        <v>45628</v>
      </c>
      <c r="C485" s="7" t="s">
        <v>33</v>
      </c>
      <c r="D485" s="9">
        <v>-3.1118249347520601E-3</v>
      </c>
      <c r="E485" s="9">
        <v>-3.1118249347520601E-3</v>
      </c>
      <c r="F485" s="9">
        <v>0.19493271992255079</v>
      </c>
      <c r="G485" s="9">
        <v>0.19493271992255079</v>
      </c>
      <c r="H485" s="35">
        <v>-3.1166767298701215E-3</v>
      </c>
    </row>
    <row r="486" spans="2:8" x14ac:dyDescent="0.35">
      <c r="B486" s="6">
        <v>45629</v>
      </c>
      <c r="C486" s="7" t="s">
        <v>33</v>
      </c>
      <c r="D486" s="9">
        <v>-1.63125566408217E-2</v>
      </c>
      <c r="E486" s="9">
        <v>-1.63125566408217E-2</v>
      </c>
      <c r="F486" s="9">
        <v>0.17544031224684309</v>
      </c>
      <c r="G486" s="9">
        <v>0.17544031224684309</v>
      </c>
      <c r="H486" s="35">
        <v>-1.6447071250415994E-2</v>
      </c>
    </row>
    <row r="487" spans="2:8" x14ac:dyDescent="0.35">
      <c r="B487" s="6">
        <v>45630</v>
      </c>
      <c r="C487" s="7" t="s">
        <v>33</v>
      </c>
      <c r="D487" s="9">
        <v>1.1260108506500201E-2</v>
      </c>
      <c r="E487" s="9">
        <v>1.1260108506500201E-2</v>
      </c>
      <c r="F487" s="9">
        <v>0.18867589770565707</v>
      </c>
      <c r="G487" s="9">
        <v>0.18867589770565707</v>
      </c>
      <c r="H487" s="35">
        <v>1.1197185391531554E-2</v>
      </c>
    </row>
    <row r="488" spans="2:8" x14ac:dyDescent="0.35">
      <c r="B488" s="6">
        <v>45631</v>
      </c>
      <c r="C488" s="7" t="s">
        <v>33</v>
      </c>
      <c r="D488" s="9">
        <v>-1.4778823767588E-2</v>
      </c>
      <c r="E488" s="9">
        <v>-1.4778823767588E-2</v>
      </c>
      <c r="F488" s="9">
        <v>0.17110866609668562</v>
      </c>
      <c r="G488" s="9">
        <v>0.17110866609668562</v>
      </c>
      <c r="H488" s="35">
        <v>-1.4889118617980545E-2</v>
      </c>
    </row>
    <row r="489" spans="2:8" x14ac:dyDescent="0.35">
      <c r="B489" s="6">
        <v>45632</v>
      </c>
      <c r="C489" s="7" t="s">
        <v>33</v>
      </c>
      <c r="D489" s="9">
        <v>1.8596527278331498E-2</v>
      </c>
      <c r="E489" s="9">
        <v>1.8596527278331498E-2</v>
      </c>
      <c r="F489" s="9">
        <v>0.19288722035164296</v>
      </c>
      <c r="G489" s="9">
        <v>0.19288722035164296</v>
      </c>
      <c r="H489" s="35">
        <v>1.8425726154025639E-2</v>
      </c>
    </row>
    <row r="490" spans="2:8" x14ac:dyDescent="0.35">
      <c r="B490" s="6">
        <v>45635</v>
      </c>
      <c r="C490" s="7" t="s">
        <v>33</v>
      </c>
      <c r="D490" s="9">
        <v>-9.0780714141618004E-3</v>
      </c>
      <c r="E490" s="9">
        <v>-9.0780714141618004E-3</v>
      </c>
      <c r="F490" s="9">
        <v>0.18205810497624975</v>
      </c>
      <c r="G490" s="9">
        <v>0.18205810497624975</v>
      </c>
      <c r="H490" s="35">
        <v>-9.1195281935955459E-3</v>
      </c>
    </row>
    <row r="491" spans="2:8" x14ac:dyDescent="0.35">
      <c r="B491" s="6">
        <v>45636</v>
      </c>
      <c r="C491" s="7" t="s">
        <v>33</v>
      </c>
      <c r="D491" s="9">
        <v>-8.3469055374592108E-3</v>
      </c>
      <c r="E491" s="9">
        <v>-8.3469055374592108E-3</v>
      </c>
      <c r="F491" s="9">
        <v>0.17219157763422488</v>
      </c>
      <c r="G491" s="9">
        <v>0.17219157763422488</v>
      </c>
      <c r="H491" s="35">
        <v>-8.381936020435651E-3</v>
      </c>
    </row>
    <row r="492" spans="2:8" x14ac:dyDescent="0.35">
      <c r="B492" s="6">
        <v>45637</v>
      </c>
      <c r="C492" s="7" t="s">
        <v>33</v>
      </c>
      <c r="D492" s="9">
        <v>-4.6191747074523504E-3</v>
      </c>
      <c r="E492" s="9">
        <v>-4.6191747074523504E-3</v>
      </c>
      <c r="F492" s="9">
        <v>0.16677701994652816</v>
      </c>
      <c r="G492" s="9">
        <v>0.16677701994652816</v>
      </c>
      <c r="H492" s="35">
        <v>-4.6298760619417787E-3</v>
      </c>
    </row>
    <row r="493" spans="2:8" x14ac:dyDescent="0.35">
      <c r="B493" s="6">
        <v>45638</v>
      </c>
      <c r="C493" s="7" t="s">
        <v>33</v>
      </c>
      <c r="D493" s="9">
        <v>-2.8565535732700799E-2</v>
      </c>
      <c r="E493" s="9">
        <v>-2.8565535732700799E-2</v>
      </c>
      <c r="F493" s="9">
        <v>0.13344740929115151</v>
      </c>
      <c r="G493" s="9">
        <v>0.13344740929115151</v>
      </c>
      <c r="H493" s="35">
        <v>-2.8981470734137486E-2</v>
      </c>
    </row>
    <row r="494" spans="2:8" x14ac:dyDescent="0.35">
      <c r="B494" s="6">
        <v>45639</v>
      </c>
      <c r="C494" s="7" t="s">
        <v>33</v>
      </c>
      <c r="D494" s="9">
        <v>-8.4925690021231195E-3</v>
      </c>
      <c r="E494" s="9">
        <v>-8.4925690021231195E-3</v>
      </c>
      <c r="F494" s="9">
        <v>0.12382152895746867</v>
      </c>
      <c r="G494" s="9">
        <v>0.12382152895746867</v>
      </c>
      <c r="H494" s="35">
        <v>-8.5288363475204357E-3</v>
      </c>
    </row>
    <row r="495" spans="2:8" x14ac:dyDescent="0.35">
      <c r="B495" s="6">
        <v>45642</v>
      </c>
      <c r="C495" s="7" t="s">
        <v>33</v>
      </c>
      <c r="D495" s="9">
        <v>1.45610278372591E-2</v>
      </c>
      <c r="E495" s="9">
        <v>1.45610278372591E-2</v>
      </c>
      <c r="F495" s="9">
        <v>0.14018552552472952</v>
      </c>
      <c r="G495" s="9">
        <v>0.14018552552472952</v>
      </c>
      <c r="H495" s="35">
        <v>1.4456034055787884E-2</v>
      </c>
    </row>
    <row r="496" spans="2:8" x14ac:dyDescent="0.35">
      <c r="B496" s="6">
        <v>45643</v>
      </c>
      <c r="C496" s="7" t="s">
        <v>33</v>
      </c>
      <c r="D496" s="9">
        <v>-1.7940059096666001E-3</v>
      </c>
      <c r="E496" s="9">
        <v>-1.7940059096666001E-3</v>
      </c>
      <c r="F496" s="9">
        <v>0.13814002595382191</v>
      </c>
      <c r="G496" s="9">
        <v>0.13814002595382191</v>
      </c>
      <c r="H496" s="35">
        <v>-1.7956170655056534E-3</v>
      </c>
    </row>
    <row r="497" spans="2:8" x14ac:dyDescent="0.35">
      <c r="B497" s="6">
        <v>45644</v>
      </c>
      <c r="C497" s="7" t="s">
        <v>33</v>
      </c>
      <c r="D497" s="9">
        <v>-4.9265250026429799E-2</v>
      </c>
      <c r="E497" s="9">
        <v>-4.9265250026429799E-2</v>
      </c>
      <c r="F497" s="9">
        <v>8.206927301011957E-2</v>
      </c>
      <c r="G497" s="9">
        <v>8.206927301011957E-2</v>
      </c>
      <c r="H497" s="35">
        <v>-5.0520172298654971E-2</v>
      </c>
    </row>
    <row r="498" spans="2:8" x14ac:dyDescent="0.35">
      <c r="B498" s="6">
        <v>45645</v>
      </c>
      <c r="C498" s="7" t="s">
        <v>33</v>
      </c>
      <c r="D498" s="9">
        <v>-1.33437117758254E-3</v>
      </c>
      <c r="E498" s="9">
        <v>-1.33437117758254E-3</v>
      </c>
      <c r="F498" s="9">
        <v>8.0625390960067156E-2</v>
      </c>
      <c r="G498" s="9">
        <v>8.0625390960067156E-2</v>
      </c>
      <c r="H498" s="35">
        <v>-1.3352622435656698E-3</v>
      </c>
    </row>
    <row r="499" spans="2:8" x14ac:dyDescent="0.35">
      <c r="B499" s="6">
        <v>45646</v>
      </c>
      <c r="C499" s="7" t="s">
        <v>33</v>
      </c>
      <c r="D499" s="9">
        <v>1.6367887763055301E-2</v>
      </c>
      <c r="E499" s="9">
        <v>1.6367887763055301E-2</v>
      </c>
      <c r="F499" s="9">
        <v>9.8312946073209284E-2</v>
      </c>
      <c r="G499" s="9">
        <v>9.8312946073209284E-2</v>
      </c>
      <c r="H499" s="35">
        <v>1.6235377870961808E-2</v>
      </c>
    </row>
    <row r="500" spans="2:8" x14ac:dyDescent="0.35">
      <c r="B500" s="6">
        <v>45649</v>
      </c>
      <c r="C500" s="7" t="s">
        <v>33</v>
      </c>
      <c r="D500" s="9">
        <v>6.7121713409291402E-3</v>
      </c>
      <c r="E500" s="9">
        <v>6.7121713409291402E-3</v>
      </c>
      <c r="F500" s="9">
        <v>0.10568501075321324</v>
      </c>
      <c r="G500" s="9">
        <v>0.10568501075321324</v>
      </c>
      <c r="H500" s="35">
        <v>6.6897450158330445E-3</v>
      </c>
    </row>
    <row r="501" spans="2:8" x14ac:dyDescent="0.35">
      <c r="B501" s="6">
        <v>45650</v>
      </c>
      <c r="C501" s="7" t="s">
        <v>33</v>
      </c>
      <c r="D501" s="9">
        <v>9.7943192948083801E-4</v>
      </c>
      <c r="E501" s="9">
        <v>9.7943192948083801E-4</v>
      </c>
      <c r="F501" s="9">
        <v>0.10676795395669347</v>
      </c>
      <c r="G501" s="9">
        <v>0.10676795395669347</v>
      </c>
      <c r="H501" s="35">
        <v>9.7895259898419856E-4</v>
      </c>
    </row>
    <row r="502" spans="2:8" x14ac:dyDescent="0.35">
      <c r="B502" s="6">
        <v>45652</v>
      </c>
      <c r="C502" s="7" t="s">
        <v>33</v>
      </c>
      <c r="D502" s="9">
        <v>7.2841922156991097E-3</v>
      </c>
      <c r="E502" s="9">
        <v>7.2841922156991097E-3</v>
      </c>
      <c r="F502" s="9">
        <v>0.11482986447149024</v>
      </c>
      <c r="G502" s="9">
        <v>0.11482986447149024</v>
      </c>
      <c r="H502" s="35">
        <v>7.2577906195911658E-3</v>
      </c>
    </row>
    <row r="503" spans="2:8" x14ac:dyDescent="0.35">
      <c r="B503" s="6">
        <v>45653</v>
      </c>
      <c r="C503" s="7" t="s">
        <v>33</v>
      </c>
      <c r="D503" s="9">
        <v>-1.4031300593631999E-2</v>
      </c>
      <c r="E503" s="9">
        <v>-1.4031300593631999E-2</v>
      </c>
      <c r="F503" s="9">
        <v>9.9187351532332713E-2</v>
      </c>
      <c r="G503" s="9">
        <v>9.9187351532332713E-2</v>
      </c>
      <c r="H503" s="35">
        <v>-1.413066990735312E-2</v>
      </c>
    </row>
    <row r="504" spans="2:8" x14ac:dyDescent="0.35">
      <c r="B504" s="6">
        <v>45656</v>
      </c>
      <c r="C504" s="7" t="s">
        <v>33</v>
      </c>
      <c r="D504" s="9">
        <v>-1.5982484948002199E-2</v>
      </c>
      <c r="E504" s="9">
        <v>-1.5982484948002199E-2</v>
      </c>
      <c r="F504" s="9">
        <v>8.1619606231432718E-2</v>
      </c>
      <c r="G504" s="9">
        <v>8.1619606231432718E-2</v>
      </c>
      <c r="H504" s="35">
        <v>-1.6111582238707862E-2</v>
      </c>
    </row>
    <row r="505" spans="2:8" x14ac:dyDescent="0.35">
      <c r="B505" s="6">
        <v>45657</v>
      </c>
      <c r="C505" s="7" t="s">
        <v>33</v>
      </c>
      <c r="D505" s="9">
        <v>1.8912003559908E-3</v>
      </c>
      <c r="E505" s="9">
        <v>1.8912003559908E-3</v>
      </c>
      <c r="F505" s="9">
        <v>8.3665165615784298E-2</v>
      </c>
      <c r="G505" s="9">
        <v>8.3665165615784298E-2</v>
      </c>
      <c r="H505" s="35">
        <v>1.8894142881177845E-3</v>
      </c>
    </row>
    <row r="506" spans="2:8" x14ac:dyDescent="0.35">
      <c r="B506" s="6"/>
      <c r="C506" s="7"/>
      <c r="D506" s="9"/>
      <c r="E506" s="9"/>
      <c r="F506" s="9"/>
      <c r="G506" s="9"/>
      <c r="H506" s="35"/>
    </row>
    <row r="507" spans="2:8" x14ac:dyDescent="0.35">
      <c r="B507" s="6"/>
      <c r="C507" s="7"/>
      <c r="D507" s="9"/>
      <c r="E507" s="9"/>
      <c r="F507" s="9"/>
      <c r="G507" s="9"/>
      <c r="H507" s="35"/>
    </row>
    <row r="508" spans="2:8" x14ac:dyDescent="0.35">
      <c r="B508" s="6"/>
      <c r="C508" s="7"/>
      <c r="D508" s="9"/>
      <c r="E508" s="9"/>
      <c r="F508" s="9"/>
      <c r="G508" s="9"/>
      <c r="H508" s="35"/>
    </row>
    <row r="509" spans="2:8" x14ac:dyDescent="0.35">
      <c r="B509" s="6"/>
      <c r="C509" s="7"/>
      <c r="D509" s="9"/>
      <c r="E509" s="9"/>
      <c r="F509" s="9"/>
      <c r="G509" s="9"/>
      <c r="H509" s="35"/>
    </row>
    <row r="510" spans="2:8" x14ac:dyDescent="0.35">
      <c r="B510" s="6"/>
      <c r="C510" s="7"/>
      <c r="D510" s="9"/>
      <c r="E510" s="9"/>
      <c r="F510" s="9"/>
      <c r="G510" s="9"/>
      <c r="H510" s="35"/>
    </row>
    <row r="511" spans="2:8" x14ac:dyDescent="0.35">
      <c r="B511" s="6"/>
      <c r="C511" s="7"/>
      <c r="D511" s="9"/>
      <c r="E511" s="9"/>
      <c r="F511" s="9"/>
      <c r="G511" s="9"/>
      <c r="H511" s="35"/>
    </row>
    <row r="512" spans="2:8" x14ac:dyDescent="0.35">
      <c r="B512" s="6"/>
      <c r="C512" s="7"/>
      <c r="D512" s="9"/>
      <c r="E512" s="9"/>
      <c r="F512" s="9"/>
      <c r="G512" s="9"/>
      <c r="H512" s="35"/>
    </row>
    <row r="513" spans="2:8" x14ac:dyDescent="0.35">
      <c r="B513" s="6"/>
      <c r="C513" s="7"/>
      <c r="D513" s="9"/>
      <c r="E513" s="9"/>
      <c r="F513" s="9"/>
      <c r="G513" s="9"/>
      <c r="H513" s="35"/>
    </row>
    <row r="514" spans="2:8" x14ac:dyDescent="0.35">
      <c r="B514" s="6"/>
      <c r="C514" s="7"/>
      <c r="D514" s="9"/>
      <c r="E514" s="9"/>
      <c r="F514" s="9"/>
      <c r="G514" s="9"/>
      <c r="H514" s="35"/>
    </row>
    <row r="515" spans="2:8" x14ac:dyDescent="0.35">
      <c r="B515" s="6"/>
      <c r="C515" s="7"/>
      <c r="D515" s="9"/>
      <c r="E515" s="9"/>
      <c r="F515" s="9"/>
      <c r="G515" s="9"/>
      <c r="H515" s="35"/>
    </row>
    <row r="516" spans="2:8" x14ac:dyDescent="0.35">
      <c r="B516" s="6"/>
      <c r="C516" s="7"/>
      <c r="D516" s="9"/>
      <c r="E516" s="9"/>
      <c r="F516" s="9"/>
      <c r="G516" s="9"/>
      <c r="H516" s="35"/>
    </row>
    <row r="517" spans="2:8" x14ac:dyDescent="0.35">
      <c r="B517" s="6"/>
      <c r="C517" s="7"/>
      <c r="D517" s="9"/>
      <c r="E517" s="9"/>
      <c r="F517" s="9"/>
      <c r="G517" s="9"/>
      <c r="H517" s="35"/>
    </row>
    <row r="518" spans="2:8" x14ac:dyDescent="0.35">
      <c r="B518" s="6"/>
      <c r="C518" s="7"/>
      <c r="D518" s="9"/>
      <c r="E518" s="9"/>
      <c r="F518" s="9"/>
      <c r="G518" s="9"/>
      <c r="H518" s="35"/>
    </row>
    <row r="519" spans="2:8" x14ac:dyDescent="0.35">
      <c r="B519" s="6"/>
      <c r="C519" s="7"/>
      <c r="D519" s="9"/>
      <c r="E519" s="9"/>
      <c r="F519" s="9"/>
      <c r="G519" s="9"/>
      <c r="H519" s="35"/>
    </row>
    <row r="520" spans="2:8" x14ac:dyDescent="0.35">
      <c r="B520" s="6"/>
      <c r="C520" s="7"/>
      <c r="D520" s="9"/>
      <c r="E520" s="9"/>
      <c r="F520" s="9"/>
      <c r="G520" s="9"/>
      <c r="H520" s="35"/>
    </row>
    <row r="521" spans="2:8" x14ac:dyDescent="0.35">
      <c r="B521" s="6"/>
      <c r="C521" s="7"/>
      <c r="D521" s="9"/>
      <c r="E521" s="9"/>
      <c r="F521" s="9"/>
      <c r="G521" s="9"/>
      <c r="H521" s="35"/>
    </row>
    <row r="522" spans="2:8" x14ac:dyDescent="0.35">
      <c r="B522" s="6"/>
      <c r="C522" s="7"/>
      <c r="D522" s="9"/>
      <c r="E522" s="9"/>
      <c r="F522" s="9"/>
      <c r="G522" s="9"/>
      <c r="H522" s="35"/>
    </row>
    <row r="523" spans="2:8" x14ac:dyDescent="0.35">
      <c r="B523" s="6"/>
      <c r="C523" s="7"/>
      <c r="D523" s="9"/>
      <c r="E523" s="9"/>
      <c r="F523" s="9"/>
      <c r="G523" s="9"/>
      <c r="H523" s="35"/>
    </row>
    <row r="524" spans="2:8" x14ac:dyDescent="0.35">
      <c r="B524" s="6"/>
      <c r="C524" s="7"/>
      <c r="D524" s="9"/>
      <c r="E524" s="9"/>
      <c r="F524" s="9"/>
      <c r="G524" s="9"/>
      <c r="H524" s="35"/>
    </row>
    <row r="525" spans="2:8" x14ac:dyDescent="0.35">
      <c r="B525" s="6"/>
      <c r="C525" s="7"/>
      <c r="D525" s="9"/>
      <c r="E525" s="9"/>
      <c r="F525" s="9"/>
      <c r="G525" s="9"/>
      <c r="H525" s="35"/>
    </row>
    <row r="526" spans="2:8" x14ac:dyDescent="0.35">
      <c r="B526" s="6"/>
      <c r="C526" s="7"/>
      <c r="D526" s="9"/>
      <c r="E526" s="9"/>
      <c r="F526" s="9"/>
      <c r="G526" s="9"/>
      <c r="H526" s="35"/>
    </row>
    <row r="527" spans="2:8" x14ac:dyDescent="0.35">
      <c r="B527" s="6"/>
      <c r="C527" s="7"/>
      <c r="D527" s="9"/>
      <c r="E527" s="9"/>
      <c r="F527" s="9"/>
      <c r="G527" s="9"/>
      <c r="H527" s="35"/>
    </row>
    <row r="528" spans="2:8" x14ac:dyDescent="0.35">
      <c r="B528" s="6"/>
      <c r="C528" s="7"/>
      <c r="D528" s="9"/>
      <c r="E528" s="9"/>
      <c r="F528" s="9"/>
      <c r="G528" s="9"/>
      <c r="H528" s="35"/>
    </row>
    <row r="529" spans="2:8" x14ac:dyDescent="0.35">
      <c r="B529" s="6"/>
      <c r="C529" s="7"/>
      <c r="D529" s="9"/>
      <c r="E529" s="9"/>
      <c r="F529" s="9"/>
      <c r="G529" s="9"/>
      <c r="H529" s="35"/>
    </row>
    <row r="530" spans="2:8" x14ac:dyDescent="0.35">
      <c r="B530" s="6"/>
      <c r="C530" s="7"/>
      <c r="D530" s="9"/>
      <c r="E530" s="9"/>
      <c r="F530" s="9"/>
      <c r="G530" s="9"/>
      <c r="H530" s="35"/>
    </row>
    <row r="531" spans="2:8" x14ac:dyDescent="0.35">
      <c r="B531" s="6"/>
      <c r="C531" s="7"/>
      <c r="D531" s="9"/>
      <c r="E531" s="9"/>
      <c r="F531" s="9"/>
      <c r="G531" s="9"/>
      <c r="H531" s="35"/>
    </row>
    <row r="532" spans="2:8" x14ac:dyDescent="0.35">
      <c r="B532" s="6"/>
      <c r="C532" s="7"/>
      <c r="D532" s="9"/>
      <c r="E532" s="9"/>
      <c r="F532" s="9"/>
      <c r="G532" s="9"/>
      <c r="H532" s="35"/>
    </row>
    <row r="533" spans="2:8" x14ac:dyDescent="0.35">
      <c r="B533" s="6"/>
      <c r="C533" s="7"/>
      <c r="D533" s="9"/>
      <c r="E533" s="9"/>
      <c r="F533" s="9"/>
      <c r="G533" s="9"/>
      <c r="H533" s="35"/>
    </row>
    <row r="534" spans="2:8" x14ac:dyDescent="0.35">
      <c r="B534" s="6"/>
      <c r="C534" s="7"/>
      <c r="D534" s="9"/>
      <c r="E534" s="9"/>
      <c r="F534" s="9"/>
      <c r="G534" s="9"/>
      <c r="H534" s="35"/>
    </row>
    <row r="535" spans="2:8" x14ac:dyDescent="0.35">
      <c r="B535" s="6"/>
      <c r="C535" s="7"/>
      <c r="D535" s="9"/>
      <c r="E535" s="9"/>
      <c r="F535" s="9"/>
      <c r="G535" s="9"/>
      <c r="H535" s="35"/>
    </row>
    <row r="536" spans="2:8" x14ac:dyDescent="0.35">
      <c r="B536" s="6"/>
      <c r="C536" s="7"/>
      <c r="D536" s="9"/>
      <c r="E536" s="9"/>
      <c r="F536" s="9"/>
      <c r="G536" s="9"/>
      <c r="H536" s="35"/>
    </row>
    <row r="537" spans="2:8" x14ac:dyDescent="0.35">
      <c r="B537" s="6"/>
      <c r="C537" s="7"/>
      <c r="D537" s="9"/>
      <c r="E537" s="9"/>
      <c r="F537" s="9"/>
      <c r="G537" s="9"/>
      <c r="H537" s="35"/>
    </row>
    <row r="538" spans="2:8" x14ac:dyDescent="0.35">
      <c r="B538" s="6"/>
      <c r="C538" s="7"/>
      <c r="D538" s="9"/>
      <c r="E538" s="9"/>
      <c r="F538" s="9"/>
      <c r="G538" s="9"/>
      <c r="H538" s="35"/>
    </row>
    <row r="539" spans="2:8" x14ac:dyDescent="0.35">
      <c r="B539" s="6"/>
      <c r="C539" s="7"/>
      <c r="D539" s="9"/>
      <c r="E539" s="9"/>
      <c r="F539" s="9"/>
      <c r="G539" s="9"/>
      <c r="H539" s="35"/>
    </row>
    <row r="540" spans="2:8" x14ac:dyDescent="0.35">
      <c r="B540" s="6"/>
      <c r="C540" s="7"/>
      <c r="D540" s="9"/>
      <c r="E540" s="9"/>
      <c r="F540" s="9"/>
      <c r="G540" s="9"/>
      <c r="H540" s="35"/>
    </row>
    <row r="541" spans="2:8" x14ac:dyDescent="0.35">
      <c r="B541" s="6"/>
      <c r="C541" s="7"/>
      <c r="D541" s="9"/>
      <c r="E541" s="9"/>
      <c r="F541" s="9"/>
      <c r="G541" s="9"/>
      <c r="H541" s="35"/>
    </row>
    <row r="542" spans="2:8" x14ac:dyDescent="0.35">
      <c r="B542" s="6"/>
      <c r="C542" s="7"/>
      <c r="D542" s="9"/>
      <c r="E542" s="9"/>
      <c r="F542" s="9"/>
      <c r="G542" s="9"/>
      <c r="H542" s="35"/>
    </row>
    <row r="543" spans="2:8" x14ac:dyDescent="0.35">
      <c r="B543" s="6"/>
      <c r="C543" s="7"/>
      <c r="D543" s="9"/>
      <c r="E543" s="9"/>
      <c r="F543" s="9"/>
      <c r="G543" s="9"/>
      <c r="H543" s="35"/>
    </row>
    <row r="544" spans="2:8" x14ac:dyDescent="0.35">
      <c r="B544" s="6"/>
      <c r="C544" s="7"/>
      <c r="D544" s="9"/>
      <c r="E544" s="9"/>
      <c r="F544" s="9"/>
      <c r="G544" s="9"/>
      <c r="H544" s="35"/>
    </row>
    <row r="545" spans="2:8" x14ac:dyDescent="0.35">
      <c r="B545" s="6"/>
      <c r="C545" s="7"/>
      <c r="D545" s="9"/>
      <c r="E545" s="9"/>
      <c r="F545" s="9"/>
      <c r="G545" s="9"/>
      <c r="H545" s="35"/>
    </row>
    <row r="546" spans="2:8" x14ac:dyDescent="0.35">
      <c r="B546" s="6"/>
      <c r="C546" s="7"/>
      <c r="D546" s="9"/>
      <c r="E546" s="9"/>
      <c r="F546" s="9"/>
      <c r="G546" s="9"/>
      <c r="H546" s="35"/>
    </row>
    <row r="547" spans="2:8" x14ac:dyDescent="0.35">
      <c r="B547" s="6"/>
      <c r="C547" s="7"/>
      <c r="D547" s="9"/>
      <c r="E547" s="9"/>
      <c r="F547" s="9"/>
      <c r="G547" s="9"/>
      <c r="H547" s="35"/>
    </row>
    <row r="548" spans="2:8" x14ac:dyDescent="0.35">
      <c r="B548" s="6"/>
      <c r="C548" s="7"/>
      <c r="D548" s="9"/>
      <c r="E548" s="9"/>
      <c r="F548" s="9"/>
      <c r="G548" s="9"/>
      <c r="H548" s="35"/>
    </row>
    <row r="549" spans="2:8" x14ac:dyDescent="0.35">
      <c r="B549" s="6"/>
      <c r="C549" s="7"/>
      <c r="D549" s="9"/>
      <c r="E549" s="9"/>
      <c r="F549" s="9"/>
      <c r="G549" s="9"/>
      <c r="H549" s="35"/>
    </row>
    <row r="550" spans="2:8" x14ac:dyDescent="0.35">
      <c r="B550" s="6"/>
      <c r="C550" s="7"/>
      <c r="D550" s="9"/>
      <c r="E550" s="9"/>
      <c r="F550" s="9"/>
      <c r="G550" s="9"/>
      <c r="H550" s="35"/>
    </row>
    <row r="551" spans="2:8" x14ac:dyDescent="0.35">
      <c r="B551" s="6"/>
      <c r="C551" s="7"/>
      <c r="D551" s="9"/>
      <c r="E551" s="9"/>
      <c r="F551" s="9"/>
      <c r="G551" s="9"/>
      <c r="H551" s="35"/>
    </row>
    <row r="552" spans="2:8" x14ac:dyDescent="0.35">
      <c r="B552" s="6"/>
      <c r="C552" s="7"/>
      <c r="D552" s="9"/>
      <c r="E552" s="9"/>
      <c r="F552" s="9"/>
      <c r="G552" s="9"/>
      <c r="H552" s="35"/>
    </row>
    <row r="553" spans="2:8" x14ac:dyDescent="0.35">
      <c r="B553" s="6"/>
      <c r="C553" s="7"/>
      <c r="D553" s="9"/>
      <c r="E553" s="9"/>
      <c r="F553" s="9"/>
      <c r="G553" s="9"/>
      <c r="H553" s="35"/>
    </row>
    <row r="554" spans="2:8" x14ac:dyDescent="0.35">
      <c r="B554" s="6"/>
      <c r="C554" s="7"/>
      <c r="D554" s="9"/>
      <c r="E554" s="9"/>
      <c r="F554" s="9"/>
      <c r="G554" s="9"/>
      <c r="H554" s="35"/>
    </row>
    <row r="555" spans="2:8" x14ac:dyDescent="0.35">
      <c r="B555" s="6"/>
      <c r="C555" s="7"/>
      <c r="D555" s="9"/>
      <c r="E555" s="9"/>
      <c r="F555" s="9"/>
      <c r="G555" s="9"/>
      <c r="H555" s="35"/>
    </row>
    <row r="556" spans="2:8" x14ac:dyDescent="0.35">
      <c r="B556" s="6"/>
      <c r="C556" s="7"/>
      <c r="D556" s="9"/>
      <c r="E556" s="9"/>
      <c r="F556" s="9"/>
      <c r="G556" s="9"/>
      <c r="H556" s="35"/>
    </row>
    <row r="557" spans="2:8" x14ac:dyDescent="0.35">
      <c r="B557" s="6"/>
      <c r="C557" s="7"/>
      <c r="D557" s="9"/>
      <c r="E557" s="9"/>
      <c r="F557" s="9"/>
      <c r="G557" s="9"/>
      <c r="H557" s="35"/>
    </row>
    <row r="558" spans="2:8" x14ac:dyDescent="0.35">
      <c r="B558" s="6"/>
      <c r="C558" s="7"/>
      <c r="D558" s="9"/>
      <c r="E558" s="9"/>
      <c r="F558" s="9"/>
      <c r="G558" s="9"/>
      <c r="H558" s="35"/>
    </row>
    <row r="559" spans="2:8" x14ac:dyDescent="0.35">
      <c r="B559" s="6"/>
      <c r="C559" s="7"/>
      <c r="D559" s="9"/>
      <c r="E559" s="9"/>
      <c r="F559" s="9"/>
      <c r="G559" s="9"/>
      <c r="H559" s="35"/>
    </row>
    <row r="560" spans="2:8" x14ac:dyDescent="0.35">
      <c r="B560" s="6"/>
      <c r="C560" s="7"/>
      <c r="D560" s="9"/>
      <c r="E560" s="9"/>
      <c r="F560" s="9"/>
      <c r="G560" s="9"/>
      <c r="H560" s="35"/>
    </row>
    <row r="561" spans="2:8" x14ac:dyDescent="0.35">
      <c r="B561" s="6"/>
      <c r="C561" s="7"/>
      <c r="D561" s="9"/>
      <c r="E561" s="9"/>
      <c r="F561" s="9"/>
      <c r="G561" s="9"/>
      <c r="H561" s="35"/>
    </row>
    <row r="562" spans="2:8" x14ac:dyDescent="0.35">
      <c r="B562" s="6"/>
      <c r="C562" s="7"/>
      <c r="D562" s="9"/>
      <c r="E562" s="9"/>
      <c r="F562" s="9"/>
      <c r="G562" s="9"/>
      <c r="H562" s="35"/>
    </row>
    <row r="563" spans="2:8" x14ac:dyDescent="0.35">
      <c r="B563" s="6"/>
      <c r="C563" s="7"/>
      <c r="D563" s="9"/>
      <c r="E563" s="9"/>
      <c r="F563" s="9"/>
      <c r="G563" s="9"/>
      <c r="H563" s="35"/>
    </row>
    <row r="564" spans="2:8" x14ac:dyDescent="0.35">
      <c r="B564" s="6"/>
      <c r="C564" s="7"/>
      <c r="D564" s="9"/>
      <c r="E564" s="9"/>
      <c r="F564" s="9"/>
      <c r="G564" s="9"/>
      <c r="H564" s="35"/>
    </row>
    <row r="565" spans="2:8" x14ac:dyDescent="0.35">
      <c r="B565" s="6"/>
      <c r="C565" s="7"/>
      <c r="D565" s="9"/>
      <c r="E565" s="9"/>
      <c r="F565" s="9"/>
      <c r="G565" s="9"/>
      <c r="H565" s="35"/>
    </row>
    <row r="566" spans="2:8" x14ac:dyDescent="0.35">
      <c r="B566" s="6"/>
      <c r="C566" s="7"/>
      <c r="D566" s="9"/>
      <c r="E566" s="9"/>
      <c r="F566" s="9"/>
      <c r="G566" s="9"/>
      <c r="H566" s="35"/>
    </row>
    <row r="567" spans="2:8" x14ac:dyDescent="0.35">
      <c r="B567" s="6"/>
      <c r="C567" s="7"/>
      <c r="D567" s="9"/>
      <c r="E567" s="9"/>
      <c r="F567" s="9"/>
      <c r="G567" s="9"/>
      <c r="H567" s="35"/>
    </row>
    <row r="568" spans="2:8" x14ac:dyDescent="0.35">
      <c r="B568" s="6"/>
      <c r="C568" s="7"/>
      <c r="D568" s="9"/>
      <c r="E568" s="9"/>
      <c r="F568" s="9"/>
      <c r="G568" s="9"/>
      <c r="H568" s="35"/>
    </row>
    <row r="569" spans="2:8" x14ac:dyDescent="0.35">
      <c r="B569" s="6"/>
      <c r="C569" s="7"/>
      <c r="D569" s="9"/>
      <c r="E569" s="9"/>
      <c r="F569" s="9"/>
      <c r="G569" s="9"/>
      <c r="H569" s="35"/>
    </row>
    <row r="570" spans="2:8" x14ac:dyDescent="0.35">
      <c r="B570" s="6"/>
      <c r="C570" s="7"/>
      <c r="D570" s="9"/>
      <c r="E570" s="9"/>
      <c r="F570" s="9"/>
      <c r="G570" s="9"/>
      <c r="H570" s="35"/>
    </row>
    <row r="571" spans="2:8" x14ac:dyDescent="0.35">
      <c r="B571" s="6"/>
      <c r="C571" s="7"/>
      <c r="D571" s="9"/>
      <c r="E571" s="9"/>
      <c r="F571" s="9"/>
      <c r="G571" s="9"/>
      <c r="H571" s="35"/>
    </row>
    <row r="572" spans="2:8" x14ac:dyDescent="0.35">
      <c r="B572" s="6"/>
      <c r="C572" s="7"/>
      <c r="D572" s="9"/>
      <c r="E572" s="9"/>
      <c r="F572" s="9"/>
      <c r="G572" s="9"/>
      <c r="H572" s="35"/>
    </row>
    <row r="573" spans="2:8" x14ac:dyDescent="0.35">
      <c r="B573" s="6"/>
      <c r="C573" s="7"/>
      <c r="D573" s="9"/>
      <c r="E573" s="9"/>
      <c r="F573" s="9"/>
      <c r="G573" s="9"/>
      <c r="H573" s="35"/>
    </row>
    <row r="574" spans="2:8" x14ac:dyDescent="0.35">
      <c r="B574" s="6"/>
      <c r="C574" s="7"/>
      <c r="D574" s="9"/>
      <c r="E574" s="9"/>
      <c r="F574" s="9"/>
      <c r="G574" s="9"/>
      <c r="H574" s="35"/>
    </row>
    <row r="575" spans="2:8" x14ac:dyDescent="0.35">
      <c r="B575" s="6"/>
      <c r="C575" s="7"/>
      <c r="D575" s="9"/>
      <c r="E575" s="9"/>
      <c r="F575" s="9"/>
      <c r="G575" s="9"/>
      <c r="H575" s="35"/>
    </row>
    <row r="576" spans="2:8" x14ac:dyDescent="0.35">
      <c r="B576" s="6"/>
      <c r="C576" s="7"/>
      <c r="D576" s="9"/>
      <c r="E576" s="9"/>
      <c r="F576" s="9"/>
      <c r="G576" s="9"/>
      <c r="H576" s="35"/>
    </row>
    <row r="577" spans="2:8" x14ac:dyDescent="0.35">
      <c r="B577" s="6"/>
      <c r="C577" s="7"/>
      <c r="D577" s="9"/>
      <c r="E577" s="9"/>
      <c r="F577" s="9"/>
      <c r="G577" s="9"/>
      <c r="H577" s="35"/>
    </row>
    <row r="578" spans="2:8" x14ac:dyDescent="0.35">
      <c r="B578" s="6"/>
      <c r="C578" s="7"/>
      <c r="D578" s="9"/>
      <c r="E578" s="9"/>
      <c r="F578" s="9"/>
      <c r="G578" s="9"/>
      <c r="H578" s="35"/>
    </row>
    <row r="579" spans="2:8" x14ac:dyDescent="0.35">
      <c r="B579" s="6"/>
      <c r="C579" s="7"/>
      <c r="D579" s="9"/>
      <c r="E579" s="9"/>
      <c r="F579" s="9"/>
      <c r="G579" s="9"/>
      <c r="H579" s="35"/>
    </row>
    <row r="580" spans="2:8" x14ac:dyDescent="0.35">
      <c r="B580" s="6"/>
      <c r="C580" s="7"/>
      <c r="D580" s="9"/>
      <c r="E580" s="9"/>
      <c r="F580" s="9"/>
      <c r="G580" s="9"/>
      <c r="H580" s="35"/>
    </row>
    <row r="581" spans="2:8" x14ac:dyDescent="0.35">
      <c r="B581" s="6"/>
      <c r="C581" s="7"/>
      <c r="D581" s="9"/>
      <c r="E581" s="9"/>
      <c r="F581" s="9"/>
      <c r="G581" s="9"/>
      <c r="H581" s="35"/>
    </row>
    <row r="582" spans="2:8" x14ac:dyDescent="0.35">
      <c r="B582" s="6"/>
      <c r="C582" s="7"/>
      <c r="D582" s="9"/>
      <c r="E582" s="9"/>
      <c r="F582" s="9"/>
      <c r="G582" s="9"/>
      <c r="H582" s="35"/>
    </row>
    <row r="583" spans="2:8" x14ac:dyDescent="0.35">
      <c r="B583" s="6"/>
      <c r="C583" s="7"/>
      <c r="D583" s="9"/>
      <c r="E583" s="9"/>
      <c r="F583" s="9"/>
      <c r="G583" s="9"/>
      <c r="H583" s="35"/>
    </row>
    <row r="584" spans="2:8" x14ac:dyDescent="0.35">
      <c r="B584" s="6"/>
      <c r="C584" s="7"/>
      <c r="D584" s="9"/>
      <c r="E584" s="9"/>
      <c r="F584" s="9"/>
      <c r="G584" s="9"/>
      <c r="H584" s="35"/>
    </row>
    <row r="585" spans="2:8" x14ac:dyDescent="0.35">
      <c r="B585" s="6"/>
      <c r="C585" s="7"/>
      <c r="D585" s="9"/>
      <c r="E585" s="9"/>
      <c r="F585" s="9"/>
      <c r="G585" s="9"/>
      <c r="H585" s="35"/>
    </row>
    <row r="586" spans="2:8" x14ac:dyDescent="0.35">
      <c r="B586" s="6"/>
      <c r="C586" s="7"/>
      <c r="D586" s="9"/>
      <c r="E586" s="9"/>
      <c r="F586" s="9"/>
      <c r="G586" s="9"/>
      <c r="H586" s="35"/>
    </row>
    <row r="587" spans="2:8" x14ac:dyDescent="0.35">
      <c r="B587" s="6"/>
      <c r="C587" s="7"/>
      <c r="D587" s="9"/>
      <c r="E587" s="9"/>
      <c r="F587" s="9"/>
      <c r="G587" s="9"/>
      <c r="H587" s="35"/>
    </row>
    <row r="588" spans="2:8" x14ac:dyDescent="0.35">
      <c r="B588" s="6"/>
      <c r="C588" s="7"/>
      <c r="D588" s="9"/>
      <c r="E588" s="9"/>
      <c r="F588" s="9"/>
      <c r="G588" s="9"/>
      <c r="H588" s="35"/>
    </row>
    <row r="589" spans="2:8" x14ac:dyDescent="0.35">
      <c r="B589" s="6"/>
      <c r="C589" s="7"/>
      <c r="D589" s="9"/>
      <c r="E589" s="9"/>
      <c r="F589" s="9"/>
      <c r="G589" s="9"/>
      <c r="H589" s="35"/>
    </row>
    <row r="590" spans="2:8" x14ac:dyDescent="0.35">
      <c r="B590" s="6"/>
      <c r="C590" s="7"/>
      <c r="D590" s="9"/>
      <c r="E590" s="9"/>
      <c r="F590" s="9"/>
      <c r="G590" s="9"/>
      <c r="H590" s="35"/>
    </row>
    <row r="591" spans="2:8" x14ac:dyDescent="0.35">
      <c r="B591" s="6"/>
      <c r="C591" s="7"/>
      <c r="D591" s="9"/>
      <c r="E591" s="9"/>
      <c r="F591" s="9"/>
      <c r="G591" s="9"/>
      <c r="H591" s="35"/>
    </row>
    <row r="592" spans="2:8" x14ac:dyDescent="0.35">
      <c r="B592" s="6"/>
      <c r="C592" s="7"/>
      <c r="D592" s="9"/>
      <c r="E592" s="9"/>
      <c r="F592" s="9"/>
      <c r="G592" s="9"/>
      <c r="H592" s="35"/>
    </row>
    <row r="593" spans="2:8" x14ac:dyDescent="0.35">
      <c r="B593" s="6"/>
      <c r="C593" s="7"/>
      <c r="D593" s="9"/>
      <c r="E593" s="9"/>
      <c r="F593" s="9"/>
      <c r="G593" s="9"/>
      <c r="H593" s="35"/>
    </row>
    <row r="594" spans="2:8" x14ac:dyDescent="0.35">
      <c r="B594" s="6"/>
      <c r="C594" s="7"/>
      <c r="D594" s="9"/>
      <c r="E594" s="9"/>
      <c r="F594" s="9"/>
      <c r="G594" s="9"/>
      <c r="H594" s="35"/>
    </row>
    <row r="595" spans="2:8" x14ac:dyDescent="0.35">
      <c r="B595" s="6"/>
      <c r="C595" s="7"/>
      <c r="D595" s="9"/>
      <c r="E595" s="9"/>
      <c r="F595" s="9"/>
      <c r="G595" s="9"/>
      <c r="H595" s="35"/>
    </row>
    <row r="596" spans="2:8" x14ac:dyDescent="0.35">
      <c r="B596" s="6"/>
      <c r="C596" s="7"/>
      <c r="D596" s="9"/>
      <c r="E596" s="9"/>
      <c r="F596" s="9"/>
      <c r="G596" s="9"/>
      <c r="H596" s="35"/>
    </row>
    <row r="597" spans="2:8" x14ac:dyDescent="0.35">
      <c r="B597" s="6"/>
      <c r="C597" s="7"/>
      <c r="D597" s="9"/>
      <c r="E597" s="9"/>
      <c r="F597" s="9"/>
      <c r="G597" s="9"/>
      <c r="H597" s="35"/>
    </row>
    <row r="598" spans="2:8" x14ac:dyDescent="0.35">
      <c r="B598" s="6"/>
      <c r="C598" s="7"/>
      <c r="D598" s="9"/>
      <c r="E598" s="9"/>
      <c r="F598" s="9"/>
      <c r="G598" s="9"/>
      <c r="H598" s="35"/>
    </row>
    <row r="599" spans="2:8" x14ac:dyDescent="0.35">
      <c r="B599" s="6"/>
      <c r="C599" s="7"/>
      <c r="D599" s="9"/>
      <c r="E599" s="9"/>
      <c r="F599" s="9"/>
      <c r="G599" s="9"/>
      <c r="H599" s="35"/>
    </row>
    <row r="600" spans="2:8" x14ac:dyDescent="0.35">
      <c r="B600" s="6"/>
      <c r="C600" s="7"/>
      <c r="D600" s="9"/>
      <c r="E600" s="9"/>
      <c r="F600" s="9"/>
      <c r="G600" s="9"/>
      <c r="H600" s="35"/>
    </row>
    <row r="601" spans="2:8" x14ac:dyDescent="0.35">
      <c r="B601" s="6"/>
      <c r="C601" s="7"/>
      <c r="D601" s="9"/>
      <c r="E601" s="9"/>
      <c r="F601" s="9"/>
      <c r="G601" s="9"/>
      <c r="H601" s="35"/>
    </row>
    <row r="602" spans="2:8" x14ac:dyDescent="0.35">
      <c r="B602" s="6"/>
      <c r="C602" s="7"/>
      <c r="D602" s="9"/>
      <c r="E602" s="9"/>
      <c r="F602" s="9"/>
      <c r="G602" s="9"/>
      <c r="H602" s="35"/>
    </row>
    <row r="603" spans="2:8" x14ac:dyDescent="0.35">
      <c r="B603" s="6"/>
      <c r="C603" s="7"/>
      <c r="D603" s="9"/>
      <c r="E603" s="9"/>
      <c r="F603" s="9"/>
      <c r="G603" s="9"/>
      <c r="H603" s="35"/>
    </row>
    <row r="604" spans="2:8" x14ac:dyDescent="0.35">
      <c r="B604" s="6"/>
      <c r="C604" s="7"/>
      <c r="D604" s="9"/>
      <c r="E604" s="9"/>
      <c r="F604" s="9"/>
      <c r="G604" s="9"/>
      <c r="H604" s="35"/>
    </row>
    <row r="605" spans="2:8" x14ac:dyDescent="0.35">
      <c r="B605" s="6"/>
      <c r="C605" s="7"/>
      <c r="D605" s="9"/>
      <c r="E605" s="9"/>
      <c r="F605" s="9"/>
      <c r="G605" s="9"/>
      <c r="H605" s="35"/>
    </row>
    <row r="606" spans="2:8" x14ac:dyDescent="0.35">
      <c r="B606" s="6"/>
      <c r="C606" s="7"/>
      <c r="D606" s="9"/>
      <c r="E606" s="9"/>
      <c r="F606" s="9"/>
      <c r="G606" s="9"/>
      <c r="H606" s="35"/>
    </row>
    <row r="607" spans="2:8" x14ac:dyDescent="0.35">
      <c r="B607" s="6"/>
      <c r="C607" s="7"/>
      <c r="D607" s="9"/>
      <c r="E607" s="9"/>
      <c r="F607" s="9"/>
      <c r="G607" s="9"/>
      <c r="H607" s="35"/>
    </row>
    <row r="608" spans="2:8" x14ac:dyDescent="0.35">
      <c r="B608" s="6"/>
      <c r="C608" s="7"/>
      <c r="D608" s="9"/>
      <c r="E608" s="9"/>
      <c r="F608" s="9"/>
      <c r="G608" s="9"/>
      <c r="H608" s="35"/>
    </row>
    <row r="609" spans="2:8" x14ac:dyDescent="0.35">
      <c r="B609" s="6"/>
      <c r="C609" s="7"/>
      <c r="D609" s="9"/>
      <c r="E609" s="9"/>
      <c r="F609" s="9"/>
      <c r="G609" s="9"/>
      <c r="H609" s="35"/>
    </row>
    <row r="610" spans="2:8" x14ac:dyDescent="0.35">
      <c r="B610" s="6"/>
      <c r="C610" s="7"/>
      <c r="D610" s="9"/>
      <c r="E610" s="9"/>
      <c r="F610" s="9"/>
      <c r="G610" s="9"/>
      <c r="H610" s="35"/>
    </row>
    <row r="611" spans="2:8" x14ac:dyDescent="0.35">
      <c r="B611" s="6"/>
      <c r="C611" s="7"/>
      <c r="D611" s="9"/>
      <c r="E611" s="9"/>
      <c r="F611" s="9"/>
      <c r="G611" s="9"/>
      <c r="H611" s="35"/>
    </row>
    <row r="612" spans="2:8" x14ac:dyDescent="0.35">
      <c r="B612" s="6"/>
      <c r="C612" s="7"/>
      <c r="D612" s="9"/>
      <c r="E612" s="9"/>
      <c r="F612" s="9"/>
      <c r="G612" s="9"/>
      <c r="H612" s="35"/>
    </row>
    <row r="613" spans="2:8" x14ac:dyDescent="0.35">
      <c r="B613" s="6"/>
      <c r="C613" s="7"/>
      <c r="D613" s="9"/>
      <c r="E613" s="9"/>
      <c r="F613" s="9"/>
      <c r="G613" s="9"/>
      <c r="H613" s="35"/>
    </row>
    <row r="614" spans="2:8" x14ac:dyDescent="0.35">
      <c r="B614" s="6"/>
      <c r="C614" s="7"/>
      <c r="D614" s="9"/>
      <c r="E614" s="9"/>
      <c r="F614" s="9"/>
      <c r="G614" s="9"/>
      <c r="H614" s="35"/>
    </row>
    <row r="615" spans="2:8" x14ac:dyDescent="0.35">
      <c r="B615" s="6"/>
      <c r="C615" s="7"/>
      <c r="D615" s="9"/>
      <c r="E615" s="9"/>
      <c r="F615" s="9"/>
      <c r="G615" s="9"/>
      <c r="H615" s="35"/>
    </row>
    <row r="616" spans="2:8" x14ac:dyDescent="0.35">
      <c r="B616" s="6"/>
      <c r="C616" s="7"/>
      <c r="D616" s="9"/>
      <c r="E616" s="9"/>
      <c r="F616" s="9"/>
      <c r="G616" s="9"/>
      <c r="H616" s="35"/>
    </row>
    <row r="617" spans="2:8" x14ac:dyDescent="0.35">
      <c r="B617" s="6"/>
      <c r="C617" s="7"/>
      <c r="D617" s="9"/>
      <c r="E617" s="9"/>
      <c r="F617" s="9"/>
      <c r="G617" s="9"/>
      <c r="H617" s="35"/>
    </row>
    <row r="618" spans="2:8" x14ac:dyDescent="0.35">
      <c r="B618" s="6"/>
      <c r="C618" s="7"/>
      <c r="D618" s="9"/>
      <c r="E618" s="9"/>
      <c r="F618" s="9"/>
      <c r="G618" s="9"/>
      <c r="H618" s="35"/>
    </row>
    <row r="619" spans="2:8" x14ac:dyDescent="0.35">
      <c r="B619" s="6"/>
      <c r="C619" s="7"/>
      <c r="D619" s="9"/>
      <c r="E619" s="9"/>
      <c r="F619" s="9"/>
      <c r="G619" s="9"/>
      <c r="H619" s="35"/>
    </row>
    <row r="620" spans="2:8" x14ac:dyDescent="0.35">
      <c r="B620" s="6"/>
      <c r="C620" s="7"/>
      <c r="D620" s="9"/>
      <c r="E620" s="9"/>
      <c r="F620" s="9"/>
      <c r="G620" s="9"/>
      <c r="H620" s="35"/>
    </row>
    <row r="621" spans="2:8" x14ac:dyDescent="0.35">
      <c r="B621" s="6"/>
      <c r="C621" s="7"/>
      <c r="D621" s="9"/>
      <c r="E621" s="9"/>
      <c r="F621" s="9"/>
      <c r="G621" s="9"/>
      <c r="H621" s="35"/>
    </row>
    <row r="622" spans="2:8" x14ac:dyDescent="0.35">
      <c r="B622" s="6"/>
      <c r="C622" s="7"/>
      <c r="D622" s="9"/>
      <c r="E622" s="9"/>
      <c r="F622" s="9"/>
      <c r="G622" s="9"/>
      <c r="H622" s="35"/>
    </row>
    <row r="623" spans="2:8" x14ac:dyDescent="0.35">
      <c r="B623" s="6"/>
      <c r="C623" s="7"/>
      <c r="D623" s="9"/>
      <c r="E623" s="9"/>
      <c r="F623" s="9"/>
      <c r="G623" s="9"/>
      <c r="H623" s="35"/>
    </row>
    <row r="624" spans="2:8" x14ac:dyDescent="0.35">
      <c r="B624" s="6"/>
      <c r="C624" s="7"/>
      <c r="D624" s="9"/>
      <c r="E624" s="9"/>
      <c r="F624" s="9"/>
      <c r="G624" s="9"/>
      <c r="H624" s="35"/>
    </row>
    <row r="625" spans="2:8" x14ac:dyDescent="0.35">
      <c r="B625" s="6"/>
      <c r="C625" s="7"/>
      <c r="D625" s="9"/>
      <c r="E625" s="9"/>
      <c r="F625" s="9"/>
      <c r="G625" s="9"/>
      <c r="H625" s="35"/>
    </row>
    <row r="626" spans="2:8" x14ac:dyDescent="0.35">
      <c r="B626" s="6"/>
      <c r="C626" s="7"/>
      <c r="D626" s="9"/>
      <c r="E626" s="9"/>
      <c r="F626" s="9"/>
      <c r="G626" s="9"/>
      <c r="H626" s="35"/>
    </row>
    <row r="627" spans="2:8" x14ac:dyDescent="0.35">
      <c r="B627" s="6"/>
      <c r="C627" s="7"/>
      <c r="D627" s="9"/>
      <c r="E627" s="9"/>
      <c r="F627" s="9"/>
      <c r="G627" s="9"/>
      <c r="H627" s="35"/>
    </row>
    <row r="628" spans="2:8" x14ac:dyDescent="0.35">
      <c r="B628" s="6"/>
      <c r="C628" s="7"/>
      <c r="D628" s="9"/>
      <c r="E628" s="9"/>
      <c r="F628" s="9"/>
      <c r="G628" s="9"/>
      <c r="H628" s="35"/>
    </row>
    <row r="629" spans="2:8" x14ac:dyDescent="0.35">
      <c r="B629" s="6"/>
      <c r="C629" s="7"/>
      <c r="D629" s="9"/>
      <c r="E629" s="9"/>
      <c r="F629" s="9"/>
      <c r="G629" s="9"/>
      <c r="H629" s="35"/>
    </row>
    <row r="630" spans="2:8" x14ac:dyDescent="0.35">
      <c r="B630" s="6"/>
      <c r="C630" s="7"/>
      <c r="D630" s="9"/>
      <c r="E630" s="9"/>
      <c r="F630" s="9"/>
      <c r="G630" s="9"/>
      <c r="H630" s="35"/>
    </row>
    <row r="631" spans="2:8" x14ac:dyDescent="0.35">
      <c r="B631" s="6"/>
      <c r="C631" s="7"/>
      <c r="D631" s="9"/>
      <c r="E631" s="9"/>
      <c r="F631" s="9"/>
      <c r="G631" s="9"/>
      <c r="H631" s="35"/>
    </row>
    <row r="632" spans="2:8" x14ac:dyDescent="0.35">
      <c r="B632" s="6"/>
      <c r="C632" s="7"/>
      <c r="D632" s="9"/>
      <c r="E632" s="9"/>
      <c r="F632" s="9"/>
      <c r="G632" s="9"/>
      <c r="H632" s="35"/>
    </row>
    <row r="633" spans="2:8" x14ac:dyDescent="0.35">
      <c r="B633" s="6"/>
      <c r="C633" s="7"/>
      <c r="D633" s="9"/>
      <c r="E633" s="9"/>
      <c r="F633" s="9"/>
      <c r="G633" s="9"/>
      <c r="H633" s="35"/>
    </row>
    <row r="634" spans="2:8" x14ac:dyDescent="0.35">
      <c r="B634" s="6"/>
      <c r="C634" s="7"/>
      <c r="D634" s="9"/>
      <c r="E634" s="9"/>
      <c r="F634" s="9"/>
      <c r="G634" s="9"/>
      <c r="H634" s="35"/>
    </row>
    <row r="635" spans="2:8" x14ac:dyDescent="0.35">
      <c r="B635" s="6"/>
      <c r="C635" s="7"/>
      <c r="D635" s="9"/>
      <c r="E635" s="9"/>
      <c r="F635" s="9"/>
      <c r="G635" s="9"/>
      <c r="H635" s="35"/>
    </row>
    <row r="636" spans="2:8" x14ac:dyDescent="0.35">
      <c r="B636" s="6"/>
      <c r="C636" s="7"/>
      <c r="D636" s="9"/>
      <c r="E636" s="9"/>
      <c r="F636" s="9"/>
      <c r="G636" s="9"/>
      <c r="H636" s="35"/>
    </row>
    <row r="637" spans="2:8" x14ac:dyDescent="0.35">
      <c r="B637" s="6"/>
      <c r="C637" s="7"/>
      <c r="D637" s="9"/>
      <c r="E637" s="9"/>
      <c r="F637" s="9"/>
      <c r="G637" s="9"/>
      <c r="H637" s="35"/>
    </row>
    <row r="638" spans="2:8" x14ac:dyDescent="0.35">
      <c r="B638" s="6"/>
      <c r="C638" s="7"/>
      <c r="D638" s="9"/>
      <c r="E638" s="9"/>
      <c r="F638" s="9"/>
      <c r="G638" s="9"/>
      <c r="H638" s="35"/>
    </row>
    <row r="639" spans="2:8" x14ac:dyDescent="0.35">
      <c r="B639" s="6"/>
      <c r="C639" s="7"/>
      <c r="D639" s="9"/>
      <c r="E639" s="9"/>
      <c r="F639" s="9"/>
      <c r="G639" s="9"/>
      <c r="H639" s="35"/>
    </row>
    <row r="640" spans="2:8" x14ac:dyDescent="0.35">
      <c r="B640" s="6"/>
      <c r="C640" s="7"/>
      <c r="D640" s="9"/>
      <c r="E640" s="9"/>
      <c r="F640" s="9"/>
      <c r="G640" s="9"/>
      <c r="H640" s="35"/>
    </row>
    <row r="641" spans="2:8" x14ac:dyDescent="0.35">
      <c r="B641" s="6"/>
      <c r="C641" s="7"/>
      <c r="D641" s="9"/>
      <c r="E641" s="9"/>
      <c r="F641" s="9"/>
      <c r="G641" s="9"/>
      <c r="H641" s="35"/>
    </row>
    <row r="642" spans="2:8" x14ac:dyDescent="0.35">
      <c r="B642" s="6"/>
      <c r="C642" s="7"/>
      <c r="D642" s="9"/>
      <c r="E642" s="9"/>
      <c r="F642" s="9"/>
      <c r="G642" s="9"/>
      <c r="H642" s="35"/>
    </row>
    <row r="643" spans="2:8" x14ac:dyDescent="0.35">
      <c r="B643" s="6"/>
      <c r="C643" s="7"/>
      <c r="D643" s="9"/>
      <c r="E643" s="9"/>
      <c r="F643" s="9"/>
      <c r="G643" s="9"/>
      <c r="H643" s="35"/>
    </row>
    <row r="644" spans="2:8" x14ac:dyDescent="0.35">
      <c r="B644" s="6"/>
      <c r="C644" s="7"/>
      <c r="D644" s="9"/>
      <c r="E644" s="9"/>
      <c r="F644" s="9"/>
      <c r="G644" s="9"/>
      <c r="H644" s="35"/>
    </row>
    <row r="645" spans="2:8" x14ac:dyDescent="0.35">
      <c r="B645" s="6"/>
      <c r="C645" s="7"/>
      <c r="D645" s="9"/>
      <c r="E645" s="9"/>
      <c r="F645" s="9"/>
      <c r="G645" s="9"/>
      <c r="H645" s="35"/>
    </row>
    <row r="646" spans="2:8" x14ac:dyDescent="0.35">
      <c r="B646" s="6"/>
      <c r="C646" s="7"/>
      <c r="D646" s="9"/>
      <c r="E646" s="9"/>
      <c r="F646" s="9"/>
      <c r="G646" s="9"/>
      <c r="H646" s="35"/>
    </row>
    <row r="647" spans="2:8" x14ac:dyDescent="0.35">
      <c r="B647" s="6"/>
      <c r="C647" s="7"/>
      <c r="D647" s="9"/>
      <c r="E647" s="9"/>
      <c r="F647" s="9"/>
      <c r="G647" s="9"/>
      <c r="H647" s="35"/>
    </row>
    <row r="648" spans="2:8" x14ac:dyDescent="0.35">
      <c r="B648" s="6"/>
      <c r="C648" s="7"/>
      <c r="D648" s="9"/>
      <c r="E648" s="9"/>
      <c r="F648" s="9"/>
      <c r="G648" s="9"/>
      <c r="H648" s="35"/>
    </row>
    <row r="649" spans="2:8" x14ac:dyDescent="0.35">
      <c r="B649" s="6"/>
      <c r="C649" s="7"/>
      <c r="D649" s="9"/>
      <c r="E649" s="9"/>
      <c r="F649" s="9"/>
      <c r="G649" s="9"/>
      <c r="H649" s="35"/>
    </row>
    <row r="650" spans="2:8" x14ac:dyDescent="0.35">
      <c r="B650" s="6"/>
      <c r="C650" s="7"/>
      <c r="D650" s="9"/>
      <c r="E650" s="9"/>
      <c r="F650" s="9"/>
      <c r="G650" s="9"/>
      <c r="H650" s="35"/>
    </row>
    <row r="651" spans="2:8" x14ac:dyDescent="0.35">
      <c r="B651" s="6"/>
      <c r="C651" s="7"/>
      <c r="D651" s="9"/>
      <c r="E651" s="9"/>
      <c r="F651" s="9"/>
      <c r="G651" s="9"/>
      <c r="H651" s="35"/>
    </row>
    <row r="652" spans="2:8" x14ac:dyDescent="0.35">
      <c r="B652" s="6"/>
      <c r="C652" s="7"/>
      <c r="D652" s="9"/>
      <c r="E652" s="9"/>
      <c r="F652" s="9"/>
      <c r="G652" s="9"/>
      <c r="H652" s="35"/>
    </row>
    <row r="653" spans="2:8" x14ac:dyDescent="0.35">
      <c r="B653" s="6"/>
      <c r="C653" s="7"/>
      <c r="D653" s="9"/>
      <c r="E653" s="9"/>
      <c r="F653" s="9"/>
      <c r="G653" s="9"/>
      <c r="H653" s="35"/>
    </row>
    <row r="654" spans="2:8" x14ac:dyDescent="0.35">
      <c r="B654" s="6"/>
      <c r="C654" s="7"/>
      <c r="D654" s="9"/>
      <c r="E654" s="9"/>
      <c r="F654" s="9"/>
      <c r="G654" s="9"/>
      <c r="H654" s="35"/>
    </row>
    <row r="655" spans="2:8" x14ac:dyDescent="0.35">
      <c r="B655" s="6"/>
      <c r="C655" s="7"/>
      <c r="D655" s="9"/>
      <c r="E655" s="9"/>
      <c r="F655" s="9"/>
      <c r="G655" s="9"/>
      <c r="H655" s="35"/>
    </row>
    <row r="656" spans="2:8" x14ac:dyDescent="0.35">
      <c r="B656" s="6"/>
      <c r="C656" s="7"/>
      <c r="D656" s="9"/>
      <c r="E656" s="9"/>
      <c r="F656" s="9"/>
      <c r="G656" s="9"/>
      <c r="H656" s="35"/>
    </row>
    <row r="657" spans="2:8" x14ac:dyDescent="0.35">
      <c r="B657" s="6"/>
      <c r="C657" s="7"/>
      <c r="D657" s="9"/>
      <c r="E657" s="9"/>
      <c r="F657" s="9"/>
      <c r="G657" s="9"/>
      <c r="H657" s="35"/>
    </row>
    <row r="658" spans="2:8" x14ac:dyDescent="0.35">
      <c r="B658" s="6"/>
      <c r="C658" s="7"/>
      <c r="D658" s="9"/>
      <c r="E658" s="9"/>
      <c r="F658" s="9"/>
      <c r="G658" s="9"/>
      <c r="H658" s="35"/>
    </row>
    <row r="659" spans="2:8" x14ac:dyDescent="0.35">
      <c r="B659" s="6"/>
      <c r="C659" s="7"/>
      <c r="D659" s="9"/>
      <c r="E659" s="9"/>
      <c r="F659" s="9"/>
      <c r="G659" s="9"/>
      <c r="H659" s="35"/>
    </row>
    <row r="660" spans="2:8" x14ac:dyDescent="0.35">
      <c r="B660" s="6"/>
      <c r="C660" s="7"/>
      <c r="D660" s="9"/>
      <c r="E660" s="9"/>
      <c r="F660" s="9"/>
      <c r="G660" s="9"/>
      <c r="H660" s="35"/>
    </row>
    <row r="661" spans="2:8" x14ac:dyDescent="0.35">
      <c r="B661" s="6"/>
      <c r="C661" s="7"/>
      <c r="D661" s="9"/>
      <c r="E661" s="9"/>
      <c r="F661" s="9"/>
      <c r="G661" s="9"/>
      <c r="H661" s="35"/>
    </row>
    <row r="662" spans="2:8" x14ac:dyDescent="0.35">
      <c r="B662" s="6"/>
      <c r="C662" s="7"/>
      <c r="D662" s="9"/>
      <c r="E662" s="9"/>
      <c r="F662" s="9"/>
      <c r="G662" s="9"/>
      <c r="H662" s="35"/>
    </row>
    <row r="663" spans="2:8" x14ac:dyDescent="0.35">
      <c r="B663" s="6"/>
      <c r="C663" s="7"/>
      <c r="D663" s="9"/>
      <c r="E663" s="9"/>
      <c r="F663" s="9"/>
      <c r="G663" s="9"/>
      <c r="H663" s="35"/>
    </row>
    <row r="664" spans="2:8" x14ac:dyDescent="0.35">
      <c r="B664" s="6"/>
      <c r="C664" s="7"/>
      <c r="D664" s="9"/>
      <c r="E664" s="9"/>
      <c r="F664" s="9"/>
      <c r="G664" s="9"/>
      <c r="H664" s="35"/>
    </row>
    <row r="665" spans="2:8" x14ac:dyDescent="0.35">
      <c r="B665" s="6"/>
      <c r="C665" s="7"/>
      <c r="D665" s="9"/>
      <c r="E665" s="9"/>
      <c r="F665" s="9"/>
      <c r="G665" s="9"/>
      <c r="H665" s="35"/>
    </row>
    <row r="666" spans="2:8" x14ac:dyDescent="0.35">
      <c r="B666" s="6"/>
      <c r="C666" s="7"/>
      <c r="D666" s="9"/>
      <c r="E666" s="9"/>
      <c r="F666" s="9"/>
      <c r="G666" s="9"/>
      <c r="H666" s="35"/>
    </row>
    <row r="667" spans="2:8" x14ac:dyDescent="0.35">
      <c r="B667" s="6"/>
      <c r="C667" s="7"/>
      <c r="D667" s="9"/>
      <c r="E667" s="9"/>
      <c r="F667" s="9"/>
      <c r="G667" s="9"/>
      <c r="H667" s="35"/>
    </row>
    <row r="668" spans="2:8" x14ac:dyDescent="0.35">
      <c r="B668" s="6"/>
      <c r="C668" s="7"/>
      <c r="D668" s="9"/>
      <c r="E668" s="9"/>
      <c r="F668" s="9"/>
      <c r="G668" s="9"/>
      <c r="H668" s="35"/>
    </row>
    <row r="669" spans="2:8" x14ac:dyDescent="0.35">
      <c r="B669" s="6"/>
      <c r="C669" s="7"/>
      <c r="D669" s="9"/>
      <c r="E669" s="9"/>
      <c r="F669" s="9"/>
      <c r="G669" s="9"/>
      <c r="H669" s="35"/>
    </row>
    <row r="670" spans="2:8" x14ac:dyDescent="0.35">
      <c r="B670" s="6"/>
      <c r="C670" s="7"/>
      <c r="D670" s="9"/>
      <c r="E670" s="9"/>
      <c r="F670" s="9"/>
      <c r="G670" s="9"/>
      <c r="H670" s="35"/>
    </row>
    <row r="671" spans="2:8" x14ac:dyDescent="0.35">
      <c r="B671" s="6"/>
      <c r="C671" s="7"/>
      <c r="D671" s="9"/>
      <c r="E671" s="9"/>
      <c r="F671" s="9"/>
      <c r="G671" s="9"/>
      <c r="H671" s="35"/>
    </row>
    <row r="672" spans="2:8" x14ac:dyDescent="0.35">
      <c r="B672" s="6"/>
      <c r="C672" s="7"/>
      <c r="D672" s="9"/>
      <c r="E672" s="9"/>
      <c r="F672" s="9"/>
      <c r="G672" s="9"/>
      <c r="H672" s="35"/>
    </row>
    <row r="673" spans="2:8" x14ac:dyDescent="0.35">
      <c r="B673" s="6"/>
      <c r="C673" s="7"/>
      <c r="D673" s="9"/>
      <c r="E673" s="9"/>
      <c r="F673" s="9"/>
      <c r="G673" s="9"/>
      <c r="H673" s="35"/>
    </row>
    <row r="674" spans="2:8" x14ac:dyDescent="0.35">
      <c r="B674" s="6"/>
      <c r="C674" s="7"/>
      <c r="D674" s="9"/>
      <c r="E674" s="9"/>
      <c r="F674" s="9"/>
      <c r="G674" s="9"/>
      <c r="H674" s="35"/>
    </row>
    <row r="675" spans="2:8" x14ac:dyDescent="0.35">
      <c r="B675" s="6"/>
      <c r="C675" s="7"/>
      <c r="D675" s="9"/>
      <c r="E675" s="9"/>
      <c r="F675" s="9"/>
      <c r="G675" s="9"/>
      <c r="H675" s="35"/>
    </row>
    <row r="676" spans="2:8" x14ac:dyDescent="0.35">
      <c r="B676" s="6"/>
      <c r="C676" s="7"/>
      <c r="D676" s="9"/>
      <c r="E676" s="9"/>
      <c r="F676" s="9"/>
      <c r="G676" s="9"/>
      <c r="H676" s="35"/>
    </row>
    <row r="677" spans="2:8" x14ac:dyDescent="0.35">
      <c r="B677" s="6"/>
      <c r="C677" s="7"/>
      <c r="D677" s="9"/>
      <c r="E677" s="9"/>
      <c r="F677" s="9"/>
      <c r="G677" s="9"/>
      <c r="H677" s="35"/>
    </row>
    <row r="678" spans="2:8" x14ac:dyDescent="0.35">
      <c r="B678" s="6"/>
      <c r="C678" s="7"/>
      <c r="D678" s="9"/>
      <c r="E678" s="9"/>
      <c r="F678" s="9"/>
      <c r="G678" s="9"/>
      <c r="H678" s="35"/>
    </row>
    <row r="679" spans="2:8" x14ac:dyDescent="0.35">
      <c r="B679" s="6"/>
      <c r="C679" s="7"/>
      <c r="D679" s="9"/>
      <c r="E679" s="9"/>
      <c r="F679" s="9"/>
      <c r="G679" s="9"/>
      <c r="H679" s="35"/>
    </row>
    <row r="680" spans="2:8" x14ac:dyDescent="0.35">
      <c r="B680" s="6"/>
      <c r="C680" s="7"/>
      <c r="D680" s="9"/>
      <c r="E680" s="9"/>
      <c r="F680" s="9"/>
      <c r="G680" s="9"/>
      <c r="H680" s="35"/>
    </row>
    <row r="681" spans="2:8" x14ac:dyDescent="0.35">
      <c r="B681" s="6"/>
      <c r="C681" s="7"/>
      <c r="D681" s="9"/>
      <c r="E681" s="9"/>
      <c r="F681" s="9"/>
      <c r="G681" s="9"/>
      <c r="H681" s="35"/>
    </row>
    <row r="682" spans="2:8" x14ac:dyDescent="0.35">
      <c r="B682" s="6"/>
      <c r="C682" s="7"/>
      <c r="D682" s="9"/>
      <c r="E682" s="9"/>
      <c r="F682" s="9"/>
      <c r="G682" s="9"/>
      <c r="H682" s="35"/>
    </row>
    <row r="683" spans="2:8" x14ac:dyDescent="0.35">
      <c r="B683" s="6"/>
      <c r="C683" s="7"/>
      <c r="D683" s="9"/>
      <c r="E683" s="9"/>
      <c r="F683" s="9"/>
      <c r="G683" s="9"/>
      <c r="H683" s="35"/>
    </row>
    <row r="684" spans="2:8" x14ac:dyDescent="0.35">
      <c r="B684" s="6"/>
      <c r="C684" s="7"/>
      <c r="D684" s="9"/>
      <c r="E684" s="9"/>
      <c r="F684" s="9"/>
      <c r="G684" s="9"/>
      <c r="H684" s="35"/>
    </row>
    <row r="685" spans="2:8" x14ac:dyDescent="0.35">
      <c r="B685" s="6"/>
      <c r="C685" s="7"/>
      <c r="D685" s="9"/>
      <c r="E685" s="9"/>
      <c r="F685" s="9"/>
      <c r="G685" s="9"/>
      <c r="H685" s="35"/>
    </row>
    <row r="686" spans="2:8" x14ac:dyDescent="0.35">
      <c r="B686" s="6"/>
      <c r="C686" s="7"/>
      <c r="D686" s="9"/>
      <c r="E686" s="9"/>
      <c r="F686" s="9"/>
      <c r="G686" s="9"/>
      <c r="H686" s="35"/>
    </row>
    <row r="687" spans="2:8" x14ac:dyDescent="0.35">
      <c r="B687" s="6"/>
      <c r="C687" s="7"/>
      <c r="D687" s="9"/>
      <c r="E687" s="9"/>
      <c r="F687" s="9"/>
      <c r="G687" s="9"/>
      <c r="H687" s="35"/>
    </row>
    <row r="688" spans="2:8" x14ac:dyDescent="0.35">
      <c r="B688" s="6"/>
      <c r="C688" s="7"/>
      <c r="D688" s="9"/>
      <c r="E688" s="9"/>
      <c r="F688" s="9"/>
      <c r="G688" s="9"/>
      <c r="H688" s="35"/>
    </row>
    <row r="689" spans="2:8" x14ac:dyDescent="0.35">
      <c r="B689" s="6"/>
      <c r="C689" s="7"/>
      <c r="D689" s="9"/>
      <c r="E689" s="9"/>
      <c r="F689" s="9"/>
      <c r="G689" s="9"/>
      <c r="H689" s="35"/>
    </row>
    <row r="690" spans="2:8" x14ac:dyDescent="0.35">
      <c r="B690" s="6"/>
      <c r="C690" s="7"/>
      <c r="D690" s="9"/>
      <c r="E690" s="9"/>
      <c r="F690" s="9"/>
      <c r="G690" s="9"/>
      <c r="H690" s="35"/>
    </row>
    <row r="691" spans="2:8" x14ac:dyDescent="0.35">
      <c r="B691" s="6"/>
      <c r="C691" s="7"/>
      <c r="D691" s="9"/>
      <c r="E691" s="9"/>
      <c r="F691" s="9"/>
      <c r="G691" s="9"/>
      <c r="H691" s="35"/>
    </row>
    <row r="692" spans="2:8" x14ac:dyDescent="0.35">
      <c r="B692" s="6"/>
      <c r="C692" s="7"/>
      <c r="D692" s="9"/>
      <c r="E692" s="9"/>
      <c r="F692" s="9"/>
      <c r="G692" s="9"/>
      <c r="H692" s="35"/>
    </row>
    <row r="693" spans="2:8" x14ac:dyDescent="0.35">
      <c r="B693" s="6"/>
      <c r="C693" s="7"/>
      <c r="D693" s="9"/>
      <c r="E693" s="9"/>
      <c r="F693" s="9"/>
      <c r="G693" s="9"/>
      <c r="H693" s="35"/>
    </row>
    <row r="694" spans="2:8" x14ac:dyDescent="0.35">
      <c r="B694" s="6"/>
      <c r="C694" s="7"/>
      <c r="D694" s="9"/>
      <c r="E694" s="9"/>
      <c r="F694" s="9"/>
      <c r="G694" s="9"/>
      <c r="H694" s="35"/>
    </row>
    <row r="695" spans="2:8" x14ac:dyDescent="0.35">
      <c r="B695" s="6"/>
      <c r="C695" s="7"/>
      <c r="D695" s="9"/>
      <c r="E695" s="9"/>
      <c r="F695" s="9"/>
      <c r="G695" s="9"/>
      <c r="H695" s="35"/>
    </row>
    <row r="696" spans="2:8" x14ac:dyDescent="0.35">
      <c r="B696" s="6"/>
      <c r="C696" s="7"/>
      <c r="D696" s="9"/>
      <c r="E696" s="9"/>
      <c r="F696" s="9"/>
      <c r="G696" s="9"/>
      <c r="H696" s="35"/>
    </row>
    <row r="697" spans="2:8" x14ac:dyDescent="0.35">
      <c r="B697" s="6"/>
      <c r="C697" s="7"/>
      <c r="D697" s="9"/>
      <c r="E697" s="9"/>
      <c r="F697" s="9"/>
      <c r="G697" s="9"/>
      <c r="H697" s="35"/>
    </row>
    <row r="698" spans="2:8" x14ac:dyDescent="0.35">
      <c r="B698" s="6"/>
      <c r="C698" s="7"/>
      <c r="D698" s="9"/>
      <c r="E698" s="9"/>
      <c r="F698" s="9"/>
      <c r="G698" s="9"/>
      <c r="H698" s="35"/>
    </row>
    <row r="699" spans="2:8" x14ac:dyDescent="0.35">
      <c r="B699" s="6"/>
      <c r="C699" s="7"/>
      <c r="D699" s="9"/>
      <c r="E699" s="9"/>
      <c r="F699" s="9"/>
      <c r="G699" s="9"/>
      <c r="H699" s="35"/>
    </row>
    <row r="700" spans="2:8" x14ac:dyDescent="0.35">
      <c r="B700" s="6"/>
      <c r="C700" s="7"/>
      <c r="D700" s="9"/>
      <c r="E700" s="9"/>
      <c r="F700" s="9"/>
      <c r="G700" s="9"/>
      <c r="H700" s="35"/>
    </row>
    <row r="701" spans="2:8" x14ac:dyDescent="0.35">
      <c r="B701" s="6"/>
      <c r="C701" s="7"/>
      <c r="D701" s="9"/>
      <c r="E701" s="9"/>
      <c r="F701" s="9"/>
      <c r="G701" s="9"/>
      <c r="H701" s="35"/>
    </row>
    <row r="702" spans="2:8" x14ac:dyDescent="0.35">
      <c r="B702" s="6"/>
      <c r="C702" s="7"/>
      <c r="D702" s="9"/>
      <c r="E702" s="9"/>
      <c r="F702" s="9"/>
      <c r="G702" s="9"/>
      <c r="H702" s="35"/>
    </row>
    <row r="703" spans="2:8" x14ac:dyDescent="0.35">
      <c r="B703" s="6"/>
      <c r="C703" s="7"/>
      <c r="D703" s="9"/>
      <c r="E703" s="9"/>
      <c r="F703" s="9"/>
      <c r="G703" s="9"/>
      <c r="H703" s="35"/>
    </row>
    <row r="704" spans="2:8" x14ac:dyDescent="0.35">
      <c r="B704" s="6"/>
      <c r="C704" s="7"/>
      <c r="D704" s="9"/>
      <c r="E704" s="9"/>
      <c r="F704" s="9"/>
      <c r="G704" s="9"/>
      <c r="H704" s="35"/>
    </row>
    <row r="705" spans="2:8" x14ac:dyDescent="0.35">
      <c r="B705" s="6"/>
      <c r="C705" s="7"/>
      <c r="D705" s="9"/>
      <c r="E705" s="9"/>
      <c r="F705" s="9"/>
      <c r="G705" s="9"/>
      <c r="H705" s="35"/>
    </row>
    <row r="706" spans="2:8" x14ac:dyDescent="0.35">
      <c r="B706" s="6"/>
      <c r="C706" s="7"/>
      <c r="D706" s="9"/>
      <c r="E706" s="9"/>
      <c r="F706" s="9"/>
      <c r="G706" s="9"/>
      <c r="H706" s="35"/>
    </row>
    <row r="707" spans="2:8" x14ac:dyDescent="0.35">
      <c r="B707" s="6"/>
      <c r="C707" s="7"/>
      <c r="D707" s="9"/>
      <c r="E707" s="9"/>
      <c r="F707" s="9"/>
      <c r="G707" s="9"/>
      <c r="H707" s="35"/>
    </row>
    <row r="708" spans="2:8" x14ac:dyDescent="0.35">
      <c r="B708" s="6"/>
      <c r="C708" s="7"/>
      <c r="D708" s="9"/>
      <c r="E708" s="9"/>
      <c r="F708" s="9"/>
      <c r="G708" s="9"/>
      <c r="H708" s="35"/>
    </row>
    <row r="709" spans="2:8" x14ac:dyDescent="0.35">
      <c r="B709" s="6"/>
      <c r="C709" s="7"/>
      <c r="D709" s="9"/>
      <c r="E709" s="9"/>
      <c r="F709" s="9"/>
      <c r="G709" s="9"/>
      <c r="H709" s="35"/>
    </row>
    <row r="710" spans="2:8" x14ac:dyDescent="0.35">
      <c r="B710" s="6"/>
      <c r="C710" s="7"/>
      <c r="D710" s="9"/>
      <c r="E710" s="9"/>
      <c r="F710" s="9"/>
      <c r="G710" s="9"/>
      <c r="H710" s="35"/>
    </row>
    <row r="711" spans="2:8" x14ac:dyDescent="0.35">
      <c r="B711" s="6"/>
      <c r="C711" s="7"/>
      <c r="D711" s="9"/>
      <c r="E711" s="9"/>
      <c r="F711" s="9"/>
      <c r="G711" s="9"/>
      <c r="H711" s="35"/>
    </row>
    <row r="712" spans="2:8" x14ac:dyDescent="0.35">
      <c r="B712" s="6"/>
      <c r="C712" s="7"/>
      <c r="D712" s="9"/>
      <c r="E712" s="9"/>
      <c r="F712" s="9"/>
      <c r="G712" s="9"/>
      <c r="H712" s="35"/>
    </row>
    <row r="713" spans="2:8" x14ac:dyDescent="0.35">
      <c r="B713" s="6"/>
      <c r="C713" s="7"/>
      <c r="D713" s="9"/>
      <c r="E713" s="9"/>
      <c r="F713" s="9"/>
      <c r="G713" s="9"/>
      <c r="H713" s="35"/>
    </row>
    <row r="714" spans="2:8" x14ac:dyDescent="0.35">
      <c r="B714" s="6"/>
      <c r="C714" s="7"/>
      <c r="D714" s="9"/>
      <c r="E714" s="9"/>
      <c r="F714" s="9"/>
      <c r="G714" s="9"/>
      <c r="H714" s="35"/>
    </row>
    <row r="715" spans="2:8" x14ac:dyDescent="0.35">
      <c r="B715" s="6"/>
      <c r="C715" s="7"/>
      <c r="D715" s="9"/>
      <c r="E715" s="9"/>
      <c r="F715" s="9"/>
      <c r="G715" s="9"/>
      <c r="H715" s="35"/>
    </row>
    <row r="716" spans="2:8" x14ac:dyDescent="0.35">
      <c r="B716" s="6"/>
      <c r="C716" s="7"/>
      <c r="D716" s="9"/>
      <c r="E716" s="9"/>
      <c r="F716" s="9"/>
      <c r="G716" s="9"/>
      <c r="H716" s="35"/>
    </row>
    <row r="717" spans="2:8" x14ac:dyDescent="0.35">
      <c r="B717" s="6"/>
      <c r="C717" s="7"/>
      <c r="D717" s="9"/>
      <c r="E717" s="9"/>
      <c r="F717" s="9"/>
      <c r="G717" s="9"/>
      <c r="H717" s="35"/>
    </row>
    <row r="718" spans="2:8" x14ac:dyDescent="0.35">
      <c r="B718" s="6"/>
      <c r="C718" s="7"/>
      <c r="D718" s="9"/>
      <c r="E718" s="9"/>
      <c r="F718" s="9"/>
      <c r="G718" s="9"/>
      <c r="H718" s="35"/>
    </row>
    <row r="719" spans="2:8" x14ac:dyDescent="0.35">
      <c r="B719" s="6"/>
      <c r="C719" s="7"/>
      <c r="D719" s="9"/>
      <c r="E719" s="9"/>
      <c r="F719" s="9"/>
      <c r="G719" s="9"/>
      <c r="H719" s="35"/>
    </row>
    <row r="720" spans="2:8" x14ac:dyDescent="0.35">
      <c r="B720" s="6"/>
      <c r="C720" s="7"/>
      <c r="D720" s="9"/>
      <c r="E720" s="9"/>
      <c r="F720" s="9"/>
      <c r="G720" s="9"/>
      <c r="H720" s="35"/>
    </row>
    <row r="721" spans="2:8" x14ac:dyDescent="0.35">
      <c r="B721" s="6"/>
      <c r="C721" s="7"/>
      <c r="D721" s="9"/>
      <c r="E721" s="9"/>
      <c r="F721" s="9"/>
      <c r="G721" s="9"/>
      <c r="H721" s="35"/>
    </row>
    <row r="722" spans="2:8" x14ac:dyDescent="0.35">
      <c r="B722" s="6"/>
      <c r="C722" s="7"/>
      <c r="D722" s="9"/>
      <c r="E722" s="9"/>
      <c r="F722" s="9"/>
      <c r="G722" s="9"/>
      <c r="H722" s="35"/>
    </row>
    <row r="723" spans="2:8" x14ac:dyDescent="0.35">
      <c r="B723" s="6"/>
      <c r="C723" s="7"/>
      <c r="D723" s="9"/>
      <c r="E723" s="9"/>
      <c r="F723" s="9"/>
      <c r="G723" s="9"/>
      <c r="H723" s="35"/>
    </row>
    <row r="724" spans="2:8" x14ac:dyDescent="0.35">
      <c r="B724" s="6"/>
      <c r="C724" s="7"/>
      <c r="D724" s="9"/>
      <c r="E724" s="9"/>
      <c r="F724" s="9"/>
      <c r="G724" s="9"/>
      <c r="H724" s="35"/>
    </row>
    <row r="725" spans="2:8" x14ac:dyDescent="0.35">
      <c r="B725" s="6"/>
      <c r="C725" s="7"/>
      <c r="D725" s="9"/>
      <c r="E725" s="9"/>
      <c r="F725" s="9"/>
      <c r="G725" s="9"/>
      <c r="H725" s="35"/>
    </row>
    <row r="726" spans="2:8" x14ac:dyDescent="0.35">
      <c r="B726" s="6"/>
      <c r="C726" s="7"/>
      <c r="D726" s="9"/>
      <c r="E726" s="9"/>
      <c r="F726" s="9"/>
      <c r="G726" s="9"/>
      <c r="H726" s="35"/>
    </row>
    <row r="727" spans="2:8" x14ac:dyDescent="0.35">
      <c r="B727" s="6"/>
      <c r="C727" s="7"/>
      <c r="D727" s="9"/>
      <c r="E727" s="9"/>
      <c r="F727" s="9"/>
      <c r="G727" s="9"/>
      <c r="H727" s="35"/>
    </row>
    <row r="728" spans="2:8" x14ac:dyDescent="0.35">
      <c r="B728" s="6"/>
      <c r="C728" s="7"/>
      <c r="D728" s="9"/>
      <c r="E728" s="9"/>
      <c r="F728" s="9"/>
      <c r="G728" s="9"/>
      <c r="H728" s="35"/>
    </row>
    <row r="729" spans="2:8" x14ac:dyDescent="0.35">
      <c r="B729" s="6"/>
      <c r="C729" s="7"/>
      <c r="D729" s="9"/>
      <c r="E729" s="9"/>
      <c r="F729" s="9"/>
      <c r="G729" s="9"/>
      <c r="H729" s="35"/>
    </row>
    <row r="730" spans="2:8" x14ac:dyDescent="0.35">
      <c r="B730" s="6"/>
      <c r="C730" s="7"/>
      <c r="D730" s="9"/>
      <c r="E730" s="9"/>
      <c r="F730" s="9"/>
      <c r="G730" s="9"/>
      <c r="H730" s="35"/>
    </row>
    <row r="731" spans="2:8" x14ac:dyDescent="0.35">
      <c r="B731" s="6"/>
      <c r="C731" s="7"/>
      <c r="D731" s="9"/>
      <c r="E731" s="9"/>
      <c r="F731" s="9"/>
      <c r="G731" s="9"/>
      <c r="H731" s="35"/>
    </row>
    <row r="732" spans="2:8" x14ac:dyDescent="0.35">
      <c r="B732" s="6"/>
      <c r="C732" s="7"/>
      <c r="D732" s="9"/>
      <c r="E732" s="9"/>
      <c r="F732" s="9"/>
      <c r="G732" s="9"/>
      <c r="H732" s="35"/>
    </row>
    <row r="733" spans="2:8" x14ac:dyDescent="0.35">
      <c r="B733" s="6"/>
      <c r="C733" s="7"/>
      <c r="D733" s="9"/>
      <c r="E733" s="9"/>
      <c r="F733" s="9"/>
      <c r="G733" s="9"/>
      <c r="H733" s="35"/>
    </row>
    <row r="734" spans="2:8" x14ac:dyDescent="0.35">
      <c r="B734" s="6"/>
      <c r="C734" s="7"/>
      <c r="D734" s="9"/>
      <c r="E734" s="9"/>
      <c r="F734" s="9"/>
      <c r="G734" s="9"/>
      <c r="H734" s="35"/>
    </row>
    <row r="735" spans="2:8" x14ac:dyDescent="0.35">
      <c r="B735" s="6"/>
      <c r="C735" s="7"/>
      <c r="D735" s="9"/>
      <c r="E735" s="9"/>
      <c r="F735" s="9"/>
      <c r="G735" s="9"/>
      <c r="H735" s="35"/>
    </row>
    <row r="736" spans="2:8" x14ac:dyDescent="0.35">
      <c r="B736" s="6"/>
      <c r="C736" s="7"/>
      <c r="D736" s="9"/>
      <c r="E736" s="9"/>
      <c r="F736" s="9"/>
      <c r="G736" s="9"/>
      <c r="H736" s="35"/>
    </row>
    <row r="737" spans="2:8" x14ac:dyDescent="0.35">
      <c r="B737" s="6"/>
      <c r="C737" s="7"/>
      <c r="D737" s="9"/>
      <c r="E737" s="9"/>
      <c r="F737" s="9"/>
      <c r="G737" s="9"/>
      <c r="H737" s="35"/>
    </row>
    <row r="738" spans="2:8" x14ac:dyDescent="0.35">
      <c r="B738" s="6"/>
      <c r="C738" s="7"/>
      <c r="D738" s="9"/>
      <c r="E738" s="9"/>
      <c r="F738" s="9"/>
      <c r="G738" s="9"/>
      <c r="H738" s="35"/>
    </row>
    <row r="739" spans="2:8" x14ac:dyDescent="0.35">
      <c r="B739" s="6"/>
      <c r="C739" s="7"/>
      <c r="D739" s="9"/>
      <c r="E739" s="9"/>
      <c r="F739" s="9"/>
      <c r="G739" s="9"/>
      <c r="H739" s="35"/>
    </row>
    <row r="740" spans="2:8" x14ac:dyDescent="0.35">
      <c r="B740" s="6"/>
      <c r="C740" s="7"/>
      <c r="D740" s="9"/>
      <c r="E740" s="9"/>
      <c r="F740" s="9"/>
      <c r="G740" s="9"/>
      <c r="H740" s="35"/>
    </row>
    <row r="741" spans="2:8" x14ac:dyDescent="0.35">
      <c r="B741" s="6"/>
      <c r="C741" s="7"/>
      <c r="D741" s="9"/>
      <c r="E741" s="9"/>
      <c r="F741" s="9"/>
      <c r="G741" s="9"/>
      <c r="H741" s="35"/>
    </row>
    <row r="742" spans="2:8" x14ac:dyDescent="0.35">
      <c r="B742" s="6"/>
      <c r="C742" s="7"/>
      <c r="D742" s="9"/>
      <c r="E742" s="9"/>
      <c r="F742" s="9"/>
      <c r="G742" s="9"/>
      <c r="H742" s="35"/>
    </row>
    <row r="743" spans="2:8" x14ac:dyDescent="0.35">
      <c r="B743" s="6"/>
      <c r="C743" s="7"/>
      <c r="D743" s="9"/>
      <c r="E743" s="9"/>
      <c r="F743" s="9"/>
      <c r="G743" s="9"/>
      <c r="H743" s="35"/>
    </row>
    <row r="744" spans="2:8" x14ac:dyDescent="0.35">
      <c r="B744" s="6"/>
      <c r="C744" s="7"/>
      <c r="D744" s="9"/>
      <c r="E744" s="9"/>
      <c r="F744" s="9"/>
      <c r="G744" s="9"/>
      <c r="H744" s="35"/>
    </row>
    <row r="745" spans="2:8" x14ac:dyDescent="0.35">
      <c r="B745" s="6"/>
      <c r="C745" s="7"/>
      <c r="D745" s="9"/>
      <c r="E745" s="9"/>
      <c r="F745" s="9"/>
      <c r="G745" s="9"/>
      <c r="H745" s="35"/>
    </row>
    <row r="746" spans="2:8" x14ac:dyDescent="0.35">
      <c r="B746" s="6"/>
      <c r="C746" s="7"/>
      <c r="D746" s="9"/>
      <c r="E746" s="9"/>
      <c r="F746" s="9"/>
      <c r="G746" s="9"/>
      <c r="H746" s="35"/>
    </row>
    <row r="747" spans="2:8" x14ac:dyDescent="0.35">
      <c r="B747" s="6"/>
      <c r="C747" s="7"/>
      <c r="D747" s="9"/>
      <c r="E747" s="9"/>
      <c r="F747" s="9"/>
      <c r="G747" s="9"/>
      <c r="H747" s="35"/>
    </row>
    <row r="748" spans="2:8" x14ac:dyDescent="0.35">
      <c r="B748" s="6"/>
      <c r="C748" s="7"/>
      <c r="D748" s="9"/>
      <c r="E748" s="9"/>
      <c r="F748" s="9"/>
      <c r="G748" s="9"/>
      <c r="H748" s="35"/>
    </row>
    <row r="749" spans="2:8" x14ac:dyDescent="0.35">
      <c r="B749" s="6"/>
      <c r="C749" s="7"/>
      <c r="D749" s="9"/>
      <c r="E749" s="9"/>
      <c r="F749" s="9"/>
      <c r="G749" s="9"/>
      <c r="H749" s="35"/>
    </row>
    <row r="750" spans="2:8" x14ac:dyDescent="0.35">
      <c r="B750" s="6"/>
      <c r="C750" s="7"/>
      <c r="D750" s="9"/>
      <c r="E750" s="9"/>
      <c r="F750" s="9"/>
      <c r="G750" s="9"/>
      <c r="H750" s="35"/>
    </row>
    <row r="751" spans="2:8" x14ac:dyDescent="0.35">
      <c r="B751" s="6"/>
      <c r="C751" s="7"/>
      <c r="D751" s="9"/>
      <c r="E751" s="9"/>
      <c r="F751" s="9"/>
      <c r="G751" s="9"/>
      <c r="H751" s="35"/>
    </row>
    <row r="752" spans="2:8" x14ac:dyDescent="0.35">
      <c r="B752" s="6"/>
      <c r="C752" s="7"/>
      <c r="D752" s="9"/>
      <c r="E752" s="9"/>
      <c r="F752" s="9"/>
      <c r="G752" s="9"/>
      <c r="H752" s="35"/>
    </row>
    <row r="753" spans="2:8" x14ac:dyDescent="0.35">
      <c r="B753" s="6"/>
      <c r="C753" s="7"/>
      <c r="D753" s="9"/>
      <c r="E753" s="9"/>
      <c r="F753" s="9"/>
      <c r="G753" s="9"/>
      <c r="H753" s="35"/>
    </row>
    <row r="754" spans="2:8" x14ac:dyDescent="0.35">
      <c r="B754" s="6"/>
      <c r="C754" s="7"/>
      <c r="D754" s="9"/>
      <c r="E754" s="9"/>
      <c r="F754" s="9"/>
      <c r="G754" s="9"/>
      <c r="H754" s="35"/>
    </row>
    <row r="755" spans="2:8" x14ac:dyDescent="0.35">
      <c r="B755" s="6"/>
      <c r="C755" s="7"/>
      <c r="D755" s="9"/>
      <c r="E755" s="9"/>
      <c r="F755" s="9"/>
      <c r="G755" s="9"/>
      <c r="H755" s="35"/>
    </row>
    <row r="756" spans="2:8" x14ac:dyDescent="0.35">
      <c r="B756" s="6"/>
      <c r="C756" s="7"/>
      <c r="D756" s="9"/>
      <c r="E756" s="9"/>
      <c r="F756" s="9"/>
      <c r="G756" s="9"/>
      <c r="H756" s="35"/>
    </row>
    <row r="757" spans="2:8" x14ac:dyDescent="0.35">
      <c r="B757" s="6"/>
      <c r="C757" s="7"/>
      <c r="D757" s="9"/>
      <c r="E757" s="9"/>
      <c r="F757" s="9"/>
      <c r="G757" s="9"/>
      <c r="H757" s="35"/>
    </row>
    <row r="758" spans="2:8" x14ac:dyDescent="0.35">
      <c r="B758" s="6"/>
      <c r="C758" s="7"/>
      <c r="D758" s="9"/>
      <c r="E758" s="9"/>
      <c r="F758" s="9"/>
      <c r="G758" s="9"/>
      <c r="H758" s="35"/>
    </row>
    <row r="759" spans="2:8" x14ac:dyDescent="0.35">
      <c r="B759" s="6"/>
      <c r="C759" s="7"/>
      <c r="D759" s="9"/>
      <c r="E759" s="9"/>
      <c r="F759" s="9"/>
      <c r="G759" s="9"/>
      <c r="H759" s="35"/>
    </row>
    <row r="760" spans="2:8" x14ac:dyDescent="0.35">
      <c r="B760" s="6"/>
      <c r="C760" s="7"/>
      <c r="D760" s="9"/>
      <c r="E760" s="9"/>
      <c r="F760" s="9"/>
      <c r="G760" s="9"/>
      <c r="H760" s="35"/>
    </row>
    <row r="761" spans="2:8" x14ac:dyDescent="0.35">
      <c r="B761" s="6"/>
      <c r="C761" s="7"/>
      <c r="D761" s="9"/>
      <c r="E761" s="9"/>
      <c r="F761" s="9"/>
      <c r="G761" s="9"/>
      <c r="H761" s="35"/>
    </row>
    <row r="762" spans="2:8" x14ac:dyDescent="0.35">
      <c r="B762" s="6"/>
      <c r="C762" s="7"/>
      <c r="D762" s="9"/>
      <c r="E762" s="9"/>
      <c r="F762" s="9"/>
      <c r="G762" s="9"/>
      <c r="H762" s="35"/>
    </row>
    <row r="763" spans="2:8" x14ac:dyDescent="0.35">
      <c r="B763" s="6"/>
      <c r="C763" s="7"/>
      <c r="D763" s="9"/>
      <c r="E763" s="9"/>
      <c r="F763" s="9"/>
      <c r="G763" s="9"/>
      <c r="H763" s="35"/>
    </row>
    <row r="764" spans="2:8" x14ac:dyDescent="0.35">
      <c r="B764" s="6"/>
      <c r="C764" s="7"/>
      <c r="D764" s="9"/>
      <c r="E764" s="9"/>
      <c r="F764" s="9"/>
      <c r="G764" s="9"/>
      <c r="H764" s="35"/>
    </row>
    <row r="765" spans="2:8" x14ac:dyDescent="0.35">
      <c r="B765" s="6"/>
      <c r="C765" s="7"/>
      <c r="D765" s="9"/>
      <c r="E765" s="9"/>
      <c r="F765" s="9"/>
      <c r="G765" s="9"/>
      <c r="H765" s="35"/>
    </row>
    <row r="766" spans="2:8" x14ac:dyDescent="0.35">
      <c r="B766" s="6"/>
      <c r="C766" s="7"/>
      <c r="D766" s="9"/>
      <c r="E766" s="9"/>
      <c r="F766" s="9"/>
      <c r="G766" s="9"/>
      <c r="H766" s="35"/>
    </row>
    <row r="767" spans="2:8" x14ac:dyDescent="0.35">
      <c r="B767" s="6"/>
      <c r="C767" s="7"/>
      <c r="D767" s="9"/>
      <c r="E767" s="9"/>
      <c r="F767" s="9"/>
      <c r="G767" s="9"/>
      <c r="H767" s="35"/>
    </row>
    <row r="768" spans="2:8" x14ac:dyDescent="0.35">
      <c r="B768" s="6"/>
      <c r="C768" s="7"/>
      <c r="D768" s="9"/>
      <c r="E768" s="9"/>
      <c r="F768" s="9"/>
      <c r="G768" s="9"/>
      <c r="H768" s="35"/>
    </row>
    <row r="769" spans="2:8" x14ac:dyDescent="0.35">
      <c r="B769" s="6"/>
      <c r="C769" s="7"/>
      <c r="D769" s="9"/>
      <c r="E769" s="9"/>
      <c r="F769" s="9"/>
      <c r="G769" s="9"/>
      <c r="H769" s="35"/>
    </row>
    <row r="770" spans="2:8" x14ac:dyDescent="0.35">
      <c r="B770" s="6"/>
      <c r="C770" s="7"/>
      <c r="D770" s="9"/>
      <c r="E770" s="9"/>
      <c r="F770" s="9"/>
      <c r="G770" s="9"/>
      <c r="H770" s="35"/>
    </row>
    <row r="771" spans="2:8" x14ac:dyDescent="0.35">
      <c r="B771" s="6"/>
      <c r="C771" s="7"/>
      <c r="D771" s="9"/>
      <c r="E771" s="9"/>
      <c r="F771" s="9"/>
      <c r="G771" s="9"/>
      <c r="H771" s="35"/>
    </row>
    <row r="772" spans="2:8" x14ac:dyDescent="0.35">
      <c r="B772" s="6"/>
      <c r="C772" s="7"/>
      <c r="D772" s="9"/>
      <c r="E772" s="9"/>
      <c r="F772" s="9"/>
      <c r="G772" s="9"/>
      <c r="H772" s="35"/>
    </row>
    <row r="773" spans="2:8" x14ac:dyDescent="0.35">
      <c r="B773" s="6"/>
      <c r="C773" s="7"/>
      <c r="D773" s="9"/>
      <c r="E773" s="9"/>
      <c r="F773" s="9"/>
      <c r="G773" s="9"/>
      <c r="H773" s="35"/>
    </row>
    <row r="774" spans="2:8" x14ac:dyDescent="0.35">
      <c r="B774" s="6"/>
      <c r="C774" s="7"/>
      <c r="D774" s="9"/>
      <c r="E774" s="9"/>
      <c r="F774" s="9"/>
      <c r="G774" s="9"/>
      <c r="H774" s="35"/>
    </row>
    <row r="775" spans="2:8" x14ac:dyDescent="0.35">
      <c r="B775" s="6"/>
      <c r="C775" s="7"/>
      <c r="D775" s="9"/>
      <c r="E775" s="9"/>
      <c r="F775" s="9"/>
      <c r="G775" s="9"/>
      <c r="H775" s="35"/>
    </row>
    <row r="776" spans="2:8" x14ac:dyDescent="0.35">
      <c r="B776" s="6"/>
      <c r="C776" s="7"/>
      <c r="D776" s="9"/>
      <c r="E776" s="9"/>
      <c r="F776" s="9"/>
      <c r="G776" s="9"/>
      <c r="H776" s="35"/>
    </row>
    <row r="777" spans="2:8" x14ac:dyDescent="0.35">
      <c r="B777" s="6"/>
      <c r="C777" s="7"/>
      <c r="D777" s="9"/>
      <c r="E777" s="9"/>
      <c r="F777" s="9"/>
      <c r="G777" s="9"/>
      <c r="H777" s="35"/>
    </row>
    <row r="778" spans="2:8" x14ac:dyDescent="0.35">
      <c r="B778" s="6"/>
      <c r="C778" s="7"/>
      <c r="D778" s="9"/>
      <c r="E778" s="9"/>
      <c r="F778" s="9"/>
      <c r="G778" s="9"/>
      <c r="H778" s="35"/>
    </row>
    <row r="779" spans="2:8" x14ac:dyDescent="0.35">
      <c r="B779" s="6"/>
      <c r="C779" s="7"/>
      <c r="D779" s="9"/>
      <c r="E779" s="9"/>
      <c r="F779" s="9"/>
      <c r="G779" s="9"/>
      <c r="H779" s="35"/>
    </row>
    <row r="780" spans="2:8" x14ac:dyDescent="0.35">
      <c r="B780" s="6"/>
      <c r="C780" s="7"/>
      <c r="D780" s="9"/>
      <c r="E780" s="9"/>
      <c r="F780" s="9"/>
      <c r="G780" s="9"/>
      <c r="H780" s="35"/>
    </row>
    <row r="781" spans="2:8" x14ac:dyDescent="0.35">
      <c r="B781" s="6"/>
      <c r="C781" s="7"/>
      <c r="D781" s="9"/>
      <c r="E781" s="9"/>
      <c r="F781" s="9"/>
      <c r="G781" s="9"/>
      <c r="H781" s="35"/>
    </row>
    <row r="782" spans="2:8" x14ac:dyDescent="0.35">
      <c r="B782" s="6"/>
      <c r="C782" s="7"/>
      <c r="D782" s="9"/>
      <c r="E782" s="9"/>
      <c r="F782" s="9"/>
      <c r="G782" s="9"/>
      <c r="H782" s="35"/>
    </row>
    <row r="783" spans="2:8" x14ac:dyDescent="0.35">
      <c r="B783" s="6"/>
      <c r="C783" s="7"/>
      <c r="D783" s="9"/>
      <c r="E783" s="9"/>
      <c r="F783" s="9"/>
      <c r="G783" s="9"/>
      <c r="H783" s="35"/>
    </row>
    <row r="784" spans="2:8" x14ac:dyDescent="0.35">
      <c r="B784" s="6"/>
      <c r="C784" s="7"/>
      <c r="D784" s="9"/>
      <c r="E784" s="9"/>
      <c r="F784" s="9"/>
      <c r="G784" s="9"/>
      <c r="H784" s="35"/>
    </row>
    <row r="785" spans="2:8" x14ac:dyDescent="0.35">
      <c r="B785" s="6"/>
      <c r="C785" s="7"/>
      <c r="D785" s="9"/>
      <c r="E785" s="9"/>
      <c r="F785" s="9"/>
      <c r="G785" s="9"/>
      <c r="H785" s="35"/>
    </row>
    <row r="786" spans="2:8" x14ac:dyDescent="0.35">
      <c r="B786" s="6"/>
      <c r="C786" s="7"/>
      <c r="D786" s="9"/>
      <c r="E786" s="9"/>
      <c r="F786" s="9"/>
      <c r="G786" s="9"/>
      <c r="H786" s="35"/>
    </row>
    <row r="787" spans="2:8" x14ac:dyDescent="0.35">
      <c r="B787" s="6"/>
      <c r="C787" s="7"/>
      <c r="D787" s="9"/>
      <c r="E787" s="9"/>
      <c r="F787" s="9"/>
      <c r="G787" s="9"/>
      <c r="H787" s="35"/>
    </row>
    <row r="788" spans="2:8" x14ac:dyDescent="0.35">
      <c r="B788" s="6"/>
      <c r="C788" s="7"/>
      <c r="D788" s="9"/>
      <c r="E788" s="9"/>
      <c r="F788" s="9"/>
      <c r="G788" s="9"/>
      <c r="H788" s="35"/>
    </row>
    <row r="789" spans="2:8" x14ac:dyDescent="0.35">
      <c r="B789" s="6"/>
      <c r="C789" s="7"/>
      <c r="D789" s="9"/>
      <c r="E789" s="9"/>
      <c r="F789" s="9"/>
      <c r="G789" s="9"/>
      <c r="H789" s="35"/>
    </row>
    <row r="790" spans="2:8" x14ac:dyDescent="0.35">
      <c r="B790" s="6"/>
      <c r="C790" s="7"/>
      <c r="D790" s="9"/>
      <c r="E790" s="9"/>
      <c r="F790" s="9"/>
      <c r="G790" s="9"/>
      <c r="H790" s="35"/>
    </row>
    <row r="791" spans="2:8" x14ac:dyDescent="0.35">
      <c r="B791" s="6"/>
      <c r="C791" s="7"/>
      <c r="D791" s="9"/>
      <c r="E791" s="9"/>
      <c r="F791" s="9"/>
      <c r="G791" s="9"/>
      <c r="H791" s="35"/>
    </row>
    <row r="792" spans="2:8" x14ac:dyDescent="0.35">
      <c r="B792" s="6"/>
      <c r="C792" s="7"/>
      <c r="D792" s="9"/>
      <c r="E792" s="9"/>
      <c r="F792" s="9"/>
      <c r="G792" s="9"/>
      <c r="H792" s="35"/>
    </row>
    <row r="793" spans="2:8" x14ac:dyDescent="0.35">
      <c r="B793" s="6"/>
      <c r="C793" s="7"/>
      <c r="D793" s="9"/>
      <c r="E793" s="9"/>
      <c r="F793" s="9"/>
      <c r="G793" s="9"/>
      <c r="H793" s="35"/>
    </row>
    <row r="794" spans="2:8" x14ac:dyDescent="0.35">
      <c r="B794" s="6"/>
      <c r="C794" s="7"/>
      <c r="D794" s="9"/>
      <c r="E794" s="9"/>
      <c r="F794" s="9"/>
      <c r="G794" s="9"/>
      <c r="H794" s="35"/>
    </row>
    <row r="795" spans="2:8" x14ac:dyDescent="0.35">
      <c r="B795" s="6"/>
      <c r="C795" s="7"/>
      <c r="D795" s="9"/>
      <c r="E795" s="9"/>
      <c r="F795" s="9"/>
      <c r="G795" s="9"/>
      <c r="H795" s="35"/>
    </row>
    <row r="796" spans="2:8" x14ac:dyDescent="0.35">
      <c r="B796" s="6"/>
      <c r="C796" s="7"/>
      <c r="D796" s="9"/>
      <c r="E796" s="9"/>
      <c r="F796" s="9"/>
      <c r="G796" s="9"/>
      <c r="H796" s="35"/>
    </row>
    <row r="797" spans="2:8" x14ac:dyDescent="0.35">
      <c r="B797" s="6"/>
      <c r="C797" s="7"/>
      <c r="D797" s="9"/>
      <c r="E797" s="9"/>
      <c r="F797" s="9"/>
      <c r="G797" s="9"/>
      <c r="H797" s="35"/>
    </row>
    <row r="798" spans="2:8" x14ac:dyDescent="0.35">
      <c r="B798" s="6"/>
      <c r="C798" s="7"/>
      <c r="D798" s="9"/>
      <c r="E798" s="9"/>
      <c r="F798" s="9"/>
      <c r="G798" s="9"/>
      <c r="H798" s="35"/>
    </row>
    <row r="799" spans="2:8" x14ac:dyDescent="0.35">
      <c r="B799" s="6"/>
      <c r="C799" s="7"/>
      <c r="D799" s="9"/>
      <c r="E799" s="9"/>
      <c r="F799" s="9"/>
      <c r="G799" s="9"/>
      <c r="H799" s="35"/>
    </row>
    <row r="800" spans="2:8" x14ac:dyDescent="0.35">
      <c r="B800" s="6"/>
      <c r="C800" s="7"/>
      <c r="D800" s="9"/>
      <c r="E800" s="9"/>
      <c r="F800" s="9"/>
      <c r="G800" s="9"/>
      <c r="H800" s="35"/>
    </row>
    <row r="801" spans="2:8" x14ac:dyDescent="0.35">
      <c r="B801" s="6"/>
      <c r="C801" s="7"/>
      <c r="D801" s="9"/>
      <c r="E801" s="9"/>
      <c r="F801" s="9"/>
      <c r="G801" s="9"/>
      <c r="H801" s="35"/>
    </row>
    <row r="802" spans="2:8" x14ac:dyDescent="0.35">
      <c r="B802" s="6"/>
      <c r="C802" s="7"/>
      <c r="D802" s="9"/>
      <c r="E802" s="9"/>
      <c r="F802" s="9"/>
      <c r="G802" s="9"/>
      <c r="H802" s="35"/>
    </row>
    <row r="803" spans="2:8" x14ac:dyDescent="0.35">
      <c r="B803" s="6"/>
      <c r="C803" s="7"/>
      <c r="D803" s="9"/>
      <c r="E803" s="9"/>
      <c r="F803" s="9"/>
      <c r="G803" s="9"/>
      <c r="H803" s="35"/>
    </row>
    <row r="804" spans="2:8" x14ac:dyDescent="0.35">
      <c r="B804" s="6"/>
      <c r="C804" s="7"/>
      <c r="D804" s="9"/>
      <c r="E804" s="9"/>
      <c r="F804" s="9"/>
      <c r="G804" s="9"/>
      <c r="H804" s="35"/>
    </row>
    <row r="805" spans="2:8" x14ac:dyDescent="0.35">
      <c r="B805" s="6"/>
      <c r="C805" s="7"/>
      <c r="D805" s="9"/>
      <c r="E805" s="9"/>
      <c r="F805" s="9"/>
      <c r="G805" s="9"/>
      <c r="H805" s="35"/>
    </row>
    <row r="806" spans="2:8" x14ac:dyDescent="0.35">
      <c r="B806" s="6"/>
      <c r="C806" s="7"/>
      <c r="D806" s="9"/>
      <c r="E806" s="9"/>
      <c r="F806" s="9"/>
      <c r="G806" s="9"/>
      <c r="H806" s="35"/>
    </row>
    <row r="807" spans="2:8" x14ac:dyDescent="0.35">
      <c r="B807" s="6"/>
      <c r="C807" s="7"/>
      <c r="D807" s="9"/>
      <c r="E807" s="9"/>
      <c r="F807" s="9"/>
      <c r="G807" s="9"/>
      <c r="H807" s="35"/>
    </row>
    <row r="808" spans="2:8" x14ac:dyDescent="0.35">
      <c r="B808" s="6"/>
      <c r="C808" s="7"/>
      <c r="D808" s="9"/>
      <c r="E808" s="9"/>
      <c r="F808" s="9"/>
      <c r="G808" s="9"/>
      <c r="H808" s="35"/>
    </row>
    <row r="809" spans="2:8" x14ac:dyDescent="0.35">
      <c r="B809" s="6"/>
      <c r="C809" s="7"/>
      <c r="D809" s="9"/>
      <c r="E809" s="9"/>
      <c r="F809" s="9"/>
      <c r="G809" s="9"/>
      <c r="H809" s="35"/>
    </row>
    <row r="810" spans="2:8" x14ac:dyDescent="0.35">
      <c r="B810" s="6"/>
      <c r="C810" s="7"/>
      <c r="D810" s="9"/>
      <c r="E810" s="9"/>
      <c r="F810" s="9"/>
      <c r="G810" s="9"/>
      <c r="H810" s="35"/>
    </row>
    <row r="811" spans="2:8" x14ac:dyDescent="0.35">
      <c r="B811" s="6"/>
      <c r="C811" s="7"/>
      <c r="D811" s="9"/>
      <c r="E811" s="9"/>
      <c r="F811" s="9"/>
      <c r="G811" s="9"/>
      <c r="H811" s="35"/>
    </row>
    <row r="812" spans="2:8" x14ac:dyDescent="0.35">
      <c r="B812" s="6"/>
      <c r="C812" s="7"/>
      <c r="D812" s="9"/>
      <c r="E812" s="9"/>
      <c r="F812" s="9"/>
      <c r="G812" s="9"/>
      <c r="H812" s="35"/>
    </row>
    <row r="813" spans="2:8" x14ac:dyDescent="0.35">
      <c r="B813" s="6"/>
      <c r="C813" s="7"/>
      <c r="D813" s="9"/>
      <c r="E813" s="9"/>
      <c r="F813" s="9"/>
      <c r="G813" s="9"/>
      <c r="H813" s="35"/>
    </row>
    <row r="814" spans="2:8" x14ac:dyDescent="0.35">
      <c r="B814" s="6"/>
      <c r="C814" s="7"/>
      <c r="D814" s="9"/>
      <c r="E814" s="9"/>
      <c r="F814" s="9"/>
      <c r="G814" s="9"/>
      <c r="H814" s="35"/>
    </row>
    <row r="815" spans="2:8" x14ac:dyDescent="0.35">
      <c r="B815" s="6"/>
      <c r="C815" s="7"/>
      <c r="D815" s="9"/>
      <c r="E815" s="9"/>
      <c r="F815" s="9"/>
      <c r="G815" s="9"/>
      <c r="H815" s="35"/>
    </row>
    <row r="816" spans="2:8" x14ac:dyDescent="0.35">
      <c r="B816" s="6"/>
      <c r="C816" s="7"/>
      <c r="D816" s="9"/>
      <c r="E816" s="9"/>
      <c r="F816" s="9"/>
      <c r="G816" s="9"/>
      <c r="H816" s="35"/>
    </row>
    <row r="817" spans="2:8" x14ac:dyDescent="0.35">
      <c r="B817" s="6"/>
      <c r="C817" s="7"/>
      <c r="D817" s="9"/>
      <c r="E817" s="9"/>
      <c r="F817" s="9"/>
      <c r="G817" s="9"/>
      <c r="H817" s="35"/>
    </row>
    <row r="818" spans="2:8" x14ac:dyDescent="0.35">
      <c r="B818" s="6"/>
      <c r="C818" s="7"/>
      <c r="D818" s="9"/>
      <c r="E818" s="9"/>
      <c r="F818" s="9"/>
      <c r="G818" s="9"/>
      <c r="H818" s="35"/>
    </row>
    <row r="819" spans="2:8" x14ac:dyDescent="0.35">
      <c r="B819" s="6"/>
      <c r="C819" s="7"/>
      <c r="D819" s="9"/>
      <c r="E819" s="9"/>
      <c r="F819" s="9"/>
      <c r="G819" s="9"/>
      <c r="H819" s="35"/>
    </row>
    <row r="820" spans="2:8" x14ac:dyDescent="0.35">
      <c r="B820" s="6"/>
      <c r="C820" s="7"/>
      <c r="D820" s="9"/>
      <c r="E820" s="9"/>
      <c r="F820" s="9"/>
      <c r="G820" s="9"/>
      <c r="H820" s="35"/>
    </row>
    <row r="821" spans="2:8" x14ac:dyDescent="0.35">
      <c r="B821" s="6"/>
      <c r="C821" s="7"/>
      <c r="D821" s="9"/>
      <c r="E821" s="9"/>
      <c r="F821" s="9"/>
      <c r="G821" s="9"/>
      <c r="H821" s="35"/>
    </row>
    <row r="822" spans="2:8" x14ac:dyDescent="0.35">
      <c r="B822" s="6"/>
      <c r="C822" s="7"/>
      <c r="D822" s="9"/>
      <c r="E822" s="9"/>
      <c r="F822" s="9"/>
      <c r="G822" s="9"/>
      <c r="H822" s="35"/>
    </row>
    <row r="823" spans="2:8" x14ac:dyDescent="0.35">
      <c r="B823" s="6"/>
      <c r="C823" s="7"/>
      <c r="D823" s="9"/>
      <c r="E823" s="9"/>
      <c r="F823" s="9"/>
      <c r="G823" s="9"/>
      <c r="H823" s="35"/>
    </row>
    <row r="824" spans="2:8" x14ac:dyDescent="0.35">
      <c r="B824" s="6"/>
      <c r="C824" s="7"/>
      <c r="D824" s="9"/>
      <c r="E824" s="9"/>
      <c r="F824" s="9"/>
      <c r="G824" s="9"/>
      <c r="H824" s="35"/>
    </row>
    <row r="825" spans="2:8" x14ac:dyDescent="0.35">
      <c r="B825" s="6"/>
      <c r="C825" s="7"/>
      <c r="D825" s="9"/>
      <c r="E825" s="9"/>
      <c r="F825" s="9"/>
      <c r="G825" s="9"/>
      <c r="H825" s="35"/>
    </row>
    <row r="826" spans="2:8" x14ac:dyDescent="0.35">
      <c r="B826" s="6"/>
      <c r="C826" s="7"/>
      <c r="D826" s="9"/>
      <c r="E826" s="9"/>
      <c r="F826" s="9"/>
      <c r="G826" s="9"/>
      <c r="H826" s="35"/>
    </row>
    <row r="827" spans="2:8" x14ac:dyDescent="0.35">
      <c r="B827" s="6"/>
      <c r="C827" s="7"/>
      <c r="D827" s="9"/>
      <c r="E827" s="9"/>
      <c r="F827" s="9"/>
      <c r="G827" s="9"/>
      <c r="H827" s="35"/>
    </row>
    <row r="828" spans="2:8" x14ac:dyDescent="0.35">
      <c r="B828" s="6"/>
      <c r="C828" s="7"/>
      <c r="D828" s="9"/>
      <c r="E828" s="9"/>
      <c r="F828" s="9"/>
      <c r="G828" s="9"/>
      <c r="H828" s="35"/>
    </row>
    <row r="829" spans="2:8" x14ac:dyDescent="0.35">
      <c r="B829" s="6"/>
      <c r="C829" s="7"/>
      <c r="D829" s="9"/>
      <c r="E829" s="9"/>
      <c r="F829" s="9"/>
      <c r="G829" s="9"/>
      <c r="H829" s="35"/>
    </row>
    <row r="830" spans="2:8" x14ac:dyDescent="0.35">
      <c r="B830" s="6"/>
      <c r="C830" s="7"/>
      <c r="D830" s="9"/>
      <c r="E830" s="9"/>
      <c r="F830" s="9"/>
      <c r="G830" s="9"/>
      <c r="H830" s="35"/>
    </row>
    <row r="831" spans="2:8" x14ac:dyDescent="0.35">
      <c r="B831" s="6"/>
      <c r="C831" s="7"/>
      <c r="D831" s="9"/>
      <c r="E831" s="9"/>
      <c r="F831" s="9"/>
      <c r="G831" s="9"/>
      <c r="H831" s="35"/>
    </row>
    <row r="832" spans="2:8" x14ac:dyDescent="0.35">
      <c r="B832" s="6"/>
      <c r="C832" s="7"/>
      <c r="D832" s="9"/>
      <c r="E832" s="9"/>
      <c r="F832" s="9"/>
      <c r="G832" s="9"/>
      <c r="H832" s="35"/>
    </row>
    <row r="833" spans="2:8" x14ac:dyDescent="0.35">
      <c r="B833" s="6"/>
      <c r="C833" s="7"/>
      <c r="D833" s="9"/>
      <c r="E833" s="9"/>
      <c r="F833" s="9"/>
      <c r="G833" s="9"/>
      <c r="H833" s="35"/>
    </row>
    <row r="834" spans="2:8" x14ac:dyDescent="0.35">
      <c r="B834" s="6"/>
      <c r="C834" s="7"/>
      <c r="D834" s="9"/>
      <c r="E834" s="9"/>
      <c r="F834" s="9"/>
      <c r="G834" s="9"/>
      <c r="H834" s="35"/>
    </row>
    <row r="835" spans="2:8" x14ac:dyDescent="0.35">
      <c r="B835" s="6"/>
      <c r="C835" s="7"/>
      <c r="D835" s="9"/>
      <c r="E835" s="9"/>
      <c r="F835" s="9"/>
      <c r="G835" s="9"/>
      <c r="H835" s="35"/>
    </row>
    <row r="836" spans="2:8" x14ac:dyDescent="0.35">
      <c r="B836" s="6"/>
      <c r="C836" s="7"/>
      <c r="D836" s="9"/>
      <c r="E836" s="9"/>
      <c r="F836" s="9"/>
      <c r="G836" s="9"/>
      <c r="H836" s="35"/>
    </row>
    <row r="837" spans="2:8" x14ac:dyDescent="0.35">
      <c r="B837" s="6"/>
      <c r="C837" s="7"/>
      <c r="D837" s="9"/>
      <c r="E837" s="9"/>
      <c r="F837" s="9"/>
      <c r="G837" s="9"/>
      <c r="H837" s="35"/>
    </row>
    <row r="838" spans="2:8" x14ac:dyDescent="0.35">
      <c r="B838" s="6"/>
      <c r="C838" s="7"/>
      <c r="D838" s="9"/>
      <c r="E838" s="9"/>
      <c r="F838" s="9"/>
      <c r="G838" s="9"/>
      <c r="H838" s="35"/>
    </row>
    <row r="839" spans="2:8" x14ac:dyDescent="0.35">
      <c r="B839" s="6"/>
      <c r="C839" s="7"/>
      <c r="D839" s="9"/>
      <c r="E839" s="9"/>
      <c r="F839" s="9"/>
      <c r="G839" s="9"/>
      <c r="H839" s="35"/>
    </row>
    <row r="840" spans="2:8" x14ac:dyDescent="0.35">
      <c r="B840" s="6"/>
      <c r="C840" s="7"/>
      <c r="D840" s="9"/>
      <c r="E840" s="9"/>
      <c r="F840" s="9"/>
      <c r="G840" s="9"/>
      <c r="H840" s="35"/>
    </row>
    <row r="841" spans="2:8" x14ac:dyDescent="0.35">
      <c r="B841" s="6"/>
      <c r="C841" s="7"/>
      <c r="D841" s="9"/>
      <c r="E841" s="9"/>
      <c r="F841" s="9"/>
      <c r="G841" s="9"/>
      <c r="H841" s="35"/>
    </row>
    <row r="842" spans="2:8" x14ac:dyDescent="0.35">
      <c r="B842" s="6"/>
      <c r="C842" s="7"/>
      <c r="D842" s="9"/>
      <c r="E842" s="9"/>
      <c r="F842" s="9"/>
      <c r="G842" s="9"/>
      <c r="H842" s="35"/>
    </row>
    <row r="843" spans="2:8" x14ac:dyDescent="0.35">
      <c r="B843" s="6"/>
      <c r="C843" s="7"/>
      <c r="D843" s="9"/>
      <c r="E843" s="9"/>
      <c r="F843" s="9"/>
      <c r="G843" s="9"/>
      <c r="H843" s="35"/>
    </row>
    <row r="844" spans="2:8" x14ac:dyDescent="0.35">
      <c r="B844" s="6"/>
      <c r="C844" s="7"/>
      <c r="D844" s="9"/>
      <c r="E844" s="9"/>
      <c r="F844" s="9"/>
      <c r="G844" s="9"/>
      <c r="H844" s="35"/>
    </row>
    <row r="845" spans="2:8" x14ac:dyDescent="0.35">
      <c r="B845" s="6"/>
      <c r="C845" s="7"/>
      <c r="D845" s="9"/>
      <c r="E845" s="9"/>
      <c r="F845" s="9"/>
      <c r="G845" s="9"/>
      <c r="H845" s="35"/>
    </row>
    <row r="846" spans="2:8" x14ac:dyDescent="0.35">
      <c r="B846" s="6"/>
      <c r="C846" s="7"/>
      <c r="D846" s="9"/>
      <c r="E846" s="9"/>
      <c r="F846" s="9"/>
      <c r="G846" s="9"/>
      <c r="H846" s="35"/>
    </row>
    <row r="847" spans="2:8" x14ac:dyDescent="0.35">
      <c r="B847" s="6"/>
      <c r="C847" s="7"/>
      <c r="D847" s="9"/>
      <c r="E847" s="9"/>
      <c r="F847" s="9"/>
      <c r="G847" s="9"/>
      <c r="H847" s="35"/>
    </row>
    <row r="848" spans="2:8" x14ac:dyDescent="0.35">
      <c r="B848" s="6"/>
      <c r="C848" s="7"/>
      <c r="D848" s="9"/>
      <c r="E848" s="9"/>
      <c r="F848" s="9"/>
      <c r="G848" s="9"/>
      <c r="H848" s="35"/>
    </row>
    <row r="849" spans="2:8" x14ac:dyDescent="0.35">
      <c r="B849" s="6"/>
      <c r="C849" s="7"/>
      <c r="D849" s="9"/>
      <c r="E849" s="9"/>
      <c r="F849" s="9"/>
      <c r="G849" s="9"/>
      <c r="H849" s="35"/>
    </row>
    <row r="850" spans="2:8" x14ac:dyDescent="0.35">
      <c r="B850" s="6"/>
      <c r="C850" s="7"/>
      <c r="D850" s="9"/>
      <c r="E850" s="9"/>
      <c r="F850" s="9"/>
      <c r="G850" s="9"/>
      <c r="H850" s="35"/>
    </row>
    <row r="851" spans="2:8" x14ac:dyDescent="0.35">
      <c r="B851" s="6"/>
      <c r="C851" s="7"/>
      <c r="D851" s="9"/>
      <c r="E851" s="9"/>
      <c r="F851" s="9"/>
      <c r="G851" s="9"/>
      <c r="H851" s="35"/>
    </row>
    <row r="852" spans="2:8" x14ac:dyDescent="0.35">
      <c r="B852" s="6"/>
      <c r="C852" s="7"/>
      <c r="D852" s="9"/>
      <c r="E852" s="9"/>
      <c r="F852" s="9"/>
      <c r="G852" s="9"/>
      <c r="H852" s="35"/>
    </row>
    <row r="853" spans="2:8" x14ac:dyDescent="0.35">
      <c r="B853" s="6"/>
      <c r="C853" s="7"/>
      <c r="D853" s="9"/>
      <c r="E853" s="9"/>
      <c r="F853" s="9"/>
      <c r="G853" s="9"/>
      <c r="H853" s="35"/>
    </row>
    <row r="854" spans="2:8" x14ac:dyDescent="0.35">
      <c r="B854" s="6"/>
      <c r="C854" s="7"/>
      <c r="D854" s="9"/>
      <c r="E854" s="9"/>
      <c r="F854" s="9"/>
      <c r="G854" s="9"/>
      <c r="H854" s="35"/>
    </row>
    <row r="855" spans="2:8" x14ac:dyDescent="0.35">
      <c r="B855" s="6"/>
      <c r="C855" s="7"/>
      <c r="D855" s="9"/>
      <c r="E855" s="9"/>
      <c r="F855" s="9"/>
      <c r="G855" s="9"/>
      <c r="H855" s="35"/>
    </row>
    <row r="856" spans="2:8" x14ac:dyDescent="0.35">
      <c r="B856" s="6"/>
      <c r="C856" s="7"/>
      <c r="D856" s="9"/>
      <c r="E856" s="9"/>
      <c r="F856" s="9"/>
      <c r="G856" s="9"/>
      <c r="H856" s="35"/>
    </row>
    <row r="857" spans="2:8" x14ac:dyDescent="0.35">
      <c r="B857" s="6"/>
      <c r="C857" s="7"/>
      <c r="D857" s="9"/>
      <c r="E857" s="9"/>
      <c r="F857" s="9"/>
      <c r="G857" s="9"/>
      <c r="H857" s="35"/>
    </row>
    <row r="858" spans="2:8" x14ac:dyDescent="0.35">
      <c r="B858" s="6"/>
      <c r="C858" s="7"/>
      <c r="D858" s="9"/>
      <c r="E858" s="9"/>
      <c r="F858" s="9"/>
      <c r="G858" s="9"/>
      <c r="H858" s="35"/>
    </row>
    <row r="859" spans="2:8" x14ac:dyDescent="0.35">
      <c r="B859" s="6"/>
      <c r="C859" s="7"/>
      <c r="D859" s="9"/>
      <c r="E859" s="9"/>
      <c r="F859" s="9"/>
      <c r="G859" s="9"/>
      <c r="H859" s="35"/>
    </row>
    <row r="860" spans="2:8" x14ac:dyDescent="0.35">
      <c r="B860" s="6"/>
      <c r="C860" s="7"/>
      <c r="D860" s="9"/>
      <c r="E860" s="9"/>
      <c r="F860" s="9"/>
      <c r="G860" s="9"/>
      <c r="H860" s="35"/>
    </row>
    <row r="861" spans="2:8" x14ac:dyDescent="0.35">
      <c r="B861" s="6"/>
      <c r="C861" s="7"/>
      <c r="D861" s="9"/>
      <c r="E861" s="9"/>
      <c r="F861" s="9"/>
      <c r="G861" s="9"/>
      <c r="H861" s="35"/>
    </row>
    <row r="862" spans="2:8" x14ac:dyDescent="0.35">
      <c r="B862" s="6"/>
      <c r="C862" s="7"/>
      <c r="D862" s="9"/>
      <c r="E862" s="9"/>
      <c r="F862" s="9"/>
      <c r="G862" s="9"/>
      <c r="H862" s="35"/>
    </row>
    <row r="863" spans="2:8" x14ac:dyDescent="0.35">
      <c r="B863" s="6"/>
      <c r="C863" s="7"/>
      <c r="D863" s="9"/>
      <c r="E863" s="9"/>
      <c r="F863" s="9"/>
      <c r="G863" s="9"/>
      <c r="H863" s="35"/>
    </row>
    <row r="864" spans="2:8" x14ac:dyDescent="0.35">
      <c r="B864" s="6"/>
      <c r="C864" s="7"/>
      <c r="D864" s="9"/>
      <c r="E864" s="9"/>
      <c r="F864" s="9"/>
      <c r="G864" s="9"/>
      <c r="H864" s="35"/>
    </row>
    <row r="865" spans="2:8" x14ac:dyDescent="0.35">
      <c r="B865" s="6"/>
      <c r="C865" s="7"/>
      <c r="D865" s="9"/>
      <c r="E865" s="9"/>
      <c r="F865" s="9"/>
      <c r="G865" s="9"/>
      <c r="H865" s="35"/>
    </row>
    <row r="866" spans="2:8" x14ac:dyDescent="0.35">
      <c r="B866" s="6"/>
      <c r="C866" s="7"/>
      <c r="D866" s="9"/>
      <c r="E866" s="9"/>
      <c r="F866" s="9"/>
      <c r="G866" s="9"/>
      <c r="H866" s="35"/>
    </row>
    <row r="867" spans="2:8" x14ac:dyDescent="0.35">
      <c r="B867" s="6"/>
      <c r="C867" s="7"/>
      <c r="D867" s="9"/>
      <c r="E867" s="9"/>
      <c r="F867" s="9"/>
      <c r="G867" s="9"/>
      <c r="H867" s="35"/>
    </row>
    <row r="868" spans="2:8" x14ac:dyDescent="0.35">
      <c r="B868" s="6"/>
      <c r="C868" s="7"/>
      <c r="D868" s="9"/>
      <c r="E868" s="9"/>
      <c r="F868" s="9"/>
      <c r="G868" s="9"/>
      <c r="H868" s="35"/>
    </row>
    <row r="869" spans="2:8" x14ac:dyDescent="0.35">
      <c r="B869" s="6"/>
      <c r="C869" s="7"/>
      <c r="D869" s="9"/>
      <c r="E869" s="9"/>
      <c r="F869" s="9"/>
      <c r="G869" s="9"/>
      <c r="H869" s="35"/>
    </row>
    <row r="870" spans="2:8" x14ac:dyDescent="0.35">
      <c r="B870" s="6"/>
      <c r="C870" s="7"/>
      <c r="D870" s="9"/>
      <c r="E870" s="9"/>
      <c r="F870" s="9"/>
      <c r="G870" s="9"/>
      <c r="H870" s="35"/>
    </row>
    <row r="871" spans="2:8" x14ac:dyDescent="0.35">
      <c r="B871" s="6"/>
      <c r="C871" s="7"/>
      <c r="D871" s="9"/>
      <c r="E871" s="9"/>
      <c r="F871" s="9"/>
      <c r="G871" s="9"/>
      <c r="H871" s="35"/>
    </row>
    <row r="872" spans="2:8" x14ac:dyDescent="0.35">
      <c r="B872" s="6"/>
      <c r="C872" s="7"/>
      <c r="D872" s="9"/>
      <c r="E872" s="9"/>
      <c r="F872" s="9"/>
      <c r="G872" s="9"/>
      <c r="H872" s="35"/>
    </row>
    <row r="873" spans="2:8" x14ac:dyDescent="0.35">
      <c r="B873" s="6"/>
      <c r="C873" s="7"/>
      <c r="D873" s="9"/>
      <c r="E873" s="9"/>
      <c r="F873" s="9"/>
      <c r="G873" s="9"/>
      <c r="H873" s="35"/>
    </row>
    <row r="874" spans="2:8" x14ac:dyDescent="0.35">
      <c r="B874" s="6"/>
      <c r="C874" s="7"/>
      <c r="D874" s="9"/>
      <c r="E874" s="9"/>
      <c r="F874" s="9"/>
      <c r="G874" s="9"/>
      <c r="H874" s="35"/>
    </row>
    <row r="875" spans="2:8" x14ac:dyDescent="0.35">
      <c r="B875" s="6"/>
      <c r="C875" s="7"/>
      <c r="D875" s="9"/>
      <c r="E875" s="9"/>
      <c r="F875" s="9"/>
      <c r="G875" s="9"/>
      <c r="H875" s="35"/>
    </row>
    <row r="876" spans="2:8" x14ac:dyDescent="0.35">
      <c r="B876" s="6"/>
      <c r="C876" s="7"/>
      <c r="D876" s="9"/>
      <c r="E876" s="9"/>
      <c r="F876" s="9"/>
      <c r="G876" s="9"/>
      <c r="H876" s="35"/>
    </row>
    <row r="877" spans="2:8" x14ac:dyDescent="0.35">
      <c r="B877" s="6"/>
      <c r="C877" s="7"/>
      <c r="D877" s="9"/>
      <c r="E877" s="9"/>
      <c r="F877" s="9"/>
      <c r="G877" s="9"/>
      <c r="H877" s="35"/>
    </row>
    <row r="878" spans="2:8" x14ac:dyDescent="0.35">
      <c r="B878" s="6"/>
      <c r="C878" s="7"/>
      <c r="D878" s="9"/>
      <c r="E878" s="9"/>
      <c r="F878" s="9"/>
      <c r="G878" s="9"/>
      <c r="H878" s="35"/>
    </row>
    <row r="879" spans="2:8" x14ac:dyDescent="0.35">
      <c r="B879" s="6"/>
      <c r="C879" s="7"/>
      <c r="D879" s="9"/>
      <c r="E879" s="9"/>
      <c r="F879" s="9"/>
      <c r="G879" s="9"/>
      <c r="H879" s="35"/>
    </row>
    <row r="880" spans="2:8" x14ac:dyDescent="0.35">
      <c r="B880" s="6"/>
      <c r="C880" s="7"/>
      <c r="D880" s="9"/>
      <c r="E880" s="9"/>
      <c r="F880" s="9"/>
      <c r="G880" s="9"/>
      <c r="H880" s="35"/>
    </row>
    <row r="881" spans="2:8" x14ac:dyDescent="0.35">
      <c r="B881" s="6"/>
      <c r="C881" s="7"/>
      <c r="D881" s="9"/>
      <c r="E881" s="9"/>
      <c r="F881" s="9"/>
      <c r="G881" s="9"/>
      <c r="H881" s="35"/>
    </row>
    <row r="882" spans="2:8" x14ac:dyDescent="0.35">
      <c r="B882" s="6"/>
      <c r="C882" s="7"/>
      <c r="D882" s="9"/>
      <c r="E882" s="9"/>
      <c r="F882" s="9"/>
      <c r="G882" s="9"/>
      <c r="H882" s="35"/>
    </row>
    <row r="883" spans="2:8" x14ac:dyDescent="0.35">
      <c r="B883" s="6"/>
      <c r="C883" s="7"/>
      <c r="D883" s="9"/>
      <c r="E883" s="9"/>
      <c r="F883" s="9"/>
      <c r="G883" s="9"/>
      <c r="H883" s="35"/>
    </row>
    <row r="884" spans="2:8" x14ac:dyDescent="0.35">
      <c r="B884" s="6"/>
      <c r="C884" s="7"/>
      <c r="D884" s="9"/>
      <c r="E884" s="9"/>
      <c r="F884" s="9"/>
      <c r="G884" s="9"/>
      <c r="H884" s="35"/>
    </row>
    <row r="885" spans="2:8" x14ac:dyDescent="0.35">
      <c r="B885" s="6"/>
      <c r="C885" s="7"/>
      <c r="D885" s="9"/>
      <c r="E885" s="9"/>
      <c r="F885" s="9"/>
      <c r="G885" s="9"/>
      <c r="H885" s="35"/>
    </row>
    <row r="886" spans="2:8" x14ac:dyDescent="0.35">
      <c r="B886" s="6"/>
      <c r="C886" s="7"/>
      <c r="D886" s="9"/>
      <c r="E886" s="9"/>
      <c r="F886" s="9"/>
      <c r="G886" s="9"/>
      <c r="H886" s="35"/>
    </row>
    <row r="887" spans="2:8" x14ac:dyDescent="0.35">
      <c r="B887" s="6"/>
      <c r="C887" s="7"/>
      <c r="D887" s="9"/>
      <c r="E887" s="9"/>
      <c r="F887" s="9"/>
      <c r="G887" s="9"/>
      <c r="H887" s="35"/>
    </row>
    <row r="888" spans="2:8" x14ac:dyDescent="0.35">
      <c r="B888" s="6"/>
      <c r="C888" s="7"/>
      <c r="D888" s="9"/>
      <c r="E888" s="9"/>
      <c r="F888" s="9"/>
      <c r="G888" s="9"/>
      <c r="H888" s="35"/>
    </row>
    <row r="889" spans="2:8" x14ac:dyDescent="0.35">
      <c r="B889" s="6"/>
      <c r="C889" s="7"/>
      <c r="D889" s="9"/>
      <c r="E889" s="9"/>
      <c r="F889" s="9"/>
      <c r="G889" s="9"/>
      <c r="H889" s="35"/>
    </row>
    <row r="890" spans="2:8" x14ac:dyDescent="0.35">
      <c r="B890" s="6"/>
      <c r="C890" s="7"/>
      <c r="D890" s="9"/>
      <c r="E890" s="9"/>
      <c r="F890" s="9"/>
      <c r="G890" s="9"/>
      <c r="H890" s="35"/>
    </row>
    <row r="891" spans="2:8" x14ac:dyDescent="0.35">
      <c r="B891" s="6"/>
      <c r="C891" s="7"/>
      <c r="D891" s="9"/>
      <c r="E891" s="9"/>
      <c r="F891" s="9"/>
      <c r="G891" s="9"/>
      <c r="H891" s="35"/>
    </row>
    <row r="892" spans="2:8" x14ac:dyDescent="0.35">
      <c r="B892" s="6"/>
      <c r="C892" s="7"/>
      <c r="D892" s="9"/>
      <c r="E892" s="9"/>
      <c r="F892" s="9"/>
      <c r="G892" s="9"/>
      <c r="H892" s="35"/>
    </row>
    <row r="893" spans="2:8" x14ac:dyDescent="0.35">
      <c r="B893" s="6"/>
      <c r="C893" s="7"/>
      <c r="D893" s="9"/>
      <c r="E893" s="9"/>
      <c r="F893" s="9"/>
      <c r="G893" s="9"/>
      <c r="H893" s="35"/>
    </row>
    <row r="894" spans="2:8" x14ac:dyDescent="0.35">
      <c r="B894" s="6"/>
      <c r="C894" s="7"/>
      <c r="D894" s="9"/>
      <c r="E894" s="9"/>
      <c r="F894" s="9"/>
      <c r="G894" s="9"/>
      <c r="H894" s="35"/>
    </row>
    <row r="895" spans="2:8" x14ac:dyDescent="0.35">
      <c r="B895" s="6"/>
      <c r="C895" s="7"/>
      <c r="D895" s="9"/>
      <c r="E895" s="9"/>
      <c r="F895" s="9"/>
      <c r="G895" s="9"/>
      <c r="H895" s="35"/>
    </row>
    <row r="896" spans="2:8" x14ac:dyDescent="0.35">
      <c r="B896" s="6"/>
      <c r="C896" s="7"/>
      <c r="D896" s="9"/>
      <c r="E896" s="9"/>
      <c r="F896" s="9"/>
      <c r="G896" s="9"/>
      <c r="H896" s="35"/>
    </row>
    <row r="897" spans="2:8" x14ac:dyDescent="0.35">
      <c r="B897" s="6"/>
      <c r="C897" s="7"/>
      <c r="D897" s="9"/>
      <c r="E897" s="9"/>
      <c r="F897" s="9"/>
      <c r="G897" s="9"/>
      <c r="H897" s="35"/>
    </row>
    <row r="898" spans="2:8" x14ac:dyDescent="0.35">
      <c r="B898" s="6"/>
      <c r="C898" s="7"/>
      <c r="D898" s="9"/>
      <c r="E898" s="9"/>
      <c r="F898" s="9"/>
      <c r="G898" s="9"/>
      <c r="H898" s="35"/>
    </row>
    <row r="899" spans="2:8" x14ac:dyDescent="0.35">
      <c r="B899" s="6"/>
      <c r="C899" s="7"/>
      <c r="D899" s="9"/>
      <c r="E899" s="9"/>
      <c r="F899" s="9"/>
      <c r="G899" s="9"/>
      <c r="H899" s="35"/>
    </row>
    <row r="900" spans="2:8" x14ac:dyDescent="0.35">
      <c r="B900" s="6"/>
      <c r="C900" s="7"/>
      <c r="D900" s="9"/>
      <c r="E900" s="9"/>
      <c r="F900" s="9"/>
      <c r="G900" s="9"/>
      <c r="H900" s="35"/>
    </row>
    <row r="901" spans="2:8" x14ac:dyDescent="0.35">
      <c r="B901" s="6"/>
      <c r="C901" s="7"/>
      <c r="D901" s="9"/>
      <c r="E901" s="9"/>
      <c r="F901" s="9"/>
      <c r="G901" s="9"/>
      <c r="H901" s="35"/>
    </row>
    <row r="902" spans="2:8" x14ac:dyDescent="0.35">
      <c r="B902" s="6"/>
      <c r="C902" s="7"/>
      <c r="D902" s="9"/>
      <c r="E902" s="9"/>
      <c r="F902" s="9"/>
      <c r="G902" s="9"/>
      <c r="H902" s="35"/>
    </row>
    <row r="903" spans="2:8" x14ac:dyDescent="0.35">
      <c r="B903" s="6"/>
      <c r="C903" s="7"/>
      <c r="D903" s="9"/>
      <c r="E903" s="9"/>
      <c r="F903" s="9"/>
      <c r="G903" s="9"/>
      <c r="H903" s="35"/>
    </row>
    <row r="904" spans="2:8" x14ac:dyDescent="0.35">
      <c r="B904" s="6"/>
      <c r="C904" s="7"/>
      <c r="D904" s="9"/>
      <c r="E904" s="9"/>
      <c r="F904" s="9"/>
      <c r="G904" s="9"/>
      <c r="H904" s="35"/>
    </row>
    <row r="905" spans="2:8" x14ac:dyDescent="0.35">
      <c r="B905" s="6"/>
      <c r="C905" s="7"/>
      <c r="D905" s="9"/>
      <c r="E905" s="9"/>
      <c r="F905" s="9"/>
      <c r="G905" s="9"/>
      <c r="H905" s="35"/>
    </row>
    <row r="906" spans="2:8" x14ac:dyDescent="0.35">
      <c r="B906" s="6"/>
      <c r="C906" s="7"/>
      <c r="D906" s="9"/>
      <c r="E906" s="9"/>
      <c r="F906" s="9"/>
      <c r="G906" s="9"/>
      <c r="H906" s="35"/>
    </row>
    <row r="907" spans="2:8" x14ac:dyDescent="0.35">
      <c r="B907" s="6"/>
      <c r="C907" s="7"/>
      <c r="D907" s="9"/>
      <c r="E907" s="9"/>
      <c r="F907" s="9"/>
      <c r="G907" s="9"/>
      <c r="H907" s="35"/>
    </row>
    <row r="908" spans="2:8" x14ac:dyDescent="0.35">
      <c r="B908" s="6"/>
      <c r="C908" s="7"/>
      <c r="D908" s="9"/>
      <c r="E908" s="9"/>
      <c r="F908" s="9"/>
      <c r="G908" s="9"/>
      <c r="H908" s="35"/>
    </row>
    <row r="909" spans="2:8" x14ac:dyDescent="0.35">
      <c r="B909" s="6"/>
      <c r="C909" s="7"/>
      <c r="D909" s="9"/>
      <c r="E909" s="9"/>
      <c r="F909" s="9"/>
      <c r="G909" s="9"/>
      <c r="H909" s="35"/>
    </row>
    <row r="910" spans="2:8" x14ac:dyDescent="0.35">
      <c r="B910" s="6"/>
      <c r="C910" s="7"/>
      <c r="D910" s="9"/>
      <c r="E910" s="9"/>
      <c r="F910" s="9"/>
      <c r="G910" s="9"/>
      <c r="H910" s="35"/>
    </row>
    <row r="911" spans="2:8" x14ac:dyDescent="0.35">
      <c r="B911" s="6"/>
      <c r="C911" s="7"/>
      <c r="D911" s="9"/>
      <c r="E911" s="9"/>
      <c r="F911" s="9"/>
      <c r="G911" s="9"/>
      <c r="H911" s="35"/>
    </row>
    <row r="912" spans="2:8" x14ac:dyDescent="0.35">
      <c r="B912" s="6"/>
      <c r="C912" s="7"/>
      <c r="D912" s="9"/>
      <c r="E912" s="9"/>
      <c r="F912" s="9"/>
      <c r="G912" s="9"/>
      <c r="H912" s="35"/>
    </row>
    <row r="913" spans="2:8" x14ac:dyDescent="0.35">
      <c r="B913" s="6"/>
      <c r="C913" s="7"/>
      <c r="D913" s="9"/>
      <c r="E913" s="9"/>
      <c r="F913" s="9"/>
      <c r="G913" s="9"/>
      <c r="H913" s="35"/>
    </row>
    <row r="914" spans="2:8" x14ac:dyDescent="0.35">
      <c r="B914" s="6"/>
      <c r="C914" s="7"/>
      <c r="D914" s="9"/>
      <c r="E914" s="9"/>
      <c r="F914" s="9"/>
      <c r="G914" s="9"/>
      <c r="H914" s="35"/>
    </row>
    <row r="915" spans="2:8" x14ac:dyDescent="0.35">
      <c r="B915" s="6"/>
      <c r="C915" s="7"/>
      <c r="D915" s="9"/>
      <c r="E915" s="9"/>
      <c r="F915" s="9"/>
      <c r="G915" s="9"/>
      <c r="H915" s="35"/>
    </row>
    <row r="916" spans="2:8" x14ac:dyDescent="0.35">
      <c r="B916" s="6"/>
      <c r="C916" s="7"/>
      <c r="D916" s="9"/>
      <c r="E916" s="9"/>
      <c r="F916" s="9"/>
      <c r="G916" s="9"/>
      <c r="H916" s="35"/>
    </row>
    <row r="917" spans="2:8" x14ac:dyDescent="0.35">
      <c r="B917" s="6"/>
      <c r="C917" s="7"/>
      <c r="D917" s="9"/>
      <c r="E917" s="9"/>
      <c r="F917" s="9"/>
      <c r="G917" s="9"/>
      <c r="H917" s="35"/>
    </row>
    <row r="918" spans="2:8" x14ac:dyDescent="0.35">
      <c r="B918" s="6"/>
      <c r="C918" s="7"/>
      <c r="D918" s="9"/>
      <c r="E918" s="9"/>
      <c r="F918" s="9"/>
      <c r="G918" s="9"/>
      <c r="H918" s="35"/>
    </row>
    <row r="919" spans="2:8" x14ac:dyDescent="0.35">
      <c r="B919" s="6"/>
      <c r="C919" s="7"/>
      <c r="D919" s="9"/>
      <c r="E919" s="9"/>
      <c r="F919" s="9"/>
      <c r="G919" s="9"/>
      <c r="H919" s="35"/>
    </row>
    <row r="920" spans="2:8" x14ac:dyDescent="0.35">
      <c r="B920" s="6"/>
      <c r="C920" s="7"/>
      <c r="D920" s="9"/>
      <c r="E920" s="9"/>
      <c r="F920" s="9"/>
      <c r="G920" s="9"/>
      <c r="H920" s="35"/>
    </row>
    <row r="921" spans="2:8" x14ac:dyDescent="0.35">
      <c r="B921" s="6"/>
      <c r="C921" s="7"/>
      <c r="D921" s="9"/>
      <c r="E921" s="9"/>
      <c r="F921" s="9"/>
      <c r="G921" s="9"/>
      <c r="H921" s="35"/>
    </row>
    <row r="922" spans="2:8" x14ac:dyDescent="0.35">
      <c r="B922" s="6"/>
      <c r="C922" s="7"/>
      <c r="D922" s="9"/>
      <c r="E922" s="9"/>
      <c r="F922" s="9"/>
      <c r="G922" s="9"/>
      <c r="H922" s="35"/>
    </row>
    <row r="923" spans="2:8" x14ac:dyDescent="0.35">
      <c r="B923" s="6"/>
      <c r="C923" s="7"/>
      <c r="D923" s="9"/>
      <c r="E923" s="9"/>
      <c r="F923" s="9"/>
      <c r="G923" s="9"/>
      <c r="H923" s="35"/>
    </row>
    <row r="924" spans="2:8" x14ac:dyDescent="0.35">
      <c r="B924" s="6"/>
      <c r="C924" s="7"/>
      <c r="D924" s="9"/>
      <c r="E924" s="9"/>
      <c r="F924" s="9"/>
      <c r="G924" s="9"/>
      <c r="H924" s="35"/>
    </row>
    <row r="925" spans="2:8" x14ac:dyDescent="0.35">
      <c r="B925" s="6"/>
      <c r="C925" s="7"/>
      <c r="D925" s="9"/>
      <c r="E925" s="9"/>
      <c r="F925" s="9"/>
      <c r="G925" s="9"/>
      <c r="H925" s="35"/>
    </row>
    <row r="926" spans="2:8" x14ac:dyDescent="0.35">
      <c r="B926" s="6"/>
      <c r="C926" s="7"/>
      <c r="D926" s="9"/>
      <c r="E926" s="9"/>
      <c r="F926" s="9"/>
      <c r="G926" s="9"/>
      <c r="H926" s="35"/>
    </row>
    <row r="927" spans="2:8" x14ac:dyDescent="0.35">
      <c r="B927" s="6"/>
      <c r="C927" s="7"/>
      <c r="D927" s="9"/>
      <c r="E927" s="9"/>
      <c r="F927" s="9"/>
      <c r="G927" s="9"/>
      <c r="H927" s="35"/>
    </row>
    <row r="928" spans="2:8" x14ac:dyDescent="0.35">
      <c r="B928" s="6"/>
      <c r="C928" s="7"/>
      <c r="D928" s="9"/>
      <c r="E928" s="9"/>
      <c r="F928" s="9"/>
      <c r="G928" s="9"/>
      <c r="H928" s="35"/>
    </row>
    <row r="929" spans="2:8" x14ac:dyDescent="0.35">
      <c r="B929" s="6"/>
      <c r="C929" s="7"/>
      <c r="D929" s="9"/>
      <c r="E929" s="9"/>
      <c r="F929" s="9"/>
      <c r="G929" s="9"/>
      <c r="H929" s="35"/>
    </row>
    <row r="930" spans="2:8" x14ac:dyDescent="0.35">
      <c r="B930" s="6"/>
      <c r="C930" s="7"/>
      <c r="D930" s="9"/>
      <c r="E930" s="9"/>
      <c r="F930" s="9"/>
      <c r="G930" s="9"/>
      <c r="H930" s="35"/>
    </row>
    <row r="931" spans="2:8" x14ac:dyDescent="0.35">
      <c r="B931" s="6"/>
      <c r="C931" s="7"/>
      <c r="D931" s="9"/>
      <c r="E931" s="9"/>
      <c r="F931" s="9"/>
      <c r="G931" s="9"/>
      <c r="H931" s="35"/>
    </row>
    <row r="932" spans="2:8" x14ac:dyDescent="0.35">
      <c r="B932" s="6"/>
      <c r="C932" s="7"/>
      <c r="D932" s="9"/>
      <c r="E932" s="9"/>
      <c r="F932" s="9"/>
      <c r="G932" s="9"/>
      <c r="H932" s="35"/>
    </row>
    <row r="933" spans="2:8" x14ac:dyDescent="0.35">
      <c r="B933" s="6"/>
      <c r="C933" s="7"/>
      <c r="D933" s="9"/>
      <c r="E933" s="9"/>
      <c r="F933" s="9"/>
      <c r="G933" s="9"/>
      <c r="H933" s="35"/>
    </row>
    <row r="934" spans="2:8" x14ac:dyDescent="0.35">
      <c r="B934" s="6"/>
      <c r="C934" s="7"/>
      <c r="D934" s="9"/>
      <c r="E934" s="9"/>
      <c r="F934" s="9"/>
      <c r="G934" s="9"/>
      <c r="H934" s="35"/>
    </row>
    <row r="935" spans="2:8" x14ac:dyDescent="0.35">
      <c r="B935" s="6"/>
      <c r="C935" s="7"/>
      <c r="D935" s="9"/>
      <c r="E935" s="9"/>
      <c r="F935" s="9"/>
      <c r="G935" s="9"/>
      <c r="H935" s="35"/>
    </row>
    <row r="936" spans="2:8" x14ac:dyDescent="0.35">
      <c r="B936" s="6"/>
      <c r="C936" s="7"/>
      <c r="D936" s="9"/>
      <c r="E936" s="9"/>
      <c r="F936" s="9"/>
      <c r="G936" s="9"/>
      <c r="H936" s="35"/>
    </row>
    <row r="937" spans="2:8" x14ac:dyDescent="0.35">
      <c r="B937" s="6"/>
      <c r="C937" s="7"/>
      <c r="D937" s="9"/>
      <c r="E937" s="9"/>
      <c r="F937" s="9"/>
      <c r="G937" s="9"/>
      <c r="H937" s="35"/>
    </row>
    <row r="938" spans="2:8" x14ac:dyDescent="0.35">
      <c r="B938" s="6"/>
      <c r="C938" s="7"/>
      <c r="D938" s="9"/>
      <c r="E938" s="9"/>
      <c r="F938" s="9"/>
      <c r="G938" s="9"/>
      <c r="H938" s="35"/>
    </row>
    <row r="939" spans="2:8" x14ac:dyDescent="0.35">
      <c r="B939" s="6"/>
      <c r="C939" s="7"/>
      <c r="D939" s="9"/>
      <c r="E939" s="9"/>
      <c r="F939" s="9"/>
      <c r="G939" s="9"/>
      <c r="H939" s="35"/>
    </row>
    <row r="940" spans="2:8" x14ac:dyDescent="0.35">
      <c r="B940" s="6"/>
      <c r="C940" s="7"/>
      <c r="D940" s="9"/>
      <c r="E940" s="9"/>
      <c r="F940" s="9"/>
      <c r="G940" s="9"/>
      <c r="H940" s="35"/>
    </row>
    <row r="941" spans="2:8" x14ac:dyDescent="0.35">
      <c r="B941" s="6"/>
      <c r="C941" s="7"/>
      <c r="D941" s="9"/>
      <c r="E941" s="9"/>
      <c r="F941" s="9"/>
      <c r="G941" s="9"/>
      <c r="H941" s="35"/>
    </row>
    <row r="942" spans="2:8" x14ac:dyDescent="0.35">
      <c r="B942" s="6"/>
      <c r="C942" s="7"/>
      <c r="D942" s="9"/>
      <c r="E942" s="9"/>
      <c r="F942" s="9"/>
      <c r="G942" s="9"/>
      <c r="H942" s="35"/>
    </row>
    <row r="943" spans="2:8" x14ac:dyDescent="0.35">
      <c r="B943" s="6"/>
      <c r="C943" s="7"/>
      <c r="D943" s="9"/>
      <c r="E943" s="9"/>
      <c r="F943" s="9"/>
      <c r="G943" s="9"/>
      <c r="H943" s="35"/>
    </row>
    <row r="944" spans="2:8" x14ac:dyDescent="0.35">
      <c r="B944" s="6"/>
      <c r="C944" s="7"/>
      <c r="D944" s="9"/>
      <c r="E944" s="9"/>
      <c r="F944" s="9"/>
      <c r="G944" s="9"/>
      <c r="H944" s="35"/>
    </row>
    <row r="945" spans="2:8" x14ac:dyDescent="0.35">
      <c r="B945" s="6"/>
      <c r="C945" s="7"/>
      <c r="D945" s="9"/>
      <c r="E945" s="9"/>
      <c r="F945" s="9"/>
      <c r="G945" s="9"/>
      <c r="H945" s="35"/>
    </row>
    <row r="946" spans="2:8" x14ac:dyDescent="0.35">
      <c r="B946" s="6"/>
      <c r="C946" s="7"/>
      <c r="D946" s="9"/>
      <c r="E946" s="9"/>
      <c r="F946" s="9"/>
      <c r="G946" s="9"/>
      <c r="H946" s="35"/>
    </row>
    <row r="947" spans="2:8" x14ac:dyDescent="0.35">
      <c r="B947" s="6"/>
      <c r="C947" s="7"/>
      <c r="D947" s="9"/>
      <c r="E947" s="9"/>
      <c r="F947" s="9"/>
      <c r="G947" s="9"/>
      <c r="H947" s="35"/>
    </row>
    <row r="948" spans="2:8" x14ac:dyDescent="0.35">
      <c r="B948" s="6"/>
      <c r="C948" s="7"/>
      <c r="D948" s="9"/>
      <c r="E948" s="9"/>
      <c r="F948" s="9"/>
      <c r="G948" s="9"/>
      <c r="H948" s="35"/>
    </row>
    <row r="949" spans="2:8" x14ac:dyDescent="0.35">
      <c r="B949" s="6"/>
      <c r="C949" s="7"/>
      <c r="D949" s="9"/>
      <c r="E949" s="9"/>
      <c r="F949" s="9"/>
      <c r="G949" s="9"/>
      <c r="H949" s="35"/>
    </row>
    <row r="950" spans="2:8" x14ac:dyDescent="0.35">
      <c r="B950" s="6"/>
      <c r="C950" s="7"/>
      <c r="D950" s="9"/>
      <c r="E950" s="9"/>
      <c r="F950" s="9"/>
      <c r="G950" s="9"/>
      <c r="H950" s="35"/>
    </row>
    <row r="951" spans="2:8" x14ac:dyDescent="0.35">
      <c r="B951" s="6"/>
      <c r="C951" s="7"/>
      <c r="D951" s="9"/>
      <c r="E951" s="9"/>
      <c r="F951" s="9"/>
      <c r="G951" s="9"/>
      <c r="H951" s="35"/>
    </row>
    <row r="952" spans="2:8" x14ac:dyDescent="0.35">
      <c r="B952" s="6"/>
      <c r="C952" s="7"/>
      <c r="D952" s="9"/>
      <c r="E952" s="9"/>
      <c r="F952" s="9"/>
      <c r="G952" s="9"/>
      <c r="H952" s="35"/>
    </row>
    <row r="953" spans="2:8" x14ac:dyDescent="0.35">
      <c r="B953" s="6"/>
      <c r="C953" s="7"/>
      <c r="D953" s="9"/>
      <c r="E953" s="9"/>
      <c r="F953" s="9"/>
      <c r="G953" s="9"/>
      <c r="H953" s="35"/>
    </row>
    <row r="954" spans="2:8" x14ac:dyDescent="0.35">
      <c r="B954" s="6"/>
      <c r="C954" s="7"/>
      <c r="D954" s="9"/>
      <c r="E954" s="9"/>
      <c r="F954" s="9"/>
      <c r="G954" s="9"/>
      <c r="H954" s="35"/>
    </row>
    <row r="955" spans="2:8" x14ac:dyDescent="0.35">
      <c r="B955" s="6"/>
      <c r="C955" s="7"/>
      <c r="D955" s="9"/>
      <c r="E955" s="9"/>
      <c r="F955" s="9"/>
      <c r="G955" s="9"/>
      <c r="H955" s="35"/>
    </row>
    <row r="956" spans="2:8" x14ac:dyDescent="0.35">
      <c r="B956" s="6"/>
      <c r="C956" s="7"/>
      <c r="D956" s="9"/>
      <c r="E956" s="9"/>
      <c r="F956" s="9"/>
      <c r="G956" s="9"/>
      <c r="H956" s="35"/>
    </row>
    <row r="957" spans="2:8" x14ac:dyDescent="0.35">
      <c r="B957" s="6"/>
      <c r="C957" s="7"/>
      <c r="D957" s="9"/>
      <c r="E957" s="9"/>
      <c r="F957" s="9"/>
      <c r="G957" s="9"/>
      <c r="H957" s="35"/>
    </row>
    <row r="958" spans="2:8" x14ac:dyDescent="0.35">
      <c r="B958" s="6"/>
      <c r="C958" s="7"/>
      <c r="D958" s="9"/>
      <c r="E958" s="9"/>
      <c r="F958" s="9"/>
      <c r="G958" s="9"/>
      <c r="H958" s="35"/>
    </row>
    <row r="959" spans="2:8" x14ac:dyDescent="0.35">
      <c r="B959" s="6"/>
      <c r="C959" s="7"/>
      <c r="D959" s="9"/>
      <c r="E959" s="9"/>
      <c r="F959" s="9"/>
      <c r="G959" s="9"/>
      <c r="H959" s="35"/>
    </row>
    <row r="960" spans="2:8" x14ac:dyDescent="0.35">
      <c r="B960" s="6"/>
      <c r="C960" s="7"/>
      <c r="D960" s="9"/>
      <c r="E960" s="9"/>
      <c r="F960" s="9"/>
      <c r="G960" s="9"/>
      <c r="H960" s="35"/>
    </row>
    <row r="961" spans="2:8" x14ac:dyDescent="0.35">
      <c r="B961" s="6"/>
      <c r="C961" s="7"/>
      <c r="D961" s="9"/>
      <c r="E961" s="9"/>
      <c r="F961" s="9"/>
      <c r="G961" s="9"/>
      <c r="H961" s="35"/>
    </row>
    <row r="962" spans="2:8" x14ac:dyDescent="0.35">
      <c r="B962" s="6"/>
      <c r="C962" s="7"/>
      <c r="D962" s="9"/>
      <c r="E962" s="9"/>
      <c r="F962" s="9"/>
      <c r="G962" s="9"/>
      <c r="H962" s="35"/>
    </row>
    <row r="963" spans="2:8" x14ac:dyDescent="0.35">
      <c r="B963" s="6"/>
      <c r="C963" s="7"/>
      <c r="D963" s="9"/>
      <c r="E963" s="9"/>
      <c r="F963" s="9"/>
      <c r="G963" s="9"/>
      <c r="H963" s="35"/>
    </row>
    <row r="964" spans="2:8" x14ac:dyDescent="0.35">
      <c r="B964" s="6"/>
      <c r="C964" s="7"/>
      <c r="D964" s="9"/>
      <c r="E964" s="9"/>
      <c r="F964" s="9"/>
      <c r="G964" s="9"/>
      <c r="H964" s="35"/>
    </row>
    <row r="965" spans="2:8" x14ac:dyDescent="0.35">
      <c r="B965" s="6"/>
      <c r="C965" s="7"/>
      <c r="D965" s="9"/>
      <c r="E965" s="9"/>
      <c r="F965" s="9"/>
      <c r="G965" s="9"/>
      <c r="H965" s="35"/>
    </row>
    <row r="966" spans="2:8" x14ac:dyDescent="0.35">
      <c r="B966" s="6"/>
      <c r="C966" s="7"/>
      <c r="D966" s="9"/>
      <c r="E966" s="9"/>
      <c r="F966" s="9"/>
      <c r="G966" s="9"/>
      <c r="H966" s="35"/>
    </row>
    <row r="967" spans="2:8" x14ac:dyDescent="0.35">
      <c r="B967" s="6"/>
      <c r="C967" s="7"/>
      <c r="D967" s="9"/>
      <c r="E967" s="9"/>
      <c r="F967" s="9"/>
      <c r="G967" s="9"/>
      <c r="H967" s="35"/>
    </row>
    <row r="968" spans="2:8" x14ac:dyDescent="0.35">
      <c r="B968" s="6"/>
      <c r="C968" s="7"/>
      <c r="D968" s="9"/>
      <c r="E968" s="9"/>
      <c r="F968" s="9"/>
      <c r="G968" s="9"/>
      <c r="H968" s="35"/>
    </row>
    <row r="969" spans="2:8" x14ac:dyDescent="0.35">
      <c r="B969" s="6"/>
      <c r="C969" s="7"/>
      <c r="D969" s="9"/>
      <c r="E969" s="9"/>
      <c r="F969" s="9"/>
      <c r="G969" s="9"/>
      <c r="H969" s="35"/>
    </row>
    <row r="970" spans="2:8" x14ac:dyDescent="0.35">
      <c r="B970" s="6"/>
      <c r="C970" s="7"/>
      <c r="D970" s="9"/>
      <c r="E970" s="9"/>
      <c r="F970" s="9"/>
      <c r="G970" s="9"/>
      <c r="H970" s="35"/>
    </row>
    <row r="971" spans="2:8" x14ac:dyDescent="0.35">
      <c r="B971" s="6"/>
      <c r="C971" s="7"/>
      <c r="D971" s="9"/>
      <c r="E971" s="9"/>
      <c r="F971" s="9"/>
      <c r="G971" s="9"/>
      <c r="H971" s="35"/>
    </row>
    <row r="972" spans="2:8" x14ac:dyDescent="0.35">
      <c r="B972" s="6"/>
      <c r="C972" s="7"/>
      <c r="D972" s="9"/>
      <c r="E972" s="9"/>
      <c r="F972" s="9"/>
      <c r="G972" s="9"/>
      <c r="H972" s="35"/>
    </row>
    <row r="973" spans="2:8" x14ac:dyDescent="0.35">
      <c r="B973" s="6"/>
      <c r="C973" s="7"/>
      <c r="D973" s="9"/>
      <c r="E973" s="9"/>
      <c r="F973" s="9"/>
      <c r="G973" s="9"/>
      <c r="H973" s="35"/>
    </row>
    <row r="974" spans="2:8" x14ac:dyDescent="0.35">
      <c r="B974" s="6"/>
      <c r="C974" s="7"/>
      <c r="D974" s="9"/>
      <c r="E974" s="9"/>
      <c r="F974" s="9"/>
      <c r="G974" s="9"/>
      <c r="H974" s="35"/>
    </row>
    <row r="975" spans="2:8" x14ac:dyDescent="0.35">
      <c r="B975" s="6"/>
      <c r="C975" s="7"/>
      <c r="D975" s="9"/>
      <c r="E975" s="9"/>
      <c r="F975" s="9"/>
      <c r="G975" s="9"/>
      <c r="H975" s="35"/>
    </row>
    <row r="976" spans="2:8" x14ac:dyDescent="0.35">
      <c r="B976" s="6"/>
      <c r="C976" s="7"/>
      <c r="D976" s="9"/>
      <c r="E976" s="9"/>
      <c r="F976" s="9"/>
      <c r="G976" s="9"/>
      <c r="H976" s="35"/>
    </row>
    <row r="977" spans="2:8" x14ac:dyDescent="0.35">
      <c r="B977" s="6"/>
      <c r="C977" s="7"/>
      <c r="D977" s="9"/>
      <c r="E977" s="9"/>
      <c r="F977" s="9"/>
      <c r="G977" s="9"/>
      <c r="H977" s="35"/>
    </row>
    <row r="978" spans="2:8" x14ac:dyDescent="0.35">
      <c r="B978" s="6"/>
      <c r="C978" s="7"/>
      <c r="D978" s="9"/>
      <c r="E978" s="9"/>
      <c r="F978" s="9"/>
      <c r="G978" s="9"/>
      <c r="H978" s="35"/>
    </row>
    <row r="979" spans="2:8" x14ac:dyDescent="0.35">
      <c r="B979" s="6"/>
      <c r="C979" s="7"/>
      <c r="D979" s="9"/>
      <c r="E979" s="9"/>
      <c r="F979" s="9"/>
      <c r="G979" s="9"/>
      <c r="H979" s="35"/>
    </row>
    <row r="980" spans="2:8" x14ac:dyDescent="0.35">
      <c r="B980" s="6"/>
      <c r="C980" s="7"/>
      <c r="D980" s="9"/>
      <c r="E980" s="9"/>
      <c r="F980" s="9"/>
      <c r="G980" s="9"/>
      <c r="H980" s="35"/>
    </row>
    <row r="981" spans="2:8" x14ac:dyDescent="0.35">
      <c r="B981" s="6"/>
      <c r="C981" s="7"/>
      <c r="D981" s="9"/>
      <c r="E981" s="9"/>
      <c r="F981" s="9"/>
      <c r="G981" s="9"/>
      <c r="H981" s="35"/>
    </row>
    <row r="982" spans="2:8" x14ac:dyDescent="0.35">
      <c r="B982" s="6"/>
      <c r="C982" s="7"/>
      <c r="D982" s="9"/>
      <c r="E982" s="9"/>
      <c r="F982" s="9"/>
      <c r="G982" s="9"/>
      <c r="H982" s="35"/>
    </row>
    <row r="983" spans="2:8" x14ac:dyDescent="0.35">
      <c r="B983" s="6"/>
      <c r="C983" s="7"/>
      <c r="D983" s="9"/>
      <c r="E983" s="9"/>
      <c r="F983" s="9"/>
      <c r="G983" s="9"/>
      <c r="H983" s="35"/>
    </row>
    <row r="984" spans="2:8" x14ac:dyDescent="0.35">
      <c r="B984" s="6"/>
      <c r="C984" s="7"/>
      <c r="D984" s="9"/>
      <c r="E984" s="9"/>
      <c r="F984" s="9"/>
      <c r="G984" s="9"/>
      <c r="H984" s="35"/>
    </row>
    <row r="985" spans="2:8" x14ac:dyDescent="0.35">
      <c r="B985" s="6"/>
      <c r="C985" s="7"/>
      <c r="D985" s="9"/>
      <c r="E985" s="9"/>
      <c r="F985" s="9"/>
      <c r="G985" s="9"/>
      <c r="H985" s="35"/>
    </row>
    <row r="986" spans="2:8" x14ac:dyDescent="0.35">
      <c r="B986" s="6"/>
      <c r="C986" s="7"/>
      <c r="D986" s="9"/>
      <c r="E986" s="9"/>
      <c r="F986" s="9"/>
      <c r="G986" s="9"/>
      <c r="H986" s="35"/>
    </row>
    <row r="987" spans="2:8" x14ac:dyDescent="0.35">
      <c r="B987" s="6"/>
      <c r="C987" s="7"/>
      <c r="D987" s="9"/>
      <c r="E987" s="9"/>
      <c r="F987" s="9"/>
      <c r="G987" s="9"/>
      <c r="H987" s="35"/>
    </row>
    <row r="988" spans="2:8" x14ac:dyDescent="0.35">
      <c r="B988" s="6"/>
      <c r="C988" s="7"/>
      <c r="D988" s="9"/>
      <c r="E988" s="9"/>
      <c r="F988" s="9"/>
      <c r="G988" s="9"/>
      <c r="H988" s="35"/>
    </row>
    <row r="989" spans="2:8" x14ac:dyDescent="0.35">
      <c r="B989" s="6"/>
      <c r="C989" s="7"/>
      <c r="D989" s="9"/>
      <c r="E989" s="9"/>
      <c r="F989" s="9"/>
      <c r="G989" s="9"/>
      <c r="H989" s="35"/>
    </row>
    <row r="990" spans="2:8" x14ac:dyDescent="0.35">
      <c r="B990" s="6"/>
      <c r="C990" s="7"/>
      <c r="D990" s="9"/>
      <c r="E990" s="9"/>
      <c r="F990" s="9"/>
      <c r="G990" s="9"/>
      <c r="H990" s="35"/>
    </row>
    <row r="991" spans="2:8" x14ac:dyDescent="0.35">
      <c r="B991" s="6"/>
      <c r="C991" s="7"/>
      <c r="D991" s="9"/>
      <c r="E991" s="9"/>
      <c r="F991" s="9"/>
      <c r="G991" s="9"/>
      <c r="H991" s="35"/>
    </row>
    <row r="992" spans="2:8" x14ac:dyDescent="0.35">
      <c r="B992" s="6"/>
      <c r="C992" s="7"/>
      <c r="D992" s="9"/>
      <c r="E992" s="9"/>
      <c r="F992" s="9"/>
      <c r="G992" s="9"/>
      <c r="H992" s="35"/>
    </row>
    <row r="993" spans="2:8" x14ac:dyDescent="0.35">
      <c r="B993" s="6"/>
      <c r="C993" s="7"/>
      <c r="D993" s="9"/>
      <c r="E993" s="9"/>
      <c r="F993" s="9"/>
      <c r="G993" s="9"/>
      <c r="H993" s="35"/>
    </row>
    <row r="994" spans="2:8" x14ac:dyDescent="0.35">
      <c r="B994" s="6"/>
      <c r="C994" s="7"/>
      <c r="D994" s="9"/>
      <c r="E994" s="9"/>
      <c r="F994" s="9"/>
      <c r="G994" s="9"/>
      <c r="H994" s="35"/>
    </row>
    <row r="995" spans="2:8" x14ac:dyDescent="0.35">
      <c r="B995" s="6"/>
      <c r="C995" s="7"/>
      <c r="D995" s="9"/>
      <c r="E995" s="9"/>
      <c r="F995" s="9"/>
      <c r="G995" s="9"/>
      <c r="H995" s="35"/>
    </row>
    <row r="996" spans="2:8" x14ac:dyDescent="0.35">
      <c r="B996" s="6"/>
      <c r="C996" s="7"/>
      <c r="D996" s="9"/>
      <c r="E996" s="9"/>
      <c r="F996" s="9"/>
      <c r="G996" s="9"/>
      <c r="H996" s="35"/>
    </row>
    <row r="997" spans="2:8" x14ac:dyDescent="0.35">
      <c r="B997" s="6"/>
      <c r="C997" s="7"/>
      <c r="D997" s="9"/>
      <c r="E997" s="9"/>
      <c r="F997" s="9"/>
      <c r="G997" s="9"/>
      <c r="H997" s="35"/>
    </row>
    <row r="998" spans="2:8" x14ac:dyDescent="0.35">
      <c r="B998" s="6"/>
      <c r="C998" s="7"/>
      <c r="D998" s="9"/>
      <c r="E998" s="9"/>
      <c r="F998" s="9"/>
      <c r="G998" s="9"/>
      <c r="H998" s="35"/>
    </row>
    <row r="999" spans="2:8" x14ac:dyDescent="0.35">
      <c r="B999" s="6"/>
      <c r="C999" s="7"/>
      <c r="D999" s="9"/>
      <c r="E999" s="9"/>
      <c r="F999" s="9"/>
      <c r="G999" s="9"/>
      <c r="H999" s="35"/>
    </row>
    <row r="1000" spans="2:8" x14ac:dyDescent="0.35">
      <c r="B1000" s="6"/>
      <c r="C1000" s="7"/>
      <c r="D1000" s="9"/>
      <c r="E1000" s="9"/>
      <c r="F1000" s="9"/>
      <c r="G1000" s="9"/>
      <c r="H1000" s="35"/>
    </row>
  </sheetData>
  <dataValidations count="1">
    <dataValidation type="list" allowBlank="1" showInputMessage="1" showErrorMessage="1" sqref="B1" xr:uid="{A2C6979F-A757-4393-8C25-DAA302BD223D}">
      <formula1>EntityList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DFB91-2C61-483C-9A37-F39997B9F832}">
  <sheetPr codeName="Sheet9"/>
  <dimension ref="A1:AY1000"/>
  <sheetViews>
    <sheetView showGridLines="0" zoomScale="91" zoomScaleNormal="91" workbookViewId="0">
      <pane ySplit="5" topLeftCell="A460" activePane="bottomLeft" state="frozen"/>
      <selection activeCell="B5" sqref="B5"/>
      <selection pane="bottomLeft" activeCell="B505" sqref="B505"/>
    </sheetView>
  </sheetViews>
  <sheetFormatPr defaultRowHeight="14.5" x14ac:dyDescent="0.35"/>
  <cols>
    <col min="1" max="1" width="10.81640625" style="11" customWidth="1"/>
    <col min="2" max="2" width="18" customWidth="1"/>
    <col min="3" max="3" width="16.81640625" style="1" customWidth="1"/>
    <col min="4" max="7" width="19.26953125" customWidth="1"/>
    <col min="8" max="8" width="19.26953125" style="32" customWidth="1"/>
    <col min="10" max="10" width="24.26953125" bestFit="1" customWidth="1"/>
  </cols>
  <sheetData>
    <row r="1" spans="1:51" x14ac:dyDescent="0.35">
      <c r="A1" s="10" t="s">
        <v>4</v>
      </c>
      <c r="B1" s="15" t="s">
        <v>40</v>
      </c>
      <c r="AY1" t="s">
        <v>2</v>
      </c>
    </row>
    <row r="2" spans="1:51" x14ac:dyDescent="0.35">
      <c r="A2" s="10" t="s">
        <v>0</v>
      </c>
      <c r="B2" s="15">
        <f>AMF!BegDate</f>
        <v>44931</v>
      </c>
      <c r="AY2" t="s">
        <v>9</v>
      </c>
    </row>
    <row r="3" spans="1:51" x14ac:dyDescent="0.35">
      <c r="A3" s="10" t="s">
        <v>1</v>
      </c>
      <c r="B3" s="15">
        <f>AMF!EndDate</f>
        <v>45657</v>
      </c>
      <c r="AY3" t="s">
        <v>10</v>
      </c>
    </row>
    <row r="4" spans="1:51" x14ac:dyDescent="0.35">
      <c r="AY4" t="s">
        <v>11</v>
      </c>
    </row>
    <row r="5" spans="1:51" ht="16" x14ac:dyDescent="0.35">
      <c r="B5" s="12" t="s">
        <v>3</v>
      </c>
      <c r="C5" s="13" t="s">
        <v>4</v>
      </c>
      <c r="D5" s="14" t="s">
        <v>5</v>
      </c>
      <c r="E5" s="14" t="s">
        <v>6</v>
      </c>
      <c r="F5" s="14" t="s">
        <v>7</v>
      </c>
      <c r="G5" s="14" t="s">
        <v>8</v>
      </c>
      <c r="H5" s="33" t="s">
        <v>32</v>
      </c>
      <c r="AY5" t="s">
        <v>40</v>
      </c>
    </row>
    <row r="6" spans="1:51" x14ac:dyDescent="0.35">
      <c r="B6" s="4">
        <v>44931</v>
      </c>
      <c r="C6" s="5" t="s">
        <v>40</v>
      </c>
      <c r="D6" s="8">
        <v>-1.1934362514936901E-2</v>
      </c>
      <c r="E6" s="8">
        <v>-1.1934362514936901E-2</v>
      </c>
      <c r="F6" s="8">
        <v>-1.1934362514936847E-2</v>
      </c>
      <c r="G6" s="8">
        <v>-1.1934362514936847E-2</v>
      </c>
      <c r="H6" s="34">
        <v>-1.2006148739475361E-2</v>
      </c>
      <c r="J6" s="42"/>
      <c r="AY6" t="s">
        <v>33</v>
      </c>
    </row>
    <row r="7" spans="1:51" x14ac:dyDescent="0.35">
      <c r="B7" s="6">
        <v>44932</v>
      </c>
      <c r="C7" s="7" t="s">
        <v>40</v>
      </c>
      <c r="D7" s="9">
        <v>7.2959708771962997E-3</v>
      </c>
      <c r="E7" s="9">
        <v>7.2959708771962997E-3</v>
      </c>
      <c r="F7" s="9">
        <v>-4.7254643990874978E-3</v>
      </c>
      <c r="G7" s="9">
        <v>-4.7254643990874978E-3</v>
      </c>
      <c r="H7" s="35">
        <v>7.269484035135468E-3</v>
      </c>
      <c r="J7" s="42"/>
    </row>
    <row r="8" spans="1:51" x14ac:dyDescent="0.35">
      <c r="B8" s="6">
        <v>44935</v>
      </c>
      <c r="C8" s="7" t="s">
        <v>40</v>
      </c>
      <c r="D8" s="9">
        <v>-9.4563866234120796E-3</v>
      </c>
      <c r="E8" s="9">
        <v>-9.4563866234120796E-3</v>
      </c>
      <c r="F8" s="9">
        <v>-1.4137165204166635E-2</v>
      </c>
      <c r="G8" s="9">
        <v>-1.4137165204166635E-2</v>
      </c>
      <c r="H8" s="35">
        <v>-9.5013821353728909E-3</v>
      </c>
      <c r="J8" s="42"/>
    </row>
    <row r="9" spans="1:51" x14ac:dyDescent="0.35">
      <c r="B9" s="6">
        <v>44936</v>
      </c>
      <c r="C9" s="7" t="s">
        <v>40</v>
      </c>
      <c r="D9" s="9">
        <v>2.7660531784971999E-2</v>
      </c>
      <c r="E9" s="9">
        <v>2.7660531784971999E-2</v>
      </c>
      <c r="F9" s="9">
        <v>1.3132325073326179E-2</v>
      </c>
      <c r="G9" s="9">
        <v>1.3132325073326179E-2</v>
      </c>
      <c r="H9" s="35">
        <v>2.7284890498628468E-2</v>
      </c>
      <c r="J9" s="42"/>
    </row>
    <row r="10" spans="1:51" x14ac:dyDescent="0.35">
      <c r="B10" s="6">
        <v>44937</v>
      </c>
      <c r="C10" s="7" t="s">
        <v>40</v>
      </c>
      <c r="D10" s="9">
        <v>6.8176132099073902E-3</v>
      </c>
      <c r="E10" s="9">
        <v>6.8176132099073902E-3</v>
      </c>
      <c r="F10" s="9">
        <v>2.0039469396130327E-2</v>
      </c>
      <c r="G10" s="9">
        <v>2.0039469396130327E-2</v>
      </c>
      <c r="H10" s="35">
        <v>6.7944783750152355E-3</v>
      </c>
      <c r="J10" s="42"/>
    </row>
    <row r="11" spans="1:51" x14ac:dyDescent="0.35">
      <c r="B11" s="6">
        <v>44938</v>
      </c>
      <c r="C11" s="7" t="s">
        <v>40</v>
      </c>
      <c r="D11" s="9">
        <v>4.4844203445184999E-2</v>
      </c>
      <c r="E11" s="9">
        <v>4.4844203445184999E-2</v>
      </c>
      <c r="F11" s="9">
        <v>6.5782326883848885E-2</v>
      </c>
      <c r="G11" s="9">
        <v>6.5782326883848885E-2</v>
      </c>
      <c r="H11" s="35">
        <v>4.3867786689848406E-2</v>
      </c>
      <c r="J11" s="42"/>
    </row>
    <row r="12" spans="1:51" x14ac:dyDescent="0.35">
      <c r="B12" s="6">
        <v>44939</v>
      </c>
      <c r="C12" s="7" t="s">
        <v>40</v>
      </c>
      <c r="D12" s="9">
        <v>4.3715104361318003E-3</v>
      </c>
      <c r="E12" s="9">
        <v>4.3715104361318003E-3</v>
      </c>
      <c r="F12" s="9">
        <v>7.0441405448466332E-2</v>
      </c>
      <c r="G12" s="9">
        <v>7.0441405448466332E-2</v>
      </c>
      <c r="H12" s="35">
        <v>4.3619831400765093E-3</v>
      </c>
      <c r="J12" s="42"/>
    </row>
    <row r="13" spans="1:51" x14ac:dyDescent="0.35">
      <c r="B13" s="6">
        <v>44943</v>
      </c>
      <c r="C13" s="7" t="s">
        <v>40</v>
      </c>
      <c r="D13" s="9">
        <v>-5.68303546259241E-3</v>
      </c>
      <c r="E13" s="9">
        <v>-5.68303546259241E-3</v>
      </c>
      <c r="F13" s="9">
        <v>6.4358048980675431E-2</v>
      </c>
      <c r="G13" s="9">
        <v>6.4358048980675431E-2</v>
      </c>
      <c r="H13" s="35">
        <v>-5.6992453520514743E-3</v>
      </c>
      <c r="J13" s="42"/>
    </row>
    <row r="14" spans="1:51" x14ac:dyDescent="0.35">
      <c r="B14" s="6">
        <v>44944</v>
      </c>
      <c r="C14" s="7" t="s">
        <v>40</v>
      </c>
      <c r="D14" s="9">
        <v>-1.04387566482575E-2</v>
      </c>
      <c r="E14" s="9">
        <v>-1.04387566482575E-2</v>
      </c>
      <c r="F14" s="9">
        <v>5.3247474320752053E-2</v>
      </c>
      <c r="G14" s="9">
        <v>5.3247474320752053E-2</v>
      </c>
      <c r="H14" s="35">
        <v>-1.0493622624159182E-2</v>
      </c>
      <c r="J14" s="42"/>
    </row>
    <row r="15" spans="1:51" x14ac:dyDescent="0.35">
      <c r="B15" s="6">
        <v>44945</v>
      </c>
      <c r="C15" s="7" t="s">
        <v>40</v>
      </c>
      <c r="D15" s="9">
        <v>-1.40642100377605E-2</v>
      </c>
      <c r="E15" s="9">
        <v>-1.40642100377605E-2</v>
      </c>
      <c r="F15" s="9">
        <v>3.8434380620164355E-2</v>
      </c>
      <c r="G15" s="9">
        <v>3.8434380620164355E-2</v>
      </c>
      <c r="H15" s="35">
        <v>-1.4164048242164938E-2</v>
      </c>
      <c r="J15" s="42"/>
    </row>
    <row r="16" spans="1:51" x14ac:dyDescent="0.35">
      <c r="B16" s="6">
        <v>44946</v>
      </c>
      <c r="C16" s="7" t="s">
        <v>40</v>
      </c>
      <c r="D16" s="9">
        <v>2.0291573316130702E-2</v>
      </c>
      <c r="E16" s="9">
        <v>2.0291573316130702E-2</v>
      </c>
      <c r="F16" s="9">
        <v>5.9505847988509109E-2</v>
      </c>
      <c r="G16" s="9">
        <v>5.9505847988509109E-2</v>
      </c>
      <c r="H16" s="35">
        <v>2.0088442639367769E-2</v>
      </c>
      <c r="J16" s="42"/>
    </row>
    <row r="17" spans="2:10" x14ac:dyDescent="0.35">
      <c r="B17" s="6">
        <v>44949</v>
      </c>
      <c r="C17" s="7" t="s">
        <v>40</v>
      </c>
      <c r="D17" s="9">
        <v>5.2603697923194201E-3</v>
      </c>
      <c r="E17" s="9">
        <v>5.2603697923194201E-3</v>
      </c>
      <c r="F17" s="9">
        <v>6.5079240546053629E-2</v>
      </c>
      <c r="G17" s="9">
        <v>6.5079240546053629E-2</v>
      </c>
      <c r="H17" s="35">
        <v>5.246582377275045E-3</v>
      </c>
      <c r="J17" s="42"/>
    </row>
    <row r="18" spans="2:10" x14ac:dyDescent="0.35">
      <c r="B18" s="6">
        <v>44950</v>
      </c>
      <c r="C18" s="7" t="s">
        <v>40</v>
      </c>
      <c r="D18" s="9">
        <v>1.6780795720797902E-2</v>
      </c>
      <c r="E18" s="9">
        <v>1.6780795720797902E-2</v>
      </c>
      <c r="F18" s="9">
        <v>8.295211770811961E-2</v>
      </c>
      <c r="G18" s="9">
        <v>8.295211770811961E-2</v>
      </c>
      <c r="H18" s="35">
        <v>1.6641553736773895E-2</v>
      </c>
      <c r="J18" s="42"/>
    </row>
    <row r="19" spans="2:10" x14ac:dyDescent="0.35">
      <c r="B19" s="6">
        <v>44951</v>
      </c>
      <c r="C19" s="7" t="s">
        <v>40</v>
      </c>
      <c r="D19" s="9">
        <v>1.9142568949471099E-3</v>
      </c>
      <c r="E19" s="9">
        <v>1.9142568949471099E-3</v>
      </c>
      <c r="F19" s="9">
        <v>8.5025166266339935E-2</v>
      </c>
      <c r="G19" s="9">
        <v>8.5025166266339935E-2</v>
      </c>
      <c r="H19" s="35">
        <v>1.9124270400532335E-3</v>
      </c>
      <c r="J19" s="42"/>
    </row>
    <row r="20" spans="2:10" x14ac:dyDescent="0.35">
      <c r="B20" s="6">
        <v>44952</v>
      </c>
      <c r="C20" s="7" t="s">
        <v>40</v>
      </c>
      <c r="D20" s="9">
        <v>-3.1426163810965202E-3</v>
      </c>
      <c r="E20" s="9">
        <v>-3.1426163810965202E-3</v>
      </c>
      <c r="F20" s="9">
        <v>8.1615348404929344E-2</v>
      </c>
      <c r="G20" s="9">
        <v>8.1615348404929344E-2</v>
      </c>
      <c r="H20" s="35">
        <v>-3.1475647699339758E-3</v>
      </c>
      <c r="J20" s="42"/>
    </row>
    <row r="21" spans="2:10" x14ac:dyDescent="0.35">
      <c r="B21" s="6">
        <v>44953</v>
      </c>
      <c r="C21" s="7" t="s">
        <v>40</v>
      </c>
      <c r="D21" s="9">
        <v>7.9538448233053005E-3</v>
      </c>
      <c r="E21" s="9">
        <v>7.9538448233053005E-3</v>
      </c>
      <c r="F21" s="9">
        <v>9.0218349044647317E-2</v>
      </c>
      <c r="G21" s="9">
        <v>9.0218349044647317E-2</v>
      </c>
      <c r="H21" s="35">
        <v>7.9223797350660968E-3</v>
      </c>
      <c r="J21" s="42"/>
    </row>
    <row r="22" spans="2:10" x14ac:dyDescent="0.35">
      <c r="B22" s="6">
        <v>44956</v>
      </c>
      <c r="C22" s="7" t="s">
        <v>40</v>
      </c>
      <c r="D22" s="9">
        <v>-2.46475169806308E-2</v>
      </c>
      <c r="E22" s="9">
        <v>-2.46475169806308E-2</v>
      </c>
      <c r="F22" s="9">
        <v>6.3347173773974141E-2</v>
      </c>
      <c r="G22" s="9">
        <v>6.3347173773974141E-2</v>
      </c>
      <c r="H22" s="35">
        <v>-2.495635227177052E-2</v>
      </c>
      <c r="J22" s="42"/>
    </row>
    <row r="23" spans="2:10" x14ac:dyDescent="0.35">
      <c r="B23" s="6">
        <v>44957</v>
      </c>
      <c r="C23" s="7" t="s">
        <v>40</v>
      </c>
      <c r="D23" s="9">
        <v>2.2827046247187101E-2</v>
      </c>
      <c r="E23" s="9">
        <v>2.2827046247187101E-2</v>
      </c>
      <c r="F23" s="9">
        <v>8.7620248886528307E-2</v>
      </c>
      <c r="G23" s="9">
        <v>8.7620248886528307E-2</v>
      </c>
      <c r="H23" s="35">
        <v>2.2570407424332205E-2</v>
      </c>
      <c r="J23" s="42"/>
    </row>
    <row r="24" spans="2:10" x14ac:dyDescent="0.35">
      <c r="B24" s="6">
        <v>44958</v>
      </c>
      <c r="C24" s="7" t="s">
        <v>40</v>
      </c>
      <c r="D24" s="9">
        <v>9.9380467382287896E-3</v>
      </c>
      <c r="E24" s="9">
        <v>9.9380467382287896E-3</v>
      </c>
      <c r="F24" s="9">
        <v>9.8429069753406706E-2</v>
      </c>
      <c r="G24" s="9">
        <v>9.8429069753406706E-2</v>
      </c>
      <c r="H24" s="35">
        <v>9.8889891086619847E-3</v>
      </c>
    </row>
    <row r="25" spans="2:10" x14ac:dyDescent="0.35">
      <c r="B25" s="6">
        <v>44959</v>
      </c>
      <c r="C25" s="7" t="s">
        <v>40</v>
      </c>
      <c r="D25" s="9">
        <v>2.6114308476299E-2</v>
      </c>
      <c r="E25" s="9">
        <v>2.6114308476299E-2</v>
      </c>
      <c r="F25" s="9">
        <v>0.12711378532028128</v>
      </c>
      <c r="G25" s="9">
        <v>0.12711378532028128</v>
      </c>
      <c r="H25" s="35">
        <v>2.5779152313019298E-2</v>
      </c>
    </row>
    <row r="26" spans="2:10" x14ac:dyDescent="0.35">
      <c r="B26" s="6">
        <v>44960</v>
      </c>
      <c r="C26" s="7" t="s">
        <v>40</v>
      </c>
      <c r="D26" s="9">
        <v>-1.5672478923541101E-2</v>
      </c>
      <c r="E26" s="9">
        <v>-1.5672478923541101E-2</v>
      </c>
      <c r="F26" s="9">
        <v>0.10944911827541648</v>
      </c>
      <c r="G26" s="9">
        <v>0.10944911827541648</v>
      </c>
      <c r="H26" s="35">
        <v>-1.5796590688614429E-2</v>
      </c>
    </row>
    <row r="27" spans="2:10" x14ac:dyDescent="0.35">
      <c r="B27" s="6">
        <v>44963</v>
      </c>
      <c r="C27" s="7" t="s">
        <v>40</v>
      </c>
      <c r="D27" s="9">
        <v>-9.7370718612223E-3</v>
      </c>
      <c r="E27" s="9">
        <v>-9.7370718612223E-3</v>
      </c>
      <c r="F27" s="9">
        <v>9.8646332484399135E-2</v>
      </c>
      <c r="G27" s="9">
        <v>9.8646332484399135E-2</v>
      </c>
      <c r="H27" s="35">
        <v>-9.7847871361198789E-3</v>
      </c>
    </row>
    <row r="28" spans="2:10" x14ac:dyDescent="0.35">
      <c r="B28" s="6">
        <v>44964</v>
      </c>
      <c r="C28" s="7" t="s">
        <v>40</v>
      </c>
      <c r="D28" s="9">
        <v>3.9468588551637099E-3</v>
      </c>
      <c r="E28" s="9">
        <v>3.9468588551637099E-3</v>
      </c>
      <c r="F28" s="9">
        <v>0.10298253449045824</v>
      </c>
      <c r="G28" s="9">
        <v>0.10298253449045824</v>
      </c>
      <c r="H28" s="35">
        <v>3.9390904415980664E-3</v>
      </c>
    </row>
    <row r="29" spans="2:10" x14ac:dyDescent="0.35">
      <c r="B29" s="6">
        <v>44965</v>
      </c>
      <c r="C29" s="7" t="s">
        <v>40</v>
      </c>
      <c r="D29" s="9">
        <v>-3.3464286886770701E-2</v>
      </c>
      <c r="E29" s="9">
        <v>-3.3464286886770701E-2</v>
      </c>
      <c r="F29" s="9">
        <v>6.6072010525171976E-2</v>
      </c>
      <c r="G29" s="9">
        <v>6.6072010525171976E-2</v>
      </c>
      <c r="H29" s="35">
        <v>-3.4037030045672385E-2</v>
      </c>
    </row>
    <row r="30" spans="2:10" x14ac:dyDescent="0.35">
      <c r="B30" s="6">
        <v>44966</v>
      </c>
      <c r="C30" s="7" t="s">
        <v>40</v>
      </c>
      <c r="D30" s="9">
        <v>-1.3634613860489401E-2</v>
      </c>
      <c r="E30" s="9">
        <v>-1.3634613860489401E-2</v>
      </c>
      <c r="F30" s="9">
        <v>5.1536530314185702E-2</v>
      </c>
      <c r="G30" s="9">
        <v>5.1536530314185702E-2</v>
      </c>
      <c r="H30" s="35">
        <v>-1.3728418847151315E-2</v>
      </c>
    </row>
    <row r="31" spans="2:10" x14ac:dyDescent="0.35">
      <c r="B31" s="6">
        <v>44967</v>
      </c>
      <c r="C31" s="7" t="s">
        <v>40</v>
      </c>
      <c r="D31" s="9">
        <v>-7.0191548891599198E-3</v>
      </c>
      <c r="E31" s="9">
        <v>-7.0191548891599198E-3</v>
      </c>
      <c r="F31" s="9">
        <v>4.4155632536300615E-2</v>
      </c>
      <c r="G31" s="9">
        <v>4.4155632536300615E-2</v>
      </c>
      <c r="H31" s="35">
        <v>-7.043905041607402E-3</v>
      </c>
    </row>
    <row r="32" spans="2:10" x14ac:dyDescent="0.35">
      <c r="B32" s="6">
        <v>44970</v>
      </c>
      <c r="C32" s="7" t="s">
        <v>40</v>
      </c>
      <c r="D32" s="9">
        <v>4.1470512587094997E-3</v>
      </c>
      <c r="E32" s="9">
        <v>4.1470512587094997E-3</v>
      </c>
      <c r="F32" s="9">
        <v>4.8485799466498891E-2</v>
      </c>
      <c r="G32" s="9">
        <v>4.8485799466498891E-2</v>
      </c>
      <c r="H32" s="35">
        <v>4.138475941649308E-3</v>
      </c>
    </row>
    <row r="33" spans="2:8" x14ac:dyDescent="0.35">
      <c r="B33" s="6">
        <v>44971</v>
      </c>
      <c r="C33" s="7" t="s">
        <v>40</v>
      </c>
      <c r="D33" s="9">
        <v>-1.3238781571617099E-4</v>
      </c>
      <c r="E33" s="9">
        <v>-1.3238781571617099E-4</v>
      </c>
      <c r="F33" s="9">
        <v>4.8346992721698179E-2</v>
      </c>
      <c r="G33" s="9">
        <v>4.8346992721698179E-2</v>
      </c>
      <c r="H33" s="35">
        <v>-1.3239657975650237E-4</v>
      </c>
    </row>
    <row r="34" spans="2:8" x14ac:dyDescent="0.35">
      <c r="B34" s="6">
        <v>44972</v>
      </c>
      <c r="C34" s="7" t="s">
        <v>40</v>
      </c>
      <c r="D34" s="9">
        <v>4.5708627647387604E-3</v>
      </c>
      <c r="E34" s="9">
        <v>4.5708627647387604E-3</v>
      </c>
      <c r="F34" s="9">
        <v>5.3138842955255505E-2</v>
      </c>
      <c r="G34" s="9">
        <v>5.3138842955255505E-2</v>
      </c>
      <c r="H34" s="35">
        <v>4.5604480954885779E-3</v>
      </c>
    </row>
    <row r="35" spans="2:8" x14ac:dyDescent="0.35">
      <c r="B35" s="6">
        <v>44973</v>
      </c>
      <c r="C35" s="7" t="s">
        <v>40</v>
      </c>
      <c r="D35" s="9">
        <v>-1.7028360543944802E-2</v>
      </c>
      <c r="E35" s="9">
        <v>-1.7028360543944802E-2</v>
      </c>
      <c r="F35" s="9">
        <v>3.5205615034580529E-2</v>
      </c>
      <c r="G35" s="9">
        <v>3.5205615034580529E-2</v>
      </c>
      <c r="H35" s="35">
        <v>-1.7175010262303062E-2</v>
      </c>
    </row>
    <row r="36" spans="2:8" x14ac:dyDescent="0.35">
      <c r="B36" s="6">
        <v>44974</v>
      </c>
      <c r="C36" s="7" t="s">
        <v>40</v>
      </c>
      <c r="D36" s="9">
        <v>2.6546144585688301E-2</v>
      </c>
      <c r="E36" s="9">
        <v>2.6546144585688301E-2</v>
      </c>
      <c r="F36" s="9">
        <v>6.2686332967204939E-2</v>
      </c>
      <c r="G36" s="9">
        <v>6.2686332967204939E-2</v>
      </c>
      <c r="H36" s="35">
        <v>2.6199909789119236E-2</v>
      </c>
    </row>
    <row r="37" spans="2:8" x14ac:dyDescent="0.35">
      <c r="B37" s="6">
        <v>44978</v>
      </c>
      <c r="C37" s="7" t="s">
        <v>40</v>
      </c>
      <c r="D37" s="9">
        <v>-4.8260783144504098E-2</v>
      </c>
      <c r="E37" s="9">
        <v>-4.8260783144504098E-2</v>
      </c>
      <c r="F37" s="9">
        <v>1.1400258301246469E-2</v>
      </c>
      <c r="G37" s="9">
        <v>1.1400258301246469E-2</v>
      </c>
      <c r="H37" s="35">
        <v>-4.9464213591440001E-2</v>
      </c>
    </row>
    <row r="38" spans="2:8" x14ac:dyDescent="0.35">
      <c r="B38" s="6">
        <v>44979</v>
      </c>
      <c r="C38" s="7" t="s">
        <v>40</v>
      </c>
      <c r="D38" s="9">
        <v>1.22801887974605E-2</v>
      </c>
      <c r="E38" s="9">
        <v>1.22801887974605E-2</v>
      </c>
      <c r="F38" s="9">
        <v>2.382044442298592E-2</v>
      </c>
      <c r="G38" s="9">
        <v>2.382044442298592E-2</v>
      </c>
      <c r="H38" s="35">
        <v>1.2205398945497397E-2</v>
      </c>
    </row>
    <row r="39" spans="2:8" x14ac:dyDescent="0.35">
      <c r="B39" s="6">
        <v>44980</v>
      </c>
      <c r="C39" s="7" t="s">
        <v>40</v>
      </c>
      <c r="D39" s="9">
        <v>-1.09640720327751E-3</v>
      </c>
      <c r="E39" s="9">
        <v>-1.09640720327751E-3</v>
      </c>
      <c r="F39" s="9">
        <v>2.2697920312857667E-2</v>
      </c>
      <c r="G39" s="9">
        <v>2.2697920312857667E-2</v>
      </c>
      <c r="H39" s="35">
        <v>-1.0970086973503765E-3</v>
      </c>
    </row>
    <row r="40" spans="2:8" x14ac:dyDescent="0.35">
      <c r="B40" s="6">
        <v>44981</v>
      </c>
      <c r="C40" s="7" t="s">
        <v>40</v>
      </c>
      <c r="D40" s="9">
        <v>-2.6283643831251199E-2</v>
      </c>
      <c r="E40" s="9">
        <v>-2.6283643831251199E-2</v>
      </c>
      <c r="F40" s="9">
        <v>-4.1823075716067581E-3</v>
      </c>
      <c r="G40" s="9">
        <v>-4.1823075716067581E-3</v>
      </c>
      <c r="H40" s="35">
        <v>-2.6635233183546169E-2</v>
      </c>
    </row>
    <row r="41" spans="2:8" x14ac:dyDescent="0.35">
      <c r="B41" s="6">
        <v>44984</v>
      </c>
      <c r="C41" s="7" t="s">
        <v>40</v>
      </c>
      <c r="D41" s="9">
        <v>5.6907366443441701E-3</v>
      </c>
      <c r="E41" s="9">
        <v>5.6907366443441701E-3</v>
      </c>
      <c r="F41" s="9">
        <v>1.4846286617817839E-3</v>
      </c>
      <c r="G41" s="9">
        <v>1.4846286617817839E-3</v>
      </c>
      <c r="H41" s="35">
        <v>5.6746055720882588E-3</v>
      </c>
    </row>
    <row r="42" spans="2:8" x14ac:dyDescent="0.35">
      <c r="B42" s="6">
        <v>44985</v>
      </c>
      <c r="C42" s="7" t="s">
        <v>40</v>
      </c>
      <c r="D42" s="9">
        <v>9.7653425251891801E-3</v>
      </c>
      <c r="E42" s="9">
        <v>9.7653425251891801E-3</v>
      </c>
      <c r="F42" s="9">
        <v>1.1264469094375951E-2</v>
      </c>
      <c r="G42" s="9">
        <v>1.1264469094375951E-2</v>
      </c>
      <c r="H42" s="35">
        <v>9.7179697259360508E-3</v>
      </c>
    </row>
    <row r="43" spans="2:8" x14ac:dyDescent="0.35">
      <c r="B43" s="6">
        <v>44986</v>
      </c>
      <c r="C43" s="7" t="s">
        <v>40</v>
      </c>
      <c r="D43" s="9">
        <v>8.1013579845373197E-3</v>
      </c>
      <c r="E43" s="9">
        <v>8.1013579845373197E-3</v>
      </c>
      <c r="F43" s="9">
        <v>1.9457084575552397E-2</v>
      </c>
      <c r="G43" s="9">
        <v>1.9457084575552397E-2</v>
      </c>
      <c r="H43" s="35">
        <v>8.0687181500954785E-3</v>
      </c>
    </row>
    <row r="44" spans="2:8" x14ac:dyDescent="0.35">
      <c r="B44" s="6">
        <v>44987</v>
      </c>
      <c r="C44" s="7" t="s">
        <v>40</v>
      </c>
      <c r="D44" s="9">
        <v>-7.8320171440072993E-3</v>
      </c>
      <c r="E44" s="9">
        <v>-7.8320171440072993E-3</v>
      </c>
      <c r="F44" s="9">
        <v>1.1472679211576908E-2</v>
      </c>
      <c r="G44" s="9">
        <v>1.1472679211576908E-2</v>
      </c>
      <c r="H44" s="35">
        <v>-7.8628484768056006E-3</v>
      </c>
    </row>
    <row r="45" spans="2:8" x14ac:dyDescent="0.35">
      <c r="B45" s="6">
        <v>44988</v>
      </c>
      <c r="C45" s="7" t="s">
        <v>40</v>
      </c>
      <c r="D45" s="9">
        <v>1.52506876532676E-2</v>
      </c>
      <c r="E45" s="9">
        <v>1.52506876532676E-2</v>
      </c>
      <c r="F45" s="9">
        <v>2.689833311204648E-2</v>
      </c>
      <c r="G45" s="9">
        <v>2.689833311204648E-2</v>
      </c>
      <c r="H45" s="35">
        <v>1.513556490811623E-2</v>
      </c>
    </row>
    <row r="46" spans="2:8" x14ac:dyDescent="0.35">
      <c r="B46" s="6">
        <v>44991</v>
      </c>
      <c r="C46" s="7" t="s">
        <v>40</v>
      </c>
      <c r="D46" s="9">
        <v>-2.0122829185154699E-2</v>
      </c>
      <c r="E46" s="9">
        <v>-2.0122829185154699E-2</v>
      </c>
      <c r="F46" s="9">
        <v>6.2342333643126135E-3</v>
      </c>
      <c r="G46" s="9">
        <v>6.2342333643126135E-3</v>
      </c>
      <c r="H46" s="35">
        <v>-2.0328051075939248E-2</v>
      </c>
    </row>
    <row r="47" spans="2:8" x14ac:dyDescent="0.35">
      <c r="B47" s="6">
        <v>44992</v>
      </c>
      <c r="C47" s="7" t="s">
        <v>40</v>
      </c>
      <c r="D47" s="9">
        <v>-4.2013782679884903E-3</v>
      </c>
      <c r="E47" s="9">
        <v>-4.2013782679884903E-3</v>
      </c>
      <c r="F47" s="9">
        <v>2.0066627237498302E-3</v>
      </c>
      <c r="G47" s="9">
        <v>2.0066627237498302E-3</v>
      </c>
      <c r="H47" s="35">
        <v>-4.2102288561417824E-3</v>
      </c>
    </row>
    <row r="48" spans="2:8" x14ac:dyDescent="0.35">
      <c r="B48" s="6">
        <v>44993</v>
      </c>
      <c r="C48" s="7" t="s">
        <v>40</v>
      </c>
      <c r="D48" s="9">
        <v>-6.2217484136951702E-3</v>
      </c>
      <c r="E48" s="9">
        <v>-6.2217484136951702E-3</v>
      </c>
      <c r="F48" s="9">
        <v>-4.2275706405636715E-3</v>
      </c>
      <c r="G48" s="9">
        <v>-4.2275706405636715E-3</v>
      </c>
      <c r="H48" s="35">
        <v>-6.2411841484618378E-3</v>
      </c>
    </row>
    <row r="49" spans="2:8" x14ac:dyDescent="0.35">
      <c r="B49" s="6">
        <v>44994</v>
      </c>
      <c r="C49" s="7" t="s">
        <v>40</v>
      </c>
      <c r="D49" s="9">
        <v>-3.8509674389005898E-2</v>
      </c>
      <c r="E49" s="9">
        <v>-3.8509674389005898E-2</v>
      </c>
      <c r="F49" s="9">
        <v>-4.2574442660744949E-2</v>
      </c>
      <c r="G49" s="9">
        <v>-4.2574442660744949E-2</v>
      </c>
      <c r="H49" s="35">
        <v>-3.9270775770959339E-2</v>
      </c>
    </row>
    <row r="50" spans="2:8" x14ac:dyDescent="0.35">
      <c r="B50" s="6">
        <v>44995</v>
      </c>
      <c r="C50" s="7" t="s">
        <v>40</v>
      </c>
      <c r="D50" s="9">
        <v>-4.5444660512406802E-2</v>
      </c>
      <c r="E50" s="9">
        <v>-4.5444660512406802E-2</v>
      </c>
      <c r="F50" s="9">
        <v>-8.6084322079929221E-2</v>
      </c>
      <c r="G50" s="9">
        <v>-8.6084322079929221E-2</v>
      </c>
      <c r="H50" s="35">
        <v>-4.6509660034843213E-2</v>
      </c>
    </row>
    <row r="51" spans="2:8" x14ac:dyDescent="0.35">
      <c r="B51" s="6">
        <v>44998</v>
      </c>
      <c r="C51" s="7" t="s">
        <v>40</v>
      </c>
      <c r="D51" s="9">
        <v>3.4860071054056703E-2</v>
      </c>
      <c r="E51" s="9">
        <v>3.4860071054056703E-2</v>
      </c>
      <c r="F51" s="9">
        <v>-5.4225156610219094E-2</v>
      </c>
      <c r="G51" s="9">
        <v>-5.4225156610219094E-2</v>
      </c>
      <c r="H51" s="35">
        <v>3.4266220528167003E-2</v>
      </c>
    </row>
    <row r="52" spans="2:8" x14ac:dyDescent="0.35">
      <c r="B52" s="6">
        <v>44999</v>
      </c>
      <c r="C52" s="7" t="s">
        <v>40</v>
      </c>
      <c r="D52" s="9">
        <v>1.7011990071021499E-2</v>
      </c>
      <c r="E52" s="9">
        <v>1.7011990071021499E-2</v>
      </c>
      <c r="F52" s="9">
        <v>-3.8135644365050236E-2</v>
      </c>
      <c r="G52" s="9">
        <v>-3.8135644365050236E-2</v>
      </c>
      <c r="H52" s="35">
        <v>1.6868906643947679E-2</v>
      </c>
    </row>
    <row r="53" spans="2:8" x14ac:dyDescent="0.35">
      <c r="B53" s="6">
        <v>45000</v>
      </c>
      <c r="C53" s="7" t="s">
        <v>40</v>
      </c>
      <c r="D53" s="9">
        <v>-1.19902873025931E-2</v>
      </c>
      <c r="E53" s="9">
        <v>-1.19902873025931E-2</v>
      </c>
      <c r="F53" s="9">
        <v>-4.9668674335236918E-2</v>
      </c>
      <c r="G53" s="9">
        <v>-4.9668674335236918E-2</v>
      </c>
      <c r="H53" s="35">
        <v>-1.2062750617198317E-2</v>
      </c>
    </row>
    <row r="54" spans="2:8" x14ac:dyDescent="0.35">
      <c r="B54" s="6">
        <v>45001</v>
      </c>
      <c r="C54" s="7" t="s">
        <v>40</v>
      </c>
      <c r="D54" s="9">
        <v>1.74003607082074E-3</v>
      </c>
      <c r="E54" s="9">
        <v>1.74003607082074E-3</v>
      </c>
      <c r="F54" s="9">
        <v>-4.8015063549349257E-2</v>
      </c>
      <c r="G54" s="9">
        <v>-4.8015063549349257E-2</v>
      </c>
      <c r="H54" s="35">
        <v>1.7385239618855862E-3</v>
      </c>
    </row>
    <row r="55" spans="2:8" x14ac:dyDescent="0.35">
      <c r="B55" s="6">
        <v>45002</v>
      </c>
      <c r="C55" s="7" t="s">
        <v>40</v>
      </c>
      <c r="D55" s="9">
        <v>-2.17602160489914E-2</v>
      </c>
      <c r="E55" s="9">
        <v>-2.17602160489914E-2</v>
      </c>
      <c r="F55" s="9">
        <v>-6.8730461441900759E-2</v>
      </c>
      <c r="G55" s="9">
        <v>-6.8730461441900759E-2</v>
      </c>
      <c r="H55" s="35">
        <v>-2.2000461134483389E-2</v>
      </c>
    </row>
    <row r="56" spans="2:8" x14ac:dyDescent="0.35">
      <c r="B56" s="6">
        <v>45005</v>
      </c>
      <c r="C56" s="7" t="s">
        <v>40</v>
      </c>
      <c r="D56" s="9">
        <v>2.0964360587001399E-3</v>
      </c>
      <c r="E56" s="9">
        <v>2.0964360587001399E-3</v>
      </c>
      <c r="F56" s="9">
        <v>-6.6778114400898536E-2</v>
      </c>
      <c r="G56" s="9">
        <v>-6.6778114400898536E-2</v>
      </c>
      <c r="H56" s="35">
        <v>2.0942416031146851E-3</v>
      </c>
    </row>
    <row r="57" spans="2:8" x14ac:dyDescent="0.35">
      <c r="B57" s="6">
        <v>45006</v>
      </c>
      <c r="C57" s="7" t="s">
        <v>40</v>
      </c>
      <c r="D57" s="9">
        <v>-4.6400186247437204E-3</v>
      </c>
      <c r="E57" s="9">
        <v>-4.6400186247437204E-3</v>
      </c>
      <c r="F57" s="9">
        <v>-7.1108281331096812E-2</v>
      </c>
      <c r="G57" s="9">
        <v>-7.1108281331096812E-2</v>
      </c>
      <c r="H57" s="35">
        <v>-4.6508169269929688E-3</v>
      </c>
    </row>
    <row r="58" spans="2:8" x14ac:dyDescent="0.35">
      <c r="B58" s="6">
        <v>45007</v>
      </c>
      <c r="C58" s="7" t="s">
        <v>40</v>
      </c>
      <c r="D58" s="9">
        <v>-3.9070139134784999E-2</v>
      </c>
      <c r="E58" s="9">
        <v>-3.9070139134784999E-2</v>
      </c>
      <c r="F58" s="9">
        <v>-0.10740021002064037</v>
      </c>
      <c r="G58" s="9">
        <v>-0.10740021002064037</v>
      </c>
      <c r="H58" s="35">
        <v>-3.9853858247517769E-2</v>
      </c>
    </row>
    <row r="59" spans="2:8" x14ac:dyDescent="0.35">
      <c r="B59" s="6">
        <v>45008</v>
      </c>
      <c r="C59" s="7" t="s">
        <v>40</v>
      </c>
      <c r="D59" s="9">
        <v>9.5840488972427397E-3</v>
      </c>
      <c r="E59" s="9">
        <v>9.5840488972427397E-3</v>
      </c>
      <c r="F59" s="9">
        <v>-9.884548998780962E-2</v>
      </c>
      <c r="G59" s="9">
        <v>-9.884548998780962E-2</v>
      </c>
      <c r="H59" s="35">
        <v>9.538413251753277E-3</v>
      </c>
    </row>
    <row r="60" spans="2:8" x14ac:dyDescent="0.35">
      <c r="B60" s="6">
        <v>45009</v>
      </c>
      <c r="C60" s="7" t="s">
        <v>40</v>
      </c>
      <c r="D60" s="9">
        <v>4.1320791993008799E-3</v>
      </c>
      <c r="E60" s="9">
        <v>4.1320791993008799E-3</v>
      </c>
      <c r="F60" s="9">
        <v>-9.5121848181632052E-2</v>
      </c>
      <c r="G60" s="9">
        <v>-9.5121848181632052E-2</v>
      </c>
      <c r="H60" s="35">
        <v>4.1235656045535453E-3</v>
      </c>
    </row>
    <row r="61" spans="2:8" x14ac:dyDescent="0.35">
      <c r="B61" s="6">
        <v>45012</v>
      </c>
      <c r="C61" s="7" t="s">
        <v>40</v>
      </c>
      <c r="D61" s="9">
        <v>1.3795840239034501E-2</v>
      </c>
      <c r="E61" s="9">
        <v>1.3795840239034501E-2</v>
      </c>
      <c r="F61" s="9">
        <v>-8.2638293763352966E-2</v>
      </c>
      <c r="G61" s="9">
        <v>-8.2638293763352966E-2</v>
      </c>
      <c r="H61" s="35">
        <v>1.37015439100284E-2</v>
      </c>
    </row>
    <row r="62" spans="2:8" x14ac:dyDescent="0.35">
      <c r="B62" s="6">
        <v>45013</v>
      </c>
      <c r="C62" s="7" t="s">
        <v>40</v>
      </c>
      <c r="D62" s="9">
        <v>-8.7003716982993404E-3</v>
      </c>
      <c r="E62" s="9">
        <v>-8.7003716982993404E-3</v>
      </c>
      <c r="F62" s="9">
        <v>-9.0619681589397816E-2</v>
      </c>
      <c r="G62" s="9">
        <v>-9.0619681589397816E-2</v>
      </c>
      <c r="H62" s="35">
        <v>-8.7384409038108075E-3</v>
      </c>
    </row>
    <row r="63" spans="2:8" x14ac:dyDescent="0.35">
      <c r="B63" s="6">
        <v>45014</v>
      </c>
      <c r="C63" s="7" t="s">
        <v>40</v>
      </c>
      <c r="D63" s="9">
        <v>2.6084648184095699E-2</v>
      </c>
      <c r="E63" s="9">
        <v>2.6084648184095699E-2</v>
      </c>
      <c r="F63" s="9">
        <v>-6.6898815918116306E-2</v>
      </c>
      <c r="G63" s="9">
        <v>-6.6898815918116306E-2</v>
      </c>
      <c r="H63" s="35">
        <v>2.5750246448791078E-2</v>
      </c>
    </row>
    <row r="64" spans="2:8" x14ac:dyDescent="0.35">
      <c r="B64" s="6">
        <v>45015</v>
      </c>
      <c r="C64" s="7" t="s">
        <v>40</v>
      </c>
      <c r="D64" s="9">
        <v>-2.2692141023070499E-2</v>
      </c>
      <c r="E64" s="9">
        <v>-2.2692141023070499E-2</v>
      </c>
      <c r="F64" s="9">
        <v>-8.8072879576096441E-2</v>
      </c>
      <c r="G64" s="9">
        <v>-8.8072879576096441E-2</v>
      </c>
      <c r="H64" s="35">
        <v>-2.2953570150259475E-2</v>
      </c>
    </row>
    <row r="65" spans="2:8" x14ac:dyDescent="0.35">
      <c r="B65" s="6">
        <v>45016</v>
      </c>
      <c r="C65" s="7" t="s">
        <v>40</v>
      </c>
      <c r="D65" s="9">
        <v>2.0634726298687199E-2</v>
      </c>
      <c r="E65" s="9">
        <v>2.0634726298687199E-2</v>
      </c>
      <c r="F65" s="9">
        <v>-6.9255513041799222E-2</v>
      </c>
      <c r="G65" s="9">
        <v>-6.9255513041799222E-2</v>
      </c>
      <c r="H65" s="35">
        <v>2.0424714444826866E-2</v>
      </c>
    </row>
    <row r="66" spans="2:8" x14ac:dyDescent="0.35">
      <c r="B66" s="6">
        <v>45019</v>
      </c>
      <c r="C66" s="7" t="s">
        <v>40</v>
      </c>
      <c r="D66" s="9">
        <v>1.7899463437565901E-2</v>
      </c>
      <c r="E66" s="9">
        <v>1.7899463437565901E-2</v>
      </c>
      <c r="F66" s="9">
        <v>-5.2595686127774766E-2</v>
      </c>
      <c r="G66" s="9">
        <v>-5.2595686127774766E-2</v>
      </c>
      <c r="H66" s="35">
        <v>1.7741154349155009E-2</v>
      </c>
    </row>
    <row r="67" spans="2:8" x14ac:dyDescent="0.35">
      <c r="B67" s="6">
        <v>45020</v>
      </c>
      <c r="C67" s="7" t="s">
        <v>40</v>
      </c>
      <c r="D67" s="9">
        <v>-1.9288712790556901E-2</v>
      </c>
      <c r="E67" s="9">
        <v>-1.9288712790556901E-2</v>
      </c>
      <c r="F67" s="9">
        <v>-7.086989583459069E-2</v>
      </c>
      <c r="G67" s="9">
        <v>-7.086989583459069E-2</v>
      </c>
      <c r="H67" s="35">
        <v>-1.9477167310395057E-2</v>
      </c>
    </row>
    <row r="68" spans="2:8" x14ac:dyDescent="0.35">
      <c r="B68" s="6">
        <v>45021</v>
      </c>
      <c r="C68" s="7" t="s">
        <v>40</v>
      </c>
      <c r="D68" s="9">
        <v>-1.12110681692702E-2</v>
      </c>
      <c r="E68" s="9">
        <v>-1.12110681692702E-2</v>
      </c>
      <c r="F68" s="9">
        <v>-8.1286436770510173E-2</v>
      </c>
      <c r="G68" s="9">
        <v>-8.1286436770510173E-2</v>
      </c>
      <c r="H68" s="35">
        <v>-1.1274385878242121E-2</v>
      </c>
    </row>
    <row r="69" spans="2:8" x14ac:dyDescent="0.35">
      <c r="B69" s="6">
        <v>45022</v>
      </c>
      <c r="C69" s="7" t="s">
        <v>40</v>
      </c>
      <c r="D69" s="9">
        <v>1.8518153571264399E-2</v>
      </c>
      <c r="E69" s="9">
        <v>1.8518153571264399E-2</v>
      </c>
      <c r="F69" s="9">
        <v>-6.4273557918622992E-2</v>
      </c>
      <c r="G69" s="9">
        <v>-6.4273557918622992E-2</v>
      </c>
      <c r="H69" s="35">
        <v>1.8348780356282849E-2</v>
      </c>
    </row>
    <row r="70" spans="2:8" x14ac:dyDescent="0.35">
      <c r="B70" s="6">
        <v>45026</v>
      </c>
      <c r="C70" s="7" t="s">
        <v>40</v>
      </c>
      <c r="D70" s="9">
        <v>-7.8653062277487893E-3</v>
      </c>
      <c r="E70" s="9">
        <v>-7.8653062277487893E-3</v>
      </c>
      <c r="F70" s="9">
        <v>-7.1633332930994942E-2</v>
      </c>
      <c r="G70" s="9">
        <v>-7.1633332930994942E-2</v>
      </c>
      <c r="H70" s="35">
        <v>-7.8964009021858343E-3</v>
      </c>
    </row>
    <row r="71" spans="2:8" x14ac:dyDescent="0.35">
      <c r="B71" s="6">
        <v>45027</v>
      </c>
      <c r="C71" s="7" t="s">
        <v>40</v>
      </c>
      <c r="D71" s="9">
        <v>7.3588444273979996E-3</v>
      </c>
      <c r="E71" s="9">
        <v>7.3588444273979996E-3</v>
      </c>
      <c r="F71" s="9">
        <v>-6.4801627056452205E-2</v>
      </c>
      <c r="G71" s="9">
        <v>-6.4801627056452205E-2</v>
      </c>
      <c r="H71" s="35">
        <v>7.3319002364067931E-3</v>
      </c>
    </row>
    <row r="72" spans="2:8" x14ac:dyDescent="0.35">
      <c r="B72" s="6">
        <v>45028</v>
      </c>
      <c r="C72" s="7" t="s">
        <v>40</v>
      </c>
      <c r="D72" s="9">
        <v>-1.1519064535801E-2</v>
      </c>
      <c r="E72" s="9">
        <v>-1.1519064535801E-2</v>
      </c>
      <c r="F72" s="9">
        <v>-7.5574237468165051E-2</v>
      </c>
      <c r="G72" s="9">
        <v>-7.5574237468165051E-2</v>
      </c>
      <c r="H72" s="35">
        <v>-1.1585922886028726E-2</v>
      </c>
    </row>
    <row r="73" spans="2:8" x14ac:dyDescent="0.35">
      <c r="B73" s="6">
        <v>45029</v>
      </c>
      <c r="C73" s="7" t="s">
        <v>40</v>
      </c>
      <c r="D73" s="9">
        <v>4.2363171656041497E-2</v>
      </c>
      <c r="E73" s="9">
        <v>4.2363171656041497E-2</v>
      </c>
      <c r="F73" s="9">
        <v>-3.6412630206761887E-2</v>
      </c>
      <c r="G73" s="9">
        <v>-3.6412630206761887E-2</v>
      </c>
      <c r="H73" s="35">
        <v>4.1490415866724799E-2</v>
      </c>
    </row>
    <row r="74" spans="2:8" x14ac:dyDescent="0.35">
      <c r="B74" s="6">
        <v>45030</v>
      </c>
      <c r="C74" s="7" t="s">
        <v>40</v>
      </c>
      <c r="D74" s="9">
        <v>-1.6080593995534399E-2</v>
      </c>
      <c r="E74" s="9">
        <v>-1.6080593995534399E-2</v>
      </c>
      <c r="F74" s="9">
        <v>-5.1907687479631814E-2</v>
      </c>
      <c r="G74" s="9">
        <v>-5.1907687479631814E-2</v>
      </c>
      <c r="H74" s="35">
        <v>-1.6211289751244157E-2</v>
      </c>
    </row>
    <row r="75" spans="2:8" x14ac:dyDescent="0.35">
      <c r="B75" s="6">
        <v>45033</v>
      </c>
      <c r="C75" s="7" t="s">
        <v>40</v>
      </c>
      <c r="D75" s="9">
        <v>5.6353717766730101E-2</v>
      </c>
      <c r="E75" s="9">
        <v>5.6353717766730101E-2</v>
      </c>
      <c r="F75" s="9">
        <v>1.5208391169474478E-3</v>
      </c>
      <c r="G75" s="9">
        <v>1.5208391169474478E-3</v>
      </c>
      <c r="H75" s="35">
        <v>5.4823089203864202E-2</v>
      </c>
    </row>
    <row r="76" spans="2:8" x14ac:dyDescent="0.35">
      <c r="B76" s="6">
        <v>45034</v>
      </c>
      <c r="C76" s="7" t="s">
        <v>40</v>
      </c>
      <c r="D76" s="9">
        <v>-3.3835492618258601E-3</v>
      </c>
      <c r="E76" s="9">
        <v>-3.3835492618258601E-3</v>
      </c>
      <c r="F76" s="9">
        <v>-1.867855978949895E-3</v>
      </c>
      <c r="G76" s="9">
        <v>-1.867855978949895E-3</v>
      </c>
      <c r="H76" s="35">
        <v>-3.3892864095663149E-3</v>
      </c>
    </row>
    <row r="77" spans="2:8" x14ac:dyDescent="0.35">
      <c r="B77" s="6">
        <v>45035</v>
      </c>
      <c r="C77" s="7" t="s">
        <v>40</v>
      </c>
      <c r="D77" s="9">
        <v>1.1847861247910201E-2</v>
      </c>
      <c r="E77" s="9">
        <v>1.1847861247910201E-2</v>
      </c>
      <c r="F77" s="9">
        <v>9.9578751704907376E-3</v>
      </c>
      <c r="G77" s="9">
        <v>9.9578751704907376E-3</v>
      </c>
      <c r="H77" s="35">
        <v>1.1778224828608273E-2</v>
      </c>
    </row>
    <row r="78" spans="2:8" x14ac:dyDescent="0.35">
      <c r="B78" s="6">
        <v>45036</v>
      </c>
      <c r="C78" s="7" t="s">
        <v>40</v>
      </c>
      <c r="D78" s="9">
        <v>-1.4595334273489901E-2</v>
      </c>
      <c r="E78" s="9">
        <v>-1.4595334273489901E-2</v>
      </c>
      <c r="F78" s="9">
        <v>-4.7827976197661881E-3</v>
      </c>
      <c r="G78" s="9">
        <v>-4.7827976197661881E-3</v>
      </c>
      <c r="H78" s="35">
        <v>-1.4702894028084824E-2</v>
      </c>
    </row>
    <row r="79" spans="2:8" x14ac:dyDescent="0.35">
      <c r="B79" s="6">
        <v>45037</v>
      </c>
      <c r="C79" s="7" t="s">
        <v>40</v>
      </c>
      <c r="D79" s="9">
        <v>2.1754883857724599E-2</v>
      </c>
      <c r="E79" s="9">
        <v>2.1754883857724599E-2</v>
      </c>
      <c r="F79" s="9">
        <v>1.6868037031225303E-2</v>
      </c>
      <c r="G79" s="9">
        <v>1.6868037031225303E-2</v>
      </c>
      <c r="H79" s="35">
        <v>2.1521623345834164E-2</v>
      </c>
    </row>
    <row r="80" spans="2:8" x14ac:dyDescent="0.35">
      <c r="B80" s="6">
        <v>45040</v>
      </c>
      <c r="C80" s="7" t="s">
        <v>40</v>
      </c>
      <c r="D80" s="9">
        <v>-8.9825690088015508E-3</v>
      </c>
      <c r="E80" s="9">
        <v>-8.9825690088015508E-3</v>
      </c>
      <c r="F80" s="9">
        <v>7.7339497157478121E-3</v>
      </c>
      <c r="G80" s="9">
        <v>7.7339497157478121E-3</v>
      </c>
      <c r="H80" s="35">
        <v>-9.023155511986793E-3</v>
      </c>
    </row>
    <row r="81" spans="2:8" x14ac:dyDescent="0.35">
      <c r="B81" s="6">
        <v>45041</v>
      </c>
      <c r="C81" s="7" t="s">
        <v>40</v>
      </c>
      <c r="D81" s="9">
        <v>-1.18218104617633E-2</v>
      </c>
      <c r="E81" s="9">
        <v>-1.18218104617633E-2</v>
      </c>
      <c r="F81" s="9">
        <v>-4.1792900336758976E-3</v>
      </c>
      <c r="G81" s="9">
        <v>-4.1792900336758976E-3</v>
      </c>
      <c r="H81" s="35">
        <v>-1.1892243712417308E-2</v>
      </c>
    </row>
    <row r="82" spans="2:8" x14ac:dyDescent="0.35">
      <c r="B82" s="6">
        <v>45042</v>
      </c>
      <c r="C82" s="7" t="s">
        <v>40</v>
      </c>
      <c r="D82" s="9">
        <v>-5.6846589962153398E-3</v>
      </c>
      <c r="E82" s="9">
        <v>-5.6846589962153398E-3</v>
      </c>
      <c r="F82" s="9">
        <v>-9.8401911912034956E-3</v>
      </c>
      <c r="G82" s="9">
        <v>-9.8401911912034956E-3</v>
      </c>
      <c r="H82" s="35">
        <v>-5.7008781663413265E-3</v>
      </c>
    </row>
    <row r="83" spans="2:8" x14ac:dyDescent="0.35">
      <c r="B83" s="6">
        <v>45043</v>
      </c>
      <c r="C83" s="7" t="s">
        <v>40</v>
      </c>
      <c r="D83" s="9">
        <v>-6.4028524844956403E-3</v>
      </c>
      <c r="E83" s="9">
        <v>-6.4028524844956403E-3</v>
      </c>
      <c r="F83" s="9">
        <v>-1.6180038383082684E-2</v>
      </c>
      <c r="G83" s="9">
        <v>-1.6180038383082684E-2</v>
      </c>
      <c r="H83" s="35">
        <v>-6.42343866503045E-3</v>
      </c>
    </row>
    <row r="84" spans="2:8" x14ac:dyDescent="0.35">
      <c r="B84" s="6">
        <v>45044</v>
      </c>
      <c r="C84" s="7" t="s">
        <v>40</v>
      </c>
      <c r="D84" s="9">
        <v>1.7685272088187098E-2</v>
      </c>
      <c r="E84" s="9">
        <v>1.7685272088187098E-2</v>
      </c>
      <c r="F84" s="9">
        <v>1.219085323902247E-3</v>
      </c>
      <c r="G84" s="9">
        <v>1.219085323902247E-3</v>
      </c>
      <c r="H84" s="35">
        <v>1.7530707349399793E-2</v>
      </c>
    </row>
    <row r="85" spans="2:8" x14ac:dyDescent="0.35">
      <c r="B85" s="6">
        <v>45047</v>
      </c>
      <c r="C85" s="7" t="s">
        <v>40</v>
      </c>
      <c r="D85" s="9">
        <v>2.8574442435201901E-2</v>
      </c>
      <c r="E85" s="9">
        <v>2.8574442435201901E-2</v>
      </c>
      <c r="F85" s="9">
        <v>2.9828362442515521E-2</v>
      </c>
      <c r="G85" s="9">
        <v>2.9828362442515521E-2</v>
      </c>
      <c r="H85" s="35">
        <v>2.8173807107738643E-2</v>
      </c>
    </row>
    <row r="86" spans="2:8" x14ac:dyDescent="0.35">
      <c r="B86" s="6">
        <v>45048</v>
      </c>
      <c r="C86" s="7" t="s">
        <v>40</v>
      </c>
      <c r="D86" s="9">
        <v>-2.1908632475877599E-2</v>
      </c>
      <c r="E86" s="9">
        <v>-2.1908632475877599E-2</v>
      </c>
      <c r="F86" s="9">
        <v>7.2662313365274844E-3</v>
      </c>
      <c r="G86" s="9">
        <v>7.2662313365274844E-3</v>
      </c>
      <c r="H86" s="35">
        <v>-2.2152190484659155E-2</v>
      </c>
    </row>
    <row r="87" spans="2:8" x14ac:dyDescent="0.35">
      <c r="B87" s="6">
        <v>45049</v>
      </c>
      <c r="C87" s="7" t="s">
        <v>40</v>
      </c>
      <c r="D87" s="9">
        <v>4.4852668032737901E-2</v>
      </c>
      <c r="E87" s="9">
        <v>4.4852668032737901E-2</v>
      </c>
      <c r="F87" s="9">
        <v>5.2444809231251721E-2</v>
      </c>
      <c r="G87" s="9">
        <v>5.2444809231251721E-2</v>
      </c>
      <c r="H87" s="35">
        <v>4.3875887948618006E-2</v>
      </c>
    </row>
    <row r="88" spans="2:8" x14ac:dyDescent="0.35">
      <c r="B88" s="6">
        <v>45050</v>
      </c>
      <c r="C88" s="7" t="s">
        <v>40</v>
      </c>
      <c r="D88" s="9">
        <v>3.25710484666367E-3</v>
      </c>
      <c r="E88" s="9">
        <v>3.25710484666367E-3</v>
      </c>
      <c r="F88" s="9">
        <v>5.5872732320244811E-2</v>
      </c>
      <c r="G88" s="9">
        <v>5.5872732320244811E-2</v>
      </c>
      <c r="H88" s="35">
        <v>3.251811970526828E-3</v>
      </c>
    </row>
    <row r="89" spans="2:8" x14ac:dyDescent="0.35">
      <c r="B89" s="6">
        <v>45051</v>
      </c>
      <c r="C89" s="7" t="s">
        <v>40</v>
      </c>
      <c r="D89" s="9">
        <v>2.1854066165207301E-2</v>
      </c>
      <c r="E89" s="9">
        <v>2.1854066165207301E-2</v>
      </c>
      <c r="F89" s="9">
        <v>7.8947844874409645E-2</v>
      </c>
      <c r="G89" s="9">
        <v>7.8947844874409645E-2</v>
      </c>
      <c r="H89" s="35">
        <v>2.1618689183757311E-2</v>
      </c>
    </row>
    <row r="90" spans="2:8" x14ac:dyDescent="0.35">
      <c r="B90" s="6">
        <v>45054</v>
      </c>
      <c r="C90" s="7" t="s">
        <v>40</v>
      </c>
      <c r="D90" s="9">
        <v>-3.2246426463884799E-3</v>
      </c>
      <c r="E90" s="9">
        <v>-3.2246426463884799E-3</v>
      </c>
      <c r="F90" s="9">
        <v>7.5468623640598809E-2</v>
      </c>
      <c r="G90" s="9">
        <v>7.5468623640598809E-2</v>
      </c>
      <c r="H90" s="35">
        <v>-3.2298530105436688E-3</v>
      </c>
    </row>
    <row r="91" spans="2:8" x14ac:dyDescent="0.35">
      <c r="B91" s="6">
        <v>45055</v>
      </c>
      <c r="C91" s="7" t="s">
        <v>40</v>
      </c>
      <c r="D91" s="9">
        <v>6.9639680588991703E-3</v>
      </c>
      <c r="E91" s="9">
        <v>6.9639680588991703E-3</v>
      </c>
      <c r="F91" s="9">
        <v>8.2958152783980221E-2</v>
      </c>
      <c r="G91" s="9">
        <v>8.2958152783980221E-2</v>
      </c>
      <c r="H91" s="35">
        <v>6.9398316254478763E-3</v>
      </c>
    </row>
    <row r="92" spans="2:8" x14ac:dyDescent="0.35">
      <c r="B92" s="6">
        <v>45056</v>
      </c>
      <c r="C92" s="7" t="s">
        <v>40</v>
      </c>
      <c r="D92" s="9">
        <v>1.15300595171753E-2</v>
      </c>
      <c r="E92" s="9">
        <v>1.15300595171753E-2</v>
      </c>
      <c r="F92" s="9">
        <v>9.5444724740189724E-2</v>
      </c>
      <c r="G92" s="9">
        <v>9.5444724740189724E-2</v>
      </c>
      <c r="H92" s="35">
        <v>1.1464094947000994E-2</v>
      </c>
    </row>
    <row r="93" spans="2:8" x14ac:dyDescent="0.35">
      <c r="B93" s="6">
        <v>45057</v>
      </c>
      <c r="C93" s="7" t="s">
        <v>40</v>
      </c>
      <c r="D93" s="9">
        <v>-1.8293455565166199E-2</v>
      </c>
      <c r="E93" s="9">
        <v>-1.8293455565166199E-2</v>
      </c>
      <c r="F93" s="9">
        <v>7.5405255344059396E-2</v>
      </c>
      <c r="G93" s="9">
        <v>7.5405255344059396E-2</v>
      </c>
      <c r="H93" s="35">
        <v>-1.8462849875369666E-2</v>
      </c>
    </row>
    <row r="94" spans="2:8" x14ac:dyDescent="0.35">
      <c r="B94" s="6">
        <v>45058</v>
      </c>
      <c r="C94" s="7" t="s">
        <v>40</v>
      </c>
      <c r="D94" s="9">
        <v>-8.1120136930566307E-3</v>
      </c>
      <c r="E94" s="9">
        <v>-8.1120136930566307E-3</v>
      </c>
      <c r="F94" s="9">
        <v>6.6681553187123432E-2</v>
      </c>
      <c r="G94" s="9">
        <v>6.6681553187123432E-2</v>
      </c>
      <c r="H94" s="35">
        <v>-8.1450951021628717E-3</v>
      </c>
    </row>
    <row r="95" spans="2:8" x14ac:dyDescent="0.35">
      <c r="B95" s="6">
        <v>45061</v>
      </c>
      <c r="C95" s="7" t="s">
        <v>40</v>
      </c>
      <c r="D95" s="9">
        <v>2.3496862747316799E-2</v>
      </c>
      <c r="E95" s="9">
        <v>2.3496862747316799E-2</v>
      </c>
      <c r="F95" s="9">
        <v>9.1745223237456042E-2</v>
      </c>
      <c r="G95" s="9">
        <v>9.1745223237456042E-2</v>
      </c>
      <c r="H95" s="35">
        <v>2.3225060894496555E-2</v>
      </c>
    </row>
    <row r="96" spans="2:8" x14ac:dyDescent="0.35">
      <c r="B96" s="6">
        <v>45062</v>
      </c>
      <c r="C96" s="7" t="s">
        <v>40</v>
      </c>
      <c r="D96" s="9">
        <v>-2.74295190713101E-2</v>
      </c>
      <c r="E96" s="9">
        <v>-2.74295190713101E-2</v>
      </c>
      <c r="F96" s="9">
        <v>6.1799176815652501E-2</v>
      </c>
      <c r="G96" s="9">
        <v>6.1799176815652501E-2</v>
      </c>
      <c r="H96" s="35">
        <v>-2.7812732152983289E-2</v>
      </c>
    </row>
    <row r="97" spans="2:8" x14ac:dyDescent="0.35">
      <c r="B97" s="6">
        <v>45063</v>
      </c>
      <c r="C97" s="7" t="s">
        <v>40</v>
      </c>
      <c r="D97" s="9">
        <v>8.4404733485659196E-3</v>
      </c>
      <c r="E97" s="9">
        <v>8.4404733485659196E-3</v>
      </c>
      <c r="F97" s="9">
        <v>7.0761264469094254E-2</v>
      </c>
      <c r="G97" s="9">
        <v>7.0761264469094254E-2</v>
      </c>
      <c r="H97" s="35">
        <v>8.4050517306403401E-3</v>
      </c>
    </row>
    <row r="98" spans="2:8" x14ac:dyDescent="0.35">
      <c r="B98" s="6">
        <v>45064</v>
      </c>
      <c r="C98" s="7" t="s">
        <v>40</v>
      </c>
      <c r="D98" s="9">
        <v>-1.02156992047254E-2</v>
      </c>
      <c r="E98" s="9">
        <v>-1.02156992047254E-2</v>
      </c>
      <c r="F98" s="9">
        <v>5.9822689471206614E-2</v>
      </c>
      <c r="G98" s="9">
        <v>5.9822689471206614E-2</v>
      </c>
      <c r="H98" s="35">
        <v>-1.0268237576928838E-2</v>
      </c>
    </row>
    <row r="99" spans="2:8" x14ac:dyDescent="0.35">
      <c r="B99" s="6">
        <v>45065</v>
      </c>
      <c r="C99" s="7" t="s">
        <v>40</v>
      </c>
      <c r="D99" s="9">
        <v>1.20949487644532E-2</v>
      </c>
      <c r="E99" s="9">
        <v>1.20949487644532E-2</v>
      </c>
      <c r="F99" s="9">
        <v>7.2641190599765926E-2</v>
      </c>
      <c r="G99" s="9">
        <v>7.2641190599765926E-2</v>
      </c>
      <c r="H99" s="35">
        <v>1.202238935395772E-2</v>
      </c>
    </row>
    <row r="100" spans="2:8" x14ac:dyDescent="0.35">
      <c r="B100" s="6">
        <v>45068</v>
      </c>
      <c r="C100" s="7" t="s">
        <v>40</v>
      </c>
      <c r="D100" s="9">
        <v>2.2015984516230599E-2</v>
      </c>
      <c r="E100" s="9">
        <v>2.2015984516230599E-2</v>
      </c>
      <c r="F100" s="9">
        <v>9.6256442443481527E-2</v>
      </c>
      <c r="G100" s="9">
        <v>9.6256442443481527E-2</v>
      </c>
      <c r="H100" s="35">
        <v>2.1777132086042664E-2</v>
      </c>
    </row>
    <row r="101" spans="2:8" x14ac:dyDescent="0.35">
      <c r="B101" s="6">
        <v>45069</v>
      </c>
      <c r="C101" s="7" t="s">
        <v>40</v>
      </c>
      <c r="D101" s="9">
        <v>-2.1057267509873899E-3</v>
      </c>
      <c r="E101" s="9">
        <v>-2.1057267509873899E-3</v>
      </c>
      <c r="F101" s="9">
        <v>9.3948025926686052E-2</v>
      </c>
      <c r="G101" s="9">
        <v>9.3948025926686052E-2</v>
      </c>
      <c r="H101" s="35">
        <v>-2.1079469108098033E-3</v>
      </c>
    </row>
    <row r="102" spans="2:8" x14ac:dyDescent="0.35">
      <c r="B102" s="6">
        <v>45070</v>
      </c>
      <c r="C102" s="7" t="s">
        <v>40</v>
      </c>
      <c r="D102" s="9">
        <v>-1.6241414503627299E-2</v>
      </c>
      <c r="E102" s="9">
        <v>-1.6241414503627299E-2</v>
      </c>
      <c r="F102" s="9">
        <v>7.618076259218598E-2</v>
      </c>
      <c r="G102" s="9">
        <v>7.618076259218598E-2</v>
      </c>
      <c r="H102" s="35">
        <v>-1.6374751973361384E-2</v>
      </c>
    </row>
    <row r="103" spans="2:8" x14ac:dyDescent="0.35">
      <c r="B103" s="6">
        <v>45071</v>
      </c>
      <c r="C103" s="7" t="s">
        <v>40</v>
      </c>
      <c r="D103" s="9">
        <v>-2.6306492224695999E-2</v>
      </c>
      <c r="E103" s="9">
        <v>-2.6306492224695999E-2</v>
      </c>
      <c r="F103" s="9">
        <v>4.7870221728687268E-2</v>
      </c>
      <c r="G103" s="9">
        <v>4.7870221728687268E-2</v>
      </c>
      <c r="H103" s="35">
        <v>-2.6658698601760372E-2</v>
      </c>
    </row>
    <row r="104" spans="2:8" x14ac:dyDescent="0.35">
      <c r="B104" s="6">
        <v>45072</v>
      </c>
      <c r="C104" s="7" t="s">
        <v>40</v>
      </c>
      <c r="D104" s="9">
        <v>8.2675804872429995E-3</v>
      </c>
      <c r="E104" s="9">
        <v>8.2675804872429995E-3</v>
      </c>
      <c r="F104" s="9">
        <v>5.6533573127014236E-2</v>
      </c>
      <c r="G104" s="9">
        <v>5.6533573127014236E-2</v>
      </c>
      <c r="H104" s="35">
        <v>8.2335912543283016E-3</v>
      </c>
    </row>
    <row r="105" spans="2:8" x14ac:dyDescent="0.35">
      <c r="B105" s="6">
        <v>45076</v>
      </c>
      <c r="C105" s="7" t="s">
        <v>40</v>
      </c>
      <c r="D105" s="9">
        <v>-1.2192579348872299E-2</v>
      </c>
      <c r="E105" s="9">
        <v>-1.2192579348872299E-2</v>
      </c>
      <c r="F105" s="9">
        <v>4.3651703701915512E-2</v>
      </c>
      <c r="G105" s="9">
        <v>4.3651703701915512E-2</v>
      </c>
      <c r="H105" s="35">
        <v>-1.2267518602627415E-2</v>
      </c>
    </row>
    <row r="106" spans="2:8" x14ac:dyDescent="0.35">
      <c r="B106" s="6">
        <v>45077</v>
      </c>
      <c r="C106" s="7" t="s">
        <v>40</v>
      </c>
      <c r="D106" s="9">
        <v>9.2377884821114396E-3</v>
      </c>
      <c r="E106" s="9">
        <v>9.2377884821114396E-3</v>
      </c>
      <c r="F106" s="9">
        <v>5.3292737389709188E-2</v>
      </c>
      <c r="G106" s="9">
        <v>5.3292737389709188E-2</v>
      </c>
      <c r="H106" s="35">
        <v>9.1953810810927097E-3</v>
      </c>
    </row>
    <row r="107" spans="2:8" x14ac:dyDescent="0.35">
      <c r="B107" s="6">
        <v>45078</v>
      </c>
      <c r="C107" s="7" t="s">
        <v>40</v>
      </c>
      <c r="D107" s="9">
        <v>9.5686377869516007E-3</v>
      </c>
      <c r="E107" s="9">
        <v>9.5686377869516007E-3</v>
      </c>
      <c r="F107" s="9">
        <v>6.3371314077417917E-2</v>
      </c>
      <c r="G107" s="9">
        <v>6.3371314077417917E-2</v>
      </c>
      <c r="H107" s="35">
        <v>9.5231483236543034E-3</v>
      </c>
    </row>
    <row r="108" spans="2:8" x14ac:dyDescent="0.35">
      <c r="B108" s="6">
        <v>45079</v>
      </c>
      <c r="C108" s="7" t="s">
        <v>40</v>
      </c>
      <c r="D108" s="9">
        <v>2.0916750142594899E-2</v>
      </c>
      <c r="E108" s="9">
        <v>2.0916750142594899E-2</v>
      </c>
      <c r="F108" s="9">
        <v>8.5613586162778033E-2</v>
      </c>
      <c r="G108" s="9">
        <v>8.5613586162778033E-2</v>
      </c>
      <c r="H108" s="35">
        <v>2.0700998289692938E-2</v>
      </c>
    </row>
    <row r="109" spans="2:8" x14ac:dyDescent="0.35">
      <c r="B109" s="6">
        <v>45082</v>
      </c>
      <c r="C109" s="7" t="s">
        <v>40</v>
      </c>
      <c r="D109" s="9">
        <v>3.7913321918570698E-3</v>
      </c>
      <c r="E109" s="9">
        <v>3.7913321918570698E-3</v>
      </c>
      <c r="F109" s="9">
        <v>8.9729507899914296E-2</v>
      </c>
      <c r="G109" s="9">
        <v>8.9729507899914296E-2</v>
      </c>
      <c r="H109" s="35">
        <v>3.7841632062530755E-3</v>
      </c>
    </row>
    <row r="110" spans="2:8" x14ac:dyDescent="0.35">
      <c r="B110" s="6">
        <v>45083</v>
      </c>
      <c r="C110" s="7" t="s">
        <v>40</v>
      </c>
      <c r="D110" s="9">
        <v>1.8400474064884799E-2</v>
      </c>
      <c r="E110" s="9">
        <v>1.8400474064884799E-2</v>
      </c>
      <c r="F110" s="9">
        <v>0.10978104744776651</v>
      </c>
      <c r="G110" s="9">
        <v>0.10978104744776651</v>
      </c>
      <c r="H110" s="35">
        <v>1.8233233760641936E-2</v>
      </c>
    </row>
    <row r="111" spans="2:8" x14ac:dyDescent="0.35">
      <c r="B111" s="6">
        <v>45084</v>
      </c>
      <c r="C111" s="7" t="s">
        <v>40</v>
      </c>
      <c r="D111" s="9">
        <v>4.5380760623965196E-3</v>
      </c>
      <c r="E111" s="9">
        <v>4.5380760623965196E-3</v>
      </c>
      <c r="F111" s="9">
        <v>0.11481731825369068</v>
      </c>
      <c r="G111" s="9">
        <v>0.11481731825369068</v>
      </c>
      <c r="H111" s="35">
        <v>4.5278100421590837E-3</v>
      </c>
    </row>
    <row r="112" spans="2:8" x14ac:dyDescent="0.35">
      <c r="B112" s="6">
        <v>45085</v>
      </c>
      <c r="C112" s="7" t="s">
        <v>40</v>
      </c>
      <c r="D112" s="9">
        <v>-3.5106619099950298E-3</v>
      </c>
      <c r="E112" s="9">
        <v>-3.5106619099950298E-3</v>
      </c>
      <c r="F112" s="9">
        <v>0.11090357155789454</v>
      </c>
      <c r="G112" s="9">
        <v>0.11090357155789454</v>
      </c>
      <c r="H112" s="35">
        <v>-3.5168387442733439E-3</v>
      </c>
    </row>
    <row r="113" spans="2:8" x14ac:dyDescent="0.35">
      <c r="B113" s="6">
        <v>45086</v>
      </c>
      <c r="C113" s="7" t="s">
        <v>40</v>
      </c>
      <c r="D113" s="9">
        <v>-1.04305593659088E-2</v>
      </c>
      <c r="E113" s="9">
        <v>-1.04305593659088E-2</v>
      </c>
      <c r="F113" s="9">
        <v>9.931622590495981E-2</v>
      </c>
      <c r="G113" s="9">
        <v>9.931622590495981E-2</v>
      </c>
      <c r="H113" s="35">
        <v>-1.0485338904023696E-2</v>
      </c>
    </row>
    <row r="114" spans="2:8" x14ac:dyDescent="0.35">
      <c r="B114" s="6">
        <v>45089</v>
      </c>
      <c r="C114" s="7" t="s">
        <v>40</v>
      </c>
      <c r="D114" s="9">
        <v>1.2453713743003801E-2</v>
      </c>
      <c r="E114" s="9">
        <v>1.2453713743003801E-2</v>
      </c>
      <c r="F114" s="9">
        <v>0.11300679549541948</v>
      </c>
      <c r="G114" s="9">
        <v>0.11300679549541948</v>
      </c>
      <c r="H114" s="35">
        <v>1.237680413187826E-2</v>
      </c>
    </row>
    <row r="115" spans="2:8" x14ac:dyDescent="0.35">
      <c r="B115" s="6">
        <v>45090</v>
      </c>
      <c r="C115" s="7" t="s">
        <v>40</v>
      </c>
      <c r="D115" s="9">
        <v>2.0859654164610698E-2</v>
      </c>
      <c r="E115" s="9">
        <v>2.0859654164610698E-2</v>
      </c>
      <c r="F115" s="9">
        <v>0.13622373233231544</v>
      </c>
      <c r="G115" s="9">
        <v>0.13622373233231544</v>
      </c>
      <c r="H115" s="35">
        <v>2.0645070541797882E-2</v>
      </c>
    </row>
    <row r="116" spans="2:8" x14ac:dyDescent="0.35">
      <c r="B116" s="6">
        <v>45091</v>
      </c>
      <c r="C116" s="7" t="s">
        <v>40</v>
      </c>
      <c r="D116" s="9">
        <v>-1.6070005842672801E-2</v>
      </c>
      <c r="E116" s="9">
        <v>-1.6070005842672801E-2</v>
      </c>
      <c r="F116" s="9">
        <v>0.11796461031515171</v>
      </c>
      <c r="G116" s="9">
        <v>0.11796461031515171</v>
      </c>
      <c r="H116" s="35">
        <v>-1.6200528609806381E-2</v>
      </c>
    </row>
    <row r="117" spans="2:8" x14ac:dyDescent="0.35">
      <c r="B117" s="6">
        <v>45092</v>
      </c>
      <c r="C117" s="7" t="s">
        <v>40</v>
      </c>
      <c r="D117" s="9">
        <v>7.9354582727154E-4</v>
      </c>
      <c r="E117" s="9">
        <v>7.9354582727154E-4</v>
      </c>
      <c r="F117" s="9">
        <v>0.11885176646670459</v>
      </c>
      <c r="G117" s="9">
        <v>0.11885176646670459</v>
      </c>
      <c r="H117" s="35">
        <v>7.9323113625181575E-4</v>
      </c>
    </row>
    <row r="118" spans="2:8" x14ac:dyDescent="0.35">
      <c r="B118" s="6">
        <v>45093</v>
      </c>
      <c r="C118" s="7" t="s">
        <v>40</v>
      </c>
      <c r="D118" s="9">
        <v>-1.68481294989252E-2</v>
      </c>
      <c r="E118" s="9">
        <v>-1.68481294989252E-2</v>
      </c>
      <c r="F118" s="9">
        <v>0.10000120701517234</v>
      </c>
      <c r="G118" s="9">
        <v>0.10000120701517234</v>
      </c>
      <c r="H118" s="35">
        <v>-1.6991673819183685E-2</v>
      </c>
    </row>
    <row r="119" spans="2:8" x14ac:dyDescent="0.35">
      <c r="B119" s="6">
        <v>45097</v>
      </c>
      <c r="C119" s="7" t="s">
        <v>40</v>
      </c>
      <c r="D119" s="9">
        <v>5.8841925077358099E-3</v>
      </c>
      <c r="E119" s="9">
        <v>5.8841925077358099E-3</v>
      </c>
      <c r="F119" s="9">
        <v>0.10647382587599141</v>
      </c>
      <c r="G119" s="9">
        <v>0.10647382587599141</v>
      </c>
      <c r="H119" s="35">
        <v>5.8669482595859147E-3</v>
      </c>
    </row>
    <row r="120" spans="2:8" x14ac:dyDescent="0.35">
      <c r="B120" s="6">
        <v>45098</v>
      </c>
      <c r="C120" s="7" t="s">
        <v>40</v>
      </c>
      <c r="D120" s="9">
        <v>-3.5725876170294899E-3</v>
      </c>
      <c r="E120" s="9">
        <v>-3.5725876170294899E-3</v>
      </c>
      <c r="F120" s="9">
        <v>0.10252085118709964</v>
      </c>
      <c r="G120" s="9">
        <v>0.10252085118709964</v>
      </c>
      <c r="H120" s="35">
        <v>-3.5789845484467324E-3</v>
      </c>
    </row>
    <row r="121" spans="2:8" x14ac:dyDescent="0.35">
      <c r="B121" s="6">
        <v>45099</v>
      </c>
      <c r="C121" s="7" t="s">
        <v>40</v>
      </c>
      <c r="D121" s="9">
        <v>-6.5084530518295597E-3</v>
      </c>
      <c r="E121" s="9">
        <v>-6.5084530518295597E-3</v>
      </c>
      <c r="F121" s="9">
        <v>9.5345145988485314E-2</v>
      </c>
      <c r="G121" s="9">
        <v>9.5345145988485314E-2</v>
      </c>
      <c r="H121" s="35">
        <v>-6.5297253826062853E-3</v>
      </c>
    </row>
    <row r="122" spans="2:8" x14ac:dyDescent="0.35">
      <c r="B122" s="6">
        <v>45100</v>
      </c>
      <c r="C122" s="7" t="s">
        <v>40</v>
      </c>
      <c r="D122" s="9">
        <v>-1.50361026245685E-2</v>
      </c>
      <c r="E122" s="9">
        <v>-1.50361026245685E-2</v>
      </c>
      <c r="F122" s="9">
        <v>7.887542396407965E-2</v>
      </c>
      <c r="G122" s="9">
        <v>7.887542396407965E-2</v>
      </c>
      <c r="H122" s="35">
        <v>-1.5150290892493579E-2</v>
      </c>
    </row>
    <row r="123" spans="2:8" x14ac:dyDescent="0.35">
      <c r="B123" s="6">
        <v>45103</v>
      </c>
      <c r="C123" s="7" t="s">
        <v>40</v>
      </c>
      <c r="D123" s="9">
        <v>-3.06011998825289E-2</v>
      </c>
      <c r="E123" s="9">
        <v>-3.06011998825289E-2</v>
      </c>
      <c r="F123" s="9">
        <v>4.5860541467006799E-2</v>
      </c>
      <c r="G123" s="9">
        <v>4.5860541467006799E-2</v>
      </c>
      <c r="H123" s="35">
        <v>-3.1079193329548702E-2</v>
      </c>
    </row>
    <row r="124" spans="2:8" x14ac:dyDescent="0.35">
      <c r="B124" s="6">
        <v>45104</v>
      </c>
      <c r="C124" s="7" t="s">
        <v>40</v>
      </c>
      <c r="D124" s="9">
        <v>-1.29257863667577E-3</v>
      </c>
      <c r="E124" s="9">
        <v>-1.29257863667577E-3</v>
      </c>
      <c r="F124" s="9">
        <v>4.4508684474164451E-2</v>
      </c>
      <c r="G124" s="9">
        <v>4.4508684474164451E-2</v>
      </c>
      <c r="H124" s="35">
        <v>-1.293414737003026E-3</v>
      </c>
    </row>
    <row r="125" spans="2:8" x14ac:dyDescent="0.35">
      <c r="B125" s="6">
        <v>45105</v>
      </c>
      <c r="C125" s="7" t="s">
        <v>40</v>
      </c>
      <c r="D125" s="9">
        <v>1.4288768323193099E-2</v>
      </c>
      <c r="E125" s="9">
        <v>1.4288768323193099E-2</v>
      </c>
      <c r="F125" s="9">
        <v>5.9433427078179113E-2</v>
      </c>
      <c r="G125" s="9">
        <v>5.9433427078179113E-2</v>
      </c>
      <c r="H125" s="35">
        <v>1.4187646010289793E-2</v>
      </c>
    </row>
    <row r="126" spans="2:8" x14ac:dyDescent="0.35">
      <c r="B126" s="6">
        <v>45106</v>
      </c>
      <c r="C126" s="7" t="s">
        <v>40</v>
      </c>
      <c r="D126" s="9">
        <v>-1.49106217173846E-2</v>
      </c>
      <c r="E126" s="9">
        <v>-1.49106217173846E-2</v>
      </c>
      <c r="F126" s="9">
        <v>4.3636616012264096E-2</v>
      </c>
      <c r="G126" s="9">
        <v>4.3636616012264096E-2</v>
      </c>
      <c r="H126" s="35">
        <v>-1.5022902553402424E-2</v>
      </c>
    </row>
    <row r="127" spans="2:8" x14ac:dyDescent="0.35">
      <c r="B127" s="6">
        <v>45107</v>
      </c>
      <c r="C127" s="7" t="s">
        <v>40</v>
      </c>
      <c r="D127" s="9">
        <v>1.3031397369432899E-2</v>
      </c>
      <c r="E127" s="9">
        <v>1.3031397369432899E-2</v>
      </c>
      <c r="F127" s="9">
        <v>5.7236659464810158E-2</v>
      </c>
      <c r="G127" s="9">
        <v>5.7236659464810158E-2</v>
      </c>
      <c r="H127" s="35">
        <v>1.2947219227919492E-2</v>
      </c>
    </row>
    <row r="128" spans="2:8" x14ac:dyDescent="0.35">
      <c r="B128" s="6">
        <v>45110</v>
      </c>
      <c r="C128" s="7" t="s">
        <v>40</v>
      </c>
      <c r="D128" s="9">
        <v>-6.0451416241394202E-3</v>
      </c>
      <c r="E128" s="9">
        <v>-6.0451416241394202E-3</v>
      </c>
      <c r="F128" s="9">
        <v>5.0845514128113445E-2</v>
      </c>
      <c r="G128" s="9">
        <v>5.0845514128113445E-2</v>
      </c>
      <c r="H128" s="35">
        <v>-6.0634874656070132E-3</v>
      </c>
    </row>
    <row r="129" spans="2:8" x14ac:dyDescent="0.35">
      <c r="B129" s="6">
        <v>45112</v>
      </c>
      <c r="C129" s="7" t="s">
        <v>40</v>
      </c>
      <c r="D129" s="9">
        <v>-1.2807038702526499E-3</v>
      </c>
      <c r="E129" s="9">
        <v>-1.2807038702526499E-3</v>
      </c>
      <c r="F129" s="9">
        <v>4.9499692211131929E-2</v>
      </c>
      <c r="G129" s="9">
        <v>4.9499692211131929E-2</v>
      </c>
      <c r="H129" s="35">
        <v>-1.2815246723321154E-3</v>
      </c>
    </row>
    <row r="130" spans="2:8" x14ac:dyDescent="0.35">
      <c r="B130" s="6">
        <v>45113</v>
      </c>
      <c r="C130" s="7" t="s">
        <v>40</v>
      </c>
      <c r="D130" s="9">
        <v>-1.32576193214491E-2</v>
      </c>
      <c r="E130" s="9">
        <v>-1.32576193214491E-2</v>
      </c>
      <c r="F130" s="9">
        <v>3.5585824813818778E-2</v>
      </c>
      <c r="G130" s="9">
        <v>3.5585824813818778E-2</v>
      </c>
      <c r="H130" s="35">
        <v>-1.3346286102080019E-2</v>
      </c>
    </row>
    <row r="131" spans="2:8" x14ac:dyDescent="0.35">
      <c r="B131" s="6">
        <v>45114</v>
      </c>
      <c r="C131" s="7" t="s">
        <v>40</v>
      </c>
      <c r="D131" s="9">
        <v>1.36368007133104E-3</v>
      </c>
      <c r="E131" s="9">
        <v>1.36368007133104E-3</v>
      </c>
      <c r="F131" s="9">
        <v>3.6998032565270345E-2</v>
      </c>
      <c r="G131" s="9">
        <v>3.6998032565270345E-2</v>
      </c>
      <c r="H131" s="35">
        <v>1.3627511041093784E-3</v>
      </c>
    </row>
    <row r="132" spans="2:8" x14ac:dyDescent="0.35">
      <c r="B132" s="6">
        <v>45117</v>
      </c>
      <c r="C132" s="7" t="s">
        <v>40</v>
      </c>
      <c r="D132" s="9">
        <v>2.97971523932292E-2</v>
      </c>
      <c r="E132" s="9">
        <v>2.97971523932292E-2</v>
      </c>
      <c r="F132" s="9">
        <v>6.7897620973096595E-2</v>
      </c>
      <c r="G132" s="9">
        <v>6.7897620973096595E-2</v>
      </c>
      <c r="H132" s="35">
        <v>2.9361843422380247E-2</v>
      </c>
    </row>
    <row r="133" spans="2:8" x14ac:dyDescent="0.35">
      <c r="B133" s="6">
        <v>45118</v>
      </c>
      <c r="C133" s="7" t="s">
        <v>40</v>
      </c>
      <c r="D133" s="9">
        <v>-3.8061921971646599E-3</v>
      </c>
      <c r="E133" s="9">
        <v>-3.8061921971646599E-3</v>
      </c>
      <c r="F133" s="9">
        <v>6.3832997380778078E-2</v>
      </c>
      <c r="G133" s="9">
        <v>6.3832997380778078E-2</v>
      </c>
      <c r="H133" s="35">
        <v>-3.813454179542655E-3</v>
      </c>
    </row>
    <row r="134" spans="2:8" x14ac:dyDescent="0.35">
      <c r="B134" s="6">
        <v>45119</v>
      </c>
      <c r="C134" s="7" t="s">
        <v>40</v>
      </c>
      <c r="D134" s="9">
        <v>1.14395121259396E-2</v>
      </c>
      <c r="E134" s="9">
        <v>1.14395121259396E-2</v>
      </c>
      <c r="F134" s="9">
        <v>7.6002727854290297E-2</v>
      </c>
      <c r="G134" s="9">
        <v>7.6002727854290297E-2</v>
      </c>
      <c r="H134" s="35">
        <v>1.1374575665480096E-2</v>
      </c>
    </row>
    <row r="135" spans="2:8" x14ac:dyDescent="0.35">
      <c r="B135" s="6">
        <v>45120</v>
      </c>
      <c r="C135" s="7" t="s">
        <v>40</v>
      </c>
      <c r="D135" s="9">
        <v>1.4162200665764201E-3</v>
      </c>
      <c r="E135" s="9">
        <v>1.4162200665764201E-3</v>
      </c>
      <c r="F135" s="9">
        <v>7.7526584509168384E-2</v>
      </c>
      <c r="G135" s="9">
        <v>7.7526584509168384E-2</v>
      </c>
      <c r="H135" s="35">
        <v>1.4152181727610895E-3</v>
      </c>
    </row>
    <row r="136" spans="2:8" x14ac:dyDescent="0.35">
      <c r="B136" s="6">
        <v>45121</v>
      </c>
      <c r="C136" s="7" t="s">
        <v>40</v>
      </c>
      <c r="D136" s="9">
        <v>-1.7922752934851E-3</v>
      </c>
      <c r="E136" s="9">
        <v>-1.7922752934851E-3</v>
      </c>
      <c r="F136" s="9">
        <v>7.5595360233679187E-2</v>
      </c>
      <c r="G136" s="9">
        <v>7.5595360233679187E-2</v>
      </c>
      <c r="H136" s="35">
        <v>-1.7938833405115016E-3</v>
      </c>
    </row>
    <row r="137" spans="2:8" x14ac:dyDescent="0.35">
      <c r="B137" s="6">
        <v>45124</v>
      </c>
      <c r="C137" s="7" t="s">
        <v>40</v>
      </c>
      <c r="D137" s="9">
        <v>1.73237050004489E-2</v>
      </c>
      <c r="E137" s="9">
        <v>1.73237050004489E-2</v>
      </c>
      <c r="F137" s="9">
        <v>9.4228656954219003E-2</v>
      </c>
      <c r="G137" s="9">
        <v>9.4228656954219003E-2</v>
      </c>
      <c r="H137" s="35">
        <v>1.7175360424041202E-2</v>
      </c>
    </row>
    <row r="138" spans="2:8" x14ac:dyDescent="0.35">
      <c r="B138" s="6">
        <v>45125</v>
      </c>
      <c r="C138" s="7" t="s">
        <v>40</v>
      </c>
      <c r="D138" s="9">
        <v>7.4457494422577094E-5</v>
      </c>
      <c r="E138" s="9">
        <v>7.4457494422577094E-5</v>
      </c>
      <c r="F138" s="9">
        <v>9.4310130478341136E-2</v>
      </c>
      <c r="G138" s="9">
        <v>9.4310130478341136E-2</v>
      </c>
      <c r="H138" s="35">
        <v>7.4454722600825085E-5</v>
      </c>
    </row>
    <row r="139" spans="2:8" x14ac:dyDescent="0.35">
      <c r="B139" s="6">
        <v>45126</v>
      </c>
      <c r="C139" s="7" t="s">
        <v>40</v>
      </c>
      <c r="D139" s="9">
        <v>3.3420653522679999E-3</v>
      </c>
      <c r="E139" s="9">
        <v>3.3420653522679999E-3</v>
      </c>
      <c r="F139" s="9">
        <v>9.7967386450048766E-2</v>
      </c>
      <c r="G139" s="9">
        <v>9.7967386450048766E-2</v>
      </c>
      <c r="H139" s="35">
        <v>3.3364930637086879E-3</v>
      </c>
    </row>
    <row r="140" spans="2:8" x14ac:dyDescent="0.35">
      <c r="B140" s="6">
        <v>45127</v>
      </c>
      <c r="C140" s="7" t="s">
        <v>40</v>
      </c>
      <c r="D140" s="9">
        <v>-1.71246241707021E-2</v>
      </c>
      <c r="E140" s="9">
        <v>-1.71246241707021E-2</v>
      </c>
      <c r="F140" s="9">
        <v>7.9165107605403628E-2</v>
      </c>
      <c r="G140" s="9">
        <v>7.9165107605403628E-2</v>
      </c>
      <c r="H140" s="35">
        <v>-1.7272946293017299E-2</v>
      </c>
    </row>
    <row r="141" spans="2:8" x14ac:dyDescent="0.35">
      <c r="B141" s="6">
        <v>45128</v>
      </c>
      <c r="C141" s="7" t="s">
        <v>40</v>
      </c>
      <c r="D141" s="9">
        <v>6.9652798554934699E-3</v>
      </c>
      <c r="E141" s="9">
        <v>6.9652798554934699E-3</v>
      </c>
      <c r="F141" s="9">
        <v>8.6681794590159011E-2</v>
      </c>
      <c r="G141" s="9">
        <v>8.6681794590159011E-2</v>
      </c>
      <c r="H141" s="35">
        <v>6.9411343490622434E-3</v>
      </c>
    </row>
    <row r="142" spans="2:8" x14ac:dyDescent="0.35">
      <c r="B142" s="6">
        <v>45131</v>
      </c>
      <c r="C142" s="7" t="s">
        <v>40</v>
      </c>
      <c r="D142" s="9">
        <v>-2.0604128600863001E-2</v>
      </c>
      <c r="E142" s="9">
        <v>-2.0604128600863001E-2</v>
      </c>
      <c r="F142" s="9">
        <v>6.4291663146206712E-2</v>
      </c>
      <c r="G142" s="9">
        <v>6.4291663146206712E-2</v>
      </c>
      <c r="H142" s="35">
        <v>-2.0819355161709498E-2</v>
      </c>
    </row>
    <row r="143" spans="2:8" x14ac:dyDescent="0.35">
      <c r="B143" s="6">
        <v>45132</v>
      </c>
      <c r="C143" s="7" t="s">
        <v>40</v>
      </c>
      <c r="D143" s="9">
        <v>-7.2554167540870599E-3</v>
      </c>
      <c r="E143" s="9">
        <v>-7.2554167540870599E-3</v>
      </c>
      <c r="F143" s="9">
        <v>5.6569783582180566E-2</v>
      </c>
      <c r="G143" s="9">
        <v>5.6569783582180566E-2</v>
      </c>
      <c r="H143" s="35">
        <v>-7.2818652980135117E-3</v>
      </c>
    </row>
    <row r="144" spans="2:8" x14ac:dyDescent="0.35">
      <c r="B144" s="6">
        <v>45133</v>
      </c>
      <c r="C144" s="7" t="s">
        <v>40</v>
      </c>
      <c r="D144" s="9">
        <v>-1.7707051119111099E-4</v>
      </c>
      <c r="E144" s="9">
        <v>-1.7707051119111099E-4</v>
      </c>
      <c r="F144" s="9">
        <v>5.6382696230492524E-2</v>
      </c>
      <c r="G144" s="9">
        <v>5.6382696230492524E-2</v>
      </c>
      <c r="H144" s="35">
        <v>-1.7708619002492431E-4</v>
      </c>
    </row>
    <row r="145" spans="2:8" x14ac:dyDescent="0.35">
      <c r="B145" s="6">
        <v>45134</v>
      </c>
      <c r="C145" s="7" t="s">
        <v>40</v>
      </c>
      <c r="D145" s="9">
        <v>-1.53221682981938E-2</v>
      </c>
      <c r="E145" s="9">
        <v>-1.53221682981938E-2</v>
      </c>
      <c r="F145" s="9">
        <v>4.0196622771549118E-2</v>
      </c>
      <c r="G145" s="9">
        <v>4.0196622771549118E-2</v>
      </c>
      <c r="H145" s="35">
        <v>-1.5440765724960455E-2</v>
      </c>
    </row>
    <row r="146" spans="2:8" x14ac:dyDescent="0.35">
      <c r="B146" s="6">
        <v>45135</v>
      </c>
      <c r="C146" s="7" t="s">
        <v>40</v>
      </c>
      <c r="D146" s="9">
        <v>3.6902734707020601E-2</v>
      </c>
      <c r="E146" s="9">
        <v>3.6902734707020601E-2</v>
      </c>
      <c r="F146" s="9">
        <v>7.8582722784826364E-2</v>
      </c>
      <c r="G146" s="9">
        <v>7.8582722784826364E-2</v>
      </c>
      <c r="H146" s="35">
        <v>3.6238129966042101E-2</v>
      </c>
    </row>
    <row r="147" spans="2:8" x14ac:dyDescent="0.35">
      <c r="B147" s="6">
        <v>45138</v>
      </c>
      <c r="C147" s="7" t="s">
        <v>40</v>
      </c>
      <c r="D147" s="9">
        <v>8.3706824680084592E-3</v>
      </c>
      <c r="E147" s="9">
        <v>8.3706824680084592E-3</v>
      </c>
      <c r="F147" s="9">
        <v>8.7611196272738168E-2</v>
      </c>
      <c r="G147" s="9">
        <v>8.7611196272738168E-2</v>
      </c>
      <c r="H147" s="35">
        <v>8.3358425928547406E-3</v>
      </c>
    </row>
    <row r="148" spans="2:8" x14ac:dyDescent="0.35">
      <c r="B148" s="6">
        <v>45139</v>
      </c>
      <c r="C148" s="7" t="s">
        <v>40</v>
      </c>
      <c r="D148" s="9">
        <v>-1.4185833587659199E-2</v>
      </c>
      <c r="E148" s="9">
        <v>-1.4185833587659199E-2</v>
      </c>
      <c r="F148" s="9">
        <v>7.218252483433818E-2</v>
      </c>
      <c r="G148" s="9">
        <v>7.218252483433818E-2</v>
      </c>
      <c r="H148" s="35">
        <v>-1.4287414341055724E-2</v>
      </c>
    </row>
    <row r="149" spans="2:8" x14ac:dyDescent="0.35">
      <c r="B149" s="6">
        <v>45140</v>
      </c>
      <c r="C149" s="7" t="s">
        <v>40</v>
      </c>
      <c r="D149" s="9">
        <v>-1.8268194316624301E-2</v>
      </c>
      <c r="E149" s="9">
        <v>-1.8268194316624301E-2</v>
      </c>
      <c r="F149" s="9">
        <v>5.2595686127775654E-2</v>
      </c>
      <c r="G149" s="9">
        <v>5.2595686127775654E-2</v>
      </c>
      <c r="H149" s="35">
        <v>-1.8437118231142868E-2</v>
      </c>
    </row>
    <row r="150" spans="2:8" x14ac:dyDescent="0.35">
      <c r="B150" s="6">
        <v>45141</v>
      </c>
      <c r="C150" s="7" t="s">
        <v>40</v>
      </c>
      <c r="D150" s="9">
        <v>-1.1022687529026E-2</v>
      </c>
      <c r="E150" s="9">
        <v>-1.1022687529026E-2</v>
      </c>
      <c r="F150" s="9">
        <v>4.0993252785188394E-2</v>
      </c>
      <c r="G150" s="9">
        <v>4.0993252785188394E-2</v>
      </c>
      <c r="H150" s="35">
        <v>-1.1083887490117007E-2</v>
      </c>
    </row>
    <row r="151" spans="2:8" x14ac:dyDescent="0.35">
      <c r="B151" s="6">
        <v>45142</v>
      </c>
      <c r="C151" s="7" t="s">
        <v>40</v>
      </c>
      <c r="D151" s="9">
        <v>4.2031300274515801E-4</v>
      </c>
      <c r="E151" s="9">
        <v>4.2031300274515801E-4</v>
      </c>
      <c r="F151" s="9">
        <v>4.1430795785103891E-2</v>
      </c>
      <c r="G151" s="9">
        <v>4.1430795785103891E-2</v>
      </c>
      <c r="H151" s="35">
        <v>4.2022469597845962E-4</v>
      </c>
    </row>
    <row r="152" spans="2:8" x14ac:dyDescent="0.35">
      <c r="B152" s="6">
        <v>45145</v>
      </c>
      <c r="C152" s="7" t="s">
        <v>40</v>
      </c>
      <c r="D152" s="9">
        <v>-3.8974171751766103E-2</v>
      </c>
      <c r="E152" s="9">
        <v>-3.8974171751766103E-2</v>
      </c>
      <c r="F152" s="9">
        <v>8.4189308259685625E-4</v>
      </c>
      <c r="G152" s="9">
        <v>8.4189308259685625E-4</v>
      </c>
      <c r="H152" s="35">
        <v>-3.9753993944045829E-2</v>
      </c>
    </row>
    <row r="153" spans="2:8" x14ac:dyDescent="0.35">
      <c r="B153" s="6">
        <v>45146</v>
      </c>
      <c r="C153" s="7" t="s">
        <v>40</v>
      </c>
      <c r="D153" s="9">
        <v>7.9927640009045692E-3</v>
      </c>
      <c r="E153" s="9">
        <v>7.9927640009045692E-3</v>
      </c>
      <c r="F153" s="9">
        <v>8.8413861362246493E-3</v>
      </c>
      <c r="G153" s="9">
        <v>8.8413861362246493E-3</v>
      </c>
      <c r="H153" s="35">
        <v>7.9609910528796023E-3</v>
      </c>
    </row>
    <row r="154" spans="2:8" x14ac:dyDescent="0.35">
      <c r="B154" s="6">
        <v>45147</v>
      </c>
      <c r="C154" s="7" t="s">
        <v>40</v>
      </c>
      <c r="D154" s="9">
        <v>-1.3130896191143799E-3</v>
      </c>
      <c r="E154" s="9">
        <v>-1.3130896191143799E-3</v>
      </c>
      <c r="F154" s="9">
        <v>7.5166869847562712E-3</v>
      </c>
      <c r="G154" s="9">
        <v>7.5166869847562712E-3</v>
      </c>
      <c r="H154" s="35">
        <v>-1.3139524767105519E-3</v>
      </c>
    </row>
    <row r="155" spans="2:8" x14ac:dyDescent="0.35">
      <c r="B155" s="6">
        <v>45148</v>
      </c>
      <c r="C155" s="7" t="s">
        <v>40</v>
      </c>
      <c r="D155" s="9">
        <v>6.3374734565886997E-3</v>
      </c>
      <c r="E155" s="9">
        <v>6.3374734565886997E-3</v>
      </c>
      <c r="F155" s="9">
        <v>1.3901797245592373E-2</v>
      </c>
      <c r="G155" s="9">
        <v>1.3901797245592373E-2</v>
      </c>
      <c r="H155" s="35">
        <v>6.3174761156238124E-3</v>
      </c>
    </row>
    <row r="156" spans="2:8" x14ac:dyDescent="0.35">
      <c r="B156" s="6">
        <v>45149</v>
      </c>
      <c r="C156" s="7" t="s">
        <v>40</v>
      </c>
      <c r="D156" s="9">
        <v>-1.4642726404228701E-3</v>
      </c>
      <c r="E156" s="9">
        <v>-1.4642726404228701E-3</v>
      </c>
      <c r="F156" s="9">
        <v>1.2417168583810145E-2</v>
      </c>
      <c r="G156" s="9">
        <v>1.2417168583810145E-2</v>
      </c>
      <c r="H156" s="35">
        <v>-1.4653457352690991E-3</v>
      </c>
    </row>
    <row r="157" spans="2:8" x14ac:dyDescent="0.35">
      <c r="B157" s="6">
        <v>45152</v>
      </c>
      <c r="C157" s="7" t="s">
        <v>40</v>
      </c>
      <c r="D157" s="9">
        <v>-2.5662347881291901E-3</v>
      </c>
      <c r="E157" s="9">
        <v>-2.5662347881291901E-3</v>
      </c>
      <c r="F157" s="9">
        <v>9.8190684256911354E-3</v>
      </c>
      <c r="G157" s="9">
        <v>9.8190684256911354E-3</v>
      </c>
      <c r="H157" s="35">
        <v>-2.5695332128530773E-3</v>
      </c>
    </row>
    <row r="158" spans="2:8" x14ac:dyDescent="0.35">
      <c r="B158" s="6">
        <v>45153</v>
      </c>
      <c r="C158" s="7" t="s">
        <v>40</v>
      </c>
      <c r="D158" s="9">
        <v>-3.1704766173614599E-3</v>
      </c>
      <c r="E158" s="9">
        <v>-3.1704766173614599E-3</v>
      </c>
      <c r="F158" s="9">
        <v>6.6174606814817238E-3</v>
      </c>
      <c r="G158" s="9">
        <v>6.6174606814817238E-3</v>
      </c>
      <c r="H158" s="35">
        <v>-3.175513226804481E-3</v>
      </c>
    </row>
    <row r="159" spans="2:8" x14ac:dyDescent="0.35">
      <c r="B159" s="6">
        <v>45154</v>
      </c>
      <c r="C159" s="7" t="s">
        <v>40</v>
      </c>
      <c r="D159" s="9">
        <v>-2.2422801711087501E-2</v>
      </c>
      <c r="E159" s="9">
        <v>-2.2422801711087501E-2</v>
      </c>
      <c r="F159" s="9">
        <v>-1.5953723038297563E-2</v>
      </c>
      <c r="G159" s="9">
        <v>-1.5953723038297563E-2</v>
      </c>
      <c r="H159" s="35">
        <v>-2.2678015009371555E-2</v>
      </c>
    </row>
    <row r="160" spans="2:8" x14ac:dyDescent="0.35">
      <c r="B160" s="6">
        <v>45155</v>
      </c>
      <c r="C160" s="7" t="s">
        <v>40</v>
      </c>
      <c r="D160" s="9">
        <v>-1.5356828545057001E-2</v>
      </c>
      <c r="E160" s="9">
        <v>-1.5356828545057001E-2</v>
      </c>
      <c r="F160" s="9">
        <v>-3.1065552994000156E-2</v>
      </c>
      <c r="G160" s="9">
        <v>-3.1065552994000156E-2</v>
      </c>
      <c r="H160" s="35">
        <v>-1.5475965925243996E-2</v>
      </c>
    </row>
    <row r="161" spans="2:8" x14ac:dyDescent="0.35">
      <c r="B161" s="6">
        <v>45156</v>
      </c>
      <c r="C161" s="7" t="s">
        <v>40</v>
      </c>
      <c r="D161" s="9">
        <v>9.5079118408225895E-3</v>
      </c>
      <c r="E161" s="9">
        <v>9.5079118408225895E-3</v>
      </c>
      <c r="F161" s="9">
        <v>-2.1853009692330949E-2</v>
      </c>
      <c r="G161" s="9">
        <v>-2.1853009692330949E-2</v>
      </c>
      <c r="H161" s="35">
        <v>9.4629961257017871E-3</v>
      </c>
    </row>
    <row r="162" spans="2:8" x14ac:dyDescent="0.35">
      <c r="B162" s="6">
        <v>45159</v>
      </c>
      <c r="C162" s="7" t="s">
        <v>40</v>
      </c>
      <c r="D162" s="9">
        <v>1.2342898745658E-2</v>
      </c>
      <c r="E162" s="9">
        <v>1.2342898745658E-2</v>
      </c>
      <c r="F162" s="9">
        <v>-9.7798404325932786E-3</v>
      </c>
      <c r="G162" s="9">
        <v>-9.7798404325932786E-3</v>
      </c>
      <c r="H162" s="35">
        <v>1.2267346227046698E-2</v>
      </c>
    </row>
    <row r="163" spans="2:8" x14ac:dyDescent="0.35">
      <c r="B163" s="6">
        <v>45160</v>
      </c>
      <c r="C163" s="7" t="s">
        <v>40</v>
      </c>
      <c r="D163" s="9">
        <v>8.5935000228541702E-4</v>
      </c>
      <c r="E163" s="9">
        <v>8.5935000228541702E-4</v>
      </c>
      <c r="F163" s="9">
        <v>-8.9288947362060611E-3</v>
      </c>
      <c r="G163" s="9">
        <v>-8.9288947362060611E-3</v>
      </c>
      <c r="H163" s="35">
        <v>8.5898097247415184E-4</v>
      </c>
    </row>
    <row r="164" spans="2:8" x14ac:dyDescent="0.35">
      <c r="B164" s="6">
        <v>45161</v>
      </c>
      <c r="C164" s="7" t="s">
        <v>40</v>
      </c>
      <c r="D164" s="9">
        <v>6.6344534872745699E-3</v>
      </c>
      <c r="E164" s="9">
        <v>6.6344534872745699E-3</v>
      </c>
      <c r="F164" s="9">
        <v>-2.3536795857515003E-3</v>
      </c>
      <c r="G164" s="9">
        <v>-2.3536795857515003E-3</v>
      </c>
      <c r="H164" s="35">
        <v>6.6125423595843873E-3</v>
      </c>
    </row>
    <row r="165" spans="2:8" x14ac:dyDescent="0.35">
      <c r="B165" s="6">
        <v>45162</v>
      </c>
      <c r="C165" s="7" t="s">
        <v>40</v>
      </c>
      <c r="D165" s="9">
        <v>-1.73343092893266E-2</v>
      </c>
      <c r="E165" s="9">
        <v>-1.73343092893266E-2</v>
      </c>
      <c r="F165" s="9">
        <v>-1.9647189465170634E-2</v>
      </c>
      <c r="G165" s="9">
        <v>-1.9647189465170634E-2</v>
      </c>
      <c r="H165" s="35">
        <v>-1.7486307512469181E-2</v>
      </c>
    </row>
    <row r="166" spans="2:8" x14ac:dyDescent="0.35">
      <c r="B166" s="6">
        <v>45163</v>
      </c>
      <c r="C166" s="7" t="s">
        <v>40</v>
      </c>
      <c r="D166" s="9">
        <v>1.0702248487926501E-2</v>
      </c>
      <c r="E166" s="9">
        <v>1.0702248487926501E-2</v>
      </c>
      <c r="F166" s="9">
        <v>-9.1552100809898507E-3</v>
      </c>
      <c r="G166" s="9">
        <v>-9.1552100809898507E-3</v>
      </c>
      <c r="H166" s="35">
        <v>1.0645384779814904E-2</v>
      </c>
    </row>
    <row r="167" spans="2:8" x14ac:dyDescent="0.35">
      <c r="B167" s="6">
        <v>45166</v>
      </c>
      <c r="C167" s="7" t="s">
        <v>40</v>
      </c>
      <c r="D167" s="9">
        <v>2.20183821514061E-3</v>
      </c>
      <c r="E167" s="9">
        <v>2.20183821514061E-3</v>
      </c>
      <c r="F167" s="9">
        <v>-6.973530157273311E-3</v>
      </c>
      <c r="G167" s="9">
        <v>-6.973530157273311E-3</v>
      </c>
      <c r="H167" s="35">
        <v>2.1994177217497654E-3</v>
      </c>
    </row>
    <row r="168" spans="2:8" x14ac:dyDescent="0.35">
      <c r="B168" s="6">
        <v>45167</v>
      </c>
      <c r="C168" s="7" t="s">
        <v>40</v>
      </c>
      <c r="D168" s="9">
        <v>7.4205752313232396E-3</v>
      </c>
      <c r="E168" s="9">
        <v>7.4205752313232396E-3</v>
      </c>
      <c r="F168" s="9">
        <v>3.9529746888988804E-4</v>
      </c>
      <c r="G168" s="9">
        <v>3.9529746888988804E-4</v>
      </c>
      <c r="H168" s="35">
        <v>7.3931782138789027E-3</v>
      </c>
    </row>
    <row r="169" spans="2:8" x14ac:dyDescent="0.35">
      <c r="B169" s="6">
        <v>45168</v>
      </c>
      <c r="C169" s="7" t="s">
        <v>40</v>
      </c>
      <c r="D169" s="9">
        <v>2.1204909404061202E-3</v>
      </c>
      <c r="E169" s="9">
        <v>2.1204909404061202E-3</v>
      </c>
      <c r="F169" s="9">
        <v>2.516626633997765E-3</v>
      </c>
      <c r="G169" s="9">
        <v>2.516626633997765E-3</v>
      </c>
      <c r="H169" s="35">
        <v>2.1182458726956878E-3</v>
      </c>
    </row>
    <row r="170" spans="2:8" x14ac:dyDescent="0.35">
      <c r="B170" s="6">
        <v>45169</v>
      </c>
      <c r="C170" s="7" t="s">
        <v>40</v>
      </c>
      <c r="D170" s="9">
        <v>-8.4519760406948103E-3</v>
      </c>
      <c r="E170" s="9">
        <v>-8.4519760406948103E-3</v>
      </c>
      <c r="F170" s="9">
        <v>-5.9566198747109667E-3</v>
      </c>
      <c r="G170" s="9">
        <v>-5.9566198747109667E-3</v>
      </c>
      <c r="H170" s="35">
        <v>-8.4878965328193095E-3</v>
      </c>
    </row>
    <row r="171" spans="2:8" x14ac:dyDescent="0.35">
      <c r="B171" s="6">
        <v>45170</v>
      </c>
      <c r="C171" s="7" t="s">
        <v>40</v>
      </c>
      <c r="D171" s="9">
        <v>1.7916229031455101E-2</v>
      </c>
      <c r="E171" s="9">
        <v>1.7916229031455101E-2</v>
      </c>
      <c r="F171" s="9">
        <v>1.1852888990815602E-2</v>
      </c>
      <c r="G171" s="9">
        <v>1.1852888990815602E-2</v>
      </c>
      <c r="H171" s="35">
        <v>1.7757624989352537E-2</v>
      </c>
    </row>
    <row r="172" spans="2:8" x14ac:dyDescent="0.35">
      <c r="B172" s="6">
        <v>45174</v>
      </c>
      <c r="C172" s="7" t="s">
        <v>40</v>
      </c>
      <c r="D172" s="9">
        <v>-1.7660531307034301E-2</v>
      </c>
      <c r="E172" s="9">
        <v>-1.7660531307034301E-2</v>
      </c>
      <c r="F172" s="9">
        <v>-6.0169706333197404E-3</v>
      </c>
      <c r="G172" s="9">
        <v>-6.0169706333197404E-3</v>
      </c>
      <c r="H172" s="35">
        <v>-1.7818339231717946E-2</v>
      </c>
    </row>
    <row r="173" spans="2:8" x14ac:dyDescent="0.35">
      <c r="B173" s="6">
        <v>45175</v>
      </c>
      <c r="C173" s="7" t="s">
        <v>40</v>
      </c>
      <c r="D173" s="9">
        <v>3.0843771440367302E-3</v>
      </c>
      <c r="E173" s="9">
        <v>3.0843771440367302E-3</v>
      </c>
      <c r="F173" s="9">
        <v>-2.9511520959807358E-3</v>
      </c>
      <c r="G173" s="9">
        <v>-2.9511520959807358E-3</v>
      </c>
      <c r="H173" s="35">
        <v>3.0796302112360463E-3</v>
      </c>
    </row>
    <row r="174" spans="2:8" x14ac:dyDescent="0.35">
      <c r="B174" s="6">
        <v>45176</v>
      </c>
      <c r="C174" s="7" t="s">
        <v>40</v>
      </c>
      <c r="D174" s="9">
        <v>-1.1016348988251099E-2</v>
      </c>
      <c r="E174" s="9">
        <v>-1.1016348988251099E-2</v>
      </c>
      <c r="F174" s="9">
        <v>-1.3934990162825067E-2</v>
      </c>
      <c r="G174" s="9">
        <v>-1.3934990162825067E-2</v>
      </c>
      <c r="H174" s="35">
        <v>-1.1077478323412543E-2</v>
      </c>
    </row>
    <row r="175" spans="2:8" x14ac:dyDescent="0.35">
      <c r="B175" s="6">
        <v>45177</v>
      </c>
      <c r="C175" s="7" t="s">
        <v>40</v>
      </c>
      <c r="D175" s="9">
        <v>-4.2046894221766003E-3</v>
      </c>
      <c r="E175" s="9">
        <v>-4.2046894221766003E-3</v>
      </c>
      <c r="F175" s="9">
        <v>-1.8081087279265828E-2</v>
      </c>
      <c r="G175" s="9">
        <v>-1.8081087279265828E-2</v>
      </c>
      <c r="H175" s="35">
        <v>-4.2135539859630205E-3</v>
      </c>
    </row>
    <row r="176" spans="2:8" x14ac:dyDescent="0.35">
      <c r="B176" s="6">
        <v>45180</v>
      </c>
      <c r="C176" s="7" t="s">
        <v>40</v>
      </c>
      <c r="D176" s="9">
        <v>9.0072648154294194E-3</v>
      </c>
      <c r="E176" s="9">
        <v>9.0072648154294194E-3</v>
      </c>
      <c r="F176" s="9">
        <v>-9.2366836051117618E-3</v>
      </c>
      <c r="G176" s="9">
        <v>-9.2366836051117618E-3</v>
      </c>
      <c r="H176" s="35">
        <v>8.966941360843644E-3</v>
      </c>
    </row>
    <row r="177" spans="2:8" x14ac:dyDescent="0.35">
      <c r="B177" s="6">
        <v>45181</v>
      </c>
      <c r="C177" s="7" t="s">
        <v>40</v>
      </c>
      <c r="D177" s="9">
        <v>4.5989614265924098E-4</v>
      </c>
      <c r="E177" s="9">
        <v>4.5989614265924098E-4</v>
      </c>
      <c r="F177" s="9">
        <v>-8.7810353776135441E-3</v>
      </c>
      <c r="G177" s="9">
        <v>-8.7810353776135441E-3</v>
      </c>
      <c r="H177" s="35">
        <v>4.597904228403437E-4</v>
      </c>
    </row>
    <row r="178" spans="2:8" x14ac:dyDescent="0.35">
      <c r="B178" s="6">
        <v>45182</v>
      </c>
      <c r="C178" s="7" t="s">
        <v>40</v>
      </c>
      <c r="D178" s="9">
        <v>-1.13855689435775E-2</v>
      </c>
      <c r="E178" s="9">
        <v>-1.13855689435775E-2</v>
      </c>
      <c r="F178" s="9">
        <v>-2.0066627237503187E-2</v>
      </c>
      <c r="G178" s="9">
        <v>-2.0066627237503187E-2</v>
      </c>
      <c r="H178" s="35">
        <v>-1.1450880748267474E-2</v>
      </c>
    </row>
    <row r="179" spans="2:8" x14ac:dyDescent="0.35">
      <c r="B179" s="6">
        <v>45183</v>
      </c>
      <c r="C179" s="7" t="s">
        <v>40</v>
      </c>
      <c r="D179" s="9">
        <v>-1.46268160346856E-3</v>
      </c>
      <c r="E179" s="9">
        <v>-1.46268160346856E-3</v>
      </c>
      <c r="F179" s="9">
        <v>-2.149995775446778E-2</v>
      </c>
      <c r="G179" s="9">
        <v>-2.149995775446778E-2</v>
      </c>
      <c r="H179" s="35">
        <v>-1.4637523664559979E-3</v>
      </c>
    </row>
    <row r="180" spans="2:8" x14ac:dyDescent="0.35">
      <c r="B180" s="6">
        <v>45184</v>
      </c>
      <c r="C180" s="7" t="s">
        <v>40</v>
      </c>
      <c r="D180" s="9">
        <v>-1.5372944234914599E-2</v>
      </c>
      <c r="E180" s="9">
        <v>-1.5372944234914599E-2</v>
      </c>
      <c r="F180" s="9">
        <v>-3.6542384337770017E-2</v>
      </c>
      <c r="G180" s="9">
        <v>-3.6542384337770017E-2</v>
      </c>
      <c r="H180" s="35">
        <v>-1.5492333094802749E-2</v>
      </c>
    </row>
    <row r="181" spans="2:8" x14ac:dyDescent="0.35">
      <c r="B181" s="6">
        <v>45187</v>
      </c>
      <c r="C181" s="7" t="s">
        <v>40</v>
      </c>
      <c r="D181" s="9">
        <v>-1.78053531943148E-2</v>
      </c>
      <c r="E181" s="9">
        <v>-1.78053531943148E-2</v>
      </c>
      <c r="F181" s="9">
        <v>-5.3697087472388327E-2</v>
      </c>
      <c r="G181" s="9">
        <v>-5.3697087472388327E-2</v>
      </c>
      <c r="H181" s="35">
        <v>-1.7965775599862736E-2</v>
      </c>
    </row>
    <row r="182" spans="2:8" x14ac:dyDescent="0.35">
      <c r="B182" s="6">
        <v>45188</v>
      </c>
      <c r="C182" s="7" t="s">
        <v>40</v>
      </c>
      <c r="D182" s="9">
        <v>-4.2952669156030299E-3</v>
      </c>
      <c r="E182" s="9">
        <v>-4.2952669156030299E-3</v>
      </c>
      <c r="F182" s="9">
        <v>-5.7761711064706955E-2</v>
      </c>
      <c r="G182" s="9">
        <v>-5.7761711064706955E-2</v>
      </c>
      <c r="H182" s="35">
        <v>-4.3045180748438206E-3</v>
      </c>
    </row>
    <row r="183" spans="2:8" x14ac:dyDescent="0.35">
      <c r="B183" s="6">
        <v>45189</v>
      </c>
      <c r="C183" s="7" t="s">
        <v>40</v>
      </c>
      <c r="D183" s="9">
        <v>-2.4649804325965301E-2</v>
      </c>
      <c r="E183" s="9">
        <v>-2.4649804325965301E-2</v>
      </c>
      <c r="F183" s="9">
        <v>-8.0987700515394279E-2</v>
      </c>
      <c r="G183" s="9">
        <v>-8.0987700515394279E-2</v>
      </c>
      <c r="H183" s="35">
        <v>-2.4958697421915088E-2</v>
      </c>
    </row>
    <row r="184" spans="2:8" x14ac:dyDescent="0.35">
      <c r="B184" s="6">
        <v>45190</v>
      </c>
      <c r="C184" s="7" t="s">
        <v>40</v>
      </c>
      <c r="D184" s="9">
        <v>-6.8591429518941698E-3</v>
      </c>
      <c r="E184" s="9">
        <v>-6.8591429518941698E-3</v>
      </c>
      <c r="F184" s="9">
        <v>-8.7291337252108137E-2</v>
      </c>
      <c r="G184" s="9">
        <v>-8.7291337252108137E-2</v>
      </c>
      <c r="H184" s="35">
        <v>-6.8827749986316447E-3</v>
      </c>
    </row>
    <row r="185" spans="2:8" x14ac:dyDescent="0.35">
      <c r="B185" s="6">
        <v>45191</v>
      </c>
      <c r="C185" s="7" t="s">
        <v>40</v>
      </c>
      <c r="D185" s="9">
        <v>-1.12375524022375E-2</v>
      </c>
      <c r="E185" s="9">
        <v>-1.12375524022375E-2</v>
      </c>
      <c r="F185" s="9">
        <v>-9.7547948677713658E-2</v>
      </c>
      <c r="G185" s="9">
        <v>-9.7547948677713658E-2</v>
      </c>
      <c r="H185" s="35">
        <v>-1.1301170752955704E-2</v>
      </c>
    </row>
    <row r="186" spans="2:8" x14ac:dyDescent="0.35">
      <c r="B186" s="6">
        <v>45194</v>
      </c>
      <c r="C186" s="7" t="s">
        <v>40</v>
      </c>
      <c r="D186" s="9">
        <v>-1.66617068301964E-2</v>
      </c>
      <c r="E186" s="9">
        <v>-1.66617068301964E-2</v>
      </c>
      <c r="F186" s="9">
        <v>-0.11258434018515495</v>
      </c>
      <c r="G186" s="9">
        <v>-0.11258434018515495</v>
      </c>
      <c r="H186" s="35">
        <v>-1.6802074427606485E-2</v>
      </c>
    </row>
    <row r="187" spans="2:8" x14ac:dyDescent="0.35">
      <c r="B187" s="6">
        <v>45195</v>
      </c>
      <c r="C187" s="7" t="s">
        <v>40</v>
      </c>
      <c r="D187" s="9">
        <v>1.01194888570009E-2</v>
      </c>
      <c r="E187" s="9">
        <v>1.01194888570009E-2</v>
      </c>
      <c r="F187" s="9">
        <v>-0.10360414730413059</v>
      </c>
      <c r="G187" s="9">
        <v>-0.10360414730413059</v>
      </c>
      <c r="H187" s="35">
        <v>1.0068629654599702E-2</v>
      </c>
    </row>
    <row r="188" spans="2:8" x14ac:dyDescent="0.35">
      <c r="B188" s="6">
        <v>45196</v>
      </c>
      <c r="C188" s="7" t="s">
        <v>40</v>
      </c>
      <c r="D188" s="9">
        <v>1.15161144811521E-2</v>
      </c>
      <c r="E188" s="9">
        <v>1.15161144811521E-2</v>
      </c>
      <c r="F188" s="9">
        <v>-9.3281150044054906E-2</v>
      </c>
      <c r="G188" s="9">
        <v>-9.3281150044054906E-2</v>
      </c>
      <c r="H188" s="35">
        <v>1.1450308770291351E-2</v>
      </c>
    </row>
    <row r="189" spans="2:8" x14ac:dyDescent="0.35">
      <c r="B189" s="6">
        <v>45197</v>
      </c>
      <c r="C189" s="7" t="s">
        <v>40</v>
      </c>
      <c r="D189" s="9">
        <v>-2.7522355674031401E-3</v>
      </c>
      <c r="E189" s="9">
        <v>-2.7522355674031401E-3</v>
      </c>
      <c r="F189" s="9">
        <v>-9.5776653912538534E-2</v>
      </c>
      <c r="G189" s="9">
        <v>-9.5776653912538534E-2</v>
      </c>
      <c r="H189" s="35">
        <v>-2.7560299313003052E-3</v>
      </c>
    </row>
    <row r="190" spans="2:8" x14ac:dyDescent="0.35">
      <c r="B190" s="6">
        <v>45198</v>
      </c>
      <c r="C190" s="7" t="s">
        <v>40</v>
      </c>
      <c r="D190" s="9">
        <v>-9.6710895159783303E-3</v>
      </c>
      <c r="E190" s="9">
        <v>-9.6710895159783303E-3</v>
      </c>
      <c r="F190" s="9">
        <v>-0.10452147883498775</v>
      </c>
      <c r="G190" s="9">
        <v>-0.10452147883498775</v>
      </c>
      <c r="H190" s="35">
        <v>-9.7181582184582664E-3</v>
      </c>
    </row>
    <row r="191" spans="2:8" x14ac:dyDescent="0.35">
      <c r="B191" s="6">
        <v>45201</v>
      </c>
      <c r="C191" s="7" t="s">
        <v>40</v>
      </c>
      <c r="D191" s="9">
        <v>-3.6905492017064397E-2</v>
      </c>
      <c r="E191" s="9">
        <v>-3.6905492017064397E-2</v>
      </c>
      <c r="F191" s="9">
        <v>-0.13756955424929573</v>
      </c>
      <c r="G191" s="9">
        <v>-0.13756955424929573</v>
      </c>
      <c r="H191" s="35">
        <v>-3.7603732868566685E-2</v>
      </c>
    </row>
    <row r="192" spans="2:8" x14ac:dyDescent="0.35">
      <c r="B192" s="6">
        <v>45202</v>
      </c>
      <c r="C192" s="7" t="s">
        <v>40</v>
      </c>
      <c r="D192" s="9">
        <v>-5.9270974017340602E-3</v>
      </c>
      <c r="E192" s="9">
        <v>-5.9270974017340602E-3</v>
      </c>
      <c r="F192" s="9">
        <v>-0.14268126350348109</v>
      </c>
      <c r="G192" s="9">
        <v>-0.14268126350348109</v>
      </c>
      <c r="H192" s="35">
        <v>-5.9447323608128591E-3</v>
      </c>
    </row>
    <row r="193" spans="2:8" x14ac:dyDescent="0.35">
      <c r="B193" s="6">
        <v>45203</v>
      </c>
      <c r="C193" s="7" t="s">
        <v>40</v>
      </c>
      <c r="D193" s="9">
        <v>-1.0031255279607999E-2</v>
      </c>
      <c r="E193" s="9">
        <v>-1.0031255279607999E-2</v>
      </c>
      <c r="F193" s="9">
        <v>-0.15128124660526865</v>
      </c>
      <c r="G193" s="9">
        <v>-0.15128124660526865</v>
      </c>
      <c r="H193" s="35">
        <v>-1.0081907341378671E-2</v>
      </c>
    </row>
    <row r="194" spans="2:8" x14ac:dyDescent="0.35">
      <c r="B194" s="6">
        <v>45204</v>
      </c>
      <c r="C194" s="7" t="s">
        <v>40</v>
      </c>
      <c r="D194" s="9">
        <v>2.9079648157234201E-2</v>
      </c>
      <c r="E194" s="9">
        <v>2.9079648157234201E-2</v>
      </c>
      <c r="F194" s="9">
        <v>-0.12660080387210348</v>
      </c>
      <c r="G194" s="9">
        <v>-0.12660080387210348</v>
      </c>
      <c r="H194" s="35">
        <v>2.8664857313401265E-2</v>
      </c>
    </row>
    <row r="195" spans="2:8" x14ac:dyDescent="0.35">
      <c r="B195" s="6">
        <v>45205</v>
      </c>
      <c r="C195" s="7" t="s">
        <v>40</v>
      </c>
      <c r="D195" s="9">
        <v>1.1712231508322301E-3</v>
      </c>
      <c r="E195" s="9">
        <v>1.1712231508322301E-3</v>
      </c>
      <c r="F195" s="9">
        <v>-0.1255778585136802</v>
      </c>
      <c r="G195" s="9">
        <v>-0.1255778585136802</v>
      </c>
      <c r="H195" s="35">
        <v>1.170537804074896E-3</v>
      </c>
    </row>
    <row r="196" spans="2:8" x14ac:dyDescent="0.35">
      <c r="B196" s="6">
        <v>45208</v>
      </c>
      <c r="C196" s="7" t="s">
        <v>40</v>
      </c>
      <c r="D196" s="9">
        <v>-7.5712609565877801E-3</v>
      </c>
      <c r="E196" s="9">
        <v>-7.5712609565877801E-3</v>
      </c>
      <c r="F196" s="9">
        <v>-0.13219833673309145</v>
      </c>
      <c r="G196" s="9">
        <v>-0.13219833673309145</v>
      </c>
      <c r="H196" s="35">
        <v>-7.6000684509770359E-3</v>
      </c>
    </row>
    <row r="197" spans="2:8" x14ac:dyDescent="0.35">
      <c r="B197" s="6">
        <v>45209</v>
      </c>
      <c r="C197" s="7" t="s">
        <v>40</v>
      </c>
      <c r="D197" s="9">
        <v>6.8257842871348598E-3</v>
      </c>
      <c r="E197" s="9">
        <v>6.8257842871348598E-3</v>
      </c>
      <c r="F197" s="9">
        <v>-0.12627490977561473</v>
      </c>
      <c r="G197" s="9">
        <v>-0.12627490977561473</v>
      </c>
      <c r="H197" s="35">
        <v>6.8025940892849071E-3</v>
      </c>
    </row>
    <row r="198" spans="2:8" x14ac:dyDescent="0.35">
      <c r="B198" s="6">
        <v>45210</v>
      </c>
      <c r="C198" s="7" t="s">
        <v>40</v>
      </c>
      <c r="D198" s="9">
        <v>-1.71024593419421E-2</v>
      </c>
      <c r="E198" s="9">
        <v>-1.71024593419421E-2</v>
      </c>
      <c r="F198" s="9">
        <v>-0.141217757607212</v>
      </c>
      <c r="G198" s="9">
        <v>-0.141217757607212</v>
      </c>
      <c r="H198" s="35">
        <v>-1.7250395541020373E-2</v>
      </c>
    </row>
    <row r="199" spans="2:8" x14ac:dyDescent="0.35">
      <c r="B199" s="6">
        <v>45211</v>
      </c>
      <c r="C199" s="7" t="s">
        <v>40</v>
      </c>
      <c r="D199" s="9">
        <v>-4.5703222451396103E-2</v>
      </c>
      <c r="E199" s="9">
        <v>-4.5703222451396103E-2</v>
      </c>
      <c r="F199" s="9">
        <v>-0.18046687346859835</v>
      </c>
      <c r="G199" s="9">
        <v>-0.18046687346859835</v>
      </c>
      <c r="H199" s="35">
        <v>-4.6780568334405075E-2</v>
      </c>
    </row>
    <row r="200" spans="2:8" x14ac:dyDescent="0.35">
      <c r="B200" s="6">
        <v>45212</v>
      </c>
      <c r="C200" s="7" t="s">
        <v>40</v>
      </c>
      <c r="D200" s="9">
        <v>1.3634522626017101E-2</v>
      </c>
      <c r="E200" s="9">
        <v>1.3634522626017101E-2</v>
      </c>
      <c r="F200" s="9">
        <v>-0.16929293051213545</v>
      </c>
      <c r="G200" s="9">
        <v>-0.16929293051213545</v>
      </c>
      <c r="H200" s="35">
        <v>1.3542408862716602E-2</v>
      </c>
    </row>
    <row r="201" spans="2:8" x14ac:dyDescent="0.35">
      <c r="B201" s="6">
        <v>45215</v>
      </c>
      <c r="C201" s="7" t="s">
        <v>40</v>
      </c>
      <c r="D201" s="9">
        <v>1.28735565379432E-2</v>
      </c>
      <c r="E201" s="9">
        <v>1.28735565379432E-2</v>
      </c>
      <c r="F201" s="9">
        <v>-0.15859877608661432</v>
      </c>
      <c r="G201" s="9">
        <v>-0.15859877608661432</v>
      </c>
      <c r="H201" s="35">
        <v>1.2791396684019123E-2</v>
      </c>
    </row>
    <row r="202" spans="2:8" x14ac:dyDescent="0.35">
      <c r="B202" s="6">
        <v>45216</v>
      </c>
      <c r="C202" s="7" t="s">
        <v>40</v>
      </c>
      <c r="D202" s="9">
        <v>3.5504613806641E-4</v>
      </c>
      <c r="E202" s="9">
        <v>3.5504613806641E-4</v>
      </c>
      <c r="F202" s="9">
        <v>-0.15830003983149954</v>
      </c>
      <c r="G202" s="9">
        <v>-0.15830003983149954</v>
      </c>
      <c r="H202" s="35">
        <v>3.5498312410108587E-4</v>
      </c>
    </row>
    <row r="203" spans="2:8" x14ac:dyDescent="0.35">
      <c r="B203" s="6">
        <v>45217</v>
      </c>
      <c r="C203" s="7" t="s">
        <v>40</v>
      </c>
      <c r="D203" s="9">
        <v>-2.85979579545129E-2</v>
      </c>
      <c r="E203" s="9">
        <v>-2.85979579545129E-2</v>
      </c>
      <c r="F203" s="9">
        <v>-0.18237093990271347</v>
      </c>
      <c r="G203" s="9">
        <v>-0.18237093990271347</v>
      </c>
      <c r="H203" s="35">
        <v>-2.9014846905225235E-2</v>
      </c>
    </row>
    <row r="204" spans="2:8" x14ac:dyDescent="0.35">
      <c r="B204" s="6">
        <v>45218</v>
      </c>
      <c r="C204" s="7" t="s">
        <v>40</v>
      </c>
      <c r="D204" s="9">
        <v>-2.3058839160168199E-2</v>
      </c>
      <c r="E204" s="9">
        <v>-2.3058839160168199E-2</v>
      </c>
      <c r="F204" s="9">
        <v>-0.20122451689217624</v>
      </c>
      <c r="G204" s="9">
        <v>-0.20122451689217624</v>
      </c>
      <c r="H204" s="35">
        <v>-2.3328853072428501E-2</v>
      </c>
    </row>
    <row r="205" spans="2:8" x14ac:dyDescent="0.35">
      <c r="B205" s="6">
        <v>45219</v>
      </c>
      <c r="C205" s="7" t="s">
        <v>40</v>
      </c>
      <c r="D205" s="9">
        <v>-3.81548178957426E-3</v>
      </c>
      <c r="E205" s="9">
        <v>-3.81548178957426E-3</v>
      </c>
      <c r="F205" s="9">
        <v>-0.20427223020193253</v>
      </c>
      <c r="G205" s="9">
        <v>-0.20427223020193253</v>
      </c>
      <c r="H205" s="35">
        <v>-3.8227793084986495E-3</v>
      </c>
    </row>
    <row r="206" spans="2:8" x14ac:dyDescent="0.35">
      <c r="B206" s="6">
        <v>45222</v>
      </c>
      <c r="C206" s="7" t="s">
        <v>40</v>
      </c>
      <c r="D206" s="9">
        <v>-2.43116256669486E-2</v>
      </c>
      <c r="E206" s="9">
        <v>-2.43116256669486E-2</v>
      </c>
      <c r="F206" s="9">
        <v>-0.22361766587405896</v>
      </c>
      <c r="G206" s="9">
        <v>-0.22361766587405896</v>
      </c>
      <c r="H206" s="35">
        <v>-2.4612032145685008E-2</v>
      </c>
    </row>
    <row r="207" spans="2:8" x14ac:dyDescent="0.35">
      <c r="B207" s="6">
        <v>45223</v>
      </c>
      <c r="C207" s="7" t="s">
        <v>40</v>
      </c>
      <c r="D207" s="9">
        <v>2.7610867114928699E-2</v>
      </c>
      <c r="E207" s="9">
        <v>2.7610867114928699E-2</v>
      </c>
      <c r="F207" s="9">
        <v>-0.20218107641612948</v>
      </c>
      <c r="G207" s="9">
        <v>-0.20218107641612948</v>
      </c>
      <c r="H207" s="35">
        <v>2.7236561436024216E-2</v>
      </c>
    </row>
    <row r="208" spans="2:8" x14ac:dyDescent="0.35">
      <c r="B208" s="6">
        <v>45224</v>
      </c>
      <c r="C208" s="7" t="s">
        <v>40</v>
      </c>
      <c r="D208" s="9">
        <v>-2.29430319901359E-2</v>
      </c>
      <c r="E208" s="9">
        <v>-2.29430319901359E-2</v>
      </c>
      <c r="F208" s="9">
        <v>-0.22048546150225001</v>
      </c>
      <c r="G208" s="9">
        <v>-0.22048546150225001</v>
      </c>
      <c r="H208" s="35">
        <v>-2.3210319519649716E-2</v>
      </c>
    </row>
    <row r="209" spans="2:8" x14ac:dyDescent="0.35">
      <c r="B209" s="6">
        <v>45225</v>
      </c>
      <c r="C209" s="7" t="s">
        <v>40</v>
      </c>
      <c r="D209" s="9">
        <v>9.2363197175682407E-3</v>
      </c>
      <c r="E209" s="9">
        <v>9.2363197175682407E-3</v>
      </c>
      <c r="F209" s="9">
        <v>-0.21328561600019214</v>
      </c>
      <c r="G209" s="9">
        <v>-0.21328561600019214</v>
      </c>
      <c r="H209" s="35">
        <v>9.193925759434278E-3</v>
      </c>
    </row>
    <row r="210" spans="2:8" x14ac:dyDescent="0.35">
      <c r="B210" s="6">
        <v>45226</v>
      </c>
      <c r="C210" s="7" t="s">
        <v>40</v>
      </c>
      <c r="D210" s="9">
        <v>-3.0366608620941E-2</v>
      </c>
      <c r="E210" s="9">
        <v>-3.0366608620941E-2</v>
      </c>
      <c r="F210" s="9">
        <v>-0.23717546379557897</v>
      </c>
      <c r="G210" s="9">
        <v>-0.23717546379557897</v>
      </c>
      <c r="H210" s="35">
        <v>-3.0837225956586847E-2</v>
      </c>
    </row>
    <row r="211" spans="2:8" x14ac:dyDescent="0.35">
      <c r="B211" s="6">
        <v>45229</v>
      </c>
      <c r="C211" s="7" t="s">
        <v>40</v>
      </c>
      <c r="D211" s="9">
        <v>2.0838854891474301E-2</v>
      </c>
      <c r="E211" s="9">
        <v>2.0838854891474301E-2</v>
      </c>
      <c r="F211" s="9">
        <v>-0.22127907397795876</v>
      </c>
      <c r="G211" s="9">
        <v>-0.22127907397795876</v>
      </c>
      <c r="H211" s="35">
        <v>2.0624696061388836E-2</v>
      </c>
    </row>
    <row r="212" spans="2:8" x14ac:dyDescent="0.35">
      <c r="B212" s="6">
        <v>45230</v>
      </c>
      <c r="C212" s="7" t="s">
        <v>40</v>
      </c>
      <c r="D212" s="9">
        <v>2.5210702729932401E-2</v>
      </c>
      <c r="E212" s="9">
        <v>2.5210702729932401E-2</v>
      </c>
      <c r="F212" s="9">
        <v>-0.20164697220243943</v>
      </c>
      <c r="G212" s="9">
        <v>-0.20164697220243943</v>
      </c>
      <c r="H212" s="35">
        <v>2.4898155104020145E-2</v>
      </c>
    </row>
    <row r="213" spans="2:8" x14ac:dyDescent="0.35">
      <c r="B213" s="6">
        <v>45231</v>
      </c>
      <c r="C213" s="7" t="s">
        <v>40</v>
      </c>
      <c r="D213" s="9">
        <v>1.4669030241409701E-2</v>
      </c>
      <c r="E213" s="9">
        <v>1.4669030241409701E-2</v>
      </c>
      <c r="F213" s="9">
        <v>-0.18993590749435607</v>
      </c>
      <c r="G213" s="9">
        <v>-0.18993590749435607</v>
      </c>
      <c r="H213" s="35">
        <v>1.4562480738678706E-2</v>
      </c>
    </row>
    <row r="214" spans="2:8" x14ac:dyDescent="0.35">
      <c r="B214" s="6">
        <v>45232</v>
      </c>
      <c r="C214" s="7" t="s">
        <v>40</v>
      </c>
      <c r="D214" s="9">
        <v>1.8297498249221399E-2</v>
      </c>
      <c r="E214" s="9">
        <v>1.8297498249221399E-2</v>
      </c>
      <c r="F214" s="9">
        <v>-0.1751137611799769</v>
      </c>
      <c r="G214" s="9">
        <v>-0.1751137611799769</v>
      </c>
      <c r="H214" s="35">
        <v>1.8132113400970564E-2</v>
      </c>
    </row>
    <row r="215" spans="2:8" x14ac:dyDescent="0.35">
      <c r="B215" s="6">
        <v>45233</v>
      </c>
      <c r="C215" s="7" t="s">
        <v>40</v>
      </c>
      <c r="D215" s="9">
        <v>5.4871892421825802E-2</v>
      </c>
      <c r="E215" s="9">
        <v>5.4871892421825802E-2</v>
      </c>
      <c r="F215" s="9">
        <v>-0.1298506922232</v>
      </c>
      <c r="G215" s="9">
        <v>-0.1298506922232</v>
      </c>
      <c r="H215" s="35">
        <v>5.3419330570882564E-2</v>
      </c>
    </row>
    <row r="216" spans="2:8" x14ac:dyDescent="0.35">
      <c r="B216" s="6">
        <v>45236</v>
      </c>
      <c r="C216" s="7" t="s">
        <v>40</v>
      </c>
      <c r="D216" s="9">
        <v>-2.96292186264582E-2</v>
      </c>
      <c r="E216" s="9">
        <v>-2.96292186264582E-2</v>
      </c>
      <c r="F216" s="9">
        <v>-0.15563253630098006</v>
      </c>
      <c r="G216" s="9">
        <v>-0.15563253630098006</v>
      </c>
      <c r="H216" s="35">
        <v>-3.007703168448099E-2</v>
      </c>
    </row>
    <row r="217" spans="2:8" x14ac:dyDescent="0.35">
      <c r="B217" s="6">
        <v>45237</v>
      </c>
      <c r="C217" s="7" t="s">
        <v>40</v>
      </c>
      <c r="D217" s="9">
        <v>1.6353370023586701E-2</v>
      </c>
      <c r="E217" s="9">
        <v>1.6353370023586701E-2</v>
      </c>
      <c r="F217" s="9">
        <v>-0.1418242827312326</v>
      </c>
      <c r="G217" s="9">
        <v>-0.1418242827312326</v>
      </c>
      <c r="H217" s="35">
        <v>1.6221093827428319E-2</v>
      </c>
    </row>
    <row r="218" spans="2:8" x14ac:dyDescent="0.35">
      <c r="B218" s="6">
        <v>45238</v>
      </c>
      <c r="C218" s="7" t="s">
        <v>40</v>
      </c>
      <c r="D218" s="9">
        <v>-2.9385082771909599E-2</v>
      </c>
      <c r="E218" s="9">
        <v>-2.9385082771909599E-2</v>
      </c>
      <c r="F218" s="9">
        <v>-0.16704184721601822</v>
      </c>
      <c r="G218" s="9">
        <v>-0.16704184721601822</v>
      </c>
      <c r="H218" s="35">
        <v>-2.9825473050110872E-2</v>
      </c>
    </row>
    <row r="219" spans="2:8" x14ac:dyDescent="0.35">
      <c r="B219" s="6">
        <v>45239</v>
      </c>
      <c r="C219" s="7" t="s">
        <v>40</v>
      </c>
      <c r="D219" s="9">
        <v>-5.62058259883568E-2</v>
      </c>
      <c r="E219" s="9">
        <v>-5.62058259883568E-2</v>
      </c>
      <c r="F219" s="9">
        <v>-0.21385894820697782</v>
      </c>
      <c r="G219" s="9">
        <v>-0.21385894820697782</v>
      </c>
      <c r="H219" s="35">
        <v>-5.7847172614556928E-2</v>
      </c>
    </row>
    <row r="220" spans="2:8" x14ac:dyDescent="0.35">
      <c r="B220" s="6">
        <v>45240</v>
      </c>
      <c r="C220" s="7" t="s">
        <v>40</v>
      </c>
      <c r="D220" s="9">
        <v>3.0899264559120002E-3</v>
      </c>
      <c r="E220" s="9">
        <v>3.0899264559120002E-3</v>
      </c>
      <c r="F220" s="9">
        <v>-0.21142983017296402</v>
      </c>
      <c r="G220" s="9">
        <v>-0.21142983017296402</v>
      </c>
      <c r="H220" s="35">
        <v>3.0851624442682496E-3</v>
      </c>
    </row>
    <row r="221" spans="2:8" x14ac:dyDescent="0.35">
      <c r="B221" s="6">
        <v>45243</v>
      </c>
      <c r="C221" s="7" t="s">
        <v>40</v>
      </c>
      <c r="D221" s="9">
        <v>4.0485365191004199E-3</v>
      </c>
      <c r="E221" s="9">
        <v>4.0485365191004199E-3</v>
      </c>
      <c r="F221" s="9">
        <v>-0.20823727504254608</v>
      </c>
      <c r="G221" s="9">
        <v>-0.20823727504254608</v>
      </c>
      <c r="H221" s="35">
        <v>4.0403632475594572E-3</v>
      </c>
    </row>
    <row r="222" spans="2:8" x14ac:dyDescent="0.35">
      <c r="B222" s="6">
        <v>45244</v>
      </c>
      <c r="C222" s="7" t="s">
        <v>40</v>
      </c>
      <c r="D222" s="9">
        <v>6.6291394009611801E-2</v>
      </c>
      <c r="E222" s="9">
        <v>6.6291394009611801E-2</v>
      </c>
      <c r="F222" s="9">
        <v>-0.15575022028026764</v>
      </c>
      <c r="G222" s="9">
        <v>-0.15575022028026764</v>
      </c>
      <c r="H222" s="35">
        <v>6.4186641119069396E-2</v>
      </c>
    </row>
    <row r="223" spans="2:8" x14ac:dyDescent="0.35">
      <c r="B223" s="6">
        <v>45245</v>
      </c>
      <c r="C223" s="7" t="s">
        <v>40</v>
      </c>
      <c r="D223" s="9">
        <v>2.7307072317276299E-3</v>
      </c>
      <c r="E223" s="9">
        <v>2.7307072317276299E-3</v>
      </c>
      <c r="F223" s="9">
        <v>-0.15344482130140258</v>
      </c>
      <c r="G223" s="9">
        <v>-0.15344482130140258</v>
      </c>
      <c r="H223" s="35">
        <v>2.7269856242755869E-3</v>
      </c>
    </row>
    <row r="224" spans="2:8" x14ac:dyDescent="0.35">
      <c r="B224" s="6">
        <v>45246</v>
      </c>
      <c r="C224" s="7" t="s">
        <v>40</v>
      </c>
      <c r="D224" s="9">
        <v>-1.4910263950524799E-2</v>
      </c>
      <c r="E224" s="9">
        <v>-1.4910263950524799E-2</v>
      </c>
      <c r="F224" s="9">
        <v>-0.16606718246448227</v>
      </c>
      <c r="G224" s="9">
        <v>-0.16606718246448227</v>
      </c>
      <c r="H224" s="35">
        <v>-1.5022539371337197E-2</v>
      </c>
    </row>
    <row r="225" spans="2:8" x14ac:dyDescent="0.35">
      <c r="B225" s="6">
        <v>45247</v>
      </c>
      <c r="C225" s="7" t="s">
        <v>40</v>
      </c>
      <c r="D225" s="9">
        <v>3.8663057873369003E-2</v>
      </c>
      <c r="E225" s="9">
        <v>3.8663057873369003E-2</v>
      </c>
      <c r="F225" s="9">
        <v>-0.13382478967760481</v>
      </c>
      <c r="G225" s="9">
        <v>-0.13382478967760481</v>
      </c>
      <c r="H225" s="35">
        <v>3.7934364886380398E-2</v>
      </c>
    </row>
    <row r="226" spans="2:8" x14ac:dyDescent="0.35">
      <c r="B226" s="6">
        <v>45250</v>
      </c>
      <c r="C226" s="7" t="s">
        <v>40</v>
      </c>
      <c r="D226" s="9">
        <v>1.21548039171287E-2</v>
      </c>
      <c r="E226" s="9">
        <v>1.21548039171287E-2</v>
      </c>
      <c r="F226" s="9">
        <v>-0.12329659983825847</v>
      </c>
      <c r="G226" s="9">
        <v>-0.12329659983825847</v>
      </c>
      <c r="H226" s="35">
        <v>1.20815274643747E-2</v>
      </c>
    </row>
    <row r="227" spans="2:8" x14ac:dyDescent="0.35">
      <c r="B227" s="6">
        <v>45251</v>
      </c>
      <c r="C227" s="7" t="s">
        <v>40</v>
      </c>
      <c r="D227" s="9">
        <v>-2.5421978687667001E-2</v>
      </c>
      <c r="E227" s="9">
        <v>-2.5421978687667001E-2</v>
      </c>
      <c r="F227" s="9">
        <v>-0.1455841349925755</v>
      </c>
      <c r="G227" s="9">
        <v>-0.1455841349925755</v>
      </c>
      <c r="H227" s="35">
        <v>-2.5750700322676772E-2</v>
      </c>
    </row>
    <row r="228" spans="2:8" x14ac:dyDescent="0.35">
      <c r="B228" s="6">
        <v>45252</v>
      </c>
      <c r="C228" s="7" t="s">
        <v>40</v>
      </c>
      <c r="D228" s="9">
        <v>1.03443404555889E-2</v>
      </c>
      <c r="E228" s="9">
        <v>1.03443404555889E-2</v>
      </c>
      <c r="F228" s="9">
        <v>-0.13674576639428215</v>
      </c>
      <c r="G228" s="9">
        <v>-0.13674576639428215</v>
      </c>
      <c r="H228" s="35">
        <v>1.0291203893498939E-2</v>
      </c>
    </row>
    <row r="229" spans="2:8" x14ac:dyDescent="0.35">
      <c r="B229" s="6">
        <v>45254</v>
      </c>
      <c r="C229" s="7" t="s">
        <v>40</v>
      </c>
      <c r="D229" s="9">
        <v>1.6488452490395999E-2</v>
      </c>
      <c r="E229" s="9">
        <v>1.6488452490395999E-2</v>
      </c>
      <c r="F229" s="9">
        <v>-0.12251203997634097</v>
      </c>
      <c r="G229" s="9">
        <v>-0.12251203997634097</v>
      </c>
      <c r="H229" s="35">
        <v>1.6353993953264128E-2</v>
      </c>
    </row>
    <row r="230" spans="2:8" x14ac:dyDescent="0.35">
      <c r="B230" s="6">
        <v>45257</v>
      </c>
      <c r="C230" s="7" t="s">
        <v>40</v>
      </c>
      <c r="D230" s="9">
        <v>-6.1348849365191202E-3</v>
      </c>
      <c r="E230" s="9">
        <v>-6.1348849365191202E-3</v>
      </c>
      <c r="F230" s="9">
        <v>-0.12789532764426703</v>
      </c>
      <c r="G230" s="9">
        <v>-0.12789532764426703</v>
      </c>
      <c r="H230" s="35">
        <v>-6.1537806648301416E-3</v>
      </c>
    </row>
    <row r="231" spans="2:8" x14ac:dyDescent="0.35">
      <c r="B231" s="6">
        <v>45258</v>
      </c>
      <c r="C231" s="7" t="s">
        <v>40</v>
      </c>
      <c r="D231" s="9">
        <v>-1.9618562551036202E-3</v>
      </c>
      <c r="E231" s="9">
        <v>-1.9618562551036202E-3</v>
      </c>
      <c r="F231" s="9">
        <v>-0.12960627165083316</v>
      </c>
      <c r="G231" s="9">
        <v>-0.12960627165083316</v>
      </c>
      <c r="H231" s="35">
        <v>-1.9637832157788034E-3</v>
      </c>
    </row>
    <row r="232" spans="2:8" x14ac:dyDescent="0.35">
      <c r="B232" s="6">
        <v>45259</v>
      </c>
      <c r="C232" s="7" t="s">
        <v>40</v>
      </c>
      <c r="D232" s="9">
        <v>1.1076635060410201E-2</v>
      </c>
      <c r="E232" s="9">
        <v>1.1076635060410201E-2</v>
      </c>
      <c r="F232" s="9">
        <v>-0.11996523796303971</v>
      </c>
      <c r="G232" s="9">
        <v>-0.11996523796303971</v>
      </c>
      <c r="H232" s="35">
        <v>1.1015738412261496E-2</v>
      </c>
    </row>
    <row r="233" spans="2:8" x14ac:dyDescent="0.35">
      <c r="B233" s="6">
        <v>45260</v>
      </c>
      <c r="C233" s="7" t="s">
        <v>40</v>
      </c>
      <c r="D233" s="9">
        <v>2.73110684405432E-2</v>
      </c>
      <c r="E233" s="9">
        <v>2.73110684405432E-2</v>
      </c>
      <c r="F233" s="9">
        <v>-9.5930548346991218E-2</v>
      </c>
      <c r="G233" s="9">
        <v>-9.5930548346991218E-2</v>
      </c>
      <c r="H233" s="35">
        <v>2.6944775484134445E-2</v>
      </c>
    </row>
    <row r="234" spans="2:8" x14ac:dyDescent="0.35">
      <c r="B234" s="6">
        <v>45261</v>
      </c>
      <c r="C234" s="7" t="s">
        <v>40</v>
      </c>
      <c r="D234" s="9">
        <v>3.3290499157223603E-2</v>
      </c>
      <c r="E234" s="9">
        <v>3.3290499157223603E-2</v>
      </c>
      <c r="F234" s="9">
        <v>-6.5833625028665077E-2</v>
      </c>
      <c r="G234" s="9">
        <v>-6.5833625028665077E-2</v>
      </c>
      <c r="H234" s="35">
        <v>3.2748369535321918E-2</v>
      </c>
    </row>
    <row r="235" spans="2:8" x14ac:dyDescent="0.35">
      <c r="B235" s="6">
        <v>45264</v>
      </c>
      <c r="C235" s="7" t="s">
        <v>40</v>
      </c>
      <c r="D235" s="9">
        <v>1.7042499652754301E-2</v>
      </c>
      <c r="E235" s="9">
        <v>1.7042499652754301E-2</v>
      </c>
      <c r="F235" s="9">
        <v>-4.9913094907601319E-2</v>
      </c>
      <c r="G235" s="9">
        <v>-4.9913094907601319E-2</v>
      </c>
      <c r="H235" s="35">
        <v>1.6898905429023704E-2</v>
      </c>
    </row>
    <row r="236" spans="2:8" x14ac:dyDescent="0.35">
      <c r="B236" s="6">
        <v>45265</v>
      </c>
      <c r="C236" s="7" t="s">
        <v>40</v>
      </c>
      <c r="D236" s="9">
        <v>-6.6506804719633E-3</v>
      </c>
      <c r="E236" s="9">
        <v>-6.6506804719633E-3</v>
      </c>
      <c r="F236" s="9">
        <v>-5.623181933396737E-2</v>
      </c>
      <c r="G236" s="9">
        <v>-5.623181933396737E-2</v>
      </c>
      <c r="H236" s="35">
        <v>-6.6728947956946044E-3</v>
      </c>
    </row>
    <row r="237" spans="2:8" x14ac:dyDescent="0.35">
      <c r="B237" s="6">
        <v>45266</v>
      </c>
      <c r="C237" s="7" t="s">
        <v>40</v>
      </c>
      <c r="D237" s="9">
        <v>1.25910839267043E-2</v>
      </c>
      <c r="E237" s="9">
        <v>1.25910839267043E-2</v>
      </c>
      <c r="F237" s="9">
        <v>-4.434875496384838E-2</v>
      </c>
      <c r="G237" s="9">
        <v>-4.434875496384838E-2</v>
      </c>
      <c r="H237" s="35">
        <v>1.2512475386231943E-2</v>
      </c>
    </row>
    <row r="238" spans="2:8" x14ac:dyDescent="0.35">
      <c r="B238" s="6">
        <v>45267</v>
      </c>
      <c r="C238" s="7" t="s">
        <v>40</v>
      </c>
      <c r="D238" s="9">
        <v>1.61320370446386E-2</v>
      </c>
      <c r="E238" s="9">
        <v>1.61320370446386E-2</v>
      </c>
      <c r="F238" s="9">
        <v>-2.893215367717028E-2</v>
      </c>
      <c r="G238" s="9">
        <v>-2.893215367717028E-2</v>
      </c>
      <c r="H238" s="35">
        <v>1.600329843361795E-2</v>
      </c>
    </row>
    <row r="239" spans="2:8" x14ac:dyDescent="0.35">
      <c r="B239" s="6">
        <v>45268</v>
      </c>
      <c r="C239" s="7" t="s">
        <v>40</v>
      </c>
      <c r="D239" s="9">
        <v>-8.5392532193108994E-3</v>
      </c>
      <c r="E239" s="9">
        <v>-8.5392532193108994E-3</v>
      </c>
      <c r="F239" s="9">
        <v>-3.7224347910051803E-2</v>
      </c>
      <c r="G239" s="9">
        <v>-3.7224347910051803E-2</v>
      </c>
      <c r="H239" s="35">
        <v>-8.5759215380137189E-3</v>
      </c>
    </row>
    <row r="240" spans="2:8" x14ac:dyDescent="0.35">
      <c r="B240" s="6">
        <v>45271</v>
      </c>
      <c r="C240" s="7" t="s">
        <v>40</v>
      </c>
      <c r="D240" s="9">
        <v>-1.01454271923776E-2</v>
      </c>
      <c r="E240" s="9">
        <v>-1.01454271923776E-2</v>
      </c>
      <c r="F240" s="9">
        <v>-4.6992118190924304E-2</v>
      </c>
      <c r="G240" s="9">
        <v>-4.6992118190924304E-2</v>
      </c>
      <c r="H240" s="35">
        <v>-1.0197242797714997E-2</v>
      </c>
    </row>
    <row r="241" spans="2:8" x14ac:dyDescent="0.35">
      <c r="B241" s="6">
        <v>45272</v>
      </c>
      <c r="C241" s="7" t="s">
        <v>40</v>
      </c>
      <c r="D241" s="9">
        <v>1.6293936793710401E-2</v>
      </c>
      <c r="E241" s="9">
        <v>1.6293936793710401E-2</v>
      </c>
      <c r="F241" s="9">
        <v>-3.1463868000819351E-2</v>
      </c>
      <c r="G241" s="9">
        <v>-3.1463868000819351E-2</v>
      </c>
      <c r="H241" s="35">
        <v>1.6162615182664094E-2</v>
      </c>
    </row>
    <row r="242" spans="2:8" x14ac:dyDescent="0.35">
      <c r="B242" s="6">
        <v>45273</v>
      </c>
      <c r="C242" s="7" t="s">
        <v>40</v>
      </c>
      <c r="D242" s="9">
        <v>5.4372852206910897E-2</v>
      </c>
      <c r="E242" s="9">
        <v>5.4372852206910897E-2</v>
      </c>
      <c r="F242" s="9">
        <v>2.1198203961425355E-2</v>
      </c>
      <c r="G242" s="9">
        <v>2.1198203961425355E-2</v>
      </c>
      <c r="H242" s="35">
        <v>5.2946137286416589E-2</v>
      </c>
    </row>
    <row r="243" spans="2:8" x14ac:dyDescent="0.35">
      <c r="B243" s="6">
        <v>45274</v>
      </c>
      <c r="C243" s="7" t="s">
        <v>40</v>
      </c>
      <c r="D243" s="9">
        <v>2.0849769961084001E-2</v>
      </c>
      <c r="E243" s="9">
        <v>2.0849769961084001E-2</v>
      </c>
      <c r="F243" s="9">
        <v>4.2489951598693176E-2</v>
      </c>
      <c r="G243" s="9">
        <v>4.2489951598693176E-2</v>
      </c>
      <c r="H243" s="35">
        <v>2.0635388259480872E-2</v>
      </c>
    </row>
    <row r="244" spans="2:8" x14ac:dyDescent="0.35">
      <c r="B244" s="6">
        <v>45275</v>
      </c>
      <c r="C244" s="7" t="s">
        <v>40</v>
      </c>
      <c r="D244" s="9">
        <v>3.9394807758548703E-3</v>
      </c>
      <c r="E244" s="9">
        <v>3.9394807758548703E-3</v>
      </c>
      <c r="F244" s="9">
        <v>4.6596820722037968E-2</v>
      </c>
      <c r="G244" s="9">
        <v>4.6596820722037968E-2</v>
      </c>
      <c r="H244" s="35">
        <v>3.9317413410406826E-3</v>
      </c>
    </row>
    <row r="245" spans="2:8" x14ac:dyDescent="0.35">
      <c r="B245" s="6">
        <v>45278</v>
      </c>
      <c r="C245" s="7" t="s">
        <v>40</v>
      </c>
      <c r="D245" s="9">
        <v>-1.44909150669766E-2</v>
      </c>
      <c r="E245" s="9">
        <v>-1.44909150669766E-2</v>
      </c>
      <c r="F245" s="9">
        <v>3.1430675083587101E-2</v>
      </c>
      <c r="G245" s="9">
        <v>3.1430675083587101E-2</v>
      </c>
      <c r="H245" s="35">
        <v>-1.4596933829089786E-2</v>
      </c>
    </row>
    <row r="246" spans="2:8" x14ac:dyDescent="0.35">
      <c r="B246" s="6">
        <v>45279</v>
      </c>
      <c r="C246" s="7" t="s">
        <v>40</v>
      </c>
      <c r="D246" s="9">
        <v>3.04085286648801E-2</v>
      </c>
      <c r="E246" s="9">
        <v>3.04085286648801E-2</v>
      </c>
      <c r="F246" s="9">
        <v>6.279496433270304E-2</v>
      </c>
      <c r="G246" s="9">
        <v>6.279496433270304E-2</v>
      </c>
      <c r="H246" s="35">
        <v>2.9955353376477173E-2</v>
      </c>
    </row>
    <row r="247" spans="2:8" x14ac:dyDescent="0.35">
      <c r="B247" s="6">
        <v>45280</v>
      </c>
      <c r="C247" s="7" t="s">
        <v>40</v>
      </c>
      <c r="D247" s="9">
        <v>-4.1691510082167899E-2</v>
      </c>
      <c r="E247" s="9">
        <v>-4.1691510082167899E-2</v>
      </c>
      <c r="F247" s="9">
        <v>1.8485437361948964E-2</v>
      </c>
      <c r="G247" s="9">
        <v>1.8485437361948964E-2</v>
      </c>
      <c r="H247" s="35">
        <v>-4.2585538318818575E-2</v>
      </c>
    </row>
    <row r="248" spans="2:8" x14ac:dyDescent="0.35">
      <c r="B248" s="6">
        <v>45281</v>
      </c>
      <c r="C248" s="7" t="s">
        <v>40</v>
      </c>
      <c r="D248" s="9">
        <v>2.8187792203175001E-2</v>
      </c>
      <c r="E248" s="9">
        <v>2.8187792203175001E-2</v>
      </c>
      <c r="F248" s="9">
        <v>4.7194293232267315E-2</v>
      </c>
      <c r="G248" s="9">
        <v>4.7194293232267315E-2</v>
      </c>
      <c r="H248" s="35">
        <v>2.7797827589960668E-2</v>
      </c>
    </row>
    <row r="249" spans="2:8" x14ac:dyDescent="0.35">
      <c r="B249" s="6">
        <v>45282</v>
      </c>
      <c r="C249" s="7" t="s">
        <v>40</v>
      </c>
      <c r="D249" s="9">
        <v>3.1529870099932002E-2</v>
      </c>
      <c r="E249" s="9">
        <v>3.1529870099932002E-2</v>
      </c>
      <c r="F249" s="9">
        <v>8.0212193267270804E-2</v>
      </c>
      <c r="G249" s="9">
        <v>8.0212193267270804E-2</v>
      </c>
      <c r="H249" s="35">
        <v>3.1043011035182366E-2</v>
      </c>
    </row>
    <row r="250" spans="2:8" x14ac:dyDescent="0.35">
      <c r="B250" s="6">
        <v>45286</v>
      </c>
      <c r="C250" s="7" t="s">
        <v>40</v>
      </c>
      <c r="D250" s="9">
        <v>2.6970931174541399E-2</v>
      </c>
      <c r="E250" s="9">
        <v>2.6970931174541399E-2</v>
      </c>
      <c r="F250" s="9">
        <v>0.10934652198578276</v>
      </c>
      <c r="G250" s="9">
        <v>0.10934652198578276</v>
      </c>
      <c r="H250" s="35">
        <v>2.6613625944612897E-2</v>
      </c>
    </row>
    <row r="251" spans="2:8" x14ac:dyDescent="0.35">
      <c r="B251" s="6">
        <v>45287</v>
      </c>
      <c r="C251" s="7" t="s">
        <v>40</v>
      </c>
      <c r="D251" s="9">
        <v>2.3599622449562499E-2</v>
      </c>
      <c r="E251" s="9">
        <v>2.3599622449562499E-2</v>
      </c>
      <c r="F251" s="9">
        <v>0.13552668107038257</v>
      </c>
      <c r="G251" s="9">
        <v>0.13552668107038257</v>
      </c>
      <c r="H251" s="35">
        <v>2.3325456457749191E-2</v>
      </c>
    </row>
    <row r="252" spans="2:8" x14ac:dyDescent="0.35">
      <c r="B252" s="6">
        <v>45288</v>
      </c>
      <c r="C252" s="7" t="s">
        <v>40</v>
      </c>
      <c r="D252" s="9">
        <v>-1.2489735828801001E-3</v>
      </c>
      <c r="E252" s="9">
        <v>-1.2489735828801001E-3</v>
      </c>
      <c r="F252" s="9">
        <v>0.13410843824307017</v>
      </c>
      <c r="G252" s="9">
        <v>0.13410843824307017</v>
      </c>
      <c r="H252" s="35">
        <v>-1.24975420043365E-3</v>
      </c>
    </row>
    <row r="253" spans="2:8" x14ac:dyDescent="0.35">
      <c r="B253" s="6">
        <v>45289</v>
      </c>
      <c r="C253" s="7" t="s">
        <v>40</v>
      </c>
      <c r="D253" s="9">
        <v>-2.0639156660165602E-2</v>
      </c>
      <c r="E253" s="9">
        <v>-2.0639156660165602E-2</v>
      </c>
      <c r="F253" s="9">
        <v>0.11070139651655575</v>
      </c>
      <c r="G253" s="9">
        <v>0.11070139651655575</v>
      </c>
      <c r="H253" s="35">
        <v>-2.0855120766537005E-2</v>
      </c>
    </row>
    <row r="254" spans="2:8" x14ac:dyDescent="0.35">
      <c r="B254" s="6">
        <v>45293</v>
      </c>
      <c r="C254" s="7" t="s">
        <v>40</v>
      </c>
      <c r="D254" s="9">
        <v>2.8580588021147402E-3</v>
      </c>
      <c r="E254" s="9">
        <v>2.8580588021147402E-3</v>
      </c>
      <c r="F254" s="9">
        <v>0.11387584641939097</v>
      </c>
      <c r="G254" s="9">
        <v>0.11387584641939097</v>
      </c>
      <c r="H254" s="35">
        <v>2.8539823174314246E-3</v>
      </c>
    </row>
    <row r="255" spans="2:8" x14ac:dyDescent="0.35">
      <c r="B255" s="6">
        <v>45294</v>
      </c>
      <c r="C255" s="7" t="s">
        <v>40</v>
      </c>
      <c r="D255" s="9">
        <v>-2.5283501384321099E-2</v>
      </c>
      <c r="E255" s="9">
        <v>-2.5283501384321099E-2</v>
      </c>
      <c r="F255" s="9">
        <v>8.5713164914484441E-2</v>
      </c>
      <c r="G255" s="9">
        <v>8.5713164914484441E-2</v>
      </c>
      <c r="H255" s="35">
        <v>-2.5608620916857696E-2</v>
      </c>
    </row>
    <row r="256" spans="2:8" x14ac:dyDescent="0.35">
      <c r="B256" s="6">
        <v>45295</v>
      </c>
      <c r="C256" s="7" t="s">
        <v>40</v>
      </c>
      <c r="D256" s="9">
        <v>1.59782768808313E-2</v>
      </c>
      <c r="E256" s="9">
        <v>1.59782768808313E-2</v>
      </c>
      <c r="F256" s="9">
        <v>0.10306099047665152</v>
      </c>
      <c r="G256" s="9">
        <v>0.10306099047665152</v>
      </c>
      <c r="H256" s="35">
        <v>1.5851967904908885E-2</v>
      </c>
    </row>
    <row r="257" spans="2:8" x14ac:dyDescent="0.35">
      <c r="B257" s="6">
        <v>45296</v>
      </c>
      <c r="C257" s="7" t="s">
        <v>40</v>
      </c>
      <c r="D257" s="9">
        <v>-7.8292983176035807E-3</v>
      </c>
      <c r="E257" s="9">
        <v>-7.8292983176035807E-3</v>
      </c>
      <c r="F257" s="9">
        <v>9.4424796919698517E-2</v>
      </c>
      <c r="G257" s="9">
        <v>9.4424796919698517E-2</v>
      </c>
      <c r="H257" s="35">
        <v>-7.8601081921708584E-3</v>
      </c>
    </row>
    <row r="258" spans="2:8" x14ac:dyDescent="0.35">
      <c r="B258" s="6">
        <v>45299</v>
      </c>
      <c r="C258" s="7" t="s">
        <v>40</v>
      </c>
      <c r="D258" s="9">
        <v>4.8501742544556199E-2</v>
      </c>
      <c r="E258" s="9">
        <v>4.8501742544556199E-2</v>
      </c>
      <c r="F258" s="9">
        <v>0.14750630665427589</v>
      </c>
      <c r="G258" s="9">
        <v>0.14750630665427589</v>
      </c>
      <c r="H258" s="35">
        <v>4.7362233298901192E-2</v>
      </c>
    </row>
    <row r="259" spans="2:8" x14ac:dyDescent="0.35">
      <c r="B259" s="6">
        <v>45300</v>
      </c>
      <c r="C259" s="7" t="s">
        <v>40</v>
      </c>
      <c r="D259" s="9">
        <v>-1.22015677962756E-3</v>
      </c>
      <c r="E259" s="9">
        <v>-1.22015677962756E-3</v>
      </c>
      <c r="F259" s="9">
        <v>0.14610616905454621</v>
      </c>
      <c r="G259" s="9">
        <v>0.14610616905454621</v>
      </c>
      <c r="H259" s="35">
        <v>-1.2209017769817553E-3</v>
      </c>
    </row>
    <row r="260" spans="2:8" x14ac:dyDescent="0.35">
      <c r="B260" s="6">
        <v>45301</v>
      </c>
      <c r="C260" s="7" t="s">
        <v>40</v>
      </c>
      <c r="D260" s="9">
        <v>-1.07736661269302E-2</v>
      </c>
      <c r="E260" s="9">
        <v>-1.07736661269302E-2</v>
      </c>
      <c r="F260" s="9">
        <v>0.13375840384313742</v>
      </c>
      <c r="G260" s="9">
        <v>0.13375840384313742</v>
      </c>
      <c r="H260" s="35">
        <v>-1.0832122305201485E-2</v>
      </c>
    </row>
    <row r="261" spans="2:8" x14ac:dyDescent="0.35">
      <c r="B261" s="6">
        <v>45302</v>
      </c>
      <c r="C261" s="7" t="s">
        <v>40</v>
      </c>
      <c r="D261" s="9">
        <v>-2.45712932133514E-2</v>
      </c>
      <c r="E261" s="9">
        <v>-2.45712932133514E-2</v>
      </c>
      <c r="F261" s="9">
        <v>0.10590049366920651</v>
      </c>
      <c r="G261" s="9">
        <v>0.10590049366920651</v>
      </c>
      <c r="H261" s="35">
        <v>-2.4878205355328475E-2</v>
      </c>
    </row>
    <row r="262" spans="2:8" x14ac:dyDescent="0.35">
      <c r="B262" s="6">
        <v>45303</v>
      </c>
      <c r="C262" s="7" t="s">
        <v>40</v>
      </c>
      <c r="D262" s="9">
        <v>-2.3956932093829701E-3</v>
      </c>
      <c r="E262" s="9">
        <v>-2.3956932093829701E-3</v>
      </c>
      <c r="F262" s="9">
        <v>0.10325109536626997</v>
      </c>
      <c r="G262" s="9">
        <v>0.10325109536626997</v>
      </c>
      <c r="H262" s="35">
        <v>-2.398567473847887E-3</v>
      </c>
    </row>
    <row r="263" spans="2:8" x14ac:dyDescent="0.35">
      <c r="B263" s="6">
        <v>45307</v>
      </c>
      <c r="C263" s="7" t="s">
        <v>40</v>
      </c>
      <c r="D263" s="9">
        <v>-1.3733100300044E-2</v>
      </c>
      <c r="E263" s="9">
        <v>-1.3733100300044E-2</v>
      </c>
      <c r="F263" s="9">
        <v>8.8100037417471633E-2</v>
      </c>
      <c r="G263" s="9">
        <v>8.8100037417471633E-2</v>
      </c>
      <c r="H263" s="35">
        <v>-1.3828271658385821E-2</v>
      </c>
    </row>
    <row r="264" spans="2:8" x14ac:dyDescent="0.35">
      <c r="B264" s="6">
        <v>45308</v>
      </c>
      <c r="C264" s="7" t="s">
        <v>40</v>
      </c>
      <c r="D264" s="9">
        <v>-7.9397213471181002E-3</v>
      </c>
      <c r="E264" s="9">
        <v>-7.9397213471181002E-3</v>
      </c>
      <c r="F264" s="9">
        <v>7.9460826322588218E-2</v>
      </c>
      <c r="G264" s="9">
        <v>7.9460826322588218E-2</v>
      </c>
      <c r="H264" s="35">
        <v>-7.9714087723178392E-3</v>
      </c>
    </row>
    <row r="265" spans="2:8" x14ac:dyDescent="0.35">
      <c r="B265" s="6">
        <v>45309</v>
      </c>
      <c r="C265" s="7" t="s">
        <v>40</v>
      </c>
      <c r="D265" s="9">
        <v>-1.6688610652197601E-2</v>
      </c>
      <c r="E265" s="9">
        <v>-1.6688610652197601E-2</v>
      </c>
      <c r="F265" s="9">
        <v>6.1446124877791108E-2</v>
      </c>
      <c r="G265" s="9">
        <v>6.1446124877791108E-2</v>
      </c>
      <c r="H265" s="35">
        <v>-1.6829434482874134E-2</v>
      </c>
    </row>
    <row r="266" spans="2:8" x14ac:dyDescent="0.35">
      <c r="B266" s="6">
        <v>45310</v>
      </c>
      <c r="C266" s="7" t="s">
        <v>40</v>
      </c>
      <c r="D266" s="9">
        <v>9.2108517479290702E-4</v>
      </c>
      <c r="E266" s="9">
        <v>9.2108517479290702E-4</v>
      </c>
      <c r="F266" s="9">
        <v>6.2423807167257372E-2</v>
      </c>
      <c r="G266" s="9">
        <v>6.2423807167257372E-2</v>
      </c>
      <c r="H266" s="35">
        <v>9.2066123614576454E-4</v>
      </c>
    </row>
    <row r="267" spans="2:8" x14ac:dyDescent="0.35">
      <c r="B267" s="6">
        <v>45313</v>
      </c>
      <c r="C267" s="7" t="s">
        <v>40</v>
      </c>
      <c r="D267" s="9">
        <v>2.7857067793673598E-2</v>
      </c>
      <c r="E267" s="9">
        <v>2.7857067793673598E-2</v>
      </c>
      <c r="F267" s="9">
        <v>9.2019819189128382E-2</v>
      </c>
      <c r="G267" s="9">
        <v>9.2019819189128382E-2</v>
      </c>
      <c r="H267" s="35">
        <v>2.7476118254927618E-2</v>
      </c>
    </row>
    <row r="268" spans="2:8" x14ac:dyDescent="0.35">
      <c r="B268" s="6">
        <v>45314</v>
      </c>
      <c r="C268" s="7" t="s">
        <v>40</v>
      </c>
      <c r="D268" s="9">
        <v>2.08350028047118E-3</v>
      </c>
      <c r="E268" s="9">
        <v>2.08350028047118E-3</v>
      </c>
      <c r="F268" s="9">
        <v>9.4295042788688832E-2</v>
      </c>
      <c r="G268" s="9">
        <v>9.4295042788688832E-2</v>
      </c>
      <c r="H268" s="35">
        <v>2.0813328038650162E-3</v>
      </c>
    </row>
    <row r="269" spans="2:8" x14ac:dyDescent="0.35">
      <c r="B269" s="6">
        <v>45315</v>
      </c>
      <c r="C269" s="7" t="s">
        <v>40</v>
      </c>
      <c r="D269" s="9">
        <v>-1.3757255718402301E-2</v>
      </c>
      <c r="E269" s="9">
        <v>-1.3757255718402301E-2</v>
      </c>
      <c r="F269" s="9">
        <v>7.9240546053664929E-2</v>
      </c>
      <c r="G269" s="9">
        <v>7.9240546053664929E-2</v>
      </c>
      <c r="H269" s="35">
        <v>-1.3852763724554538E-2</v>
      </c>
    </row>
    <row r="270" spans="2:8" x14ac:dyDescent="0.35">
      <c r="B270" s="6">
        <v>45316</v>
      </c>
      <c r="C270" s="7" t="s">
        <v>40</v>
      </c>
      <c r="D270" s="9">
        <v>1.1111235377010399E-2</v>
      </c>
      <c r="E270" s="9">
        <v>1.1111235377010399E-2</v>
      </c>
      <c r="F270" s="9">
        <v>9.1232241789280355E-2</v>
      </c>
      <c r="G270" s="9">
        <v>9.1232241789280355E-2</v>
      </c>
      <c r="H270" s="35">
        <v>1.1049959086917398E-2</v>
      </c>
    </row>
    <row r="271" spans="2:8" x14ac:dyDescent="0.35">
      <c r="B271" s="6">
        <v>45317</v>
      </c>
      <c r="C271" s="7" t="s">
        <v>40</v>
      </c>
      <c r="D271" s="9">
        <v>-3.5948344993506697E-4</v>
      </c>
      <c r="E271" s="9">
        <v>-3.5948344993506697E-4</v>
      </c>
      <c r="F271" s="9">
        <v>9.083996185832155E-2</v>
      </c>
      <c r="G271" s="9">
        <v>9.083996185832155E-2</v>
      </c>
      <c r="H271" s="35">
        <v>-3.5954807959979887E-4</v>
      </c>
    </row>
    <row r="272" spans="2:8" x14ac:dyDescent="0.35">
      <c r="B272" s="6">
        <v>45320</v>
      </c>
      <c r="C272" s="7" t="s">
        <v>40</v>
      </c>
      <c r="D272" s="9">
        <v>3.6063623789764798E-2</v>
      </c>
      <c r="E272" s="9">
        <v>3.6063623789764798E-2</v>
      </c>
      <c r="F272" s="9">
        <v>0.13017960385762128</v>
      </c>
      <c r="G272" s="9">
        <v>0.13017960385762128</v>
      </c>
      <c r="H272" s="35">
        <v>3.5428554876078162E-2</v>
      </c>
    </row>
    <row r="273" spans="2:8" x14ac:dyDescent="0.35">
      <c r="B273" s="6">
        <v>45321</v>
      </c>
      <c r="C273" s="7" t="s">
        <v>40</v>
      </c>
      <c r="D273" s="9">
        <v>-2.41738466426548E-2</v>
      </c>
      <c r="E273" s="9">
        <v>-2.41738466426548E-2</v>
      </c>
      <c r="F273" s="9">
        <v>0.10285881543531095</v>
      </c>
      <c r="G273" s="9">
        <v>0.10285881543531095</v>
      </c>
      <c r="H273" s="35">
        <v>-2.4470829994670765E-2</v>
      </c>
    </row>
    <row r="274" spans="2:8" x14ac:dyDescent="0.35">
      <c r="B274" s="6">
        <v>45322</v>
      </c>
      <c r="C274" s="7" t="s">
        <v>40</v>
      </c>
      <c r="D274" s="9">
        <v>-1.34096524325344E-2</v>
      </c>
      <c r="E274" s="9">
        <v>-1.34096524325344E-2</v>
      </c>
      <c r="F274" s="9">
        <v>8.8069862038166802E-2</v>
      </c>
      <c r="G274" s="9">
        <v>8.8069862038166802E-2</v>
      </c>
      <c r="H274" s="35">
        <v>-1.3500373762219625E-2</v>
      </c>
    </row>
    <row r="275" spans="2:8" x14ac:dyDescent="0.35">
      <c r="B275" s="6">
        <v>45323</v>
      </c>
      <c r="C275" s="7" t="s">
        <v>40</v>
      </c>
      <c r="D275" s="9">
        <v>2.47072787881812E-2</v>
      </c>
      <c r="E275" s="9">
        <v>2.47072787881812E-2</v>
      </c>
      <c r="F275" s="9">
        <v>0.11495310746056164</v>
      </c>
      <c r="G275" s="9">
        <v>0.11495310746056164</v>
      </c>
      <c r="H275" s="35">
        <v>2.4406990134093899E-2</v>
      </c>
    </row>
    <row r="276" spans="2:8" x14ac:dyDescent="0.35">
      <c r="B276" s="6">
        <v>45324</v>
      </c>
      <c r="C276" s="7" t="s">
        <v>40</v>
      </c>
      <c r="D276" s="9">
        <v>-1.07526299693362E-2</v>
      </c>
      <c r="E276" s="9">
        <v>-1.07526299693362E-2</v>
      </c>
      <c r="F276" s="9">
        <v>0.10296442926287663</v>
      </c>
      <c r="G276" s="9">
        <v>0.10296442926287663</v>
      </c>
      <c r="H276" s="35">
        <v>-1.0810857268872466E-2</v>
      </c>
    </row>
    <row r="277" spans="2:8" x14ac:dyDescent="0.35">
      <c r="B277" s="6">
        <v>45327</v>
      </c>
      <c r="C277" s="7" t="s">
        <v>40</v>
      </c>
      <c r="D277" s="9">
        <v>4.6673488036156801E-3</v>
      </c>
      <c r="E277" s="9">
        <v>4.6673488036156801E-3</v>
      </c>
      <c r="F277" s="9">
        <v>0.10811234897222755</v>
      </c>
      <c r="G277" s="9">
        <v>0.10811234897222755</v>
      </c>
      <c r="H277" s="35">
        <v>4.656490504393266E-3</v>
      </c>
    </row>
    <row r="278" spans="2:8" x14ac:dyDescent="0.35">
      <c r="B278" s="6">
        <v>45328</v>
      </c>
      <c r="C278" s="7" t="s">
        <v>40</v>
      </c>
      <c r="D278" s="9">
        <v>1.96283467311506E-2</v>
      </c>
      <c r="E278" s="9">
        <v>1.96283467311506E-2</v>
      </c>
      <c r="F278" s="9">
        <v>0.12986276237492422</v>
      </c>
      <c r="G278" s="9">
        <v>0.12986276237492422</v>
      </c>
      <c r="H278" s="35">
        <v>1.9438194948925586E-2</v>
      </c>
    </row>
    <row r="279" spans="2:8" x14ac:dyDescent="0.35">
      <c r="B279" s="6">
        <v>45329</v>
      </c>
      <c r="C279" s="7" t="s">
        <v>40</v>
      </c>
      <c r="D279" s="9">
        <v>-1.7258140329886401E-2</v>
      </c>
      <c r="E279" s="9">
        <v>-1.7258140329886401E-2</v>
      </c>
      <c r="F279" s="9">
        <v>0.11036343226834466</v>
      </c>
      <c r="G279" s="9">
        <v>0.11036343226834466</v>
      </c>
      <c r="H279" s="35">
        <v>-1.7408797929824547E-2</v>
      </c>
    </row>
    <row r="280" spans="2:8" x14ac:dyDescent="0.35">
      <c r="B280" s="6">
        <v>45330</v>
      </c>
      <c r="C280" s="7" t="s">
        <v>40</v>
      </c>
      <c r="D280" s="9">
        <v>1.7982444220996301E-2</v>
      </c>
      <c r="E280" s="9">
        <v>1.7982444220996301E-2</v>
      </c>
      <c r="F280" s="9">
        <v>0.13033048075414433</v>
      </c>
      <c r="G280" s="9">
        <v>0.13033048075414433</v>
      </c>
      <c r="H280" s="35">
        <v>1.7822672617149024E-2</v>
      </c>
    </row>
    <row r="281" spans="2:8" x14ac:dyDescent="0.35">
      <c r="B281" s="6">
        <v>45331</v>
      </c>
      <c r="C281" s="7" t="s">
        <v>40</v>
      </c>
      <c r="D281" s="9">
        <v>2.3804883778668299E-2</v>
      </c>
      <c r="E281" s="9">
        <v>2.3804883778668299E-2</v>
      </c>
      <c r="F281" s="9">
        <v>0.15723786647998317</v>
      </c>
      <c r="G281" s="9">
        <v>0.15723786647998317</v>
      </c>
      <c r="H281" s="35">
        <v>2.3525965276762924E-2</v>
      </c>
    </row>
    <row r="282" spans="2:8" x14ac:dyDescent="0.35">
      <c r="B282" s="6">
        <v>45334</v>
      </c>
      <c r="C282" s="7" t="s">
        <v>40</v>
      </c>
      <c r="D282" s="9">
        <v>2.7556427051608299E-2</v>
      </c>
      <c r="E282" s="9">
        <v>2.7556427051608299E-2</v>
      </c>
      <c r="F282" s="9">
        <v>0.18912720732899757</v>
      </c>
      <c r="G282" s="9">
        <v>0.18912720732899757</v>
      </c>
      <c r="H282" s="35">
        <v>2.7183582718926385E-2</v>
      </c>
    </row>
    <row r="283" spans="2:8" x14ac:dyDescent="0.35">
      <c r="B283" s="6">
        <v>45335</v>
      </c>
      <c r="C283" s="7" t="s">
        <v>40</v>
      </c>
      <c r="D283" s="9">
        <v>-5.4312409914939297E-2</v>
      </c>
      <c r="E283" s="9">
        <v>-5.4312409914939297E-2</v>
      </c>
      <c r="F283" s="9">
        <v>0.12454284300353802</v>
      </c>
      <c r="G283" s="9">
        <v>0.12454284300353802</v>
      </c>
      <c r="H283" s="35">
        <v>-5.5843007511547478E-2</v>
      </c>
    </row>
    <row r="284" spans="2:8" x14ac:dyDescent="0.35">
      <c r="B284" s="6">
        <v>45336</v>
      </c>
      <c r="C284" s="7" t="s">
        <v>40</v>
      </c>
      <c r="D284" s="9">
        <v>3.2739508786617501E-2</v>
      </c>
      <c r="E284" s="9">
        <v>3.2739508786617501E-2</v>
      </c>
      <c r="F284" s="9">
        <v>0.16135982329298026</v>
      </c>
      <c r="G284" s="9">
        <v>0.16135982329298026</v>
      </c>
      <c r="H284" s="35">
        <v>3.2214988721345053E-2</v>
      </c>
    </row>
    <row r="285" spans="2:8" x14ac:dyDescent="0.35">
      <c r="B285" s="6">
        <v>45337</v>
      </c>
      <c r="C285" s="7" t="s">
        <v>40</v>
      </c>
      <c r="D285" s="9">
        <v>2.28051030217996E-2</v>
      </c>
      <c r="E285" s="9">
        <v>2.28051030217996E-2</v>
      </c>
      <c r="F285" s="9">
        <v>0.18784475370855547</v>
      </c>
      <c r="G285" s="9">
        <v>0.18784475370855547</v>
      </c>
      <c r="H285" s="35">
        <v>2.2548953688970932E-2</v>
      </c>
    </row>
    <row r="286" spans="2:8" x14ac:dyDescent="0.35">
      <c r="B286" s="6">
        <v>45338</v>
      </c>
      <c r="C286" s="7" t="s">
        <v>40</v>
      </c>
      <c r="D286" s="9">
        <v>-2.13389153226035E-4</v>
      </c>
      <c r="E286" s="9">
        <v>-2.13389153226035E-4</v>
      </c>
      <c r="F286" s="9">
        <v>0.1875912805223976</v>
      </c>
      <c r="G286" s="9">
        <v>0.1875912805223976</v>
      </c>
      <c r="H286" s="35">
        <v>-2.134119239307582E-4</v>
      </c>
    </row>
    <row r="287" spans="2:8" x14ac:dyDescent="0.35">
      <c r="B287" s="6">
        <v>45342</v>
      </c>
      <c r="C287" s="7" t="s">
        <v>40</v>
      </c>
      <c r="D287" s="9">
        <v>-1.9008392557227201E-2</v>
      </c>
      <c r="E287" s="9">
        <v>-1.9008392557227201E-2</v>
      </c>
      <c r="F287" s="9">
        <v>0.16501707926468767</v>
      </c>
      <c r="G287" s="9">
        <v>0.16501707926468767</v>
      </c>
      <c r="H287" s="35">
        <v>-1.9191374557576212E-2</v>
      </c>
    </row>
    <row r="288" spans="2:8" x14ac:dyDescent="0.35">
      <c r="B288" s="6">
        <v>45343</v>
      </c>
      <c r="C288" s="7" t="s">
        <v>40</v>
      </c>
      <c r="D288" s="9">
        <v>-3.63135292502629E-3</v>
      </c>
      <c r="E288" s="9">
        <v>-3.63135292502629E-3</v>
      </c>
      <c r="F288" s="9">
        <v>0.16078649108619425</v>
      </c>
      <c r="G288" s="9">
        <v>0.16078649108619425</v>
      </c>
      <c r="H288" s="35">
        <v>-3.6379622925414028E-3</v>
      </c>
    </row>
    <row r="289" spans="2:8" x14ac:dyDescent="0.35">
      <c r="B289" s="6">
        <v>45344</v>
      </c>
      <c r="C289" s="7" t="s">
        <v>40</v>
      </c>
      <c r="D289" s="9">
        <v>1.2038577518976801E-2</v>
      </c>
      <c r="E289" s="9">
        <v>1.2038577518976801E-2</v>
      </c>
      <c r="F289" s="9">
        <v>0.17476070924211662</v>
      </c>
      <c r="G289" s="9">
        <v>0.17476070924211662</v>
      </c>
      <c r="H289" s="35">
        <v>1.1966690216762462E-2</v>
      </c>
    </row>
    <row r="290" spans="2:8" x14ac:dyDescent="0.35">
      <c r="B290" s="6">
        <v>45345</v>
      </c>
      <c r="C290" s="7" t="s">
        <v>40</v>
      </c>
      <c r="D290" s="9">
        <v>5.5508321110884799E-3</v>
      </c>
      <c r="E290" s="9">
        <v>5.5508321110884799E-3</v>
      </c>
      <c r="F290" s="9">
        <v>0.18128160870982279</v>
      </c>
      <c r="G290" s="9">
        <v>0.18128160870982279</v>
      </c>
      <c r="H290" s="35">
        <v>5.5354830164939346E-3</v>
      </c>
    </row>
    <row r="291" spans="2:8" x14ac:dyDescent="0.35">
      <c r="B291" s="6">
        <v>45348</v>
      </c>
      <c r="C291" s="7" t="s">
        <v>40</v>
      </c>
      <c r="D291" s="9">
        <v>3.0712285936158899E-2</v>
      </c>
      <c r="E291" s="9">
        <v>3.0712285936158899E-2</v>
      </c>
      <c r="F291" s="9">
        <v>0.21756146724764447</v>
      </c>
      <c r="G291" s="9">
        <v>0.21756146724764447</v>
      </c>
      <c r="H291" s="35">
        <v>3.0250102981959827E-2</v>
      </c>
    </row>
    <row r="292" spans="2:8" x14ac:dyDescent="0.35">
      <c r="B292" s="6">
        <v>45349</v>
      </c>
      <c r="C292" s="7" t="s">
        <v>40</v>
      </c>
      <c r="D292" s="9">
        <v>6.2042900159853302E-2</v>
      </c>
      <c r="E292" s="9">
        <v>6.2042900159853302E-2</v>
      </c>
      <c r="F292" s="9">
        <v>0.29310251179857461</v>
      </c>
      <c r="G292" s="9">
        <v>0.29310251179857461</v>
      </c>
      <c r="H292" s="35">
        <v>6.0194317634612513E-2</v>
      </c>
    </row>
    <row r="293" spans="2:8" x14ac:dyDescent="0.35">
      <c r="B293" s="6">
        <v>45350</v>
      </c>
      <c r="C293" s="7" t="s">
        <v>40</v>
      </c>
      <c r="D293" s="9">
        <v>-1.7431725740848301E-2</v>
      </c>
      <c r="E293" s="9">
        <v>-1.7431725740848301E-2</v>
      </c>
      <c r="F293" s="9">
        <v>0.27056150345809993</v>
      </c>
      <c r="G293" s="9">
        <v>0.27056150345809993</v>
      </c>
      <c r="H293" s="35">
        <v>-1.7585447312959055E-2</v>
      </c>
    </row>
    <row r="294" spans="2:8" x14ac:dyDescent="0.35">
      <c r="B294" s="6">
        <v>45351</v>
      </c>
      <c r="C294" s="7" t="s">
        <v>40</v>
      </c>
      <c r="D294" s="9">
        <v>-2.10968059108106E-2</v>
      </c>
      <c r="E294" s="9">
        <v>-2.10968059108106E-2</v>
      </c>
      <c r="F294" s="9">
        <v>0.24375671402189658</v>
      </c>
      <c r="G294" s="9">
        <v>0.24375671402189658</v>
      </c>
      <c r="H294" s="35">
        <v>-2.1322523782912287E-2</v>
      </c>
    </row>
    <row r="295" spans="2:8" x14ac:dyDescent="0.35">
      <c r="B295" s="6">
        <v>45352</v>
      </c>
      <c r="C295" s="7" t="s">
        <v>40</v>
      </c>
      <c r="D295" s="9">
        <v>3.3687065719498303E-2</v>
      </c>
      <c r="E295" s="9">
        <v>3.3687065719498303E-2</v>
      </c>
      <c r="F295" s="9">
        <v>0.28565522818621947</v>
      </c>
      <c r="G295" s="9">
        <v>0.28565522818621947</v>
      </c>
      <c r="H295" s="35">
        <v>3.3132085908328786E-2</v>
      </c>
    </row>
    <row r="296" spans="2:8" x14ac:dyDescent="0.35">
      <c r="B296" s="6">
        <v>45355</v>
      </c>
      <c r="C296" s="7" t="s">
        <v>40</v>
      </c>
      <c r="D296" s="9">
        <v>-1.5913214304993699E-2</v>
      </c>
      <c r="E296" s="9">
        <v>-1.5913214304993699E-2</v>
      </c>
      <c r="F296" s="9">
        <v>0.26519632101775659</v>
      </c>
      <c r="G296" s="9">
        <v>0.26519632101775659</v>
      </c>
      <c r="H296" s="35">
        <v>-1.6041188974478059E-2</v>
      </c>
    </row>
    <row r="297" spans="2:8" x14ac:dyDescent="0.35">
      <c r="B297" s="6">
        <v>45356</v>
      </c>
      <c r="C297" s="7" t="s">
        <v>40</v>
      </c>
      <c r="D297" s="9">
        <v>-1.17200636327428E-2</v>
      </c>
      <c r="E297" s="9">
        <v>-1.17200636327428E-2</v>
      </c>
      <c r="F297" s="9">
        <v>0.25036813962751636</v>
      </c>
      <c r="G297" s="9">
        <v>0.25036813962751636</v>
      </c>
      <c r="H297" s="35">
        <v>-1.1789284962341285E-2</v>
      </c>
    </row>
    <row r="298" spans="2:8" x14ac:dyDescent="0.35">
      <c r="B298" s="6">
        <v>45357</v>
      </c>
      <c r="C298" s="7" t="s">
        <v>40</v>
      </c>
      <c r="D298" s="9">
        <v>9.5398523531072098E-3</v>
      </c>
      <c r="E298" s="9">
        <v>9.5398523531072098E-3</v>
      </c>
      <c r="F298" s="9">
        <v>0.26229646706659215</v>
      </c>
      <c r="G298" s="9">
        <v>0.26229646706659215</v>
      </c>
      <c r="H298" s="35">
        <v>9.4946353101269549E-3</v>
      </c>
    </row>
    <row r="299" spans="2:8" x14ac:dyDescent="0.35">
      <c r="B299" s="6">
        <v>45358</v>
      </c>
      <c r="C299" s="7" t="s">
        <v>40</v>
      </c>
      <c r="D299" s="9">
        <v>-1.31382673551348E-2</v>
      </c>
      <c r="E299" s="9">
        <v>-1.31382673551348E-2</v>
      </c>
      <c r="F299" s="9">
        <v>0.24571207860082911</v>
      </c>
      <c r="G299" s="9">
        <v>0.24571207860082911</v>
      </c>
      <c r="H299" s="35">
        <v>-1.3225337867675692E-2</v>
      </c>
    </row>
    <row r="300" spans="2:8" x14ac:dyDescent="0.35">
      <c r="B300" s="6">
        <v>45359</v>
      </c>
      <c r="C300" s="7" t="s">
        <v>40</v>
      </c>
      <c r="D300" s="9">
        <v>-2.7735790554812298E-3</v>
      </c>
      <c r="E300" s="9">
        <v>-2.7735790554812298E-3</v>
      </c>
      <c r="F300" s="9">
        <v>0.24225699767046183</v>
      </c>
      <c r="G300" s="9">
        <v>0.24225699767046183</v>
      </c>
      <c r="H300" s="35">
        <v>-2.7774325528387932E-3</v>
      </c>
    </row>
    <row r="301" spans="2:8" x14ac:dyDescent="0.35">
      <c r="B301" s="6">
        <v>45362</v>
      </c>
      <c r="C301" s="7" t="s">
        <v>40</v>
      </c>
      <c r="D301" s="9">
        <v>-2.87384102662511E-2</v>
      </c>
      <c r="E301" s="9">
        <v>-2.87384102662511E-2</v>
      </c>
      <c r="F301" s="9">
        <v>0.20655650641528678</v>
      </c>
      <c r="G301" s="9">
        <v>0.20655650641528678</v>
      </c>
      <c r="H301" s="35">
        <v>-2.9159444569674522E-2</v>
      </c>
    </row>
    <row r="302" spans="2:8" x14ac:dyDescent="0.35">
      <c r="B302" s="6">
        <v>45363</v>
      </c>
      <c r="C302" s="7" t="s">
        <v>40</v>
      </c>
      <c r="D302" s="9">
        <v>-5.83221624217207E-3</v>
      </c>
      <c r="E302" s="9">
        <v>-5.83221624217207E-3</v>
      </c>
      <c r="F302" s="9">
        <v>0.19951960796147317</v>
      </c>
      <c r="G302" s="9">
        <v>0.19951960796147317</v>
      </c>
      <c r="H302" s="35">
        <v>-5.8492900330453625E-3</v>
      </c>
    </row>
    <row r="303" spans="2:8" x14ac:dyDescent="0.35">
      <c r="B303" s="6">
        <v>45364</v>
      </c>
      <c r="C303" s="7" t="s">
        <v>40</v>
      </c>
      <c r="D303" s="9">
        <v>1.1954235804344999E-2</v>
      </c>
      <c r="E303" s="9">
        <v>1.1954235804344999E-2</v>
      </c>
      <c r="F303" s="9">
        <v>0.21385894820698015</v>
      </c>
      <c r="G303" s="9">
        <v>0.21385894820698015</v>
      </c>
      <c r="H303" s="35">
        <v>1.1883348305540723E-2</v>
      </c>
    </row>
    <row r="304" spans="2:8" x14ac:dyDescent="0.35">
      <c r="B304" s="6">
        <v>45365</v>
      </c>
      <c r="C304" s="7" t="s">
        <v>40</v>
      </c>
      <c r="D304" s="9">
        <v>-3.9657641174540299E-2</v>
      </c>
      <c r="E304" s="9">
        <v>-3.9657641174540299E-2</v>
      </c>
      <c r="F304" s="9">
        <v>0.16572016560248293</v>
      </c>
      <c r="G304" s="9">
        <v>0.16572016560248293</v>
      </c>
      <c r="H304" s="35">
        <v>-4.0465434318879098E-2</v>
      </c>
    </row>
    <row r="305" spans="2:8" x14ac:dyDescent="0.35">
      <c r="B305" s="6">
        <v>45366</v>
      </c>
      <c r="C305" s="7" t="s">
        <v>40</v>
      </c>
      <c r="D305" s="9">
        <v>1.28263204897557E-2</v>
      </c>
      <c r="E305" s="9">
        <v>1.28263204897557E-2</v>
      </c>
      <c r="F305" s="9">
        <v>0.18067206604787134</v>
      </c>
      <c r="G305" s="9">
        <v>0.18067206604787134</v>
      </c>
      <c r="H305" s="35">
        <v>1.2744759915431822E-2</v>
      </c>
    </row>
    <row r="306" spans="2:8" x14ac:dyDescent="0.35">
      <c r="B306" s="6">
        <v>45369</v>
      </c>
      <c r="C306" s="7" t="s">
        <v>40</v>
      </c>
      <c r="D306" s="9">
        <v>-1.72821836583433E-2</v>
      </c>
      <c r="E306" s="9">
        <v>-1.72821836583433E-2</v>
      </c>
      <c r="F306" s="9">
        <v>0.1602674745621564</v>
      </c>
      <c r="G306" s="9">
        <v>0.1602674745621564</v>
      </c>
      <c r="H306" s="35">
        <v>-1.7433263787609982E-2</v>
      </c>
    </row>
    <row r="307" spans="2:8" x14ac:dyDescent="0.35">
      <c r="B307" s="6">
        <v>45370</v>
      </c>
      <c r="C307" s="7" t="s">
        <v>40</v>
      </c>
      <c r="D307" s="9">
        <v>1.34119446149365E-2</v>
      </c>
      <c r="E307" s="9">
        <v>1.34119446149365E-2</v>
      </c>
      <c r="F307" s="9">
        <v>0.17582891766949627</v>
      </c>
      <c r="G307" s="9">
        <v>0.17582891766949627</v>
      </c>
      <c r="H307" s="35">
        <v>1.3322800663721549E-2</v>
      </c>
    </row>
    <row r="308" spans="2:8" x14ac:dyDescent="0.35">
      <c r="B308" s="6">
        <v>45371</v>
      </c>
      <c r="C308" s="7" t="s">
        <v>40</v>
      </c>
      <c r="D308" s="9">
        <v>1.8503073152579801E-2</v>
      </c>
      <c r="E308" s="9">
        <v>1.8503073152579801E-2</v>
      </c>
      <c r="F308" s="9">
        <v>0.19758536614805355</v>
      </c>
      <c r="G308" s="9">
        <v>0.19758536614805355</v>
      </c>
      <c r="H308" s="35">
        <v>1.833397401211016E-2</v>
      </c>
    </row>
    <row r="309" spans="2:8" x14ac:dyDescent="0.35">
      <c r="B309" s="6">
        <v>45372</v>
      </c>
      <c r="C309" s="7" t="s">
        <v>40</v>
      </c>
      <c r="D309" s="9">
        <v>-1.05070866141734E-3</v>
      </c>
      <c r="E309" s="9">
        <v>-1.05070866141734E-3</v>
      </c>
      <c r="F309" s="9">
        <v>0.19632705283105523</v>
      </c>
      <c r="G309" s="9">
        <v>0.19632705283105523</v>
      </c>
      <c r="H309" s="35">
        <v>-1.0512610427246905E-3</v>
      </c>
    </row>
    <row r="310" spans="2:8" x14ac:dyDescent="0.35">
      <c r="B310" s="6">
        <v>45373</v>
      </c>
      <c r="C310" s="7" t="s">
        <v>40</v>
      </c>
      <c r="D310" s="9">
        <v>-1.55905543588476E-2</v>
      </c>
      <c r="E310" s="9">
        <v>-1.55905543588476E-2</v>
      </c>
      <c r="F310" s="9">
        <v>0.17767565088293269</v>
      </c>
      <c r="G310" s="9">
        <v>0.17767565088293269</v>
      </c>
      <c r="H310" s="35">
        <v>-1.5713365182997652E-2</v>
      </c>
    </row>
    <row r="311" spans="2:8" x14ac:dyDescent="0.35">
      <c r="B311" s="6">
        <v>45376</v>
      </c>
      <c r="C311" s="7" t="s">
        <v>40</v>
      </c>
      <c r="D311" s="9">
        <v>-1.00005893250179E-2</v>
      </c>
      <c r="E311" s="9">
        <v>-1.00005893250179E-2</v>
      </c>
      <c r="F311" s="9">
        <v>0.16589820034037928</v>
      </c>
      <c r="G311" s="9">
        <v>0.16589820034037928</v>
      </c>
      <c r="H311" s="35">
        <v>-1.0050931131474483E-2</v>
      </c>
    </row>
    <row r="312" spans="2:8" x14ac:dyDescent="0.35">
      <c r="B312" s="6">
        <v>45377</v>
      </c>
      <c r="C312" s="7" t="s">
        <v>40</v>
      </c>
      <c r="D312" s="9">
        <v>4.5862299223033299E-3</v>
      </c>
      <c r="E312" s="9">
        <v>4.5862299223033299E-3</v>
      </c>
      <c r="F312" s="9">
        <v>0.1712452775531399</v>
      </c>
      <c r="G312" s="9">
        <v>0.1712452775531399</v>
      </c>
      <c r="H312" s="35">
        <v>4.5757452144853002E-3</v>
      </c>
    </row>
    <row r="313" spans="2:8" x14ac:dyDescent="0.35">
      <c r="B313" s="6">
        <v>45378</v>
      </c>
      <c r="C313" s="7" t="s">
        <v>40</v>
      </c>
      <c r="D313" s="9">
        <v>2.7414941800250399E-2</v>
      </c>
      <c r="E313" s="9">
        <v>2.7414941800250399E-2</v>
      </c>
      <c r="F313" s="9">
        <v>0.20335489867107737</v>
      </c>
      <c r="G313" s="9">
        <v>0.20335489867107737</v>
      </c>
      <c r="H313" s="35">
        <v>2.7045882258739124E-2</v>
      </c>
    </row>
    <row r="314" spans="2:8" x14ac:dyDescent="0.35">
      <c r="B314" s="6">
        <v>45379</v>
      </c>
      <c r="C314" s="7" t="s">
        <v>40</v>
      </c>
      <c r="D314" s="9">
        <v>3.85920303319826E-3</v>
      </c>
      <c r="E314" s="9">
        <v>3.85920303319826E-3</v>
      </c>
      <c r="F314" s="9">
        <v>0.20799888954604273</v>
      </c>
      <c r="G314" s="9">
        <v>0.20799888954604273</v>
      </c>
      <c r="H314" s="35">
        <v>3.8517754128361771E-3</v>
      </c>
    </row>
    <row r="315" spans="2:8" x14ac:dyDescent="0.35">
      <c r="B315" s="6">
        <v>45383</v>
      </c>
      <c r="C315" s="7" t="s">
        <v>40</v>
      </c>
      <c r="D315" s="9">
        <v>-1.47879478225247E-2</v>
      </c>
      <c r="E315" s="9">
        <v>-1.47879478225247E-2</v>
      </c>
      <c r="F315" s="9">
        <v>0.190135064997768</v>
      </c>
      <c r="G315" s="9">
        <v>0.190135064997768</v>
      </c>
      <c r="H315" s="35">
        <v>-1.4898379581311053E-2</v>
      </c>
    </row>
    <row r="316" spans="2:8" x14ac:dyDescent="0.35">
      <c r="B316" s="6">
        <v>45384</v>
      </c>
      <c r="C316" s="7" t="s">
        <v>40</v>
      </c>
      <c r="D316" s="9">
        <v>-3.4241365496468001E-2</v>
      </c>
      <c r="E316" s="9">
        <v>-3.4241365496468001E-2</v>
      </c>
      <c r="F316" s="9">
        <v>0.1493832152470167</v>
      </c>
      <c r="G316" s="9">
        <v>0.1493832152470167</v>
      </c>
      <c r="H316" s="35">
        <v>-3.4841336752409136E-2</v>
      </c>
    </row>
    <row r="317" spans="2:8" x14ac:dyDescent="0.35">
      <c r="B317" s="6">
        <v>45385</v>
      </c>
      <c r="C317" s="7" t="s">
        <v>40</v>
      </c>
      <c r="D317" s="9">
        <v>4.1795637186564502E-3</v>
      </c>
      <c r="E317" s="9">
        <v>4.1795637186564502E-3</v>
      </c>
      <c r="F317" s="9">
        <v>0.15418713563229569</v>
      </c>
      <c r="G317" s="9">
        <v>0.15418713563229569</v>
      </c>
      <c r="H317" s="35">
        <v>4.1708536034373144E-3</v>
      </c>
    </row>
    <row r="318" spans="2:8" x14ac:dyDescent="0.35">
      <c r="B318" s="6">
        <v>45386</v>
      </c>
      <c r="C318" s="7" t="s">
        <v>40</v>
      </c>
      <c r="D318" s="9">
        <v>-2.0274880847492599E-2</v>
      </c>
      <c r="E318" s="9">
        <v>-2.0274880847492599E-2</v>
      </c>
      <c r="F318" s="9">
        <v>0.1307861289816421</v>
      </c>
      <c r="G318" s="9">
        <v>0.1307861289816421</v>
      </c>
      <c r="H318" s="35">
        <v>-2.0483237323088998E-2</v>
      </c>
    </row>
    <row r="319" spans="2:8" x14ac:dyDescent="0.35">
      <c r="B319" s="6">
        <v>45387</v>
      </c>
      <c r="C319" s="7" t="s">
        <v>40</v>
      </c>
      <c r="D319" s="9">
        <v>8.6006756720695601E-3</v>
      </c>
      <c r="E319" s="9">
        <v>8.6006756720695601E-3</v>
      </c>
      <c r="F319" s="9">
        <v>0.14051165373148833</v>
      </c>
      <c r="G319" s="9">
        <v>0.14051165373148833</v>
      </c>
      <c r="H319" s="35">
        <v>8.5639005710998577E-3</v>
      </c>
    </row>
    <row r="320" spans="2:8" x14ac:dyDescent="0.35">
      <c r="B320" s="6">
        <v>45390</v>
      </c>
      <c r="C320" s="7" t="s">
        <v>40</v>
      </c>
      <c r="D320" s="9">
        <v>1.46575969478331E-3</v>
      </c>
      <c r="E320" s="9">
        <v>1.46575969478331E-3</v>
      </c>
      <c r="F320" s="9">
        <v>0.1421833697449586</v>
      </c>
      <c r="G320" s="9">
        <v>0.1421833697449586</v>
      </c>
      <c r="H320" s="35">
        <v>1.4646865175938478E-3</v>
      </c>
    </row>
    <row r="321" spans="2:8" x14ac:dyDescent="0.35">
      <c r="B321" s="6">
        <v>45391</v>
      </c>
      <c r="C321" s="7" t="s">
        <v>40</v>
      </c>
      <c r="D321" s="9">
        <v>1.23984518447089E-2</v>
      </c>
      <c r="E321" s="9">
        <v>1.23984518447089E-2</v>
      </c>
      <c r="F321" s="9">
        <v>0.15634467525256879</v>
      </c>
      <c r="G321" s="9">
        <v>0.15634467525256879</v>
      </c>
      <c r="H321" s="35">
        <v>1.2322220494368458E-2</v>
      </c>
    </row>
    <row r="322" spans="2:8" x14ac:dyDescent="0.35">
      <c r="B322" s="6">
        <v>45392</v>
      </c>
      <c r="C322" s="7" t="s">
        <v>40</v>
      </c>
      <c r="D322" s="9">
        <v>-2.11451744222458E-2</v>
      </c>
      <c r="E322" s="9">
        <v>-2.11451744222458E-2</v>
      </c>
      <c r="F322" s="9">
        <v>0.13189356540211805</v>
      </c>
      <c r="G322" s="9">
        <v>0.13189356540211805</v>
      </c>
      <c r="H322" s="35">
        <v>-2.1371935927783248E-2</v>
      </c>
    </row>
    <row r="323" spans="2:8" x14ac:dyDescent="0.35">
      <c r="B323" s="6">
        <v>45393</v>
      </c>
      <c r="C323" s="7" t="s">
        <v>40</v>
      </c>
      <c r="D323" s="9">
        <v>2.0975460204476E-2</v>
      </c>
      <c r="E323" s="9">
        <v>2.0975460204476E-2</v>
      </c>
      <c r="F323" s="9">
        <v>0.1556355538389127</v>
      </c>
      <c r="G323" s="9">
        <v>0.1556355538389127</v>
      </c>
      <c r="H323" s="35">
        <v>2.0758503834402746E-2</v>
      </c>
    </row>
    <row r="324" spans="2:8" x14ac:dyDescent="0.35">
      <c r="B324" s="6">
        <v>45394</v>
      </c>
      <c r="C324" s="7" t="s">
        <v>40</v>
      </c>
      <c r="D324" s="9">
        <v>-3.4866687729944501E-2</v>
      </c>
      <c r="E324" s="9">
        <v>-3.4866687729944501E-2</v>
      </c>
      <c r="F324" s="9">
        <v>0.11534236985358981</v>
      </c>
      <c r="G324" s="9">
        <v>0.11534236985358981</v>
      </c>
      <c r="H324" s="35">
        <v>-3.548903975451928E-2</v>
      </c>
    </row>
    <row r="325" spans="2:8" x14ac:dyDescent="0.35">
      <c r="B325" s="6">
        <v>45397</v>
      </c>
      <c r="C325" s="7" t="s">
        <v>40</v>
      </c>
      <c r="D325" s="9">
        <v>-2.48390238623451E-2</v>
      </c>
      <c r="E325" s="9">
        <v>-2.48390238623451E-2</v>
      </c>
      <c r="F325" s="9">
        <v>8.7638354114111916E-2</v>
      </c>
      <c r="G325" s="9">
        <v>8.7638354114111916E-2</v>
      </c>
      <c r="H325" s="35">
        <v>-2.5152717881482684E-2</v>
      </c>
    </row>
    <row r="326" spans="2:8" x14ac:dyDescent="0.35">
      <c r="B326" s="6">
        <v>45398</v>
      </c>
      <c r="C326" s="7" t="s">
        <v>40</v>
      </c>
      <c r="D326" s="9">
        <v>-4.7636354556527096E-3</v>
      </c>
      <c r="E326" s="9">
        <v>-4.7636354556527096E-3</v>
      </c>
      <c r="F326" s="9">
        <v>8.2457241487526201E-2</v>
      </c>
      <c r="G326" s="9">
        <v>8.2457241487526201E-2</v>
      </c>
      <c r="H326" s="35">
        <v>-4.7750177287489886E-3</v>
      </c>
    </row>
    <row r="327" spans="2:8" x14ac:dyDescent="0.35">
      <c r="B327" s="6">
        <v>45399</v>
      </c>
      <c r="C327" s="7" t="s">
        <v>40</v>
      </c>
      <c r="D327" s="9">
        <v>-1.3383622972663999E-2</v>
      </c>
      <c r="E327" s="9">
        <v>-1.3383622972663999E-2</v>
      </c>
      <c r="F327" s="9">
        <v>6.7970041883427257E-2</v>
      </c>
      <c r="G327" s="9">
        <v>6.7970041883427257E-2</v>
      </c>
      <c r="H327" s="35">
        <v>-1.3473990860167376E-2</v>
      </c>
    </row>
    <row r="328" spans="2:8" x14ac:dyDescent="0.35">
      <c r="B328" s="6">
        <v>45400</v>
      </c>
      <c r="C328" s="7" t="s">
        <v>40</v>
      </c>
      <c r="D328" s="9">
        <v>-1.94676213053196E-2</v>
      </c>
      <c r="E328" s="9">
        <v>-1.94676213053196E-2</v>
      </c>
      <c r="F328" s="9">
        <v>4.7179205542614344E-2</v>
      </c>
      <c r="G328" s="9">
        <v>4.7179205542614344E-2</v>
      </c>
      <c r="H328" s="35">
        <v>-1.9659611254887337E-2</v>
      </c>
    </row>
    <row r="329" spans="2:8" x14ac:dyDescent="0.35">
      <c r="B329" s="6">
        <v>45401</v>
      </c>
      <c r="C329" s="7" t="s">
        <v>40</v>
      </c>
      <c r="D329" s="9">
        <v>-7.9935221925418101E-3</v>
      </c>
      <c r="E329" s="9">
        <v>-7.9935221925418101E-3</v>
      </c>
      <c r="F329" s="9">
        <v>3.8808555323541105E-2</v>
      </c>
      <c r="G329" s="9">
        <v>3.8808555323541105E-2</v>
      </c>
      <c r="H329" s="35">
        <v>-8.0256416707439916E-3</v>
      </c>
    </row>
    <row r="330" spans="2:8" x14ac:dyDescent="0.35">
      <c r="B330" s="6">
        <v>45404</v>
      </c>
      <c r="C330" s="7" t="s">
        <v>40</v>
      </c>
      <c r="D330" s="9">
        <v>1.2627194218272899E-2</v>
      </c>
      <c r="E330" s="9">
        <v>1.2627194218272899E-2</v>
      </c>
      <c r="F330" s="9">
        <v>5.1925792707214979E-2</v>
      </c>
      <c r="G330" s="9">
        <v>5.1925792707214979E-2</v>
      </c>
      <c r="H330" s="35">
        <v>1.2548136027815321E-2</v>
      </c>
    </row>
    <row r="331" spans="2:8" x14ac:dyDescent="0.35">
      <c r="B331" s="6">
        <v>45405</v>
      </c>
      <c r="C331" s="7" t="s">
        <v>40</v>
      </c>
      <c r="D331" s="9">
        <v>9.0819382451147596E-3</v>
      </c>
      <c r="E331" s="9">
        <v>9.0819382451147596E-3</v>
      </c>
      <c r="F331" s="9">
        <v>6.1479317795025468E-2</v>
      </c>
      <c r="G331" s="9">
        <v>6.1479317795025468E-2</v>
      </c>
      <c r="H331" s="35">
        <v>9.0409454530376975E-3</v>
      </c>
    </row>
    <row r="332" spans="2:8" x14ac:dyDescent="0.35">
      <c r="B332" s="6">
        <v>45406</v>
      </c>
      <c r="C332" s="7" t="s">
        <v>40</v>
      </c>
      <c r="D332" s="9">
        <v>-1.1786110242488001E-2</v>
      </c>
      <c r="E332" s="9">
        <v>-1.1786110242488001E-2</v>
      </c>
      <c r="F332" s="9">
        <v>4.8968605535372411E-2</v>
      </c>
      <c r="G332" s="9">
        <v>4.8968605535372411E-2</v>
      </c>
      <c r="H332" s="35">
        <v>-1.1856117055512315E-2</v>
      </c>
    </row>
    <row r="333" spans="2:8" x14ac:dyDescent="0.35">
      <c r="B333" s="6">
        <v>45407</v>
      </c>
      <c r="C333" s="7" t="s">
        <v>40</v>
      </c>
      <c r="D333" s="9">
        <v>-1.8833567302602799E-2</v>
      </c>
      <c r="E333" s="9">
        <v>-1.8833567302602799E-2</v>
      </c>
      <c r="F333" s="9">
        <v>2.9212784704704564E-2</v>
      </c>
      <c r="G333" s="9">
        <v>2.9212784704704564E-2</v>
      </c>
      <c r="H333" s="35">
        <v>-1.9013177642230338E-2</v>
      </c>
    </row>
    <row r="334" spans="2:8" x14ac:dyDescent="0.35">
      <c r="B334" s="6">
        <v>45408</v>
      </c>
      <c r="C334" s="7" t="s">
        <v>40</v>
      </c>
      <c r="D334" s="9">
        <v>2.0232967922199401E-2</v>
      </c>
      <c r="E334" s="9">
        <v>2.0232967922199401E-2</v>
      </c>
      <c r="F334" s="9">
        <v>5.003681396275228E-2</v>
      </c>
      <c r="G334" s="9">
        <v>5.003681396275228E-2</v>
      </c>
      <c r="H334" s="35">
        <v>2.0031001140612875E-2</v>
      </c>
    </row>
    <row r="335" spans="2:8" x14ac:dyDescent="0.35">
      <c r="B335" s="6">
        <v>45411</v>
      </c>
      <c r="C335" s="7" t="s">
        <v>40</v>
      </c>
      <c r="D335" s="9">
        <v>2.4306134295846299E-2</v>
      </c>
      <c r="E335" s="9">
        <v>2.4306134295846299E-2</v>
      </c>
      <c r="F335" s="9">
        <v>7.5559149778513524E-2</v>
      </c>
      <c r="G335" s="9">
        <v>7.5559149778513524E-2</v>
      </c>
      <c r="H335" s="35">
        <v>2.4015441211184645E-2</v>
      </c>
    </row>
    <row r="336" spans="2:8" x14ac:dyDescent="0.35">
      <c r="B336" s="6">
        <v>45412</v>
      </c>
      <c r="C336" s="7" t="s">
        <v>40</v>
      </c>
      <c r="D336" s="9">
        <v>-8.6551302337586292E-3</v>
      </c>
      <c r="E336" s="9">
        <v>-8.6551302337586292E-3</v>
      </c>
      <c r="F336" s="9">
        <v>6.6250045263069879E-2</v>
      </c>
      <c r="G336" s="9">
        <v>6.6250045263069879E-2</v>
      </c>
      <c r="H336" s="35">
        <v>-8.6928034084427803E-3</v>
      </c>
    </row>
    <row r="337" spans="2:8" x14ac:dyDescent="0.35">
      <c r="B337" s="6">
        <v>45413</v>
      </c>
      <c r="C337" s="7" t="s">
        <v>40</v>
      </c>
      <c r="D337" s="9">
        <v>3.4936932398663002E-2</v>
      </c>
      <c r="E337" s="9">
        <v>3.4936932398663002E-2</v>
      </c>
      <c r="F337" s="9">
        <v>0.10350155101449721</v>
      </c>
      <c r="G337" s="9">
        <v>0.10350155101449721</v>
      </c>
      <c r="H337" s="35">
        <v>3.4340489980208326E-2</v>
      </c>
    </row>
    <row r="338" spans="2:8" x14ac:dyDescent="0.35">
      <c r="B338" s="6">
        <v>45414</v>
      </c>
      <c r="C338" s="7" t="s">
        <v>40</v>
      </c>
      <c r="D338" s="9">
        <v>9.0895169758487306E-3</v>
      </c>
      <c r="E338" s="9">
        <v>9.0895169758487306E-3</v>
      </c>
      <c r="F338" s="9">
        <v>0.11353184709531883</v>
      </c>
      <c r="G338" s="9">
        <v>0.11353184709531883</v>
      </c>
      <c r="H338" s="35">
        <v>9.0484559454830239E-3</v>
      </c>
    </row>
    <row r="339" spans="2:8" x14ac:dyDescent="0.35">
      <c r="B339" s="6">
        <v>45415</v>
      </c>
      <c r="C339" s="7" t="s">
        <v>40</v>
      </c>
      <c r="D339" s="9">
        <v>1.7890629234187799E-2</v>
      </c>
      <c r="E339" s="9">
        <v>1.7890629234187799E-2</v>
      </c>
      <c r="F339" s="9">
        <v>0.13345363251216158</v>
      </c>
      <c r="G339" s="9">
        <v>0.13345363251216158</v>
      </c>
      <c r="H339" s="35">
        <v>1.7732475454990019E-2</v>
      </c>
    </row>
    <row r="340" spans="2:8" x14ac:dyDescent="0.35">
      <c r="B340" s="6">
        <v>45418</v>
      </c>
      <c r="C340" s="7" t="s">
        <v>40</v>
      </c>
      <c r="D340" s="9">
        <v>6.8499715139155896E-3</v>
      </c>
      <c r="E340" s="9">
        <v>6.8499715139155896E-3</v>
      </c>
      <c r="F340" s="9">
        <v>0.141217757607214</v>
      </c>
      <c r="G340" s="9">
        <v>0.141217757607214</v>
      </c>
      <c r="H340" s="35">
        <v>6.8266170499946969E-3</v>
      </c>
    </row>
    <row r="341" spans="2:8" x14ac:dyDescent="0.35">
      <c r="B341" s="6">
        <v>45419</v>
      </c>
      <c r="C341" s="7" t="s">
        <v>40</v>
      </c>
      <c r="D341" s="9">
        <v>7.4300294821465099E-4</v>
      </c>
      <c r="E341" s="9">
        <v>7.4300294821465099E-4</v>
      </c>
      <c r="F341" s="9">
        <v>0.14206568576567125</v>
      </c>
      <c r="G341" s="9">
        <v>0.14206568576567125</v>
      </c>
      <c r="H341" s="35">
        <v>7.4272705817381146E-4</v>
      </c>
    </row>
    <row r="342" spans="2:8" x14ac:dyDescent="0.35">
      <c r="B342" s="6">
        <v>45420</v>
      </c>
      <c r="C342" s="7" t="s">
        <v>40</v>
      </c>
      <c r="D342" s="9">
        <v>-1.4761834303892499E-2</v>
      </c>
      <c r="E342" s="9">
        <v>-1.4761834303892499E-2</v>
      </c>
      <c r="F342" s="9">
        <v>0.12520670134823697</v>
      </c>
      <c r="G342" s="9">
        <v>0.12520670134823697</v>
      </c>
      <c r="H342" s="35">
        <v>-1.4871874452283391E-2</v>
      </c>
    </row>
    <row r="343" spans="2:8" x14ac:dyDescent="0.35">
      <c r="B343" s="6">
        <v>45421</v>
      </c>
      <c r="C343" s="7" t="s">
        <v>40</v>
      </c>
      <c r="D343" s="9">
        <v>-1.3757445245098799E-3</v>
      </c>
      <c r="E343" s="9">
        <v>-1.3757445245098799E-3</v>
      </c>
      <c r="F343" s="9">
        <v>0.12365870438991533</v>
      </c>
      <c r="G343" s="9">
        <v>0.12365870438991533</v>
      </c>
      <c r="H343" s="35">
        <v>-1.3766917298495727E-3</v>
      </c>
    </row>
    <row r="344" spans="2:8" x14ac:dyDescent="0.35">
      <c r="B344" s="6">
        <v>45422</v>
      </c>
      <c r="C344" s="7" t="s">
        <v>40</v>
      </c>
      <c r="D344" s="9">
        <v>-2.1513201710099499E-2</v>
      </c>
      <c r="E344" s="9">
        <v>-2.1513201710099499E-2</v>
      </c>
      <c r="F344" s="9">
        <v>9.9485208029066019E-2</v>
      </c>
      <c r="G344" s="9">
        <v>9.9485208029066019E-2</v>
      </c>
      <c r="H344" s="35">
        <v>-2.1747984020464614E-2</v>
      </c>
    </row>
    <row r="345" spans="2:8" x14ac:dyDescent="0.35">
      <c r="B345" s="6">
        <v>45425</v>
      </c>
      <c r="C345" s="7" t="s">
        <v>40</v>
      </c>
      <c r="D345" s="9">
        <v>1.1041126343089999E-2</v>
      </c>
      <c r="E345" s="9">
        <v>1.1041126343089999E-2</v>
      </c>
      <c r="F345" s="9">
        <v>0.11162476312327363</v>
      </c>
      <c r="G345" s="9">
        <v>0.11162476312327363</v>
      </c>
      <c r="H345" s="35">
        <v>1.0980618086431356E-2</v>
      </c>
    </row>
    <row r="346" spans="2:8" x14ac:dyDescent="0.35">
      <c r="B346" s="6">
        <v>45426</v>
      </c>
      <c r="C346" s="7" t="s">
        <v>40</v>
      </c>
      <c r="D346" s="9">
        <v>1.3844099156324299E-2</v>
      </c>
      <c r="E346" s="9">
        <v>1.3844099156324299E-2</v>
      </c>
      <c r="F346" s="9">
        <v>0.12701420656857776</v>
      </c>
      <c r="G346" s="9">
        <v>0.12701420656857776</v>
      </c>
      <c r="H346" s="35">
        <v>1.3749144981955558E-2</v>
      </c>
    </row>
    <row r="347" spans="2:8" x14ac:dyDescent="0.35">
      <c r="B347" s="6">
        <v>45427</v>
      </c>
      <c r="C347" s="7" t="s">
        <v>40</v>
      </c>
      <c r="D347" s="9">
        <v>2.4311356723642999E-2</v>
      </c>
      <c r="E347" s="9">
        <v>2.4311356723642999E-2</v>
      </c>
      <c r="F347" s="9">
        <v>0.15441345097708004</v>
      </c>
      <c r="G347" s="9">
        <v>0.15441345097708004</v>
      </c>
      <c r="H347" s="35">
        <v>2.4020539701087775E-2</v>
      </c>
    </row>
    <row r="348" spans="2:8" x14ac:dyDescent="0.35">
      <c r="B348" s="6">
        <v>45428</v>
      </c>
      <c r="C348" s="7" t="s">
        <v>40</v>
      </c>
      <c r="D348" s="9">
        <v>-2.1564793709876401E-3</v>
      </c>
      <c r="E348" s="9">
        <v>-2.1564793709876401E-3</v>
      </c>
      <c r="F348" s="9">
        <v>0.15192398218445735</v>
      </c>
      <c r="G348" s="9">
        <v>0.15192398218445735</v>
      </c>
      <c r="H348" s="35">
        <v>-2.1588079208751843E-3</v>
      </c>
    </row>
    <row r="349" spans="2:8" x14ac:dyDescent="0.35">
      <c r="B349" s="6">
        <v>45429</v>
      </c>
      <c r="C349" s="7" t="s">
        <v>40</v>
      </c>
      <c r="D349" s="9">
        <v>-1.38496318203608E-2</v>
      </c>
      <c r="E349" s="9">
        <v>-1.38496318203608E-2</v>
      </c>
      <c r="F349" s="9">
        <v>0.13597025914615868</v>
      </c>
      <c r="G349" s="9">
        <v>0.13597025914615868</v>
      </c>
      <c r="H349" s="35">
        <v>-1.3946432782150089E-2</v>
      </c>
    </row>
    <row r="350" spans="2:8" x14ac:dyDescent="0.35">
      <c r="B350" s="6">
        <v>45432</v>
      </c>
      <c r="C350" s="7" t="s">
        <v>40</v>
      </c>
      <c r="D350" s="9">
        <v>1.1572259916794499E-2</v>
      </c>
      <c r="E350" s="9">
        <v>1.1572259916794499E-2</v>
      </c>
      <c r="F350" s="9">
        <v>0.14911600224274646</v>
      </c>
      <c r="G350" s="9">
        <v>0.14911600224274646</v>
      </c>
      <c r="H350" s="35">
        <v>1.1505813449540348E-2</v>
      </c>
    </row>
    <row r="351" spans="2:8" x14ac:dyDescent="0.35">
      <c r="B351" s="6">
        <v>45433</v>
      </c>
      <c r="C351" s="7" t="s">
        <v>40</v>
      </c>
      <c r="D351" s="9">
        <v>-9.0004861576464396E-3</v>
      </c>
      <c r="E351" s="9">
        <v>-9.0004861576464396E-3</v>
      </c>
      <c r="F351" s="9">
        <v>0.13877339957103052</v>
      </c>
      <c r="G351" s="9">
        <v>0.13877339957103052</v>
      </c>
      <c r="H351" s="35">
        <v>-9.0412352250710901E-3</v>
      </c>
    </row>
    <row r="352" spans="2:8" x14ac:dyDescent="0.35">
      <c r="B352" s="6">
        <v>45434</v>
      </c>
      <c r="C352" s="7" t="s">
        <v>40</v>
      </c>
      <c r="D352" s="9">
        <v>8.3264829890479302E-4</v>
      </c>
      <c r="E352" s="9">
        <v>8.3264829890479302E-4</v>
      </c>
      <c r="F352" s="9">
        <v>0.13972159730502121</v>
      </c>
      <c r="G352" s="9">
        <v>0.13972159730502121</v>
      </c>
      <c r="H352" s="35">
        <v>8.3230183961571108E-4</v>
      </c>
    </row>
    <row r="353" spans="2:8" x14ac:dyDescent="0.35">
      <c r="B353" s="6">
        <v>45435</v>
      </c>
      <c r="C353" s="7" t="s">
        <v>40</v>
      </c>
      <c r="D353" s="9">
        <v>-3.6788863453304503E-2</v>
      </c>
      <c r="E353" s="9">
        <v>-3.6788863453304503E-2</v>
      </c>
      <c r="F353" s="9">
        <v>9.7792535086984822E-2</v>
      </c>
      <c r="G353" s="9">
        <v>9.7792535086984822E-2</v>
      </c>
      <c r="H353" s="35">
        <v>-3.7482642465043604E-2</v>
      </c>
    </row>
    <row r="354" spans="2:8" x14ac:dyDescent="0.35">
      <c r="B354" s="6">
        <v>45436</v>
      </c>
      <c r="C354" s="7" t="s">
        <v>40</v>
      </c>
      <c r="D354" s="9">
        <v>-2.0933104838819099E-3</v>
      </c>
      <c r="E354" s="9">
        <v>-2.0933104838819099E-3</v>
      </c>
      <c r="F354" s="9">
        <v>9.5494514464159908E-2</v>
      </c>
      <c r="G354" s="9">
        <v>9.5494514464159908E-2</v>
      </c>
      <c r="H354" s="35">
        <v>-2.0955045206744447E-3</v>
      </c>
    </row>
    <row r="355" spans="2:8" x14ac:dyDescent="0.35">
      <c r="B355" s="6">
        <v>45440</v>
      </c>
      <c r="C355" s="7" t="s">
        <v>40</v>
      </c>
      <c r="D355" s="9">
        <v>1.66217356068999E-2</v>
      </c>
      <c r="E355" s="9">
        <v>1.66217356068999E-2</v>
      </c>
      <c r="F355" s="9">
        <v>0.11370353464239225</v>
      </c>
      <c r="G355" s="9">
        <v>0.11370353464239225</v>
      </c>
      <c r="H355" s="35">
        <v>1.648510648958898E-2</v>
      </c>
    </row>
    <row r="356" spans="2:8" x14ac:dyDescent="0.35">
      <c r="B356" s="6">
        <v>45441</v>
      </c>
      <c r="C356" s="7" t="s">
        <v>40</v>
      </c>
      <c r="D356" s="9">
        <v>-1.6816338040389602E-2</v>
      </c>
      <c r="E356" s="9">
        <v>-1.6816338040389602E-2</v>
      </c>
      <c r="F356" s="9">
        <v>9.4975119527068941E-2</v>
      </c>
      <c r="G356" s="9">
        <v>9.4975119527068941E-2</v>
      </c>
      <c r="H356" s="35">
        <v>-1.6959338077888721E-2</v>
      </c>
    </row>
    <row r="357" spans="2:8" x14ac:dyDescent="0.35">
      <c r="B357" s="6">
        <v>45442</v>
      </c>
      <c r="C357" s="7" t="s">
        <v>40</v>
      </c>
      <c r="D357" s="9">
        <v>1.4020727732028801E-2</v>
      </c>
      <c r="E357" s="9">
        <v>1.4020727732028801E-2</v>
      </c>
      <c r="F357" s="9">
        <v>0.11032746755130374</v>
      </c>
      <c r="G357" s="9">
        <v>0.11032746755130374</v>
      </c>
      <c r="H357" s="35">
        <v>1.392334651039002E-2</v>
      </c>
    </row>
    <row r="358" spans="2:8" x14ac:dyDescent="0.35">
      <c r="B358" s="6">
        <v>45443</v>
      </c>
      <c r="C358" s="7" t="s">
        <v>40</v>
      </c>
      <c r="D358" s="9">
        <v>-9.1925263129262198E-4</v>
      </c>
      <c r="E358" s="9">
        <v>-9.1925263129262198E-4</v>
      </c>
      <c r="F358" s="9">
        <v>0.10930679610516059</v>
      </c>
      <c r="G358" s="9">
        <v>0.10930679610516059</v>
      </c>
      <c r="H358" s="35">
        <v>-9.1967540310199146E-4</v>
      </c>
    </row>
    <row r="359" spans="2:8" x14ac:dyDescent="0.35">
      <c r="B359" s="6">
        <v>45446</v>
      </c>
      <c r="C359" s="7" t="s">
        <v>40</v>
      </c>
      <c r="D359" s="9">
        <v>2.0849212744180001E-2</v>
      </c>
      <c r="E359" s="9">
        <v>2.0849212744180001E-2</v>
      </c>
      <c r="F359" s="9">
        <v>0.13243496949572164</v>
      </c>
      <c r="G359" s="9">
        <v>0.13243496949572164</v>
      </c>
      <c r="H359" s="35">
        <v>2.0634842422990112E-2</v>
      </c>
    </row>
    <row r="360" spans="2:8" x14ac:dyDescent="0.35">
      <c r="B360" s="6">
        <v>45447</v>
      </c>
      <c r="C360" s="7" t="s">
        <v>40</v>
      </c>
      <c r="D360" s="9">
        <v>-7.6397758999069802E-3</v>
      </c>
      <c r="E360" s="9">
        <v>-7.6397758999069802E-3</v>
      </c>
      <c r="F360" s="9">
        <v>0.12378342010755627</v>
      </c>
      <c r="G360" s="9">
        <v>0.12378342010755627</v>
      </c>
      <c r="H360" s="35">
        <v>-7.6691084795328839E-3</v>
      </c>
    </row>
    <row r="361" spans="2:8" x14ac:dyDescent="0.35">
      <c r="B361" s="6">
        <v>45448</v>
      </c>
      <c r="C361" s="7" t="s">
        <v>40</v>
      </c>
      <c r="D361" s="9">
        <v>3.3701826702423297E-2</v>
      </c>
      <c r="E361" s="9">
        <v>3.3701826702423297E-2</v>
      </c>
      <c r="F361" s="9">
        <v>0.16165697418307778</v>
      </c>
      <c r="G361" s="9">
        <v>0.16165697418307778</v>
      </c>
      <c r="H361" s="35">
        <v>3.3146365740226336E-2</v>
      </c>
    </row>
    <row r="362" spans="2:8" x14ac:dyDescent="0.35">
      <c r="B362" s="6">
        <v>45449</v>
      </c>
      <c r="C362" s="7" t="s">
        <v>40</v>
      </c>
      <c r="D362" s="9">
        <v>-1.74193112340391E-2</v>
      </c>
      <c r="E362" s="9">
        <v>-1.74193112340391E-2</v>
      </c>
      <c r="F362" s="9">
        <v>0.14142170980259072</v>
      </c>
      <c r="G362" s="9">
        <v>0.14142170980259072</v>
      </c>
      <c r="H362" s="35">
        <v>-1.7572812640429928E-2</v>
      </c>
    </row>
    <row r="363" spans="2:8" x14ac:dyDescent="0.35">
      <c r="B363" s="6">
        <v>45450</v>
      </c>
      <c r="C363" s="7" t="s">
        <v>40</v>
      </c>
      <c r="D363" s="9">
        <v>-1.1087682909729699E-2</v>
      </c>
      <c r="E363" s="9">
        <v>-1.1087682909729699E-2</v>
      </c>
      <c r="F363" s="9">
        <v>0.12876598781801807</v>
      </c>
      <c r="G363" s="9">
        <v>0.12876598781801807</v>
      </c>
      <c r="H363" s="35">
        <v>-1.1149609439163795E-2</v>
      </c>
    </row>
    <row r="364" spans="2:8" x14ac:dyDescent="0.35">
      <c r="B364" s="6">
        <v>45453</v>
      </c>
      <c r="C364" s="7" t="s">
        <v>40</v>
      </c>
      <c r="D364" s="9">
        <v>1.1741698680563699E-2</v>
      </c>
      <c r="E364" s="9">
        <v>1.1741698680563699E-2</v>
      </c>
      <c r="F364" s="9">
        <v>0.1420196179278459</v>
      </c>
      <c r="G364" s="9">
        <v>0.1420196179278459</v>
      </c>
      <c r="H364" s="35">
        <v>1.1673299828453811E-2</v>
      </c>
    </row>
    <row r="365" spans="2:8" x14ac:dyDescent="0.35">
      <c r="B365" s="6">
        <v>45454</v>
      </c>
      <c r="C365" s="7" t="s">
        <v>40</v>
      </c>
      <c r="D365" s="9">
        <v>4.6696722503537704E-3</v>
      </c>
      <c r="E365" s="9">
        <v>4.6696722503537704E-3</v>
      </c>
      <c r="F365" s="9">
        <v>0.1473524752470432</v>
      </c>
      <c r="G365" s="9">
        <v>0.1473524752470432</v>
      </c>
      <c r="H365" s="35">
        <v>4.6588031545000156E-3</v>
      </c>
    </row>
    <row r="366" spans="2:8" x14ac:dyDescent="0.35">
      <c r="B366" s="6">
        <v>45455</v>
      </c>
      <c r="C366" s="7" t="s">
        <v>40</v>
      </c>
      <c r="D366" s="9">
        <v>1.6602140802366602E-2</v>
      </c>
      <c r="E366" s="9">
        <v>1.6602140802366602E-2</v>
      </c>
      <c r="F366" s="9">
        <v>0.16640098259103842</v>
      </c>
      <c r="G366" s="9">
        <v>0.16640098259103842</v>
      </c>
      <c r="H366" s="35">
        <v>1.6465831873781905E-2</v>
      </c>
    </row>
    <row r="367" spans="2:8" x14ac:dyDescent="0.35">
      <c r="B367" s="6">
        <v>45456</v>
      </c>
      <c r="C367" s="7" t="s">
        <v>40</v>
      </c>
      <c r="D367" s="9">
        <v>-7.2231326648693498E-4</v>
      </c>
      <c r="E367" s="9">
        <v>-7.2231326648693498E-4</v>
      </c>
      <c r="F367" s="9">
        <v>0.16555847568726945</v>
      </c>
      <c r="G367" s="9">
        <v>0.16555847568726945</v>
      </c>
      <c r="H367" s="35">
        <v>-7.2257426040159105E-4</v>
      </c>
    </row>
    <row r="368" spans="2:8" x14ac:dyDescent="0.35">
      <c r="B368" s="6">
        <v>45457</v>
      </c>
      <c r="C368" s="7" t="s">
        <v>40</v>
      </c>
      <c r="D368" s="9">
        <v>-2.0879320172029699E-2</v>
      </c>
      <c r="E368" s="9">
        <v>-2.0879320172029699E-2</v>
      </c>
      <c r="F368" s="9">
        <v>0.14122240709417211</v>
      </c>
      <c r="G368" s="9">
        <v>0.14122240709417211</v>
      </c>
      <c r="H368" s="35">
        <v>-2.1100375582808566E-2</v>
      </c>
    </row>
    <row r="369" spans="2:8" x14ac:dyDescent="0.35">
      <c r="B369" s="6">
        <v>45460</v>
      </c>
      <c r="C369" s="7" t="s">
        <v>40</v>
      </c>
      <c r="D369" s="9">
        <v>-1.59054405550367E-2</v>
      </c>
      <c r="E369" s="9">
        <v>-1.59054405550367E-2</v>
      </c>
      <c r="F369" s="9">
        <v>0.12307076193805977</v>
      </c>
      <c r="G369" s="9">
        <v>0.12307076193805977</v>
      </c>
      <c r="H369" s="35">
        <v>-1.6033289549990361E-2</v>
      </c>
    </row>
    <row r="370" spans="2:8" x14ac:dyDescent="0.35">
      <c r="B370" s="6">
        <v>45461</v>
      </c>
      <c r="C370" s="7" t="s">
        <v>40</v>
      </c>
      <c r="D370" s="9">
        <v>-7.2786426823692402E-3</v>
      </c>
      <c r="E370" s="9">
        <v>-7.2786426823692402E-3</v>
      </c>
      <c r="F370" s="9">
        <v>0.1148963311548965</v>
      </c>
      <c r="G370" s="9">
        <v>0.1148963311548965</v>
      </c>
      <c r="H370" s="35">
        <v>-7.3052612453412772E-3</v>
      </c>
    </row>
    <row r="371" spans="2:8" x14ac:dyDescent="0.35">
      <c r="B371" s="6">
        <v>45463</v>
      </c>
      <c r="C371" s="7" t="s">
        <v>40</v>
      </c>
      <c r="D371" s="9">
        <v>-2.7329138712308401E-3</v>
      </c>
      <c r="E371" s="9">
        <v>-2.7329138712308401E-3</v>
      </c>
      <c r="F371" s="9">
        <v>0.11184941550649885</v>
      </c>
      <c r="G371" s="9">
        <v>0.11184941550649885</v>
      </c>
      <c r="H371" s="35">
        <v>-2.7366550982000017E-3</v>
      </c>
    </row>
    <row r="372" spans="2:8" x14ac:dyDescent="0.35">
      <c r="B372" s="6">
        <v>45464</v>
      </c>
      <c r="C372" s="7" t="s">
        <v>40</v>
      </c>
      <c r="D372" s="9">
        <v>2.6222589178530799E-2</v>
      </c>
      <c r="E372" s="9">
        <v>2.6222589178530799E-2</v>
      </c>
      <c r="F372" s="9">
        <v>0.14100498595771538</v>
      </c>
      <c r="G372" s="9">
        <v>0.14100498595771538</v>
      </c>
      <c r="H372" s="35">
        <v>2.5884671735737955E-2</v>
      </c>
    </row>
    <row r="373" spans="2:8" x14ac:dyDescent="0.35">
      <c r="B373" s="6">
        <v>45467</v>
      </c>
      <c r="C373" s="7" t="s">
        <v>40</v>
      </c>
      <c r="D373" s="9">
        <v>7.3653761158558604E-3</v>
      </c>
      <c r="E373" s="9">
        <v>7.3653761158558604E-3</v>
      </c>
      <c r="F373" s="9">
        <v>0.14940891682936086</v>
      </c>
      <c r="G373" s="9">
        <v>0.14940891682936086</v>
      </c>
      <c r="H373" s="35">
        <v>7.3383841892885821E-3</v>
      </c>
    </row>
    <row r="374" spans="2:8" x14ac:dyDescent="0.35">
      <c r="B374" s="6">
        <v>45468</v>
      </c>
      <c r="C374" s="7" t="s">
        <v>40</v>
      </c>
      <c r="D374" s="9">
        <v>-1.4672964963534299E-2</v>
      </c>
      <c r="E374" s="9">
        <v>-1.4672964963534299E-2</v>
      </c>
      <c r="F374" s="9">
        <v>0.13254368006394968</v>
      </c>
      <c r="G374" s="9">
        <v>0.13254368006394968</v>
      </c>
      <c r="H374" s="35">
        <v>-1.4781677649472256E-2</v>
      </c>
    </row>
    <row r="375" spans="2:8" x14ac:dyDescent="0.35">
      <c r="B375" s="6">
        <v>45469</v>
      </c>
      <c r="C375" s="7" t="s">
        <v>40</v>
      </c>
      <c r="D375" s="9">
        <v>-1.7005868597802402E-2</v>
      </c>
      <c r="E375" s="9">
        <v>-1.7005868597802402E-2</v>
      </c>
      <c r="F375" s="9">
        <v>0.11328379105951059</v>
      </c>
      <c r="G375" s="9">
        <v>0.11328379105951059</v>
      </c>
      <c r="H375" s="35">
        <v>-1.7152128942112408E-2</v>
      </c>
    </row>
    <row r="376" spans="2:8" x14ac:dyDescent="0.35">
      <c r="B376" s="6">
        <v>45470</v>
      </c>
      <c r="C376" s="7" t="s">
        <v>40</v>
      </c>
      <c r="D376" s="9">
        <v>1.3955607875899501E-2</v>
      </c>
      <c r="E376" s="9">
        <v>1.3955607875899501E-2</v>
      </c>
      <c r="F376" s="9">
        <v>0.12882034310213197</v>
      </c>
      <c r="G376" s="9">
        <v>0.12882034310213197</v>
      </c>
      <c r="H376" s="35">
        <v>1.3859124995564418E-2</v>
      </c>
    </row>
    <row r="377" spans="2:8" x14ac:dyDescent="0.35">
      <c r="B377" s="6">
        <v>45471</v>
      </c>
      <c r="C377" s="7" t="s">
        <v>40</v>
      </c>
      <c r="D377" s="9">
        <v>1.2573097850803799E-3</v>
      </c>
      <c r="E377" s="9">
        <v>1.2573097850803799E-3</v>
      </c>
      <c r="F377" s="9">
        <v>0.13023961996511191</v>
      </c>
      <c r="G377" s="9">
        <v>0.13023961996511191</v>
      </c>
      <c r="H377" s="35">
        <v>1.2565200330384898E-3</v>
      </c>
    </row>
    <row r="378" spans="2:8" x14ac:dyDescent="0.35">
      <c r="B378" s="6">
        <v>45474</v>
      </c>
      <c r="C378" s="7" t="s">
        <v>40</v>
      </c>
      <c r="D378" s="9">
        <v>6.1130050977330798E-3</v>
      </c>
      <c r="E378" s="9">
        <v>6.1130050977330798E-3</v>
      </c>
      <c r="F378" s="9">
        <v>0.13714878052361867</v>
      </c>
      <c r="G378" s="9">
        <v>0.13714878052361867</v>
      </c>
      <c r="H378" s="35">
        <v>6.0943964799474015E-3</v>
      </c>
    </row>
    <row r="379" spans="2:8" x14ac:dyDescent="0.35">
      <c r="B379" s="6">
        <v>45475</v>
      </c>
      <c r="C379" s="7" t="s">
        <v>40</v>
      </c>
      <c r="D379" s="9">
        <v>-2.87328850790818E-2</v>
      </c>
      <c r="E379" s="9">
        <v>-2.87328850790818E-2</v>
      </c>
      <c r="F379" s="9">
        <v>0.10447521529501547</v>
      </c>
      <c r="G379" s="9">
        <v>0.10447521529501547</v>
      </c>
      <c r="H379" s="35">
        <v>-2.9153755915338433E-2</v>
      </c>
    </row>
    <row r="380" spans="2:8" x14ac:dyDescent="0.35">
      <c r="B380" s="6">
        <v>45476</v>
      </c>
      <c r="C380" s="7" t="s">
        <v>40</v>
      </c>
      <c r="D380" s="9">
        <v>-1.4107920120736701E-3</v>
      </c>
      <c r="E380" s="9">
        <v>-1.4107920120736701E-3</v>
      </c>
      <c r="F380" s="9">
        <v>0.1029170304837439</v>
      </c>
      <c r="G380" s="9">
        <v>0.1029170304837439</v>
      </c>
      <c r="H380" s="35">
        <v>-1.4117881160983507E-3</v>
      </c>
    </row>
    <row r="381" spans="2:8" x14ac:dyDescent="0.35">
      <c r="B381" s="6">
        <v>45478</v>
      </c>
      <c r="C381" s="7" t="s">
        <v>40</v>
      </c>
      <c r="D381" s="9">
        <v>1.4615207701321801E-2</v>
      </c>
      <c r="E381" s="9">
        <v>1.4615207701321801E-2</v>
      </c>
      <c r="F381" s="9">
        <v>0.11903639196158888</v>
      </c>
      <c r="G381" s="9">
        <v>0.11903639196158888</v>
      </c>
      <c r="H381" s="35">
        <v>1.450943490202934E-2</v>
      </c>
    </row>
    <row r="382" spans="2:8" x14ac:dyDescent="0.35">
      <c r="B382" s="6">
        <v>45481</v>
      </c>
      <c r="C382" s="7" t="s">
        <v>40</v>
      </c>
      <c r="D382" s="9">
        <v>2.2511023439313101E-2</v>
      </c>
      <c r="E382" s="9">
        <v>2.2511023439313101E-2</v>
      </c>
      <c r="F382" s="9">
        <v>0.14422704641048067</v>
      </c>
      <c r="G382" s="9">
        <v>0.14422704641048067</v>
      </c>
      <c r="H382" s="35">
        <v>2.2261389746450467E-2</v>
      </c>
    </row>
    <row r="383" spans="2:8" x14ac:dyDescent="0.35">
      <c r="B383" s="6">
        <v>45482</v>
      </c>
      <c r="C383" s="7" t="s">
        <v>40</v>
      </c>
      <c r="D383" s="9">
        <v>2.00862460281435E-2</v>
      </c>
      <c r="E383" s="9">
        <v>2.00862460281435E-2</v>
      </c>
      <c r="F383" s="9">
        <v>0.16721027237673747</v>
      </c>
      <c r="G383" s="9">
        <v>0.16721027237673747</v>
      </c>
      <c r="H383" s="35">
        <v>1.9887178651165568E-2</v>
      </c>
    </row>
    <row r="384" spans="2:8" x14ac:dyDescent="0.35">
      <c r="B384" s="6">
        <v>45483</v>
      </c>
      <c r="C384" s="7" t="s">
        <v>40</v>
      </c>
      <c r="D384" s="9">
        <v>8.9980777539474099E-3</v>
      </c>
      <c r="E384" s="9">
        <v>8.9980777539474099E-3</v>
      </c>
      <c r="F384" s="9">
        <v>0.17771292116278947</v>
      </c>
      <c r="G384" s="9">
        <v>0.17771292116278947</v>
      </c>
      <c r="H384" s="35">
        <v>8.9578362695059022E-3</v>
      </c>
    </row>
    <row r="385" spans="2:8" x14ac:dyDescent="0.35">
      <c r="B385" s="6">
        <v>45484</v>
      </c>
      <c r="C385" s="7" t="s">
        <v>40</v>
      </c>
      <c r="D385" s="9">
        <v>4.7153241625107298E-2</v>
      </c>
      <c r="E385" s="9">
        <v>4.7153241625107298E-2</v>
      </c>
      <c r="F385" s="9">
        <v>0.23324590309938942</v>
      </c>
      <c r="G385" s="9">
        <v>0.23324590309938942</v>
      </c>
      <c r="H385" s="35">
        <v>4.607528376211642E-2</v>
      </c>
    </row>
    <row r="386" spans="2:8" x14ac:dyDescent="0.35">
      <c r="B386" s="6">
        <v>45485</v>
      </c>
      <c r="C386" s="7" t="s">
        <v>40</v>
      </c>
      <c r="D386" s="9">
        <v>1.60432914212956E-2</v>
      </c>
      <c r="E386" s="9">
        <v>1.60432914212956E-2</v>
      </c>
      <c r="F386" s="9">
        <v>0.25303122651693166</v>
      </c>
      <c r="G386" s="9">
        <v>0.25303122651693166</v>
      </c>
      <c r="H386" s="35">
        <v>1.5915957915153586E-2</v>
      </c>
    </row>
    <row r="387" spans="2:8" x14ac:dyDescent="0.35">
      <c r="B387" s="6">
        <v>45488</v>
      </c>
      <c r="C387" s="7" t="s">
        <v>40</v>
      </c>
      <c r="D387" s="9">
        <v>1.9356688926537701E-2</v>
      </c>
      <c r="E387" s="9">
        <v>1.9356688926537701E-2</v>
      </c>
      <c r="F387" s="9">
        <v>0.27728576218385803</v>
      </c>
      <c r="G387" s="9">
        <v>0.27728576218385803</v>
      </c>
      <c r="H387" s="35">
        <v>1.9171731192233362E-2</v>
      </c>
    </row>
    <row r="388" spans="2:8" x14ac:dyDescent="0.35">
      <c r="B388" s="6">
        <v>45489</v>
      </c>
      <c r="C388" s="7" t="s">
        <v>40</v>
      </c>
      <c r="D388" s="9">
        <v>3.07343863406929E-2</v>
      </c>
      <c r="E388" s="9">
        <v>3.07343863406929E-2</v>
      </c>
      <c r="F388" s="9">
        <v>0.31654235626628302</v>
      </c>
      <c r="G388" s="9">
        <v>0.31654235626628302</v>
      </c>
      <c r="H388" s="35">
        <v>3.027154462760805E-2</v>
      </c>
    </row>
    <row r="389" spans="2:8" x14ac:dyDescent="0.35">
      <c r="B389" s="6">
        <v>45490</v>
      </c>
      <c r="C389" s="7" t="s">
        <v>40</v>
      </c>
      <c r="D389" s="9">
        <v>-2.9799600439470601E-2</v>
      </c>
      <c r="E389" s="9">
        <v>-2.9799600439470601E-2</v>
      </c>
      <c r="F389" s="9">
        <v>0.27730992008790856</v>
      </c>
      <c r="G389" s="9">
        <v>0.27730992008790856</v>
      </c>
      <c r="H389" s="35">
        <v>-3.025263133794821E-2</v>
      </c>
    </row>
    <row r="390" spans="2:8" x14ac:dyDescent="0.35">
      <c r="B390" s="6">
        <v>45491</v>
      </c>
      <c r="C390" s="7" t="s">
        <v>40</v>
      </c>
      <c r="D390" s="9">
        <v>-3.0289346953925302E-2</v>
      </c>
      <c r="E390" s="9">
        <v>-3.0289346953925302E-2</v>
      </c>
      <c r="F390" s="9">
        <v>0.23862103675067536</v>
      </c>
      <c r="G390" s="9">
        <v>0.23862103675067536</v>
      </c>
      <c r="H390" s="35">
        <v>-3.0757547812547692E-2</v>
      </c>
    </row>
    <row r="391" spans="2:8" x14ac:dyDescent="0.35">
      <c r="B391" s="6">
        <v>45492</v>
      </c>
      <c r="C391" s="7" t="s">
        <v>40</v>
      </c>
      <c r="D391" s="9">
        <v>-3.4156152861584202E-3</v>
      </c>
      <c r="E391" s="9">
        <v>-3.4156152861584202E-3</v>
      </c>
      <c r="F391" s="9">
        <v>0.2343903838037924</v>
      </c>
      <c r="G391" s="9">
        <v>0.2343903838037924</v>
      </c>
      <c r="H391" s="35">
        <v>-3.4214618168459162E-3</v>
      </c>
    </row>
    <row r="392" spans="2:8" x14ac:dyDescent="0.35">
      <c r="B392" s="6">
        <v>45495</v>
      </c>
      <c r="C392" s="7" t="s">
        <v>40</v>
      </c>
      <c r="D392" s="9">
        <v>2.51385851350623E-2</v>
      </c>
      <c r="E392" s="9">
        <v>2.51385851350623E-2</v>
      </c>
      <c r="F392" s="9">
        <v>0.26542121155694631</v>
      </c>
      <c r="G392" s="9">
        <v>0.26542121155694631</v>
      </c>
      <c r="H392" s="35">
        <v>2.482780846081481E-2</v>
      </c>
    </row>
    <row r="393" spans="2:8" x14ac:dyDescent="0.35">
      <c r="B393" s="6">
        <v>45496</v>
      </c>
      <c r="C393" s="7" t="s">
        <v>40</v>
      </c>
      <c r="D393" s="9">
        <v>1.6480133635604501E-2</v>
      </c>
      <c r="E393" s="9">
        <v>1.6480133635604501E-2</v>
      </c>
      <c r="F393" s="9">
        <v>0.2862755222287332</v>
      </c>
      <c r="G393" s="9">
        <v>0.2862755222287332</v>
      </c>
      <c r="H393" s="35">
        <v>1.6345810005072788E-2</v>
      </c>
    </row>
    <row r="394" spans="2:8" x14ac:dyDescent="0.35">
      <c r="B394" s="6">
        <v>45497</v>
      </c>
      <c r="C394" s="7" t="s">
        <v>40</v>
      </c>
      <c r="D394" s="9">
        <v>-1.3607039224708699E-2</v>
      </c>
      <c r="E394" s="9">
        <v>-1.3607039224708699E-2</v>
      </c>
      <c r="F394" s="9">
        <v>0.26877312074398407</v>
      </c>
      <c r="G394" s="9">
        <v>0.26877312074398407</v>
      </c>
      <c r="H394" s="35">
        <v>-1.3700463435556637E-2</v>
      </c>
    </row>
    <row r="395" spans="2:8" x14ac:dyDescent="0.35">
      <c r="B395" s="6">
        <v>45498</v>
      </c>
      <c r="C395" s="7" t="s">
        <v>40</v>
      </c>
      <c r="D395" s="9">
        <v>1.3354436405179001E-2</v>
      </c>
      <c r="E395" s="9">
        <v>1.3354436405179001E-2</v>
      </c>
      <c r="F395" s="9">
        <v>0.28571687069756013</v>
      </c>
      <c r="G395" s="9">
        <v>0.28571687069756013</v>
      </c>
      <c r="H395" s="35">
        <v>1.3266051933022677E-2</v>
      </c>
    </row>
    <row r="396" spans="2:8" x14ac:dyDescent="0.35">
      <c r="B396" s="6">
        <v>45499</v>
      </c>
      <c r="C396" s="7" t="s">
        <v>40</v>
      </c>
      <c r="D396" s="9">
        <v>1.44138515774913E-2</v>
      </c>
      <c r="E396" s="9">
        <v>1.44138515774913E-2</v>
      </c>
      <c r="F396" s="9">
        <v>0.30424900284247114</v>
      </c>
      <c r="G396" s="9">
        <v>0.30424900284247114</v>
      </c>
      <c r="H396" s="35">
        <v>1.4310959553861479E-2</v>
      </c>
    </row>
    <row r="397" spans="2:8" x14ac:dyDescent="0.35">
      <c r="B397" s="6">
        <v>45502</v>
      </c>
      <c r="C397" s="7" t="s">
        <v>40</v>
      </c>
      <c r="D397" s="9">
        <v>-1.9640756827843001E-2</v>
      </c>
      <c r="E397" s="9">
        <v>-1.9640756827843001E-2</v>
      </c>
      <c r="F397" s="9">
        <v>0.27863256533468528</v>
      </c>
      <c r="G397" s="9">
        <v>0.27863256533468528</v>
      </c>
      <c r="H397" s="35">
        <v>-1.9836199824130638E-2</v>
      </c>
    </row>
    <row r="398" spans="2:8" x14ac:dyDescent="0.35">
      <c r="B398" s="6">
        <v>45503</v>
      </c>
      <c r="C398" s="7" t="s">
        <v>40</v>
      </c>
      <c r="D398" s="9">
        <v>-1.2854696817618401E-2</v>
      </c>
      <c r="E398" s="9">
        <v>-1.2854696817618401E-2</v>
      </c>
      <c r="F398" s="9">
        <v>0.26219613136617426</v>
      </c>
      <c r="G398" s="9">
        <v>0.26219613136617426</v>
      </c>
      <c r="H398" s="35">
        <v>-1.2938033380588975E-2</v>
      </c>
    </row>
    <row r="399" spans="2:8" x14ac:dyDescent="0.35">
      <c r="B399" s="6">
        <v>45504</v>
      </c>
      <c r="C399" s="7" t="s">
        <v>40</v>
      </c>
      <c r="D399" s="9">
        <v>6.7084228507447502E-3</v>
      </c>
      <c r="E399" s="9">
        <v>6.7084228507447502E-3</v>
      </c>
      <c r="F399" s="9">
        <v>0.27066347673595281</v>
      </c>
      <c r="G399" s="9">
        <v>0.27066347673595281</v>
      </c>
      <c r="H399" s="35">
        <v>6.6860215114693065E-3</v>
      </c>
    </row>
    <row r="400" spans="2:8" x14ac:dyDescent="0.35">
      <c r="B400" s="6">
        <v>45505</v>
      </c>
      <c r="C400" s="7" t="s">
        <v>40</v>
      </c>
      <c r="D400" s="9">
        <v>-2.5022220321018199E-2</v>
      </c>
      <c r="E400" s="9">
        <v>-2.5022220321018199E-2</v>
      </c>
      <c r="F400" s="9">
        <v>0.23886865526719481</v>
      </c>
      <c r="G400" s="9">
        <v>0.23886865526719481</v>
      </c>
      <c r="H400" s="35">
        <v>-2.5340598316826706E-2</v>
      </c>
    </row>
    <row r="401" spans="2:8" x14ac:dyDescent="0.35">
      <c r="B401" s="6">
        <v>45506</v>
      </c>
      <c r="C401" s="7" t="s">
        <v>40</v>
      </c>
      <c r="D401" s="9">
        <v>-3.71328216215688E-2</v>
      </c>
      <c r="E401" s="9">
        <v>-3.71328216215688E-2</v>
      </c>
      <c r="F401" s="9">
        <v>0.19286596647860521</v>
      </c>
      <c r="G401" s="9">
        <v>0.19286596647860521</v>
      </c>
      <c r="H401" s="35">
        <v>-3.7839801537190784E-2</v>
      </c>
    </row>
    <row r="402" spans="2:8" x14ac:dyDescent="0.35">
      <c r="B402" s="6">
        <v>45509</v>
      </c>
      <c r="C402" s="7" t="s">
        <v>40</v>
      </c>
      <c r="D402" s="9">
        <v>-3.5284021436726501E-2</v>
      </c>
      <c r="E402" s="9">
        <v>-3.5284021436726501E-2</v>
      </c>
      <c r="F402" s="9">
        <v>0.15077685814623254</v>
      </c>
      <c r="G402" s="9">
        <v>0.15077685814623254</v>
      </c>
      <c r="H402" s="35">
        <v>-3.5921543696946105E-2</v>
      </c>
    </row>
    <row r="403" spans="2:8" x14ac:dyDescent="0.35">
      <c r="B403" s="6">
        <v>45510</v>
      </c>
      <c r="C403" s="7" t="s">
        <v>40</v>
      </c>
      <c r="D403" s="9">
        <v>1.62745844103022E-2</v>
      </c>
      <c r="E403" s="9">
        <v>1.62745844103022E-2</v>
      </c>
      <c r="F403" s="9">
        <v>0.16950527326155584</v>
      </c>
      <c r="G403" s="9">
        <v>0.16950527326155584</v>
      </c>
      <c r="H403" s="35">
        <v>1.6143572888928929E-2</v>
      </c>
    </row>
    <row r="404" spans="2:8" x14ac:dyDescent="0.35">
      <c r="B404" s="6">
        <v>45511</v>
      </c>
      <c r="C404" s="7" t="s">
        <v>40</v>
      </c>
      <c r="D404" s="9">
        <v>-3.0424465577207599E-2</v>
      </c>
      <c r="E404" s="9">
        <v>-3.0424465577207599E-2</v>
      </c>
      <c r="F404" s="9">
        <v>0.13392370033284684</v>
      </c>
      <c r="G404" s="9">
        <v>0.13392370033284684</v>
      </c>
      <c r="H404" s="35">
        <v>-3.0896896635195993E-2</v>
      </c>
    </row>
    <row r="405" spans="2:8" x14ac:dyDescent="0.35">
      <c r="B405" s="6">
        <v>45512</v>
      </c>
      <c r="C405" s="7" t="s">
        <v>40</v>
      </c>
      <c r="D405" s="9">
        <v>2.7246047978183901E-2</v>
      </c>
      <c r="E405" s="9">
        <v>2.7246047978183901E-2</v>
      </c>
      <c r="F405" s="9">
        <v>0.16481863987571543</v>
      </c>
      <c r="G405" s="9">
        <v>0.16481863987571543</v>
      </c>
      <c r="H405" s="35">
        <v>2.6881481587984053E-2</v>
      </c>
    </row>
    <row r="406" spans="2:8" x14ac:dyDescent="0.35">
      <c r="B406" s="6">
        <v>45513</v>
      </c>
      <c r="C406" s="7" t="s">
        <v>40</v>
      </c>
      <c r="D406" s="9">
        <v>8.9284094002359902E-3</v>
      </c>
      <c r="E406" s="9">
        <v>8.9284094002359902E-3</v>
      </c>
      <c r="F406" s="9">
        <v>0.17521861756955182</v>
      </c>
      <c r="G406" s="9">
        <v>0.17521861756955182</v>
      </c>
      <c r="H406" s="35">
        <v>8.8887868227767574E-3</v>
      </c>
    </row>
    <row r="407" spans="2:8" x14ac:dyDescent="0.35">
      <c r="B407" s="6">
        <v>45516</v>
      </c>
      <c r="C407" s="7" t="s">
        <v>40</v>
      </c>
      <c r="D407" s="9">
        <v>4.3270577292197198E-3</v>
      </c>
      <c r="E407" s="9">
        <v>4.3270577292197198E-3</v>
      </c>
      <c r="F407" s="9">
        <v>0.18030385637222923</v>
      </c>
      <c r="G407" s="9">
        <v>0.18030385637222923</v>
      </c>
      <c r="H407" s="35">
        <v>4.317722933369887E-3</v>
      </c>
    </row>
    <row r="408" spans="2:8" x14ac:dyDescent="0.35">
      <c r="B408" s="6">
        <v>45517</v>
      </c>
      <c r="C408" s="7" t="s">
        <v>40</v>
      </c>
      <c r="D408" s="9">
        <v>1.55348549235922E-2</v>
      </c>
      <c r="E408" s="9">
        <v>1.55348549235922E-2</v>
      </c>
      <c r="F408" s="9">
        <v>0.19863970554672838</v>
      </c>
      <c r="G408" s="9">
        <v>0.19863970554672838</v>
      </c>
      <c r="H408" s="35">
        <v>1.5415424367642193E-2</v>
      </c>
    </row>
    <row r="409" spans="2:8" x14ac:dyDescent="0.35">
      <c r="B409" s="6">
        <v>45518</v>
      </c>
      <c r="C409" s="7" t="s">
        <v>40</v>
      </c>
      <c r="D409" s="9">
        <v>-1.3173441495458999E-2</v>
      </c>
      <c r="E409" s="9">
        <v>-1.3173441495458999E-2</v>
      </c>
      <c r="F409" s="9">
        <v>0.18284949551157448</v>
      </c>
      <c r="G409" s="9">
        <v>0.18284949551157448</v>
      </c>
      <c r="H409" s="35">
        <v>-1.3260980922848713E-2</v>
      </c>
    </row>
    <row r="410" spans="2:8" x14ac:dyDescent="0.35">
      <c r="B410" s="6">
        <v>45519</v>
      </c>
      <c r="C410" s="7" t="s">
        <v>40</v>
      </c>
      <c r="D410" s="9">
        <v>2.7015159328680202E-2</v>
      </c>
      <c r="E410" s="9">
        <v>2.7015159328680202E-2</v>
      </c>
      <c r="F410" s="9">
        <v>0.21480436309466877</v>
      </c>
      <c r="G410" s="9">
        <v>0.21480436309466877</v>
      </c>
      <c r="H410" s="35">
        <v>2.6656691624901752E-2</v>
      </c>
    </row>
    <row r="411" spans="2:8" x14ac:dyDescent="0.35">
      <c r="B411" s="6">
        <v>45520</v>
      </c>
      <c r="C411" s="7" t="s">
        <v>40</v>
      </c>
      <c r="D411" s="9">
        <v>-1.46909676649573E-3</v>
      </c>
      <c r="E411" s="9">
        <v>-1.46909676649573E-3</v>
      </c>
      <c r="F411" s="9">
        <v>0.21301969793292153</v>
      </c>
      <c r="G411" s="9">
        <v>0.21301969793292153</v>
      </c>
      <c r="H411" s="35">
        <v>-1.4701769472067008E-3</v>
      </c>
    </row>
    <row r="412" spans="2:8" x14ac:dyDescent="0.35">
      <c r="B412" s="6">
        <v>45523</v>
      </c>
      <c r="C412" s="7" t="s">
        <v>40</v>
      </c>
      <c r="D412" s="9">
        <v>2.8573775756353802E-2</v>
      </c>
      <c r="E412" s="9">
        <v>2.8573775756353802E-2</v>
      </c>
      <c r="F412" s="9">
        <v>0.24768025076969691</v>
      </c>
      <c r="G412" s="9">
        <v>0.24768025076969691</v>
      </c>
      <c r="H412" s="35">
        <v>2.817315894943655E-2</v>
      </c>
    </row>
    <row r="413" spans="2:8" x14ac:dyDescent="0.35">
      <c r="B413" s="6">
        <v>45524</v>
      </c>
      <c r="C413" s="7" t="s">
        <v>40</v>
      </c>
      <c r="D413" s="9">
        <v>-2.9261208930841699E-3</v>
      </c>
      <c r="E413" s="9">
        <v>-2.9261208930841699E-3</v>
      </c>
      <c r="F413" s="9">
        <v>0.24402938752003123</v>
      </c>
      <c r="G413" s="9">
        <v>0.24402938752003123</v>
      </c>
      <c r="H413" s="35">
        <v>-2.9304103545234124E-3</v>
      </c>
    </row>
    <row r="414" spans="2:8" x14ac:dyDescent="0.35">
      <c r="B414" s="6">
        <v>45525</v>
      </c>
      <c r="C414" s="7" t="s">
        <v>40</v>
      </c>
      <c r="D414" s="9">
        <v>1.55012792317815E-2</v>
      </c>
      <c r="E414" s="9">
        <v>1.55012792317815E-2</v>
      </c>
      <c r="F414" s="9">
        <v>0.26331343442852129</v>
      </c>
      <c r="G414" s="9">
        <v>0.26331343442852129</v>
      </c>
      <c r="H414" s="35">
        <v>1.538236174384219E-2</v>
      </c>
    </row>
    <row r="415" spans="2:8" x14ac:dyDescent="0.35">
      <c r="B415" s="6">
        <v>45526</v>
      </c>
      <c r="C415" s="7" t="s">
        <v>40</v>
      </c>
      <c r="D415" s="9">
        <v>-2.2445213600030801E-2</v>
      </c>
      <c r="E415" s="9">
        <v>-2.2445213600030801E-2</v>
      </c>
      <c r="F415" s="9">
        <v>0.23495809454898464</v>
      </c>
      <c r="G415" s="9">
        <v>0.23495809454898464</v>
      </c>
      <c r="H415" s="35">
        <v>-2.2700941225217708E-2</v>
      </c>
    </row>
    <row r="416" spans="2:8" x14ac:dyDescent="0.35">
      <c r="B416" s="6">
        <v>45527</v>
      </c>
      <c r="C416" s="7" t="s">
        <v>40</v>
      </c>
      <c r="D416" s="9">
        <v>2.4082922129684499E-2</v>
      </c>
      <c r="E416" s="9">
        <v>2.4082922129684499E-2</v>
      </c>
      <c r="F416" s="9">
        <v>0.26469949417343153</v>
      </c>
      <c r="G416" s="9">
        <v>0.26469949417343153</v>
      </c>
      <c r="H416" s="35">
        <v>2.3797501980992852E-2</v>
      </c>
    </row>
    <row r="417" spans="2:8" x14ac:dyDescent="0.35">
      <c r="B417" s="6">
        <v>45530</v>
      </c>
      <c r="C417" s="7" t="s">
        <v>40</v>
      </c>
      <c r="D417" s="9">
        <v>5.0118072352445904E-3</v>
      </c>
      <c r="E417" s="9">
        <v>5.0118072352445904E-3</v>
      </c>
      <c r="F417" s="9">
        <v>0.27103792424873996</v>
      </c>
      <c r="G417" s="9">
        <v>0.27103792424873996</v>
      </c>
      <c r="H417" s="35">
        <v>4.9992899348066952E-3</v>
      </c>
    </row>
    <row r="418" spans="2:8" x14ac:dyDescent="0.35">
      <c r="B418" s="6">
        <v>45531</v>
      </c>
      <c r="C418" s="7" t="s">
        <v>40</v>
      </c>
      <c r="D418" s="9">
        <v>-1.05509491340193E-2</v>
      </c>
      <c r="E418" s="9">
        <v>-1.05509491340193E-2</v>
      </c>
      <c r="F418" s="9">
        <v>0.25762726776258194</v>
      </c>
      <c r="G418" s="9">
        <v>0.25762726776258194</v>
      </c>
      <c r="H418" s="35">
        <v>-1.0607005041835099E-2</v>
      </c>
    </row>
    <row r="419" spans="2:8" x14ac:dyDescent="0.35">
      <c r="B419" s="6">
        <v>45532</v>
      </c>
      <c r="C419" s="7" t="s">
        <v>40</v>
      </c>
      <c r="D419" s="9">
        <v>-4.9127305993963101E-3</v>
      </c>
      <c r="E419" s="9">
        <v>-4.9127305993963101E-3</v>
      </c>
      <c r="F419" s="9">
        <v>0.25144888380160957</v>
      </c>
      <c r="G419" s="9">
        <v>0.25144888380160957</v>
      </c>
      <c r="H419" s="35">
        <v>-4.9248377293556059E-3</v>
      </c>
    </row>
    <row r="420" spans="2:8" x14ac:dyDescent="0.35">
      <c r="B420" s="6">
        <v>45533</v>
      </c>
      <c r="C420" s="7" t="s">
        <v>40</v>
      </c>
      <c r="D420" s="9">
        <v>1.91350383545308E-3</v>
      </c>
      <c r="E420" s="9">
        <v>1.91350383545308E-3</v>
      </c>
      <c r="F420" s="9">
        <v>0.25384353604063747</v>
      </c>
      <c r="G420" s="9">
        <v>0.25384353604063747</v>
      </c>
      <c r="H420" s="35">
        <v>1.9116754190719972E-3</v>
      </c>
    </row>
    <row r="421" spans="2:8" x14ac:dyDescent="0.35">
      <c r="B421" s="6">
        <v>45534</v>
      </c>
      <c r="C421" s="7" t="s">
        <v>40</v>
      </c>
      <c r="D421" s="9">
        <v>9.5877808176951396E-3</v>
      </c>
      <c r="E421" s="9">
        <v>9.5877808176951396E-3</v>
      </c>
      <c r="F421" s="9">
        <v>0.26586511304387894</v>
      </c>
      <c r="G421" s="9">
        <v>0.26586511304387894</v>
      </c>
      <c r="H421" s="35">
        <v>9.5421097380032592E-3</v>
      </c>
    </row>
    <row r="422" spans="2:8" x14ac:dyDescent="0.35">
      <c r="B422" s="6">
        <v>45538</v>
      </c>
      <c r="C422" s="7" t="s">
        <v>40</v>
      </c>
      <c r="D422" s="9">
        <v>-2.81776825692934E-2</v>
      </c>
      <c r="E422" s="9">
        <v>-2.81776825692934E-2</v>
      </c>
      <c r="F422" s="9">
        <v>0.23019596771298567</v>
      </c>
      <c r="G422" s="9">
        <v>0.23019596771298567</v>
      </c>
      <c r="H422" s="35">
        <v>-2.8582292229052179E-2</v>
      </c>
    </row>
    <row r="423" spans="2:8" x14ac:dyDescent="0.35">
      <c r="B423" s="6">
        <v>45539</v>
      </c>
      <c r="C423" s="7" t="s">
        <v>40</v>
      </c>
      <c r="D423" s="9">
        <v>7.6291468758054896E-3</v>
      </c>
      <c r="E423" s="9">
        <v>7.6291468758054896E-3</v>
      </c>
      <c r="F423" s="9">
        <v>0.23958131343669153</v>
      </c>
      <c r="G423" s="9">
        <v>0.23958131343669153</v>
      </c>
      <c r="H423" s="35">
        <v>7.6001921083141575E-3</v>
      </c>
    </row>
    <row r="424" spans="2:8" x14ac:dyDescent="0.35">
      <c r="B424" s="6">
        <v>45540</v>
      </c>
      <c r="C424" s="7" t="s">
        <v>40</v>
      </c>
      <c r="D424" s="9">
        <v>-9.6712976835169201E-4</v>
      </c>
      <c r="E424" s="9">
        <v>-9.6712976835169201E-4</v>
      </c>
      <c r="F424" s="9">
        <v>0.23838247744817442</v>
      </c>
      <c r="G424" s="9">
        <v>0.23838247744817442</v>
      </c>
      <c r="H424" s="35">
        <v>-9.6759774009668722E-4</v>
      </c>
    </row>
    <row r="425" spans="2:8" x14ac:dyDescent="0.35">
      <c r="B425" s="6">
        <v>45541</v>
      </c>
      <c r="C425" s="7" t="s">
        <v>40</v>
      </c>
      <c r="D425" s="9">
        <v>-1.8410323436463601E-2</v>
      </c>
      <c r="E425" s="9">
        <v>-1.8410323436463601E-2</v>
      </c>
      <c r="F425" s="9">
        <v>0.21558345550030444</v>
      </c>
      <c r="G425" s="9">
        <v>0.21558345550030444</v>
      </c>
      <c r="H425" s="35">
        <v>-1.8581902589051461E-2</v>
      </c>
    </row>
    <row r="426" spans="2:8" x14ac:dyDescent="0.35">
      <c r="B426" s="6">
        <v>45544</v>
      </c>
      <c r="C426" s="7" t="s">
        <v>40</v>
      </c>
      <c r="D426" s="9">
        <v>1.8730778594247599E-2</v>
      </c>
      <c r="E426" s="9">
        <v>1.8730778594247599E-2</v>
      </c>
      <c r="F426" s="9">
        <v>0.23835228006811104</v>
      </c>
      <c r="G426" s="9">
        <v>0.23835228006811104</v>
      </c>
      <c r="H426" s="35">
        <v>1.8557517757390986E-2</v>
      </c>
    </row>
    <row r="427" spans="2:8" x14ac:dyDescent="0.35">
      <c r="B427" s="6">
        <v>45545</v>
      </c>
      <c r="C427" s="7" t="s">
        <v>40</v>
      </c>
      <c r="D427" s="9">
        <v>3.0774032763857101E-3</v>
      </c>
      <c r="E427" s="9">
        <v>3.0774032763857101E-3</v>
      </c>
      <c r="F427" s="9">
        <v>0.24216318943211235</v>
      </c>
      <c r="G427" s="9">
        <v>0.24216318943211235</v>
      </c>
      <c r="H427" s="35">
        <v>3.0726777633136209E-3</v>
      </c>
    </row>
    <row r="428" spans="2:8" x14ac:dyDescent="0.35">
      <c r="B428" s="6">
        <v>45546</v>
      </c>
      <c r="C428" s="7" t="s">
        <v>40</v>
      </c>
      <c r="D428" s="9">
        <v>-1.4561879479175199E-3</v>
      </c>
      <c r="E428" s="9">
        <v>-1.4561879479175199E-3</v>
      </c>
      <c r="F428" s="9">
        <v>0.24035436636631435</v>
      </c>
      <c r="G428" s="9">
        <v>0.24035436636631435</v>
      </c>
      <c r="H428" s="35">
        <v>-1.4572492199869235E-3</v>
      </c>
    </row>
    <row r="429" spans="2:8" x14ac:dyDescent="0.35">
      <c r="B429" s="6">
        <v>45547</v>
      </c>
      <c r="C429" s="7" t="s">
        <v>40</v>
      </c>
      <c r="D429" s="9">
        <v>9.8356904094728604E-4</v>
      </c>
      <c r="E429" s="9">
        <v>9.8356904094728604E-4</v>
      </c>
      <c r="F429" s="9">
        <v>0.2415743405208759</v>
      </c>
      <c r="G429" s="9">
        <v>0.2415743405208759</v>
      </c>
      <c r="H429" s="35">
        <v>9.8308565385513895E-4</v>
      </c>
    </row>
    <row r="430" spans="2:8" x14ac:dyDescent="0.35">
      <c r="B430" s="6">
        <v>45548</v>
      </c>
      <c r="C430" s="7" t="s">
        <v>40</v>
      </c>
      <c r="D430" s="9">
        <v>3.2615595654172401E-2</v>
      </c>
      <c r="E430" s="9">
        <v>3.2615595654172401E-2</v>
      </c>
      <c r="F430" s="9">
        <v>0.28206902718590054</v>
      </c>
      <c r="G430" s="9">
        <v>0.28206902718590054</v>
      </c>
      <c r="H430" s="35">
        <v>3.2094996636373968E-2</v>
      </c>
    </row>
    <row r="431" spans="2:8" x14ac:dyDescent="0.35">
      <c r="B431" s="6">
        <v>45551</v>
      </c>
      <c r="C431" s="7" t="s">
        <v>40</v>
      </c>
      <c r="D431" s="9">
        <v>-8.0836059666055792E-3</v>
      </c>
      <c r="E431" s="9">
        <v>-8.0836059666055792E-3</v>
      </c>
      <c r="F431" s="9">
        <v>0.2717052863481404</v>
      </c>
      <c r="G431" s="9">
        <v>0.2717052863481404</v>
      </c>
      <c r="H431" s="35">
        <v>-8.1164554573123736E-3</v>
      </c>
    </row>
    <row r="432" spans="2:8" x14ac:dyDescent="0.35">
      <c r="B432" s="6">
        <v>45552</v>
      </c>
      <c r="C432" s="7" t="s">
        <v>40</v>
      </c>
      <c r="D432" s="9">
        <v>1.4698514239036801E-3</v>
      </c>
      <c r="E432" s="9">
        <v>1.4698514239036801E-3</v>
      </c>
      <c r="F432" s="9">
        <v>0.27357450417406515</v>
      </c>
      <c r="G432" s="9">
        <v>0.27357450417406515</v>
      </c>
      <c r="H432" s="35">
        <v>1.4687722496540361E-3</v>
      </c>
    </row>
    <row r="433" spans="2:8" x14ac:dyDescent="0.35">
      <c r="B433" s="6">
        <v>45553</v>
      </c>
      <c r="C433" s="7" t="s">
        <v>40</v>
      </c>
      <c r="D433" s="9">
        <v>1.7711914641377301E-3</v>
      </c>
      <c r="E433" s="9">
        <v>1.7711914641377301E-3</v>
      </c>
      <c r="F433" s="9">
        <v>0.27583024846480164</v>
      </c>
      <c r="G433" s="9">
        <v>0.27583024846480164</v>
      </c>
      <c r="H433" s="35">
        <v>1.7696247542256587E-3</v>
      </c>
    </row>
    <row r="434" spans="2:8" x14ac:dyDescent="0.35">
      <c r="B434" s="6">
        <v>45554</v>
      </c>
      <c r="C434" s="7" t="s">
        <v>40</v>
      </c>
      <c r="D434" s="9">
        <v>2.3959933443314201E-2</v>
      </c>
      <c r="E434" s="9">
        <v>2.3959933443314201E-2</v>
      </c>
      <c r="F434" s="9">
        <v>0.30639905630298547</v>
      </c>
      <c r="G434" s="9">
        <v>0.30639905630298547</v>
      </c>
      <c r="H434" s="35">
        <v>2.3677398355052157E-2</v>
      </c>
    </row>
    <row r="435" spans="2:8" x14ac:dyDescent="0.35">
      <c r="B435" s="6">
        <v>45555</v>
      </c>
      <c r="C435" s="7" t="s">
        <v>40</v>
      </c>
      <c r="D435" s="9">
        <v>-1.1587536406084E-2</v>
      </c>
      <c r="E435" s="9">
        <v>-1.1587536406084E-2</v>
      </c>
      <c r="F435" s="9">
        <v>0.29126110967720087</v>
      </c>
      <c r="G435" s="9">
        <v>0.29126110967720087</v>
      </c>
      <c r="H435" s="35">
        <v>-1.1655195078796461E-2</v>
      </c>
    </row>
    <row r="436" spans="2:8" x14ac:dyDescent="0.35">
      <c r="B436" s="6">
        <v>45558</v>
      </c>
      <c r="C436" s="7" t="s">
        <v>40</v>
      </c>
      <c r="D436" s="9">
        <v>-3.1606124315083597E-2</v>
      </c>
      <c r="E436" s="9">
        <v>-3.1606124315083597E-2</v>
      </c>
      <c r="F436" s="9">
        <v>0.25044935052151041</v>
      </c>
      <c r="G436" s="9">
        <v>0.25044935052151041</v>
      </c>
      <c r="H436" s="35">
        <v>-3.211637809672313E-2</v>
      </c>
    </row>
    <row r="437" spans="2:8" x14ac:dyDescent="0.35">
      <c r="B437" s="6">
        <v>45559</v>
      </c>
      <c r="C437" s="7" t="s">
        <v>40</v>
      </c>
      <c r="D437" s="9">
        <v>1.47551751784626E-3</v>
      </c>
      <c r="E437" s="9">
        <v>1.47551751784626E-3</v>
      </c>
      <c r="F437" s="9">
        <v>0.25229441044338441</v>
      </c>
      <c r="G437" s="9">
        <v>0.25229441044338441</v>
      </c>
      <c r="H437" s="35">
        <v>1.4744300114985229E-3</v>
      </c>
    </row>
    <row r="438" spans="2:8" x14ac:dyDescent="0.35">
      <c r="B438" s="6">
        <v>45560</v>
      </c>
      <c r="C438" s="7" t="s">
        <v>40</v>
      </c>
      <c r="D438" s="9">
        <v>-1.0347164115041401E-2</v>
      </c>
      <c r="E438" s="9">
        <v>-1.0347164115041401E-2</v>
      </c>
      <c r="F438" s="9">
        <v>0.23933671465817774</v>
      </c>
      <c r="G438" s="9">
        <v>0.23933671465817774</v>
      </c>
      <c r="H438" s="35">
        <v>-1.0401068176166553E-2</v>
      </c>
    </row>
    <row r="439" spans="2:8" x14ac:dyDescent="0.35">
      <c r="B439" s="6">
        <v>45561</v>
      </c>
      <c r="C439" s="7" t="s">
        <v>40</v>
      </c>
      <c r="D439" s="9">
        <v>1.27676578657544E-3</v>
      </c>
      <c r="E439" s="9">
        <v>1.27676578657544E-3</v>
      </c>
      <c r="F439" s="9">
        <v>0.24091905737350028</v>
      </c>
      <c r="G439" s="9">
        <v>0.24091905737350028</v>
      </c>
      <c r="H439" s="35">
        <v>1.2759514142401103E-3</v>
      </c>
    </row>
    <row r="440" spans="2:8" x14ac:dyDescent="0.35">
      <c r="B440" s="6">
        <v>45562</v>
      </c>
      <c r="C440" s="7" t="s">
        <v>40</v>
      </c>
      <c r="D440" s="9">
        <v>2.04411392528289E-3</v>
      </c>
      <c r="E440" s="9">
        <v>2.04411392528289E-3</v>
      </c>
      <c r="F440" s="9">
        <v>0.24345563729882636</v>
      </c>
      <c r="G440" s="9">
        <v>0.24345563729882636</v>
      </c>
      <c r="H440" s="35">
        <v>2.0420275670985778E-3</v>
      </c>
    </row>
    <row r="441" spans="2:8" x14ac:dyDescent="0.35">
      <c r="B441" s="6">
        <v>45565</v>
      </c>
      <c r="C441" s="7" t="s">
        <v>40</v>
      </c>
      <c r="D441" s="9">
        <v>4.4271642834939002E-3</v>
      </c>
      <c r="E441" s="9">
        <v>4.4271642834939002E-3</v>
      </c>
      <c r="F441" s="9">
        <v>0.24896061968438477</v>
      </c>
      <c r="G441" s="9">
        <v>0.24896061968438477</v>
      </c>
      <c r="H441" s="35">
        <v>4.4173932198189967E-3</v>
      </c>
    </row>
    <row r="442" spans="2:8" x14ac:dyDescent="0.35">
      <c r="B442" s="6">
        <v>45566</v>
      </c>
      <c r="C442" s="7" t="s">
        <v>40</v>
      </c>
      <c r="D442" s="9">
        <v>-1.0369947702968301E-2</v>
      </c>
      <c r="E442" s="9">
        <v>-1.0369947702968301E-2</v>
      </c>
      <c r="F442" s="9">
        <v>0.23600896337519073</v>
      </c>
      <c r="G442" s="9">
        <v>0.23600896337519073</v>
      </c>
      <c r="H442" s="35">
        <v>-1.0424090239423795E-2</v>
      </c>
    </row>
    <row r="443" spans="2:8" x14ac:dyDescent="0.35">
      <c r="B443" s="6">
        <v>45567</v>
      </c>
      <c r="C443" s="7" t="s">
        <v>40</v>
      </c>
      <c r="D443" s="9">
        <v>2.33075175295015E-3</v>
      </c>
      <c r="E443" s="9">
        <v>2.33075175295015E-3</v>
      </c>
      <c r="F443" s="9">
        <v>0.23888979343323946</v>
      </c>
      <c r="G443" s="9">
        <v>0.23888979343323946</v>
      </c>
      <c r="H443" s="35">
        <v>2.328039764247268E-3</v>
      </c>
    </row>
    <row r="444" spans="2:8" x14ac:dyDescent="0.35">
      <c r="B444" s="6">
        <v>45568</v>
      </c>
      <c r="C444" s="7" t="s">
        <v>40</v>
      </c>
      <c r="D444" s="9">
        <v>-1.20020279624828E-2</v>
      </c>
      <c r="E444" s="9">
        <v>-1.20020279624828E-2</v>
      </c>
      <c r="F444" s="9">
        <v>0.22402060349001918</v>
      </c>
      <c r="G444" s="9">
        <v>0.22402060349001918</v>
      </c>
      <c r="H444" s="35">
        <v>-1.2074633829981925E-2</v>
      </c>
    </row>
    <row r="445" spans="2:8" x14ac:dyDescent="0.35">
      <c r="B445" s="6">
        <v>45569</v>
      </c>
      <c r="C445" s="7" t="s">
        <v>40</v>
      </c>
      <c r="D445" s="9">
        <v>1.23131198500025E-2</v>
      </c>
      <c r="E445" s="9">
        <v>1.23131198500025E-2</v>
      </c>
      <c r="F445" s="9">
        <v>0.23909211587966439</v>
      </c>
      <c r="G445" s="9">
        <v>0.23909211587966439</v>
      </c>
      <c r="H445" s="35">
        <v>1.2237929975215271E-2</v>
      </c>
    </row>
    <row r="446" spans="2:8" x14ac:dyDescent="0.35">
      <c r="B446" s="6">
        <v>45572</v>
      </c>
      <c r="C446" s="7" t="s">
        <v>40</v>
      </c>
      <c r="D446" s="9">
        <v>-1.5482622565684801E-2</v>
      </c>
      <c r="E446" s="9">
        <v>-1.5482622565684801E-2</v>
      </c>
      <c r="F446" s="9">
        <v>0.21990772032538386</v>
      </c>
      <c r="G446" s="9">
        <v>0.21990772032538386</v>
      </c>
      <c r="H446" s="35">
        <v>-1.5603730033528419E-2</v>
      </c>
    </row>
    <row r="447" spans="2:8" x14ac:dyDescent="0.35">
      <c r="B447" s="6">
        <v>45573</v>
      </c>
      <c r="C447" s="7" t="s">
        <v>40</v>
      </c>
      <c r="D447" s="9">
        <v>1.1854605943888E-2</v>
      </c>
      <c r="E447" s="9">
        <v>1.1854605943888E-2</v>
      </c>
      <c r="F447" s="9">
        <v>0.23436924563774797</v>
      </c>
      <c r="G447" s="9">
        <v>0.23436924563774797</v>
      </c>
      <c r="H447" s="35">
        <v>1.1784890527827495E-2</v>
      </c>
    </row>
    <row r="448" spans="2:8" x14ac:dyDescent="0.35">
      <c r="B448" s="6">
        <v>45574</v>
      </c>
      <c r="C448" s="7" t="s">
        <v>40</v>
      </c>
      <c r="D448" s="9">
        <v>-1.3310761387294E-2</v>
      </c>
      <c r="E448" s="9">
        <v>-1.3310761387294E-2</v>
      </c>
      <c r="F448" s="9">
        <v>0.2179388511452498</v>
      </c>
      <c r="G448" s="9">
        <v>0.2179388511452498</v>
      </c>
      <c r="H448" s="35">
        <v>-1.3400143621477501E-2</v>
      </c>
    </row>
    <row r="449" spans="2:8" x14ac:dyDescent="0.35">
      <c r="B449" s="6">
        <v>45575</v>
      </c>
      <c r="C449" s="7" t="s">
        <v>40</v>
      </c>
      <c r="D449" s="9">
        <v>-4.2223908203289596E-3</v>
      </c>
      <c r="E449" s="9">
        <v>-4.2223908203289596E-3</v>
      </c>
      <c r="F449" s="9">
        <v>0.21279623732045216</v>
      </c>
      <c r="G449" s="9">
        <v>0.21279623732045216</v>
      </c>
      <c r="H449" s="35">
        <v>-4.2313302852661893E-3</v>
      </c>
    </row>
    <row r="450" spans="2:8" x14ac:dyDescent="0.35">
      <c r="B450" s="6">
        <v>45576</v>
      </c>
      <c r="C450" s="7" t="s">
        <v>40</v>
      </c>
      <c r="D450" s="9">
        <v>3.5998934323980603E-2</v>
      </c>
      <c r="E450" s="9">
        <v>3.5998934323980603E-2</v>
      </c>
      <c r="F450" s="9">
        <v>0.25645560941612189</v>
      </c>
      <c r="G450" s="9">
        <v>0.25645560941612189</v>
      </c>
      <c r="H450" s="35">
        <v>3.5366115191955892E-2</v>
      </c>
    </row>
    <row r="451" spans="2:8" x14ac:dyDescent="0.35">
      <c r="B451" s="6">
        <v>45579</v>
      </c>
      <c r="C451" s="7" t="s">
        <v>40</v>
      </c>
      <c r="D451" s="9">
        <v>5.4148110584235302E-3</v>
      </c>
      <c r="E451" s="9">
        <v>5.4148110584235302E-3</v>
      </c>
      <c r="F451" s="9">
        <v>0.26325907914440672</v>
      </c>
      <c r="G451" s="9">
        <v>0.26325907914440672</v>
      </c>
      <c r="H451" s="35">
        <v>5.4002036761090716E-3</v>
      </c>
    </row>
    <row r="452" spans="2:8" x14ac:dyDescent="0.35">
      <c r="B452" s="6">
        <v>45580</v>
      </c>
      <c r="C452" s="7" t="s">
        <v>40</v>
      </c>
      <c r="D452" s="9">
        <v>8.0294692757461907E-3</v>
      </c>
      <c r="E452" s="9">
        <v>8.0294692757461907E-3</v>
      </c>
      <c r="F452" s="9">
        <v>0.27340237910770404</v>
      </c>
      <c r="G452" s="9">
        <v>0.27340237910770404</v>
      </c>
      <c r="H452" s="35">
        <v>7.9974046144363747E-3</v>
      </c>
    </row>
    <row r="453" spans="2:8" x14ac:dyDescent="0.35">
      <c r="B453" s="6">
        <v>45581</v>
      </c>
      <c r="C453" s="7" t="s">
        <v>40</v>
      </c>
      <c r="D453" s="9">
        <v>2.1157571977718202E-2</v>
      </c>
      <c r="E453" s="9">
        <v>2.1157571977718202E-2</v>
      </c>
      <c r="F453" s="9">
        <v>0.30034448160027294</v>
      </c>
      <c r="G453" s="9">
        <v>0.30034448160027294</v>
      </c>
      <c r="H453" s="35">
        <v>2.0936858300889462E-2</v>
      </c>
    </row>
    <row r="454" spans="2:8" x14ac:dyDescent="0.35">
      <c r="B454" s="6">
        <v>45582</v>
      </c>
      <c r="C454" s="7" t="s">
        <v>40</v>
      </c>
      <c r="D454" s="9">
        <v>-9.3679969346164797E-3</v>
      </c>
      <c r="E454" s="9">
        <v>-9.3679969346164797E-3</v>
      </c>
      <c r="F454" s="9">
        <v>0.28816285848269629</v>
      </c>
      <c r="G454" s="9">
        <v>0.28816285848269629</v>
      </c>
      <c r="H454" s="35">
        <v>-9.412152601028994E-3</v>
      </c>
    </row>
    <row r="455" spans="2:8" x14ac:dyDescent="0.35">
      <c r="B455" s="6">
        <v>45583</v>
      </c>
      <c r="C455" s="7" t="s">
        <v>40</v>
      </c>
      <c r="D455" s="9">
        <v>8.2868200880956405E-3</v>
      </c>
      <c r="E455" s="9">
        <v>8.2868200880956405E-3</v>
      </c>
      <c r="F455" s="9">
        <v>0.2988376323351094</v>
      </c>
      <c r="G455" s="9">
        <v>0.2988376323351094</v>
      </c>
      <c r="H455" s="35">
        <v>8.2526729124752871E-3</v>
      </c>
    </row>
    <row r="456" spans="2:8" x14ac:dyDescent="0.35">
      <c r="B456" s="6">
        <v>45586</v>
      </c>
      <c r="C456" s="7" t="s">
        <v>40</v>
      </c>
      <c r="D456" s="9">
        <v>-1.9171572320025199E-2</v>
      </c>
      <c r="E456" s="9">
        <v>-1.9171572320025199E-2</v>
      </c>
      <c r="F456" s="9">
        <v>0.27393687273482659</v>
      </c>
      <c r="G456" s="9">
        <v>0.27393687273482659</v>
      </c>
      <c r="H456" s="35">
        <v>-1.9357730044066202E-2</v>
      </c>
    </row>
    <row r="457" spans="2:8" x14ac:dyDescent="0.35">
      <c r="B457" s="6">
        <v>45587</v>
      </c>
      <c r="C457" s="7" t="s">
        <v>40</v>
      </c>
      <c r="D457" s="9">
        <v>-1.2871263659421E-3</v>
      </c>
      <c r="E457" s="9">
        <v>-1.2871263659421E-3</v>
      </c>
      <c r="F457" s="9">
        <v>0.27229715499738383</v>
      </c>
      <c r="G457" s="9">
        <v>0.27229715499738383</v>
      </c>
      <c r="H457" s="35">
        <v>-1.2879554245615299E-3</v>
      </c>
    </row>
    <row r="458" spans="2:8" x14ac:dyDescent="0.35">
      <c r="B458" s="6">
        <v>45588</v>
      </c>
      <c r="C458" s="7" t="s">
        <v>40</v>
      </c>
      <c r="D458" s="9">
        <v>-1.5759730565570201E-2</v>
      </c>
      <c r="E458" s="9">
        <v>-1.5759730565570201E-2</v>
      </c>
      <c r="F458" s="9">
        <v>0.25224609463528358</v>
      </c>
      <c r="G458" s="9">
        <v>0.25224609463528358</v>
      </c>
      <c r="H458" s="35">
        <v>-1.5885235481551588E-2</v>
      </c>
    </row>
    <row r="459" spans="2:8" x14ac:dyDescent="0.35">
      <c r="B459" s="6">
        <v>45589</v>
      </c>
      <c r="C459" s="7" t="s">
        <v>40</v>
      </c>
      <c r="D459" s="9">
        <v>-2.8648112914078198E-3</v>
      </c>
      <c r="E459" s="9">
        <v>-2.8648112914078198E-3</v>
      </c>
      <c r="F459" s="9">
        <v>0.24865864588375119</v>
      </c>
      <c r="G459" s="9">
        <v>0.24865864588375119</v>
      </c>
      <c r="H459" s="35">
        <v>-2.8689227174595001E-3</v>
      </c>
    </row>
    <row r="460" spans="2:8" x14ac:dyDescent="0.35">
      <c r="B460" s="6">
        <v>45590</v>
      </c>
      <c r="C460" s="7" t="s">
        <v>40</v>
      </c>
      <c r="D460" s="9">
        <v>-2.9214097252954702E-3</v>
      </c>
      <c r="E460" s="9">
        <v>-2.9214097252954702E-3</v>
      </c>
      <c r="F460" s="9">
        <v>0.24501080237209227</v>
      </c>
      <c r="G460" s="9">
        <v>0.24501080237209227</v>
      </c>
      <c r="H460" s="35">
        <v>-2.925685371994626E-3</v>
      </c>
    </row>
    <row r="461" spans="2:8" x14ac:dyDescent="0.35">
      <c r="B461" s="6">
        <v>45593</v>
      </c>
      <c r="C461" s="7" t="s">
        <v>40</v>
      </c>
      <c r="D461" s="9">
        <v>2.1152535466454399E-2</v>
      </c>
      <c r="E461" s="9">
        <v>2.1152535466454399E-2</v>
      </c>
      <c r="F461" s="9">
        <v>0.27134593752538683</v>
      </c>
      <c r="G461" s="9">
        <v>0.27134593752538683</v>
      </c>
      <c r="H461" s="35">
        <v>2.0931926129966472E-2</v>
      </c>
    </row>
    <row r="462" spans="2:8" x14ac:dyDescent="0.35">
      <c r="B462" s="6">
        <v>45594</v>
      </c>
      <c r="C462" s="7" t="s">
        <v>40</v>
      </c>
      <c r="D462" s="9">
        <v>-4.0497658023998604E-3</v>
      </c>
      <c r="E462" s="9">
        <v>-4.0497658023998604E-3</v>
      </c>
      <c r="F462" s="9">
        <v>0.26619728422457656</v>
      </c>
      <c r="G462" s="9">
        <v>0.26619728422457656</v>
      </c>
      <c r="H462" s="35">
        <v>-4.0579883109243915E-3</v>
      </c>
    </row>
    <row r="463" spans="2:8" x14ac:dyDescent="0.35">
      <c r="B463" s="6">
        <v>45595</v>
      </c>
      <c r="C463" s="7" t="s">
        <v>40</v>
      </c>
      <c r="D463" s="9">
        <v>-9.1913562139434996E-3</v>
      </c>
      <c r="E463" s="9">
        <v>-9.1913562139434996E-3</v>
      </c>
      <c r="F463" s="9">
        <v>0.25455921394814052</v>
      </c>
      <c r="G463" s="9">
        <v>0.25455921394814052</v>
      </c>
      <c r="H463" s="35">
        <v>-9.2338573576952691E-3</v>
      </c>
    </row>
    <row r="464" spans="2:8" x14ac:dyDescent="0.35">
      <c r="B464" s="6">
        <v>45596</v>
      </c>
      <c r="C464" s="7" t="s">
        <v>40</v>
      </c>
      <c r="D464" s="9">
        <v>-1.6374896799397302E-2</v>
      </c>
      <c r="E464" s="9">
        <v>-1.6374896799397302E-2</v>
      </c>
      <c r="F464" s="9">
        <v>0.23401593629100681</v>
      </c>
      <c r="G464" s="9">
        <v>0.23401593629100681</v>
      </c>
      <c r="H464" s="35">
        <v>-1.6510447208349599E-2</v>
      </c>
    </row>
    <row r="465" spans="2:8" x14ac:dyDescent="0.35">
      <c r="B465" s="6">
        <v>45597</v>
      </c>
      <c r="C465" s="7" t="s">
        <v>40</v>
      </c>
      <c r="D465" s="9">
        <v>2.9905787348586801E-2</v>
      </c>
      <c r="E465" s="9">
        <v>2.9905787348586801E-2</v>
      </c>
      <c r="F465" s="9">
        <v>0.27092015446649298</v>
      </c>
      <c r="G465" s="9">
        <v>0.27092015446649298</v>
      </c>
      <c r="H465" s="35">
        <v>2.9467329464432479E-2</v>
      </c>
    </row>
    <row r="466" spans="2:8" x14ac:dyDescent="0.35">
      <c r="B466" s="6">
        <v>45600</v>
      </c>
      <c r="C466" s="7" t="s">
        <v>40</v>
      </c>
      <c r="D466" s="9">
        <v>7.7767296867684603E-3</v>
      </c>
      <c r="E466" s="9">
        <v>7.7767296867684603E-3</v>
      </c>
      <c r="F466" s="9">
        <v>0.28080375696124515</v>
      </c>
      <c r="G466" s="9">
        <v>0.28080375696124515</v>
      </c>
      <c r="H466" s="35">
        <v>7.7466467881810936E-3</v>
      </c>
    </row>
    <row r="467" spans="2:8" x14ac:dyDescent="0.35">
      <c r="B467" s="6">
        <v>45601</v>
      </c>
      <c r="C467" s="7" t="s">
        <v>40</v>
      </c>
      <c r="D467" s="9">
        <v>1.45186540420238E-2</v>
      </c>
      <c r="E467" s="9">
        <v>1.45186540420238E-2</v>
      </c>
      <c r="F467" s="9">
        <v>0.2993993036042899</v>
      </c>
      <c r="G467" s="9">
        <v>0.2993993036042899</v>
      </c>
      <c r="H467" s="35">
        <v>1.4414267539056298E-2</v>
      </c>
    </row>
    <row r="468" spans="2:8" x14ac:dyDescent="0.35">
      <c r="B468" s="6">
        <v>45602</v>
      </c>
      <c r="C468" s="7" t="s">
        <v>40</v>
      </c>
      <c r="D468" s="9">
        <v>3.7055370414267097E-2</v>
      </c>
      <c r="E468" s="9">
        <v>3.7055370414267097E-2</v>
      </c>
      <c r="F468" s="9">
        <v>0.34754902611538752</v>
      </c>
      <c r="G468" s="9">
        <v>0.34754902611538752</v>
      </c>
      <c r="H468" s="35">
        <v>3.6385322628367557E-2</v>
      </c>
    </row>
    <row r="469" spans="2:8" x14ac:dyDescent="0.35">
      <c r="B469" s="6">
        <v>45603</v>
      </c>
      <c r="C469" s="7" t="s">
        <v>40</v>
      </c>
      <c r="D469" s="9">
        <v>3.3904989837466501E-3</v>
      </c>
      <c r="E469" s="9">
        <v>3.3904989837466501E-3</v>
      </c>
      <c r="F469" s="9">
        <v>0.35211788971898028</v>
      </c>
      <c r="G469" s="9">
        <v>0.35211788971898028</v>
      </c>
      <c r="H469" s="35">
        <v>3.3847642009281918E-3</v>
      </c>
    </row>
    <row r="470" spans="2:8" x14ac:dyDescent="0.35">
      <c r="B470" s="6">
        <v>45604</v>
      </c>
      <c r="C470" s="7" t="s">
        <v>40</v>
      </c>
      <c r="D470" s="9">
        <v>1.5914775772735201E-2</v>
      </c>
      <c r="E470" s="9">
        <v>1.5914775772735201E-2</v>
      </c>
      <c r="F470" s="9">
        <v>0.37363654275216174</v>
      </c>
      <c r="G470" s="9">
        <v>0.37363654275216174</v>
      </c>
      <c r="H470" s="35">
        <v>1.5789463524539263E-2</v>
      </c>
    </row>
    <row r="471" spans="2:8" x14ac:dyDescent="0.35">
      <c r="B471" s="6">
        <v>45607</v>
      </c>
      <c r="C471" s="7" t="s">
        <v>40</v>
      </c>
      <c r="D471" s="9">
        <v>4.3593339869768197E-3</v>
      </c>
      <c r="E471" s="9">
        <v>4.3593339869768197E-3</v>
      </c>
      <c r="F471" s="9">
        <v>0.37962468321873444</v>
      </c>
      <c r="G471" s="9">
        <v>0.37962468321873444</v>
      </c>
      <c r="H471" s="35">
        <v>4.3498596152260587E-3</v>
      </c>
    </row>
    <row r="472" spans="2:8" x14ac:dyDescent="0.35">
      <c r="B472" s="6">
        <v>45608</v>
      </c>
      <c r="C472" s="7" t="s">
        <v>40</v>
      </c>
      <c r="D472" s="9">
        <v>-3.3018217475906497E-2</v>
      </c>
      <c r="E472" s="9">
        <v>-3.3018217475906497E-2</v>
      </c>
      <c r="F472" s="9">
        <v>0.33407193539308966</v>
      </c>
      <c r="G472" s="9">
        <v>0.33407193539308966</v>
      </c>
      <c r="H472" s="35">
        <v>-3.3575622874767959E-2</v>
      </c>
    </row>
    <row r="473" spans="2:8" x14ac:dyDescent="0.35">
      <c r="B473" s="6">
        <v>45609</v>
      </c>
      <c r="C473" s="7" t="s">
        <v>40</v>
      </c>
      <c r="D473" s="9">
        <v>-1.2564963873748201E-2</v>
      </c>
      <c r="E473" s="9">
        <v>-1.2564963873748201E-2</v>
      </c>
      <c r="F473" s="9">
        <v>0.3173093697198941</v>
      </c>
      <c r="G473" s="9">
        <v>0.3173093697198941</v>
      </c>
      <c r="H473" s="35">
        <v>-1.2644570572131133E-2</v>
      </c>
    </row>
    <row r="474" spans="2:8" x14ac:dyDescent="0.35">
      <c r="B474" s="6">
        <v>45610</v>
      </c>
      <c r="C474" s="7" t="s">
        <v>40</v>
      </c>
      <c r="D474" s="9">
        <v>-3.2317591745695401E-2</v>
      </c>
      <c r="E474" s="9">
        <v>-3.2317591745695401E-2</v>
      </c>
      <c r="F474" s="9">
        <v>0.27473710330650736</v>
      </c>
      <c r="G474" s="9">
        <v>0.27473710330650736</v>
      </c>
      <c r="H474" s="35">
        <v>-3.2851336185450844E-2</v>
      </c>
    </row>
    <row r="475" spans="2:8" x14ac:dyDescent="0.35">
      <c r="B475" s="6">
        <v>45611</v>
      </c>
      <c r="C475" s="7" t="s">
        <v>40</v>
      </c>
      <c r="D475" s="9">
        <v>-6.0828881755836402E-2</v>
      </c>
      <c r="E475" s="9">
        <v>-6.0828881755836402E-2</v>
      </c>
      <c r="F475" s="9">
        <v>0.19719627077969837</v>
      </c>
      <c r="G475" s="9">
        <v>0.19719627077969837</v>
      </c>
      <c r="H475" s="35">
        <v>-6.2757581824748193E-2</v>
      </c>
    </row>
    <row r="476" spans="2:8" x14ac:dyDescent="0.35">
      <c r="B476" s="6">
        <v>45614</v>
      </c>
      <c r="C476" s="7" t="s">
        <v>40</v>
      </c>
      <c r="D476" s="9">
        <v>-6.30080941943271E-3</v>
      </c>
      <c r="E476" s="9">
        <v>-6.30080941943271E-3</v>
      </c>
      <c r="F476" s="9">
        <v>0.18965296523985997</v>
      </c>
      <c r="G476" s="9">
        <v>0.18965296523985997</v>
      </c>
      <c r="H476" s="35">
        <v>-6.3207432962557554E-3</v>
      </c>
    </row>
    <row r="477" spans="2:8" x14ac:dyDescent="0.35">
      <c r="B477" s="6">
        <v>45615</v>
      </c>
      <c r="C477" s="7" t="s">
        <v>40</v>
      </c>
      <c r="D477" s="9">
        <v>2.1842374460286501E-2</v>
      </c>
      <c r="E477" s="9">
        <v>2.1842374460286501E-2</v>
      </c>
      <c r="F477" s="9">
        <v>0.21563781078441924</v>
      </c>
      <c r="G477" s="9">
        <v>0.21563781078441924</v>
      </c>
      <c r="H477" s="35">
        <v>2.1607247460134767E-2</v>
      </c>
    </row>
    <row r="478" spans="2:8" x14ac:dyDescent="0.35">
      <c r="B478" s="6">
        <v>45616</v>
      </c>
      <c r="C478" s="7" t="s">
        <v>40</v>
      </c>
      <c r="D478" s="9">
        <v>2.01707057759764E-3</v>
      </c>
      <c r="E478" s="9">
        <v>2.01707057759764E-3</v>
      </c>
      <c r="F478" s="9">
        <v>0.21808983804556781</v>
      </c>
      <c r="G478" s="9">
        <v>0.21808983804556781</v>
      </c>
      <c r="H478" s="35">
        <v>2.0150390221419846E-3</v>
      </c>
    </row>
    <row r="479" spans="2:8" x14ac:dyDescent="0.35">
      <c r="B479" s="6">
        <v>45617</v>
      </c>
      <c r="C479" s="7" t="s">
        <v>40</v>
      </c>
      <c r="D479" s="9">
        <v>2.8930823846733001E-3</v>
      </c>
      <c r="E479" s="9">
        <v>2.8930823846733001E-3</v>
      </c>
      <c r="F479" s="9">
        <v>0.22161387229896712</v>
      </c>
      <c r="G479" s="9">
        <v>0.22161387229896712</v>
      </c>
      <c r="H479" s="35">
        <v>2.8889054759857966E-3</v>
      </c>
    </row>
    <row r="480" spans="2:8" x14ac:dyDescent="0.35">
      <c r="B480" s="6">
        <v>45618</v>
      </c>
      <c r="C480" s="7" t="s">
        <v>40</v>
      </c>
      <c r="D480" s="9">
        <v>2.3975201647291E-2</v>
      </c>
      <c r="E480" s="9">
        <v>2.3975201647291E-2</v>
      </c>
      <c r="F480" s="9">
        <v>0.25090231122246287</v>
      </c>
      <c r="G480" s="9">
        <v>0.25090231122246287</v>
      </c>
      <c r="H480" s="35">
        <v>2.3692309182758903E-2</v>
      </c>
    </row>
    <row r="481" spans="2:8" x14ac:dyDescent="0.35">
      <c r="B481" s="6">
        <v>45621</v>
      </c>
      <c r="C481" s="7" t="s">
        <v>40</v>
      </c>
      <c r="D481" s="9">
        <v>1.35862611710063E-2</v>
      </c>
      <c r="E481" s="9">
        <v>1.35862611710063E-2</v>
      </c>
      <c r="F481" s="9">
        <v>0.26789739672214652</v>
      </c>
      <c r="G481" s="9">
        <v>0.26789739672214652</v>
      </c>
      <c r="H481" s="35">
        <v>1.3494795444971817E-2</v>
      </c>
    </row>
    <row r="482" spans="2:8" x14ac:dyDescent="0.35">
      <c r="B482" s="6">
        <v>45622</v>
      </c>
      <c r="C482" s="7" t="s">
        <v>40</v>
      </c>
      <c r="D482" s="9">
        <v>9.3266963583965301E-3</v>
      </c>
      <c r="E482" s="9">
        <v>9.3266963583965301E-3</v>
      </c>
      <c r="F482" s="9">
        <v>0.27972269075497525</v>
      </c>
      <c r="G482" s="9">
        <v>0.27972269075497525</v>
      </c>
      <c r="H482" s="35">
        <v>9.283471282827754E-3</v>
      </c>
    </row>
    <row r="483" spans="2:8" x14ac:dyDescent="0.35">
      <c r="B483" s="6">
        <v>45623</v>
      </c>
      <c r="C483" s="7" t="s">
        <v>40</v>
      </c>
      <c r="D483" s="9">
        <v>1.5908972925014201E-2</v>
      </c>
      <c r="E483" s="9">
        <v>1.5908972925014201E-2</v>
      </c>
      <c r="F483" s="9">
        <v>0.30008176439372236</v>
      </c>
      <c r="G483" s="9">
        <v>0.30008176439372236</v>
      </c>
      <c r="H483" s="35">
        <v>1.5783751564803838E-2</v>
      </c>
    </row>
    <row r="484" spans="2:8" x14ac:dyDescent="0.35">
      <c r="B484" s="6">
        <v>45625</v>
      </c>
      <c r="C484" s="7" t="s">
        <v>40</v>
      </c>
      <c r="D484" s="9">
        <v>-2.7175932808088002E-3</v>
      </c>
      <c r="E484" s="9">
        <v>-2.7175932808088002E-3</v>
      </c>
      <c r="F484" s="9">
        <v>0.29654867092630388</v>
      </c>
      <c r="G484" s="9">
        <v>0.29654867092630388</v>
      </c>
      <c r="H484" s="35">
        <v>-2.7212926411867028E-3</v>
      </c>
    </row>
    <row r="485" spans="2:8" x14ac:dyDescent="0.35">
      <c r="B485" s="6">
        <v>45628</v>
      </c>
      <c r="C485" s="7" t="s">
        <v>40</v>
      </c>
      <c r="D485" s="9">
        <v>-1.12959348608853E-3</v>
      </c>
      <c r="E485" s="9">
        <v>-1.12959348608853E-3</v>
      </c>
      <c r="F485" s="9">
        <v>0.29508409799322877</v>
      </c>
      <c r="G485" s="9">
        <v>0.29508409799322877</v>
      </c>
      <c r="H485" s="35">
        <v>-1.1302319576646255E-3</v>
      </c>
    </row>
    <row r="486" spans="2:8" x14ac:dyDescent="0.35">
      <c r="B486" s="6">
        <v>45629</v>
      </c>
      <c r="C486" s="7" t="s">
        <v>40</v>
      </c>
      <c r="D486" s="9">
        <v>-1.9257449174930299E-2</v>
      </c>
      <c r="E486" s="9">
        <v>-1.9257449174930299E-2</v>
      </c>
      <c r="F486" s="9">
        <v>0.27014408179886362</v>
      </c>
      <c r="G486" s="9">
        <v>0.27014408179886362</v>
      </c>
      <c r="H486" s="35">
        <v>-1.9445289307433205E-2</v>
      </c>
    </row>
    <row r="487" spans="2:8" x14ac:dyDescent="0.35">
      <c r="B487" s="6">
        <v>45630</v>
      </c>
      <c r="C487" s="7" t="s">
        <v>40</v>
      </c>
      <c r="D487" s="9">
        <v>7.6245678936030297E-3</v>
      </c>
      <c r="E487" s="9">
        <v>7.6245678936030297E-3</v>
      </c>
      <c r="F487" s="9">
        <v>0.27982838158519718</v>
      </c>
      <c r="G487" s="9">
        <v>0.27982838158519718</v>
      </c>
      <c r="H487" s="35">
        <v>7.5956477850175463E-3</v>
      </c>
    </row>
    <row r="488" spans="2:8" x14ac:dyDescent="0.35">
      <c r="B488" s="6">
        <v>45631</v>
      </c>
      <c r="C488" s="7" t="s">
        <v>40</v>
      </c>
      <c r="D488" s="9">
        <v>-2.2259397245535301E-2</v>
      </c>
      <c r="E488" s="9">
        <v>-2.2259397245535301E-2</v>
      </c>
      <c r="F488" s="9">
        <v>0.25134017323338176</v>
      </c>
      <c r="G488" s="9">
        <v>0.25134017323338176</v>
      </c>
      <c r="H488" s="35">
        <v>-2.2510876485040229E-2</v>
      </c>
    </row>
    <row r="489" spans="2:8" x14ac:dyDescent="0.35">
      <c r="B489" s="6">
        <v>45632</v>
      </c>
      <c r="C489" s="7" t="s">
        <v>40</v>
      </c>
      <c r="D489" s="9">
        <v>2.7841124359596101E-2</v>
      </c>
      <c r="E489" s="9">
        <v>2.7841124359596101E-2</v>
      </c>
      <c r="F489" s="9">
        <v>0.28617889061253088</v>
      </c>
      <c r="G489" s="9">
        <v>0.28617889061253088</v>
      </c>
      <c r="H489" s="35">
        <v>2.7460606800825474E-2</v>
      </c>
    </row>
    <row r="490" spans="2:8" x14ac:dyDescent="0.35">
      <c r="B490" s="6">
        <v>45635</v>
      </c>
      <c r="C490" s="7" t="s">
        <v>40</v>
      </c>
      <c r="D490" s="9">
        <v>-1.3255886026615E-2</v>
      </c>
      <c r="E490" s="9">
        <v>-1.3255886026615E-2</v>
      </c>
      <c r="F490" s="9">
        <v>0.2691294498287331</v>
      </c>
      <c r="G490" s="9">
        <v>0.2691294498287331</v>
      </c>
      <c r="H490" s="35">
        <v>-1.3344529520680749E-2</v>
      </c>
    </row>
    <row r="491" spans="2:8" x14ac:dyDescent="0.35">
      <c r="B491" s="6">
        <v>45636</v>
      </c>
      <c r="C491" s="7" t="s">
        <v>40</v>
      </c>
      <c r="D491" s="9">
        <v>-3.0456031483924399E-3</v>
      </c>
      <c r="E491" s="9">
        <v>-3.0456031483924399E-3</v>
      </c>
      <c r="F491" s="9">
        <v>0.26526418518061723</v>
      </c>
      <c r="G491" s="9">
        <v>0.26526418518061723</v>
      </c>
      <c r="H491" s="35">
        <v>-3.0502504359222432E-3</v>
      </c>
    </row>
    <row r="492" spans="2:8" x14ac:dyDescent="0.35">
      <c r="B492" s="6">
        <v>45637</v>
      </c>
      <c r="C492" s="7" t="s">
        <v>40</v>
      </c>
      <c r="D492" s="9">
        <v>-7.9093456293346295E-3</v>
      </c>
      <c r="E492" s="9">
        <v>-7.9093456293346295E-3</v>
      </c>
      <c r="F492" s="9">
        <v>0.25525677342760522</v>
      </c>
      <c r="G492" s="9">
        <v>0.25525677342760522</v>
      </c>
      <c r="H492" s="35">
        <v>-7.9407904183607641E-3</v>
      </c>
    </row>
    <row r="493" spans="2:8" x14ac:dyDescent="0.35">
      <c r="B493" s="6">
        <v>45638</v>
      </c>
      <c r="C493" s="7" t="s">
        <v>40</v>
      </c>
      <c r="D493" s="9">
        <v>-4.3679814474456499E-2</v>
      </c>
      <c r="E493" s="9">
        <v>-4.3679814474456499E-2</v>
      </c>
      <c r="F493" s="9">
        <v>0.20042739044648261</v>
      </c>
      <c r="G493" s="9">
        <v>0.20042739044648261</v>
      </c>
      <c r="H493" s="35">
        <v>-4.4662499906772783E-2</v>
      </c>
    </row>
    <row r="494" spans="2:8" x14ac:dyDescent="0.35">
      <c r="B494" s="6">
        <v>45639</v>
      </c>
      <c r="C494" s="7" t="s">
        <v>40</v>
      </c>
      <c r="D494" s="9">
        <v>-9.6068946260253994E-3</v>
      </c>
      <c r="E494" s="9">
        <v>-9.6068946260253994E-3</v>
      </c>
      <c r="F494" s="9">
        <v>0.18889501100026873</v>
      </c>
      <c r="G494" s="9">
        <v>0.18889501100026873</v>
      </c>
      <c r="H494" s="35">
        <v>-9.6533385320394481E-3</v>
      </c>
    </row>
    <row r="495" spans="2:8" x14ac:dyDescent="0.35">
      <c r="B495" s="6">
        <v>45642</v>
      </c>
      <c r="C495" s="7" t="s">
        <v>40</v>
      </c>
      <c r="D495" s="9">
        <v>1.9087750312414199E-2</v>
      </c>
      <c r="E495" s="9">
        <v>1.9087750312414199E-2</v>
      </c>
      <c r="F495" s="9">
        <v>0.21158834211791699</v>
      </c>
      <c r="G495" s="9">
        <v>0.21158834211791699</v>
      </c>
      <c r="H495" s="35">
        <v>1.8907864676662015E-2</v>
      </c>
    </row>
    <row r="496" spans="2:8" x14ac:dyDescent="0.35">
      <c r="B496" s="6">
        <v>45643</v>
      </c>
      <c r="C496" s="7" t="s">
        <v>40</v>
      </c>
      <c r="D496" s="9">
        <v>-3.89060447681211E-3</v>
      </c>
      <c r="E496" s="9">
        <v>-3.89060447681211E-3</v>
      </c>
      <c r="F496" s="9">
        <v>0.20687453109001974</v>
      </c>
      <c r="G496" s="9">
        <v>0.20687453109001974</v>
      </c>
      <c r="H496" s="35">
        <v>-3.8981925663072645E-3</v>
      </c>
    </row>
    <row r="497" spans="2:8" x14ac:dyDescent="0.35">
      <c r="B497" s="6">
        <v>45644</v>
      </c>
      <c r="C497" s="7" t="s">
        <v>40</v>
      </c>
      <c r="D497" s="9">
        <v>-5.3270013161121302E-2</v>
      </c>
      <c r="E497" s="9">
        <v>-5.3270013161121302E-2</v>
      </c>
      <c r="F497" s="9">
        <v>0.14258430893503227</v>
      </c>
      <c r="G497" s="9">
        <v>0.14258430893503227</v>
      </c>
      <c r="H497" s="35">
        <v>-5.4741351226006756E-2</v>
      </c>
    </row>
    <row r="498" spans="2:8" x14ac:dyDescent="0.35">
      <c r="B498" s="6">
        <v>45645</v>
      </c>
      <c r="C498" s="7" t="s">
        <v>40</v>
      </c>
      <c r="D498" s="9">
        <v>1.1813770574991E-3</v>
      </c>
      <c r="E498" s="9">
        <v>1.1813770574991E-3</v>
      </c>
      <c r="F498" s="9">
        <v>0.1439341318238665</v>
      </c>
      <c r="G498" s="9">
        <v>0.1439341318238665</v>
      </c>
      <c r="H498" s="35">
        <v>1.180679780733593E-3</v>
      </c>
    </row>
    <row r="499" spans="2:8" x14ac:dyDescent="0.35">
      <c r="B499" s="6">
        <v>45646</v>
      </c>
      <c r="C499" s="7" t="s">
        <v>40</v>
      </c>
      <c r="D499" s="9">
        <v>1.7913568221235E-2</v>
      </c>
      <c r="E499" s="9">
        <v>1.7913568221235E-2</v>
      </c>
      <c r="F499" s="9">
        <v>0.16442607393489261</v>
      </c>
      <c r="G499" s="9">
        <v>0.16442607393489261</v>
      </c>
      <c r="H499" s="35">
        <v>1.7755011008337276E-2</v>
      </c>
    </row>
    <row r="500" spans="2:8" x14ac:dyDescent="0.35">
      <c r="B500" s="6">
        <v>45649</v>
      </c>
      <c r="C500" s="7" t="s">
        <v>40</v>
      </c>
      <c r="D500" s="9">
        <v>1.7530893012278599E-3</v>
      </c>
      <c r="E500" s="9">
        <v>1.7530893012278599E-3</v>
      </c>
      <c r="F500" s="9">
        <v>0.16646741682717869</v>
      </c>
      <c r="G500" s="9">
        <v>0.16646741682717869</v>
      </c>
      <c r="H500" s="35">
        <v>1.751554433756831E-3</v>
      </c>
    </row>
    <row r="501" spans="2:8" x14ac:dyDescent="0.35">
      <c r="B501" s="6">
        <v>45650</v>
      </c>
      <c r="C501" s="7" t="s">
        <v>40</v>
      </c>
      <c r="D501" s="9">
        <v>-1.57916128414356E-4</v>
      </c>
      <c r="E501" s="9">
        <v>-1.57916128414356E-4</v>
      </c>
      <c r="F501" s="9">
        <v>0.16628321280879188</v>
      </c>
      <c r="G501" s="9">
        <v>0.16628321280879188</v>
      </c>
      <c r="H501" s="35">
        <v>-1.5792859847895508E-4</v>
      </c>
    </row>
    <row r="502" spans="2:8" x14ac:dyDescent="0.35">
      <c r="B502" s="6">
        <v>45652</v>
      </c>
      <c r="C502" s="7" t="s">
        <v>40</v>
      </c>
      <c r="D502" s="9">
        <v>1.2945989332504799E-2</v>
      </c>
      <c r="E502" s="9">
        <v>1.2945989332504799E-2</v>
      </c>
      <c r="F502" s="9">
        <v>0.18138190284049394</v>
      </c>
      <c r="G502" s="9">
        <v>0.18138190284049394</v>
      </c>
      <c r="H502" s="35">
        <v>1.2862906305633854E-2</v>
      </c>
    </row>
    <row r="503" spans="2:8" x14ac:dyDescent="0.35">
      <c r="B503" s="6">
        <v>45653</v>
      </c>
      <c r="C503" s="7" t="s">
        <v>40</v>
      </c>
      <c r="D503" s="9">
        <v>-2.0694238535862199E-2</v>
      </c>
      <c r="E503" s="9">
        <v>-2.0694238535862199E-2</v>
      </c>
      <c r="F503" s="9">
        <v>0.15693410394116203</v>
      </c>
      <c r="G503" s="9">
        <v>0.15693410394116203</v>
      </c>
      <c r="H503" s="35">
        <v>-2.0911365025336338E-2</v>
      </c>
    </row>
    <row r="504" spans="2:8" x14ac:dyDescent="0.35">
      <c r="B504" s="6">
        <v>45656</v>
      </c>
      <c r="C504" s="7" t="s">
        <v>40</v>
      </c>
      <c r="D504" s="9">
        <v>-1.6832670362597901E-2</v>
      </c>
      <c r="E504" s="9">
        <v>-1.6832670362597901E-2</v>
      </c>
      <c r="F504" s="9">
        <v>0.13745981353827275</v>
      </c>
      <c r="G504" s="9">
        <v>0.13745981353827275</v>
      </c>
      <c r="H504" s="35">
        <v>-1.697594988552479E-2</v>
      </c>
    </row>
    <row r="505" spans="2:8" x14ac:dyDescent="0.35">
      <c r="B505" s="6">
        <v>45657</v>
      </c>
      <c r="C505" s="7" t="s">
        <v>40</v>
      </c>
      <c r="D505" s="9">
        <v>1.66456494325337E-3</v>
      </c>
      <c r="E505" s="9">
        <v>1.66456494325337E-3</v>
      </c>
      <c r="F505" s="9">
        <v>0.13935318926824802</v>
      </c>
      <c r="G505" s="9">
        <v>0.13935318926824802</v>
      </c>
      <c r="H505" s="35">
        <v>1.6631810904906119E-3</v>
      </c>
    </row>
    <row r="506" spans="2:8" x14ac:dyDescent="0.35">
      <c r="B506" s="6"/>
      <c r="C506" s="7"/>
      <c r="D506" s="9"/>
      <c r="E506" s="9"/>
      <c r="F506" s="9"/>
      <c r="G506" s="9"/>
      <c r="H506" s="35"/>
    </row>
    <row r="507" spans="2:8" x14ac:dyDescent="0.35">
      <c r="B507" s="6"/>
      <c r="C507" s="7"/>
      <c r="D507" s="9"/>
      <c r="E507" s="9"/>
      <c r="F507" s="9"/>
      <c r="G507" s="9"/>
      <c r="H507" s="35"/>
    </row>
    <row r="508" spans="2:8" x14ac:dyDescent="0.35">
      <c r="B508" s="6"/>
      <c r="C508" s="7"/>
      <c r="D508" s="9"/>
      <c r="E508" s="9"/>
      <c r="F508" s="9"/>
      <c r="G508" s="9"/>
      <c r="H508" s="35"/>
    </row>
    <row r="509" spans="2:8" x14ac:dyDescent="0.35">
      <c r="B509" s="6"/>
      <c r="C509" s="7"/>
      <c r="D509" s="9"/>
      <c r="E509" s="9"/>
      <c r="F509" s="9"/>
      <c r="G509" s="9"/>
      <c r="H509" s="35"/>
    </row>
    <row r="510" spans="2:8" x14ac:dyDescent="0.35">
      <c r="B510" s="6"/>
      <c r="C510" s="7"/>
      <c r="D510" s="9"/>
      <c r="E510" s="9"/>
      <c r="F510" s="9"/>
      <c r="G510" s="9"/>
      <c r="H510" s="35"/>
    </row>
    <row r="511" spans="2:8" x14ac:dyDescent="0.35">
      <c r="B511" s="6"/>
      <c r="C511" s="7"/>
      <c r="D511" s="9"/>
      <c r="E511" s="9"/>
      <c r="F511" s="9"/>
      <c r="G511" s="9"/>
      <c r="H511" s="35"/>
    </row>
    <row r="512" spans="2:8" x14ac:dyDescent="0.35">
      <c r="B512" s="6"/>
      <c r="C512" s="7"/>
      <c r="D512" s="9"/>
      <c r="E512" s="9"/>
      <c r="F512" s="9"/>
      <c r="G512" s="9"/>
      <c r="H512" s="35"/>
    </row>
    <row r="513" spans="2:8" x14ac:dyDescent="0.35">
      <c r="B513" s="6"/>
      <c r="C513" s="7"/>
      <c r="D513" s="9"/>
      <c r="E513" s="9"/>
      <c r="F513" s="9"/>
      <c r="G513" s="9"/>
      <c r="H513" s="35"/>
    </row>
    <row r="514" spans="2:8" x14ac:dyDescent="0.35">
      <c r="B514" s="6"/>
      <c r="C514" s="7"/>
      <c r="D514" s="9"/>
      <c r="E514" s="9"/>
      <c r="F514" s="9"/>
      <c r="G514" s="9"/>
      <c r="H514" s="35"/>
    </row>
    <row r="515" spans="2:8" x14ac:dyDescent="0.35">
      <c r="B515" s="6"/>
      <c r="C515" s="7"/>
      <c r="D515" s="9"/>
      <c r="E515" s="9"/>
      <c r="F515" s="9"/>
      <c r="G515" s="9"/>
      <c r="H515" s="35"/>
    </row>
    <row r="516" spans="2:8" x14ac:dyDescent="0.35">
      <c r="B516" s="6"/>
      <c r="C516" s="7"/>
      <c r="D516" s="9"/>
      <c r="E516" s="9"/>
      <c r="F516" s="9"/>
      <c r="G516" s="9"/>
      <c r="H516" s="35"/>
    </row>
    <row r="517" spans="2:8" x14ac:dyDescent="0.35">
      <c r="B517" s="6"/>
      <c r="C517" s="7"/>
      <c r="D517" s="9"/>
      <c r="E517" s="9"/>
      <c r="F517" s="9"/>
      <c r="G517" s="9"/>
      <c r="H517" s="35"/>
    </row>
    <row r="518" spans="2:8" x14ac:dyDescent="0.35">
      <c r="B518" s="6"/>
      <c r="C518" s="7"/>
      <c r="D518" s="9"/>
      <c r="E518" s="9"/>
      <c r="F518" s="9"/>
      <c r="G518" s="9"/>
      <c r="H518" s="35"/>
    </row>
    <row r="519" spans="2:8" x14ac:dyDescent="0.35">
      <c r="B519" s="6"/>
      <c r="C519" s="7"/>
      <c r="D519" s="9"/>
      <c r="E519" s="9"/>
      <c r="F519" s="9"/>
      <c r="G519" s="9"/>
      <c r="H519" s="35"/>
    </row>
    <row r="520" spans="2:8" x14ac:dyDescent="0.35">
      <c r="B520" s="6"/>
      <c r="C520" s="7"/>
      <c r="D520" s="9"/>
      <c r="E520" s="9"/>
      <c r="F520" s="9"/>
      <c r="G520" s="9"/>
      <c r="H520" s="35"/>
    </row>
    <row r="521" spans="2:8" x14ac:dyDescent="0.35">
      <c r="B521" s="6"/>
      <c r="C521" s="7"/>
      <c r="D521" s="9"/>
      <c r="E521" s="9"/>
      <c r="F521" s="9"/>
      <c r="G521" s="9"/>
      <c r="H521" s="35"/>
    </row>
    <row r="522" spans="2:8" x14ac:dyDescent="0.35">
      <c r="B522" s="6"/>
      <c r="C522" s="7"/>
      <c r="D522" s="9"/>
      <c r="E522" s="9"/>
      <c r="F522" s="9"/>
      <c r="G522" s="9"/>
      <c r="H522" s="35"/>
    </row>
    <row r="523" spans="2:8" x14ac:dyDescent="0.35">
      <c r="B523" s="6"/>
      <c r="C523" s="7"/>
      <c r="D523" s="9"/>
      <c r="E523" s="9"/>
      <c r="F523" s="9"/>
      <c r="G523" s="9"/>
      <c r="H523" s="35"/>
    </row>
    <row r="524" spans="2:8" x14ac:dyDescent="0.35">
      <c r="B524" s="6"/>
      <c r="C524" s="7"/>
      <c r="D524" s="9"/>
      <c r="E524" s="9"/>
      <c r="F524" s="9"/>
      <c r="G524" s="9"/>
      <c r="H524" s="35"/>
    </row>
    <row r="525" spans="2:8" x14ac:dyDescent="0.35">
      <c r="B525" s="6"/>
      <c r="C525" s="7"/>
      <c r="D525" s="9"/>
      <c r="E525" s="9"/>
      <c r="F525" s="9"/>
      <c r="G525" s="9"/>
      <c r="H525" s="35"/>
    </row>
    <row r="526" spans="2:8" x14ac:dyDescent="0.35">
      <c r="B526" s="6"/>
      <c r="C526" s="7"/>
      <c r="D526" s="9"/>
      <c r="E526" s="9"/>
      <c r="F526" s="9"/>
      <c r="G526" s="9"/>
      <c r="H526" s="35"/>
    </row>
    <row r="527" spans="2:8" x14ac:dyDescent="0.35">
      <c r="B527" s="6"/>
      <c r="C527" s="7"/>
      <c r="D527" s="9"/>
      <c r="E527" s="9"/>
      <c r="F527" s="9"/>
      <c r="G527" s="9"/>
      <c r="H527" s="35"/>
    </row>
    <row r="528" spans="2:8" x14ac:dyDescent="0.35">
      <c r="B528" s="6"/>
      <c r="C528" s="7"/>
      <c r="D528" s="9"/>
      <c r="E528" s="9"/>
      <c r="F528" s="9"/>
      <c r="G528" s="9"/>
      <c r="H528" s="35"/>
    </row>
    <row r="529" spans="2:8" x14ac:dyDescent="0.35">
      <c r="B529" s="6"/>
      <c r="C529" s="7"/>
      <c r="D529" s="9"/>
      <c r="E529" s="9"/>
      <c r="F529" s="9"/>
      <c r="G529" s="9"/>
      <c r="H529" s="35"/>
    </row>
    <row r="530" spans="2:8" x14ac:dyDescent="0.35">
      <c r="B530" s="6"/>
      <c r="C530" s="7"/>
      <c r="D530" s="9"/>
      <c r="E530" s="9"/>
      <c r="F530" s="9"/>
      <c r="G530" s="9"/>
      <c r="H530" s="35"/>
    </row>
    <row r="531" spans="2:8" x14ac:dyDescent="0.35">
      <c r="B531" s="6"/>
      <c r="C531" s="7"/>
      <c r="D531" s="9"/>
      <c r="E531" s="9"/>
      <c r="F531" s="9"/>
      <c r="G531" s="9"/>
      <c r="H531" s="35"/>
    </row>
    <row r="532" spans="2:8" x14ac:dyDescent="0.35">
      <c r="B532" s="6"/>
      <c r="C532" s="7"/>
      <c r="D532" s="9"/>
      <c r="E532" s="9"/>
      <c r="F532" s="9"/>
      <c r="G532" s="9"/>
      <c r="H532" s="35"/>
    </row>
    <row r="533" spans="2:8" x14ac:dyDescent="0.35">
      <c r="B533" s="6"/>
      <c r="C533" s="7"/>
      <c r="D533" s="9"/>
      <c r="E533" s="9"/>
      <c r="F533" s="9"/>
      <c r="G533" s="9"/>
      <c r="H533" s="35"/>
    </row>
    <row r="534" spans="2:8" x14ac:dyDescent="0.35">
      <c r="B534" s="6"/>
      <c r="C534" s="7"/>
      <c r="D534" s="9"/>
      <c r="E534" s="9"/>
      <c r="F534" s="9"/>
      <c r="G534" s="9"/>
      <c r="H534" s="35"/>
    </row>
    <row r="535" spans="2:8" x14ac:dyDescent="0.35">
      <c r="B535" s="6"/>
      <c r="C535" s="7"/>
      <c r="D535" s="9"/>
      <c r="E535" s="9"/>
      <c r="F535" s="9"/>
      <c r="G535" s="9"/>
      <c r="H535" s="35"/>
    </row>
    <row r="536" spans="2:8" x14ac:dyDescent="0.35">
      <c r="B536" s="6"/>
      <c r="C536" s="7"/>
      <c r="D536" s="9"/>
      <c r="E536" s="9"/>
      <c r="F536" s="9"/>
      <c r="G536" s="9"/>
      <c r="H536" s="35"/>
    </row>
    <row r="537" spans="2:8" x14ac:dyDescent="0.35">
      <c r="B537" s="6"/>
      <c r="C537" s="7"/>
      <c r="D537" s="9"/>
      <c r="E537" s="9"/>
      <c r="F537" s="9"/>
      <c r="G537" s="9"/>
      <c r="H537" s="35"/>
    </row>
    <row r="538" spans="2:8" x14ac:dyDescent="0.35">
      <c r="B538" s="6"/>
      <c r="C538" s="7"/>
      <c r="D538" s="9"/>
      <c r="E538" s="9"/>
      <c r="F538" s="9"/>
      <c r="G538" s="9"/>
      <c r="H538" s="35"/>
    </row>
    <row r="539" spans="2:8" x14ac:dyDescent="0.35">
      <c r="B539" s="6"/>
      <c r="C539" s="7"/>
      <c r="D539" s="9"/>
      <c r="E539" s="9"/>
      <c r="F539" s="9"/>
      <c r="G539" s="9"/>
      <c r="H539" s="35"/>
    </row>
    <row r="540" spans="2:8" x14ac:dyDescent="0.35">
      <c r="B540" s="6"/>
      <c r="C540" s="7"/>
      <c r="D540" s="9"/>
      <c r="E540" s="9"/>
      <c r="F540" s="9"/>
      <c r="G540" s="9"/>
      <c r="H540" s="35"/>
    </row>
    <row r="541" spans="2:8" x14ac:dyDescent="0.35">
      <c r="B541" s="6"/>
      <c r="C541" s="7"/>
      <c r="D541" s="9"/>
      <c r="E541" s="9"/>
      <c r="F541" s="9"/>
      <c r="G541" s="9"/>
      <c r="H541" s="35"/>
    </row>
    <row r="542" spans="2:8" x14ac:dyDescent="0.35">
      <c r="B542" s="6"/>
      <c r="C542" s="7"/>
      <c r="D542" s="9"/>
      <c r="E542" s="9"/>
      <c r="F542" s="9"/>
      <c r="G542" s="9"/>
      <c r="H542" s="35"/>
    </row>
    <row r="543" spans="2:8" x14ac:dyDescent="0.35">
      <c r="B543" s="6"/>
      <c r="C543" s="7"/>
      <c r="D543" s="9"/>
      <c r="E543" s="9"/>
      <c r="F543" s="9"/>
      <c r="G543" s="9"/>
      <c r="H543" s="35"/>
    </row>
    <row r="544" spans="2:8" x14ac:dyDescent="0.35">
      <c r="B544" s="6"/>
      <c r="C544" s="7"/>
      <c r="D544" s="9"/>
      <c r="E544" s="9"/>
      <c r="F544" s="9"/>
      <c r="G544" s="9"/>
      <c r="H544" s="35"/>
    </row>
    <row r="545" spans="2:8" x14ac:dyDescent="0.35">
      <c r="B545" s="6"/>
      <c r="C545" s="7"/>
      <c r="D545" s="9"/>
      <c r="E545" s="9"/>
      <c r="F545" s="9"/>
      <c r="G545" s="9"/>
      <c r="H545" s="35"/>
    </row>
    <row r="546" spans="2:8" x14ac:dyDescent="0.35">
      <c r="B546" s="6"/>
      <c r="C546" s="7"/>
      <c r="D546" s="9"/>
      <c r="E546" s="9"/>
      <c r="F546" s="9"/>
      <c r="G546" s="9"/>
      <c r="H546" s="35"/>
    </row>
    <row r="547" spans="2:8" x14ac:dyDescent="0.35">
      <c r="B547" s="6"/>
      <c r="C547" s="7"/>
      <c r="D547" s="9"/>
      <c r="E547" s="9"/>
      <c r="F547" s="9"/>
      <c r="G547" s="9"/>
      <c r="H547" s="35"/>
    </row>
    <row r="548" spans="2:8" x14ac:dyDescent="0.35">
      <c r="B548" s="6"/>
      <c r="C548" s="7"/>
      <c r="D548" s="9"/>
      <c r="E548" s="9"/>
      <c r="F548" s="9"/>
      <c r="G548" s="9"/>
      <c r="H548" s="35"/>
    </row>
    <row r="549" spans="2:8" x14ac:dyDescent="0.35">
      <c r="B549" s="6"/>
      <c r="C549" s="7"/>
      <c r="D549" s="9"/>
      <c r="E549" s="9"/>
      <c r="F549" s="9"/>
      <c r="G549" s="9"/>
      <c r="H549" s="35"/>
    </row>
    <row r="550" spans="2:8" x14ac:dyDescent="0.35">
      <c r="B550" s="6"/>
      <c r="C550" s="7"/>
      <c r="D550" s="9"/>
      <c r="E550" s="9"/>
      <c r="F550" s="9"/>
      <c r="G550" s="9"/>
      <c r="H550" s="35"/>
    </row>
    <row r="551" spans="2:8" x14ac:dyDescent="0.35">
      <c r="B551" s="6"/>
      <c r="C551" s="7"/>
      <c r="D551" s="9"/>
      <c r="E551" s="9"/>
      <c r="F551" s="9"/>
      <c r="G551" s="9"/>
      <c r="H551" s="35"/>
    </row>
    <row r="552" spans="2:8" x14ac:dyDescent="0.35">
      <c r="B552" s="6"/>
      <c r="C552" s="7"/>
      <c r="D552" s="9"/>
      <c r="E552" s="9"/>
      <c r="F552" s="9"/>
      <c r="G552" s="9"/>
      <c r="H552" s="35"/>
    </row>
    <row r="553" spans="2:8" x14ac:dyDescent="0.35">
      <c r="B553" s="6"/>
      <c r="C553" s="7"/>
      <c r="D553" s="9"/>
      <c r="E553" s="9"/>
      <c r="F553" s="9"/>
      <c r="G553" s="9"/>
      <c r="H553" s="35"/>
    </row>
    <row r="554" spans="2:8" x14ac:dyDescent="0.35">
      <c r="B554" s="6"/>
      <c r="C554" s="7"/>
      <c r="D554" s="9"/>
      <c r="E554" s="9"/>
      <c r="F554" s="9"/>
      <c r="G554" s="9"/>
      <c r="H554" s="35"/>
    </row>
    <row r="555" spans="2:8" x14ac:dyDescent="0.35">
      <c r="B555" s="6"/>
      <c r="C555" s="7"/>
      <c r="D555" s="9"/>
      <c r="E555" s="9"/>
      <c r="F555" s="9"/>
      <c r="G555" s="9"/>
      <c r="H555" s="35"/>
    </row>
    <row r="556" spans="2:8" x14ac:dyDescent="0.35">
      <c r="B556" s="6"/>
      <c r="C556" s="7"/>
      <c r="D556" s="9"/>
      <c r="E556" s="9"/>
      <c r="F556" s="9"/>
      <c r="G556" s="9"/>
      <c r="H556" s="35"/>
    </row>
    <row r="557" spans="2:8" x14ac:dyDescent="0.35">
      <c r="B557" s="6"/>
      <c r="C557" s="7"/>
      <c r="D557" s="9"/>
      <c r="E557" s="9"/>
      <c r="F557" s="9"/>
      <c r="G557" s="9"/>
      <c r="H557" s="35"/>
    </row>
    <row r="558" spans="2:8" x14ac:dyDescent="0.35">
      <c r="B558" s="6"/>
      <c r="C558" s="7"/>
      <c r="D558" s="9"/>
      <c r="E558" s="9"/>
      <c r="F558" s="9"/>
      <c r="G558" s="9"/>
      <c r="H558" s="35"/>
    </row>
    <row r="559" spans="2:8" x14ac:dyDescent="0.35">
      <c r="B559" s="6"/>
      <c r="C559" s="7"/>
      <c r="D559" s="9"/>
      <c r="E559" s="9"/>
      <c r="F559" s="9"/>
      <c r="G559" s="9"/>
      <c r="H559" s="35"/>
    </row>
    <row r="560" spans="2:8" x14ac:dyDescent="0.35">
      <c r="B560" s="6"/>
      <c r="C560" s="7"/>
      <c r="D560" s="9"/>
      <c r="E560" s="9"/>
      <c r="F560" s="9"/>
      <c r="G560" s="9"/>
      <c r="H560" s="35"/>
    </row>
    <row r="561" spans="2:8" x14ac:dyDescent="0.35">
      <c r="B561" s="6"/>
      <c r="C561" s="7"/>
      <c r="D561" s="9"/>
      <c r="E561" s="9"/>
      <c r="F561" s="9"/>
      <c r="G561" s="9"/>
      <c r="H561" s="35"/>
    </row>
    <row r="562" spans="2:8" x14ac:dyDescent="0.35">
      <c r="B562" s="6"/>
      <c r="C562" s="7"/>
      <c r="D562" s="9"/>
      <c r="E562" s="9"/>
      <c r="F562" s="9"/>
      <c r="G562" s="9"/>
      <c r="H562" s="35"/>
    </row>
    <row r="563" spans="2:8" x14ac:dyDescent="0.35">
      <c r="B563" s="6"/>
      <c r="C563" s="7"/>
      <c r="D563" s="9"/>
      <c r="E563" s="9"/>
      <c r="F563" s="9"/>
      <c r="G563" s="9"/>
      <c r="H563" s="35"/>
    </row>
    <row r="564" spans="2:8" x14ac:dyDescent="0.35">
      <c r="B564" s="6"/>
      <c r="C564" s="7"/>
      <c r="D564" s="9"/>
      <c r="E564" s="9"/>
      <c r="F564" s="9"/>
      <c r="G564" s="9"/>
      <c r="H564" s="35"/>
    </row>
    <row r="565" spans="2:8" x14ac:dyDescent="0.35">
      <c r="B565" s="6"/>
      <c r="C565" s="7"/>
      <c r="D565" s="9"/>
      <c r="E565" s="9"/>
      <c r="F565" s="9"/>
      <c r="G565" s="9"/>
      <c r="H565" s="35"/>
    </row>
    <row r="566" spans="2:8" x14ac:dyDescent="0.35">
      <c r="B566" s="6"/>
      <c r="C566" s="7"/>
      <c r="D566" s="9"/>
      <c r="E566" s="9"/>
      <c r="F566" s="9"/>
      <c r="G566" s="9"/>
      <c r="H566" s="35"/>
    </row>
    <row r="567" spans="2:8" x14ac:dyDescent="0.35">
      <c r="B567" s="6"/>
      <c r="C567" s="7"/>
      <c r="D567" s="9"/>
      <c r="E567" s="9"/>
      <c r="F567" s="9"/>
      <c r="G567" s="9"/>
      <c r="H567" s="35"/>
    </row>
    <row r="568" spans="2:8" x14ac:dyDescent="0.35">
      <c r="B568" s="6"/>
      <c r="C568" s="7"/>
      <c r="D568" s="9"/>
      <c r="E568" s="9"/>
      <c r="F568" s="9"/>
      <c r="G568" s="9"/>
      <c r="H568" s="35"/>
    </row>
    <row r="569" spans="2:8" x14ac:dyDescent="0.35">
      <c r="B569" s="6"/>
      <c r="C569" s="7"/>
      <c r="D569" s="9"/>
      <c r="E569" s="9"/>
      <c r="F569" s="9"/>
      <c r="G569" s="9"/>
      <c r="H569" s="35"/>
    </row>
    <row r="570" spans="2:8" x14ac:dyDescent="0.35">
      <c r="B570" s="6"/>
      <c r="C570" s="7"/>
      <c r="D570" s="9"/>
      <c r="E570" s="9"/>
      <c r="F570" s="9"/>
      <c r="G570" s="9"/>
      <c r="H570" s="35"/>
    </row>
    <row r="571" spans="2:8" x14ac:dyDescent="0.35">
      <c r="B571" s="6"/>
      <c r="C571" s="7"/>
      <c r="D571" s="9"/>
      <c r="E571" s="9"/>
      <c r="F571" s="9"/>
      <c r="G571" s="9"/>
      <c r="H571" s="35"/>
    </row>
    <row r="572" spans="2:8" x14ac:dyDescent="0.35">
      <c r="B572" s="6"/>
      <c r="C572" s="7"/>
      <c r="D572" s="9"/>
      <c r="E572" s="9"/>
      <c r="F572" s="9"/>
      <c r="G572" s="9"/>
      <c r="H572" s="35"/>
    </row>
    <row r="573" spans="2:8" x14ac:dyDescent="0.35">
      <c r="B573" s="6"/>
      <c r="C573" s="7"/>
      <c r="D573" s="9"/>
      <c r="E573" s="9"/>
      <c r="F573" s="9"/>
      <c r="G573" s="9"/>
      <c r="H573" s="35"/>
    </row>
    <row r="574" spans="2:8" x14ac:dyDescent="0.35">
      <c r="B574" s="6"/>
      <c r="C574" s="7"/>
      <c r="D574" s="9"/>
      <c r="E574" s="9"/>
      <c r="F574" s="9"/>
      <c r="G574" s="9"/>
      <c r="H574" s="35"/>
    </row>
    <row r="575" spans="2:8" x14ac:dyDescent="0.35">
      <c r="B575" s="6"/>
      <c r="C575" s="7"/>
      <c r="D575" s="9"/>
      <c r="E575" s="9"/>
      <c r="F575" s="9"/>
      <c r="G575" s="9"/>
      <c r="H575" s="35"/>
    </row>
    <row r="576" spans="2:8" x14ac:dyDescent="0.35">
      <c r="B576" s="6"/>
      <c r="C576" s="7"/>
      <c r="D576" s="9"/>
      <c r="E576" s="9"/>
      <c r="F576" s="9"/>
      <c r="G576" s="9"/>
      <c r="H576" s="35"/>
    </row>
    <row r="577" spans="2:8" x14ac:dyDescent="0.35">
      <c r="B577" s="6"/>
      <c r="C577" s="7"/>
      <c r="D577" s="9"/>
      <c r="E577" s="9"/>
      <c r="F577" s="9"/>
      <c r="G577" s="9"/>
      <c r="H577" s="35"/>
    </row>
    <row r="578" spans="2:8" x14ac:dyDescent="0.35">
      <c r="B578" s="6"/>
      <c r="C578" s="7"/>
      <c r="D578" s="9"/>
      <c r="E578" s="9"/>
      <c r="F578" s="9"/>
      <c r="G578" s="9"/>
      <c r="H578" s="35"/>
    </row>
    <row r="579" spans="2:8" x14ac:dyDescent="0.35">
      <c r="B579" s="6"/>
      <c r="C579" s="7"/>
      <c r="D579" s="9"/>
      <c r="E579" s="9"/>
      <c r="F579" s="9"/>
      <c r="G579" s="9"/>
      <c r="H579" s="35"/>
    </row>
    <row r="580" spans="2:8" x14ac:dyDescent="0.35">
      <c r="B580" s="6"/>
      <c r="C580" s="7"/>
      <c r="D580" s="9"/>
      <c r="E580" s="9"/>
      <c r="F580" s="9"/>
      <c r="G580" s="9"/>
      <c r="H580" s="35"/>
    </row>
    <row r="581" spans="2:8" x14ac:dyDescent="0.35">
      <c r="B581" s="6"/>
      <c r="C581" s="7"/>
      <c r="D581" s="9"/>
      <c r="E581" s="9"/>
      <c r="F581" s="9"/>
      <c r="G581" s="9"/>
      <c r="H581" s="35"/>
    </row>
    <row r="582" spans="2:8" x14ac:dyDescent="0.35">
      <c r="B582" s="6"/>
      <c r="C582" s="7"/>
      <c r="D582" s="9"/>
      <c r="E582" s="9"/>
      <c r="F582" s="9"/>
      <c r="G582" s="9"/>
      <c r="H582" s="35"/>
    </row>
    <row r="583" spans="2:8" x14ac:dyDescent="0.35">
      <c r="B583" s="6"/>
      <c r="C583" s="7"/>
      <c r="D583" s="9"/>
      <c r="E583" s="9"/>
      <c r="F583" s="9"/>
      <c r="G583" s="9"/>
      <c r="H583" s="35"/>
    </row>
    <row r="584" spans="2:8" x14ac:dyDescent="0.35">
      <c r="B584" s="6"/>
      <c r="C584" s="7"/>
      <c r="D584" s="9"/>
      <c r="E584" s="9"/>
      <c r="F584" s="9"/>
      <c r="G584" s="9"/>
      <c r="H584" s="35"/>
    </row>
    <row r="585" spans="2:8" x14ac:dyDescent="0.35">
      <c r="B585" s="6"/>
      <c r="C585" s="7"/>
      <c r="D585" s="9"/>
      <c r="E585" s="9"/>
      <c r="F585" s="9"/>
      <c r="G585" s="9"/>
      <c r="H585" s="35"/>
    </row>
    <row r="586" spans="2:8" x14ac:dyDescent="0.35">
      <c r="B586" s="6"/>
      <c r="C586" s="7"/>
      <c r="D586" s="9"/>
      <c r="E586" s="9"/>
      <c r="F586" s="9"/>
      <c r="G586" s="9"/>
      <c r="H586" s="35"/>
    </row>
    <row r="587" spans="2:8" x14ac:dyDescent="0.35">
      <c r="B587" s="6"/>
      <c r="C587" s="7"/>
      <c r="D587" s="9"/>
      <c r="E587" s="9"/>
      <c r="F587" s="9"/>
      <c r="G587" s="9"/>
      <c r="H587" s="35"/>
    </row>
    <row r="588" spans="2:8" x14ac:dyDescent="0.35">
      <c r="B588" s="6"/>
      <c r="C588" s="7"/>
      <c r="D588" s="9"/>
      <c r="E588" s="9"/>
      <c r="F588" s="9"/>
      <c r="G588" s="9"/>
      <c r="H588" s="35"/>
    </row>
    <row r="589" spans="2:8" x14ac:dyDescent="0.35">
      <c r="B589" s="6"/>
      <c r="C589" s="7"/>
      <c r="D589" s="9"/>
      <c r="E589" s="9"/>
      <c r="F589" s="9"/>
      <c r="G589" s="9"/>
      <c r="H589" s="35"/>
    </row>
    <row r="590" spans="2:8" x14ac:dyDescent="0.35">
      <c r="B590" s="6"/>
      <c r="C590" s="7"/>
      <c r="D590" s="9"/>
      <c r="E590" s="9"/>
      <c r="F590" s="9"/>
      <c r="G590" s="9"/>
      <c r="H590" s="35"/>
    </row>
    <row r="591" spans="2:8" x14ac:dyDescent="0.35">
      <c r="B591" s="6"/>
      <c r="C591" s="7"/>
      <c r="D591" s="9"/>
      <c r="E591" s="9"/>
      <c r="F591" s="9"/>
      <c r="G591" s="9"/>
      <c r="H591" s="35"/>
    </row>
    <row r="592" spans="2:8" x14ac:dyDescent="0.35">
      <c r="B592" s="6"/>
      <c r="C592" s="7"/>
      <c r="D592" s="9"/>
      <c r="E592" s="9"/>
      <c r="F592" s="9"/>
      <c r="G592" s="9"/>
      <c r="H592" s="35"/>
    </row>
    <row r="593" spans="2:8" x14ac:dyDescent="0.35">
      <c r="B593" s="6"/>
      <c r="C593" s="7"/>
      <c r="D593" s="9"/>
      <c r="E593" s="9"/>
      <c r="F593" s="9"/>
      <c r="G593" s="9"/>
      <c r="H593" s="35"/>
    </row>
    <row r="594" spans="2:8" x14ac:dyDescent="0.35">
      <c r="B594" s="6"/>
      <c r="C594" s="7"/>
      <c r="D594" s="9"/>
      <c r="E594" s="9"/>
      <c r="F594" s="9"/>
      <c r="G594" s="9"/>
      <c r="H594" s="35"/>
    </row>
    <row r="595" spans="2:8" x14ac:dyDescent="0.35">
      <c r="B595" s="6"/>
      <c r="C595" s="7"/>
      <c r="D595" s="9"/>
      <c r="E595" s="9"/>
      <c r="F595" s="9"/>
      <c r="G595" s="9"/>
      <c r="H595" s="35"/>
    </row>
    <row r="596" spans="2:8" x14ac:dyDescent="0.35">
      <c r="B596" s="6"/>
      <c r="C596" s="7"/>
      <c r="D596" s="9"/>
      <c r="E596" s="9"/>
      <c r="F596" s="9"/>
      <c r="G596" s="9"/>
      <c r="H596" s="35"/>
    </row>
    <row r="597" spans="2:8" x14ac:dyDescent="0.35">
      <c r="B597" s="6"/>
      <c r="C597" s="7"/>
      <c r="D597" s="9"/>
      <c r="E597" s="9"/>
      <c r="F597" s="9"/>
      <c r="G597" s="9"/>
      <c r="H597" s="35"/>
    </row>
    <row r="598" spans="2:8" x14ac:dyDescent="0.35">
      <c r="B598" s="6"/>
      <c r="C598" s="7"/>
      <c r="D598" s="9"/>
      <c r="E598" s="9"/>
      <c r="F598" s="9"/>
      <c r="G598" s="9"/>
      <c r="H598" s="35"/>
    </row>
    <row r="599" spans="2:8" x14ac:dyDescent="0.35">
      <c r="B599" s="6"/>
      <c r="C599" s="7"/>
      <c r="D599" s="9"/>
      <c r="E599" s="9"/>
      <c r="F599" s="9"/>
      <c r="G599" s="9"/>
      <c r="H599" s="35"/>
    </row>
    <row r="600" spans="2:8" x14ac:dyDescent="0.35">
      <c r="B600" s="6"/>
      <c r="C600" s="7"/>
      <c r="D600" s="9"/>
      <c r="E600" s="9"/>
      <c r="F600" s="9"/>
      <c r="G600" s="9"/>
      <c r="H600" s="35"/>
    </row>
    <row r="601" spans="2:8" x14ac:dyDescent="0.35">
      <c r="B601" s="6"/>
      <c r="C601" s="7"/>
      <c r="D601" s="9"/>
      <c r="E601" s="9"/>
      <c r="F601" s="9"/>
      <c r="G601" s="9"/>
      <c r="H601" s="35"/>
    </row>
    <row r="602" spans="2:8" x14ac:dyDescent="0.35">
      <c r="B602" s="6"/>
      <c r="C602" s="7"/>
      <c r="D602" s="9"/>
      <c r="E602" s="9"/>
      <c r="F602" s="9"/>
      <c r="G602" s="9"/>
      <c r="H602" s="35"/>
    </row>
    <row r="603" spans="2:8" x14ac:dyDescent="0.35">
      <c r="B603" s="6"/>
      <c r="C603" s="7"/>
      <c r="D603" s="9"/>
      <c r="E603" s="9"/>
      <c r="F603" s="9"/>
      <c r="G603" s="9"/>
      <c r="H603" s="35"/>
    </row>
    <row r="604" spans="2:8" x14ac:dyDescent="0.35">
      <c r="B604" s="6"/>
      <c r="C604" s="7"/>
      <c r="D604" s="9"/>
      <c r="E604" s="9"/>
      <c r="F604" s="9"/>
      <c r="G604" s="9"/>
      <c r="H604" s="35"/>
    </row>
    <row r="605" spans="2:8" x14ac:dyDescent="0.35">
      <c r="B605" s="6"/>
      <c r="C605" s="7"/>
      <c r="D605" s="9"/>
      <c r="E605" s="9"/>
      <c r="F605" s="9"/>
      <c r="G605" s="9"/>
      <c r="H605" s="35"/>
    </row>
    <row r="606" spans="2:8" x14ac:dyDescent="0.35">
      <c r="B606" s="6"/>
      <c r="C606" s="7"/>
      <c r="D606" s="9"/>
      <c r="E606" s="9"/>
      <c r="F606" s="9"/>
      <c r="G606" s="9"/>
      <c r="H606" s="35"/>
    </row>
    <row r="607" spans="2:8" x14ac:dyDescent="0.35">
      <c r="B607" s="6"/>
      <c r="C607" s="7"/>
      <c r="D607" s="9"/>
      <c r="E607" s="9"/>
      <c r="F607" s="9"/>
      <c r="G607" s="9"/>
      <c r="H607" s="35"/>
    </row>
    <row r="608" spans="2:8" x14ac:dyDescent="0.35">
      <c r="B608" s="6"/>
      <c r="C608" s="7"/>
      <c r="D608" s="9"/>
      <c r="E608" s="9"/>
      <c r="F608" s="9"/>
      <c r="G608" s="9"/>
      <c r="H608" s="35"/>
    </row>
    <row r="609" spans="2:8" x14ac:dyDescent="0.35">
      <c r="B609" s="6"/>
      <c r="C609" s="7"/>
      <c r="D609" s="9"/>
      <c r="E609" s="9"/>
      <c r="F609" s="9"/>
      <c r="G609" s="9"/>
      <c r="H609" s="35"/>
    </row>
    <row r="610" spans="2:8" x14ac:dyDescent="0.35">
      <c r="B610" s="6"/>
      <c r="C610" s="7"/>
      <c r="D610" s="9"/>
      <c r="E610" s="9"/>
      <c r="F610" s="9"/>
      <c r="G610" s="9"/>
      <c r="H610" s="35"/>
    </row>
    <row r="611" spans="2:8" x14ac:dyDescent="0.35">
      <c r="B611" s="6"/>
      <c r="C611" s="7"/>
      <c r="D611" s="9"/>
      <c r="E611" s="9"/>
      <c r="F611" s="9"/>
      <c r="G611" s="9"/>
      <c r="H611" s="35"/>
    </row>
    <row r="612" spans="2:8" x14ac:dyDescent="0.35">
      <c r="B612" s="6"/>
      <c r="C612" s="7"/>
      <c r="D612" s="9"/>
      <c r="E612" s="9"/>
      <c r="F612" s="9"/>
      <c r="G612" s="9"/>
      <c r="H612" s="35"/>
    </row>
    <row r="613" spans="2:8" x14ac:dyDescent="0.35">
      <c r="B613" s="6"/>
      <c r="C613" s="7"/>
      <c r="D613" s="9"/>
      <c r="E613" s="9"/>
      <c r="F613" s="9"/>
      <c r="G613" s="9"/>
      <c r="H613" s="35"/>
    </row>
    <row r="614" spans="2:8" x14ac:dyDescent="0.35">
      <c r="B614" s="6"/>
      <c r="C614" s="7"/>
      <c r="D614" s="9"/>
      <c r="E614" s="9"/>
      <c r="F614" s="9"/>
      <c r="G614" s="9"/>
      <c r="H614" s="35"/>
    </row>
    <row r="615" spans="2:8" x14ac:dyDescent="0.35">
      <c r="B615" s="6"/>
      <c r="C615" s="7"/>
      <c r="D615" s="9"/>
      <c r="E615" s="9"/>
      <c r="F615" s="9"/>
      <c r="G615" s="9"/>
      <c r="H615" s="35"/>
    </row>
    <row r="616" spans="2:8" x14ac:dyDescent="0.35">
      <c r="B616" s="6"/>
      <c r="C616" s="7"/>
      <c r="D616" s="9"/>
      <c r="E616" s="9"/>
      <c r="F616" s="9"/>
      <c r="G616" s="9"/>
      <c r="H616" s="35"/>
    </row>
    <row r="617" spans="2:8" x14ac:dyDescent="0.35">
      <c r="B617" s="6"/>
      <c r="C617" s="7"/>
      <c r="D617" s="9"/>
      <c r="E617" s="9"/>
      <c r="F617" s="9"/>
      <c r="G617" s="9"/>
      <c r="H617" s="35"/>
    </row>
    <row r="618" spans="2:8" x14ac:dyDescent="0.35">
      <c r="B618" s="6"/>
      <c r="C618" s="7"/>
      <c r="D618" s="9"/>
      <c r="E618" s="9"/>
      <c r="F618" s="9"/>
      <c r="G618" s="9"/>
      <c r="H618" s="35"/>
    </row>
    <row r="619" spans="2:8" x14ac:dyDescent="0.35">
      <c r="B619" s="6"/>
      <c r="C619" s="7"/>
      <c r="D619" s="9"/>
      <c r="E619" s="9"/>
      <c r="F619" s="9"/>
      <c r="G619" s="9"/>
      <c r="H619" s="35"/>
    </row>
    <row r="620" spans="2:8" x14ac:dyDescent="0.35">
      <c r="B620" s="6"/>
      <c r="C620" s="7"/>
      <c r="D620" s="9"/>
      <c r="E620" s="9"/>
      <c r="F620" s="9"/>
      <c r="G620" s="9"/>
      <c r="H620" s="35"/>
    </row>
    <row r="621" spans="2:8" x14ac:dyDescent="0.35">
      <c r="B621" s="6"/>
      <c r="C621" s="7"/>
      <c r="D621" s="9"/>
      <c r="E621" s="9"/>
      <c r="F621" s="9"/>
      <c r="G621" s="9"/>
      <c r="H621" s="35"/>
    </row>
    <row r="622" spans="2:8" x14ac:dyDescent="0.35">
      <c r="B622" s="6"/>
      <c r="C622" s="7"/>
      <c r="D622" s="9"/>
      <c r="E622" s="9"/>
      <c r="F622" s="9"/>
      <c r="G622" s="9"/>
      <c r="H622" s="35"/>
    </row>
    <row r="623" spans="2:8" x14ac:dyDescent="0.35">
      <c r="B623" s="6"/>
      <c r="C623" s="7"/>
      <c r="D623" s="9"/>
      <c r="E623" s="9"/>
      <c r="F623" s="9"/>
      <c r="G623" s="9"/>
      <c r="H623" s="35"/>
    </row>
    <row r="624" spans="2:8" x14ac:dyDescent="0.35">
      <c r="B624" s="6"/>
      <c r="C624" s="7"/>
      <c r="D624" s="9"/>
      <c r="E624" s="9"/>
      <c r="F624" s="9"/>
      <c r="G624" s="9"/>
      <c r="H624" s="35"/>
    </row>
    <row r="625" spans="2:8" x14ac:dyDescent="0.35">
      <c r="B625" s="6"/>
      <c r="C625" s="7"/>
      <c r="D625" s="9"/>
      <c r="E625" s="9"/>
      <c r="F625" s="9"/>
      <c r="G625" s="9"/>
      <c r="H625" s="35"/>
    </row>
    <row r="626" spans="2:8" x14ac:dyDescent="0.35">
      <c r="B626" s="6"/>
      <c r="C626" s="7"/>
      <c r="D626" s="9"/>
      <c r="E626" s="9"/>
      <c r="F626" s="9"/>
      <c r="G626" s="9"/>
      <c r="H626" s="35"/>
    </row>
    <row r="627" spans="2:8" x14ac:dyDescent="0.35">
      <c r="B627" s="6"/>
      <c r="C627" s="7"/>
      <c r="D627" s="9"/>
      <c r="E627" s="9"/>
      <c r="F627" s="9"/>
      <c r="G627" s="9"/>
      <c r="H627" s="35"/>
    </row>
    <row r="628" spans="2:8" x14ac:dyDescent="0.35">
      <c r="B628" s="6"/>
      <c r="C628" s="7"/>
      <c r="D628" s="9"/>
      <c r="E628" s="9"/>
      <c r="F628" s="9"/>
      <c r="G628" s="9"/>
      <c r="H628" s="35"/>
    </row>
    <row r="629" spans="2:8" x14ac:dyDescent="0.35">
      <c r="B629" s="6"/>
      <c r="C629" s="7"/>
      <c r="D629" s="9"/>
      <c r="E629" s="9"/>
      <c r="F629" s="9"/>
      <c r="G629" s="9"/>
      <c r="H629" s="35"/>
    </row>
    <row r="630" spans="2:8" x14ac:dyDescent="0.35">
      <c r="B630" s="6"/>
      <c r="C630" s="7"/>
      <c r="D630" s="9"/>
      <c r="E630" s="9"/>
      <c r="F630" s="9"/>
      <c r="G630" s="9"/>
      <c r="H630" s="35"/>
    </row>
    <row r="631" spans="2:8" x14ac:dyDescent="0.35">
      <c r="B631" s="6"/>
      <c r="C631" s="7"/>
      <c r="D631" s="9"/>
      <c r="E631" s="9"/>
      <c r="F631" s="9"/>
      <c r="G631" s="9"/>
      <c r="H631" s="35"/>
    </row>
    <row r="632" spans="2:8" x14ac:dyDescent="0.35">
      <c r="B632" s="6"/>
      <c r="C632" s="7"/>
      <c r="D632" s="9"/>
      <c r="E632" s="9"/>
      <c r="F632" s="9"/>
      <c r="G632" s="9"/>
      <c r="H632" s="35"/>
    </row>
    <row r="633" spans="2:8" x14ac:dyDescent="0.35">
      <c r="B633" s="6"/>
      <c r="C633" s="7"/>
      <c r="D633" s="9"/>
      <c r="E633" s="9"/>
      <c r="F633" s="9"/>
      <c r="G633" s="9"/>
      <c r="H633" s="35"/>
    </row>
    <row r="634" spans="2:8" x14ac:dyDescent="0.35">
      <c r="B634" s="6"/>
      <c r="C634" s="7"/>
      <c r="D634" s="9"/>
      <c r="E634" s="9"/>
      <c r="F634" s="9"/>
      <c r="G634" s="9"/>
      <c r="H634" s="35"/>
    </row>
    <row r="635" spans="2:8" x14ac:dyDescent="0.35">
      <c r="B635" s="6"/>
      <c r="C635" s="7"/>
      <c r="D635" s="9"/>
      <c r="E635" s="9"/>
      <c r="F635" s="9"/>
      <c r="G635" s="9"/>
      <c r="H635" s="35"/>
    </row>
    <row r="636" spans="2:8" x14ac:dyDescent="0.35">
      <c r="B636" s="6"/>
      <c r="C636" s="7"/>
      <c r="D636" s="9"/>
      <c r="E636" s="9"/>
      <c r="F636" s="9"/>
      <c r="G636" s="9"/>
      <c r="H636" s="35"/>
    </row>
    <row r="637" spans="2:8" x14ac:dyDescent="0.35">
      <c r="B637" s="6"/>
      <c r="C637" s="7"/>
      <c r="D637" s="9"/>
      <c r="E637" s="9"/>
      <c r="F637" s="9"/>
      <c r="G637" s="9"/>
      <c r="H637" s="35"/>
    </row>
    <row r="638" spans="2:8" x14ac:dyDescent="0.35">
      <c r="B638" s="6"/>
      <c r="C638" s="7"/>
      <c r="D638" s="9"/>
      <c r="E638" s="9"/>
      <c r="F638" s="9"/>
      <c r="G638" s="9"/>
      <c r="H638" s="35"/>
    </row>
    <row r="639" spans="2:8" x14ac:dyDescent="0.35">
      <c r="B639" s="6"/>
      <c r="C639" s="7"/>
      <c r="D639" s="9"/>
      <c r="E639" s="9"/>
      <c r="F639" s="9"/>
      <c r="G639" s="9"/>
      <c r="H639" s="35"/>
    </row>
    <row r="640" spans="2:8" x14ac:dyDescent="0.35">
      <c r="B640" s="6"/>
      <c r="C640" s="7"/>
      <c r="D640" s="9"/>
      <c r="E640" s="9"/>
      <c r="F640" s="9"/>
      <c r="G640" s="9"/>
      <c r="H640" s="35"/>
    </row>
    <row r="641" spans="2:8" x14ac:dyDescent="0.35">
      <c r="B641" s="6"/>
      <c r="C641" s="7"/>
      <c r="D641" s="9"/>
      <c r="E641" s="9"/>
      <c r="F641" s="9"/>
      <c r="G641" s="9"/>
      <c r="H641" s="35"/>
    </row>
    <row r="642" spans="2:8" x14ac:dyDescent="0.35">
      <c r="B642" s="6"/>
      <c r="C642" s="7"/>
      <c r="D642" s="9"/>
      <c r="E642" s="9"/>
      <c r="F642" s="9"/>
      <c r="G642" s="9"/>
      <c r="H642" s="35"/>
    </row>
    <row r="643" spans="2:8" x14ac:dyDescent="0.35">
      <c r="B643" s="6"/>
      <c r="C643" s="7"/>
      <c r="D643" s="9"/>
      <c r="E643" s="9"/>
      <c r="F643" s="9"/>
      <c r="G643" s="9"/>
      <c r="H643" s="35"/>
    </row>
    <row r="644" spans="2:8" x14ac:dyDescent="0.35">
      <c r="B644" s="6"/>
      <c r="C644" s="7"/>
      <c r="D644" s="9"/>
      <c r="E644" s="9"/>
      <c r="F644" s="9"/>
      <c r="G644" s="9"/>
      <c r="H644" s="35"/>
    </row>
    <row r="645" spans="2:8" x14ac:dyDescent="0.35">
      <c r="B645" s="6"/>
      <c r="C645" s="7"/>
      <c r="D645" s="9"/>
      <c r="E645" s="9"/>
      <c r="F645" s="9"/>
      <c r="G645" s="9"/>
      <c r="H645" s="35"/>
    </row>
    <row r="646" spans="2:8" x14ac:dyDescent="0.35">
      <c r="B646" s="6"/>
      <c r="C646" s="7"/>
      <c r="D646" s="9"/>
      <c r="E646" s="9"/>
      <c r="F646" s="9"/>
      <c r="G646" s="9"/>
      <c r="H646" s="35"/>
    </row>
    <row r="647" spans="2:8" x14ac:dyDescent="0.35">
      <c r="B647" s="6"/>
      <c r="C647" s="7"/>
      <c r="D647" s="9"/>
      <c r="E647" s="9"/>
      <c r="F647" s="9"/>
      <c r="G647" s="9"/>
      <c r="H647" s="35"/>
    </row>
    <row r="648" spans="2:8" x14ac:dyDescent="0.35">
      <c r="B648" s="6"/>
      <c r="C648" s="7"/>
      <c r="D648" s="9"/>
      <c r="E648" s="9"/>
      <c r="F648" s="9"/>
      <c r="G648" s="9"/>
      <c r="H648" s="35"/>
    </row>
    <row r="649" spans="2:8" x14ac:dyDescent="0.35">
      <c r="B649" s="6"/>
      <c r="C649" s="7"/>
      <c r="D649" s="9"/>
      <c r="E649" s="9"/>
      <c r="F649" s="9"/>
      <c r="G649" s="9"/>
      <c r="H649" s="35"/>
    </row>
    <row r="650" spans="2:8" x14ac:dyDescent="0.35">
      <c r="B650" s="6"/>
      <c r="C650" s="7"/>
      <c r="D650" s="9"/>
      <c r="E650" s="9"/>
      <c r="F650" s="9"/>
      <c r="G650" s="9"/>
      <c r="H650" s="35"/>
    </row>
    <row r="651" spans="2:8" x14ac:dyDescent="0.35">
      <c r="B651" s="6"/>
      <c r="C651" s="7"/>
      <c r="D651" s="9"/>
      <c r="E651" s="9"/>
      <c r="F651" s="9"/>
      <c r="G651" s="9"/>
      <c r="H651" s="35"/>
    </row>
    <row r="652" spans="2:8" x14ac:dyDescent="0.35">
      <c r="B652" s="6"/>
      <c r="C652" s="7"/>
      <c r="D652" s="9"/>
      <c r="E652" s="9"/>
      <c r="F652" s="9"/>
      <c r="G652" s="9"/>
      <c r="H652" s="35"/>
    </row>
    <row r="653" spans="2:8" x14ac:dyDescent="0.35">
      <c r="B653" s="6"/>
      <c r="C653" s="7"/>
      <c r="D653" s="9"/>
      <c r="E653" s="9"/>
      <c r="F653" s="9"/>
      <c r="G653" s="9"/>
      <c r="H653" s="35"/>
    </row>
    <row r="654" spans="2:8" x14ac:dyDescent="0.35">
      <c r="B654" s="6"/>
      <c r="C654" s="7"/>
      <c r="D654" s="9"/>
      <c r="E654" s="9"/>
      <c r="F654" s="9"/>
      <c r="G654" s="9"/>
      <c r="H654" s="35"/>
    </row>
    <row r="655" spans="2:8" x14ac:dyDescent="0.35">
      <c r="B655" s="6"/>
      <c r="C655" s="7"/>
      <c r="D655" s="9"/>
      <c r="E655" s="9"/>
      <c r="F655" s="9"/>
      <c r="G655" s="9"/>
      <c r="H655" s="35"/>
    </row>
    <row r="656" spans="2:8" x14ac:dyDescent="0.35">
      <c r="B656" s="6"/>
      <c r="C656" s="7"/>
      <c r="D656" s="9"/>
      <c r="E656" s="9"/>
      <c r="F656" s="9"/>
      <c r="G656" s="9"/>
      <c r="H656" s="35"/>
    </row>
    <row r="657" spans="2:8" x14ac:dyDescent="0.35">
      <c r="B657" s="6"/>
      <c r="C657" s="7"/>
      <c r="D657" s="9"/>
      <c r="E657" s="9"/>
      <c r="F657" s="9"/>
      <c r="G657" s="9"/>
      <c r="H657" s="35"/>
    </row>
    <row r="658" spans="2:8" x14ac:dyDescent="0.35">
      <c r="B658" s="6"/>
      <c r="C658" s="7"/>
      <c r="D658" s="9"/>
      <c r="E658" s="9"/>
      <c r="F658" s="9"/>
      <c r="G658" s="9"/>
      <c r="H658" s="35"/>
    </row>
    <row r="659" spans="2:8" x14ac:dyDescent="0.35">
      <c r="B659" s="6"/>
      <c r="C659" s="7"/>
      <c r="D659" s="9"/>
      <c r="E659" s="9"/>
      <c r="F659" s="9"/>
      <c r="G659" s="9"/>
      <c r="H659" s="35"/>
    </row>
    <row r="660" spans="2:8" x14ac:dyDescent="0.35">
      <c r="B660" s="6"/>
      <c r="C660" s="7"/>
      <c r="D660" s="9"/>
      <c r="E660" s="9"/>
      <c r="F660" s="9"/>
      <c r="G660" s="9"/>
      <c r="H660" s="35"/>
    </row>
    <row r="661" spans="2:8" x14ac:dyDescent="0.35">
      <c r="B661" s="6"/>
      <c r="C661" s="7"/>
      <c r="D661" s="9"/>
      <c r="E661" s="9"/>
      <c r="F661" s="9"/>
      <c r="G661" s="9"/>
      <c r="H661" s="35"/>
    </row>
    <row r="662" spans="2:8" x14ac:dyDescent="0.35">
      <c r="B662" s="6"/>
      <c r="C662" s="7"/>
      <c r="D662" s="9"/>
      <c r="E662" s="9"/>
      <c r="F662" s="9"/>
      <c r="G662" s="9"/>
      <c r="H662" s="35"/>
    </row>
    <row r="663" spans="2:8" x14ac:dyDescent="0.35">
      <c r="B663" s="6"/>
      <c r="C663" s="7"/>
      <c r="D663" s="9"/>
      <c r="E663" s="9"/>
      <c r="F663" s="9"/>
      <c r="G663" s="9"/>
      <c r="H663" s="35"/>
    </row>
    <row r="664" spans="2:8" x14ac:dyDescent="0.35">
      <c r="B664" s="6"/>
      <c r="C664" s="7"/>
      <c r="D664" s="9"/>
      <c r="E664" s="9"/>
      <c r="F664" s="9"/>
      <c r="G664" s="9"/>
      <c r="H664" s="35"/>
    </row>
    <row r="665" spans="2:8" x14ac:dyDescent="0.35">
      <c r="B665" s="6"/>
      <c r="C665" s="7"/>
      <c r="D665" s="9"/>
      <c r="E665" s="9"/>
      <c r="F665" s="9"/>
      <c r="G665" s="9"/>
      <c r="H665" s="35"/>
    </row>
    <row r="666" spans="2:8" x14ac:dyDescent="0.35">
      <c r="B666" s="6"/>
      <c r="C666" s="7"/>
      <c r="D666" s="9"/>
      <c r="E666" s="9"/>
      <c r="F666" s="9"/>
      <c r="G666" s="9"/>
      <c r="H666" s="35"/>
    </row>
    <row r="667" spans="2:8" x14ac:dyDescent="0.35">
      <c r="B667" s="6"/>
      <c r="C667" s="7"/>
      <c r="D667" s="9"/>
      <c r="E667" s="9"/>
      <c r="F667" s="9"/>
      <c r="G667" s="9"/>
      <c r="H667" s="35"/>
    </row>
    <row r="668" spans="2:8" x14ac:dyDescent="0.35">
      <c r="B668" s="6"/>
      <c r="C668" s="7"/>
      <c r="D668" s="9"/>
      <c r="E668" s="9"/>
      <c r="F668" s="9"/>
      <c r="G668" s="9"/>
      <c r="H668" s="35"/>
    </row>
    <row r="669" spans="2:8" x14ac:dyDescent="0.35">
      <c r="B669" s="6"/>
      <c r="C669" s="7"/>
      <c r="D669" s="9"/>
      <c r="E669" s="9"/>
      <c r="F669" s="9"/>
      <c r="G669" s="9"/>
      <c r="H669" s="35"/>
    </row>
    <row r="670" spans="2:8" x14ac:dyDescent="0.35">
      <c r="B670" s="6"/>
      <c r="C670" s="7"/>
      <c r="D670" s="9"/>
      <c r="E670" s="9"/>
      <c r="F670" s="9"/>
      <c r="G670" s="9"/>
      <c r="H670" s="35"/>
    </row>
    <row r="671" spans="2:8" x14ac:dyDescent="0.35">
      <c r="B671" s="6"/>
      <c r="C671" s="7"/>
      <c r="D671" s="9"/>
      <c r="E671" s="9"/>
      <c r="F671" s="9"/>
      <c r="G671" s="9"/>
      <c r="H671" s="35"/>
    </row>
    <row r="672" spans="2:8" x14ac:dyDescent="0.35">
      <c r="B672" s="6"/>
      <c r="C672" s="7"/>
      <c r="D672" s="9"/>
      <c r="E672" s="9"/>
      <c r="F672" s="9"/>
      <c r="G672" s="9"/>
      <c r="H672" s="35"/>
    </row>
    <row r="673" spans="2:8" x14ac:dyDescent="0.35">
      <c r="B673" s="6"/>
      <c r="C673" s="7"/>
      <c r="D673" s="9"/>
      <c r="E673" s="9"/>
      <c r="F673" s="9"/>
      <c r="G673" s="9"/>
      <c r="H673" s="35"/>
    </row>
    <row r="674" spans="2:8" x14ac:dyDescent="0.35">
      <c r="B674" s="6"/>
      <c r="C674" s="7"/>
      <c r="D674" s="9"/>
      <c r="E674" s="9"/>
      <c r="F674" s="9"/>
      <c r="G674" s="9"/>
      <c r="H674" s="35"/>
    </row>
    <row r="675" spans="2:8" x14ac:dyDescent="0.35">
      <c r="B675" s="6"/>
      <c r="C675" s="7"/>
      <c r="D675" s="9"/>
      <c r="E675" s="9"/>
      <c r="F675" s="9"/>
      <c r="G675" s="9"/>
      <c r="H675" s="35"/>
    </row>
    <row r="676" spans="2:8" x14ac:dyDescent="0.35">
      <c r="B676" s="6"/>
      <c r="C676" s="7"/>
      <c r="D676" s="9"/>
      <c r="E676" s="9"/>
      <c r="F676" s="9"/>
      <c r="G676" s="9"/>
      <c r="H676" s="35"/>
    </row>
    <row r="677" spans="2:8" x14ac:dyDescent="0.35">
      <c r="B677" s="6"/>
      <c r="C677" s="7"/>
      <c r="D677" s="9"/>
      <c r="E677" s="9"/>
      <c r="F677" s="9"/>
      <c r="G677" s="9"/>
      <c r="H677" s="35"/>
    </row>
    <row r="678" spans="2:8" x14ac:dyDescent="0.35">
      <c r="B678" s="6"/>
      <c r="C678" s="7"/>
      <c r="D678" s="9"/>
      <c r="E678" s="9"/>
      <c r="F678" s="9"/>
      <c r="G678" s="9"/>
      <c r="H678" s="35"/>
    </row>
    <row r="679" spans="2:8" x14ac:dyDescent="0.35">
      <c r="B679" s="6"/>
      <c r="C679" s="7"/>
      <c r="D679" s="9"/>
      <c r="E679" s="9"/>
      <c r="F679" s="9"/>
      <c r="G679" s="9"/>
      <c r="H679" s="35"/>
    </row>
    <row r="680" spans="2:8" x14ac:dyDescent="0.35">
      <c r="B680" s="6"/>
      <c r="C680" s="7"/>
      <c r="D680" s="9"/>
      <c r="E680" s="9"/>
      <c r="F680" s="9"/>
      <c r="G680" s="9"/>
      <c r="H680" s="35"/>
    </row>
    <row r="681" spans="2:8" x14ac:dyDescent="0.35">
      <c r="B681" s="6"/>
      <c r="C681" s="7"/>
      <c r="D681" s="9"/>
      <c r="E681" s="9"/>
      <c r="F681" s="9"/>
      <c r="G681" s="9"/>
      <c r="H681" s="35"/>
    </row>
    <row r="682" spans="2:8" x14ac:dyDescent="0.35">
      <c r="B682" s="6"/>
      <c r="C682" s="7"/>
      <c r="D682" s="9"/>
      <c r="E682" s="9"/>
      <c r="F682" s="9"/>
      <c r="G682" s="9"/>
      <c r="H682" s="35"/>
    </row>
    <row r="683" spans="2:8" x14ac:dyDescent="0.35">
      <c r="B683" s="6"/>
      <c r="C683" s="7"/>
      <c r="D683" s="9"/>
      <c r="E683" s="9"/>
      <c r="F683" s="9"/>
      <c r="G683" s="9"/>
      <c r="H683" s="35"/>
    </row>
    <row r="684" spans="2:8" x14ac:dyDescent="0.35">
      <c r="B684" s="6"/>
      <c r="C684" s="7"/>
      <c r="D684" s="9"/>
      <c r="E684" s="9"/>
      <c r="F684" s="9"/>
      <c r="G684" s="9"/>
      <c r="H684" s="35"/>
    </row>
    <row r="685" spans="2:8" x14ac:dyDescent="0.35">
      <c r="B685" s="6"/>
      <c r="C685" s="7"/>
      <c r="D685" s="9"/>
      <c r="E685" s="9"/>
      <c r="F685" s="9"/>
      <c r="G685" s="9"/>
      <c r="H685" s="35"/>
    </row>
    <row r="686" spans="2:8" x14ac:dyDescent="0.35">
      <c r="B686" s="6"/>
      <c r="C686" s="7"/>
      <c r="D686" s="9"/>
      <c r="E686" s="9"/>
      <c r="F686" s="9"/>
      <c r="G686" s="9"/>
      <c r="H686" s="35"/>
    </row>
    <row r="687" spans="2:8" x14ac:dyDescent="0.35">
      <c r="B687" s="6"/>
      <c r="C687" s="7"/>
      <c r="D687" s="9"/>
      <c r="E687" s="9"/>
      <c r="F687" s="9"/>
      <c r="G687" s="9"/>
      <c r="H687" s="35"/>
    </row>
    <row r="688" spans="2:8" x14ac:dyDescent="0.35">
      <c r="B688" s="6"/>
      <c r="C688" s="7"/>
      <c r="D688" s="9"/>
      <c r="E688" s="9"/>
      <c r="F688" s="9"/>
      <c r="G688" s="9"/>
      <c r="H688" s="35"/>
    </row>
    <row r="689" spans="2:8" x14ac:dyDescent="0.35">
      <c r="B689" s="6"/>
      <c r="C689" s="7"/>
      <c r="D689" s="9"/>
      <c r="E689" s="9"/>
      <c r="F689" s="9"/>
      <c r="G689" s="9"/>
      <c r="H689" s="35"/>
    </row>
    <row r="690" spans="2:8" x14ac:dyDescent="0.35">
      <c r="B690" s="6"/>
      <c r="C690" s="7"/>
      <c r="D690" s="9"/>
      <c r="E690" s="9"/>
      <c r="F690" s="9"/>
      <c r="G690" s="9"/>
      <c r="H690" s="35"/>
    </row>
    <row r="691" spans="2:8" x14ac:dyDescent="0.35">
      <c r="B691" s="6"/>
      <c r="C691" s="7"/>
      <c r="D691" s="9"/>
      <c r="E691" s="9"/>
      <c r="F691" s="9"/>
      <c r="G691" s="9"/>
      <c r="H691" s="35"/>
    </row>
    <row r="692" spans="2:8" x14ac:dyDescent="0.35">
      <c r="B692" s="6"/>
      <c r="C692" s="7"/>
      <c r="D692" s="9"/>
      <c r="E692" s="9"/>
      <c r="F692" s="9"/>
      <c r="G692" s="9"/>
      <c r="H692" s="35"/>
    </row>
    <row r="693" spans="2:8" x14ac:dyDescent="0.35">
      <c r="B693" s="6"/>
      <c r="C693" s="7"/>
      <c r="D693" s="9"/>
      <c r="E693" s="9"/>
      <c r="F693" s="9"/>
      <c r="G693" s="9"/>
      <c r="H693" s="35"/>
    </row>
    <row r="694" spans="2:8" x14ac:dyDescent="0.35">
      <c r="B694" s="6"/>
      <c r="C694" s="7"/>
      <c r="D694" s="9"/>
      <c r="E694" s="9"/>
      <c r="F694" s="9"/>
      <c r="G694" s="9"/>
      <c r="H694" s="35"/>
    </row>
    <row r="695" spans="2:8" x14ac:dyDescent="0.35">
      <c r="B695" s="6"/>
      <c r="C695" s="7"/>
      <c r="D695" s="9"/>
      <c r="E695" s="9"/>
      <c r="F695" s="9"/>
      <c r="G695" s="9"/>
      <c r="H695" s="35"/>
    </row>
    <row r="696" spans="2:8" x14ac:dyDescent="0.35">
      <c r="B696" s="6"/>
      <c r="C696" s="7"/>
      <c r="D696" s="9"/>
      <c r="E696" s="9"/>
      <c r="F696" s="9"/>
      <c r="G696" s="9"/>
      <c r="H696" s="35"/>
    </row>
    <row r="697" spans="2:8" x14ac:dyDescent="0.35">
      <c r="B697" s="6"/>
      <c r="C697" s="7"/>
      <c r="D697" s="9"/>
      <c r="E697" s="9"/>
      <c r="F697" s="9"/>
      <c r="G697" s="9"/>
      <c r="H697" s="35"/>
    </row>
    <row r="698" spans="2:8" x14ac:dyDescent="0.35">
      <c r="B698" s="6"/>
      <c r="C698" s="7"/>
      <c r="D698" s="9"/>
      <c r="E698" s="9"/>
      <c r="F698" s="9"/>
      <c r="G698" s="9"/>
      <c r="H698" s="35"/>
    </row>
    <row r="699" spans="2:8" x14ac:dyDescent="0.35">
      <c r="B699" s="6"/>
      <c r="C699" s="7"/>
      <c r="D699" s="9"/>
      <c r="E699" s="9"/>
      <c r="F699" s="9"/>
      <c r="G699" s="9"/>
      <c r="H699" s="35"/>
    </row>
    <row r="700" spans="2:8" x14ac:dyDescent="0.35">
      <c r="B700" s="6"/>
      <c r="C700" s="7"/>
      <c r="D700" s="9"/>
      <c r="E700" s="9"/>
      <c r="F700" s="9"/>
      <c r="G700" s="9"/>
      <c r="H700" s="35"/>
    </row>
    <row r="701" spans="2:8" x14ac:dyDescent="0.35">
      <c r="B701" s="6"/>
      <c r="C701" s="7"/>
      <c r="D701" s="9"/>
      <c r="E701" s="9"/>
      <c r="F701" s="9"/>
      <c r="G701" s="9"/>
      <c r="H701" s="35"/>
    </row>
    <row r="702" spans="2:8" x14ac:dyDescent="0.35">
      <c r="B702" s="6"/>
      <c r="C702" s="7"/>
      <c r="D702" s="9"/>
      <c r="E702" s="9"/>
      <c r="F702" s="9"/>
      <c r="G702" s="9"/>
      <c r="H702" s="35"/>
    </row>
    <row r="703" spans="2:8" x14ac:dyDescent="0.35">
      <c r="B703" s="6"/>
      <c r="C703" s="7"/>
      <c r="D703" s="9"/>
      <c r="E703" s="9"/>
      <c r="F703" s="9"/>
      <c r="G703" s="9"/>
      <c r="H703" s="35"/>
    </row>
    <row r="704" spans="2:8" x14ac:dyDescent="0.35">
      <c r="B704" s="6"/>
      <c r="C704" s="7"/>
      <c r="D704" s="9"/>
      <c r="E704" s="9"/>
      <c r="F704" s="9"/>
      <c r="G704" s="9"/>
      <c r="H704" s="35"/>
    </row>
    <row r="705" spans="2:8" x14ac:dyDescent="0.35">
      <c r="B705" s="6"/>
      <c r="C705" s="7"/>
      <c r="D705" s="9"/>
      <c r="E705" s="9"/>
      <c r="F705" s="9"/>
      <c r="G705" s="9"/>
      <c r="H705" s="35"/>
    </row>
    <row r="706" spans="2:8" x14ac:dyDescent="0.35">
      <c r="B706" s="6"/>
      <c r="C706" s="7"/>
      <c r="D706" s="9"/>
      <c r="E706" s="9"/>
      <c r="F706" s="9"/>
      <c r="G706" s="9"/>
      <c r="H706" s="35"/>
    </row>
    <row r="707" spans="2:8" x14ac:dyDescent="0.35">
      <c r="B707" s="6"/>
      <c r="C707" s="7"/>
      <c r="D707" s="9"/>
      <c r="E707" s="9"/>
      <c r="F707" s="9"/>
      <c r="G707" s="9"/>
      <c r="H707" s="35"/>
    </row>
    <row r="708" spans="2:8" x14ac:dyDescent="0.35">
      <c r="B708" s="6"/>
      <c r="C708" s="7"/>
      <c r="D708" s="9"/>
      <c r="E708" s="9"/>
      <c r="F708" s="9"/>
      <c r="G708" s="9"/>
      <c r="H708" s="35"/>
    </row>
    <row r="709" spans="2:8" x14ac:dyDescent="0.35">
      <c r="B709" s="6"/>
      <c r="C709" s="7"/>
      <c r="D709" s="9"/>
      <c r="E709" s="9"/>
      <c r="F709" s="9"/>
      <c r="G709" s="9"/>
      <c r="H709" s="35"/>
    </row>
    <row r="710" spans="2:8" x14ac:dyDescent="0.35">
      <c r="B710" s="6"/>
      <c r="C710" s="7"/>
      <c r="D710" s="9"/>
      <c r="E710" s="9"/>
      <c r="F710" s="9"/>
      <c r="G710" s="9"/>
      <c r="H710" s="35"/>
    </row>
    <row r="711" spans="2:8" x14ac:dyDescent="0.35">
      <c r="B711" s="6"/>
      <c r="C711" s="7"/>
      <c r="D711" s="9"/>
      <c r="E711" s="9"/>
      <c r="F711" s="9"/>
      <c r="G711" s="9"/>
      <c r="H711" s="35"/>
    </row>
    <row r="712" spans="2:8" x14ac:dyDescent="0.35">
      <c r="B712" s="6"/>
      <c r="C712" s="7"/>
      <c r="D712" s="9"/>
      <c r="E712" s="9"/>
      <c r="F712" s="9"/>
      <c r="G712" s="9"/>
      <c r="H712" s="35"/>
    </row>
    <row r="713" spans="2:8" x14ac:dyDescent="0.35">
      <c r="B713" s="6"/>
      <c r="C713" s="7"/>
      <c r="D713" s="9"/>
      <c r="E713" s="9"/>
      <c r="F713" s="9"/>
      <c r="G713" s="9"/>
      <c r="H713" s="35"/>
    </row>
    <row r="714" spans="2:8" x14ac:dyDescent="0.35">
      <c r="B714" s="6"/>
      <c r="C714" s="7"/>
      <c r="D714" s="9"/>
      <c r="E714" s="9"/>
      <c r="F714" s="9"/>
      <c r="G714" s="9"/>
      <c r="H714" s="35"/>
    </row>
    <row r="715" spans="2:8" x14ac:dyDescent="0.35">
      <c r="B715" s="6"/>
      <c r="C715" s="7"/>
      <c r="D715" s="9"/>
      <c r="E715" s="9"/>
      <c r="F715" s="9"/>
      <c r="G715" s="9"/>
      <c r="H715" s="35"/>
    </row>
    <row r="716" spans="2:8" x14ac:dyDescent="0.35">
      <c r="B716" s="6"/>
      <c r="C716" s="7"/>
      <c r="D716" s="9"/>
      <c r="E716" s="9"/>
      <c r="F716" s="9"/>
      <c r="G716" s="9"/>
      <c r="H716" s="35"/>
    </row>
    <row r="717" spans="2:8" x14ac:dyDescent="0.35">
      <c r="B717" s="6"/>
      <c r="C717" s="7"/>
      <c r="D717" s="9"/>
      <c r="E717" s="9"/>
      <c r="F717" s="9"/>
      <c r="G717" s="9"/>
      <c r="H717" s="35"/>
    </row>
    <row r="718" spans="2:8" x14ac:dyDescent="0.35">
      <c r="B718" s="6"/>
      <c r="C718" s="7"/>
      <c r="D718" s="9"/>
      <c r="E718" s="9"/>
      <c r="F718" s="9"/>
      <c r="G718" s="9"/>
      <c r="H718" s="35"/>
    </row>
    <row r="719" spans="2:8" x14ac:dyDescent="0.35">
      <c r="B719" s="6"/>
      <c r="C719" s="7"/>
      <c r="D719" s="9"/>
      <c r="E719" s="9"/>
      <c r="F719" s="9"/>
      <c r="G719" s="9"/>
      <c r="H719" s="35"/>
    </row>
    <row r="720" spans="2:8" x14ac:dyDescent="0.35">
      <c r="B720" s="6"/>
      <c r="C720" s="7"/>
      <c r="D720" s="9"/>
      <c r="E720" s="9"/>
      <c r="F720" s="9"/>
      <c r="G720" s="9"/>
      <c r="H720" s="35"/>
    </row>
    <row r="721" spans="2:8" x14ac:dyDescent="0.35">
      <c r="B721" s="6"/>
      <c r="C721" s="7"/>
      <c r="D721" s="9"/>
      <c r="E721" s="9"/>
      <c r="F721" s="9"/>
      <c r="G721" s="9"/>
      <c r="H721" s="35"/>
    </row>
    <row r="722" spans="2:8" x14ac:dyDescent="0.35">
      <c r="B722" s="6"/>
      <c r="C722" s="7"/>
      <c r="D722" s="9"/>
      <c r="E722" s="9"/>
      <c r="F722" s="9"/>
      <c r="G722" s="9"/>
      <c r="H722" s="35"/>
    </row>
    <row r="723" spans="2:8" x14ac:dyDescent="0.35">
      <c r="B723" s="6"/>
      <c r="C723" s="7"/>
      <c r="D723" s="9"/>
      <c r="E723" s="9"/>
      <c r="F723" s="9"/>
      <c r="G723" s="9"/>
      <c r="H723" s="35"/>
    </row>
    <row r="724" spans="2:8" x14ac:dyDescent="0.35">
      <c r="B724" s="6"/>
      <c r="C724" s="7"/>
      <c r="D724" s="9"/>
      <c r="E724" s="9"/>
      <c r="F724" s="9"/>
      <c r="G724" s="9"/>
      <c r="H724" s="35"/>
    </row>
    <row r="725" spans="2:8" x14ac:dyDescent="0.35">
      <c r="B725" s="6"/>
      <c r="C725" s="7"/>
      <c r="D725" s="9"/>
      <c r="E725" s="9"/>
      <c r="F725" s="9"/>
      <c r="G725" s="9"/>
      <c r="H725" s="35"/>
    </row>
    <row r="726" spans="2:8" x14ac:dyDescent="0.35">
      <c r="B726" s="6"/>
      <c r="C726" s="7"/>
      <c r="D726" s="9"/>
      <c r="E726" s="9"/>
      <c r="F726" s="9"/>
      <c r="G726" s="9"/>
      <c r="H726" s="35"/>
    </row>
    <row r="727" spans="2:8" x14ac:dyDescent="0.35">
      <c r="B727" s="6"/>
      <c r="C727" s="7"/>
      <c r="D727" s="9"/>
      <c r="E727" s="9"/>
      <c r="F727" s="9"/>
      <c r="G727" s="9"/>
      <c r="H727" s="35"/>
    </row>
    <row r="728" spans="2:8" x14ac:dyDescent="0.35">
      <c r="B728" s="6"/>
      <c r="C728" s="7"/>
      <c r="D728" s="9"/>
      <c r="E728" s="9"/>
      <c r="F728" s="9"/>
      <c r="G728" s="9"/>
      <c r="H728" s="35"/>
    </row>
    <row r="729" spans="2:8" x14ac:dyDescent="0.35">
      <c r="B729" s="6"/>
      <c r="C729" s="7"/>
      <c r="D729" s="9"/>
      <c r="E729" s="9"/>
      <c r="F729" s="9"/>
      <c r="G729" s="9"/>
      <c r="H729" s="35"/>
    </row>
    <row r="730" spans="2:8" x14ac:dyDescent="0.35">
      <c r="B730" s="6"/>
      <c r="C730" s="7"/>
      <c r="D730" s="9"/>
      <c r="E730" s="9"/>
      <c r="F730" s="9"/>
      <c r="G730" s="9"/>
      <c r="H730" s="35"/>
    </row>
    <row r="731" spans="2:8" x14ac:dyDescent="0.35">
      <c r="B731" s="6"/>
      <c r="C731" s="7"/>
      <c r="D731" s="9"/>
      <c r="E731" s="9"/>
      <c r="F731" s="9"/>
      <c r="G731" s="9"/>
      <c r="H731" s="35"/>
    </row>
    <row r="732" spans="2:8" x14ac:dyDescent="0.35">
      <c r="B732" s="6"/>
      <c r="C732" s="7"/>
      <c r="D732" s="9"/>
      <c r="E732" s="9"/>
      <c r="F732" s="9"/>
      <c r="G732" s="9"/>
      <c r="H732" s="35"/>
    </row>
    <row r="733" spans="2:8" x14ac:dyDescent="0.35">
      <c r="B733" s="6"/>
      <c r="C733" s="7"/>
      <c r="D733" s="9"/>
      <c r="E733" s="9"/>
      <c r="F733" s="9"/>
      <c r="G733" s="9"/>
      <c r="H733" s="35"/>
    </row>
    <row r="734" spans="2:8" x14ac:dyDescent="0.35">
      <c r="B734" s="6"/>
      <c r="C734" s="7"/>
      <c r="D734" s="9"/>
      <c r="E734" s="9"/>
      <c r="F734" s="9"/>
      <c r="G734" s="9"/>
      <c r="H734" s="35"/>
    </row>
    <row r="735" spans="2:8" x14ac:dyDescent="0.35">
      <c r="B735" s="6"/>
      <c r="C735" s="7"/>
      <c r="D735" s="9"/>
      <c r="E735" s="9"/>
      <c r="F735" s="9"/>
      <c r="G735" s="9"/>
      <c r="H735" s="35"/>
    </row>
    <row r="736" spans="2:8" x14ac:dyDescent="0.35">
      <c r="B736" s="6"/>
      <c r="C736" s="7"/>
      <c r="D736" s="9"/>
      <c r="E736" s="9"/>
      <c r="F736" s="9"/>
      <c r="G736" s="9"/>
      <c r="H736" s="35"/>
    </row>
    <row r="737" spans="2:8" x14ac:dyDescent="0.35">
      <c r="B737" s="6"/>
      <c r="C737" s="7"/>
      <c r="D737" s="9"/>
      <c r="E737" s="9"/>
      <c r="F737" s="9"/>
      <c r="G737" s="9"/>
      <c r="H737" s="35"/>
    </row>
    <row r="738" spans="2:8" x14ac:dyDescent="0.35">
      <c r="B738" s="6"/>
      <c r="C738" s="7"/>
      <c r="D738" s="9"/>
      <c r="E738" s="9"/>
      <c r="F738" s="9"/>
      <c r="G738" s="9"/>
      <c r="H738" s="35"/>
    </row>
    <row r="739" spans="2:8" x14ac:dyDescent="0.35">
      <c r="B739" s="6"/>
      <c r="C739" s="7"/>
      <c r="D739" s="9"/>
      <c r="E739" s="9"/>
      <c r="F739" s="9"/>
      <c r="G739" s="9"/>
      <c r="H739" s="35"/>
    </row>
    <row r="740" spans="2:8" x14ac:dyDescent="0.35">
      <c r="B740" s="6"/>
      <c r="C740" s="7"/>
      <c r="D740" s="9"/>
      <c r="E740" s="9"/>
      <c r="F740" s="9"/>
      <c r="G740" s="9"/>
      <c r="H740" s="35"/>
    </row>
    <row r="741" spans="2:8" x14ac:dyDescent="0.35">
      <c r="B741" s="6"/>
      <c r="C741" s="7"/>
      <c r="D741" s="9"/>
      <c r="E741" s="9"/>
      <c r="F741" s="9"/>
      <c r="G741" s="9"/>
      <c r="H741" s="35"/>
    </row>
    <row r="742" spans="2:8" x14ac:dyDescent="0.35">
      <c r="B742" s="6"/>
      <c r="C742" s="7"/>
      <c r="D742" s="9"/>
      <c r="E742" s="9"/>
      <c r="F742" s="9"/>
      <c r="G742" s="9"/>
      <c r="H742" s="35"/>
    </row>
    <row r="743" spans="2:8" x14ac:dyDescent="0.35">
      <c r="B743" s="6"/>
      <c r="C743" s="7"/>
      <c r="D743" s="9"/>
      <c r="E743" s="9"/>
      <c r="F743" s="9"/>
      <c r="G743" s="9"/>
      <c r="H743" s="35"/>
    </row>
    <row r="744" spans="2:8" x14ac:dyDescent="0.35">
      <c r="B744" s="6"/>
      <c r="C744" s="7"/>
      <c r="D744" s="9"/>
      <c r="E744" s="9"/>
      <c r="F744" s="9"/>
      <c r="G744" s="9"/>
      <c r="H744" s="35"/>
    </row>
    <row r="745" spans="2:8" x14ac:dyDescent="0.35">
      <c r="B745" s="6"/>
      <c r="C745" s="7"/>
      <c r="D745" s="9"/>
      <c r="E745" s="9"/>
      <c r="F745" s="9"/>
      <c r="G745" s="9"/>
      <c r="H745" s="35"/>
    </row>
    <row r="746" spans="2:8" x14ac:dyDescent="0.35">
      <c r="B746" s="6"/>
      <c r="C746" s="7"/>
      <c r="D746" s="9"/>
      <c r="E746" s="9"/>
      <c r="F746" s="9"/>
      <c r="G746" s="9"/>
      <c r="H746" s="35"/>
    </row>
    <row r="747" spans="2:8" x14ac:dyDescent="0.35">
      <c r="B747" s="6"/>
      <c r="C747" s="7"/>
      <c r="D747" s="9"/>
      <c r="E747" s="9"/>
      <c r="F747" s="9"/>
      <c r="G747" s="9"/>
      <c r="H747" s="35"/>
    </row>
    <row r="748" spans="2:8" x14ac:dyDescent="0.35">
      <c r="B748" s="6"/>
      <c r="C748" s="7"/>
      <c r="D748" s="9"/>
      <c r="E748" s="9"/>
      <c r="F748" s="9"/>
      <c r="G748" s="9"/>
      <c r="H748" s="35"/>
    </row>
    <row r="749" spans="2:8" x14ac:dyDescent="0.35">
      <c r="B749" s="6"/>
      <c r="C749" s="7"/>
      <c r="D749" s="9"/>
      <c r="E749" s="9"/>
      <c r="F749" s="9"/>
      <c r="G749" s="9"/>
      <c r="H749" s="35"/>
    </row>
    <row r="750" spans="2:8" x14ac:dyDescent="0.35">
      <c r="B750" s="6"/>
      <c r="C750" s="7"/>
      <c r="D750" s="9"/>
      <c r="E750" s="9"/>
      <c r="F750" s="9"/>
      <c r="G750" s="9"/>
      <c r="H750" s="35"/>
    </row>
    <row r="751" spans="2:8" x14ac:dyDescent="0.35">
      <c r="B751" s="6"/>
      <c r="C751" s="7"/>
      <c r="D751" s="9"/>
      <c r="E751" s="9"/>
      <c r="F751" s="9"/>
      <c r="G751" s="9"/>
      <c r="H751" s="35"/>
    </row>
    <row r="752" spans="2:8" x14ac:dyDescent="0.35">
      <c r="B752" s="6"/>
      <c r="C752" s="7"/>
      <c r="D752" s="9"/>
      <c r="E752" s="9"/>
      <c r="F752" s="9"/>
      <c r="G752" s="9"/>
      <c r="H752" s="35"/>
    </row>
    <row r="753" spans="2:8" x14ac:dyDescent="0.35">
      <c r="B753" s="6"/>
      <c r="C753" s="7"/>
      <c r="D753" s="9"/>
      <c r="E753" s="9"/>
      <c r="F753" s="9"/>
      <c r="G753" s="9"/>
      <c r="H753" s="35"/>
    </row>
    <row r="754" spans="2:8" x14ac:dyDescent="0.35">
      <c r="B754" s="6"/>
      <c r="C754" s="7"/>
      <c r="D754" s="9"/>
      <c r="E754" s="9"/>
      <c r="F754" s="9"/>
      <c r="G754" s="9"/>
      <c r="H754" s="35"/>
    </row>
    <row r="755" spans="2:8" x14ac:dyDescent="0.35">
      <c r="B755" s="6"/>
      <c r="C755" s="7"/>
      <c r="D755" s="9"/>
      <c r="E755" s="9"/>
      <c r="F755" s="9"/>
      <c r="G755" s="9"/>
      <c r="H755" s="35"/>
    </row>
    <row r="756" spans="2:8" x14ac:dyDescent="0.35">
      <c r="B756" s="6"/>
      <c r="C756" s="7"/>
      <c r="D756" s="9"/>
      <c r="E756" s="9"/>
      <c r="F756" s="9"/>
      <c r="G756" s="9"/>
      <c r="H756" s="35"/>
    </row>
    <row r="757" spans="2:8" x14ac:dyDescent="0.35">
      <c r="B757" s="6"/>
      <c r="C757" s="7"/>
      <c r="D757" s="9"/>
      <c r="E757" s="9"/>
      <c r="F757" s="9"/>
      <c r="G757" s="9"/>
      <c r="H757" s="35"/>
    </row>
    <row r="758" spans="2:8" x14ac:dyDescent="0.35">
      <c r="B758" s="6"/>
      <c r="C758" s="7"/>
      <c r="D758" s="9"/>
      <c r="E758" s="9"/>
      <c r="F758" s="9"/>
      <c r="G758" s="9"/>
      <c r="H758" s="35"/>
    </row>
    <row r="759" spans="2:8" x14ac:dyDescent="0.35">
      <c r="B759" s="6"/>
      <c r="C759" s="7"/>
      <c r="D759" s="9"/>
      <c r="E759" s="9"/>
      <c r="F759" s="9"/>
      <c r="G759" s="9"/>
      <c r="H759" s="35"/>
    </row>
    <row r="760" spans="2:8" x14ac:dyDescent="0.35">
      <c r="B760" s="6"/>
      <c r="C760" s="7"/>
      <c r="D760" s="9"/>
      <c r="E760" s="9"/>
      <c r="F760" s="9"/>
      <c r="G760" s="9"/>
      <c r="H760" s="35"/>
    </row>
    <row r="761" spans="2:8" x14ac:dyDescent="0.35">
      <c r="B761" s="6"/>
      <c r="C761" s="7"/>
      <c r="D761" s="9"/>
      <c r="E761" s="9"/>
      <c r="F761" s="9"/>
      <c r="G761" s="9"/>
      <c r="H761" s="35"/>
    </row>
    <row r="762" spans="2:8" x14ac:dyDescent="0.35">
      <c r="B762" s="6"/>
      <c r="C762" s="7"/>
      <c r="D762" s="9"/>
      <c r="E762" s="9"/>
      <c r="F762" s="9"/>
      <c r="G762" s="9"/>
      <c r="H762" s="35"/>
    </row>
    <row r="763" spans="2:8" x14ac:dyDescent="0.35">
      <c r="B763" s="6"/>
      <c r="C763" s="7"/>
      <c r="D763" s="9"/>
      <c r="E763" s="9"/>
      <c r="F763" s="9"/>
      <c r="G763" s="9"/>
      <c r="H763" s="35"/>
    </row>
    <row r="764" spans="2:8" x14ac:dyDescent="0.35">
      <c r="B764" s="6"/>
      <c r="C764" s="7"/>
      <c r="D764" s="9"/>
      <c r="E764" s="9"/>
      <c r="F764" s="9"/>
      <c r="G764" s="9"/>
      <c r="H764" s="35"/>
    </row>
    <row r="765" spans="2:8" x14ac:dyDescent="0.35">
      <c r="B765" s="6"/>
      <c r="C765" s="7"/>
      <c r="D765" s="9"/>
      <c r="E765" s="9"/>
      <c r="F765" s="9"/>
      <c r="G765" s="9"/>
      <c r="H765" s="35"/>
    </row>
    <row r="766" spans="2:8" x14ac:dyDescent="0.35">
      <c r="B766" s="6"/>
      <c r="C766" s="7"/>
      <c r="D766" s="9"/>
      <c r="E766" s="9"/>
      <c r="F766" s="9"/>
      <c r="G766" s="9"/>
      <c r="H766" s="35"/>
    </row>
    <row r="767" spans="2:8" x14ac:dyDescent="0.35">
      <c r="B767" s="6"/>
      <c r="C767" s="7"/>
      <c r="D767" s="9"/>
      <c r="E767" s="9"/>
      <c r="F767" s="9"/>
      <c r="G767" s="9"/>
      <c r="H767" s="35"/>
    </row>
    <row r="768" spans="2:8" x14ac:dyDescent="0.35">
      <c r="B768" s="6"/>
      <c r="C768" s="7"/>
      <c r="D768" s="9"/>
      <c r="E768" s="9"/>
      <c r="F768" s="9"/>
      <c r="G768" s="9"/>
      <c r="H768" s="35"/>
    </row>
    <row r="769" spans="2:8" x14ac:dyDescent="0.35">
      <c r="B769" s="6"/>
      <c r="C769" s="7"/>
      <c r="D769" s="9"/>
      <c r="E769" s="9"/>
      <c r="F769" s="9"/>
      <c r="G769" s="9"/>
      <c r="H769" s="35"/>
    </row>
    <row r="770" spans="2:8" x14ac:dyDescent="0.35">
      <c r="B770" s="6"/>
      <c r="C770" s="7"/>
      <c r="D770" s="9"/>
      <c r="E770" s="9"/>
      <c r="F770" s="9"/>
      <c r="G770" s="9"/>
      <c r="H770" s="35"/>
    </row>
    <row r="771" spans="2:8" x14ac:dyDescent="0.35">
      <c r="B771" s="6"/>
      <c r="C771" s="7"/>
      <c r="D771" s="9"/>
      <c r="E771" s="9"/>
      <c r="F771" s="9"/>
      <c r="G771" s="9"/>
      <c r="H771" s="35"/>
    </row>
    <row r="772" spans="2:8" x14ac:dyDescent="0.35">
      <c r="B772" s="6"/>
      <c r="C772" s="7"/>
      <c r="D772" s="9"/>
      <c r="E772" s="9"/>
      <c r="F772" s="9"/>
      <c r="G772" s="9"/>
      <c r="H772" s="35"/>
    </row>
    <row r="773" spans="2:8" x14ac:dyDescent="0.35">
      <c r="B773" s="6"/>
      <c r="C773" s="7"/>
      <c r="D773" s="9"/>
      <c r="E773" s="9"/>
      <c r="F773" s="9"/>
      <c r="G773" s="9"/>
      <c r="H773" s="35"/>
    </row>
    <row r="774" spans="2:8" x14ac:dyDescent="0.35">
      <c r="B774" s="6"/>
      <c r="C774" s="7"/>
      <c r="D774" s="9"/>
      <c r="E774" s="9"/>
      <c r="F774" s="9"/>
      <c r="G774" s="9"/>
      <c r="H774" s="35"/>
    </row>
    <row r="775" spans="2:8" x14ac:dyDescent="0.35">
      <c r="B775" s="6"/>
      <c r="C775" s="7"/>
      <c r="D775" s="9"/>
      <c r="E775" s="9"/>
      <c r="F775" s="9"/>
      <c r="G775" s="9"/>
      <c r="H775" s="35"/>
    </row>
    <row r="776" spans="2:8" x14ac:dyDescent="0.35">
      <c r="B776" s="6"/>
      <c r="C776" s="7"/>
      <c r="D776" s="9"/>
      <c r="E776" s="9"/>
      <c r="F776" s="9"/>
      <c r="G776" s="9"/>
      <c r="H776" s="35"/>
    </row>
    <row r="777" spans="2:8" x14ac:dyDescent="0.35">
      <c r="B777" s="6"/>
      <c r="C777" s="7"/>
      <c r="D777" s="9"/>
      <c r="E777" s="9"/>
      <c r="F777" s="9"/>
      <c r="G777" s="9"/>
      <c r="H777" s="35"/>
    </row>
    <row r="778" spans="2:8" x14ac:dyDescent="0.35">
      <c r="B778" s="6"/>
      <c r="C778" s="7"/>
      <c r="D778" s="9"/>
      <c r="E778" s="9"/>
      <c r="F778" s="9"/>
      <c r="G778" s="9"/>
      <c r="H778" s="35"/>
    </row>
    <row r="779" spans="2:8" x14ac:dyDescent="0.35">
      <c r="B779" s="6"/>
      <c r="C779" s="7"/>
      <c r="D779" s="9"/>
      <c r="E779" s="9"/>
      <c r="F779" s="9"/>
      <c r="G779" s="9"/>
      <c r="H779" s="35"/>
    </row>
    <row r="780" spans="2:8" x14ac:dyDescent="0.35">
      <c r="B780" s="6"/>
      <c r="C780" s="7"/>
      <c r="D780" s="9"/>
      <c r="E780" s="9"/>
      <c r="F780" s="9"/>
      <c r="G780" s="9"/>
      <c r="H780" s="35"/>
    </row>
    <row r="781" spans="2:8" x14ac:dyDescent="0.35">
      <c r="B781" s="6"/>
      <c r="C781" s="7"/>
      <c r="D781" s="9"/>
      <c r="E781" s="9"/>
      <c r="F781" s="9"/>
      <c r="G781" s="9"/>
      <c r="H781" s="35"/>
    </row>
    <row r="782" spans="2:8" x14ac:dyDescent="0.35">
      <c r="B782" s="6"/>
      <c r="C782" s="7"/>
      <c r="D782" s="9"/>
      <c r="E782" s="9"/>
      <c r="F782" s="9"/>
      <c r="G782" s="9"/>
      <c r="H782" s="35"/>
    </row>
    <row r="783" spans="2:8" x14ac:dyDescent="0.35">
      <c r="B783" s="6"/>
      <c r="C783" s="7"/>
      <c r="D783" s="9"/>
      <c r="E783" s="9"/>
      <c r="F783" s="9"/>
      <c r="G783" s="9"/>
      <c r="H783" s="35"/>
    </row>
    <row r="784" spans="2:8" x14ac:dyDescent="0.35">
      <c r="B784" s="6"/>
      <c r="C784" s="7"/>
      <c r="D784" s="9"/>
      <c r="E784" s="9"/>
      <c r="F784" s="9"/>
      <c r="G784" s="9"/>
      <c r="H784" s="35"/>
    </row>
    <row r="785" spans="2:8" x14ac:dyDescent="0.35">
      <c r="B785" s="6"/>
      <c r="C785" s="7"/>
      <c r="D785" s="9"/>
      <c r="E785" s="9"/>
      <c r="F785" s="9"/>
      <c r="G785" s="9"/>
      <c r="H785" s="35"/>
    </row>
    <row r="786" spans="2:8" x14ac:dyDescent="0.35">
      <c r="B786" s="6"/>
      <c r="C786" s="7"/>
      <c r="D786" s="9"/>
      <c r="E786" s="9"/>
      <c r="F786" s="9"/>
      <c r="G786" s="9"/>
      <c r="H786" s="35"/>
    </row>
    <row r="787" spans="2:8" x14ac:dyDescent="0.35">
      <c r="B787" s="6"/>
      <c r="C787" s="7"/>
      <c r="D787" s="9"/>
      <c r="E787" s="9"/>
      <c r="F787" s="9"/>
      <c r="G787" s="9"/>
      <c r="H787" s="35"/>
    </row>
    <row r="788" spans="2:8" x14ac:dyDescent="0.35">
      <c r="B788" s="6"/>
      <c r="C788" s="7"/>
      <c r="D788" s="9"/>
      <c r="E788" s="9"/>
      <c r="F788" s="9"/>
      <c r="G788" s="9"/>
      <c r="H788" s="35"/>
    </row>
    <row r="789" spans="2:8" x14ac:dyDescent="0.35">
      <c r="B789" s="6"/>
      <c r="C789" s="7"/>
      <c r="D789" s="9"/>
      <c r="E789" s="9"/>
      <c r="F789" s="9"/>
      <c r="G789" s="9"/>
      <c r="H789" s="35"/>
    </row>
    <row r="790" spans="2:8" x14ac:dyDescent="0.35">
      <c r="B790" s="6"/>
      <c r="C790" s="7"/>
      <c r="D790" s="9"/>
      <c r="E790" s="9"/>
      <c r="F790" s="9"/>
      <c r="G790" s="9"/>
      <c r="H790" s="35"/>
    </row>
    <row r="791" spans="2:8" x14ac:dyDescent="0.35">
      <c r="B791" s="6"/>
      <c r="C791" s="7"/>
      <c r="D791" s="9"/>
      <c r="E791" s="9"/>
      <c r="F791" s="9"/>
      <c r="G791" s="9"/>
      <c r="H791" s="35"/>
    </row>
    <row r="792" spans="2:8" x14ac:dyDescent="0.35">
      <c r="B792" s="6"/>
      <c r="C792" s="7"/>
      <c r="D792" s="9"/>
      <c r="E792" s="9"/>
      <c r="F792" s="9"/>
      <c r="G792" s="9"/>
      <c r="H792" s="35"/>
    </row>
    <row r="793" spans="2:8" x14ac:dyDescent="0.35">
      <c r="B793" s="6"/>
      <c r="C793" s="7"/>
      <c r="D793" s="9"/>
      <c r="E793" s="9"/>
      <c r="F793" s="9"/>
      <c r="G793" s="9"/>
      <c r="H793" s="35"/>
    </row>
    <row r="794" spans="2:8" x14ac:dyDescent="0.35">
      <c r="B794" s="6"/>
      <c r="C794" s="7"/>
      <c r="D794" s="9"/>
      <c r="E794" s="9"/>
      <c r="F794" s="9"/>
      <c r="G794" s="9"/>
      <c r="H794" s="35"/>
    </row>
    <row r="795" spans="2:8" x14ac:dyDescent="0.35">
      <c r="B795" s="6"/>
      <c r="C795" s="7"/>
      <c r="D795" s="9"/>
      <c r="E795" s="9"/>
      <c r="F795" s="9"/>
      <c r="G795" s="9"/>
      <c r="H795" s="35"/>
    </row>
    <row r="796" spans="2:8" x14ac:dyDescent="0.35">
      <c r="B796" s="6"/>
      <c r="C796" s="7"/>
      <c r="D796" s="9"/>
      <c r="E796" s="9"/>
      <c r="F796" s="9"/>
      <c r="G796" s="9"/>
      <c r="H796" s="35"/>
    </row>
    <row r="797" spans="2:8" x14ac:dyDescent="0.35">
      <c r="B797" s="6"/>
      <c r="C797" s="7"/>
      <c r="D797" s="9"/>
      <c r="E797" s="9"/>
      <c r="F797" s="9"/>
      <c r="G797" s="9"/>
      <c r="H797" s="35"/>
    </row>
    <row r="798" spans="2:8" x14ac:dyDescent="0.35">
      <c r="B798" s="6"/>
      <c r="C798" s="7"/>
      <c r="D798" s="9"/>
      <c r="E798" s="9"/>
      <c r="F798" s="9"/>
      <c r="G798" s="9"/>
      <c r="H798" s="35"/>
    </row>
    <row r="799" spans="2:8" x14ac:dyDescent="0.35">
      <c r="B799" s="6"/>
      <c r="C799" s="7"/>
      <c r="D799" s="9"/>
      <c r="E799" s="9"/>
      <c r="F799" s="9"/>
      <c r="G799" s="9"/>
      <c r="H799" s="35"/>
    </row>
    <row r="800" spans="2:8" x14ac:dyDescent="0.35">
      <c r="B800" s="6"/>
      <c r="C800" s="7"/>
      <c r="D800" s="9"/>
      <c r="E800" s="9"/>
      <c r="F800" s="9"/>
      <c r="G800" s="9"/>
      <c r="H800" s="35"/>
    </row>
    <row r="801" spans="2:8" x14ac:dyDescent="0.35">
      <c r="B801" s="6"/>
      <c r="C801" s="7"/>
      <c r="D801" s="9"/>
      <c r="E801" s="9"/>
      <c r="F801" s="9"/>
      <c r="G801" s="9"/>
      <c r="H801" s="35"/>
    </row>
    <row r="802" spans="2:8" x14ac:dyDescent="0.35">
      <c r="B802" s="6"/>
      <c r="C802" s="7"/>
      <c r="D802" s="9"/>
      <c r="E802" s="9"/>
      <c r="F802" s="9"/>
      <c r="G802" s="9"/>
      <c r="H802" s="35"/>
    </row>
    <row r="803" spans="2:8" x14ac:dyDescent="0.35">
      <c r="B803" s="6"/>
      <c r="C803" s="7"/>
      <c r="D803" s="9"/>
      <c r="E803" s="9"/>
      <c r="F803" s="9"/>
      <c r="G803" s="9"/>
      <c r="H803" s="35"/>
    </row>
    <row r="804" spans="2:8" x14ac:dyDescent="0.35">
      <c r="B804" s="6"/>
      <c r="C804" s="7"/>
      <c r="D804" s="9"/>
      <c r="E804" s="9"/>
      <c r="F804" s="9"/>
      <c r="G804" s="9"/>
      <c r="H804" s="35"/>
    </row>
    <row r="805" spans="2:8" x14ac:dyDescent="0.35">
      <c r="B805" s="6"/>
      <c r="C805" s="7"/>
      <c r="D805" s="9"/>
      <c r="E805" s="9"/>
      <c r="F805" s="9"/>
      <c r="G805" s="9"/>
      <c r="H805" s="35"/>
    </row>
    <row r="806" spans="2:8" x14ac:dyDescent="0.35">
      <c r="B806" s="6"/>
      <c r="C806" s="7"/>
      <c r="D806" s="9"/>
      <c r="E806" s="9"/>
      <c r="F806" s="9"/>
      <c r="G806" s="9"/>
      <c r="H806" s="35"/>
    </row>
    <row r="807" spans="2:8" x14ac:dyDescent="0.35">
      <c r="B807" s="6"/>
      <c r="C807" s="7"/>
      <c r="D807" s="9"/>
      <c r="E807" s="9"/>
      <c r="F807" s="9"/>
      <c r="G807" s="9"/>
      <c r="H807" s="35"/>
    </row>
    <row r="808" spans="2:8" x14ac:dyDescent="0.35">
      <c r="B808" s="6"/>
      <c r="C808" s="7"/>
      <c r="D808" s="9"/>
      <c r="E808" s="9"/>
      <c r="F808" s="9"/>
      <c r="G808" s="9"/>
      <c r="H808" s="35"/>
    </row>
    <row r="809" spans="2:8" x14ac:dyDescent="0.35">
      <c r="B809" s="6"/>
      <c r="C809" s="7"/>
      <c r="D809" s="9"/>
      <c r="E809" s="9"/>
      <c r="F809" s="9"/>
      <c r="G809" s="9"/>
      <c r="H809" s="35"/>
    </row>
    <row r="810" spans="2:8" x14ac:dyDescent="0.35">
      <c r="B810" s="6"/>
      <c r="C810" s="7"/>
      <c r="D810" s="9"/>
      <c r="E810" s="9"/>
      <c r="F810" s="9"/>
      <c r="G810" s="9"/>
      <c r="H810" s="35"/>
    </row>
    <row r="811" spans="2:8" x14ac:dyDescent="0.35">
      <c r="B811" s="6"/>
      <c r="C811" s="7"/>
      <c r="D811" s="9"/>
      <c r="E811" s="9"/>
      <c r="F811" s="9"/>
      <c r="G811" s="9"/>
      <c r="H811" s="35"/>
    </row>
    <row r="812" spans="2:8" x14ac:dyDescent="0.35">
      <c r="B812" s="6"/>
      <c r="C812" s="7"/>
      <c r="D812" s="9"/>
      <c r="E812" s="9"/>
      <c r="F812" s="9"/>
      <c r="G812" s="9"/>
      <c r="H812" s="35"/>
    </row>
    <row r="813" spans="2:8" x14ac:dyDescent="0.35">
      <c r="B813" s="6"/>
      <c r="C813" s="7"/>
      <c r="D813" s="9"/>
      <c r="E813" s="9"/>
      <c r="F813" s="9"/>
      <c r="G813" s="9"/>
      <c r="H813" s="35"/>
    </row>
    <row r="814" spans="2:8" x14ac:dyDescent="0.35">
      <c r="B814" s="6"/>
      <c r="C814" s="7"/>
      <c r="D814" s="9"/>
      <c r="E814" s="9"/>
      <c r="F814" s="9"/>
      <c r="G814" s="9"/>
      <c r="H814" s="35"/>
    </row>
    <row r="815" spans="2:8" x14ac:dyDescent="0.35">
      <c r="B815" s="6"/>
      <c r="C815" s="7"/>
      <c r="D815" s="9"/>
      <c r="E815" s="9"/>
      <c r="F815" s="9"/>
      <c r="G815" s="9"/>
      <c r="H815" s="35"/>
    </row>
    <row r="816" spans="2:8" x14ac:dyDescent="0.35">
      <c r="B816" s="6"/>
      <c r="C816" s="7"/>
      <c r="D816" s="9"/>
      <c r="E816" s="9"/>
      <c r="F816" s="9"/>
      <c r="G816" s="9"/>
      <c r="H816" s="35"/>
    </row>
    <row r="817" spans="2:8" x14ac:dyDescent="0.35">
      <c r="B817" s="6"/>
      <c r="C817" s="7"/>
      <c r="D817" s="9"/>
      <c r="E817" s="9"/>
      <c r="F817" s="9"/>
      <c r="G817" s="9"/>
      <c r="H817" s="35"/>
    </row>
    <row r="818" spans="2:8" x14ac:dyDescent="0.35">
      <c r="B818" s="6"/>
      <c r="C818" s="7"/>
      <c r="D818" s="9"/>
      <c r="E818" s="9"/>
      <c r="F818" s="9"/>
      <c r="G818" s="9"/>
      <c r="H818" s="35"/>
    </row>
    <row r="819" spans="2:8" x14ac:dyDescent="0.35">
      <c r="B819" s="6"/>
      <c r="C819" s="7"/>
      <c r="D819" s="9"/>
      <c r="E819" s="9"/>
      <c r="F819" s="9"/>
      <c r="G819" s="9"/>
      <c r="H819" s="35"/>
    </row>
    <row r="820" spans="2:8" x14ac:dyDescent="0.35">
      <c r="B820" s="6"/>
      <c r="C820" s="7"/>
      <c r="D820" s="9"/>
      <c r="E820" s="9"/>
      <c r="F820" s="9"/>
      <c r="G820" s="9"/>
      <c r="H820" s="35"/>
    </row>
    <row r="821" spans="2:8" x14ac:dyDescent="0.35">
      <c r="B821" s="6"/>
      <c r="C821" s="7"/>
      <c r="D821" s="9"/>
      <c r="E821" s="9"/>
      <c r="F821" s="9"/>
      <c r="G821" s="9"/>
      <c r="H821" s="35"/>
    </row>
    <row r="822" spans="2:8" x14ac:dyDescent="0.35">
      <c r="B822" s="6"/>
      <c r="C822" s="7"/>
      <c r="D822" s="9"/>
      <c r="E822" s="9"/>
      <c r="F822" s="9"/>
      <c r="G822" s="9"/>
      <c r="H822" s="35"/>
    </row>
    <row r="823" spans="2:8" x14ac:dyDescent="0.35">
      <c r="B823" s="6"/>
      <c r="C823" s="7"/>
      <c r="D823" s="9"/>
      <c r="E823" s="9"/>
      <c r="F823" s="9"/>
      <c r="G823" s="9"/>
      <c r="H823" s="35"/>
    </row>
    <row r="824" spans="2:8" x14ac:dyDescent="0.35">
      <c r="B824" s="6"/>
      <c r="C824" s="7"/>
      <c r="D824" s="9"/>
      <c r="E824" s="9"/>
      <c r="F824" s="9"/>
      <c r="G824" s="9"/>
      <c r="H824" s="35"/>
    </row>
    <row r="825" spans="2:8" x14ac:dyDescent="0.35">
      <c r="B825" s="6"/>
      <c r="C825" s="7"/>
      <c r="D825" s="9"/>
      <c r="E825" s="9"/>
      <c r="F825" s="9"/>
      <c r="G825" s="9"/>
      <c r="H825" s="35"/>
    </row>
    <row r="826" spans="2:8" x14ac:dyDescent="0.35">
      <c r="B826" s="6"/>
      <c r="C826" s="7"/>
      <c r="D826" s="9"/>
      <c r="E826" s="9"/>
      <c r="F826" s="9"/>
      <c r="G826" s="9"/>
      <c r="H826" s="35"/>
    </row>
    <row r="827" spans="2:8" x14ac:dyDescent="0.35">
      <c r="B827" s="6"/>
      <c r="C827" s="7"/>
      <c r="D827" s="9"/>
      <c r="E827" s="9"/>
      <c r="F827" s="9"/>
      <c r="G827" s="9"/>
      <c r="H827" s="35"/>
    </row>
    <row r="828" spans="2:8" x14ac:dyDescent="0.35">
      <c r="B828" s="6"/>
      <c r="C828" s="7"/>
      <c r="D828" s="9"/>
      <c r="E828" s="9"/>
      <c r="F828" s="9"/>
      <c r="G828" s="9"/>
      <c r="H828" s="35"/>
    </row>
    <row r="829" spans="2:8" x14ac:dyDescent="0.35">
      <c r="B829" s="6"/>
      <c r="C829" s="7"/>
      <c r="D829" s="9"/>
      <c r="E829" s="9"/>
      <c r="F829" s="9"/>
      <c r="G829" s="9"/>
      <c r="H829" s="35"/>
    </row>
    <row r="830" spans="2:8" x14ac:dyDescent="0.35">
      <c r="B830" s="6"/>
      <c r="C830" s="7"/>
      <c r="D830" s="9"/>
      <c r="E830" s="9"/>
      <c r="F830" s="9"/>
      <c r="G830" s="9"/>
      <c r="H830" s="35"/>
    </row>
    <row r="831" spans="2:8" x14ac:dyDescent="0.35">
      <c r="B831" s="6"/>
      <c r="C831" s="7"/>
      <c r="D831" s="9"/>
      <c r="E831" s="9"/>
      <c r="F831" s="9"/>
      <c r="G831" s="9"/>
      <c r="H831" s="35"/>
    </row>
    <row r="832" spans="2:8" x14ac:dyDescent="0.35">
      <c r="B832" s="6"/>
      <c r="C832" s="7"/>
      <c r="D832" s="9"/>
      <c r="E832" s="9"/>
      <c r="F832" s="9"/>
      <c r="G832" s="9"/>
      <c r="H832" s="35"/>
    </row>
    <row r="833" spans="2:8" x14ac:dyDescent="0.35">
      <c r="B833" s="6"/>
      <c r="C833" s="7"/>
      <c r="D833" s="9"/>
      <c r="E833" s="9"/>
      <c r="F833" s="9"/>
      <c r="G833" s="9"/>
      <c r="H833" s="35"/>
    </row>
    <row r="834" spans="2:8" x14ac:dyDescent="0.35">
      <c r="B834" s="6"/>
      <c r="C834" s="7"/>
      <c r="D834" s="9"/>
      <c r="E834" s="9"/>
      <c r="F834" s="9"/>
      <c r="G834" s="9"/>
      <c r="H834" s="35"/>
    </row>
    <row r="835" spans="2:8" x14ac:dyDescent="0.35">
      <c r="B835" s="6"/>
      <c r="C835" s="7"/>
      <c r="D835" s="9"/>
      <c r="E835" s="9"/>
      <c r="F835" s="9"/>
      <c r="G835" s="9"/>
      <c r="H835" s="35"/>
    </row>
    <row r="836" spans="2:8" x14ac:dyDescent="0.35">
      <c r="B836" s="6"/>
      <c r="C836" s="7"/>
      <c r="D836" s="9"/>
      <c r="E836" s="9"/>
      <c r="F836" s="9"/>
      <c r="G836" s="9"/>
      <c r="H836" s="35"/>
    </row>
    <row r="837" spans="2:8" x14ac:dyDescent="0.35">
      <c r="B837" s="6"/>
      <c r="C837" s="7"/>
      <c r="D837" s="9"/>
      <c r="E837" s="9"/>
      <c r="F837" s="9"/>
      <c r="G837" s="9"/>
      <c r="H837" s="35"/>
    </row>
    <row r="838" spans="2:8" x14ac:dyDescent="0.35">
      <c r="B838" s="6"/>
      <c r="C838" s="7"/>
      <c r="D838" s="9"/>
      <c r="E838" s="9"/>
      <c r="F838" s="9"/>
      <c r="G838" s="9"/>
      <c r="H838" s="35"/>
    </row>
    <row r="839" spans="2:8" x14ac:dyDescent="0.35">
      <c r="B839" s="6"/>
      <c r="C839" s="7"/>
      <c r="D839" s="9"/>
      <c r="E839" s="9"/>
      <c r="F839" s="9"/>
      <c r="G839" s="9"/>
      <c r="H839" s="35"/>
    </row>
    <row r="840" spans="2:8" x14ac:dyDescent="0.35">
      <c r="B840" s="6"/>
      <c r="C840" s="7"/>
      <c r="D840" s="9"/>
      <c r="E840" s="9"/>
      <c r="F840" s="9"/>
      <c r="G840" s="9"/>
      <c r="H840" s="35"/>
    </row>
    <row r="841" spans="2:8" x14ac:dyDescent="0.35">
      <c r="B841" s="6"/>
      <c r="C841" s="7"/>
      <c r="D841" s="9"/>
      <c r="E841" s="9"/>
      <c r="F841" s="9"/>
      <c r="G841" s="9"/>
      <c r="H841" s="35"/>
    </row>
    <row r="842" spans="2:8" x14ac:dyDescent="0.35">
      <c r="B842" s="6"/>
      <c r="C842" s="7"/>
      <c r="D842" s="9"/>
      <c r="E842" s="9"/>
      <c r="F842" s="9"/>
      <c r="G842" s="9"/>
      <c r="H842" s="35"/>
    </row>
    <row r="843" spans="2:8" x14ac:dyDescent="0.35">
      <c r="B843" s="6"/>
      <c r="C843" s="7"/>
      <c r="D843" s="9"/>
      <c r="E843" s="9"/>
      <c r="F843" s="9"/>
      <c r="G843" s="9"/>
      <c r="H843" s="35"/>
    </row>
    <row r="844" spans="2:8" x14ac:dyDescent="0.35">
      <c r="B844" s="6"/>
      <c r="C844" s="7"/>
      <c r="D844" s="9"/>
      <c r="E844" s="9"/>
      <c r="F844" s="9"/>
      <c r="G844" s="9"/>
      <c r="H844" s="35"/>
    </row>
    <row r="845" spans="2:8" x14ac:dyDescent="0.35">
      <c r="B845" s="6"/>
      <c r="C845" s="7"/>
      <c r="D845" s="9"/>
      <c r="E845" s="9"/>
      <c r="F845" s="9"/>
      <c r="G845" s="9"/>
      <c r="H845" s="35"/>
    </row>
    <row r="846" spans="2:8" x14ac:dyDescent="0.35">
      <c r="B846" s="6"/>
      <c r="C846" s="7"/>
      <c r="D846" s="9"/>
      <c r="E846" s="9"/>
      <c r="F846" s="9"/>
      <c r="G846" s="9"/>
      <c r="H846" s="35"/>
    </row>
    <row r="847" spans="2:8" x14ac:dyDescent="0.35">
      <c r="B847" s="6"/>
      <c r="C847" s="7"/>
      <c r="D847" s="9"/>
      <c r="E847" s="9"/>
      <c r="F847" s="9"/>
      <c r="G847" s="9"/>
      <c r="H847" s="35"/>
    </row>
    <row r="848" spans="2:8" x14ac:dyDescent="0.35">
      <c r="B848" s="6"/>
      <c r="C848" s="7"/>
      <c r="D848" s="9"/>
      <c r="E848" s="9"/>
      <c r="F848" s="9"/>
      <c r="G848" s="9"/>
      <c r="H848" s="35"/>
    </row>
    <row r="849" spans="2:8" x14ac:dyDescent="0.35">
      <c r="B849" s="6"/>
      <c r="C849" s="7"/>
      <c r="D849" s="9"/>
      <c r="E849" s="9"/>
      <c r="F849" s="9"/>
      <c r="G849" s="9"/>
      <c r="H849" s="35"/>
    </row>
    <row r="850" spans="2:8" x14ac:dyDescent="0.35">
      <c r="B850" s="6"/>
      <c r="C850" s="7"/>
      <c r="D850" s="9"/>
      <c r="E850" s="9"/>
      <c r="F850" s="9"/>
      <c r="G850" s="9"/>
      <c r="H850" s="35"/>
    </row>
    <row r="851" spans="2:8" x14ac:dyDescent="0.35">
      <c r="B851" s="6"/>
      <c r="C851" s="7"/>
      <c r="D851" s="9"/>
      <c r="E851" s="9"/>
      <c r="F851" s="9"/>
      <c r="G851" s="9"/>
      <c r="H851" s="35"/>
    </row>
    <row r="852" spans="2:8" x14ac:dyDescent="0.35">
      <c r="B852" s="6"/>
      <c r="C852" s="7"/>
      <c r="D852" s="9"/>
      <c r="E852" s="9"/>
      <c r="F852" s="9"/>
      <c r="G852" s="9"/>
      <c r="H852" s="35"/>
    </row>
    <row r="853" spans="2:8" x14ac:dyDescent="0.35">
      <c r="B853" s="6"/>
      <c r="C853" s="7"/>
      <c r="D853" s="9"/>
      <c r="E853" s="9"/>
      <c r="F853" s="9"/>
      <c r="G853" s="9"/>
      <c r="H853" s="35"/>
    </row>
    <row r="854" spans="2:8" x14ac:dyDescent="0.35">
      <c r="B854" s="6"/>
      <c r="C854" s="7"/>
      <c r="D854" s="9"/>
      <c r="E854" s="9"/>
      <c r="F854" s="9"/>
      <c r="G854" s="9"/>
      <c r="H854" s="35"/>
    </row>
    <row r="855" spans="2:8" x14ac:dyDescent="0.35">
      <c r="B855" s="6"/>
      <c r="C855" s="7"/>
      <c r="D855" s="9"/>
      <c r="E855" s="9"/>
      <c r="F855" s="9"/>
      <c r="G855" s="9"/>
      <c r="H855" s="35"/>
    </row>
    <row r="856" spans="2:8" x14ac:dyDescent="0.35">
      <c r="B856" s="6"/>
      <c r="C856" s="7"/>
      <c r="D856" s="9"/>
      <c r="E856" s="9"/>
      <c r="F856" s="9"/>
      <c r="G856" s="9"/>
      <c r="H856" s="35"/>
    </row>
    <row r="857" spans="2:8" x14ac:dyDescent="0.35">
      <c r="B857" s="6"/>
      <c r="C857" s="7"/>
      <c r="D857" s="9"/>
      <c r="E857" s="9"/>
      <c r="F857" s="9"/>
      <c r="G857" s="9"/>
      <c r="H857" s="35"/>
    </row>
    <row r="858" spans="2:8" x14ac:dyDescent="0.35">
      <c r="B858" s="6"/>
      <c r="C858" s="7"/>
      <c r="D858" s="9"/>
      <c r="E858" s="9"/>
      <c r="F858" s="9"/>
      <c r="G858" s="9"/>
      <c r="H858" s="35"/>
    </row>
    <row r="859" spans="2:8" x14ac:dyDescent="0.35">
      <c r="B859" s="6"/>
      <c r="C859" s="7"/>
      <c r="D859" s="9"/>
      <c r="E859" s="9"/>
      <c r="F859" s="9"/>
      <c r="G859" s="9"/>
      <c r="H859" s="35"/>
    </row>
    <row r="860" spans="2:8" x14ac:dyDescent="0.35">
      <c r="B860" s="6"/>
      <c r="C860" s="7"/>
      <c r="D860" s="9"/>
      <c r="E860" s="9"/>
      <c r="F860" s="9"/>
      <c r="G860" s="9"/>
      <c r="H860" s="35"/>
    </row>
    <row r="861" spans="2:8" x14ac:dyDescent="0.35">
      <c r="B861" s="6"/>
      <c r="C861" s="7"/>
      <c r="D861" s="9"/>
      <c r="E861" s="9"/>
      <c r="F861" s="9"/>
      <c r="G861" s="9"/>
      <c r="H861" s="35"/>
    </row>
    <row r="862" spans="2:8" x14ac:dyDescent="0.35">
      <c r="B862" s="6"/>
      <c r="C862" s="7"/>
      <c r="D862" s="9"/>
      <c r="E862" s="9"/>
      <c r="F862" s="9"/>
      <c r="G862" s="9"/>
      <c r="H862" s="35"/>
    </row>
    <row r="863" spans="2:8" x14ac:dyDescent="0.35">
      <c r="B863" s="6"/>
      <c r="C863" s="7"/>
      <c r="D863" s="9"/>
      <c r="E863" s="9"/>
      <c r="F863" s="9"/>
      <c r="G863" s="9"/>
      <c r="H863" s="35"/>
    </row>
    <row r="864" spans="2:8" x14ac:dyDescent="0.35">
      <c r="B864" s="6"/>
      <c r="C864" s="7"/>
      <c r="D864" s="9"/>
      <c r="E864" s="9"/>
      <c r="F864" s="9"/>
      <c r="G864" s="9"/>
      <c r="H864" s="35"/>
    </row>
    <row r="865" spans="2:8" x14ac:dyDescent="0.35">
      <c r="B865" s="6"/>
      <c r="C865" s="7"/>
      <c r="D865" s="9"/>
      <c r="E865" s="9"/>
      <c r="F865" s="9"/>
      <c r="G865" s="9"/>
      <c r="H865" s="35"/>
    </row>
    <row r="866" spans="2:8" x14ac:dyDescent="0.35">
      <c r="B866" s="6"/>
      <c r="C866" s="7"/>
      <c r="D866" s="9"/>
      <c r="E866" s="9"/>
      <c r="F866" s="9"/>
      <c r="G866" s="9"/>
      <c r="H866" s="35"/>
    </row>
    <row r="867" spans="2:8" x14ac:dyDescent="0.35">
      <c r="B867" s="6"/>
      <c r="C867" s="7"/>
      <c r="D867" s="9"/>
      <c r="E867" s="9"/>
      <c r="F867" s="9"/>
      <c r="G867" s="9"/>
      <c r="H867" s="35"/>
    </row>
    <row r="868" spans="2:8" x14ac:dyDescent="0.35">
      <c r="B868" s="6"/>
      <c r="C868" s="7"/>
      <c r="D868" s="9"/>
      <c r="E868" s="9"/>
      <c r="F868" s="9"/>
      <c r="G868" s="9"/>
      <c r="H868" s="35"/>
    </row>
    <row r="869" spans="2:8" x14ac:dyDescent="0.35">
      <c r="B869" s="6"/>
      <c r="C869" s="7"/>
      <c r="D869" s="9"/>
      <c r="E869" s="9"/>
      <c r="F869" s="9"/>
      <c r="G869" s="9"/>
      <c r="H869" s="35"/>
    </row>
    <row r="870" spans="2:8" x14ac:dyDescent="0.35">
      <c r="B870" s="6"/>
      <c r="C870" s="7"/>
      <c r="D870" s="9"/>
      <c r="E870" s="9"/>
      <c r="F870" s="9"/>
      <c r="G870" s="9"/>
      <c r="H870" s="35"/>
    </row>
    <row r="871" spans="2:8" x14ac:dyDescent="0.35">
      <c r="B871" s="6"/>
      <c r="C871" s="7"/>
      <c r="D871" s="9"/>
      <c r="E871" s="9"/>
      <c r="F871" s="9"/>
      <c r="G871" s="9"/>
      <c r="H871" s="35"/>
    </row>
    <row r="872" spans="2:8" x14ac:dyDescent="0.35">
      <c r="B872" s="6"/>
      <c r="C872" s="7"/>
      <c r="D872" s="9"/>
      <c r="E872" s="9"/>
      <c r="F872" s="9"/>
      <c r="G872" s="9"/>
      <c r="H872" s="35"/>
    </row>
    <row r="873" spans="2:8" x14ac:dyDescent="0.35">
      <c r="B873" s="6"/>
      <c r="C873" s="7"/>
      <c r="D873" s="9"/>
      <c r="E873" s="9"/>
      <c r="F873" s="9"/>
      <c r="G873" s="9"/>
      <c r="H873" s="35"/>
    </row>
    <row r="874" spans="2:8" x14ac:dyDescent="0.35">
      <c r="B874" s="6"/>
      <c r="C874" s="7"/>
      <c r="D874" s="9"/>
      <c r="E874" s="9"/>
      <c r="F874" s="9"/>
      <c r="G874" s="9"/>
      <c r="H874" s="35"/>
    </row>
    <row r="875" spans="2:8" x14ac:dyDescent="0.35">
      <c r="B875" s="6"/>
      <c r="C875" s="7"/>
      <c r="D875" s="9"/>
      <c r="E875" s="9"/>
      <c r="F875" s="9"/>
      <c r="G875" s="9"/>
      <c r="H875" s="35"/>
    </row>
    <row r="876" spans="2:8" x14ac:dyDescent="0.35">
      <c r="B876" s="6"/>
      <c r="C876" s="7"/>
      <c r="D876" s="9"/>
      <c r="E876" s="9"/>
      <c r="F876" s="9"/>
      <c r="G876" s="9"/>
      <c r="H876" s="35"/>
    </row>
    <row r="877" spans="2:8" x14ac:dyDescent="0.35">
      <c r="B877" s="6"/>
      <c r="C877" s="7"/>
      <c r="D877" s="9"/>
      <c r="E877" s="9"/>
      <c r="F877" s="9"/>
      <c r="G877" s="9"/>
      <c r="H877" s="35"/>
    </row>
    <row r="878" spans="2:8" x14ac:dyDescent="0.35">
      <c r="B878" s="6"/>
      <c r="C878" s="7"/>
      <c r="D878" s="9"/>
      <c r="E878" s="9"/>
      <c r="F878" s="9"/>
      <c r="G878" s="9"/>
      <c r="H878" s="35"/>
    </row>
    <row r="879" spans="2:8" x14ac:dyDescent="0.35">
      <c r="B879" s="6"/>
      <c r="C879" s="7"/>
      <c r="D879" s="9"/>
      <c r="E879" s="9"/>
      <c r="F879" s="9"/>
      <c r="G879" s="9"/>
      <c r="H879" s="35"/>
    </row>
    <row r="880" spans="2:8" x14ac:dyDescent="0.35">
      <c r="B880" s="6"/>
      <c r="C880" s="7"/>
      <c r="D880" s="9"/>
      <c r="E880" s="9"/>
      <c r="F880" s="9"/>
      <c r="G880" s="9"/>
      <c r="H880" s="35"/>
    </row>
    <row r="881" spans="2:8" x14ac:dyDescent="0.35">
      <c r="B881" s="6"/>
      <c r="C881" s="7"/>
      <c r="D881" s="9"/>
      <c r="E881" s="9"/>
      <c r="F881" s="9"/>
      <c r="G881" s="9"/>
      <c r="H881" s="35"/>
    </row>
    <row r="882" spans="2:8" x14ac:dyDescent="0.35">
      <c r="B882" s="6"/>
      <c r="C882" s="7"/>
      <c r="D882" s="9"/>
      <c r="E882" s="9"/>
      <c r="F882" s="9"/>
      <c r="G882" s="9"/>
      <c r="H882" s="35"/>
    </row>
    <row r="883" spans="2:8" x14ac:dyDescent="0.35">
      <c r="B883" s="6"/>
      <c r="C883" s="7"/>
      <c r="D883" s="9"/>
      <c r="E883" s="9"/>
      <c r="F883" s="9"/>
      <c r="G883" s="9"/>
      <c r="H883" s="35"/>
    </row>
    <row r="884" spans="2:8" x14ac:dyDescent="0.35">
      <c r="B884" s="6"/>
      <c r="C884" s="7"/>
      <c r="D884" s="9"/>
      <c r="E884" s="9"/>
      <c r="F884" s="9"/>
      <c r="G884" s="9"/>
      <c r="H884" s="35"/>
    </row>
    <row r="885" spans="2:8" x14ac:dyDescent="0.35">
      <c r="B885" s="6"/>
      <c r="C885" s="7"/>
      <c r="D885" s="9"/>
      <c r="E885" s="9"/>
      <c r="F885" s="9"/>
      <c r="G885" s="9"/>
      <c r="H885" s="35"/>
    </row>
    <row r="886" spans="2:8" x14ac:dyDescent="0.35">
      <c r="B886" s="6"/>
      <c r="C886" s="7"/>
      <c r="D886" s="9"/>
      <c r="E886" s="9"/>
      <c r="F886" s="9"/>
      <c r="G886" s="9"/>
      <c r="H886" s="35"/>
    </row>
    <row r="887" spans="2:8" x14ac:dyDescent="0.35">
      <c r="B887" s="6"/>
      <c r="C887" s="7"/>
      <c r="D887" s="9"/>
      <c r="E887" s="9"/>
      <c r="F887" s="9"/>
      <c r="G887" s="9"/>
      <c r="H887" s="35"/>
    </row>
    <row r="888" spans="2:8" x14ac:dyDescent="0.35">
      <c r="B888" s="6"/>
      <c r="C888" s="7"/>
      <c r="D888" s="9"/>
      <c r="E888" s="9"/>
      <c r="F888" s="9"/>
      <c r="G888" s="9"/>
      <c r="H888" s="35"/>
    </row>
    <row r="889" spans="2:8" x14ac:dyDescent="0.35">
      <c r="B889" s="6"/>
      <c r="C889" s="7"/>
      <c r="D889" s="9"/>
      <c r="E889" s="9"/>
      <c r="F889" s="9"/>
      <c r="G889" s="9"/>
      <c r="H889" s="35"/>
    </row>
    <row r="890" spans="2:8" x14ac:dyDescent="0.35">
      <c r="B890" s="6"/>
      <c r="C890" s="7"/>
      <c r="D890" s="9"/>
      <c r="E890" s="9"/>
      <c r="F890" s="9"/>
      <c r="G890" s="9"/>
      <c r="H890" s="35"/>
    </row>
    <row r="891" spans="2:8" x14ac:dyDescent="0.35">
      <c r="B891" s="6"/>
      <c r="C891" s="7"/>
      <c r="D891" s="9"/>
      <c r="E891" s="9"/>
      <c r="F891" s="9"/>
      <c r="G891" s="9"/>
      <c r="H891" s="35"/>
    </row>
    <row r="892" spans="2:8" x14ac:dyDescent="0.35">
      <c r="B892" s="6"/>
      <c r="C892" s="7"/>
      <c r="D892" s="9"/>
      <c r="E892" s="9"/>
      <c r="F892" s="9"/>
      <c r="G892" s="9"/>
      <c r="H892" s="35"/>
    </row>
    <row r="893" spans="2:8" x14ac:dyDescent="0.35">
      <c r="B893" s="6"/>
      <c r="C893" s="7"/>
      <c r="D893" s="9"/>
      <c r="E893" s="9"/>
      <c r="F893" s="9"/>
      <c r="G893" s="9"/>
      <c r="H893" s="35"/>
    </row>
    <row r="894" spans="2:8" x14ac:dyDescent="0.35">
      <c r="B894" s="6"/>
      <c r="C894" s="7"/>
      <c r="D894" s="9"/>
      <c r="E894" s="9"/>
      <c r="F894" s="9"/>
      <c r="G894" s="9"/>
      <c r="H894" s="35"/>
    </row>
    <row r="895" spans="2:8" x14ac:dyDescent="0.35">
      <c r="B895" s="6"/>
      <c r="C895" s="7"/>
      <c r="D895" s="9"/>
      <c r="E895" s="9"/>
      <c r="F895" s="9"/>
      <c r="G895" s="9"/>
      <c r="H895" s="35"/>
    </row>
    <row r="896" spans="2:8" x14ac:dyDescent="0.35">
      <c r="B896" s="6"/>
      <c r="C896" s="7"/>
      <c r="D896" s="9"/>
      <c r="E896" s="9"/>
      <c r="F896" s="9"/>
      <c r="G896" s="9"/>
      <c r="H896" s="35"/>
    </row>
    <row r="897" spans="2:8" x14ac:dyDescent="0.35">
      <c r="B897" s="6"/>
      <c r="C897" s="7"/>
      <c r="D897" s="9"/>
      <c r="E897" s="9"/>
      <c r="F897" s="9"/>
      <c r="G897" s="9"/>
      <c r="H897" s="35"/>
    </row>
    <row r="898" spans="2:8" x14ac:dyDescent="0.35">
      <c r="B898" s="6"/>
      <c r="C898" s="7"/>
      <c r="D898" s="9"/>
      <c r="E898" s="9"/>
      <c r="F898" s="9"/>
      <c r="G898" s="9"/>
      <c r="H898" s="35"/>
    </row>
    <row r="899" spans="2:8" x14ac:dyDescent="0.35">
      <c r="B899" s="6"/>
      <c r="C899" s="7"/>
      <c r="D899" s="9"/>
      <c r="E899" s="9"/>
      <c r="F899" s="9"/>
      <c r="G899" s="9"/>
      <c r="H899" s="35"/>
    </row>
    <row r="900" spans="2:8" x14ac:dyDescent="0.35">
      <c r="B900" s="6"/>
      <c r="C900" s="7"/>
      <c r="D900" s="9"/>
      <c r="E900" s="9"/>
      <c r="F900" s="9"/>
      <c r="G900" s="9"/>
      <c r="H900" s="35"/>
    </row>
    <row r="901" spans="2:8" x14ac:dyDescent="0.35">
      <c r="B901" s="6"/>
      <c r="C901" s="7"/>
      <c r="D901" s="9"/>
      <c r="E901" s="9"/>
      <c r="F901" s="9"/>
      <c r="G901" s="9"/>
      <c r="H901" s="35"/>
    </row>
    <row r="902" spans="2:8" x14ac:dyDescent="0.35">
      <c r="B902" s="6"/>
      <c r="C902" s="7"/>
      <c r="D902" s="9"/>
      <c r="E902" s="9"/>
      <c r="F902" s="9"/>
      <c r="G902" s="9"/>
      <c r="H902" s="35"/>
    </row>
    <row r="903" spans="2:8" x14ac:dyDescent="0.35">
      <c r="B903" s="6"/>
      <c r="C903" s="7"/>
      <c r="D903" s="9"/>
      <c r="E903" s="9"/>
      <c r="F903" s="9"/>
      <c r="G903" s="9"/>
      <c r="H903" s="35"/>
    </row>
    <row r="904" spans="2:8" x14ac:dyDescent="0.35">
      <c r="B904" s="6"/>
      <c r="C904" s="7"/>
      <c r="D904" s="9"/>
      <c r="E904" s="9"/>
      <c r="F904" s="9"/>
      <c r="G904" s="9"/>
      <c r="H904" s="35"/>
    </row>
    <row r="905" spans="2:8" x14ac:dyDescent="0.35">
      <c r="B905" s="6"/>
      <c r="C905" s="7"/>
      <c r="D905" s="9"/>
      <c r="E905" s="9"/>
      <c r="F905" s="9"/>
      <c r="G905" s="9"/>
      <c r="H905" s="35"/>
    </row>
    <row r="906" spans="2:8" x14ac:dyDescent="0.35">
      <c r="B906" s="6"/>
      <c r="C906" s="7"/>
      <c r="D906" s="9"/>
      <c r="E906" s="9"/>
      <c r="F906" s="9"/>
      <c r="G906" s="9"/>
      <c r="H906" s="35"/>
    </row>
    <row r="907" spans="2:8" x14ac:dyDescent="0.35">
      <c r="B907" s="6"/>
      <c r="C907" s="7"/>
      <c r="D907" s="9"/>
      <c r="E907" s="9"/>
      <c r="F907" s="9"/>
      <c r="G907" s="9"/>
      <c r="H907" s="35"/>
    </row>
    <row r="908" spans="2:8" x14ac:dyDescent="0.35">
      <c r="B908" s="6"/>
      <c r="C908" s="7"/>
      <c r="D908" s="9"/>
      <c r="E908" s="9"/>
      <c r="F908" s="9"/>
      <c r="G908" s="9"/>
      <c r="H908" s="35"/>
    </row>
    <row r="909" spans="2:8" x14ac:dyDescent="0.35">
      <c r="B909" s="6"/>
      <c r="C909" s="7"/>
      <c r="D909" s="9"/>
      <c r="E909" s="9"/>
      <c r="F909" s="9"/>
      <c r="G909" s="9"/>
      <c r="H909" s="35"/>
    </row>
    <row r="910" spans="2:8" x14ac:dyDescent="0.35">
      <c r="B910" s="6"/>
      <c r="C910" s="7"/>
      <c r="D910" s="9"/>
      <c r="E910" s="9"/>
      <c r="F910" s="9"/>
      <c r="G910" s="9"/>
      <c r="H910" s="35"/>
    </row>
    <row r="911" spans="2:8" x14ac:dyDescent="0.35">
      <c r="B911" s="6"/>
      <c r="C911" s="7"/>
      <c r="D911" s="9"/>
      <c r="E911" s="9"/>
      <c r="F911" s="9"/>
      <c r="G911" s="9"/>
      <c r="H911" s="35"/>
    </row>
    <row r="912" spans="2:8" x14ac:dyDescent="0.35">
      <c r="B912" s="6"/>
      <c r="C912" s="7"/>
      <c r="D912" s="9"/>
      <c r="E912" s="9"/>
      <c r="F912" s="9"/>
      <c r="G912" s="9"/>
      <c r="H912" s="35"/>
    </row>
    <row r="913" spans="2:8" x14ac:dyDescent="0.35">
      <c r="B913" s="6"/>
      <c r="C913" s="7"/>
      <c r="D913" s="9"/>
      <c r="E913" s="9"/>
      <c r="F913" s="9"/>
      <c r="G913" s="9"/>
      <c r="H913" s="35"/>
    </row>
    <row r="914" spans="2:8" x14ac:dyDescent="0.35">
      <c r="B914" s="6"/>
      <c r="C914" s="7"/>
      <c r="D914" s="9"/>
      <c r="E914" s="9"/>
      <c r="F914" s="9"/>
      <c r="G914" s="9"/>
      <c r="H914" s="35"/>
    </row>
    <row r="915" spans="2:8" x14ac:dyDescent="0.35">
      <c r="B915" s="6"/>
      <c r="C915" s="7"/>
      <c r="D915" s="9"/>
      <c r="E915" s="9"/>
      <c r="F915" s="9"/>
      <c r="G915" s="9"/>
      <c r="H915" s="35"/>
    </row>
    <row r="916" spans="2:8" x14ac:dyDescent="0.35">
      <c r="B916" s="6"/>
      <c r="C916" s="7"/>
      <c r="D916" s="9"/>
      <c r="E916" s="9"/>
      <c r="F916" s="9"/>
      <c r="G916" s="9"/>
      <c r="H916" s="35"/>
    </row>
    <row r="917" spans="2:8" x14ac:dyDescent="0.35">
      <c r="B917" s="6"/>
      <c r="C917" s="7"/>
      <c r="D917" s="9"/>
      <c r="E917" s="9"/>
      <c r="F917" s="9"/>
      <c r="G917" s="9"/>
      <c r="H917" s="35"/>
    </row>
    <row r="918" spans="2:8" x14ac:dyDescent="0.35">
      <c r="B918" s="6"/>
      <c r="C918" s="7"/>
      <c r="D918" s="9"/>
      <c r="E918" s="9"/>
      <c r="F918" s="9"/>
      <c r="G918" s="9"/>
      <c r="H918" s="35"/>
    </row>
    <row r="919" spans="2:8" x14ac:dyDescent="0.35">
      <c r="B919" s="6"/>
      <c r="C919" s="7"/>
      <c r="D919" s="9"/>
      <c r="E919" s="9"/>
      <c r="F919" s="9"/>
      <c r="G919" s="9"/>
      <c r="H919" s="35"/>
    </row>
    <row r="920" spans="2:8" x14ac:dyDescent="0.35">
      <c r="B920" s="6"/>
      <c r="C920" s="7"/>
      <c r="D920" s="9"/>
      <c r="E920" s="9"/>
      <c r="F920" s="9"/>
      <c r="G920" s="9"/>
      <c r="H920" s="35"/>
    </row>
    <row r="921" spans="2:8" x14ac:dyDescent="0.35">
      <c r="B921" s="6"/>
      <c r="C921" s="7"/>
      <c r="D921" s="9"/>
      <c r="E921" s="9"/>
      <c r="F921" s="9"/>
      <c r="G921" s="9"/>
      <c r="H921" s="35"/>
    </row>
    <row r="922" spans="2:8" x14ac:dyDescent="0.35">
      <c r="B922" s="6"/>
      <c r="C922" s="7"/>
      <c r="D922" s="9"/>
      <c r="E922" s="9"/>
      <c r="F922" s="9"/>
      <c r="G922" s="9"/>
      <c r="H922" s="35"/>
    </row>
    <row r="923" spans="2:8" x14ac:dyDescent="0.35">
      <c r="B923" s="6"/>
      <c r="C923" s="7"/>
      <c r="D923" s="9"/>
      <c r="E923" s="9"/>
      <c r="F923" s="9"/>
      <c r="G923" s="9"/>
      <c r="H923" s="35"/>
    </row>
    <row r="924" spans="2:8" x14ac:dyDescent="0.35">
      <c r="B924" s="6"/>
      <c r="C924" s="7"/>
      <c r="D924" s="9"/>
      <c r="E924" s="9"/>
      <c r="F924" s="9"/>
      <c r="G924" s="9"/>
      <c r="H924" s="35"/>
    </row>
    <row r="925" spans="2:8" x14ac:dyDescent="0.35">
      <c r="B925" s="6"/>
      <c r="C925" s="7"/>
      <c r="D925" s="9"/>
      <c r="E925" s="9"/>
      <c r="F925" s="9"/>
      <c r="G925" s="9"/>
      <c r="H925" s="35"/>
    </row>
    <row r="926" spans="2:8" x14ac:dyDescent="0.35">
      <c r="B926" s="6"/>
      <c r="C926" s="7"/>
      <c r="D926" s="9"/>
      <c r="E926" s="9"/>
      <c r="F926" s="9"/>
      <c r="G926" s="9"/>
      <c r="H926" s="35"/>
    </row>
    <row r="927" spans="2:8" x14ac:dyDescent="0.35">
      <c r="B927" s="6"/>
      <c r="C927" s="7"/>
      <c r="D927" s="9"/>
      <c r="E927" s="9"/>
      <c r="F927" s="9"/>
      <c r="G927" s="9"/>
      <c r="H927" s="35"/>
    </row>
    <row r="928" spans="2:8" x14ac:dyDescent="0.35">
      <c r="B928" s="6"/>
      <c r="C928" s="7"/>
      <c r="D928" s="9"/>
      <c r="E928" s="9"/>
      <c r="F928" s="9"/>
      <c r="G928" s="9"/>
      <c r="H928" s="35"/>
    </row>
    <row r="929" spans="2:8" x14ac:dyDescent="0.35">
      <c r="B929" s="6"/>
      <c r="C929" s="7"/>
      <c r="D929" s="9"/>
      <c r="E929" s="9"/>
      <c r="F929" s="9"/>
      <c r="G929" s="9"/>
      <c r="H929" s="35"/>
    </row>
    <row r="930" spans="2:8" x14ac:dyDescent="0.35">
      <c r="B930" s="6"/>
      <c r="C930" s="7"/>
      <c r="D930" s="9"/>
      <c r="E930" s="9"/>
      <c r="F930" s="9"/>
      <c r="G930" s="9"/>
      <c r="H930" s="35"/>
    </row>
    <row r="931" spans="2:8" x14ac:dyDescent="0.35">
      <c r="B931" s="6"/>
      <c r="C931" s="7"/>
      <c r="D931" s="9"/>
      <c r="E931" s="9"/>
      <c r="F931" s="9"/>
      <c r="G931" s="9"/>
      <c r="H931" s="35"/>
    </row>
    <row r="932" spans="2:8" x14ac:dyDescent="0.35">
      <c r="B932" s="6"/>
      <c r="C932" s="7"/>
      <c r="D932" s="9"/>
      <c r="E932" s="9"/>
      <c r="F932" s="9"/>
      <c r="G932" s="9"/>
      <c r="H932" s="35"/>
    </row>
    <row r="933" spans="2:8" x14ac:dyDescent="0.35">
      <c r="B933" s="6"/>
      <c r="C933" s="7"/>
      <c r="D933" s="9"/>
      <c r="E933" s="9"/>
      <c r="F933" s="9"/>
      <c r="G933" s="9"/>
      <c r="H933" s="35"/>
    </row>
    <row r="934" spans="2:8" x14ac:dyDescent="0.35">
      <c r="B934" s="6"/>
      <c r="C934" s="7"/>
      <c r="D934" s="9"/>
      <c r="E934" s="9"/>
      <c r="F934" s="9"/>
      <c r="G934" s="9"/>
      <c r="H934" s="35"/>
    </row>
    <row r="935" spans="2:8" x14ac:dyDescent="0.35">
      <c r="B935" s="6"/>
      <c r="C935" s="7"/>
      <c r="D935" s="9"/>
      <c r="E935" s="9"/>
      <c r="F935" s="9"/>
      <c r="G935" s="9"/>
      <c r="H935" s="35"/>
    </row>
    <row r="936" spans="2:8" x14ac:dyDescent="0.35">
      <c r="B936" s="6"/>
      <c r="C936" s="7"/>
      <c r="D936" s="9"/>
      <c r="E936" s="9"/>
      <c r="F936" s="9"/>
      <c r="G936" s="9"/>
      <c r="H936" s="35"/>
    </row>
    <row r="937" spans="2:8" x14ac:dyDescent="0.35">
      <c r="B937" s="6"/>
      <c r="C937" s="7"/>
      <c r="D937" s="9"/>
      <c r="E937" s="9"/>
      <c r="F937" s="9"/>
      <c r="G937" s="9"/>
      <c r="H937" s="35"/>
    </row>
    <row r="938" spans="2:8" x14ac:dyDescent="0.35">
      <c r="B938" s="6"/>
      <c r="C938" s="7"/>
      <c r="D938" s="9"/>
      <c r="E938" s="9"/>
      <c r="F938" s="9"/>
      <c r="G938" s="9"/>
      <c r="H938" s="35"/>
    </row>
    <row r="939" spans="2:8" x14ac:dyDescent="0.35">
      <c r="B939" s="6"/>
      <c r="C939" s="7"/>
      <c r="D939" s="9"/>
      <c r="E939" s="9"/>
      <c r="F939" s="9"/>
      <c r="G939" s="9"/>
      <c r="H939" s="35"/>
    </row>
    <row r="940" spans="2:8" x14ac:dyDescent="0.35">
      <c r="B940" s="6"/>
      <c r="C940" s="7"/>
      <c r="D940" s="9"/>
      <c r="E940" s="9"/>
      <c r="F940" s="9"/>
      <c r="G940" s="9"/>
      <c r="H940" s="35"/>
    </row>
    <row r="941" spans="2:8" x14ac:dyDescent="0.35">
      <c r="B941" s="6"/>
      <c r="C941" s="7"/>
      <c r="D941" s="9"/>
      <c r="E941" s="9"/>
      <c r="F941" s="9"/>
      <c r="G941" s="9"/>
      <c r="H941" s="35"/>
    </row>
    <row r="942" spans="2:8" x14ac:dyDescent="0.35">
      <c r="B942" s="6"/>
      <c r="C942" s="7"/>
      <c r="D942" s="9"/>
      <c r="E942" s="9"/>
      <c r="F942" s="9"/>
      <c r="G942" s="9"/>
      <c r="H942" s="35"/>
    </row>
    <row r="943" spans="2:8" x14ac:dyDescent="0.35">
      <c r="B943" s="6"/>
      <c r="C943" s="7"/>
      <c r="D943" s="9"/>
      <c r="E943" s="9"/>
      <c r="F943" s="9"/>
      <c r="G943" s="9"/>
      <c r="H943" s="35"/>
    </row>
    <row r="944" spans="2:8" x14ac:dyDescent="0.35">
      <c r="B944" s="6"/>
      <c r="C944" s="7"/>
      <c r="D944" s="9"/>
      <c r="E944" s="9"/>
      <c r="F944" s="9"/>
      <c r="G944" s="9"/>
      <c r="H944" s="35"/>
    </row>
    <row r="945" spans="2:8" x14ac:dyDescent="0.35">
      <c r="B945" s="6"/>
      <c r="C945" s="7"/>
      <c r="D945" s="9"/>
      <c r="E945" s="9"/>
      <c r="F945" s="9"/>
      <c r="G945" s="9"/>
      <c r="H945" s="35"/>
    </row>
    <row r="946" spans="2:8" x14ac:dyDescent="0.35">
      <c r="B946" s="6"/>
      <c r="C946" s="7"/>
      <c r="D946" s="9"/>
      <c r="E946" s="9"/>
      <c r="F946" s="9"/>
      <c r="G946" s="9"/>
      <c r="H946" s="35"/>
    </row>
    <row r="947" spans="2:8" x14ac:dyDescent="0.35">
      <c r="B947" s="6"/>
      <c r="C947" s="7"/>
      <c r="D947" s="9"/>
      <c r="E947" s="9"/>
      <c r="F947" s="9"/>
      <c r="G947" s="9"/>
      <c r="H947" s="35"/>
    </row>
    <row r="948" spans="2:8" x14ac:dyDescent="0.35">
      <c r="B948" s="6"/>
      <c r="C948" s="7"/>
      <c r="D948" s="9"/>
      <c r="E948" s="9"/>
      <c r="F948" s="9"/>
      <c r="G948" s="9"/>
      <c r="H948" s="35"/>
    </row>
    <row r="949" spans="2:8" x14ac:dyDescent="0.35">
      <c r="B949" s="6"/>
      <c r="C949" s="7"/>
      <c r="D949" s="9"/>
      <c r="E949" s="9"/>
      <c r="F949" s="9"/>
      <c r="G949" s="9"/>
      <c r="H949" s="35"/>
    </row>
    <row r="950" spans="2:8" x14ac:dyDescent="0.35">
      <c r="B950" s="6"/>
      <c r="C950" s="7"/>
      <c r="D950" s="9"/>
      <c r="E950" s="9"/>
      <c r="F950" s="9"/>
      <c r="G950" s="9"/>
      <c r="H950" s="35"/>
    </row>
    <row r="951" spans="2:8" x14ac:dyDescent="0.35">
      <c r="B951" s="6"/>
      <c r="C951" s="7"/>
      <c r="D951" s="9"/>
      <c r="E951" s="9"/>
      <c r="F951" s="9"/>
      <c r="G951" s="9"/>
      <c r="H951" s="35"/>
    </row>
    <row r="952" spans="2:8" x14ac:dyDescent="0.35">
      <c r="B952" s="6"/>
      <c r="C952" s="7"/>
      <c r="D952" s="9"/>
      <c r="E952" s="9"/>
      <c r="F952" s="9"/>
      <c r="G952" s="9"/>
      <c r="H952" s="35"/>
    </row>
    <row r="953" spans="2:8" x14ac:dyDescent="0.35">
      <c r="B953" s="6"/>
      <c r="C953" s="7"/>
      <c r="D953" s="9"/>
      <c r="E953" s="9"/>
      <c r="F953" s="9"/>
      <c r="G953" s="9"/>
      <c r="H953" s="35"/>
    </row>
    <row r="954" spans="2:8" x14ac:dyDescent="0.35">
      <c r="B954" s="6"/>
      <c r="C954" s="7"/>
      <c r="D954" s="9"/>
      <c r="E954" s="9"/>
      <c r="F954" s="9"/>
      <c r="G954" s="9"/>
      <c r="H954" s="35"/>
    </row>
    <row r="955" spans="2:8" x14ac:dyDescent="0.35">
      <c r="B955" s="6"/>
      <c r="C955" s="7"/>
      <c r="D955" s="9"/>
      <c r="E955" s="9"/>
      <c r="F955" s="9"/>
      <c r="G955" s="9"/>
      <c r="H955" s="35"/>
    </row>
    <row r="956" spans="2:8" x14ac:dyDescent="0.35">
      <c r="B956" s="6"/>
      <c r="C956" s="7"/>
      <c r="D956" s="9"/>
      <c r="E956" s="9"/>
      <c r="F956" s="9"/>
      <c r="G956" s="9"/>
      <c r="H956" s="35"/>
    </row>
    <row r="957" spans="2:8" x14ac:dyDescent="0.35">
      <c r="B957" s="6"/>
      <c r="C957" s="7"/>
      <c r="D957" s="9"/>
      <c r="E957" s="9"/>
      <c r="F957" s="9"/>
      <c r="G957" s="9"/>
      <c r="H957" s="35"/>
    </row>
    <row r="958" spans="2:8" x14ac:dyDescent="0.35">
      <c r="B958" s="6"/>
      <c r="C958" s="7"/>
      <c r="D958" s="9"/>
      <c r="E958" s="9"/>
      <c r="F958" s="9"/>
      <c r="G958" s="9"/>
      <c r="H958" s="35"/>
    </row>
    <row r="959" spans="2:8" x14ac:dyDescent="0.35">
      <c r="B959" s="6"/>
      <c r="C959" s="7"/>
      <c r="D959" s="9"/>
      <c r="E959" s="9"/>
      <c r="F959" s="9"/>
      <c r="G959" s="9"/>
      <c r="H959" s="35"/>
    </row>
    <row r="960" spans="2:8" x14ac:dyDescent="0.35">
      <c r="B960" s="6"/>
      <c r="C960" s="7"/>
      <c r="D960" s="9"/>
      <c r="E960" s="9"/>
      <c r="F960" s="9"/>
      <c r="G960" s="9"/>
      <c r="H960" s="35"/>
    </row>
    <row r="961" spans="2:8" x14ac:dyDescent="0.35">
      <c r="B961" s="6"/>
      <c r="C961" s="7"/>
      <c r="D961" s="9"/>
      <c r="E961" s="9"/>
      <c r="F961" s="9"/>
      <c r="G961" s="9"/>
      <c r="H961" s="35"/>
    </row>
    <row r="962" spans="2:8" x14ac:dyDescent="0.35">
      <c r="B962" s="6"/>
      <c r="C962" s="7"/>
      <c r="D962" s="9"/>
      <c r="E962" s="9"/>
      <c r="F962" s="9"/>
      <c r="G962" s="9"/>
      <c r="H962" s="35"/>
    </row>
    <row r="963" spans="2:8" x14ac:dyDescent="0.35">
      <c r="B963" s="6"/>
      <c r="C963" s="7"/>
      <c r="D963" s="9"/>
      <c r="E963" s="9"/>
      <c r="F963" s="9"/>
      <c r="G963" s="9"/>
      <c r="H963" s="35"/>
    </row>
    <row r="964" spans="2:8" x14ac:dyDescent="0.35">
      <c r="B964" s="6"/>
      <c r="C964" s="7"/>
      <c r="D964" s="9"/>
      <c r="E964" s="9"/>
      <c r="F964" s="9"/>
      <c r="G964" s="9"/>
      <c r="H964" s="35"/>
    </row>
    <row r="965" spans="2:8" x14ac:dyDescent="0.35">
      <c r="B965" s="6"/>
      <c r="C965" s="7"/>
      <c r="D965" s="9"/>
      <c r="E965" s="9"/>
      <c r="F965" s="9"/>
      <c r="G965" s="9"/>
      <c r="H965" s="35"/>
    </row>
    <row r="966" spans="2:8" x14ac:dyDescent="0.35">
      <c r="B966" s="6"/>
      <c r="C966" s="7"/>
      <c r="D966" s="9"/>
      <c r="E966" s="9"/>
      <c r="F966" s="9"/>
      <c r="G966" s="9"/>
      <c r="H966" s="35"/>
    </row>
    <row r="967" spans="2:8" x14ac:dyDescent="0.35">
      <c r="B967" s="6"/>
      <c r="C967" s="7"/>
      <c r="D967" s="9"/>
      <c r="E967" s="9"/>
      <c r="F967" s="9"/>
      <c r="G967" s="9"/>
      <c r="H967" s="35"/>
    </row>
    <row r="968" spans="2:8" x14ac:dyDescent="0.35">
      <c r="B968" s="6"/>
      <c r="C968" s="7"/>
      <c r="D968" s="9"/>
      <c r="E968" s="9"/>
      <c r="F968" s="9"/>
      <c r="G968" s="9"/>
      <c r="H968" s="35"/>
    </row>
    <row r="969" spans="2:8" x14ac:dyDescent="0.35">
      <c r="B969" s="6"/>
      <c r="C969" s="7"/>
      <c r="D969" s="9"/>
      <c r="E969" s="9"/>
      <c r="F969" s="9"/>
      <c r="G969" s="9"/>
      <c r="H969" s="35"/>
    </row>
    <row r="970" spans="2:8" x14ac:dyDescent="0.35">
      <c r="B970" s="6"/>
      <c r="C970" s="7"/>
      <c r="D970" s="9"/>
      <c r="E970" s="9"/>
      <c r="F970" s="9"/>
      <c r="G970" s="9"/>
      <c r="H970" s="35"/>
    </row>
    <row r="971" spans="2:8" x14ac:dyDescent="0.35">
      <c r="B971" s="6"/>
      <c r="C971" s="7"/>
      <c r="D971" s="9"/>
      <c r="E971" s="9"/>
      <c r="F971" s="9"/>
      <c r="G971" s="9"/>
      <c r="H971" s="35"/>
    </row>
    <row r="972" spans="2:8" x14ac:dyDescent="0.35">
      <c r="B972" s="6"/>
      <c r="C972" s="7"/>
      <c r="D972" s="9"/>
      <c r="E972" s="9"/>
      <c r="F972" s="9"/>
      <c r="G972" s="9"/>
      <c r="H972" s="35"/>
    </row>
    <row r="973" spans="2:8" x14ac:dyDescent="0.35">
      <c r="B973" s="6"/>
      <c r="C973" s="7"/>
      <c r="D973" s="9"/>
      <c r="E973" s="9"/>
      <c r="F973" s="9"/>
      <c r="G973" s="9"/>
      <c r="H973" s="35"/>
    </row>
    <row r="974" spans="2:8" x14ac:dyDescent="0.35">
      <c r="B974" s="6"/>
      <c r="C974" s="7"/>
      <c r="D974" s="9"/>
      <c r="E974" s="9"/>
      <c r="F974" s="9"/>
      <c r="G974" s="9"/>
      <c r="H974" s="35"/>
    </row>
    <row r="975" spans="2:8" x14ac:dyDescent="0.35">
      <c r="B975" s="6"/>
      <c r="C975" s="7"/>
      <c r="D975" s="9"/>
      <c r="E975" s="9"/>
      <c r="F975" s="9"/>
      <c r="G975" s="9"/>
      <c r="H975" s="35"/>
    </row>
    <row r="976" spans="2:8" x14ac:dyDescent="0.35">
      <c r="B976" s="6"/>
      <c r="C976" s="7"/>
      <c r="D976" s="9"/>
      <c r="E976" s="9"/>
      <c r="F976" s="9"/>
      <c r="G976" s="9"/>
      <c r="H976" s="35"/>
    </row>
    <row r="977" spans="2:8" x14ac:dyDescent="0.35">
      <c r="B977" s="6"/>
      <c r="C977" s="7"/>
      <c r="D977" s="9"/>
      <c r="E977" s="9"/>
      <c r="F977" s="9"/>
      <c r="G977" s="9"/>
      <c r="H977" s="35"/>
    </row>
    <row r="978" spans="2:8" x14ac:dyDescent="0.35">
      <c r="B978" s="6"/>
      <c r="C978" s="7"/>
      <c r="D978" s="9"/>
      <c r="E978" s="9"/>
      <c r="F978" s="9"/>
      <c r="G978" s="9"/>
      <c r="H978" s="35"/>
    </row>
    <row r="979" spans="2:8" x14ac:dyDescent="0.35">
      <c r="B979" s="6"/>
      <c r="C979" s="7"/>
      <c r="D979" s="9"/>
      <c r="E979" s="9"/>
      <c r="F979" s="9"/>
      <c r="G979" s="9"/>
      <c r="H979" s="35"/>
    </row>
    <row r="980" spans="2:8" x14ac:dyDescent="0.35">
      <c r="B980" s="6"/>
      <c r="C980" s="7"/>
      <c r="D980" s="9"/>
      <c r="E980" s="9"/>
      <c r="F980" s="9"/>
      <c r="G980" s="9"/>
      <c r="H980" s="35"/>
    </row>
    <row r="981" spans="2:8" x14ac:dyDescent="0.35">
      <c r="B981" s="6"/>
      <c r="C981" s="7"/>
      <c r="D981" s="9"/>
      <c r="E981" s="9"/>
      <c r="F981" s="9"/>
      <c r="G981" s="9"/>
      <c r="H981" s="35"/>
    </row>
    <row r="982" spans="2:8" x14ac:dyDescent="0.35">
      <c r="B982" s="6"/>
      <c r="C982" s="7"/>
      <c r="D982" s="9"/>
      <c r="E982" s="9"/>
      <c r="F982" s="9"/>
      <c r="G982" s="9"/>
      <c r="H982" s="35"/>
    </row>
    <row r="983" spans="2:8" x14ac:dyDescent="0.35">
      <c r="B983" s="6"/>
      <c r="C983" s="7"/>
      <c r="D983" s="9"/>
      <c r="E983" s="9"/>
      <c r="F983" s="9"/>
      <c r="G983" s="9"/>
      <c r="H983" s="35"/>
    </row>
    <row r="984" spans="2:8" x14ac:dyDescent="0.35">
      <c r="B984" s="6"/>
      <c r="C984" s="7"/>
      <c r="D984" s="9"/>
      <c r="E984" s="9"/>
      <c r="F984" s="9"/>
      <c r="G984" s="9"/>
      <c r="H984" s="35"/>
    </row>
    <row r="985" spans="2:8" x14ac:dyDescent="0.35">
      <c r="B985" s="6"/>
      <c r="C985" s="7"/>
      <c r="D985" s="9"/>
      <c r="E985" s="9"/>
      <c r="F985" s="9"/>
      <c r="G985" s="9"/>
      <c r="H985" s="35"/>
    </row>
    <row r="986" spans="2:8" x14ac:dyDescent="0.35">
      <c r="B986" s="6"/>
      <c r="C986" s="7"/>
      <c r="D986" s="9"/>
      <c r="E986" s="9"/>
      <c r="F986" s="9"/>
      <c r="G986" s="9"/>
      <c r="H986" s="35"/>
    </row>
    <row r="987" spans="2:8" x14ac:dyDescent="0.35">
      <c r="B987" s="6"/>
      <c r="C987" s="7"/>
      <c r="D987" s="9"/>
      <c r="E987" s="9"/>
      <c r="F987" s="9"/>
      <c r="G987" s="9"/>
      <c r="H987" s="35"/>
    </row>
    <row r="988" spans="2:8" x14ac:dyDescent="0.35">
      <c r="B988" s="6"/>
      <c r="C988" s="7"/>
      <c r="D988" s="9"/>
      <c r="E988" s="9"/>
      <c r="F988" s="9"/>
      <c r="G988" s="9"/>
      <c r="H988" s="35"/>
    </row>
    <row r="989" spans="2:8" x14ac:dyDescent="0.35">
      <c r="B989" s="6"/>
      <c r="C989" s="7"/>
      <c r="D989" s="9"/>
      <c r="E989" s="9"/>
      <c r="F989" s="9"/>
      <c r="G989" s="9"/>
      <c r="H989" s="35"/>
    </row>
    <row r="990" spans="2:8" x14ac:dyDescent="0.35">
      <c r="B990" s="6"/>
      <c r="C990" s="7"/>
      <c r="D990" s="9"/>
      <c r="E990" s="9"/>
      <c r="F990" s="9"/>
      <c r="G990" s="9"/>
      <c r="H990" s="35"/>
    </row>
    <row r="991" spans="2:8" x14ac:dyDescent="0.35">
      <c r="B991" s="6"/>
      <c r="C991" s="7"/>
      <c r="D991" s="9"/>
      <c r="E991" s="9"/>
      <c r="F991" s="9"/>
      <c r="G991" s="9"/>
      <c r="H991" s="35"/>
    </row>
    <row r="992" spans="2:8" x14ac:dyDescent="0.35">
      <c r="B992" s="6"/>
      <c r="C992" s="7"/>
      <c r="D992" s="9"/>
      <c r="E992" s="9"/>
      <c r="F992" s="9"/>
      <c r="G992" s="9"/>
      <c r="H992" s="35"/>
    </row>
    <row r="993" spans="2:8" x14ac:dyDescent="0.35">
      <c r="B993" s="6"/>
      <c r="C993" s="7"/>
      <c r="D993" s="9"/>
      <c r="E993" s="9"/>
      <c r="F993" s="9"/>
      <c r="G993" s="9"/>
      <c r="H993" s="35"/>
    </row>
    <row r="994" spans="2:8" x14ac:dyDescent="0.35">
      <c r="B994" s="6"/>
      <c r="C994" s="7"/>
      <c r="D994" s="9"/>
      <c r="E994" s="9"/>
      <c r="F994" s="9"/>
      <c r="G994" s="9"/>
      <c r="H994" s="35"/>
    </row>
    <row r="995" spans="2:8" x14ac:dyDescent="0.35">
      <c r="B995" s="6"/>
      <c r="C995" s="7"/>
      <c r="D995" s="9"/>
      <c r="E995" s="9"/>
      <c r="F995" s="9"/>
      <c r="G995" s="9"/>
      <c r="H995" s="35"/>
    </row>
    <row r="996" spans="2:8" x14ac:dyDescent="0.35">
      <c r="B996" s="6"/>
      <c r="C996" s="7"/>
      <c r="D996" s="9"/>
      <c r="E996" s="9"/>
      <c r="F996" s="9"/>
      <c r="G996" s="9"/>
      <c r="H996" s="35"/>
    </row>
    <row r="997" spans="2:8" x14ac:dyDescent="0.35">
      <c r="B997" s="6"/>
      <c r="C997" s="7"/>
      <c r="D997" s="9"/>
      <c r="E997" s="9"/>
      <c r="F997" s="9"/>
      <c r="G997" s="9"/>
      <c r="H997" s="35"/>
    </row>
    <row r="998" spans="2:8" x14ac:dyDescent="0.35">
      <c r="B998" s="6"/>
      <c r="C998" s="7"/>
      <c r="D998" s="9"/>
      <c r="E998" s="9"/>
      <c r="F998" s="9"/>
      <c r="G998" s="9"/>
      <c r="H998" s="35"/>
    </row>
    <row r="999" spans="2:8" x14ac:dyDescent="0.35">
      <c r="B999" s="6"/>
      <c r="C999" s="7"/>
      <c r="D999" s="9"/>
      <c r="E999" s="9"/>
      <c r="F999" s="9"/>
      <c r="G999" s="9"/>
      <c r="H999" s="35"/>
    </row>
    <row r="1000" spans="2:8" x14ac:dyDescent="0.35">
      <c r="B1000" s="6"/>
      <c r="C1000" s="7"/>
      <c r="D1000" s="9"/>
      <c r="E1000" s="9"/>
      <c r="F1000" s="9"/>
      <c r="G1000" s="9"/>
      <c r="H1000" s="35"/>
    </row>
  </sheetData>
  <dataValidations count="1">
    <dataValidation type="list" allowBlank="1" showInputMessage="1" showErrorMessage="1" sqref="B1" xr:uid="{4BD12DCB-D597-4A59-B841-8FE0A6821E6D}">
      <formula1>EntityList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672F0B-DB0B-468C-B1F5-5906DD77E4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5945727-0F08-4599-87F2-1A4987B6407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BEE3C04-AC8C-47C7-962A-F5A018C23D8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7B5F7330-A579-4070-BCD7-DF05A344A8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70</vt:i4>
      </vt:variant>
    </vt:vector>
  </HeadingPairs>
  <TitlesOfParts>
    <vt:vector size="79" baseType="lpstr">
      <vt:lpstr>Summary</vt:lpstr>
      <vt:lpstr>AMF</vt:lpstr>
      <vt:lpstr>AMF LMV</vt:lpstr>
      <vt:lpstr>AMF SMV</vt:lpstr>
      <vt:lpstr>HFRXEMN Index</vt:lpstr>
      <vt:lpstr>NBI Index</vt:lpstr>
      <vt:lpstr>SPXT Index</vt:lpstr>
      <vt:lpstr>XBI US Equity</vt:lpstr>
      <vt:lpstr>RGUSHSBT Index</vt:lpstr>
      <vt:lpstr>AMF_DayCount</vt:lpstr>
      <vt:lpstr>AMF!BegDate</vt:lpstr>
      <vt:lpstr>'AMF LMV'!BegDate</vt:lpstr>
      <vt:lpstr>'AMF SMV'!BegDate</vt:lpstr>
      <vt:lpstr>'HFRXEMN Index'!BegDate</vt:lpstr>
      <vt:lpstr>'NBI Index'!BegDate</vt:lpstr>
      <vt:lpstr>'RGUSHSBT Index'!BegDate</vt:lpstr>
      <vt:lpstr>'SPXT Index'!BegDate</vt:lpstr>
      <vt:lpstr>'XBI US Equity'!BegDate</vt:lpstr>
      <vt:lpstr>'HFRXEMN Index'!DailyReNetLog</vt:lpstr>
      <vt:lpstr>AMF!DailyRetNetLog</vt:lpstr>
      <vt:lpstr>'AMF LMV'!DailyRetNetLog</vt:lpstr>
      <vt:lpstr>'AMF SMV'!DailyRetNetLog</vt:lpstr>
      <vt:lpstr>'NBI Index'!DailyRetNetLog</vt:lpstr>
      <vt:lpstr>'RGUSHSBT Index'!DailyRetNetLog</vt:lpstr>
      <vt:lpstr>'SPXT Index'!DailyRetNetLog</vt:lpstr>
      <vt:lpstr>'XBI US Equity'!DailyRetNetLog</vt:lpstr>
      <vt:lpstr>AMF!DailyReturn</vt:lpstr>
      <vt:lpstr>'AMF LMV'!DailyReturn</vt:lpstr>
      <vt:lpstr>'AMF SMV'!DailyReturn</vt:lpstr>
      <vt:lpstr>'HFRXEMN Index'!DailyReturn</vt:lpstr>
      <vt:lpstr>'NBI Index'!DailyReturn</vt:lpstr>
      <vt:lpstr>'RGUSHSBT Index'!DailyReturn</vt:lpstr>
      <vt:lpstr>'SPXT Index'!DailyReturn</vt:lpstr>
      <vt:lpstr>'XBI US Equity'!DailyReturn</vt:lpstr>
      <vt:lpstr>AMF!DailyReturnNet</vt:lpstr>
      <vt:lpstr>'AMF LMV'!DailyReturnNet</vt:lpstr>
      <vt:lpstr>'AMF SMV'!DailyReturnNet</vt:lpstr>
      <vt:lpstr>'HFRXEMN Index'!DailyReturnNet</vt:lpstr>
      <vt:lpstr>'NBI Index'!DailyReturnNet</vt:lpstr>
      <vt:lpstr>'RGUSHSBT Index'!DailyReturnNet</vt:lpstr>
      <vt:lpstr>'SPXT Index'!DailyReturnNet</vt:lpstr>
      <vt:lpstr>'XBI US Equity'!DailyReturnNet</vt:lpstr>
      <vt:lpstr>'AMF LMV'!DropSpot</vt:lpstr>
      <vt:lpstr>'AMF SMV'!DropSpot</vt:lpstr>
      <vt:lpstr>'HFRXEMN Index'!DropSpot</vt:lpstr>
      <vt:lpstr>'NBI Index'!DropSpot</vt:lpstr>
      <vt:lpstr>'RGUSHSBT Index'!DropSpot</vt:lpstr>
      <vt:lpstr>'SPXT Index'!DropSpot</vt:lpstr>
      <vt:lpstr>'XBI US Equity'!DropSpot</vt:lpstr>
      <vt:lpstr>DropSpot</vt:lpstr>
      <vt:lpstr>AMF!EndDate</vt:lpstr>
      <vt:lpstr>'AMF LMV'!EndDate</vt:lpstr>
      <vt:lpstr>'AMF SMV'!EndDate</vt:lpstr>
      <vt:lpstr>'HFRXEMN Index'!EndDate</vt:lpstr>
      <vt:lpstr>'NBI Index'!EndDate</vt:lpstr>
      <vt:lpstr>'RGUSHSBT Index'!EndDate</vt:lpstr>
      <vt:lpstr>'SPXT Index'!EndDate</vt:lpstr>
      <vt:lpstr>'XBI US Equity'!EndDate</vt:lpstr>
      <vt:lpstr>AMF!Entity</vt:lpstr>
      <vt:lpstr>'AMF LMV'!Entity</vt:lpstr>
      <vt:lpstr>'AMF SMV'!Entity</vt:lpstr>
      <vt:lpstr>'HFRXEMN Index'!Entity</vt:lpstr>
      <vt:lpstr>'NBI Index'!Entity</vt:lpstr>
      <vt:lpstr>'RGUSHSBT Index'!Entity</vt:lpstr>
      <vt:lpstr>'SPXT Index'!Entity</vt:lpstr>
      <vt:lpstr>'XBI US Equity'!Entity</vt:lpstr>
      <vt:lpstr>AMF!EntityList</vt:lpstr>
      <vt:lpstr>'AMF LMV'!EntityList</vt:lpstr>
      <vt:lpstr>'AMF SMV'!EntityList</vt:lpstr>
      <vt:lpstr>'HFRXEMN Index'!EntityList</vt:lpstr>
      <vt:lpstr>'NBI Index'!EntityList</vt:lpstr>
      <vt:lpstr>'RGUSHSBT Index'!EntityList</vt:lpstr>
      <vt:lpstr>'SPXT Index'!EntityList</vt:lpstr>
      <vt:lpstr>'XBI US Equity'!EntityList</vt:lpstr>
      <vt:lpstr>HFRXEMN_DayCount</vt:lpstr>
      <vt:lpstr>NBI_DayCount</vt:lpstr>
      <vt:lpstr>Summary!RGUSHSBT_DayCount</vt:lpstr>
      <vt:lpstr>SPXT_DayCount</vt:lpstr>
      <vt:lpstr>Summary!XBI_DayCount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2023-08-24T18:22:57Z</dcterms:created>
  <dcterms:modified xsi:type="dcterms:W3CDTF">2025-01-29T14:14:57Z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2023-08-24T18:23:03Z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0e03a5d6-e3e7-45c8-ba4b-61308c03ce83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