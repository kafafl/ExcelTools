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Month End/"/>
    </mc:Choice>
  </mc:AlternateContent>
  <xr:revisionPtr revIDLastSave="970" documentId="8_{7A4D15B7-A8D5-4830-B178-5FBE1BC6E998}" xr6:coauthVersionLast="47" xr6:coauthVersionMax="47" xr10:uidLastSave="{A30D7DE4-EE57-45E8-837E-F2DE8978C555}"/>
  <bookViews>
    <workbookView xWindow="6000" yWindow="230" windowWidth="32250" windowHeight="19180" activeTab="2" xr2:uid="{00000000-000D-0000-FFFF-FFFF00000000}"/>
  </bookViews>
  <sheets>
    <sheet name="  Daily Exposures by Name" sheetId="1" r:id="rId1"/>
    <sheet name="Curated Data" sheetId="2" r:id="rId2"/>
    <sheet name="Aggregated Data" sheetId="3" r:id="rId3"/>
  </sheets>
  <functionGroups builtInGroupCount="19"/>
  <definedNames>
    <definedName name="DeltaExpGross" localSheetId="2">'Aggregated Data'!$E:$E</definedName>
    <definedName name="DeltaExpGross" localSheetId="1">'Curated Data'!$E:$E</definedName>
    <definedName name="DeltaExpLong" localSheetId="2">'Aggregated Data'!$B:$B</definedName>
    <definedName name="DeltaExpLong" localSheetId="1">'Curated Data'!$B:$B</definedName>
    <definedName name="DeltaExpNet" localSheetId="2">'Aggregated Data'!$D:$D</definedName>
    <definedName name="DeltaExpNet" localSheetId="1">'Curated Data'!$D:$D</definedName>
    <definedName name="DeltaExpShort" localSheetId="2">'Aggregated Data'!$C:$C</definedName>
    <definedName name="DeltaExpShort" localSheetId="1">'Curated Data'!$C:$C</definedName>
    <definedName name="DropSpot" localSheetId="2">'Aggregated Data'!$A$3</definedName>
    <definedName name="DropSpot" localSheetId="1">'Curated Data'!$A$1</definedName>
    <definedName name="PosStart" localSheetId="1">'Curated Data'!$A$3</definedName>
    <definedName name="SecurityName" localSheetId="2">'Aggregated Data'!$A:$A</definedName>
    <definedName name="SecurityName" localSheetId="1">'Curated Data'!$A:$A</definedName>
    <definedName name="TopTenLMV" localSheetId="2">'Aggregated Data'!$B$3:$B$12</definedName>
    <definedName name="UnderlyingSymbol" localSheetId="2">'Aggregated Data'!$F:$F</definedName>
    <definedName name="UnderlyingSymbol" localSheetId="1">'Curated Data'!$F:$F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" l="1"/>
  <c r="F2" i="3"/>
  <c r="E2" i="3"/>
  <c r="D2" i="3"/>
  <c r="C2" i="3"/>
  <c r="B2" i="3"/>
  <c r="G2" i="3" s="1"/>
  <c r="A2" i="3"/>
</calcChain>
</file>

<file path=xl/sharedStrings.xml><?xml version="1.0" encoding="utf-8"?>
<sst xmlns="http://schemas.openxmlformats.org/spreadsheetml/2006/main" count="500" uniqueCount="205">
  <si>
    <t>Delta Exp Long % Equity Total NAV</t>
  </si>
  <si>
    <t>Delta Exp Short % Equity Total NAV</t>
  </si>
  <si>
    <t>Delta Exp Net % Equity Total NAV</t>
  </si>
  <si>
    <t>Delta Exp Gross % Equity Total NAV</t>
  </si>
  <si>
    <t>Underlying Symbol</t>
  </si>
  <si>
    <t>DO NOT DELETE FIRST TWO ROWS</t>
  </si>
  <si>
    <t>CHECK</t>
  </si>
  <si>
    <t/>
  </si>
  <si>
    <t>Delta Exp Long</t>
  </si>
  <si>
    <t>Delta Exp Short</t>
  </si>
  <si>
    <t>Delta Exp Net</t>
  </si>
  <si>
    <t>Delta Exp Gross</t>
  </si>
  <si>
    <t>N/A</t>
  </si>
  <si>
    <t>Abivax Sa-Adr</t>
  </si>
  <si>
    <t>ABVX</t>
  </si>
  <si>
    <t>Apogee Therapeutics Inc</t>
  </si>
  <si>
    <t>APGE</t>
  </si>
  <si>
    <t>Australian Dollars</t>
  </si>
  <si>
    <t>AUD FX</t>
  </si>
  <si>
    <t>Avalo Therapeutics Inc</t>
  </si>
  <si>
    <t>AVTX</t>
  </si>
  <si>
    <t xml:space="preserve"> </t>
  </si>
  <si>
    <t>CAD FX</t>
  </si>
  <si>
    <t>Call Elev 2.25 06/13/2028 Warrant</t>
  </si>
  <si>
    <t>ELEV</t>
  </si>
  <si>
    <t>Call Goss 2.04 07/24/2028 Warrant</t>
  </si>
  <si>
    <t>GOSS</t>
  </si>
  <si>
    <t>Call Mtem 2.35 04/02/2029 Warrant</t>
  </si>
  <si>
    <t>EOLS</t>
  </si>
  <si>
    <t>MRUS</t>
  </si>
  <si>
    <t>Centessa Pharmaceuticals Plc</t>
  </si>
  <si>
    <t>CNTA</t>
  </si>
  <si>
    <t>PHGE</t>
  </si>
  <si>
    <t>Contra Kinnate Biophar</t>
  </si>
  <si>
    <t>497CVR019.MSDY</t>
  </si>
  <si>
    <t>Contra Neoleukin Thera</t>
  </si>
  <si>
    <t>640CVR031.MSDY</t>
  </si>
  <si>
    <t>Crinetics Pharmaceuticals In</t>
  </si>
  <si>
    <t>CRNX</t>
  </si>
  <si>
    <t>Cytokinetics</t>
  </si>
  <si>
    <t>CYTK</t>
  </si>
  <si>
    <t>Dollars</t>
  </si>
  <si>
    <t>USD</t>
  </si>
  <si>
    <t>Elevation Oncology Inc</t>
  </si>
  <si>
    <t>Evolus Inc</t>
  </si>
  <si>
    <t>Gossamer Bio Inc</t>
  </si>
  <si>
    <t>Inozyme Pharma Inc</t>
  </si>
  <si>
    <t>INZY</t>
  </si>
  <si>
    <t>Japanese Yen</t>
  </si>
  <si>
    <t>JPY FX</t>
  </si>
  <si>
    <t>Jasper Therapeutics Inc</t>
  </si>
  <si>
    <t>JSPR</t>
  </si>
  <si>
    <t>Lexeo Private</t>
  </si>
  <si>
    <t>Merus Bv</t>
  </si>
  <si>
    <t>Msa1Bioh</t>
  </si>
  <si>
    <t>MSA1BIOH</t>
  </si>
  <si>
    <t>Mtem (Private)</t>
  </si>
  <si>
    <t>NVAX</t>
  </si>
  <si>
    <t>Paratek Pharmaceuticals Inc Cavs Id-1274</t>
  </si>
  <si>
    <t>699CVR031.MSDY</t>
  </si>
  <si>
    <t>Put - Nvax 100 @ 2.5 Exp 01/17/2025</t>
  </si>
  <si>
    <t>Rallybio Corp</t>
  </si>
  <si>
    <t>RLYB</t>
  </si>
  <si>
    <t>Satellos Bioscience Ord Private Pfd</t>
  </si>
  <si>
    <t>TGTX</t>
  </si>
  <si>
    <t>The Euro</t>
  </si>
  <si>
    <t>EUR FX</t>
  </si>
  <si>
    <t>Tourmaline Bio Inc</t>
  </si>
  <si>
    <t>TRML</t>
  </si>
  <si>
    <t>Vera Therapeutics Inc</t>
  </si>
  <si>
    <t>VERA</t>
  </si>
  <si>
    <t>VRDN</t>
  </si>
  <si>
    <t>Xenon Pharmaceuticals Inc</t>
  </si>
  <si>
    <t>XENE</t>
  </si>
  <si>
    <t>Zura Bio Ltd</t>
  </si>
  <si>
    <t>ZURA</t>
  </si>
  <si>
    <t>Call Elev 2.25 06/13/2028 Warrant | Elevation Oncology Inc</t>
  </si>
  <si>
    <t>Call Goss 2.04 07/24/2028 Warrant | Gossamer Bio Inc</t>
  </si>
  <si>
    <t>Amicus Therapeutics Inc</t>
  </si>
  <si>
    <t>FOLD</t>
  </si>
  <si>
    <t>APLS</t>
  </si>
  <si>
    <t>Biomx Inc</t>
  </si>
  <si>
    <t>Context Therapeutics Inc</t>
  </si>
  <si>
    <t>CNTX</t>
  </si>
  <si>
    <t>Kalvista Pharmaceuticals Inc</t>
  </si>
  <si>
    <t>KALV</t>
  </si>
  <si>
    <t>Celldex Therapeutics Inc</t>
  </si>
  <si>
    <t>CLDX</t>
  </si>
  <si>
    <t>Mind Medicine Mindmed Inc</t>
  </si>
  <si>
    <t>MNMD</t>
  </si>
  <si>
    <t>XBI</t>
  </si>
  <si>
    <t>Alkermes Plc</t>
  </si>
  <si>
    <t>ALKS</t>
  </si>
  <si>
    <t>Arcellx Inc</t>
  </si>
  <si>
    <t>ACLX</t>
  </si>
  <si>
    <t>Call- 1Olma $30 Exp 01/17/2025</t>
  </si>
  <si>
    <t>OLMA</t>
  </si>
  <si>
    <t>Call- Olma 100 @ 17.5 Exp 01/17/2025</t>
  </si>
  <si>
    <t>Dianthus Therapeutics Inc</t>
  </si>
  <si>
    <t>DNTH</t>
  </si>
  <si>
    <t>Promis Neuroscience Tranche A @2.07 Warr</t>
  </si>
  <si>
    <t>Promis Neuroscience Tranche B @ 2.07 War</t>
  </si>
  <si>
    <t>Promis Neuroscience Tranche C @ 2.60 War</t>
  </si>
  <si>
    <t>Promis Neurosciences Inc</t>
  </si>
  <si>
    <t>PMN</t>
  </si>
  <si>
    <t>Promis Neurosciences Inc.</t>
  </si>
  <si>
    <t>Blueprint Medici</t>
  </si>
  <si>
    <t>BPMC</t>
  </si>
  <si>
    <t>Call Biomx (Phge) 2.311 08/01/2026 Warra</t>
  </si>
  <si>
    <t>ANAB</t>
  </si>
  <si>
    <t>INSM</t>
  </si>
  <si>
    <t>Corcept Thera</t>
  </si>
  <si>
    <t>CORT</t>
  </si>
  <si>
    <t>Insmed Inc</t>
  </si>
  <si>
    <t>Twist Bioscience Corp</t>
  </si>
  <si>
    <t>TWST</t>
  </si>
  <si>
    <t>MTEM</t>
  </si>
  <si>
    <t>Biomx Inc | Call Biomx (Phge) 2.311 08/01/2026 Warra</t>
  </si>
  <si>
    <t>Call Mtem 2.35 04/02/2029 Warrant | Mtem (Private)</t>
  </si>
  <si>
    <t>TOP 10</t>
  </si>
  <si>
    <t>MRNA</t>
  </si>
  <si>
    <t>Climb Bio Inc</t>
  </si>
  <si>
    <t>CLYM</t>
  </si>
  <si>
    <t>Immunovant Inc</t>
  </si>
  <si>
    <t>IMVT</t>
  </si>
  <si>
    <t>Oruka Therapeutics Inc</t>
  </si>
  <si>
    <t>ORKA</t>
  </si>
  <si>
    <t>Aerovate Therapeutics Inc</t>
  </si>
  <si>
    <t>AVTE</t>
  </si>
  <si>
    <t>Agios Pharma</t>
  </si>
  <si>
    <t>AGIO</t>
  </si>
  <si>
    <t>Arcutis Biotherapeutics Inc</t>
  </si>
  <si>
    <t>ARQT</t>
  </si>
  <si>
    <t>Aurinia Pharmaceuticals Inc Ordinary Sha</t>
  </si>
  <si>
    <t>AUPH</t>
  </si>
  <si>
    <t>Bicycle Therapeutics Ltd-Adr</t>
  </si>
  <si>
    <t>BCYC</t>
  </si>
  <si>
    <t>TLT</t>
  </si>
  <si>
    <t>Call- Zura 100 @ 5 Exp 01/17/2025</t>
  </si>
  <si>
    <t>Call- Zura 100 @ 7.5 Exp 01/17/2025</t>
  </si>
  <si>
    <t>Eledon Pharmaceuticals Inc</t>
  </si>
  <si>
    <t>ELDN</t>
  </si>
  <si>
    <t>Evommune</t>
  </si>
  <si>
    <t>Immunocore Holdings Ltd</t>
  </si>
  <si>
    <t>IMCR</t>
  </si>
  <si>
    <t>Lexeo Therapeutics Inc</t>
  </si>
  <si>
    <t>LXEO</t>
  </si>
  <si>
    <t>Mach5 Therapeutics Inc</t>
  </si>
  <si>
    <t>Prothena Corporation Plc</t>
  </si>
  <si>
    <t>PRTA</t>
  </si>
  <si>
    <t>Ptc Therapeutics</t>
  </si>
  <si>
    <t>PTCT</t>
  </si>
  <si>
    <t>Put - Zura 100 @ 2.5 Exp 01/17/2025</t>
  </si>
  <si>
    <t>Rigel Pharma</t>
  </si>
  <si>
    <t>RIGL</t>
  </si>
  <si>
    <t>Rocket Pharmaceuticals Inc</t>
  </si>
  <si>
    <t>RCKT</t>
  </si>
  <si>
    <t>Tarsus Pharmaceuticals Inc</t>
  </si>
  <si>
    <t>TARS</t>
  </si>
  <si>
    <t>Voyager Therapeutics Inc</t>
  </si>
  <si>
    <t>VYGR</t>
  </si>
  <si>
    <t>Zenas Biopharma Inc</t>
  </si>
  <si>
    <t>ZBIO</t>
  </si>
  <si>
    <t>Promis Neuroscience Tranche A @2.07 Warr | Promis Neuroscience Tranche B @ 2.07 War | Promis Neuroscience Tranche C @ 2.60 War | Promis Neurosciences Inc | Promis Neurosciences Inc.</t>
  </si>
  <si>
    <t>MSCL</t>
  </si>
  <si>
    <t>Lexeo Private | Lexeo Therapeutics Inc</t>
  </si>
  <si>
    <t>Altimmune Inc</t>
  </si>
  <si>
    <t>ALT</t>
  </si>
  <si>
    <t>Call- Apls 100 @ 30 Exp 04/17/2025</t>
  </si>
  <si>
    <t>Call- Apls 100 @ 40 Exp 04/17/2025</t>
  </si>
  <si>
    <t>Call- Tgtx 100 @ 42 Exp 01/17/2025</t>
  </si>
  <si>
    <t>Call- Tgtx 100 @ 50 Exp 01/17/2025</t>
  </si>
  <si>
    <t>Day One Biopharmaceuticals I</t>
  </si>
  <si>
    <t>DAWN</t>
  </si>
  <si>
    <t>Jade Biosciences Inc.</t>
  </si>
  <si>
    <t>Moderna Inc</t>
  </si>
  <si>
    <t>Novavax</t>
  </si>
  <si>
    <t>Put - Anab 100 @ 12.5 Exp 01/17/2025</t>
  </si>
  <si>
    <t>Put - Vrdn 100 @ 20 Exp 01/17/2025</t>
  </si>
  <si>
    <t>Call- Tgtx 100 @ 42 Exp 01/17/2025 | Call- Tgtx 100 @ 50 Exp 01/17/2025</t>
  </si>
  <si>
    <t>Dec 31, 2024</t>
  </si>
  <si>
    <t>Cad To USD Forward  Sd : 19-Mar-2025</t>
  </si>
  <si>
    <t>Call- Anab 100 @ 17.5 Exp 01/17/2025</t>
  </si>
  <si>
    <t>Call- Anab 100 @ 22.5 Exp 04/17/2025</t>
  </si>
  <si>
    <t>Call- Xbi 100 @ 102 Exp 01/17/2025</t>
  </si>
  <si>
    <t>Call- Xbi 100 @ 105 Exp 01/17/2025</t>
  </si>
  <si>
    <t>Call- Xbi 100 @ 95.5 Exp 01/17/2025</t>
  </si>
  <si>
    <t>Canadian Dollar</t>
  </si>
  <si>
    <t>Ionis Pharmaceuticals Inc</t>
  </si>
  <si>
    <t>IONS</t>
  </si>
  <si>
    <t>Put - Qqq 100 @ 480 Exp 01/17/2025</t>
  </si>
  <si>
    <t>QQQ</t>
  </si>
  <si>
    <t>Put - Qqq 100 @ 510 Exp 01/17/2025</t>
  </si>
  <si>
    <t>Put - Tlt 100 @ 83 Exp 01/17/2025</t>
  </si>
  <si>
    <t>Put - Tlt 100 @ 88 Exp 01/17/2025</t>
  </si>
  <si>
    <t>USD To Cad Forward  Sd : 19-Mar-2025</t>
  </si>
  <si>
    <t>Vix Index Jan25 Future</t>
  </si>
  <si>
    <t>VXF5</t>
  </si>
  <si>
    <t>Call- Apls 100 @ 30 Exp 04/17/2025 | Call- Apls 100 @ 40 Exp 04/17/2025</t>
  </si>
  <si>
    <t>Call- 1Olma $30 Exp 01/17/2025 | Call- Olma 100 @ 17.5 Exp 01/17/2025</t>
  </si>
  <si>
    <t>Call- Xbi 100 @ 102 Exp 01/17/2025 | Call- Xbi 100 @ 105 Exp 01/17/2025 | Call- Xbi 100 @ 95.5 Exp 01/17/2025</t>
  </si>
  <si>
    <t>Call- Anab 100 @ 17.5 Exp 01/17/2025 | Call- Anab 100 @ 22.5 Exp 04/17/2025 | Put - Anab 100 @ 12.5 Exp 01/17/2025</t>
  </si>
  <si>
    <t>Put - Qqq 100 @ 480 Exp 01/17/2025 | Put - Qqq 100 @ 510 Exp 01/17/2025</t>
  </si>
  <si>
    <t>Put - Tlt 100 @ 83 Exp 01/17/2025 | Put - Tlt 100 @ 88 Exp 01/17/2025</t>
  </si>
  <si>
    <t>Call- Zura 100 @ 5 Exp 01/17/2025 | Call- Zura 100 @ 7.5 Exp 01/17/2025 | Put - Zura 100 @ 2.5 Exp 01/17/2025 | Zura Bio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</si>
</sst>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%"/>
    <numFmt numFmtId="165" formatCode="#,##0.##;[Red]\(#,##0.##\)"/>
    <numFmt numFmtId="166" formatCode="0.0000\ %"/>
    <numFmt numFmtId="167" formatCode="0\ %"/>
  </numFmts>
  <fonts count="6" x14ac:knownFonts="1">
    <font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right" indent="1"/>
    </xf>
    <xf numFmtId="164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3" fillId="3" borderId="0" xfId="0" applyFont="1" applyFill="1"/>
    <xf numFmtId="164" fontId="3" fillId="3" borderId="0" xfId="0" applyNumberFormat="1" applyFont="1" applyFill="1" applyAlignment="1">
      <alignment horizontal="right" indent="1"/>
    </xf>
    <xf numFmtId="166" fontId="3" fillId="3" borderId="0" xfId="0" applyNumberFormat="1" applyFont="1" applyFill="1" applyAlignment="1">
      <alignment horizontal="right" indent="1"/>
    </xf>
    <xf numFmtId="166" fontId="1" fillId="0" borderId="0" xfId="0" applyNumberFormat="1" applyFont="1" applyAlignment="1">
      <alignment horizontal="right" indent="1"/>
    </xf>
    <xf numFmtId="165" fontId="0" fillId="0" borderId="0" xfId="0" applyNumberFormat="1"/>
    <xf numFmtId="164" fontId="0" fillId="0" borderId="0" xfId="0" applyNumberFormat="1"/>
    <xf numFmtId="0" fontId="4" fillId="0" borderId="0" xfId="0" applyFont="1" applyAlignment="1">
      <alignment horizontal="center"/>
    </xf>
    <xf numFmtId="164" fontId="1" fillId="0" borderId="0" xfId="0" applyNumberFormat="1" applyFont="1"/>
    <xf numFmtId="0" fontId="0" fillId="4" borderId="0" xfId="0" applyFill="1"/>
    <xf numFmtId="165" fontId="0" fillId="4" borderId="0" xfId="0" applyNumberFormat="1" applyFill="1"/>
    <xf numFmtId="164" fontId="0" fillId="4" borderId="0" xfId="0" applyNumberFormat="1" applyFill="1"/>
    <xf numFmtId="166" fontId="1" fillId="0" borderId="0" xfId="0" applyNumberFormat="1" applyFont="1"/>
    <xf numFmtId="0" fontId="1" fillId="0" borderId="3" xfId="0" applyFont="1" applyBorder="1"/>
    <xf numFmtId="166" fontId="1" fillId="0" borderId="3" xfId="0" applyNumberFormat="1" applyFont="1" applyBorder="1" applyAlignment="1">
      <alignment horizontal="right" indent="1"/>
    </xf>
    <xf numFmtId="0" fontId="1" fillId="0" borderId="3" xfId="0" applyFont="1" applyBorder="1" applyAlignment="1">
      <alignment horizontal="right" indent="1"/>
    </xf>
    <xf numFmtId="0" fontId="4" fillId="0" borderId="0" xfId="0" applyFont="1"/>
    <xf numFmtId="167" fontId="1" fillId="5" borderId="1" xfId="0" applyNumberFormat="1" applyFont="1" applyFill="1" applyBorder="1"/>
    <xf numFmtId="0" fontId="5" fillId="0" borderId="2" xfId="0" applyFont="1" applyBorder="1"/>
  </cellXfs>
  <cellStyles count="1">
    <cellStyle name="Normal" xfId="0" builtinId="0"/>
  </cellStyles>
  <dxfs count="1">
    <dxf>
      <font>
        <b/>
        <i val="0"/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4"/>
  <sheetViews>
    <sheetView showGridLines="0" zoomScale="91" zoomScaleNormal="91" workbookViewId="0">
      <selection sqref="A1:J104"/>
    </sheetView>
  </sheetViews>
  <sheetFormatPr defaultColWidth="9.08984375" defaultRowHeight="13" x14ac:dyDescent="0.3"/>
  <cols>
    <col min="1" max="1" width="35.81640625" style="1" customWidth="1"/>
    <col min="2" max="2" width="14.6328125" style="1" customWidth="1"/>
    <col min="3" max="3" width="31.81640625" style="1" customWidth="1"/>
    <col min="4" max="4" width="15.6328125" style="1" customWidth="1"/>
    <col min="5" max="5" width="32.08984375" style="1" customWidth="1"/>
    <col min="6" max="6" width="14.36328125" style="1" customWidth="1"/>
    <col min="7" max="7" width="30.6328125" style="1" customWidth="1"/>
    <col min="8" max="8" width="15.26953125" style="1" customWidth="1"/>
    <col min="9" max="9" width="32.6328125" style="1" customWidth="1"/>
    <col min="10" max="10" width="17.81640625" style="1" customWidth="1"/>
    <col min="11" max="16384" width="9.08984375" style="1"/>
  </cols>
  <sheetData>
    <row r="1" spans="1:10" ht="15" thickBot="1" x14ac:dyDescent="0.4">
      <c r="A1" s="23" t="s">
        <v>7</v>
      </c>
      <c r="B1" s="23" t="s">
        <v>8</v>
      </c>
      <c r="C1" s="23" t="s">
        <v>0</v>
      </c>
      <c r="D1" s="23" t="s">
        <v>9</v>
      </c>
      <c r="E1" s="23" t="s">
        <v>1</v>
      </c>
      <c r="F1" s="23" t="s">
        <v>10</v>
      </c>
      <c r="G1" s="23" t="s">
        <v>2</v>
      </c>
      <c r="H1" s="23" t="s">
        <v>11</v>
      </c>
      <c r="I1" s="23" t="s">
        <v>3</v>
      </c>
      <c r="J1" s="23" t="s">
        <v>4</v>
      </c>
    </row>
    <row r="2" spans="1:10" ht="15" thickTop="1" x14ac:dyDescent="0.35">
      <c r="A2" t="s">
        <v>180</v>
      </c>
      <c r="B2" s="10">
        <v>59658650.975496575</v>
      </c>
      <c r="C2" s="11">
        <v>0.81719293713624352</v>
      </c>
      <c r="D2" s="10">
        <v>-47733747.260306619</v>
      </c>
      <c r="E2" s="11">
        <v>-0.65384785754191133</v>
      </c>
      <c r="F2" s="10">
        <v>11924903.715189956</v>
      </c>
      <c r="G2" s="11">
        <v>0.16334507959433237</v>
      </c>
      <c r="H2" s="10">
        <v>107392398.2358032</v>
      </c>
      <c r="I2" s="11">
        <v>1.4710407946781547</v>
      </c>
      <c r="J2" t="s">
        <v>12</v>
      </c>
    </row>
    <row r="3" spans="1:10" ht="14.5" x14ac:dyDescent="0.35">
      <c r="A3" s="14" t="s">
        <v>13</v>
      </c>
      <c r="B3" s="15">
        <v>4327971.96</v>
      </c>
      <c r="C3" s="16">
        <v>5.9283742759928641E-2</v>
      </c>
      <c r="D3" s="15">
        <v>0</v>
      </c>
      <c r="E3" s="16">
        <v>0</v>
      </c>
      <c r="F3" s="15">
        <v>4327971.96</v>
      </c>
      <c r="G3" s="16">
        <v>5.9283742759928641E-2</v>
      </c>
      <c r="H3" s="15">
        <v>4327971.96</v>
      </c>
      <c r="I3" s="16">
        <v>5.9283742759928641E-2</v>
      </c>
      <c r="J3" s="14" t="s">
        <v>14</v>
      </c>
    </row>
    <row r="4" spans="1:10" ht="14.5" x14ac:dyDescent="0.35">
      <c r="A4" t="s">
        <v>127</v>
      </c>
      <c r="B4" s="10">
        <v>2254312.6</v>
      </c>
      <c r="C4" s="11">
        <v>3.0879148366494018E-2</v>
      </c>
      <c r="D4" s="10">
        <v>0</v>
      </c>
      <c r="E4" s="11">
        <v>0</v>
      </c>
      <c r="F4" s="10">
        <v>2254312.6</v>
      </c>
      <c r="G4" s="11">
        <v>3.0879148366494018E-2</v>
      </c>
      <c r="H4" s="10">
        <v>2254312.6</v>
      </c>
      <c r="I4" s="11">
        <v>3.0879148366494018E-2</v>
      </c>
      <c r="J4" t="s">
        <v>128</v>
      </c>
    </row>
    <row r="5" spans="1:10" ht="14.5" x14ac:dyDescent="0.35">
      <c r="A5" s="14" t="s">
        <v>129</v>
      </c>
      <c r="B5" s="15">
        <v>0</v>
      </c>
      <c r="C5" s="16">
        <v>0</v>
      </c>
      <c r="D5" s="15">
        <v>0</v>
      </c>
      <c r="E5" s="16">
        <v>0</v>
      </c>
      <c r="F5" s="15">
        <v>0</v>
      </c>
      <c r="G5" s="16">
        <v>0</v>
      </c>
      <c r="H5" s="15">
        <v>0</v>
      </c>
      <c r="I5" s="16">
        <v>0</v>
      </c>
      <c r="J5" s="14" t="s">
        <v>130</v>
      </c>
    </row>
    <row r="6" spans="1:10" ht="14.5" x14ac:dyDescent="0.35">
      <c r="A6" t="s">
        <v>91</v>
      </c>
      <c r="B6" s="10">
        <v>3451200</v>
      </c>
      <c r="C6" s="11">
        <v>4.7273885991873599E-2</v>
      </c>
      <c r="D6" s="10">
        <v>0</v>
      </c>
      <c r="E6" s="11">
        <v>0</v>
      </c>
      <c r="F6" s="10">
        <v>3451200</v>
      </c>
      <c r="G6" s="11">
        <v>4.7273885991873599E-2</v>
      </c>
      <c r="H6" s="10">
        <v>3451200</v>
      </c>
      <c r="I6" s="11">
        <v>4.7273885991873599E-2</v>
      </c>
      <c r="J6" t="s">
        <v>92</v>
      </c>
    </row>
    <row r="7" spans="1:10" ht="14.5" x14ac:dyDescent="0.35">
      <c r="A7" s="14" t="s">
        <v>166</v>
      </c>
      <c r="B7" s="15">
        <v>0</v>
      </c>
      <c r="C7" s="16">
        <v>0</v>
      </c>
      <c r="D7" s="15">
        <v>-576800</v>
      </c>
      <c r="E7" s="16">
        <v>-7.9008974965556009E-3</v>
      </c>
      <c r="F7" s="15">
        <v>-576800</v>
      </c>
      <c r="G7" s="16">
        <v>-7.9008974965556009E-3</v>
      </c>
      <c r="H7" s="15">
        <v>576800</v>
      </c>
      <c r="I7" s="16">
        <v>7.9008974965556009E-3</v>
      </c>
      <c r="J7" s="14" t="s">
        <v>167</v>
      </c>
    </row>
    <row r="8" spans="1:10" ht="14.5" x14ac:dyDescent="0.35">
      <c r="A8" t="s">
        <v>78</v>
      </c>
      <c r="B8" s="10">
        <v>0</v>
      </c>
      <c r="C8" s="11">
        <v>0</v>
      </c>
      <c r="D8" s="10">
        <v>-753600</v>
      </c>
      <c r="E8" s="11">
        <v>-1.0322670515610786E-2</v>
      </c>
      <c r="F8" s="10">
        <v>-753600</v>
      </c>
      <c r="G8" s="11">
        <v>-1.0322670515610786E-2</v>
      </c>
      <c r="H8" s="10">
        <v>753600</v>
      </c>
      <c r="I8" s="11">
        <v>1.0322670515610786E-2</v>
      </c>
      <c r="J8" t="s">
        <v>79</v>
      </c>
    </row>
    <row r="9" spans="1:10" ht="14.5" x14ac:dyDescent="0.35">
      <c r="A9" s="14" t="s">
        <v>15</v>
      </c>
      <c r="B9" s="15">
        <v>2718000</v>
      </c>
      <c r="C9" s="16">
        <v>3.7230650824615331E-2</v>
      </c>
      <c r="D9" s="15">
        <v>0</v>
      </c>
      <c r="E9" s="16">
        <v>0</v>
      </c>
      <c r="F9" s="15">
        <v>2718000</v>
      </c>
      <c r="G9" s="16">
        <v>3.7230650824615331E-2</v>
      </c>
      <c r="H9" s="15">
        <v>2718000</v>
      </c>
      <c r="I9" s="16">
        <v>3.7230650824615331E-2</v>
      </c>
      <c r="J9" s="14" t="s">
        <v>16</v>
      </c>
    </row>
    <row r="10" spans="1:10" ht="14.5" x14ac:dyDescent="0.35">
      <c r="A10" t="s">
        <v>93</v>
      </c>
      <c r="B10" s="10">
        <v>2684150</v>
      </c>
      <c r="C10" s="11">
        <v>3.6766979915706863E-2</v>
      </c>
      <c r="D10" s="10">
        <v>0</v>
      </c>
      <c r="E10" s="11">
        <v>0</v>
      </c>
      <c r="F10" s="10">
        <v>2684150</v>
      </c>
      <c r="G10" s="11">
        <v>3.6766979915706863E-2</v>
      </c>
      <c r="H10" s="10">
        <v>2684150</v>
      </c>
      <c r="I10" s="11">
        <v>3.6766979915706863E-2</v>
      </c>
      <c r="J10" t="s">
        <v>94</v>
      </c>
    </row>
    <row r="11" spans="1:10" ht="14.5" x14ac:dyDescent="0.35">
      <c r="A11" s="14" t="s">
        <v>131</v>
      </c>
      <c r="B11" s="15">
        <v>0</v>
      </c>
      <c r="C11" s="16">
        <v>0</v>
      </c>
      <c r="D11" s="15">
        <v>0</v>
      </c>
      <c r="E11" s="16">
        <v>0</v>
      </c>
      <c r="F11" s="15">
        <v>0</v>
      </c>
      <c r="G11" s="16">
        <v>0</v>
      </c>
      <c r="H11" s="15">
        <v>0</v>
      </c>
      <c r="I11" s="16">
        <v>0</v>
      </c>
      <c r="J11" s="14" t="s">
        <v>132</v>
      </c>
    </row>
    <row r="12" spans="1:10" ht="14.5" x14ac:dyDescent="0.35">
      <c r="A12" t="s">
        <v>133</v>
      </c>
      <c r="B12" s="10">
        <v>0</v>
      </c>
      <c r="C12" s="11">
        <v>0</v>
      </c>
      <c r="D12" s="10">
        <v>0</v>
      </c>
      <c r="E12" s="11">
        <v>0</v>
      </c>
      <c r="F12" s="10">
        <v>0</v>
      </c>
      <c r="G12" s="11">
        <v>0</v>
      </c>
      <c r="H12" s="10">
        <v>0</v>
      </c>
      <c r="I12" s="11">
        <v>0</v>
      </c>
      <c r="J12" t="s">
        <v>134</v>
      </c>
    </row>
    <row r="13" spans="1:10" ht="14.5" x14ac:dyDescent="0.35">
      <c r="A13" s="14" t="s">
        <v>17</v>
      </c>
      <c r="B13" s="15">
        <v>0</v>
      </c>
      <c r="C13" s="16">
        <v>0</v>
      </c>
      <c r="D13" s="15">
        <v>0</v>
      </c>
      <c r="E13" s="16">
        <v>0</v>
      </c>
      <c r="F13" s="15">
        <v>0</v>
      </c>
      <c r="G13" s="16">
        <v>0</v>
      </c>
      <c r="H13" s="15">
        <v>0</v>
      </c>
      <c r="I13" s="16">
        <v>0</v>
      </c>
      <c r="J13" s="14" t="s">
        <v>18</v>
      </c>
    </row>
    <row r="14" spans="1:10" ht="14.5" x14ac:dyDescent="0.35">
      <c r="A14" t="s">
        <v>19</v>
      </c>
      <c r="B14" s="10">
        <v>544723.02</v>
      </c>
      <c r="C14" s="11">
        <v>7.4615130808498732E-3</v>
      </c>
      <c r="D14" s="10">
        <v>0</v>
      </c>
      <c r="E14" s="11">
        <v>0</v>
      </c>
      <c r="F14" s="10">
        <v>544723.02</v>
      </c>
      <c r="G14" s="11">
        <v>7.4615130808498732E-3</v>
      </c>
      <c r="H14" s="10">
        <v>544723.02</v>
      </c>
      <c r="I14" s="11">
        <v>7.4615130808498732E-3</v>
      </c>
      <c r="J14" t="s">
        <v>20</v>
      </c>
    </row>
    <row r="15" spans="1:10" ht="14.5" x14ac:dyDescent="0.35">
      <c r="A15" s="14" t="s">
        <v>135</v>
      </c>
      <c r="B15" s="15">
        <v>0</v>
      </c>
      <c r="C15" s="16">
        <v>0</v>
      </c>
      <c r="D15" s="15">
        <v>0</v>
      </c>
      <c r="E15" s="16">
        <v>0</v>
      </c>
      <c r="F15" s="15">
        <v>0</v>
      </c>
      <c r="G15" s="16">
        <v>0</v>
      </c>
      <c r="H15" s="15">
        <v>0</v>
      </c>
      <c r="I15" s="16">
        <v>0</v>
      </c>
      <c r="J15" s="14" t="s">
        <v>136</v>
      </c>
    </row>
    <row r="16" spans="1:10" ht="14.5" x14ac:dyDescent="0.35">
      <c r="A16" t="s">
        <v>81</v>
      </c>
      <c r="B16" s="10">
        <v>470062.47330000001</v>
      </c>
      <c r="C16" s="11">
        <v>6.4388270085310407E-3</v>
      </c>
      <c r="D16" s="10">
        <v>0</v>
      </c>
      <c r="E16" s="11">
        <v>0</v>
      </c>
      <c r="F16" s="10">
        <v>470062.47330000001</v>
      </c>
      <c r="G16" s="11">
        <v>6.4388270085310407E-3</v>
      </c>
      <c r="H16" s="10">
        <v>470062.47330000001</v>
      </c>
      <c r="I16" s="11">
        <v>6.4388270085310407E-3</v>
      </c>
      <c r="J16" t="s">
        <v>32</v>
      </c>
    </row>
    <row r="17" spans="1:10" ht="14.5" x14ac:dyDescent="0.35">
      <c r="A17" s="14" t="s">
        <v>106</v>
      </c>
      <c r="B17" s="15">
        <v>0</v>
      </c>
      <c r="C17" s="16">
        <v>0</v>
      </c>
      <c r="D17" s="15">
        <v>-872200</v>
      </c>
      <c r="E17" s="16">
        <v>-1.194723092318966E-2</v>
      </c>
      <c r="F17" s="15">
        <v>-872200</v>
      </c>
      <c r="G17" s="16">
        <v>-1.194723092318966E-2</v>
      </c>
      <c r="H17" s="15">
        <v>872200</v>
      </c>
      <c r="I17" s="16">
        <v>1.194723092318966E-2</v>
      </c>
      <c r="J17" s="14" t="s">
        <v>107</v>
      </c>
    </row>
    <row r="18" spans="1:10" ht="14.5" x14ac:dyDescent="0.35">
      <c r="A18" t="s">
        <v>181</v>
      </c>
      <c r="B18" s="10">
        <v>0</v>
      </c>
      <c r="C18" s="11">
        <v>0</v>
      </c>
      <c r="D18" s="10">
        <v>0</v>
      </c>
      <c r="E18" s="11">
        <v>0</v>
      </c>
      <c r="F18" s="10">
        <v>0</v>
      </c>
      <c r="G18" s="11">
        <v>0</v>
      </c>
      <c r="H18" s="10">
        <v>0</v>
      </c>
      <c r="I18" s="11">
        <v>0</v>
      </c>
      <c r="J18" t="s">
        <v>22</v>
      </c>
    </row>
    <row r="19" spans="1:10" ht="14.5" x14ac:dyDescent="0.35">
      <c r="A19" s="14" t="s">
        <v>108</v>
      </c>
      <c r="B19" s="15">
        <v>62996</v>
      </c>
      <c r="C19" s="16">
        <v>8.6290731396154068E-4</v>
      </c>
      <c r="D19" s="15">
        <v>0</v>
      </c>
      <c r="E19" s="16">
        <v>0</v>
      </c>
      <c r="F19" s="15">
        <v>62996</v>
      </c>
      <c r="G19" s="16">
        <v>8.6290731396154068E-4</v>
      </c>
      <c r="H19" s="15">
        <v>62996</v>
      </c>
      <c r="I19" s="16">
        <v>8.6290731396154068E-4</v>
      </c>
      <c r="J19" s="14" t="s">
        <v>21</v>
      </c>
    </row>
    <row r="20" spans="1:10" ht="14.5" x14ac:dyDescent="0.35">
      <c r="A20" t="s">
        <v>23</v>
      </c>
      <c r="B20" s="10">
        <v>73525.763282411208</v>
      </c>
      <c r="C20" s="11">
        <v>1.0071420233189016E-3</v>
      </c>
      <c r="D20" s="10">
        <v>0</v>
      </c>
      <c r="E20" s="11">
        <v>0</v>
      </c>
      <c r="F20" s="10">
        <v>73525.763282411208</v>
      </c>
      <c r="G20" s="11">
        <v>1.0071420233189016E-3</v>
      </c>
      <c r="H20" s="10">
        <v>73525.763282411208</v>
      </c>
      <c r="I20" s="11">
        <v>1.0071420233189016E-3</v>
      </c>
      <c r="J20" t="s">
        <v>24</v>
      </c>
    </row>
    <row r="21" spans="1:10" ht="14.5" x14ac:dyDescent="0.35">
      <c r="A21" s="14" t="s">
        <v>25</v>
      </c>
      <c r="B21" s="15">
        <v>101993.37844048714</v>
      </c>
      <c r="C21" s="16">
        <v>1.3970860408905909E-3</v>
      </c>
      <c r="D21" s="15">
        <v>0</v>
      </c>
      <c r="E21" s="16">
        <v>0</v>
      </c>
      <c r="F21" s="15">
        <v>101993.37844048714</v>
      </c>
      <c r="G21" s="16">
        <v>1.3970860408905909E-3</v>
      </c>
      <c r="H21" s="15">
        <v>101993.37844048714</v>
      </c>
      <c r="I21" s="16">
        <v>1.3970860408905909E-3</v>
      </c>
      <c r="J21" s="14" t="s">
        <v>26</v>
      </c>
    </row>
    <row r="22" spans="1:10" ht="14.5" x14ac:dyDescent="0.35">
      <c r="A22" t="s">
        <v>27</v>
      </c>
      <c r="B22" s="10">
        <v>5492</v>
      </c>
      <c r="C22" s="11">
        <v>7.5228379076080725E-5</v>
      </c>
      <c r="D22" s="10">
        <v>0</v>
      </c>
      <c r="E22" s="11">
        <v>0</v>
      </c>
      <c r="F22" s="10">
        <v>5492</v>
      </c>
      <c r="G22" s="11">
        <v>7.5228379076080725E-5</v>
      </c>
      <c r="H22" s="10">
        <v>5492</v>
      </c>
      <c r="I22" s="11">
        <v>7.5228379076080725E-5</v>
      </c>
      <c r="J22" t="s">
        <v>21</v>
      </c>
    </row>
    <row r="23" spans="1:10" ht="14.5" x14ac:dyDescent="0.35">
      <c r="A23" s="14" t="s">
        <v>95</v>
      </c>
      <c r="B23" s="15">
        <v>0</v>
      </c>
      <c r="C23" s="16">
        <v>0</v>
      </c>
      <c r="D23" s="15">
        <v>-29798.449426412895</v>
      </c>
      <c r="E23" s="16">
        <v>-4.081735341095429E-4</v>
      </c>
      <c r="F23" s="15">
        <v>-29798.449426412895</v>
      </c>
      <c r="G23" s="16">
        <v>-4.081735341095429E-4</v>
      </c>
      <c r="H23" s="15">
        <v>29798.449426412895</v>
      </c>
      <c r="I23" s="16">
        <v>4.081735341095429E-4</v>
      </c>
      <c r="J23" s="14" t="s">
        <v>96</v>
      </c>
    </row>
    <row r="24" spans="1:10" ht="14.5" x14ac:dyDescent="0.35">
      <c r="A24" t="s">
        <v>182</v>
      </c>
      <c r="B24" s="10">
        <v>0</v>
      </c>
      <c r="C24" s="11">
        <v>0</v>
      </c>
      <c r="D24" s="10">
        <v>-60137.364256879519</v>
      </c>
      <c r="E24" s="11">
        <v>-8.2375026128056808E-4</v>
      </c>
      <c r="F24" s="10">
        <v>-60137.364256879519</v>
      </c>
      <c r="G24" s="11">
        <v>-8.2375026128056808E-4</v>
      </c>
      <c r="H24" s="10">
        <v>60137.364256879519</v>
      </c>
      <c r="I24" s="11">
        <v>8.2375026128056808E-4</v>
      </c>
      <c r="J24" t="s">
        <v>109</v>
      </c>
    </row>
    <row r="25" spans="1:10" ht="14.5" x14ac:dyDescent="0.35">
      <c r="A25" s="14" t="s">
        <v>183</v>
      </c>
      <c r="B25" s="15">
        <v>291068.93107779115</v>
      </c>
      <c r="C25" s="16">
        <v>3.9870072622705185E-3</v>
      </c>
      <c r="D25" s="15">
        <v>0</v>
      </c>
      <c r="E25" s="16">
        <v>0</v>
      </c>
      <c r="F25" s="15">
        <v>291068.93107779115</v>
      </c>
      <c r="G25" s="16">
        <v>3.9870072622705185E-3</v>
      </c>
      <c r="H25" s="15">
        <v>291068.93107779115</v>
      </c>
      <c r="I25" s="16">
        <v>3.9870072622705185E-3</v>
      </c>
      <c r="J25" s="14" t="s">
        <v>109</v>
      </c>
    </row>
    <row r="26" spans="1:10" ht="14.5" x14ac:dyDescent="0.35">
      <c r="A26" t="s">
        <v>168</v>
      </c>
      <c r="B26" s="10">
        <v>1662983.4570995627</v>
      </c>
      <c r="C26" s="11">
        <v>2.2779233413681196E-2</v>
      </c>
      <c r="D26" s="10">
        <v>0</v>
      </c>
      <c r="E26" s="11">
        <v>0</v>
      </c>
      <c r="F26" s="10">
        <v>1662983.4570995627</v>
      </c>
      <c r="G26" s="11">
        <v>2.2779233413681196E-2</v>
      </c>
      <c r="H26" s="10">
        <v>1662983.4570995627</v>
      </c>
      <c r="I26" s="11">
        <v>2.2779233413681196E-2</v>
      </c>
      <c r="J26" t="s">
        <v>80</v>
      </c>
    </row>
    <row r="27" spans="1:10" ht="14.5" x14ac:dyDescent="0.35">
      <c r="A27" s="14" t="s">
        <v>169</v>
      </c>
      <c r="B27" s="15">
        <v>0</v>
      </c>
      <c r="C27" s="16">
        <v>0</v>
      </c>
      <c r="D27" s="15">
        <v>-857122.63946752506</v>
      </c>
      <c r="E27" s="16">
        <v>-1.1740704085315704E-2</v>
      </c>
      <c r="F27" s="15">
        <v>-857122.63946752506</v>
      </c>
      <c r="G27" s="16">
        <v>-1.1740704085315704E-2</v>
      </c>
      <c r="H27" s="15">
        <v>857122.63946752506</v>
      </c>
      <c r="I27" s="16">
        <v>1.1740704085315704E-2</v>
      </c>
      <c r="J27" s="14" t="s">
        <v>80</v>
      </c>
    </row>
    <row r="28" spans="1:10" ht="14.5" x14ac:dyDescent="0.35">
      <c r="A28" t="s">
        <v>97</v>
      </c>
      <c r="B28" s="10">
        <v>287822.81025691872</v>
      </c>
      <c r="C28" s="11">
        <v>3.9425425121541032E-3</v>
      </c>
      <c r="D28" s="10">
        <v>0</v>
      </c>
      <c r="E28" s="11">
        <v>0</v>
      </c>
      <c r="F28" s="10">
        <v>287822.81025691872</v>
      </c>
      <c r="G28" s="11">
        <v>3.9425425121541032E-3</v>
      </c>
      <c r="H28" s="10">
        <v>287822.81025691872</v>
      </c>
      <c r="I28" s="11">
        <v>3.9425425121541032E-3</v>
      </c>
      <c r="J28" t="s">
        <v>96</v>
      </c>
    </row>
    <row r="29" spans="1:10" ht="14.5" x14ac:dyDescent="0.35">
      <c r="A29" s="14" t="s">
        <v>170</v>
      </c>
      <c r="B29" s="15">
        <v>222567.67119159448</v>
      </c>
      <c r="C29" s="16">
        <v>3.0486899378153244E-3</v>
      </c>
      <c r="D29" s="15">
        <v>0</v>
      </c>
      <c r="E29" s="16">
        <v>0</v>
      </c>
      <c r="F29" s="15">
        <v>222567.67119159448</v>
      </c>
      <c r="G29" s="16">
        <v>3.0486899378153244E-3</v>
      </c>
      <c r="H29" s="15">
        <v>222567.67119159448</v>
      </c>
      <c r="I29" s="16">
        <v>3.0486899378153244E-3</v>
      </c>
      <c r="J29" s="14" t="s">
        <v>64</v>
      </c>
    </row>
    <row r="30" spans="1:10" ht="14.5" x14ac:dyDescent="0.35">
      <c r="A30" t="s">
        <v>171</v>
      </c>
      <c r="B30" s="10">
        <v>0</v>
      </c>
      <c r="C30" s="11">
        <v>0</v>
      </c>
      <c r="D30" s="10">
        <v>-42210.759954715977</v>
      </c>
      <c r="E30" s="11">
        <v>-5.7819502020444672E-4</v>
      </c>
      <c r="F30" s="10">
        <v>-42210.759954715977</v>
      </c>
      <c r="G30" s="11">
        <v>-5.7819502020444672E-4</v>
      </c>
      <c r="H30" s="10">
        <v>42210.759954715977</v>
      </c>
      <c r="I30" s="11">
        <v>5.7819502020444672E-4</v>
      </c>
      <c r="J30" t="s">
        <v>64</v>
      </c>
    </row>
    <row r="31" spans="1:10" ht="14.5" x14ac:dyDescent="0.35">
      <c r="A31" s="14" t="s">
        <v>184</v>
      </c>
      <c r="B31" s="15">
        <v>0</v>
      </c>
      <c r="C31" s="16">
        <v>0</v>
      </c>
      <c r="D31" s="15">
        <v>-168876.47569216142</v>
      </c>
      <c r="E31" s="16">
        <v>-2.3132380790973146E-3</v>
      </c>
      <c r="F31" s="15">
        <v>-168876.47569216142</v>
      </c>
      <c r="G31" s="16">
        <v>-2.3132380790973146E-3</v>
      </c>
      <c r="H31" s="15">
        <v>168876.47569216142</v>
      </c>
      <c r="I31" s="16">
        <v>2.3132380790973146E-3</v>
      </c>
      <c r="J31" s="14" t="s">
        <v>90</v>
      </c>
    </row>
    <row r="32" spans="1:10" ht="14.5" x14ac:dyDescent="0.35">
      <c r="A32" t="s">
        <v>185</v>
      </c>
      <c r="B32" s="10">
        <v>0</v>
      </c>
      <c r="C32" s="11">
        <v>0</v>
      </c>
      <c r="D32" s="10">
        <v>-116304.2196581614</v>
      </c>
      <c r="E32" s="11">
        <v>-1.5931132419140432E-3</v>
      </c>
      <c r="F32" s="10">
        <v>-116304.2196581614</v>
      </c>
      <c r="G32" s="11">
        <v>-1.5931132419140432E-3</v>
      </c>
      <c r="H32" s="10">
        <v>116304.2196581614</v>
      </c>
      <c r="I32" s="11">
        <v>1.5931132419140432E-3</v>
      </c>
      <c r="J32" t="s">
        <v>90</v>
      </c>
    </row>
    <row r="33" spans="1:10" ht="14.5" x14ac:dyDescent="0.35">
      <c r="A33" s="14" t="s">
        <v>186</v>
      </c>
      <c r="B33" s="15">
        <v>2505134.0062183272</v>
      </c>
      <c r="C33" s="16">
        <v>3.4314852632223794E-2</v>
      </c>
      <c r="D33" s="15">
        <v>0</v>
      </c>
      <c r="E33" s="16">
        <v>0</v>
      </c>
      <c r="F33" s="15">
        <v>2505134.0062183272</v>
      </c>
      <c r="G33" s="16">
        <v>3.4314852632223794E-2</v>
      </c>
      <c r="H33" s="15">
        <v>2505134.0062183272</v>
      </c>
      <c r="I33" s="16">
        <v>3.4314852632223794E-2</v>
      </c>
      <c r="J33" s="14" t="s">
        <v>90</v>
      </c>
    </row>
    <row r="34" spans="1:10" ht="14.5" x14ac:dyDescent="0.35">
      <c r="A34" t="s">
        <v>138</v>
      </c>
      <c r="B34" s="10">
        <v>17708.558589220047</v>
      </c>
      <c r="C34" s="11">
        <v>2.4256849206861453E-4</v>
      </c>
      <c r="D34" s="10">
        <v>0</v>
      </c>
      <c r="E34" s="11">
        <v>0</v>
      </c>
      <c r="F34" s="10">
        <v>17708.558589220047</v>
      </c>
      <c r="G34" s="11">
        <v>2.4256849206861453E-4</v>
      </c>
      <c r="H34" s="10">
        <v>17708.558589220047</v>
      </c>
      <c r="I34" s="11">
        <v>2.4256849206861453E-4</v>
      </c>
      <c r="J34" t="s">
        <v>75</v>
      </c>
    </row>
    <row r="35" spans="1:10" ht="14.5" x14ac:dyDescent="0.35">
      <c r="A35" s="14" t="s">
        <v>139</v>
      </c>
      <c r="B35" s="15">
        <v>0</v>
      </c>
      <c r="C35" s="16">
        <v>0</v>
      </c>
      <c r="D35" s="15">
        <v>-1686.7115627974272</v>
      </c>
      <c r="E35" s="16">
        <v>-2.3104256525515908E-5</v>
      </c>
      <c r="F35" s="15">
        <v>-1686.7115627974272</v>
      </c>
      <c r="G35" s="16">
        <v>-2.3104256525515908E-5</v>
      </c>
      <c r="H35" s="15">
        <v>1686.7115627974272</v>
      </c>
      <c r="I35" s="16">
        <v>2.3104256525515908E-5</v>
      </c>
      <c r="J35" s="14" t="s">
        <v>75</v>
      </c>
    </row>
    <row r="36" spans="1:10" ht="14.5" x14ac:dyDescent="0.35">
      <c r="A36" t="s">
        <v>187</v>
      </c>
      <c r="B36" s="10">
        <v>0</v>
      </c>
      <c r="C36" s="11">
        <v>0</v>
      </c>
      <c r="D36" s="10">
        <v>0</v>
      </c>
      <c r="E36" s="11">
        <v>0</v>
      </c>
      <c r="F36" s="10">
        <v>0</v>
      </c>
      <c r="G36" s="11">
        <v>0</v>
      </c>
      <c r="H36" s="10">
        <v>0</v>
      </c>
      <c r="I36" s="11">
        <v>0</v>
      </c>
      <c r="J36" t="s">
        <v>22</v>
      </c>
    </row>
    <row r="37" spans="1:10" ht="14.5" x14ac:dyDescent="0.35">
      <c r="A37" s="14" t="s">
        <v>86</v>
      </c>
      <c r="B37" s="15">
        <v>0</v>
      </c>
      <c r="C37" s="16">
        <v>0</v>
      </c>
      <c r="D37" s="15">
        <v>-808640</v>
      </c>
      <c r="E37" s="16">
        <v>-1.1076598043714843E-2</v>
      </c>
      <c r="F37" s="15">
        <v>-808640</v>
      </c>
      <c r="G37" s="16">
        <v>-1.1076598043714843E-2</v>
      </c>
      <c r="H37" s="15">
        <v>808640</v>
      </c>
      <c r="I37" s="16">
        <v>1.1076598043714843E-2</v>
      </c>
      <c r="J37" s="14" t="s">
        <v>87</v>
      </c>
    </row>
    <row r="38" spans="1:10" ht="14.5" x14ac:dyDescent="0.35">
      <c r="A38" t="s">
        <v>30</v>
      </c>
      <c r="B38" s="10">
        <v>4765659.75</v>
      </c>
      <c r="C38" s="11">
        <v>6.5279107469158798E-2</v>
      </c>
      <c r="D38" s="10">
        <v>0</v>
      </c>
      <c r="E38" s="11">
        <v>0</v>
      </c>
      <c r="F38" s="10">
        <v>4765659.75</v>
      </c>
      <c r="G38" s="11">
        <v>6.5279107469158798E-2</v>
      </c>
      <c r="H38" s="10">
        <v>4765659.75</v>
      </c>
      <c r="I38" s="11">
        <v>6.5279107469158798E-2</v>
      </c>
      <c r="J38" t="s">
        <v>31</v>
      </c>
    </row>
    <row r="39" spans="1:10" ht="14.5" x14ac:dyDescent="0.35">
      <c r="A39" s="14" t="s">
        <v>121</v>
      </c>
      <c r="B39" s="15">
        <v>440978.4</v>
      </c>
      <c r="C39" s="16">
        <v>6.0404388637224247E-3</v>
      </c>
      <c r="D39" s="15">
        <v>0</v>
      </c>
      <c r="E39" s="16">
        <v>0</v>
      </c>
      <c r="F39" s="15">
        <v>440978.4</v>
      </c>
      <c r="G39" s="16">
        <v>6.0404388637224247E-3</v>
      </c>
      <c r="H39" s="15">
        <v>440978.4</v>
      </c>
      <c r="I39" s="16">
        <v>6.0404388637224247E-3</v>
      </c>
      <c r="J39" s="14" t="s">
        <v>122</v>
      </c>
    </row>
    <row r="40" spans="1:10" ht="14.5" x14ac:dyDescent="0.35">
      <c r="A40" t="s">
        <v>82</v>
      </c>
      <c r="B40" s="10">
        <v>997674.3</v>
      </c>
      <c r="C40" s="11">
        <v>1.3665954194257736E-2</v>
      </c>
      <c r="D40" s="10">
        <v>0</v>
      </c>
      <c r="E40" s="11">
        <v>0</v>
      </c>
      <c r="F40" s="10">
        <v>997674.3</v>
      </c>
      <c r="G40" s="11">
        <v>1.3665954194257736E-2</v>
      </c>
      <c r="H40" s="10">
        <v>997674.3</v>
      </c>
      <c r="I40" s="11">
        <v>1.3665954194257736E-2</v>
      </c>
      <c r="J40" t="s">
        <v>83</v>
      </c>
    </row>
    <row r="41" spans="1:10" ht="14.5" x14ac:dyDescent="0.35">
      <c r="A41" s="14" t="s">
        <v>33</v>
      </c>
      <c r="B41" s="15">
        <v>0</v>
      </c>
      <c r="C41" s="16">
        <v>0</v>
      </c>
      <c r="D41" s="15">
        <v>0</v>
      </c>
      <c r="E41" s="16">
        <v>0</v>
      </c>
      <c r="F41" s="15">
        <v>0</v>
      </c>
      <c r="G41" s="16">
        <v>0</v>
      </c>
      <c r="H41" s="15">
        <v>0</v>
      </c>
      <c r="I41" s="16">
        <v>0</v>
      </c>
      <c r="J41" s="14" t="s">
        <v>34</v>
      </c>
    </row>
    <row r="42" spans="1:10" ht="14.5" x14ac:dyDescent="0.35">
      <c r="A42" t="s">
        <v>35</v>
      </c>
      <c r="B42" s="10">
        <v>0</v>
      </c>
      <c r="C42" s="11">
        <v>0</v>
      </c>
      <c r="D42" s="10">
        <v>0</v>
      </c>
      <c r="E42" s="11">
        <v>0</v>
      </c>
      <c r="F42" s="10">
        <v>0</v>
      </c>
      <c r="G42" s="11">
        <v>0</v>
      </c>
      <c r="H42" s="10">
        <v>0</v>
      </c>
      <c r="I42" s="11">
        <v>0</v>
      </c>
      <c r="J42" t="s">
        <v>36</v>
      </c>
    </row>
    <row r="43" spans="1:10" ht="14.5" x14ac:dyDescent="0.35">
      <c r="A43" s="14" t="s">
        <v>111</v>
      </c>
      <c r="B43" s="15">
        <v>0</v>
      </c>
      <c r="C43" s="16">
        <v>0</v>
      </c>
      <c r="D43" s="15">
        <v>0</v>
      </c>
      <c r="E43" s="16">
        <v>0</v>
      </c>
      <c r="F43" s="15">
        <v>0</v>
      </c>
      <c r="G43" s="16">
        <v>0</v>
      </c>
      <c r="H43" s="15">
        <v>0</v>
      </c>
      <c r="I43" s="16">
        <v>0</v>
      </c>
      <c r="J43" s="14" t="s">
        <v>112</v>
      </c>
    </row>
    <row r="44" spans="1:10" ht="14.5" x14ac:dyDescent="0.35">
      <c r="A44" t="s">
        <v>37</v>
      </c>
      <c r="B44" s="10">
        <v>240311</v>
      </c>
      <c r="C44" s="11">
        <v>3.2917347057815067E-3</v>
      </c>
      <c r="D44" s="10">
        <v>0</v>
      </c>
      <c r="E44" s="11">
        <v>0</v>
      </c>
      <c r="F44" s="10">
        <v>240311</v>
      </c>
      <c r="G44" s="11">
        <v>3.2917347057815067E-3</v>
      </c>
      <c r="H44" s="10">
        <v>240311</v>
      </c>
      <c r="I44" s="11">
        <v>3.2917347057815067E-3</v>
      </c>
      <c r="J44" t="s">
        <v>38</v>
      </c>
    </row>
    <row r="45" spans="1:10" ht="14.5" x14ac:dyDescent="0.35">
      <c r="A45" s="14" t="s">
        <v>39</v>
      </c>
      <c r="B45" s="15">
        <v>3057600</v>
      </c>
      <c r="C45" s="16">
        <v>4.188242750601319E-2</v>
      </c>
      <c r="D45" s="15">
        <v>0</v>
      </c>
      <c r="E45" s="16">
        <v>0</v>
      </c>
      <c r="F45" s="15">
        <v>3057600</v>
      </c>
      <c r="G45" s="16">
        <v>4.188242750601319E-2</v>
      </c>
      <c r="H45" s="15">
        <v>3057600</v>
      </c>
      <c r="I45" s="16">
        <v>4.188242750601319E-2</v>
      </c>
      <c r="J45" s="14" t="s">
        <v>40</v>
      </c>
    </row>
    <row r="46" spans="1:10" ht="14.5" x14ac:dyDescent="0.35">
      <c r="A46" t="s">
        <v>172</v>
      </c>
      <c r="B46" s="10">
        <v>0</v>
      </c>
      <c r="C46" s="11">
        <v>0</v>
      </c>
      <c r="D46" s="10">
        <v>0</v>
      </c>
      <c r="E46" s="11">
        <v>0</v>
      </c>
      <c r="F46" s="10">
        <v>0</v>
      </c>
      <c r="G46" s="11">
        <v>0</v>
      </c>
      <c r="H46" s="10">
        <v>0</v>
      </c>
      <c r="I46" s="11">
        <v>0</v>
      </c>
      <c r="J46" t="s">
        <v>173</v>
      </c>
    </row>
    <row r="47" spans="1:10" ht="14.5" x14ac:dyDescent="0.35">
      <c r="A47" s="14" t="s">
        <v>98</v>
      </c>
      <c r="B47" s="15">
        <v>545000</v>
      </c>
      <c r="C47" s="16">
        <v>7.4653071005943185E-3</v>
      </c>
      <c r="D47" s="15">
        <v>0</v>
      </c>
      <c r="E47" s="16">
        <v>0</v>
      </c>
      <c r="F47" s="15">
        <v>545000</v>
      </c>
      <c r="G47" s="16">
        <v>7.4653071005943185E-3</v>
      </c>
      <c r="H47" s="15">
        <v>545000</v>
      </c>
      <c r="I47" s="16">
        <v>7.4653071005943185E-3</v>
      </c>
      <c r="J47" s="14" t="s">
        <v>99</v>
      </c>
    </row>
    <row r="48" spans="1:10" ht="14.5" x14ac:dyDescent="0.35">
      <c r="A48" t="s">
        <v>41</v>
      </c>
      <c r="B48" s="10">
        <v>0</v>
      </c>
      <c r="C48" s="11">
        <v>0</v>
      </c>
      <c r="D48" s="10">
        <v>0</v>
      </c>
      <c r="E48" s="11">
        <v>0</v>
      </c>
      <c r="F48" s="10">
        <v>0</v>
      </c>
      <c r="G48" s="11">
        <v>0</v>
      </c>
      <c r="H48" s="10">
        <v>0</v>
      </c>
      <c r="I48" s="11">
        <v>0</v>
      </c>
      <c r="J48" t="s">
        <v>42</v>
      </c>
    </row>
    <row r="49" spans="1:10" ht="14.5" x14ac:dyDescent="0.35">
      <c r="A49" s="14" t="s">
        <v>140</v>
      </c>
      <c r="B49" s="15">
        <v>412000</v>
      </c>
      <c r="C49" s="16">
        <v>5.6434982118254299E-3</v>
      </c>
      <c r="D49" s="15">
        <v>0</v>
      </c>
      <c r="E49" s="16">
        <v>0</v>
      </c>
      <c r="F49" s="15">
        <v>412000</v>
      </c>
      <c r="G49" s="16">
        <v>5.6434982118254299E-3</v>
      </c>
      <c r="H49" s="15">
        <v>412000</v>
      </c>
      <c r="I49" s="16">
        <v>5.6434982118254299E-3</v>
      </c>
      <c r="J49" s="14" t="s">
        <v>141</v>
      </c>
    </row>
    <row r="50" spans="1:10" ht="14.5" x14ac:dyDescent="0.35">
      <c r="A50" t="s">
        <v>43</v>
      </c>
      <c r="B50" s="10">
        <v>243159.0956</v>
      </c>
      <c r="C50" s="11">
        <v>3.3307473815720593E-3</v>
      </c>
      <c r="D50" s="10">
        <v>0</v>
      </c>
      <c r="E50" s="11">
        <v>0</v>
      </c>
      <c r="F50" s="10">
        <v>243159.0956</v>
      </c>
      <c r="G50" s="11">
        <v>3.3307473815720593E-3</v>
      </c>
      <c r="H50" s="10">
        <v>243159.0956</v>
      </c>
      <c r="I50" s="11">
        <v>3.3307473815720593E-3</v>
      </c>
      <c r="J50" t="s">
        <v>24</v>
      </c>
    </row>
    <row r="51" spans="1:10" ht="14.5" x14ac:dyDescent="0.35">
      <c r="A51" s="14" t="s">
        <v>44</v>
      </c>
      <c r="B51" s="15">
        <v>4759531.68</v>
      </c>
      <c r="C51" s="16">
        <v>6.5195166323316706E-2</v>
      </c>
      <c r="D51" s="15">
        <v>0</v>
      </c>
      <c r="E51" s="16">
        <v>0</v>
      </c>
      <c r="F51" s="15">
        <v>4759531.68</v>
      </c>
      <c r="G51" s="16">
        <v>6.5195166323316706E-2</v>
      </c>
      <c r="H51" s="15">
        <v>4759531.68</v>
      </c>
      <c r="I51" s="16">
        <v>6.5195166323316706E-2</v>
      </c>
      <c r="J51" s="14" t="s">
        <v>28</v>
      </c>
    </row>
    <row r="52" spans="1:10" ht="14.5" x14ac:dyDescent="0.35">
      <c r="A52" t="s">
        <v>142</v>
      </c>
      <c r="B52" s="10">
        <v>217390.24755</v>
      </c>
      <c r="C52" s="11">
        <v>2.9777705663027003E-3</v>
      </c>
      <c r="D52" s="10">
        <v>0</v>
      </c>
      <c r="E52" s="11">
        <v>0</v>
      </c>
      <c r="F52" s="10">
        <v>217390.24755</v>
      </c>
      <c r="G52" s="11">
        <v>2.9777705663027003E-3</v>
      </c>
      <c r="H52" s="10">
        <v>217390.24755</v>
      </c>
      <c r="I52" s="11">
        <v>2.9777705663027003E-3</v>
      </c>
      <c r="J52" t="s">
        <v>21</v>
      </c>
    </row>
    <row r="53" spans="1:10" ht="14.5" x14ac:dyDescent="0.35">
      <c r="A53" s="14" t="s">
        <v>45</v>
      </c>
      <c r="B53" s="15">
        <v>1360.5183999999426</v>
      </c>
      <c r="C53" s="16">
        <v>1.8636124168823473E-5</v>
      </c>
      <c r="D53" s="15">
        <v>0</v>
      </c>
      <c r="E53" s="16">
        <v>0</v>
      </c>
      <c r="F53" s="15">
        <v>1360.5183999999426</v>
      </c>
      <c r="G53" s="16">
        <v>1.8636124168823473E-5</v>
      </c>
      <c r="H53" s="15">
        <v>1360.5183999999426</v>
      </c>
      <c r="I53" s="16">
        <v>1.8636124168823473E-5</v>
      </c>
      <c r="J53" s="14" t="s">
        <v>26</v>
      </c>
    </row>
    <row r="54" spans="1:10" ht="14.5" x14ac:dyDescent="0.35">
      <c r="A54" t="s">
        <v>143</v>
      </c>
      <c r="B54" s="10">
        <v>0</v>
      </c>
      <c r="C54" s="11">
        <v>0</v>
      </c>
      <c r="D54" s="10">
        <v>-23600</v>
      </c>
      <c r="E54" s="11">
        <v>-3.2326834417252461E-4</v>
      </c>
      <c r="F54" s="10">
        <v>-23600</v>
      </c>
      <c r="G54" s="11">
        <v>-3.2326834417252461E-4</v>
      </c>
      <c r="H54" s="10">
        <v>23600</v>
      </c>
      <c r="I54" s="11">
        <v>3.2326834417252461E-4</v>
      </c>
      <c r="J54" t="s">
        <v>144</v>
      </c>
    </row>
    <row r="55" spans="1:10" ht="14.5" x14ac:dyDescent="0.35">
      <c r="A55" s="14" t="s">
        <v>123</v>
      </c>
      <c r="B55" s="15">
        <v>0</v>
      </c>
      <c r="C55" s="16">
        <v>0</v>
      </c>
      <c r="D55" s="15">
        <v>0</v>
      </c>
      <c r="E55" s="16">
        <v>0</v>
      </c>
      <c r="F55" s="15">
        <v>0</v>
      </c>
      <c r="G55" s="16">
        <v>0</v>
      </c>
      <c r="H55" s="15">
        <v>0</v>
      </c>
      <c r="I55" s="16">
        <v>0</v>
      </c>
      <c r="J55" s="14" t="s">
        <v>124</v>
      </c>
    </row>
    <row r="56" spans="1:10" ht="14.5" x14ac:dyDescent="0.35">
      <c r="A56" t="s">
        <v>46</v>
      </c>
      <c r="B56" s="10">
        <v>0</v>
      </c>
      <c r="C56" s="11">
        <v>0</v>
      </c>
      <c r="D56" s="10">
        <v>0</v>
      </c>
      <c r="E56" s="11">
        <v>0</v>
      </c>
      <c r="F56" s="10">
        <v>0</v>
      </c>
      <c r="G56" s="11">
        <v>0</v>
      </c>
      <c r="H56" s="10">
        <v>0</v>
      </c>
      <c r="I56" s="11">
        <v>0</v>
      </c>
      <c r="J56" t="s">
        <v>47</v>
      </c>
    </row>
    <row r="57" spans="1:10" ht="14.5" x14ac:dyDescent="0.35">
      <c r="A57" s="14" t="s">
        <v>113</v>
      </c>
      <c r="B57" s="15">
        <v>690400</v>
      </c>
      <c r="C57" s="16">
        <v>9.4569688481657196E-3</v>
      </c>
      <c r="D57" s="15">
        <v>0</v>
      </c>
      <c r="E57" s="16">
        <v>0</v>
      </c>
      <c r="F57" s="15">
        <v>690400</v>
      </c>
      <c r="G57" s="16">
        <v>9.4569688481657196E-3</v>
      </c>
      <c r="H57" s="15">
        <v>690400</v>
      </c>
      <c r="I57" s="16">
        <v>9.4569688481657196E-3</v>
      </c>
      <c r="J57" s="14" t="s">
        <v>110</v>
      </c>
    </row>
    <row r="58" spans="1:10" ht="14.5" x14ac:dyDescent="0.35">
      <c r="A58" t="s">
        <v>188</v>
      </c>
      <c r="B58" s="10">
        <v>2272400</v>
      </c>
      <c r="C58" s="11">
        <v>3.112690615667987E-2</v>
      </c>
      <c r="D58" s="10">
        <v>0</v>
      </c>
      <c r="E58" s="11">
        <v>0</v>
      </c>
      <c r="F58" s="10">
        <v>2272400</v>
      </c>
      <c r="G58" s="11">
        <v>3.112690615667987E-2</v>
      </c>
      <c r="H58" s="10">
        <v>2272400</v>
      </c>
      <c r="I58" s="11">
        <v>3.112690615667987E-2</v>
      </c>
      <c r="J58" t="s">
        <v>189</v>
      </c>
    </row>
    <row r="59" spans="1:10" ht="14.5" x14ac:dyDescent="0.35">
      <c r="A59" s="14" t="s">
        <v>174</v>
      </c>
      <c r="B59" s="15">
        <v>1443508.7060799999</v>
      </c>
      <c r="C59" s="16">
        <v>1.9772909712419705E-2</v>
      </c>
      <c r="D59" s="15">
        <v>0</v>
      </c>
      <c r="E59" s="16">
        <v>0</v>
      </c>
      <c r="F59" s="15">
        <v>1443508.7060799999</v>
      </c>
      <c r="G59" s="16">
        <v>1.9772909712419705E-2</v>
      </c>
      <c r="H59" s="15">
        <v>1443508.7060799999</v>
      </c>
      <c r="I59" s="16">
        <v>1.9772909712419705E-2</v>
      </c>
      <c r="J59" s="14" t="s">
        <v>21</v>
      </c>
    </row>
    <row r="60" spans="1:10" ht="14.5" x14ac:dyDescent="0.35">
      <c r="A60" t="s">
        <v>48</v>
      </c>
      <c r="B60" s="10">
        <v>0</v>
      </c>
      <c r="C60" s="11">
        <v>0</v>
      </c>
      <c r="D60" s="10">
        <v>0</v>
      </c>
      <c r="E60" s="11">
        <v>0</v>
      </c>
      <c r="F60" s="10">
        <v>0</v>
      </c>
      <c r="G60" s="11">
        <v>0</v>
      </c>
      <c r="H60" s="10">
        <v>0</v>
      </c>
      <c r="I60" s="11">
        <v>0</v>
      </c>
      <c r="J60" t="s">
        <v>49</v>
      </c>
    </row>
    <row r="61" spans="1:10" ht="14.5" x14ac:dyDescent="0.35">
      <c r="A61" s="14" t="s">
        <v>50</v>
      </c>
      <c r="B61" s="15">
        <v>470360</v>
      </c>
      <c r="C61" s="16">
        <v>6.4429024730927407E-3</v>
      </c>
      <c r="D61" s="15">
        <v>0</v>
      </c>
      <c r="E61" s="16">
        <v>0</v>
      </c>
      <c r="F61" s="15">
        <v>470360</v>
      </c>
      <c r="G61" s="16">
        <v>6.4429024730927407E-3</v>
      </c>
      <c r="H61" s="15">
        <v>470360</v>
      </c>
      <c r="I61" s="16">
        <v>6.4429024730927407E-3</v>
      </c>
      <c r="J61" s="14" t="s">
        <v>51</v>
      </c>
    </row>
    <row r="62" spans="1:10" ht="14.5" x14ac:dyDescent="0.35">
      <c r="A62" t="s">
        <v>84</v>
      </c>
      <c r="B62" s="10">
        <v>4057977</v>
      </c>
      <c r="C62" s="11">
        <v>5.5585402774584278E-2</v>
      </c>
      <c r="D62" s="10">
        <v>0</v>
      </c>
      <c r="E62" s="11">
        <v>0</v>
      </c>
      <c r="F62" s="10">
        <v>4057977</v>
      </c>
      <c r="G62" s="11">
        <v>5.5585402774584278E-2</v>
      </c>
      <c r="H62" s="10">
        <v>4057977</v>
      </c>
      <c r="I62" s="11">
        <v>5.5585402774584278E-2</v>
      </c>
      <c r="J62" t="s">
        <v>85</v>
      </c>
    </row>
    <row r="63" spans="1:10" ht="14.5" x14ac:dyDescent="0.35">
      <c r="A63" s="14" t="s">
        <v>52</v>
      </c>
      <c r="B63" s="15">
        <v>217442.68</v>
      </c>
      <c r="C63" s="16">
        <v>2.978488776103226E-3</v>
      </c>
      <c r="D63" s="15">
        <v>0</v>
      </c>
      <c r="E63" s="16">
        <v>0</v>
      </c>
      <c r="F63" s="15">
        <v>217442.68</v>
      </c>
      <c r="G63" s="16">
        <v>2.978488776103226E-3</v>
      </c>
      <c r="H63" s="15">
        <v>217442.68</v>
      </c>
      <c r="I63" s="16">
        <v>2.978488776103226E-3</v>
      </c>
      <c r="J63" s="14" t="s">
        <v>21</v>
      </c>
    </row>
    <row r="64" spans="1:10" ht="14.5" x14ac:dyDescent="0.35">
      <c r="A64" t="s">
        <v>145</v>
      </c>
      <c r="B64" s="10">
        <v>33255.32</v>
      </c>
      <c r="C64" s="11">
        <v>4.555250945477729E-4</v>
      </c>
      <c r="D64" s="10">
        <v>0</v>
      </c>
      <c r="E64" s="11">
        <v>0</v>
      </c>
      <c r="F64" s="10">
        <v>33255.32</v>
      </c>
      <c r="G64" s="11">
        <v>4.555250945477729E-4</v>
      </c>
      <c r="H64" s="10">
        <v>33255.32</v>
      </c>
      <c r="I64" s="11">
        <v>4.555250945477729E-4</v>
      </c>
      <c r="J64" t="s">
        <v>146</v>
      </c>
    </row>
    <row r="65" spans="1:10" ht="14.5" x14ac:dyDescent="0.35">
      <c r="A65" s="14" t="s">
        <v>147</v>
      </c>
      <c r="B65" s="15">
        <v>299999.55624000001</v>
      </c>
      <c r="C65" s="16">
        <v>4.1093372795846178E-3</v>
      </c>
      <c r="D65" s="15">
        <v>0</v>
      </c>
      <c r="E65" s="16">
        <v>0</v>
      </c>
      <c r="F65" s="15">
        <v>299999.55624000001</v>
      </c>
      <c r="G65" s="16">
        <v>4.1093372795846178E-3</v>
      </c>
      <c r="H65" s="15">
        <v>299999.55624000001</v>
      </c>
      <c r="I65" s="16">
        <v>4.1093372795846178E-3</v>
      </c>
      <c r="J65" s="14" t="s">
        <v>21</v>
      </c>
    </row>
    <row r="66" spans="1:10" ht="14.5" x14ac:dyDescent="0.35">
      <c r="A66" t="s">
        <v>53</v>
      </c>
      <c r="B66" s="10">
        <v>913956.75</v>
      </c>
      <c r="C66" s="11">
        <v>1.2519207000754323E-2</v>
      </c>
      <c r="D66" s="10">
        <v>0</v>
      </c>
      <c r="E66" s="11">
        <v>0</v>
      </c>
      <c r="F66" s="10">
        <v>913956.75</v>
      </c>
      <c r="G66" s="11">
        <v>1.2519207000754323E-2</v>
      </c>
      <c r="H66" s="10">
        <v>913956.75</v>
      </c>
      <c r="I66" s="11">
        <v>1.2519207000754323E-2</v>
      </c>
      <c r="J66" t="s">
        <v>29</v>
      </c>
    </row>
    <row r="67" spans="1:10" ht="14.5" x14ac:dyDescent="0.35">
      <c r="A67" s="14" t="s">
        <v>88</v>
      </c>
      <c r="B67" s="15">
        <v>904800</v>
      </c>
      <c r="C67" s="16">
        <v>1.2393779568105943E-2</v>
      </c>
      <c r="D67" s="15">
        <v>0</v>
      </c>
      <c r="E67" s="16">
        <v>0</v>
      </c>
      <c r="F67" s="15">
        <v>904800</v>
      </c>
      <c r="G67" s="16">
        <v>1.2393779568105943E-2</v>
      </c>
      <c r="H67" s="15">
        <v>904800</v>
      </c>
      <c r="I67" s="16">
        <v>1.2393779568105943E-2</v>
      </c>
      <c r="J67" s="14" t="s">
        <v>89</v>
      </c>
    </row>
    <row r="68" spans="1:10" ht="14.5" x14ac:dyDescent="0.35">
      <c r="A68" t="s">
        <v>175</v>
      </c>
      <c r="B68" s="10">
        <v>0</v>
      </c>
      <c r="C68" s="11">
        <v>0</v>
      </c>
      <c r="D68" s="10">
        <v>0</v>
      </c>
      <c r="E68" s="11">
        <v>0</v>
      </c>
      <c r="F68" s="10">
        <v>0</v>
      </c>
      <c r="G68" s="11">
        <v>0</v>
      </c>
      <c r="H68" s="10">
        <v>0</v>
      </c>
      <c r="I68" s="11">
        <v>0</v>
      </c>
      <c r="J68" t="s">
        <v>120</v>
      </c>
    </row>
    <row r="69" spans="1:10" ht="14.5" x14ac:dyDescent="0.35">
      <c r="A69" s="14" t="s">
        <v>54</v>
      </c>
      <c r="B69" s="15">
        <v>0</v>
      </c>
      <c r="C69" s="16">
        <v>0</v>
      </c>
      <c r="D69" s="15">
        <v>-27699958</v>
      </c>
      <c r="E69" s="16">
        <v>-0.37942879475883373</v>
      </c>
      <c r="F69" s="15">
        <v>-27699958</v>
      </c>
      <c r="G69" s="16">
        <v>-0.37942879475883373</v>
      </c>
      <c r="H69" s="15">
        <v>27699958</v>
      </c>
      <c r="I69" s="16">
        <v>0.37942879475883373</v>
      </c>
      <c r="J69" s="14" t="s">
        <v>55</v>
      </c>
    </row>
    <row r="70" spans="1:10" ht="14.5" x14ac:dyDescent="0.35">
      <c r="A70" t="s">
        <v>56</v>
      </c>
      <c r="B70" s="10">
        <v>5264.52</v>
      </c>
      <c r="C70" s="11">
        <v>7.2112400985726248E-5</v>
      </c>
      <c r="D70" s="10">
        <v>0</v>
      </c>
      <c r="E70" s="11">
        <v>0</v>
      </c>
      <c r="F70" s="10">
        <v>5264.52</v>
      </c>
      <c r="G70" s="11">
        <v>7.2112400985726248E-5</v>
      </c>
      <c r="H70" s="10">
        <v>5264.52</v>
      </c>
      <c r="I70" s="11">
        <v>7.2112400985726248E-5</v>
      </c>
      <c r="J70" t="s">
        <v>21</v>
      </c>
    </row>
    <row r="71" spans="1:10" ht="14.5" x14ac:dyDescent="0.35">
      <c r="A71" s="14" t="s">
        <v>176</v>
      </c>
      <c r="B71" s="15">
        <v>0</v>
      </c>
      <c r="C71" s="16">
        <v>0</v>
      </c>
      <c r="D71" s="15">
        <v>0</v>
      </c>
      <c r="E71" s="16">
        <v>0</v>
      </c>
      <c r="F71" s="15">
        <v>0</v>
      </c>
      <c r="G71" s="16">
        <v>0</v>
      </c>
      <c r="H71" s="15">
        <v>0</v>
      </c>
      <c r="I71" s="16">
        <v>0</v>
      </c>
      <c r="J71" s="14" t="s">
        <v>57</v>
      </c>
    </row>
    <row r="72" spans="1:10" ht="14.5" x14ac:dyDescent="0.35">
      <c r="A72" t="s">
        <v>125</v>
      </c>
      <c r="B72" s="10">
        <v>232680</v>
      </c>
      <c r="C72" s="11">
        <v>3.1872067085619927E-3</v>
      </c>
      <c r="D72" s="10">
        <v>0</v>
      </c>
      <c r="E72" s="11">
        <v>0</v>
      </c>
      <c r="F72" s="10">
        <v>232680</v>
      </c>
      <c r="G72" s="11">
        <v>3.1872067085619927E-3</v>
      </c>
      <c r="H72" s="10">
        <v>232680</v>
      </c>
      <c r="I72" s="11">
        <v>3.1872067085619927E-3</v>
      </c>
      <c r="J72" t="s">
        <v>126</v>
      </c>
    </row>
    <row r="73" spans="1:10" ht="14.5" x14ac:dyDescent="0.35">
      <c r="A73" s="14" t="s">
        <v>58</v>
      </c>
      <c r="B73" s="15">
        <v>0</v>
      </c>
      <c r="C73" s="16">
        <v>0</v>
      </c>
      <c r="D73" s="15">
        <v>0</v>
      </c>
      <c r="E73" s="16">
        <v>0</v>
      </c>
      <c r="F73" s="15">
        <v>0</v>
      </c>
      <c r="G73" s="16">
        <v>0</v>
      </c>
      <c r="H73" s="15">
        <v>0</v>
      </c>
      <c r="I73" s="16">
        <v>0</v>
      </c>
      <c r="J73" s="14" t="s">
        <v>59</v>
      </c>
    </row>
    <row r="74" spans="1:10" ht="14.5" x14ac:dyDescent="0.35">
      <c r="A74" t="s">
        <v>100</v>
      </c>
      <c r="B74" s="10">
        <v>126646</v>
      </c>
      <c r="C74" s="11">
        <v>1.7347729964437948E-3</v>
      </c>
      <c r="D74" s="10">
        <v>0</v>
      </c>
      <c r="E74" s="11">
        <v>0</v>
      </c>
      <c r="F74" s="10">
        <v>126646</v>
      </c>
      <c r="G74" s="11">
        <v>1.7347729964437948E-3</v>
      </c>
      <c r="H74" s="10">
        <v>126646</v>
      </c>
      <c r="I74" s="11">
        <v>1.7347729964437948E-3</v>
      </c>
      <c r="J74" t="s">
        <v>21</v>
      </c>
    </row>
    <row r="75" spans="1:10" ht="14.5" x14ac:dyDescent="0.35">
      <c r="A75" s="14" t="s">
        <v>101</v>
      </c>
      <c r="B75" s="15">
        <v>120834</v>
      </c>
      <c r="C75" s="16">
        <v>1.6551613177857134E-3</v>
      </c>
      <c r="D75" s="15">
        <v>0</v>
      </c>
      <c r="E75" s="16">
        <v>0</v>
      </c>
      <c r="F75" s="15">
        <v>120834</v>
      </c>
      <c r="G75" s="16">
        <v>1.6551613177857134E-3</v>
      </c>
      <c r="H75" s="15">
        <v>120834</v>
      </c>
      <c r="I75" s="16">
        <v>1.6551613177857134E-3</v>
      </c>
      <c r="J75" s="14" t="s">
        <v>21</v>
      </c>
    </row>
    <row r="76" spans="1:10" ht="14.5" x14ac:dyDescent="0.35">
      <c r="A76" t="s">
        <v>102</v>
      </c>
      <c r="B76" s="10">
        <v>157417</v>
      </c>
      <c r="C76" s="11">
        <v>2.1562683446867078E-3</v>
      </c>
      <c r="D76" s="10">
        <v>0</v>
      </c>
      <c r="E76" s="11">
        <v>0</v>
      </c>
      <c r="F76" s="10">
        <v>157417</v>
      </c>
      <c r="G76" s="11">
        <v>2.1562683446867078E-3</v>
      </c>
      <c r="H76" s="10">
        <v>157417</v>
      </c>
      <c r="I76" s="11">
        <v>2.1562683446867078E-3</v>
      </c>
      <c r="J76" t="s">
        <v>21</v>
      </c>
    </row>
    <row r="77" spans="1:10" ht="14.5" x14ac:dyDescent="0.35">
      <c r="A77" s="14" t="s">
        <v>103</v>
      </c>
      <c r="B77" s="15">
        <v>184692.07260000001</v>
      </c>
      <c r="C77" s="16">
        <v>2.5298771394573604E-3</v>
      </c>
      <c r="D77" s="15">
        <v>0</v>
      </c>
      <c r="E77" s="16">
        <v>0</v>
      </c>
      <c r="F77" s="15">
        <v>184692.07260000001</v>
      </c>
      <c r="G77" s="16">
        <v>2.5298771394573604E-3</v>
      </c>
      <c r="H77" s="15">
        <v>184692.07260000001</v>
      </c>
      <c r="I77" s="16">
        <v>2.5298771394573604E-3</v>
      </c>
      <c r="J77" s="14" t="s">
        <v>104</v>
      </c>
    </row>
    <row r="78" spans="1:10" ht="14.5" x14ac:dyDescent="0.35">
      <c r="A78" t="s">
        <v>105</v>
      </c>
      <c r="B78" s="10">
        <v>264501.59820000001</v>
      </c>
      <c r="C78" s="11">
        <v>3.6230929525890008E-3</v>
      </c>
      <c r="D78" s="10">
        <v>0</v>
      </c>
      <c r="E78" s="11">
        <v>0</v>
      </c>
      <c r="F78" s="10">
        <v>264501.59820000001</v>
      </c>
      <c r="G78" s="11">
        <v>3.6230929525890008E-3</v>
      </c>
      <c r="H78" s="10">
        <v>264501.59820000001</v>
      </c>
      <c r="I78" s="11">
        <v>3.6230929525890008E-3</v>
      </c>
      <c r="J78" t="s">
        <v>21</v>
      </c>
    </row>
    <row r="79" spans="1:10" ht="14.5" x14ac:dyDescent="0.35">
      <c r="A79" s="14" t="s">
        <v>148</v>
      </c>
      <c r="B79" s="15">
        <v>0</v>
      </c>
      <c r="C79" s="16">
        <v>0</v>
      </c>
      <c r="D79" s="15">
        <v>0</v>
      </c>
      <c r="E79" s="16">
        <v>0</v>
      </c>
      <c r="F79" s="15">
        <v>0</v>
      </c>
      <c r="G79" s="16">
        <v>0</v>
      </c>
      <c r="H79" s="15">
        <v>0</v>
      </c>
      <c r="I79" s="16">
        <v>0</v>
      </c>
      <c r="J79" s="14" t="s">
        <v>149</v>
      </c>
    </row>
    <row r="80" spans="1:10" ht="14.5" x14ac:dyDescent="0.35">
      <c r="A80" t="s">
        <v>150</v>
      </c>
      <c r="B80" s="10">
        <v>0</v>
      </c>
      <c r="C80" s="11">
        <v>0</v>
      </c>
      <c r="D80" s="10">
        <v>0</v>
      </c>
      <c r="E80" s="11">
        <v>0</v>
      </c>
      <c r="F80" s="10">
        <v>0</v>
      </c>
      <c r="G80" s="11">
        <v>0</v>
      </c>
      <c r="H80" s="10">
        <v>0</v>
      </c>
      <c r="I80" s="11">
        <v>0</v>
      </c>
      <c r="J80" t="s">
        <v>151</v>
      </c>
    </row>
    <row r="81" spans="1:10" ht="14.5" x14ac:dyDescent="0.35">
      <c r="A81" s="14" t="s">
        <v>177</v>
      </c>
      <c r="B81" s="15">
        <v>901473.10581919912</v>
      </c>
      <c r="C81" s="16">
        <v>1.2348208399755745E-2</v>
      </c>
      <c r="D81" s="15">
        <v>0</v>
      </c>
      <c r="E81" s="16">
        <v>0</v>
      </c>
      <c r="F81" s="15">
        <v>901473.10581919912</v>
      </c>
      <c r="G81" s="16">
        <v>1.2348208399755745E-2</v>
      </c>
      <c r="H81" s="15">
        <v>901473.10581919912</v>
      </c>
      <c r="I81" s="16">
        <v>1.2348208399755745E-2</v>
      </c>
      <c r="J81" s="14" t="s">
        <v>109</v>
      </c>
    </row>
    <row r="82" spans="1:10" ht="14.5" x14ac:dyDescent="0.35">
      <c r="A82" t="s">
        <v>60</v>
      </c>
      <c r="B82" s="10">
        <v>0</v>
      </c>
      <c r="C82" s="11">
        <v>0</v>
      </c>
      <c r="D82" s="10">
        <v>-4404.4839470286261</v>
      </c>
      <c r="E82" s="11">
        <v>-6.0331789512305497E-5</v>
      </c>
      <c r="F82" s="10">
        <v>-4404.4839470286261</v>
      </c>
      <c r="G82" s="11">
        <v>-6.0331789512305497E-5</v>
      </c>
      <c r="H82" s="10">
        <v>4404.4839470286261</v>
      </c>
      <c r="I82" s="11">
        <v>6.0331789512305497E-5</v>
      </c>
      <c r="J82" t="s">
        <v>57</v>
      </c>
    </row>
    <row r="83" spans="1:10" ht="14.5" x14ac:dyDescent="0.35">
      <c r="A83" s="14" t="s">
        <v>190</v>
      </c>
      <c r="B83" s="15">
        <v>1261687.9466279158</v>
      </c>
      <c r="C83" s="16">
        <v>1.7282363278340634E-2</v>
      </c>
      <c r="D83" s="15">
        <v>0</v>
      </c>
      <c r="E83" s="16">
        <v>0</v>
      </c>
      <c r="F83" s="15">
        <v>1261687.9466279158</v>
      </c>
      <c r="G83" s="16">
        <v>1.7282363278340634E-2</v>
      </c>
      <c r="H83" s="15">
        <v>1261687.9466279158</v>
      </c>
      <c r="I83" s="16">
        <v>1.7282363278340634E-2</v>
      </c>
      <c r="J83" s="14" t="s">
        <v>191</v>
      </c>
    </row>
    <row r="84" spans="1:10" ht="14.5" x14ac:dyDescent="0.35">
      <c r="A84" t="s">
        <v>192</v>
      </c>
      <c r="B84" s="10">
        <v>0</v>
      </c>
      <c r="C84" s="11">
        <v>0</v>
      </c>
      <c r="D84" s="10">
        <v>-5789666.2779551204</v>
      </c>
      <c r="E84" s="11">
        <v>-7.9305755550256582E-2</v>
      </c>
      <c r="F84" s="10">
        <v>-5789666.2779551204</v>
      </c>
      <c r="G84" s="11">
        <v>-7.9305755550256582E-2</v>
      </c>
      <c r="H84" s="10">
        <v>5789666.2779551204</v>
      </c>
      <c r="I84" s="11">
        <v>7.9305755550256582E-2</v>
      </c>
      <c r="J84" t="s">
        <v>191</v>
      </c>
    </row>
    <row r="85" spans="1:10" ht="14.5" x14ac:dyDescent="0.35">
      <c r="A85" s="14" t="s">
        <v>193</v>
      </c>
      <c r="B85" s="15">
        <v>613010.05782264611</v>
      </c>
      <c r="C85" s="16">
        <v>8.3968960319250156E-3</v>
      </c>
      <c r="D85" s="15">
        <v>0</v>
      </c>
      <c r="E85" s="16">
        <v>0</v>
      </c>
      <c r="F85" s="15">
        <v>613010.05782264611</v>
      </c>
      <c r="G85" s="16">
        <v>8.3968960319250156E-3</v>
      </c>
      <c r="H85" s="15">
        <v>613010.05782264611</v>
      </c>
      <c r="I85" s="16">
        <v>8.3968960319250156E-3</v>
      </c>
      <c r="J85" s="14" t="s">
        <v>137</v>
      </c>
    </row>
    <row r="86" spans="1:10" ht="14.5" x14ac:dyDescent="0.35">
      <c r="A86" t="s">
        <v>194</v>
      </c>
      <c r="B86" s="10">
        <v>0</v>
      </c>
      <c r="C86" s="11">
        <v>0</v>
      </c>
      <c r="D86" s="10">
        <v>-5041686.5585750202</v>
      </c>
      <c r="E86" s="11">
        <v>-6.9060070577433089E-2</v>
      </c>
      <c r="F86" s="10">
        <v>-5041686.5585750202</v>
      </c>
      <c r="G86" s="11">
        <v>-6.9060070577433089E-2</v>
      </c>
      <c r="H86" s="10">
        <v>5041686.5585750202</v>
      </c>
      <c r="I86" s="11">
        <v>6.9060070577433089E-2</v>
      </c>
      <c r="J86" t="s">
        <v>137</v>
      </c>
    </row>
    <row r="87" spans="1:10" ht="14.5" x14ac:dyDescent="0.35">
      <c r="A87" s="14" t="s">
        <v>178</v>
      </c>
      <c r="B87" s="15">
        <v>0</v>
      </c>
      <c r="C87" s="16">
        <v>0</v>
      </c>
      <c r="D87" s="15">
        <v>-46014.488442446782</v>
      </c>
      <c r="E87" s="16">
        <v>-6.3029777486167541E-4</v>
      </c>
      <c r="F87" s="15">
        <v>-46014.488442446782</v>
      </c>
      <c r="G87" s="16">
        <v>-6.3029777486167541E-4</v>
      </c>
      <c r="H87" s="15">
        <v>46014.488442446782</v>
      </c>
      <c r="I87" s="16">
        <v>6.3029777486167541E-4</v>
      </c>
      <c r="J87" s="14" t="s">
        <v>71</v>
      </c>
    </row>
    <row r="88" spans="1:10" ht="14.5" x14ac:dyDescent="0.35">
      <c r="A88" t="s">
        <v>152</v>
      </c>
      <c r="B88" s="10">
        <v>105540.40223360062</v>
      </c>
      <c r="C88" s="11">
        <v>1.445672503108402E-3</v>
      </c>
      <c r="D88" s="10">
        <v>0</v>
      </c>
      <c r="E88" s="11">
        <v>0</v>
      </c>
      <c r="F88" s="10">
        <v>105540.40223360062</v>
      </c>
      <c r="G88" s="11">
        <v>1.445672503108402E-3</v>
      </c>
      <c r="H88" s="10">
        <v>105540.40223360062</v>
      </c>
      <c r="I88" s="11">
        <v>1.445672503108402E-3</v>
      </c>
      <c r="J88" t="s">
        <v>75</v>
      </c>
    </row>
    <row r="89" spans="1:10" ht="14.5" x14ac:dyDescent="0.35">
      <c r="A89" s="14" t="s">
        <v>61</v>
      </c>
      <c r="B89" s="15">
        <v>771262.08</v>
      </c>
      <c r="C89" s="16">
        <v>1.0564602352739712E-2</v>
      </c>
      <c r="D89" s="15">
        <v>0</v>
      </c>
      <c r="E89" s="16">
        <v>0</v>
      </c>
      <c r="F89" s="15">
        <v>771262.08</v>
      </c>
      <c r="G89" s="16">
        <v>1.0564602352739712E-2</v>
      </c>
      <c r="H89" s="15">
        <v>771262.08</v>
      </c>
      <c r="I89" s="16">
        <v>1.0564602352739712E-2</v>
      </c>
      <c r="J89" s="14" t="s">
        <v>62</v>
      </c>
    </row>
    <row r="90" spans="1:10" ht="14.5" x14ac:dyDescent="0.35">
      <c r="A90" t="s">
        <v>153</v>
      </c>
      <c r="B90" s="10">
        <v>0</v>
      </c>
      <c r="C90" s="11">
        <v>0</v>
      </c>
      <c r="D90" s="10">
        <v>0</v>
      </c>
      <c r="E90" s="11">
        <v>0</v>
      </c>
      <c r="F90" s="10">
        <v>0</v>
      </c>
      <c r="G90" s="11">
        <v>0</v>
      </c>
      <c r="H90" s="10">
        <v>0</v>
      </c>
      <c r="I90" s="11">
        <v>0</v>
      </c>
      <c r="J90" t="s">
        <v>154</v>
      </c>
    </row>
    <row r="91" spans="1:10" ht="14.5" x14ac:dyDescent="0.35">
      <c r="A91" s="14" t="s">
        <v>155</v>
      </c>
      <c r="B91" s="15">
        <v>0</v>
      </c>
      <c r="C91" s="16">
        <v>0</v>
      </c>
      <c r="D91" s="15">
        <v>0</v>
      </c>
      <c r="E91" s="16">
        <v>0</v>
      </c>
      <c r="F91" s="15">
        <v>0</v>
      </c>
      <c r="G91" s="16">
        <v>0</v>
      </c>
      <c r="H91" s="15">
        <v>0</v>
      </c>
      <c r="I91" s="16">
        <v>0</v>
      </c>
      <c r="J91" s="14" t="s">
        <v>156</v>
      </c>
    </row>
    <row r="92" spans="1:10" ht="14.5" x14ac:dyDescent="0.35">
      <c r="A92" t="s">
        <v>63</v>
      </c>
      <c r="B92" s="10">
        <v>720185.85886689997</v>
      </c>
      <c r="C92" s="11">
        <v>9.8649699191682306E-3</v>
      </c>
      <c r="D92" s="10">
        <v>0</v>
      </c>
      <c r="E92" s="11">
        <v>0</v>
      </c>
      <c r="F92" s="10">
        <v>720185.85886689997</v>
      </c>
      <c r="G92" s="11">
        <v>9.8649699191682306E-3</v>
      </c>
      <c r="H92" s="10">
        <v>720185.85886689997</v>
      </c>
      <c r="I92" s="11">
        <v>9.8649699191682306E-3</v>
      </c>
      <c r="J92" t="s">
        <v>21</v>
      </c>
    </row>
    <row r="93" spans="1:10" ht="14.5" x14ac:dyDescent="0.35">
      <c r="A93" s="14" t="s">
        <v>157</v>
      </c>
      <c r="B93" s="15">
        <v>753032</v>
      </c>
      <c r="C93" s="16">
        <v>1.0314890158852735E-2</v>
      </c>
      <c r="D93" s="15">
        <v>0</v>
      </c>
      <c r="E93" s="16">
        <v>0</v>
      </c>
      <c r="F93" s="15">
        <v>753032</v>
      </c>
      <c r="G93" s="16">
        <v>1.0314890158852735E-2</v>
      </c>
      <c r="H93" s="15">
        <v>753032</v>
      </c>
      <c r="I93" s="16">
        <v>1.0314890158852735E-2</v>
      </c>
      <c r="J93" s="14" t="s">
        <v>158</v>
      </c>
    </row>
    <row r="94" spans="1:10" ht="14.5" x14ac:dyDescent="0.35">
      <c r="A94" t="s">
        <v>65</v>
      </c>
      <c r="B94" s="10">
        <v>0</v>
      </c>
      <c r="C94" s="11">
        <v>0</v>
      </c>
      <c r="D94" s="10">
        <v>0</v>
      </c>
      <c r="E94" s="11">
        <v>0</v>
      </c>
      <c r="F94" s="10">
        <v>0</v>
      </c>
      <c r="G94" s="11">
        <v>0</v>
      </c>
      <c r="H94" s="10">
        <v>0</v>
      </c>
      <c r="I94" s="11">
        <v>0</v>
      </c>
      <c r="J94" t="s">
        <v>66</v>
      </c>
    </row>
    <row r="95" spans="1:10" ht="14.5" x14ac:dyDescent="0.35">
      <c r="A95" s="14" t="s">
        <v>67</v>
      </c>
      <c r="B95" s="15">
        <v>276619.2</v>
      </c>
      <c r="C95" s="16">
        <v>3.7890775741664584E-3</v>
      </c>
      <c r="D95" s="15">
        <v>0</v>
      </c>
      <c r="E95" s="16">
        <v>0</v>
      </c>
      <c r="F95" s="15">
        <v>276619.2</v>
      </c>
      <c r="G95" s="16">
        <v>3.7890775741664584E-3</v>
      </c>
      <c r="H95" s="15">
        <v>276619.2</v>
      </c>
      <c r="I95" s="16">
        <v>3.7890775741664584E-3</v>
      </c>
      <c r="J95" s="14" t="s">
        <v>68</v>
      </c>
    </row>
    <row r="96" spans="1:10" ht="14.5" x14ac:dyDescent="0.35">
      <c r="A96" t="s">
        <v>114</v>
      </c>
      <c r="B96" s="10">
        <v>0</v>
      </c>
      <c r="C96" s="11">
        <v>0</v>
      </c>
      <c r="D96" s="10">
        <v>-650580</v>
      </c>
      <c r="E96" s="11">
        <v>-8.9115220064305539E-3</v>
      </c>
      <c r="F96" s="10">
        <v>-650580</v>
      </c>
      <c r="G96" s="11">
        <v>-8.9115220064305539E-3</v>
      </c>
      <c r="H96" s="10">
        <v>650580</v>
      </c>
      <c r="I96" s="11">
        <v>8.9115220064305539E-3</v>
      </c>
      <c r="J96" t="s">
        <v>115</v>
      </c>
    </row>
    <row r="97" spans="1:10" ht="14.5" x14ac:dyDescent="0.35">
      <c r="A97" s="14" t="s">
        <v>195</v>
      </c>
      <c r="B97" s="15">
        <v>0</v>
      </c>
      <c r="C97" s="16">
        <v>0</v>
      </c>
      <c r="D97" s="15">
        <v>0</v>
      </c>
      <c r="E97" s="16">
        <v>0</v>
      </c>
      <c r="F97" s="15">
        <v>0</v>
      </c>
      <c r="G97" s="16">
        <v>0</v>
      </c>
      <c r="H97" s="15">
        <v>0</v>
      </c>
      <c r="I97" s="16">
        <v>0</v>
      </c>
      <c r="J97" s="14" t="s">
        <v>42</v>
      </c>
    </row>
    <row r="98" spans="1:10" ht="14.5" x14ac:dyDescent="0.35">
      <c r="A98" t="s">
        <v>69</v>
      </c>
      <c r="B98" s="10">
        <v>0</v>
      </c>
      <c r="C98" s="11">
        <v>0</v>
      </c>
      <c r="D98" s="10">
        <v>-625934.29</v>
      </c>
      <c r="E98" s="11">
        <v>-8.5739297241146113E-3</v>
      </c>
      <c r="F98" s="10">
        <v>-625934.29</v>
      </c>
      <c r="G98" s="11">
        <v>-8.5739297241146113E-3</v>
      </c>
      <c r="H98" s="10">
        <v>625934.29</v>
      </c>
      <c r="I98" s="11">
        <v>8.5739297241146113E-3</v>
      </c>
      <c r="J98" t="s">
        <v>70</v>
      </c>
    </row>
    <row r="99" spans="1:10" ht="14.5" x14ac:dyDescent="0.35">
      <c r="A99" s="14" t="s">
        <v>196</v>
      </c>
      <c r="B99" s="15">
        <v>0</v>
      </c>
      <c r="C99" s="16">
        <v>0</v>
      </c>
      <c r="D99" s="15">
        <v>-3166156.1213683626</v>
      </c>
      <c r="E99" s="16">
        <v>-4.3369408760442943E-2</v>
      </c>
      <c r="F99" s="15">
        <v>-3166156.1213683626</v>
      </c>
      <c r="G99" s="16">
        <v>-4.3369408760442943E-2</v>
      </c>
      <c r="H99" s="15">
        <v>3166156.1213683626</v>
      </c>
      <c r="I99" s="16">
        <v>4.3369408760442943E-2</v>
      </c>
      <c r="J99" s="14" t="s">
        <v>197</v>
      </c>
    </row>
    <row r="100" spans="1:10" ht="14.5" x14ac:dyDescent="0.35">
      <c r="A100" t="s">
        <v>159</v>
      </c>
      <c r="B100" s="10">
        <v>0</v>
      </c>
      <c r="C100" s="11">
        <v>0</v>
      </c>
      <c r="D100" s="10">
        <v>-36134.910000000003</v>
      </c>
      <c r="E100" s="11">
        <v>-4.9496917468318659E-4</v>
      </c>
      <c r="F100" s="10">
        <v>-36134.910000000003</v>
      </c>
      <c r="G100" s="11">
        <v>-4.9496917468318659E-4</v>
      </c>
      <c r="H100" s="10">
        <v>36134.910000000003</v>
      </c>
      <c r="I100" s="11">
        <v>4.9496917468318659E-4</v>
      </c>
      <c r="J100" t="s">
        <v>160</v>
      </c>
    </row>
    <row r="101" spans="1:10" ht="14.5" x14ac:dyDescent="0.35">
      <c r="A101" s="14" t="s">
        <v>72</v>
      </c>
      <c r="B101" s="15">
        <v>1176000</v>
      </c>
      <c r="C101" s="16">
        <v>1.6108625963851226E-2</v>
      </c>
      <c r="D101" s="15">
        <v>0</v>
      </c>
      <c r="E101" s="16">
        <v>0</v>
      </c>
      <c r="F101" s="15">
        <v>1176000</v>
      </c>
      <c r="G101" s="16">
        <v>1.6108625963851226E-2</v>
      </c>
      <c r="H101" s="15">
        <v>1176000</v>
      </c>
      <c r="I101" s="16">
        <v>1.6108625963851226E-2</v>
      </c>
      <c r="J101" s="14" t="s">
        <v>73</v>
      </c>
    </row>
    <row r="102" spans="1:10" ht="14.5" x14ac:dyDescent="0.35">
      <c r="A102" t="s">
        <v>161</v>
      </c>
      <c r="B102" s="10">
        <v>0</v>
      </c>
      <c r="C102" s="11">
        <v>0</v>
      </c>
      <c r="D102" s="10">
        <v>-362235.51</v>
      </c>
      <c r="E102" s="11">
        <v>-4.9618336236521175E-3</v>
      </c>
      <c r="F102" s="10">
        <v>-362235.51</v>
      </c>
      <c r="G102" s="11">
        <v>-4.9618336236521175E-3</v>
      </c>
      <c r="H102" s="10">
        <v>362235.51</v>
      </c>
      <c r="I102" s="11">
        <v>4.9618336236521175E-3</v>
      </c>
      <c r="J102" t="s">
        <v>162</v>
      </c>
    </row>
    <row r="103" spans="1:10" ht="14.5" x14ac:dyDescent="0.35">
      <c r="A103" s="14" t="s">
        <v>74</v>
      </c>
      <c r="B103" s="15">
        <v>3321327.5</v>
      </c>
      <c r="C103" s="16">
        <v>4.5494917007613163E-2</v>
      </c>
      <c r="D103" s="15">
        <v>0</v>
      </c>
      <c r="E103" s="16">
        <v>0</v>
      </c>
      <c r="F103" s="15">
        <v>3321327.5</v>
      </c>
      <c r="G103" s="16">
        <v>4.5494917007613163E-2</v>
      </c>
      <c r="H103" s="15">
        <v>3321327.5</v>
      </c>
      <c r="I103" s="16">
        <v>4.5494917007613163E-2</v>
      </c>
      <c r="J103" s="14" t="s">
        <v>75</v>
      </c>
    </row>
    <row r="104" spans="1:10" ht="14.5" x14ac:dyDescent="0.35">
      <c r="A104" t="s">
        <v>7</v>
      </c>
      <c r="B104" s="10">
        <v>59658650.975496575</v>
      </c>
      <c r="C104" s="11">
        <v>0.81719293713624352</v>
      </c>
      <c r="D104" s="10">
        <v>-47733747.260306619</v>
      </c>
      <c r="E104" s="11">
        <v>-0.65384785754191133</v>
      </c>
      <c r="F104" s="10">
        <v>11924903.715189956</v>
      </c>
      <c r="G104" s="11">
        <v>0.16334507959433237</v>
      </c>
      <c r="H104" s="10">
        <v>107392398.2358032</v>
      </c>
      <c r="I104" s="11">
        <v>1.4710407946781547</v>
      </c>
      <c r="J104" t="s">
        <v>7</v>
      </c>
    </row>
    <row r="105" spans="1:10" ht="14.5" x14ac:dyDescent="0.35">
      <c r="A105" s="14"/>
      <c r="B105" s="15"/>
      <c r="C105" s="16"/>
      <c r="D105" s="15"/>
      <c r="E105" s="16"/>
      <c r="F105" s="15"/>
      <c r="G105" s="16"/>
      <c r="H105" s="15"/>
      <c r="I105" s="16"/>
      <c r="J105" s="14"/>
    </row>
    <row r="106" spans="1:10" ht="14.5" x14ac:dyDescent="0.35">
      <c r="A106"/>
      <c r="B106" s="10"/>
      <c r="C106" s="11"/>
      <c r="D106" s="10"/>
      <c r="E106" s="11"/>
      <c r="F106" s="10"/>
      <c r="G106" s="11"/>
      <c r="H106" s="10"/>
      <c r="I106" s="11"/>
      <c r="J106"/>
    </row>
    <row r="107" spans="1:10" ht="14.5" x14ac:dyDescent="0.35">
      <c r="A107" s="14"/>
      <c r="B107" s="15"/>
      <c r="C107" s="16"/>
      <c r="D107" s="15"/>
      <c r="E107" s="16"/>
      <c r="F107" s="15"/>
      <c r="G107" s="16"/>
      <c r="H107" s="15"/>
      <c r="I107" s="16"/>
      <c r="J107" s="14"/>
    </row>
    <row r="108" spans="1:10" ht="14.5" x14ac:dyDescent="0.35">
      <c r="A108"/>
      <c r="B108" s="10"/>
      <c r="C108" s="11"/>
      <c r="D108" s="10"/>
      <c r="E108" s="11"/>
      <c r="F108" s="10"/>
      <c r="G108" s="11"/>
      <c r="H108" s="10"/>
      <c r="I108" s="11"/>
      <c r="J108"/>
    </row>
    <row r="109" spans="1:10" ht="14.5" x14ac:dyDescent="0.35">
      <c r="A109" s="14"/>
      <c r="B109" s="15"/>
      <c r="C109" s="16"/>
      <c r="D109" s="15"/>
      <c r="E109" s="16"/>
      <c r="F109" s="15"/>
      <c r="G109" s="16"/>
      <c r="H109" s="15"/>
      <c r="I109" s="16"/>
      <c r="J109" s="14"/>
    </row>
    <row r="110" spans="1:10" ht="14.5" x14ac:dyDescent="0.35">
      <c r="A110"/>
      <c r="B110" s="10"/>
      <c r="C110" s="11"/>
      <c r="D110" s="10"/>
      <c r="E110" s="11"/>
      <c r="F110" s="10"/>
      <c r="G110" s="11"/>
      <c r="H110" s="10"/>
      <c r="I110" s="11"/>
      <c r="J110"/>
    </row>
    <row r="111" spans="1:10" ht="14.5" x14ac:dyDescent="0.35">
      <c r="A111" s="14"/>
      <c r="B111" s="15"/>
      <c r="C111" s="16"/>
      <c r="D111" s="15"/>
      <c r="E111" s="16"/>
      <c r="F111" s="15"/>
      <c r="G111" s="16"/>
      <c r="H111" s="15"/>
      <c r="I111" s="16"/>
      <c r="J111" s="14"/>
    </row>
    <row r="112" spans="1:10" ht="14.5" x14ac:dyDescent="0.35">
      <c r="A112"/>
      <c r="B112" s="10"/>
      <c r="C112" s="11"/>
      <c r="D112" s="10"/>
      <c r="E112" s="11"/>
      <c r="F112" s="10"/>
      <c r="G112" s="11"/>
      <c r="H112" s="10"/>
      <c r="I112" s="11"/>
      <c r="J112"/>
    </row>
    <row r="113" spans="1:10" ht="14.5" x14ac:dyDescent="0.35">
      <c r="A113" s="14"/>
      <c r="B113" s="15"/>
      <c r="C113" s="16"/>
      <c r="D113" s="15"/>
      <c r="E113" s="16"/>
      <c r="F113" s="15"/>
      <c r="G113" s="16"/>
      <c r="H113" s="15"/>
      <c r="I113" s="16"/>
      <c r="J113" s="14"/>
    </row>
    <row r="114" spans="1:10" ht="14.5" x14ac:dyDescent="0.35">
      <c r="A114"/>
      <c r="B114" s="10"/>
      <c r="C114" s="11"/>
      <c r="D114" s="10"/>
      <c r="E114" s="11"/>
      <c r="F114" s="10"/>
      <c r="G114" s="11"/>
      <c r="H114" s="10"/>
      <c r="I114" s="11"/>
      <c r="J114"/>
    </row>
    <row r="115" spans="1:10" ht="14.5" x14ac:dyDescent="0.35">
      <c r="A115" s="14"/>
      <c r="B115" s="15"/>
      <c r="C115" s="16"/>
      <c r="D115" s="15"/>
      <c r="E115" s="16"/>
      <c r="F115" s="15"/>
      <c r="G115" s="16"/>
      <c r="H115" s="15"/>
      <c r="I115" s="16"/>
      <c r="J115" s="14"/>
    </row>
    <row r="116" spans="1:10" ht="14.5" x14ac:dyDescent="0.35">
      <c r="A116"/>
      <c r="B116" s="10"/>
      <c r="C116" s="11"/>
      <c r="D116" s="10"/>
      <c r="E116" s="11"/>
      <c r="F116" s="10"/>
      <c r="G116" s="11"/>
      <c r="H116" s="10"/>
      <c r="I116" s="11"/>
      <c r="J116"/>
    </row>
    <row r="117" spans="1:10" ht="14.5" x14ac:dyDescent="0.35">
      <c r="A117" s="14"/>
      <c r="B117" s="15"/>
      <c r="C117" s="16"/>
      <c r="D117" s="15"/>
      <c r="E117" s="16"/>
      <c r="F117" s="15"/>
      <c r="G117" s="16"/>
      <c r="H117" s="15"/>
      <c r="I117" s="16"/>
      <c r="J117" s="14"/>
    </row>
    <row r="118" spans="1:10" ht="14.5" x14ac:dyDescent="0.35">
      <c r="A118"/>
      <c r="B118" s="10"/>
      <c r="C118" s="11"/>
      <c r="D118" s="10"/>
      <c r="E118" s="11"/>
      <c r="F118" s="10"/>
      <c r="G118" s="11"/>
      <c r="H118" s="10"/>
      <c r="I118" s="11"/>
      <c r="J118"/>
    </row>
    <row r="119" spans="1:10" ht="14.5" x14ac:dyDescent="0.35">
      <c r="A119" s="14"/>
      <c r="B119" s="15"/>
      <c r="C119" s="16"/>
      <c r="D119" s="15"/>
      <c r="E119" s="16"/>
      <c r="F119" s="15"/>
      <c r="G119" s="16"/>
      <c r="H119" s="15"/>
      <c r="I119" s="16"/>
      <c r="J119" s="14"/>
    </row>
    <row r="120" spans="1:10" ht="14.5" x14ac:dyDescent="0.35">
      <c r="A120"/>
      <c r="B120" s="10"/>
      <c r="C120" s="11"/>
      <c r="D120" s="10"/>
      <c r="E120" s="11"/>
      <c r="F120" s="10"/>
      <c r="G120" s="11"/>
      <c r="H120" s="10"/>
      <c r="I120" s="11"/>
      <c r="J120"/>
    </row>
    <row r="121" spans="1:10" ht="14.5" x14ac:dyDescent="0.35">
      <c r="A121" s="14"/>
      <c r="B121" s="15"/>
      <c r="C121" s="16"/>
      <c r="D121" s="15"/>
      <c r="E121" s="16"/>
      <c r="F121" s="15"/>
      <c r="G121" s="16"/>
      <c r="H121" s="15"/>
      <c r="I121" s="16"/>
      <c r="J121" s="14"/>
    </row>
    <row r="122" spans="1:10" ht="14.5" x14ac:dyDescent="0.35">
      <c r="A122"/>
      <c r="B122" s="10"/>
      <c r="C122" s="11"/>
      <c r="D122" s="10"/>
      <c r="E122" s="11"/>
      <c r="F122" s="10"/>
      <c r="G122" s="11"/>
      <c r="H122" s="10"/>
      <c r="I122" s="11"/>
      <c r="J122"/>
    </row>
    <row r="123" spans="1:10" ht="14.5" x14ac:dyDescent="0.35">
      <c r="A123" s="14"/>
      <c r="B123" s="15"/>
      <c r="C123" s="16"/>
      <c r="D123" s="15"/>
      <c r="E123" s="16"/>
      <c r="F123" s="15"/>
      <c r="G123" s="16"/>
      <c r="H123" s="15"/>
      <c r="I123" s="16"/>
      <c r="J123" s="14"/>
    </row>
    <row r="124" spans="1:10" ht="14.5" x14ac:dyDescent="0.35">
      <c r="A124"/>
      <c r="B124" s="10"/>
      <c r="C124" s="11"/>
      <c r="D124" s="10"/>
      <c r="E124" s="11"/>
      <c r="F124" s="10"/>
      <c r="G124" s="11"/>
      <c r="H124" s="10"/>
      <c r="I124" s="11"/>
      <c r="J124"/>
    </row>
    <row r="125" spans="1:10" ht="14.5" x14ac:dyDescent="0.35">
      <c r="A125" s="14"/>
      <c r="B125" s="15"/>
      <c r="C125" s="16"/>
      <c r="D125" s="15"/>
      <c r="E125" s="16"/>
      <c r="F125" s="15"/>
      <c r="G125" s="16"/>
      <c r="H125" s="15"/>
      <c r="I125" s="16"/>
      <c r="J125" s="14"/>
    </row>
    <row r="126" spans="1:10" ht="14.5" x14ac:dyDescent="0.35">
      <c r="A126"/>
      <c r="B126" s="10"/>
      <c r="C126" s="11"/>
      <c r="D126" s="10"/>
      <c r="E126" s="11"/>
      <c r="F126" s="10"/>
      <c r="G126" s="11"/>
      <c r="H126" s="10"/>
      <c r="I126" s="11"/>
      <c r="J126"/>
    </row>
    <row r="127" spans="1:10" ht="14.5" x14ac:dyDescent="0.35">
      <c r="A127" s="14"/>
      <c r="B127" s="15"/>
      <c r="C127" s="16"/>
      <c r="D127" s="15"/>
      <c r="E127" s="16"/>
      <c r="F127" s="15"/>
      <c r="G127" s="16"/>
      <c r="H127" s="15"/>
      <c r="I127" s="16"/>
      <c r="J127" s="14"/>
    </row>
    <row r="128" spans="1:10" ht="14.5" x14ac:dyDescent="0.35">
      <c r="A128"/>
      <c r="B128" s="10"/>
      <c r="C128" s="11"/>
      <c r="D128" s="10"/>
      <c r="E128" s="11"/>
      <c r="F128" s="10"/>
      <c r="G128" s="11"/>
      <c r="H128" s="10"/>
      <c r="I128" s="11"/>
      <c r="J128"/>
    </row>
    <row r="129" spans="1:10" ht="14.5" x14ac:dyDescent="0.35">
      <c r="A129" s="14"/>
      <c r="B129" s="15"/>
      <c r="C129" s="16"/>
      <c r="D129" s="15"/>
      <c r="E129" s="16"/>
      <c r="F129" s="15"/>
      <c r="G129" s="16"/>
      <c r="H129" s="15"/>
      <c r="I129" s="16"/>
      <c r="J129" s="14"/>
    </row>
    <row r="130" spans="1:10" ht="14.5" x14ac:dyDescent="0.35">
      <c r="A130"/>
      <c r="B130" s="10"/>
      <c r="C130" s="11"/>
      <c r="D130" s="10"/>
      <c r="E130" s="11"/>
      <c r="F130" s="10"/>
      <c r="G130" s="11"/>
      <c r="H130" s="10"/>
      <c r="I130" s="11"/>
      <c r="J130"/>
    </row>
    <row r="131" spans="1:10" ht="14.5" x14ac:dyDescent="0.35">
      <c r="A131" s="14"/>
      <c r="B131" s="15"/>
      <c r="C131" s="16"/>
      <c r="D131" s="15"/>
      <c r="E131" s="16"/>
      <c r="F131" s="15"/>
      <c r="G131" s="16"/>
      <c r="H131" s="15"/>
      <c r="I131" s="16"/>
      <c r="J131" s="14"/>
    </row>
    <row r="132" spans="1:10" ht="14.5" x14ac:dyDescent="0.35">
      <c r="A132"/>
      <c r="B132" s="10"/>
      <c r="C132" s="11"/>
      <c r="D132" s="10"/>
      <c r="E132" s="11"/>
      <c r="F132" s="10"/>
      <c r="G132" s="11"/>
      <c r="H132" s="10"/>
      <c r="I132" s="11"/>
      <c r="J132"/>
    </row>
    <row r="133" spans="1:10" ht="14.5" x14ac:dyDescent="0.35">
      <c r="A133" s="14"/>
      <c r="B133" s="15"/>
      <c r="C133" s="16"/>
      <c r="D133" s="15"/>
      <c r="E133" s="16"/>
      <c r="F133" s="15"/>
      <c r="G133" s="16"/>
      <c r="H133" s="15"/>
      <c r="I133" s="16"/>
      <c r="J133" s="14"/>
    </row>
    <row r="134" spans="1:10" ht="14.5" x14ac:dyDescent="0.35">
      <c r="A134"/>
      <c r="B134" s="10"/>
      <c r="C134" s="11"/>
      <c r="D134" s="10"/>
      <c r="E134" s="11"/>
      <c r="F134" s="10"/>
      <c r="G134" s="11"/>
      <c r="H134" s="10"/>
      <c r="I134" s="11"/>
      <c r="J13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E35ED-AE58-4908-9E09-A925F94AE151}">
  <sheetPr codeName="Sheet2"/>
  <dimension ref="A1:F80"/>
  <sheetViews>
    <sheetView zoomScale="91" zoomScaleNormal="91" workbookViewId="0"/>
  </sheetViews>
  <sheetFormatPr defaultColWidth="9.08984375" defaultRowHeight="13" x14ac:dyDescent="0.3"/>
  <cols>
    <col min="1" max="1" width="43.81640625" style="1" customWidth="1"/>
    <col min="2" max="6" width="31" style="5" customWidth="1"/>
    <col min="7" max="16384" width="9.08984375" style="1"/>
  </cols>
  <sheetData>
    <row r="1" spans="1:6" x14ac:dyDescent="0.3">
      <c r="A1" s="2" t="s">
        <v>7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</row>
    <row r="2" spans="1:6" x14ac:dyDescent="0.3">
      <c r="A2" s="1" t="s">
        <v>180</v>
      </c>
      <c r="B2" s="4">
        <v>0.81719293713624352</v>
      </c>
      <c r="C2" s="4">
        <v>-0.65384785754191133</v>
      </c>
      <c r="D2" s="4">
        <v>0.16334507959433237</v>
      </c>
      <c r="E2" s="4">
        <v>1.4710407946781547</v>
      </c>
      <c r="F2" s="5" t="s">
        <v>12</v>
      </c>
    </row>
    <row r="3" spans="1:6" x14ac:dyDescent="0.3">
      <c r="A3" s="1" t="s">
        <v>13</v>
      </c>
      <c r="B3" s="4">
        <v>5.9283742759928641E-2</v>
      </c>
      <c r="C3" s="4">
        <v>0</v>
      </c>
      <c r="D3" s="4">
        <v>5.9283742759928641E-2</v>
      </c>
      <c r="E3" s="4">
        <v>5.9283742759928641E-2</v>
      </c>
      <c r="F3" s="5" t="s">
        <v>14</v>
      </c>
    </row>
    <row r="4" spans="1:6" x14ac:dyDescent="0.3">
      <c r="A4" s="1" t="s">
        <v>127</v>
      </c>
      <c r="B4" s="5">
        <v>3.0879148366494018E-2</v>
      </c>
      <c r="C4" s="5">
        <v>0</v>
      </c>
      <c r="D4" s="5">
        <v>3.0879148366494018E-2</v>
      </c>
      <c r="E4" s="5">
        <v>3.0879148366494018E-2</v>
      </c>
      <c r="F4" s="5" t="s">
        <v>128</v>
      </c>
    </row>
    <row r="5" spans="1:6" x14ac:dyDescent="0.3">
      <c r="A5" s="1" t="s">
        <v>91</v>
      </c>
      <c r="B5" s="5">
        <v>4.7273885991873599E-2</v>
      </c>
      <c r="C5" s="5">
        <v>0</v>
      </c>
      <c r="D5" s="5">
        <v>4.7273885991873599E-2</v>
      </c>
      <c r="E5" s="5">
        <v>4.7273885991873599E-2</v>
      </c>
      <c r="F5" s="5" t="s">
        <v>92</v>
      </c>
    </row>
    <row r="6" spans="1:6" x14ac:dyDescent="0.3">
      <c r="A6" s="1" t="s">
        <v>166</v>
      </c>
      <c r="B6" s="5">
        <v>0</v>
      </c>
      <c r="C6" s="5">
        <v>-7.9008974965556009E-3</v>
      </c>
      <c r="D6" s="5">
        <v>-7.9008974965556009E-3</v>
      </c>
      <c r="E6" s="5">
        <v>7.9008974965556009E-3</v>
      </c>
      <c r="F6" s="5" t="s">
        <v>167</v>
      </c>
    </row>
    <row r="7" spans="1:6" x14ac:dyDescent="0.3">
      <c r="A7" s="1" t="s">
        <v>78</v>
      </c>
      <c r="B7" s="5">
        <v>0</v>
      </c>
      <c r="C7" s="5">
        <v>-1.0322670515610786E-2</v>
      </c>
      <c r="D7" s="5">
        <v>-1.0322670515610786E-2</v>
      </c>
      <c r="E7" s="5">
        <v>1.0322670515610786E-2</v>
      </c>
      <c r="F7" s="5" t="s">
        <v>79</v>
      </c>
    </row>
    <row r="8" spans="1:6" x14ac:dyDescent="0.3">
      <c r="A8" s="1" t="s">
        <v>15</v>
      </c>
      <c r="B8" s="5">
        <v>3.7230650824615331E-2</v>
      </c>
      <c r="C8" s="5">
        <v>0</v>
      </c>
      <c r="D8" s="5">
        <v>3.7230650824615331E-2</v>
      </c>
      <c r="E8" s="5">
        <v>3.7230650824615331E-2</v>
      </c>
      <c r="F8" s="5" t="s">
        <v>16</v>
      </c>
    </row>
    <row r="9" spans="1:6" x14ac:dyDescent="0.3">
      <c r="A9" s="1" t="s">
        <v>93</v>
      </c>
      <c r="B9" s="5">
        <v>3.6766979915706863E-2</v>
      </c>
      <c r="C9" s="5">
        <v>0</v>
      </c>
      <c r="D9" s="5">
        <v>3.6766979915706863E-2</v>
      </c>
      <c r="E9" s="5">
        <v>3.6766979915706863E-2</v>
      </c>
      <c r="F9" s="5" t="s">
        <v>94</v>
      </c>
    </row>
    <row r="10" spans="1:6" x14ac:dyDescent="0.3">
      <c r="A10" s="1" t="s">
        <v>19</v>
      </c>
      <c r="B10" s="5">
        <v>7.4615130808498732E-3</v>
      </c>
      <c r="C10" s="5">
        <v>0</v>
      </c>
      <c r="D10" s="5">
        <v>7.4615130808498732E-3</v>
      </c>
      <c r="E10" s="5">
        <v>7.4615130808498732E-3</v>
      </c>
      <c r="F10" s="5" t="s">
        <v>20</v>
      </c>
    </row>
    <row r="11" spans="1:6" x14ac:dyDescent="0.3">
      <c r="A11" s="1" t="s">
        <v>81</v>
      </c>
      <c r="B11" s="5">
        <v>6.4388270085310407E-3</v>
      </c>
      <c r="C11" s="5">
        <v>0</v>
      </c>
      <c r="D11" s="5">
        <v>6.4388270085310407E-3</v>
      </c>
      <c r="E11" s="5">
        <v>6.4388270085310407E-3</v>
      </c>
      <c r="F11" s="5" t="s">
        <v>32</v>
      </c>
    </row>
    <row r="12" spans="1:6" x14ac:dyDescent="0.3">
      <c r="A12" s="1" t="s">
        <v>106</v>
      </c>
      <c r="B12" s="5">
        <v>0</v>
      </c>
      <c r="C12" s="5">
        <v>-1.194723092318966E-2</v>
      </c>
      <c r="D12" s="5">
        <v>-1.194723092318966E-2</v>
      </c>
      <c r="E12" s="5">
        <v>1.194723092318966E-2</v>
      </c>
      <c r="F12" s="5" t="s">
        <v>107</v>
      </c>
    </row>
    <row r="13" spans="1:6" x14ac:dyDescent="0.3">
      <c r="A13" s="1" t="s">
        <v>108</v>
      </c>
      <c r="B13" s="5">
        <v>8.6290731396154068E-4</v>
      </c>
      <c r="C13" s="5">
        <v>0</v>
      </c>
      <c r="D13" s="5">
        <v>8.6290731396154068E-4</v>
      </c>
      <c r="E13" s="5">
        <v>8.6290731396154068E-4</v>
      </c>
      <c r="F13" s="5" t="s">
        <v>21</v>
      </c>
    </row>
    <row r="14" spans="1:6" x14ac:dyDescent="0.3">
      <c r="A14" s="1" t="s">
        <v>23</v>
      </c>
      <c r="B14" s="5">
        <v>1.0071420233189016E-3</v>
      </c>
      <c r="C14" s="5">
        <v>0</v>
      </c>
      <c r="D14" s="5">
        <v>1.0071420233189016E-3</v>
      </c>
      <c r="E14" s="5">
        <v>1.0071420233189016E-3</v>
      </c>
      <c r="F14" s="5" t="s">
        <v>24</v>
      </c>
    </row>
    <row r="15" spans="1:6" x14ac:dyDescent="0.3">
      <c r="A15" s="1" t="s">
        <v>25</v>
      </c>
      <c r="B15" s="5">
        <v>1.3970860408905909E-3</v>
      </c>
      <c r="C15" s="5">
        <v>0</v>
      </c>
      <c r="D15" s="5">
        <v>1.3970860408905909E-3</v>
      </c>
      <c r="E15" s="5">
        <v>1.3970860408905909E-3</v>
      </c>
      <c r="F15" s="5" t="s">
        <v>26</v>
      </c>
    </row>
    <row r="16" spans="1:6" x14ac:dyDescent="0.3">
      <c r="A16" s="1" t="s">
        <v>27</v>
      </c>
      <c r="B16" s="5">
        <v>7.5228379076080725E-5</v>
      </c>
      <c r="C16" s="5">
        <v>0</v>
      </c>
      <c r="D16" s="5">
        <v>7.5228379076080725E-5</v>
      </c>
      <c r="E16" s="5">
        <v>7.5228379076080725E-5</v>
      </c>
      <c r="F16" s="5" t="s">
        <v>21</v>
      </c>
    </row>
    <row r="17" spans="1:6" x14ac:dyDescent="0.3">
      <c r="A17" s="1" t="s">
        <v>95</v>
      </c>
      <c r="B17" s="5">
        <v>0</v>
      </c>
      <c r="C17" s="5">
        <v>-4.081735341095429E-4</v>
      </c>
      <c r="D17" s="5">
        <v>-4.081735341095429E-4</v>
      </c>
      <c r="E17" s="5">
        <v>4.081735341095429E-4</v>
      </c>
      <c r="F17" s="5" t="s">
        <v>96</v>
      </c>
    </row>
    <row r="18" spans="1:6" x14ac:dyDescent="0.3">
      <c r="A18" s="1" t="s">
        <v>182</v>
      </c>
      <c r="B18" s="5">
        <v>0</v>
      </c>
      <c r="C18" s="5">
        <v>-8.2375026128056808E-4</v>
      </c>
      <c r="D18" s="5">
        <v>-8.2375026128056808E-4</v>
      </c>
      <c r="E18" s="5">
        <v>8.2375026128056808E-4</v>
      </c>
      <c r="F18" s="5" t="s">
        <v>109</v>
      </c>
    </row>
    <row r="19" spans="1:6" x14ac:dyDescent="0.3">
      <c r="A19" s="1" t="s">
        <v>183</v>
      </c>
      <c r="B19" s="5">
        <v>3.9870072622705185E-3</v>
      </c>
      <c r="C19" s="5">
        <v>0</v>
      </c>
      <c r="D19" s="5">
        <v>3.9870072622705185E-3</v>
      </c>
      <c r="E19" s="5">
        <v>3.9870072622705185E-3</v>
      </c>
      <c r="F19" s="5" t="s">
        <v>109</v>
      </c>
    </row>
    <row r="20" spans="1:6" x14ac:dyDescent="0.3">
      <c r="A20" s="1" t="s">
        <v>168</v>
      </c>
      <c r="B20" s="5">
        <v>2.2779233413681196E-2</v>
      </c>
      <c r="C20" s="5">
        <v>0</v>
      </c>
      <c r="D20" s="5">
        <v>2.2779233413681196E-2</v>
      </c>
      <c r="E20" s="5">
        <v>2.2779233413681196E-2</v>
      </c>
      <c r="F20" s="5" t="s">
        <v>80</v>
      </c>
    </row>
    <row r="21" spans="1:6" x14ac:dyDescent="0.3">
      <c r="A21" s="1" t="s">
        <v>169</v>
      </c>
      <c r="B21" s="5">
        <v>0</v>
      </c>
      <c r="C21" s="5">
        <v>-1.1740704085315704E-2</v>
      </c>
      <c r="D21" s="5">
        <v>-1.1740704085315704E-2</v>
      </c>
      <c r="E21" s="5">
        <v>1.1740704085315704E-2</v>
      </c>
      <c r="F21" s="5" t="s">
        <v>80</v>
      </c>
    </row>
    <row r="22" spans="1:6" x14ac:dyDescent="0.3">
      <c r="A22" s="1" t="s">
        <v>97</v>
      </c>
      <c r="B22" s="5">
        <v>3.9425425121541032E-3</v>
      </c>
      <c r="C22" s="5">
        <v>0</v>
      </c>
      <c r="D22" s="5">
        <v>3.9425425121541032E-3</v>
      </c>
      <c r="E22" s="5">
        <v>3.9425425121541032E-3</v>
      </c>
      <c r="F22" s="5" t="s">
        <v>96</v>
      </c>
    </row>
    <row r="23" spans="1:6" x14ac:dyDescent="0.3">
      <c r="A23" s="1" t="s">
        <v>170</v>
      </c>
      <c r="B23" s="5">
        <v>3.0486899378153244E-3</v>
      </c>
      <c r="C23" s="5">
        <v>0</v>
      </c>
      <c r="D23" s="5">
        <v>3.0486899378153244E-3</v>
      </c>
      <c r="E23" s="5">
        <v>3.0486899378153244E-3</v>
      </c>
      <c r="F23" s="5" t="s">
        <v>64</v>
      </c>
    </row>
    <row r="24" spans="1:6" x14ac:dyDescent="0.3">
      <c r="A24" s="1" t="s">
        <v>171</v>
      </c>
      <c r="B24" s="5">
        <v>0</v>
      </c>
      <c r="C24" s="5">
        <v>-5.7819502020444672E-4</v>
      </c>
      <c r="D24" s="5">
        <v>-5.7819502020444672E-4</v>
      </c>
      <c r="E24" s="5">
        <v>5.7819502020444672E-4</v>
      </c>
      <c r="F24" s="5" t="s">
        <v>64</v>
      </c>
    </row>
    <row r="25" spans="1:6" x14ac:dyDescent="0.3">
      <c r="A25" s="1" t="s">
        <v>184</v>
      </c>
      <c r="B25" s="5">
        <v>0</v>
      </c>
      <c r="C25" s="5">
        <v>-2.3132380790973146E-3</v>
      </c>
      <c r="D25" s="5">
        <v>-2.3132380790973146E-3</v>
      </c>
      <c r="E25" s="5">
        <v>2.3132380790973146E-3</v>
      </c>
      <c r="F25" s="5" t="s">
        <v>90</v>
      </c>
    </row>
    <row r="26" spans="1:6" x14ac:dyDescent="0.3">
      <c r="A26" s="1" t="s">
        <v>185</v>
      </c>
      <c r="B26" s="5">
        <v>0</v>
      </c>
      <c r="C26" s="5">
        <v>-1.5931132419140432E-3</v>
      </c>
      <c r="D26" s="5">
        <v>-1.5931132419140432E-3</v>
      </c>
      <c r="E26" s="5">
        <v>1.5931132419140432E-3</v>
      </c>
      <c r="F26" s="5" t="s">
        <v>90</v>
      </c>
    </row>
    <row r="27" spans="1:6" x14ac:dyDescent="0.3">
      <c r="A27" s="1" t="s">
        <v>186</v>
      </c>
      <c r="B27" s="5">
        <v>3.4314852632223794E-2</v>
      </c>
      <c r="C27" s="5">
        <v>0</v>
      </c>
      <c r="D27" s="5">
        <v>3.4314852632223794E-2</v>
      </c>
      <c r="E27" s="5">
        <v>3.4314852632223794E-2</v>
      </c>
      <c r="F27" s="5" t="s">
        <v>90</v>
      </c>
    </row>
    <row r="28" spans="1:6" x14ac:dyDescent="0.3">
      <c r="A28" s="1" t="s">
        <v>138</v>
      </c>
      <c r="B28" s="5">
        <v>2.4256849206861453E-4</v>
      </c>
      <c r="C28" s="5">
        <v>0</v>
      </c>
      <c r="D28" s="5">
        <v>2.4256849206861453E-4</v>
      </c>
      <c r="E28" s="5">
        <v>2.4256849206861453E-4</v>
      </c>
      <c r="F28" s="5" t="s">
        <v>75</v>
      </c>
    </row>
    <row r="29" spans="1:6" x14ac:dyDescent="0.3">
      <c r="A29" s="1" t="s">
        <v>139</v>
      </c>
      <c r="B29" s="5">
        <v>0</v>
      </c>
      <c r="C29" s="5">
        <v>-2.3104256525515908E-5</v>
      </c>
      <c r="D29" s="5">
        <v>-2.3104256525515908E-5</v>
      </c>
      <c r="E29" s="5">
        <v>2.3104256525515908E-5</v>
      </c>
      <c r="F29" s="5" t="s">
        <v>75</v>
      </c>
    </row>
    <row r="30" spans="1:6" x14ac:dyDescent="0.3">
      <c r="A30" s="1" t="s">
        <v>86</v>
      </c>
      <c r="B30" s="5">
        <v>0</v>
      </c>
      <c r="C30" s="5">
        <v>-1.1076598043714843E-2</v>
      </c>
      <c r="D30" s="5">
        <v>-1.1076598043714843E-2</v>
      </c>
      <c r="E30" s="5">
        <v>1.1076598043714843E-2</v>
      </c>
      <c r="F30" s="5" t="s">
        <v>87</v>
      </c>
    </row>
    <row r="31" spans="1:6" x14ac:dyDescent="0.3">
      <c r="A31" s="1" t="s">
        <v>30</v>
      </c>
      <c r="B31" s="5">
        <v>6.5279107469158798E-2</v>
      </c>
      <c r="C31" s="5">
        <v>0</v>
      </c>
      <c r="D31" s="5">
        <v>6.5279107469158798E-2</v>
      </c>
      <c r="E31" s="5">
        <v>6.5279107469158798E-2</v>
      </c>
      <c r="F31" s="5" t="s">
        <v>31</v>
      </c>
    </row>
    <row r="32" spans="1:6" x14ac:dyDescent="0.3">
      <c r="A32" s="1" t="s">
        <v>121</v>
      </c>
      <c r="B32" s="5">
        <v>6.0404388637224247E-3</v>
      </c>
      <c r="C32" s="5">
        <v>0</v>
      </c>
      <c r="D32" s="5">
        <v>6.0404388637224247E-3</v>
      </c>
      <c r="E32" s="5">
        <v>6.0404388637224247E-3</v>
      </c>
      <c r="F32" s="5" t="s">
        <v>122</v>
      </c>
    </row>
    <row r="33" spans="1:6" x14ac:dyDescent="0.3">
      <c r="A33" s="1" t="s">
        <v>82</v>
      </c>
      <c r="B33" s="5">
        <v>1.3665954194257736E-2</v>
      </c>
      <c r="C33" s="5">
        <v>0</v>
      </c>
      <c r="D33" s="5">
        <v>1.3665954194257736E-2</v>
      </c>
      <c r="E33" s="5">
        <v>1.3665954194257736E-2</v>
      </c>
      <c r="F33" s="5" t="s">
        <v>83</v>
      </c>
    </row>
    <row r="34" spans="1:6" x14ac:dyDescent="0.3">
      <c r="A34" s="1" t="s">
        <v>37</v>
      </c>
      <c r="B34" s="5">
        <v>3.2917347057815067E-3</v>
      </c>
      <c r="C34" s="5">
        <v>0</v>
      </c>
      <c r="D34" s="5">
        <v>3.2917347057815067E-3</v>
      </c>
      <c r="E34" s="5">
        <v>3.2917347057815067E-3</v>
      </c>
      <c r="F34" s="5" t="s">
        <v>38</v>
      </c>
    </row>
    <row r="35" spans="1:6" x14ac:dyDescent="0.3">
      <c r="A35" s="1" t="s">
        <v>39</v>
      </c>
      <c r="B35" s="5">
        <v>4.188242750601319E-2</v>
      </c>
      <c r="C35" s="5">
        <v>0</v>
      </c>
      <c r="D35" s="5">
        <v>4.188242750601319E-2</v>
      </c>
      <c r="E35" s="5">
        <v>4.188242750601319E-2</v>
      </c>
      <c r="F35" s="5" t="s">
        <v>40</v>
      </c>
    </row>
    <row r="36" spans="1:6" x14ac:dyDescent="0.3">
      <c r="A36" s="1" t="s">
        <v>98</v>
      </c>
      <c r="B36" s="5">
        <v>7.4653071005943185E-3</v>
      </c>
      <c r="C36" s="5">
        <v>0</v>
      </c>
      <c r="D36" s="5">
        <v>7.4653071005943185E-3</v>
      </c>
      <c r="E36" s="5">
        <v>7.4653071005943185E-3</v>
      </c>
      <c r="F36" s="5" t="s">
        <v>99</v>
      </c>
    </row>
    <row r="37" spans="1:6" x14ac:dyDescent="0.3">
      <c r="A37" s="1" t="s">
        <v>140</v>
      </c>
      <c r="B37" s="5">
        <v>5.6434982118254299E-3</v>
      </c>
      <c r="C37" s="5">
        <v>0</v>
      </c>
      <c r="D37" s="5">
        <v>5.6434982118254299E-3</v>
      </c>
      <c r="E37" s="5">
        <v>5.6434982118254299E-3</v>
      </c>
      <c r="F37" s="5" t="s">
        <v>141</v>
      </c>
    </row>
    <row r="38" spans="1:6" x14ac:dyDescent="0.3">
      <c r="A38" s="1" t="s">
        <v>43</v>
      </c>
      <c r="B38" s="5">
        <v>3.3307473815720593E-3</v>
      </c>
      <c r="C38" s="5">
        <v>0</v>
      </c>
      <c r="D38" s="5">
        <v>3.3307473815720593E-3</v>
      </c>
      <c r="E38" s="5">
        <v>3.3307473815720593E-3</v>
      </c>
      <c r="F38" s="5" t="s">
        <v>24</v>
      </c>
    </row>
    <row r="39" spans="1:6" x14ac:dyDescent="0.3">
      <c r="A39" s="1" t="s">
        <v>44</v>
      </c>
      <c r="B39" s="5">
        <v>6.5195166323316706E-2</v>
      </c>
      <c r="C39" s="5">
        <v>0</v>
      </c>
      <c r="D39" s="5">
        <v>6.5195166323316706E-2</v>
      </c>
      <c r="E39" s="5">
        <v>6.5195166323316706E-2</v>
      </c>
      <c r="F39" s="5" t="s">
        <v>28</v>
      </c>
    </row>
    <row r="40" spans="1:6" x14ac:dyDescent="0.3">
      <c r="A40" s="1" t="s">
        <v>142</v>
      </c>
      <c r="B40" s="5">
        <v>2.9777705663027003E-3</v>
      </c>
      <c r="C40" s="5">
        <v>0</v>
      </c>
      <c r="D40" s="5">
        <v>2.9777705663027003E-3</v>
      </c>
      <c r="E40" s="5">
        <v>2.9777705663027003E-3</v>
      </c>
      <c r="F40" s="5" t="s">
        <v>21</v>
      </c>
    </row>
    <row r="41" spans="1:6" x14ac:dyDescent="0.3">
      <c r="A41" s="1" t="s">
        <v>45</v>
      </c>
      <c r="B41" s="5">
        <v>1.8636124168823473E-5</v>
      </c>
      <c r="C41" s="5">
        <v>0</v>
      </c>
      <c r="D41" s="5">
        <v>1.8636124168823473E-5</v>
      </c>
      <c r="E41" s="5">
        <v>1.8636124168823473E-5</v>
      </c>
      <c r="F41" s="5" t="s">
        <v>26</v>
      </c>
    </row>
    <row r="42" spans="1:6" x14ac:dyDescent="0.3">
      <c r="A42" s="1" t="s">
        <v>143</v>
      </c>
      <c r="B42" s="5">
        <v>0</v>
      </c>
      <c r="C42" s="5">
        <v>-3.2326834417252461E-4</v>
      </c>
      <c r="D42" s="5">
        <v>-3.2326834417252461E-4</v>
      </c>
      <c r="E42" s="5">
        <v>3.2326834417252461E-4</v>
      </c>
      <c r="F42" s="5" t="s">
        <v>144</v>
      </c>
    </row>
    <row r="43" spans="1:6" x14ac:dyDescent="0.3">
      <c r="A43" s="1" t="s">
        <v>113</v>
      </c>
      <c r="B43" s="5">
        <v>9.4569688481657196E-3</v>
      </c>
      <c r="C43" s="5">
        <v>0</v>
      </c>
      <c r="D43" s="5">
        <v>9.4569688481657196E-3</v>
      </c>
      <c r="E43" s="5">
        <v>9.4569688481657196E-3</v>
      </c>
      <c r="F43" s="5" t="s">
        <v>110</v>
      </c>
    </row>
    <row r="44" spans="1:6" x14ac:dyDescent="0.3">
      <c r="A44" s="1" t="s">
        <v>188</v>
      </c>
      <c r="B44" s="5">
        <v>3.112690615667987E-2</v>
      </c>
      <c r="C44" s="5">
        <v>0</v>
      </c>
      <c r="D44" s="5">
        <v>3.112690615667987E-2</v>
      </c>
      <c r="E44" s="5">
        <v>3.112690615667987E-2</v>
      </c>
      <c r="F44" s="5" t="s">
        <v>189</v>
      </c>
    </row>
    <row r="45" spans="1:6" x14ac:dyDescent="0.3">
      <c r="A45" s="1" t="s">
        <v>174</v>
      </c>
      <c r="B45" s="5">
        <v>1.9772909712419705E-2</v>
      </c>
      <c r="C45" s="5">
        <v>0</v>
      </c>
      <c r="D45" s="5">
        <v>1.9772909712419705E-2</v>
      </c>
      <c r="E45" s="5">
        <v>1.9772909712419705E-2</v>
      </c>
      <c r="F45" s="5" t="s">
        <v>21</v>
      </c>
    </row>
    <row r="46" spans="1:6" x14ac:dyDescent="0.3">
      <c r="A46" s="1" t="s">
        <v>50</v>
      </c>
      <c r="B46" s="5">
        <v>6.4429024730927407E-3</v>
      </c>
      <c r="C46" s="5">
        <v>0</v>
      </c>
      <c r="D46" s="5">
        <v>6.4429024730927407E-3</v>
      </c>
      <c r="E46" s="5">
        <v>6.4429024730927407E-3</v>
      </c>
      <c r="F46" s="5" t="s">
        <v>51</v>
      </c>
    </row>
    <row r="47" spans="1:6" x14ac:dyDescent="0.3">
      <c r="A47" s="1" t="s">
        <v>84</v>
      </c>
      <c r="B47" s="5">
        <v>5.5585402774584278E-2</v>
      </c>
      <c r="C47" s="5">
        <v>0</v>
      </c>
      <c r="D47" s="5">
        <v>5.5585402774584278E-2</v>
      </c>
      <c r="E47" s="5">
        <v>5.5585402774584278E-2</v>
      </c>
      <c r="F47" s="5" t="s">
        <v>85</v>
      </c>
    </row>
    <row r="48" spans="1:6" x14ac:dyDescent="0.3">
      <c r="A48" s="1" t="s">
        <v>52</v>
      </c>
      <c r="B48" s="5">
        <v>2.978488776103226E-3</v>
      </c>
      <c r="C48" s="5">
        <v>0</v>
      </c>
      <c r="D48" s="5">
        <v>2.978488776103226E-3</v>
      </c>
      <c r="E48" s="5">
        <v>2.978488776103226E-3</v>
      </c>
      <c r="F48" s="5" t="s">
        <v>21</v>
      </c>
    </row>
    <row r="49" spans="1:6" x14ac:dyDescent="0.3">
      <c r="A49" s="1" t="s">
        <v>145</v>
      </c>
      <c r="B49" s="5">
        <v>4.555250945477729E-4</v>
      </c>
      <c r="C49" s="5">
        <v>0</v>
      </c>
      <c r="D49" s="5">
        <v>4.555250945477729E-4</v>
      </c>
      <c r="E49" s="5">
        <v>4.555250945477729E-4</v>
      </c>
      <c r="F49" s="5" t="s">
        <v>146</v>
      </c>
    </row>
    <row r="50" spans="1:6" x14ac:dyDescent="0.3">
      <c r="A50" s="1" t="s">
        <v>147</v>
      </c>
      <c r="B50" s="5">
        <v>4.1093372795846178E-3</v>
      </c>
      <c r="C50" s="5">
        <v>0</v>
      </c>
      <c r="D50" s="5">
        <v>4.1093372795846178E-3</v>
      </c>
      <c r="E50" s="5">
        <v>4.1093372795846178E-3</v>
      </c>
      <c r="F50" s="5" t="s">
        <v>21</v>
      </c>
    </row>
    <row r="51" spans="1:6" x14ac:dyDescent="0.3">
      <c r="A51" s="1" t="s">
        <v>53</v>
      </c>
      <c r="B51" s="5">
        <v>1.2519207000754323E-2</v>
      </c>
      <c r="C51" s="5">
        <v>0</v>
      </c>
      <c r="D51" s="5">
        <v>1.2519207000754323E-2</v>
      </c>
      <c r="E51" s="5">
        <v>1.2519207000754323E-2</v>
      </c>
      <c r="F51" s="5" t="s">
        <v>29</v>
      </c>
    </row>
    <row r="52" spans="1:6" x14ac:dyDescent="0.3">
      <c r="A52" s="1" t="s">
        <v>88</v>
      </c>
      <c r="B52" s="5">
        <v>1.2393779568105943E-2</v>
      </c>
      <c r="C52" s="5">
        <v>0</v>
      </c>
      <c r="D52" s="5">
        <v>1.2393779568105943E-2</v>
      </c>
      <c r="E52" s="5">
        <v>1.2393779568105943E-2</v>
      </c>
      <c r="F52" s="5" t="s">
        <v>89</v>
      </c>
    </row>
    <row r="53" spans="1:6" x14ac:dyDescent="0.3">
      <c r="A53" s="1" t="s">
        <v>54</v>
      </c>
      <c r="B53" s="5">
        <v>0</v>
      </c>
      <c r="C53" s="5">
        <v>-0.37942879475883373</v>
      </c>
      <c r="D53" s="5">
        <v>-0.37942879475883373</v>
      </c>
      <c r="E53" s="5">
        <v>0.37942879475883373</v>
      </c>
      <c r="F53" s="5" t="s">
        <v>55</v>
      </c>
    </row>
    <row r="54" spans="1:6" x14ac:dyDescent="0.3">
      <c r="A54" s="1" t="s">
        <v>56</v>
      </c>
      <c r="B54" s="5">
        <v>7.2112400985726248E-5</v>
      </c>
      <c r="C54" s="5">
        <v>0</v>
      </c>
      <c r="D54" s="5">
        <v>7.2112400985726248E-5</v>
      </c>
      <c r="E54" s="5">
        <v>7.2112400985726248E-5</v>
      </c>
      <c r="F54" s="5" t="s">
        <v>21</v>
      </c>
    </row>
    <row r="55" spans="1:6" x14ac:dyDescent="0.3">
      <c r="A55" s="1" t="s">
        <v>125</v>
      </c>
      <c r="B55" s="5">
        <v>3.1872067085619927E-3</v>
      </c>
      <c r="C55" s="5">
        <v>0</v>
      </c>
      <c r="D55" s="5">
        <v>3.1872067085619927E-3</v>
      </c>
      <c r="E55" s="5">
        <v>3.1872067085619927E-3</v>
      </c>
      <c r="F55" s="5" t="s">
        <v>126</v>
      </c>
    </row>
    <row r="56" spans="1:6" x14ac:dyDescent="0.3">
      <c r="A56" s="1" t="s">
        <v>100</v>
      </c>
      <c r="B56" s="5">
        <v>1.7347729964437948E-3</v>
      </c>
      <c r="C56" s="5">
        <v>0</v>
      </c>
      <c r="D56" s="5">
        <v>1.7347729964437948E-3</v>
      </c>
      <c r="E56" s="5">
        <v>1.7347729964437948E-3</v>
      </c>
      <c r="F56" s="5" t="s">
        <v>21</v>
      </c>
    </row>
    <row r="57" spans="1:6" x14ac:dyDescent="0.3">
      <c r="A57" s="1" t="s">
        <v>101</v>
      </c>
      <c r="B57" s="5">
        <v>1.6551613177857134E-3</v>
      </c>
      <c r="C57" s="5">
        <v>0</v>
      </c>
      <c r="D57" s="5">
        <v>1.6551613177857134E-3</v>
      </c>
      <c r="E57" s="5">
        <v>1.6551613177857134E-3</v>
      </c>
      <c r="F57" s="5" t="s">
        <v>21</v>
      </c>
    </row>
    <row r="58" spans="1:6" x14ac:dyDescent="0.3">
      <c r="A58" s="1" t="s">
        <v>102</v>
      </c>
      <c r="B58" s="5">
        <v>2.1562683446867078E-3</v>
      </c>
      <c r="C58" s="5">
        <v>0</v>
      </c>
      <c r="D58" s="5">
        <v>2.1562683446867078E-3</v>
      </c>
      <c r="E58" s="5">
        <v>2.1562683446867078E-3</v>
      </c>
      <c r="F58" s="5" t="s">
        <v>21</v>
      </c>
    </row>
    <row r="59" spans="1:6" x14ac:dyDescent="0.3">
      <c r="A59" s="1" t="s">
        <v>103</v>
      </c>
      <c r="B59" s="5">
        <v>2.5298771394573604E-3</v>
      </c>
      <c r="C59" s="5">
        <v>0</v>
      </c>
      <c r="D59" s="5">
        <v>2.5298771394573604E-3</v>
      </c>
      <c r="E59" s="5">
        <v>2.5298771394573604E-3</v>
      </c>
      <c r="F59" s="5" t="s">
        <v>104</v>
      </c>
    </row>
    <row r="60" spans="1:6" x14ac:dyDescent="0.3">
      <c r="A60" s="1" t="s">
        <v>105</v>
      </c>
      <c r="B60" s="5">
        <v>3.6230929525890008E-3</v>
      </c>
      <c r="C60" s="5">
        <v>0</v>
      </c>
      <c r="D60" s="5">
        <v>3.6230929525890008E-3</v>
      </c>
      <c r="E60" s="5">
        <v>3.6230929525890008E-3</v>
      </c>
      <c r="F60" s="5" t="s">
        <v>21</v>
      </c>
    </row>
    <row r="61" spans="1:6" x14ac:dyDescent="0.3">
      <c r="A61" s="1" t="s">
        <v>177</v>
      </c>
      <c r="B61" s="5">
        <v>1.2348208399755745E-2</v>
      </c>
      <c r="C61" s="5">
        <v>0</v>
      </c>
      <c r="D61" s="5">
        <v>1.2348208399755745E-2</v>
      </c>
      <c r="E61" s="5">
        <v>1.2348208399755745E-2</v>
      </c>
      <c r="F61" s="5" t="s">
        <v>109</v>
      </c>
    </row>
    <row r="62" spans="1:6" x14ac:dyDescent="0.3">
      <c r="A62" s="1" t="s">
        <v>60</v>
      </c>
      <c r="B62" s="5">
        <v>0</v>
      </c>
      <c r="C62" s="5">
        <v>-6.0331789512305497E-5</v>
      </c>
      <c r="D62" s="5">
        <v>-6.0331789512305497E-5</v>
      </c>
      <c r="E62" s="5">
        <v>6.0331789512305497E-5</v>
      </c>
      <c r="F62" s="5" t="s">
        <v>57</v>
      </c>
    </row>
    <row r="63" spans="1:6" x14ac:dyDescent="0.3">
      <c r="A63" s="1" t="s">
        <v>190</v>
      </c>
      <c r="B63" s="5">
        <v>1.7282363278340634E-2</v>
      </c>
      <c r="C63" s="5">
        <v>0</v>
      </c>
      <c r="D63" s="5">
        <v>1.7282363278340634E-2</v>
      </c>
      <c r="E63" s="5">
        <v>1.7282363278340634E-2</v>
      </c>
      <c r="F63" s="5" t="s">
        <v>191</v>
      </c>
    </row>
    <row r="64" spans="1:6" x14ac:dyDescent="0.3">
      <c r="A64" s="1" t="s">
        <v>192</v>
      </c>
      <c r="B64" s="5">
        <v>0</v>
      </c>
      <c r="C64" s="5">
        <v>-7.9305755550256582E-2</v>
      </c>
      <c r="D64" s="5">
        <v>-7.9305755550256582E-2</v>
      </c>
      <c r="E64" s="5">
        <v>7.9305755550256582E-2</v>
      </c>
      <c r="F64" s="5" t="s">
        <v>191</v>
      </c>
    </row>
    <row r="65" spans="1:6" x14ac:dyDescent="0.3">
      <c r="A65" s="1" t="s">
        <v>193</v>
      </c>
      <c r="B65" s="5">
        <v>8.3968960319250156E-3</v>
      </c>
      <c r="C65" s="5">
        <v>0</v>
      </c>
      <c r="D65" s="5">
        <v>8.3968960319250156E-3</v>
      </c>
      <c r="E65" s="5">
        <v>8.3968960319250156E-3</v>
      </c>
      <c r="F65" s="5" t="s">
        <v>137</v>
      </c>
    </row>
    <row r="66" spans="1:6" x14ac:dyDescent="0.3">
      <c r="A66" s="1" t="s">
        <v>194</v>
      </c>
      <c r="B66" s="5">
        <v>0</v>
      </c>
      <c r="C66" s="5">
        <v>-6.9060070577433089E-2</v>
      </c>
      <c r="D66" s="5">
        <v>-6.9060070577433089E-2</v>
      </c>
      <c r="E66" s="5">
        <v>6.9060070577433089E-2</v>
      </c>
      <c r="F66" s="5" t="s">
        <v>137</v>
      </c>
    </row>
    <row r="67" spans="1:6" x14ac:dyDescent="0.3">
      <c r="A67" s="1" t="s">
        <v>178</v>
      </c>
      <c r="B67" s="5">
        <v>0</v>
      </c>
      <c r="C67" s="5">
        <v>-6.3029777486167541E-4</v>
      </c>
      <c r="D67" s="5">
        <v>-6.3029777486167541E-4</v>
      </c>
      <c r="E67" s="5">
        <v>6.3029777486167541E-4</v>
      </c>
      <c r="F67" s="5" t="s">
        <v>71</v>
      </c>
    </row>
    <row r="68" spans="1:6" x14ac:dyDescent="0.3">
      <c r="A68" s="1" t="s">
        <v>152</v>
      </c>
      <c r="B68" s="5">
        <v>1.445672503108402E-3</v>
      </c>
      <c r="C68" s="5">
        <v>0</v>
      </c>
      <c r="D68" s="5">
        <v>1.445672503108402E-3</v>
      </c>
      <c r="E68" s="5">
        <v>1.445672503108402E-3</v>
      </c>
      <c r="F68" s="5" t="s">
        <v>75</v>
      </c>
    </row>
    <row r="69" spans="1:6" x14ac:dyDescent="0.3">
      <c r="A69" s="1" t="s">
        <v>61</v>
      </c>
      <c r="B69" s="5">
        <v>1.0564602352739712E-2</v>
      </c>
      <c r="C69" s="5">
        <v>0</v>
      </c>
      <c r="D69" s="5">
        <v>1.0564602352739712E-2</v>
      </c>
      <c r="E69" s="5">
        <v>1.0564602352739712E-2</v>
      </c>
      <c r="F69" s="5" t="s">
        <v>62</v>
      </c>
    </row>
    <row r="70" spans="1:6" x14ac:dyDescent="0.3">
      <c r="A70" s="1" t="s">
        <v>63</v>
      </c>
      <c r="B70" s="5">
        <v>9.8649699191682306E-3</v>
      </c>
      <c r="C70" s="5">
        <v>0</v>
      </c>
      <c r="D70" s="5">
        <v>9.8649699191682306E-3</v>
      </c>
      <c r="E70" s="5">
        <v>9.8649699191682306E-3</v>
      </c>
      <c r="F70" s="5" t="s">
        <v>21</v>
      </c>
    </row>
    <row r="71" spans="1:6" x14ac:dyDescent="0.3">
      <c r="A71" s="1" t="s">
        <v>157</v>
      </c>
      <c r="B71" s="5">
        <v>1.0314890158852735E-2</v>
      </c>
      <c r="C71" s="5">
        <v>0</v>
      </c>
      <c r="D71" s="5">
        <v>1.0314890158852735E-2</v>
      </c>
      <c r="E71" s="5">
        <v>1.0314890158852735E-2</v>
      </c>
      <c r="F71" s="5" t="s">
        <v>158</v>
      </c>
    </row>
    <row r="72" spans="1:6" x14ac:dyDescent="0.3">
      <c r="A72" s="1" t="s">
        <v>67</v>
      </c>
      <c r="B72" s="5">
        <v>3.7890775741664584E-3</v>
      </c>
      <c r="C72" s="5">
        <v>0</v>
      </c>
      <c r="D72" s="5">
        <v>3.7890775741664584E-3</v>
      </c>
      <c r="E72" s="5">
        <v>3.7890775741664584E-3</v>
      </c>
      <c r="F72" s="5" t="s">
        <v>68</v>
      </c>
    </row>
    <row r="73" spans="1:6" x14ac:dyDescent="0.3">
      <c r="A73" s="1" t="s">
        <v>114</v>
      </c>
      <c r="B73" s="5">
        <v>0</v>
      </c>
      <c r="C73" s="5">
        <v>-8.9115220064305539E-3</v>
      </c>
      <c r="D73" s="5">
        <v>-8.9115220064305539E-3</v>
      </c>
      <c r="E73" s="5">
        <v>8.9115220064305539E-3</v>
      </c>
      <c r="F73" s="5" t="s">
        <v>115</v>
      </c>
    </row>
    <row r="74" spans="1:6" x14ac:dyDescent="0.3">
      <c r="A74" s="1" t="s">
        <v>69</v>
      </c>
      <c r="B74" s="5">
        <v>0</v>
      </c>
      <c r="C74" s="5">
        <v>-8.5739297241146113E-3</v>
      </c>
      <c r="D74" s="5">
        <v>-8.5739297241146113E-3</v>
      </c>
      <c r="E74" s="5">
        <v>8.5739297241146113E-3</v>
      </c>
      <c r="F74" s="5" t="s">
        <v>70</v>
      </c>
    </row>
    <row r="75" spans="1:6" x14ac:dyDescent="0.3">
      <c r="A75" s="1" t="s">
        <v>196</v>
      </c>
      <c r="B75" s="5">
        <v>0</v>
      </c>
      <c r="C75" s="5">
        <v>-4.3369408760442943E-2</v>
      </c>
      <c r="D75" s="5">
        <v>-4.3369408760442943E-2</v>
      </c>
      <c r="E75" s="5">
        <v>4.3369408760442943E-2</v>
      </c>
      <c r="F75" s="5" t="s">
        <v>197</v>
      </c>
    </row>
    <row r="76" spans="1:6" x14ac:dyDescent="0.3">
      <c r="A76" s="1" t="s">
        <v>159</v>
      </c>
      <c r="B76" s="5">
        <v>0</v>
      </c>
      <c r="C76" s="5">
        <v>-4.9496917468318659E-4</v>
      </c>
      <c r="D76" s="5">
        <v>-4.9496917468318659E-4</v>
      </c>
      <c r="E76" s="5">
        <v>4.9496917468318659E-4</v>
      </c>
      <c r="F76" s="5" t="s">
        <v>160</v>
      </c>
    </row>
    <row r="77" spans="1:6" x14ac:dyDescent="0.3">
      <c r="A77" s="1" t="s">
        <v>72</v>
      </c>
      <c r="B77" s="5">
        <v>1.6108625963851226E-2</v>
      </c>
      <c r="C77" s="5">
        <v>0</v>
      </c>
      <c r="D77" s="5">
        <v>1.6108625963851226E-2</v>
      </c>
      <c r="E77" s="5">
        <v>1.6108625963851226E-2</v>
      </c>
      <c r="F77" s="5" t="s">
        <v>73</v>
      </c>
    </row>
    <row r="78" spans="1:6" x14ac:dyDescent="0.3">
      <c r="A78" s="1" t="s">
        <v>161</v>
      </c>
      <c r="B78" s="5">
        <v>0</v>
      </c>
      <c r="C78" s="5">
        <v>-4.9618336236521175E-3</v>
      </c>
      <c r="D78" s="5">
        <v>-4.9618336236521175E-3</v>
      </c>
      <c r="E78" s="5">
        <v>4.9618336236521175E-3</v>
      </c>
      <c r="F78" s="5" t="s">
        <v>162</v>
      </c>
    </row>
    <row r="79" spans="1:6" x14ac:dyDescent="0.3">
      <c r="A79" s="1" t="s">
        <v>74</v>
      </c>
      <c r="B79" s="5">
        <v>4.5494917007613163E-2</v>
      </c>
      <c r="C79" s="5">
        <v>0</v>
      </c>
      <c r="D79" s="5">
        <v>4.5494917007613163E-2</v>
      </c>
      <c r="E79" s="5">
        <v>4.5494917007613163E-2</v>
      </c>
      <c r="F79" s="5" t="s">
        <v>75</v>
      </c>
    </row>
    <row r="80" spans="1:6" x14ac:dyDescent="0.3">
      <c r="A80" s="1" t="s">
        <v>7</v>
      </c>
      <c r="B80" s="5">
        <v>0.81719293713624352</v>
      </c>
      <c r="C80" s="5">
        <v>-0.65384785754191133</v>
      </c>
      <c r="D80" s="5">
        <v>0.16334507959433237</v>
      </c>
      <c r="E80" s="5">
        <v>1.4710407946781547</v>
      </c>
      <c r="F80" s="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02DF-2D71-463E-9FE6-64028CE7764D}">
  <sheetPr codeName="Sheet3"/>
  <dimension ref="A1:I201"/>
  <sheetViews>
    <sheetView showGridLines="0" tabSelected="1" zoomScale="91" zoomScaleNormal="91" workbookViewId="0">
      <pane ySplit="2" topLeftCell="A3" activePane="bottomLeft" state="frozen"/>
      <selection pane="bottomLeft" activeCell="A3" sqref="A3"/>
    </sheetView>
  </sheetViews>
  <sheetFormatPr defaultColWidth="9.08984375" defaultRowHeight="13" x14ac:dyDescent="0.3"/>
  <cols>
    <col min="1" max="1" width="43.81640625" style="1" customWidth="1"/>
    <col min="2" max="5" width="31" style="5" customWidth="1"/>
    <col min="6" max="6" width="38.54296875" style="5" customWidth="1"/>
    <col min="7" max="7" width="9.6328125" style="1" bestFit="1" customWidth="1"/>
    <col min="8" max="8" width="9.08984375" style="1"/>
    <col min="9" max="9" width="9.54296875" style="1" bestFit="1" customWidth="1"/>
    <col min="10" max="16384" width="9.08984375" style="1"/>
  </cols>
  <sheetData>
    <row r="1" spans="1:9" x14ac:dyDescent="0.3">
      <c r="A1" s="2" t="s">
        <v>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12" t="s">
        <v>6</v>
      </c>
      <c r="I1" s="21" t="s">
        <v>119</v>
      </c>
    </row>
    <row r="2" spans="1:9" x14ac:dyDescent="0.3">
      <c r="A2" s="6" t="str">
        <f>'Curated Data'!A2</f>
        <v>Dec 31, 2024</v>
      </c>
      <c r="B2" s="8">
        <f>'Curated Data'!B2</f>
        <v>0.81719293713624352</v>
      </c>
      <c r="C2" s="8">
        <f>'Curated Data'!C2</f>
        <v>-0.65384785754191133</v>
      </c>
      <c r="D2" s="8">
        <f>'Curated Data'!D2</f>
        <v>0.16334507959433237</v>
      </c>
      <c r="E2" s="8">
        <f>'Curated Data'!E2</f>
        <v>1.4710407946781547</v>
      </c>
      <c r="F2" s="7" t="str">
        <f>'Curated Data'!F2</f>
        <v>N/A</v>
      </c>
      <c r="G2" s="13">
        <f>$B$2-SUM($B$3:$B$251)</f>
        <v>0</v>
      </c>
      <c r="I2" s="22">
        <f>SUM(TopTenLMV)</f>
        <v>0.48680742772466745</v>
      </c>
    </row>
    <row r="3" spans="1:9" x14ac:dyDescent="0.3">
      <c r="A3" s="18" t="s">
        <v>30</v>
      </c>
      <c r="B3" s="19">
        <v>6.5279107469158798E-2</v>
      </c>
      <c r="C3" s="19">
        <v>0</v>
      </c>
      <c r="D3" s="19">
        <v>6.5279107469158798E-2</v>
      </c>
      <c r="E3" s="19">
        <v>6.5279107469158798E-2</v>
      </c>
      <c r="F3" s="20" t="s">
        <v>31</v>
      </c>
      <c r="G3" s="1">
        <v>1</v>
      </c>
      <c r="H3" s="17"/>
    </row>
    <row r="4" spans="1:9" x14ac:dyDescent="0.3">
      <c r="A4" s="18" t="s">
        <v>44</v>
      </c>
      <c r="B4" s="19">
        <v>6.5195166323316706E-2</v>
      </c>
      <c r="C4" s="19">
        <v>0</v>
      </c>
      <c r="D4" s="19">
        <v>6.5195166323316706E-2</v>
      </c>
      <c r="E4" s="19">
        <v>6.5195166323316706E-2</v>
      </c>
      <c r="F4" s="20" t="s">
        <v>28</v>
      </c>
      <c r="G4" s="1">
        <v>2</v>
      </c>
    </row>
    <row r="5" spans="1:9" x14ac:dyDescent="0.3">
      <c r="A5" s="18" t="s">
        <v>13</v>
      </c>
      <c r="B5" s="19">
        <v>5.9283742759928641E-2</v>
      </c>
      <c r="C5" s="19">
        <v>0</v>
      </c>
      <c r="D5" s="19">
        <v>5.9283742759928641E-2</v>
      </c>
      <c r="E5" s="19">
        <v>5.9283742759928641E-2</v>
      </c>
      <c r="F5" s="20" t="s">
        <v>14</v>
      </c>
      <c r="G5" s="1">
        <v>3</v>
      </c>
    </row>
    <row r="6" spans="1:9" x14ac:dyDescent="0.3">
      <c r="A6" s="18" t="s">
        <v>84</v>
      </c>
      <c r="B6" s="19">
        <v>5.5585402774584278E-2</v>
      </c>
      <c r="C6" s="19">
        <v>0</v>
      </c>
      <c r="D6" s="19">
        <v>5.5585402774584278E-2</v>
      </c>
      <c r="E6" s="19">
        <v>5.5585402774584278E-2</v>
      </c>
      <c r="F6" s="20" t="s">
        <v>85</v>
      </c>
      <c r="G6" s="1">
        <v>4</v>
      </c>
    </row>
    <row r="7" spans="1:9" x14ac:dyDescent="0.3">
      <c r="A7" s="18" t="s">
        <v>91</v>
      </c>
      <c r="B7" s="19">
        <v>4.7273885991873599E-2</v>
      </c>
      <c r="C7" s="19">
        <v>0</v>
      </c>
      <c r="D7" s="19">
        <v>4.7273885991873599E-2</v>
      </c>
      <c r="E7" s="19">
        <v>4.7273885991873599E-2</v>
      </c>
      <c r="F7" s="20" t="s">
        <v>92</v>
      </c>
      <c r="G7" s="1">
        <v>5</v>
      </c>
    </row>
    <row r="8" spans="1:9" x14ac:dyDescent="0.3">
      <c r="A8" s="18" t="s">
        <v>204</v>
      </c>
      <c r="B8" s="19">
        <v>4.7183158002790181E-2</v>
      </c>
      <c r="C8" s="19">
        <v>-2.3104256525515908E-5</v>
      </c>
      <c r="D8" s="19">
        <v>4.7160053746264662E-2</v>
      </c>
      <c r="E8" s="19">
        <v>4.7206262259315693E-2</v>
      </c>
      <c r="F8" s="20" t="s">
        <v>75</v>
      </c>
      <c r="G8" s="1">
        <v>6</v>
      </c>
    </row>
    <row r="9" spans="1:9" x14ac:dyDescent="0.3">
      <c r="A9" s="18" t="s">
        <v>39</v>
      </c>
      <c r="B9" s="19">
        <v>4.188242750601319E-2</v>
      </c>
      <c r="C9" s="19">
        <v>0</v>
      </c>
      <c r="D9" s="19">
        <v>4.188242750601319E-2</v>
      </c>
      <c r="E9" s="19">
        <v>4.188242750601319E-2</v>
      </c>
      <c r="F9" s="20" t="s">
        <v>40</v>
      </c>
      <c r="G9" s="1">
        <v>7</v>
      </c>
    </row>
    <row r="10" spans="1:9" x14ac:dyDescent="0.3">
      <c r="A10" s="18" t="s">
        <v>15</v>
      </c>
      <c r="B10" s="19">
        <v>3.7230650824615331E-2</v>
      </c>
      <c r="C10" s="19">
        <v>0</v>
      </c>
      <c r="D10" s="19">
        <v>3.7230650824615331E-2</v>
      </c>
      <c r="E10" s="19">
        <v>3.7230650824615331E-2</v>
      </c>
      <c r="F10" s="20" t="s">
        <v>16</v>
      </c>
      <c r="G10" s="1">
        <v>8</v>
      </c>
    </row>
    <row r="11" spans="1:9" x14ac:dyDescent="0.3">
      <c r="A11" s="18" t="s">
        <v>93</v>
      </c>
      <c r="B11" s="19">
        <v>3.6766979915706863E-2</v>
      </c>
      <c r="C11" s="19">
        <v>0</v>
      </c>
      <c r="D11" s="19">
        <v>3.6766979915706863E-2</v>
      </c>
      <c r="E11" s="19">
        <v>3.6766979915706863E-2</v>
      </c>
      <c r="F11" s="20" t="s">
        <v>94</v>
      </c>
      <c r="G11" s="1">
        <v>9</v>
      </c>
    </row>
    <row r="12" spans="1:9" x14ac:dyDescent="0.3">
      <c r="A12" s="18" t="s">
        <v>188</v>
      </c>
      <c r="B12" s="19">
        <v>3.112690615667987E-2</v>
      </c>
      <c r="C12" s="19">
        <v>0</v>
      </c>
      <c r="D12" s="19">
        <v>3.112690615667987E-2</v>
      </c>
      <c r="E12" s="19">
        <v>3.112690615667987E-2</v>
      </c>
      <c r="F12" s="20" t="s">
        <v>189</v>
      </c>
      <c r="G12" s="1">
        <v>10</v>
      </c>
    </row>
    <row r="13" spans="1:9" x14ac:dyDescent="0.3">
      <c r="A13" s="18" t="s">
        <v>127</v>
      </c>
      <c r="B13" s="19">
        <v>3.0879148366494018E-2</v>
      </c>
      <c r="C13" s="19">
        <v>0</v>
      </c>
      <c r="D13" s="19">
        <v>3.0879148366494018E-2</v>
      </c>
      <c r="E13" s="19">
        <v>3.0879148366494018E-2</v>
      </c>
      <c r="F13" s="20" t="s">
        <v>128</v>
      </c>
      <c r="G13" s="1">
        <v>11</v>
      </c>
    </row>
    <row r="14" spans="1:9" x14ac:dyDescent="0.3">
      <c r="A14" s="18" t="s">
        <v>200</v>
      </c>
      <c r="B14" s="19">
        <v>3.4314852632223794E-2</v>
      </c>
      <c r="C14" s="19">
        <v>-3.9063513210113579E-3</v>
      </c>
      <c r="D14" s="19">
        <v>3.0408501311212435E-2</v>
      </c>
      <c r="E14" s="19">
        <v>3.8221203953235153E-2</v>
      </c>
      <c r="F14" s="20" t="s">
        <v>90</v>
      </c>
      <c r="G14" s="1">
        <v>12</v>
      </c>
    </row>
    <row r="15" spans="1:9" x14ac:dyDescent="0.3">
      <c r="A15" s="18" t="s">
        <v>174</v>
      </c>
      <c r="B15" s="19">
        <v>1.9772909712419705E-2</v>
      </c>
      <c r="C15" s="19">
        <v>0</v>
      </c>
      <c r="D15" s="19">
        <v>1.9772909712419705E-2</v>
      </c>
      <c r="E15" s="19">
        <v>1.9772909712419705E-2</v>
      </c>
      <c r="F15" s="20" t="s">
        <v>174</v>
      </c>
      <c r="G15" s="1">
        <v>13</v>
      </c>
    </row>
    <row r="16" spans="1:9" x14ac:dyDescent="0.3">
      <c r="A16" s="18" t="s">
        <v>72</v>
      </c>
      <c r="B16" s="19">
        <v>1.6108625963851226E-2</v>
      </c>
      <c r="C16" s="19">
        <v>0</v>
      </c>
      <c r="D16" s="19">
        <v>1.6108625963851226E-2</v>
      </c>
      <c r="E16" s="19">
        <v>1.6108625963851226E-2</v>
      </c>
      <c r="F16" s="20" t="s">
        <v>73</v>
      </c>
      <c r="G16" s="1">
        <v>14</v>
      </c>
    </row>
    <row r="17" spans="1:7" x14ac:dyDescent="0.3">
      <c r="A17" s="18" t="s">
        <v>201</v>
      </c>
      <c r="B17" s="19">
        <v>1.6335215662026264E-2</v>
      </c>
      <c r="C17" s="19">
        <v>-8.2375026128056808E-4</v>
      </c>
      <c r="D17" s="19">
        <v>1.5511465400745696E-2</v>
      </c>
      <c r="E17" s="19">
        <v>1.7158965923306832E-2</v>
      </c>
      <c r="F17" s="20" t="s">
        <v>109</v>
      </c>
      <c r="G17" s="1">
        <v>15</v>
      </c>
    </row>
    <row r="18" spans="1:7" x14ac:dyDescent="0.3">
      <c r="A18" s="18" t="s">
        <v>82</v>
      </c>
      <c r="B18" s="19">
        <v>1.3665954194257736E-2</v>
      </c>
      <c r="C18" s="19">
        <v>0</v>
      </c>
      <c r="D18" s="19">
        <v>1.3665954194257736E-2</v>
      </c>
      <c r="E18" s="19">
        <v>1.3665954194257736E-2</v>
      </c>
      <c r="F18" s="20" t="s">
        <v>83</v>
      </c>
      <c r="G18" s="1">
        <v>16</v>
      </c>
    </row>
    <row r="19" spans="1:7" x14ac:dyDescent="0.3">
      <c r="A19" s="18" t="s">
        <v>53</v>
      </c>
      <c r="B19" s="19">
        <v>1.2519207000754323E-2</v>
      </c>
      <c r="C19" s="19">
        <v>0</v>
      </c>
      <c r="D19" s="19">
        <v>1.2519207000754323E-2</v>
      </c>
      <c r="E19" s="19">
        <v>1.2519207000754323E-2</v>
      </c>
      <c r="F19" s="20" t="s">
        <v>29</v>
      </c>
      <c r="G19" s="1">
        <v>17</v>
      </c>
    </row>
    <row r="20" spans="1:7" x14ac:dyDescent="0.3">
      <c r="A20" s="18" t="s">
        <v>88</v>
      </c>
      <c r="B20" s="19">
        <v>1.2393779568105943E-2</v>
      </c>
      <c r="C20" s="19">
        <v>0</v>
      </c>
      <c r="D20" s="19">
        <v>1.2393779568105943E-2</v>
      </c>
      <c r="E20" s="19">
        <v>1.2393779568105943E-2</v>
      </c>
      <c r="F20" s="20" t="s">
        <v>89</v>
      </c>
      <c r="G20" s="1">
        <v>18</v>
      </c>
    </row>
    <row r="21" spans="1:7" x14ac:dyDescent="0.3">
      <c r="A21" s="18" t="s">
        <v>163</v>
      </c>
      <c r="B21" s="19">
        <v>1.1699172750962576E-2</v>
      </c>
      <c r="C21" s="19">
        <v>0</v>
      </c>
      <c r="D21" s="19">
        <v>1.1699172750962576E-2</v>
      </c>
      <c r="E21" s="19">
        <v>1.1699172750962576E-2</v>
      </c>
      <c r="F21" s="20" t="s">
        <v>104</v>
      </c>
      <c r="G21" s="1">
        <v>19</v>
      </c>
    </row>
    <row r="22" spans="1:7" x14ac:dyDescent="0.3">
      <c r="A22" s="18" t="s">
        <v>198</v>
      </c>
      <c r="B22" s="19">
        <v>2.2779233413681196E-2</v>
      </c>
      <c r="C22" s="19">
        <v>-1.1740704085315704E-2</v>
      </c>
      <c r="D22" s="19">
        <v>1.1038529328365493E-2</v>
      </c>
      <c r="E22" s="19">
        <v>3.45199374989969E-2</v>
      </c>
      <c r="F22" s="20" t="s">
        <v>80</v>
      </c>
      <c r="G22" s="1">
        <v>20</v>
      </c>
    </row>
    <row r="23" spans="1:7" x14ac:dyDescent="0.3">
      <c r="A23" s="18" t="s">
        <v>61</v>
      </c>
      <c r="B23" s="19">
        <v>1.0564602352739712E-2</v>
      </c>
      <c r="C23" s="19">
        <v>0</v>
      </c>
      <c r="D23" s="19">
        <v>1.0564602352739712E-2</v>
      </c>
      <c r="E23" s="19">
        <v>1.0564602352739712E-2</v>
      </c>
      <c r="F23" s="20" t="s">
        <v>62</v>
      </c>
      <c r="G23" s="1">
        <v>21</v>
      </c>
    </row>
    <row r="24" spans="1:7" x14ac:dyDescent="0.3">
      <c r="A24" s="18" t="s">
        <v>157</v>
      </c>
      <c r="B24" s="19">
        <v>1.0314890158852735E-2</v>
      </c>
      <c r="C24" s="19">
        <v>0</v>
      </c>
      <c r="D24" s="19">
        <v>1.0314890158852735E-2</v>
      </c>
      <c r="E24" s="19">
        <v>1.0314890158852735E-2</v>
      </c>
      <c r="F24" s="20" t="s">
        <v>158</v>
      </c>
      <c r="G24" s="1">
        <v>22</v>
      </c>
    </row>
    <row r="25" spans="1:7" x14ac:dyDescent="0.3">
      <c r="A25" s="18" t="s">
        <v>63</v>
      </c>
      <c r="B25" s="19">
        <v>9.8649699191682306E-3</v>
      </c>
      <c r="C25" s="19">
        <v>0</v>
      </c>
      <c r="D25" s="19">
        <v>9.8649699191682306E-3</v>
      </c>
      <c r="E25" s="19">
        <v>9.8649699191682306E-3</v>
      </c>
      <c r="F25" s="20" t="s">
        <v>164</v>
      </c>
      <c r="G25" s="1">
        <v>23</v>
      </c>
    </row>
    <row r="26" spans="1:7" x14ac:dyDescent="0.3">
      <c r="A26" s="18" t="s">
        <v>113</v>
      </c>
      <c r="B26" s="19">
        <v>9.4569688481657196E-3</v>
      </c>
      <c r="C26" s="19">
        <v>0</v>
      </c>
      <c r="D26" s="19">
        <v>9.4569688481657196E-3</v>
      </c>
      <c r="E26" s="19">
        <v>9.4569688481657196E-3</v>
      </c>
      <c r="F26" s="20" t="s">
        <v>110</v>
      </c>
      <c r="G26" s="1">
        <v>24</v>
      </c>
    </row>
    <row r="27" spans="1:7" x14ac:dyDescent="0.3">
      <c r="A27" s="18" t="s">
        <v>98</v>
      </c>
      <c r="B27" s="19">
        <v>7.4653071005943185E-3</v>
      </c>
      <c r="C27" s="19">
        <v>0</v>
      </c>
      <c r="D27" s="19">
        <v>7.4653071005943185E-3</v>
      </c>
      <c r="E27" s="19">
        <v>7.4653071005943185E-3</v>
      </c>
      <c r="F27" s="20" t="s">
        <v>99</v>
      </c>
      <c r="G27" s="1">
        <v>25</v>
      </c>
    </row>
    <row r="28" spans="1:7" x14ac:dyDescent="0.3">
      <c r="A28" s="18" t="s">
        <v>19</v>
      </c>
      <c r="B28" s="19">
        <v>7.4615130808498732E-3</v>
      </c>
      <c r="C28" s="19">
        <v>0</v>
      </c>
      <c r="D28" s="19">
        <v>7.4615130808498732E-3</v>
      </c>
      <c r="E28" s="19">
        <v>7.4615130808498732E-3</v>
      </c>
      <c r="F28" s="20" t="s">
        <v>20</v>
      </c>
      <c r="G28" s="1">
        <v>26</v>
      </c>
    </row>
    <row r="29" spans="1:7" x14ac:dyDescent="0.3">
      <c r="A29" s="18" t="s">
        <v>117</v>
      </c>
      <c r="B29" s="19">
        <v>7.3017343224925811E-3</v>
      </c>
      <c r="C29" s="19">
        <v>0</v>
      </c>
      <c r="D29" s="19">
        <v>7.3017343224925811E-3</v>
      </c>
      <c r="E29" s="19">
        <v>7.3017343224925811E-3</v>
      </c>
      <c r="F29" s="20" t="s">
        <v>32</v>
      </c>
      <c r="G29" s="1">
        <v>27</v>
      </c>
    </row>
    <row r="30" spans="1:7" x14ac:dyDescent="0.3">
      <c r="A30" s="18" t="s">
        <v>50</v>
      </c>
      <c r="B30" s="19">
        <v>6.4429024730927407E-3</v>
      </c>
      <c r="C30" s="19">
        <v>0</v>
      </c>
      <c r="D30" s="19">
        <v>6.4429024730927407E-3</v>
      </c>
      <c r="E30" s="19">
        <v>6.4429024730927407E-3</v>
      </c>
      <c r="F30" s="20" t="s">
        <v>51</v>
      </c>
      <c r="G30" s="1">
        <v>28</v>
      </c>
    </row>
    <row r="31" spans="1:7" x14ac:dyDescent="0.3">
      <c r="A31" s="18" t="s">
        <v>121</v>
      </c>
      <c r="B31" s="19">
        <v>6.0404388637224247E-3</v>
      </c>
      <c r="C31" s="19">
        <v>0</v>
      </c>
      <c r="D31" s="19">
        <v>6.0404388637224247E-3</v>
      </c>
      <c r="E31" s="19">
        <v>6.0404388637224247E-3</v>
      </c>
      <c r="F31" s="20" t="s">
        <v>122</v>
      </c>
      <c r="G31" s="1">
        <v>29</v>
      </c>
    </row>
    <row r="32" spans="1:7" x14ac:dyDescent="0.3">
      <c r="A32" s="18" t="s">
        <v>140</v>
      </c>
      <c r="B32" s="19">
        <v>5.6434982118254299E-3</v>
      </c>
      <c r="C32" s="19">
        <v>0</v>
      </c>
      <c r="D32" s="19">
        <v>5.6434982118254299E-3</v>
      </c>
      <c r="E32" s="19">
        <v>5.6434982118254299E-3</v>
      </c>
      <c r="F32" s="20" t="s">
        <v>141</v>
      </c>
      <c r="G32" s="1">
        <v>30</v>
      </c>
    </row>
    <row r="33" spans="1:7" x14ac:dyDescent="0.3">
      <c r="A33" s="18" t="s">
        <v>76</v>
      </c>
      <c r="B33" s="19">
        <v>4.3378894048909612E-3</v>
      </c>
      <c r="C33" s="19">
        <v>0</v>
      </c>
      <c r="D33" s="19">
        <v>4.3378894048909612E-3</v>
      </c>
      <c r="E33" s="19">
        <v>4.3378894048909612E-3</v>
      </c>
      <c r="F33" s="20" t="s">
        <v>24</v>
      </c>
      <c r="G33" s="1">
        <v>31</v>
      </c>
    </row>
    <row r="34" spans="1:7" x14ac:dyDescent="0.3">
      <c r="A34" s="18" t="s">
        <v>147</v>
      </c>
      <c r="B34" s="19">
        <v>4.1093372795846178E-3</v>
      </c>
      <c r="C34" s="19">
        <v>0</v>
      </c>
      <c r="D34" s="19">
        <v>4.1093372795846178E-3</v>
      </c>
      <c r="E34" s="19">
        <v>4.1093372795846178E-3</v>
      </c>
      <c r="F34" s="20" t="s">
        <v>147</v>
      </c>
      <c r="G34" s="1">
        <v>32</v>
      </c>
    </row>
    <row r="35" spans="1:7" x14ac:dyDescent="0.3">
      <c r="A35" s="18" t="s">
        <v>67</v>
      </c>
      <c r="B35" s="19">
        <v>3.7890775741664584E-3</v>
      </c>
      <c r="C35" s="19">
        <v>0</v>
      </c>
      <c r="D35" s="19">
        <v>3.7890775741664584E-3</v>
      </c>
      <c r="E35" s="19">
        <v>3.7890775741664584E-3</v>
      </c>
      <c r="F35" s="20" t="s">
        <v>68</v>
      </c>
      <c r="G35" s="1">
        <v>33</v>
      </c>
    </row>
    <row r="36" spans="1:7" x14ac:dyDescent="0.3">
      <c r="A36" s="18" t="s">
        <v>199</v>
      </c>
      <c r="B36" s="19">
        <v>3.9425425121541032E-3</v>
      </c>
      <c r="C36" s="19">
        <v>-4.081735341095429E-4</v>
      </c>
      <c r="D36" s="19">
        <v>3.5343689780445602E-3</v>
      </c>
      <c r="E36" s="19">
        <v>4.3507160462636458E-3</v>
      </c>
      <c r="F36" s="20" t="s">
        <v>96</v>
      </c>
      <c r="G36" s="1">
        <v>34</v>
      </c>
    </row>
    <row r="37" spans="1:7" x14ac:dyDescent="0.3">
      <c r="A37" s="18" t="s">
        <v>165</v>
      </c>
      <c r="B37" s="19">
        <v>3.4340138706509989E-3</v>
      </c>
      <c r="C37" s="19">
        <v>0</v>
      </c>
      <c r="D37" s="19">
        <v>3.4340138706509989E-3</v>
      </c>
      <c r="E37" s="19">
        <v>3.4340138706509989E-3</v>
      </c>
      <c r="F37" s="20" t="s">
        <v>146</v>
      </c>
      <c r="G37" s="1">
        <v>35</v>
      </c>
    </row>
    <row r="38" spans="1:7" x14ac:dyDescent="0.3">
      <c r="A38" s="18" t="s">
        <v>37</v>
      </c>
      <c r="B38" s="19">
        <v>3.2917347057815067E-3</v>
      </c>
      <c r="C38" s="19">
        <v>0</v>
      </c>
      <c r="D38" s="19">
        <v>3.2917347057815067E-3</v>
      </c>
      <c r="E38" s="19">
        <v>3.2917347057815067E-3</v>
      </c>
      <c r="F38" s="20" t="s">
        <v>38</v>
      </c>
      <c r="G38" s="1">
        <v>36</v>
      </c>
    </row>
    <row r="39" spans="1:7" x14ac:dyDescent="0.3">
      <c r="A39" s="18" t="s">
        <v>125</v>
      </c>
      <c r="B39" s="19">
        <v>3.1872067085619927E-3</v>
      </c>
      <c r="C39" s="19">
        <v>0</v>
      </c>
      <c r="D39" s="19">
        <v>3.1872067085619927E-3</v>
      </c>
      <c r="E39" s="19">
        <v>3.1872067085619927E-3</v>
      </c>
      <c r="F39" s="20" t="s">
        <v>126</v>
      </c>
      <c r="G39" s="1">
        <v>37</v>
      </c>
    </row>
    <row r="40" spans="1:7" x14ac:dyDescent="0.3">
      <c r="A40" s="18" t="s">
        <v>142</v>
      </c>
      <c r="B40" s="19">
        <v>2.9777705663027003E-3</v>
      </c>
      <c r="C40" s="19">
        <v>0</v>
      </c>
      <c r="D40" s="19">
        <v>2.9777705663027003E-3</v>
      </c>
      <c r="E40" s="19">
        <v>2.9777705663027003E-3</v>
      </c>
      <c r="F40" s="20" t="s">
        <v>142</v>
      </c>
      <c r="G40" s="1">
        <v>38</v>
      </c>
    </row>
    <row r="41" spans="1:7" x14ac:dyDescent="0.3">
      <c r="A41" s="18" t="s">
        <v>179</v>
      </c>
      <c r="B41" s="19">
        <v>3.0486899378153244E-3</v>
      </c>
      <c r="C41" s="19">
        <v>-5.7819502020444672E-4</v>
      </c>
      <c r="D41" s="19">
        <v>2.4704949176108776E-3</v>
      </c>
      <c r="E41" s="19">
        <v>3.6268849580197711E-3</v>
      </c>
      <c r="F41" s="20" t="s">
        <v>64</v>
      </c>
      <c r="G41" s="1">
        <v>39</v>
      </c>
    </row>
    <row r="42" spans="1:7" x14ac:dyDescent="0.3">
      <c r="A42" s="18" t="s">
        <v>77</v>
      </c>
      <c r="B42" s="19">
        <v>1.4157221650594144E-3</v>
      </c>
      <c r="C42" s="19">
        <v>0</v>
      </c>
      <c r="D42" s="19">
        <v>1.4157221650594144E-3</v>
      </c>
      <c r="E42" s="19">
        <v>1.4157221650594144E-3</v>
      </c>
      <c r="F42" s="20" t="s">
        <v>26</v>
      </c>
      <c r="G42" s="1">
        <v>40</v>
      </c>
    </row>
    <row r="43" spans="1:7" x14ac:dyDescent="0.3">
      <c r="A43" s="18" t="s">
        <v>118</v>
      </c>
      <c r="B43" s="19">
        <v>1.4734078006180696E-4</v>
      </c>
      <c r="C43" s="19">
        <v>0</v>
      </c>
      <c r="D43" s="19">
        <v>1.4734078006180696E-4</v>
      </c>
      <c r="E43" s="19">
        <v>1.4734078006180696E-4</v>
      </c>
      <c r="F43" s="20" t="s">
        <v>116</v>
      </c>
      <c r="G43" s="1">
        <v>41</v>
      </c>
    </row>
    <row r="44" spans="1:7" x14ac:dyDescent="0.3">
      <c r="A44" s="18" t="s">
        <v>60</v>
      </c>
      <c r="B44" s="19">
        <v>0</v>
      </c>
      <c r="C44" s="19">
        <v>-6.0331789512305497E-5</v>
      </c>
      <c r="D44" s="19">
        <v>-6.0331789512305497E-5</v>
      </c>
      <c r="E44" s="19">
        <v>6.0331789512305497E-5</v>
      </c>
      <c r="F44" s="20" t="s">
        <v>57</v>
      </c>
      <c r="G44" s="1">
        <v>42</v>
      </c>
    </row>
    <row r="45" spans="1:7" x14ac:dyDescent="0.3">
      <c r="A45" s="18" t="s">
        <v>143</v>
      </c>
      <c r="B45" s="19">
        <v>0</v>
      </c>
      <c r="C45" s="19">
        <v>-3.2326834417252461E-4</v>
      </c>
      <c r="D45" s="19">
        <v>-3.2326834417252461E-4</v>
      </c>
      <c r="E45" s="19">
        <v>3.2326834417252461E-4</v>
      </c>
      <c r="F45" s="20" t="s">
        <v>144</v>
      </c>
      <c r="G45" s="1">
        <v>43</v>
      </c>
    </row>
    <row r="46" spans="1:7" x14ac:dyDescent="0.3">
      <c r="A46" s="18" t="s">
        <v>159</v>
      </c>
      <c r="B46" s="19">
        <v>0</v>
      </c>
      <c r="C46" s="19">
        <v>-4.9496917468318659E-4</v>
      </c>
      <c r="D46" s="19">
        <v>-4.9496917468318659E-4</v>
      </c>
      <c r="E46" s="19">
        <v>4.9496917468318659E-4</v>
      </c>
      <c r="F46" s="20" t="s">
        <v>160</v>
      </c>
      <c r="G46" s="1">
        <v>44</v>
      </c>
    </row>
    <row r="47" spans="1:7" x14ac:dyDescent="0.3">
      <c r="A47" s="18" t="s">
        <v>178</v>
      </c>
      <c r="B47" s="19">
        <v>0</v>
      </c>
      <c r="C47" s="19">
        <v>-6.3029777486167541E-4</v>
      </c>
      <c r="D47" s="19">
        <v>-6.3029777486167541E-4</v>
      </c>
      <c r="E47" s="19">
        <v>6.3029777486167541E-4</v>
      </c>
      <c r="F47" s="20" t="s">
        <v>71</v>
      </c>
      <c r="G47" s="1">
        <v>45</v>
      </c>
    </row>
    <row r="48" spans="1:7" x14ac:dyDescent="0.3">
      <c r="A48" s="18" t="s">
        <v>161</v>
      </c>
      <c r="B48" s="19">
        <v>0</v>
      </c>
      <c r="C48" s="19">
        <v>-4.9618336236521175E-3</v>
      </c>
      <c r="D48" s="19">
        <v>-4.9618336236521175E-3</v>
      </c>
      <c r="E48" s="19">
        <v>4.9618336236521175E-3</v>
      </c>
      <c r="F48" s="20" t="s">
        <v>162</v>
      </c>
      <c r="G48" s="1">
        <v>46</v>
      </c>
    </row>
    <row r="49" spans="1:7" x14ac:dyDescent="0.3">
      <c r="A49" s="18" t="s">
        <v>166</v>
      </c>
      <c r="B49" s="19">
        <v>0</v>
      </c>
      <c r="C49" s="19">
        <v>-7.9008974965556009E-3</v>
      </c>
      <c r="D49" s="19">
        <v>-7.9008974965556009E-3</v>
      </c>
      <c r="E49" s="19">
        <v>7.9008974965556009E-3</v>
      </c>
      <c r="F49" s="20" t="s">
        <v>167</v>
      </c>
      <c r="G49" s="1">
        <v>47</v>
      </c>
    </row>
    <row r="50" spans="1:7" x14ac:dyDescent="0.3">
      <c r="A50" s="18" t="s">
        <v>69</v>
      </c>
      <c r="B50" s="19">
        <v>0</v>
      </c>
      <c r="C50" s="19">
        <v>-8.5739297241146113E-3</v>
      </c>
      <c r="D50" s="19">
        <v>-8.5739297241146113E-3</v>
      </c>
      <c r="E50" s="19">
        <v>8.5739297241146113E-3</v>
      </c>
      <c r="F50" s="20" t="s">
        <v>70</v>
      </c>
      <c r="G50" s="1">
        <v>48</v>
      </c>
    </row>
    <row r="51" spans="1:7" x14ac:dyDescent="0.3">
      <c r="A51" s="18" t="s">
        <v>114</v>
      </c>
      <c r="B51" s="19">
        <v>0</v>
      </c>
      <c r="C51" s="19">
        <v>-8.9115220064305539E-3</v>
      </c>
      <c r="D51" s="19">
        <v>-8.9115220064305539E-3</v>
      </c>
      <c r="E51" s="19">
        <v>8.9115220064305539E-3</v>
      </c>
      <c r="F51" s="20" t="s">
        <v>115</v>
      </c>
      <c r="G51" s="1">
        <v>49</v>
      </c>
    </row>
    <row r="52" spans="1:7" x14ac:dyDescent="0.3">
      <c r="A52" s="18" t="s">
        <v>78</v>
      </c>
      <c r="B52" s="19">
        <v>0</v>
      </c>
      <c r="C52" s="19">
        <v>-1.0322670515610786E-2</v>
      </c>
      <c r="D52" s="19">
        <v>-1.0322670515610786E-2</v>
      </c>
      <c r="E52" s="19">
        <v>1.0322670515610786E-2</v>
      </c>
      <c r="F52" s="20" t="s">
        <v>79</v>
      </c>
      <c r="G52" s="1">
        <v>50</v>
      </c>
    </row>
    <row r="53" spans="1:7" x14ac:dyDescent="0.3">
      <c r="A53" s="18" t="s">
        <v>86</v>
      </c>
      <c r="B53" s="19">
        <v>0</v>
      </c>
      <c r="C53" s="19">
        <v>-1.1076598043714843E-2</v>
      </c>
      <c r="D53" s="19">
        <v>-1.1076598043714843E-2</v>
      </c>
      <c r="E53" s="19">
        <v>1.1076598043714843E-2</v>
      </c>
      <c r="F53" s="20" t="s">
        <v>87</v>
      </c>
      <c r="G53" s="1">
        <v>51</v>
      </c>
    </row>
    <row r="54" spans="1:7" x14ac:dyDescent="0.3">
      <c r="A54" s="18" t="s">
        <v>106</v>
      </c>
      <c r="B54" s="19">
        <v>0</v>
      </c>
      <c r="C54" s="19">
        <v>-1.194723092318966E-2</v>
      </c>
      <c r="D54" s="19">
        <v>-1.194723092318966E-2</v>
      </c>
      <c r="E54" s="19">
        <v>1.194723092318966E-2</v>
      </c>
      <c r="F54" s="20" t="s">
        <v>107</v>
      </c>
      <c r="G54" s="1">
        <v>52</v>
      </c>
    </row>
    <row r="55" spans="1:7" x14ac:dyDescent="0.3">
      <c r="A55" s="18" t="s">
        <v>196</v>
      </c>
      <c r="B55" s="19">
        <v>0</v>
      </c>
      <c r="C55" s="19">
        <v>-4.3369408760442943E-2</v>
      </c>
      <c r="D55" s="19">
        <v>-4.3369408760442943E-2</v>
      </c>
      <c r="E55" s="19">
        <v>4.3369408760442943E-2</v>
      </c>
      <c r="F55" s="20" t="s">
        <v>197</v>
      </c>
      <c r="G55" s="1">
        <v>53</v>
      </c>
    </row>
    <row r="56" spans="1:7" x14ac:dyDescent="0.3">
      <c r="A56" s="18" t="s">
        <v>203</v>
      </c>
      <c r="B56" s="19">
        <v>8.3968960319250156E-3</v>
      </c>
      <c r="C56" s="19">
        <v>-6.9060070577433089E-2</v>
      </c>
      <c r="D56" s="19">
        <v>-6.066317454550807E-2</v>
      </c>
      <c r="E56" s="19">
        <v>7.7456966609358108E-2</v>
      </c>
      <c r="F56" s="20" t="s">
        <v>137</v>
      </c>
      <c r="G56" s="1">
        <v>54</v>
      </c>
    </row>
    <row r="57" spans="1:7" x14ac:dyDescent="0.3">
      <c r="A57" s="18" t="s">
        <v>202</v>
      </c>
      <c r="B57" s="19">
        <v>1.7282363278340634E-2</v>
      </c>
      <c r="C57" s="19">
        <v>-7.9305755550256582E-2</v>
      </c>
      <c r="D57" s="19">
        <v>-6.2023392271915945E-2</v>
      </c>
      <c r="E57" s="19">
        <v>9.6588118828597219E-2</v>
      </c>
      <c r="F57" s="20" t="s">
        <v>191</v>
      </c>
      <c r="G57" s="1">
        <v>55</v>
      </c>
    </row>
    <row r="58" spans="1:7" x14ac:dyDescent="0.3">
      <c r="A58" s="18" t="s">
        <v>54</v>
      </c>
      <c r="B58" s="19">
        <v>0</v>
      </c>
      <c r="C58" s="19">
        <v>-0.37942879475883373</v>
      </c>
      <c r="D58" s="19">
        <v>-0.37942879475883373</v>
      </c>
      <c r="E58" s="19">
        <v>0.37942879475883373</v>
      </c>
      <c r="F58" s="20" t="s">
        <v>55</v>
      </c>
      <c r="G58" s="1">
        <v>56</v>
      </c>
    </row>
    <row r="59" spans="1:7" x14ac:dyDescent="0.3">
      <c r="A59" s="18"/>
      <c r="B59" s="19"/>
      <c r="C59" s="19"/>
      <c r="D59" s="19"/>
      <c r="E59" s="19"/>
      <c r="F59" s="20"/>
      <c r="G59" s="1">
        <v>57</v>
      </c>
    </row>
    <row r="60" spans="1:7" x14ac:dyDescent="0.3">
      <c r="A60" s="18"/>
      <c r="B60" s="19"/>
      <c r="C60" s="19"/>
      <c r="D60" s="19"/>
      <c r="E60" s="19"/>
      <c r="F60" s="20"/>
      <c r="G60" s="1">
        <v>58</v>
      </c>
    </row>
    <row r="61" spans="1:7" x14ac:dyDescent="0.3">
      <c r="A61" s="18"/>
      <c r="B61" s="19"/>
      <c r="C61" s="19"/>
      <c r="D61" s="19"/>
      <c r="E61" s="19"/>
      <c r="F61" s="20"/>
      <c r="G61" s="1">
        <v>59</v>
      </c>
    </row>
    <row r="62" spans="1:7" x14ac:dyDescent="0.3">
      <c r="A62" s="18"/>
      <c r="B62" s="19"/>
      <c r="C62" s="19"/>
      <c r="D62" s="19"/>
      <c r="E62" s="19"/>
      <c r="F62" s="20"/>
      <c r="G62" s="1">
        <v>60</v>
      </c>
    </row>
    <row r="63" spans="1:7" x14ac:dyDescent="0.3">
      <c r="A63" s="18"/>
      <c r="B63" s="19"/>
      <c r="C63" s="19"/>
      <c r="D63" s="19"/>
      <c r="E63" s="19"/>
      <c r="F63" s="20"/>
      <c r="G63" s="1">
        <v>61</v>
      </c>
    </row>
    <row r="64" spans="1:7" x14ac:dyDescent="0.3">
      <c r="A64" s="18"/>
      <c r="B64" s="19"/>
      <c r="C64" s="19"/>
      <c r="D64" s="19"/>
      <c r="E64" s="19"/>
      <c r="F64" s="20"/>
      <c r="G64" s="1">
        <v>62</v>
      </c>
    </row>
    <row r="65" spans="1:7" x14ac:dyDescent="0.3">
      <c r="A65" s="18"/>
      <c r="B65" s="19"/>
      <c r="C65" s="19"/>
      <c r="D65" s="19"/>
      <c r="E65" s="19"/>
      <c r="F65" s="20"/>
      <c r="G65" s="1">
        <v>63</v>
      </c>
    </row>
    <row r="66" spans="1:7" x14ac:dyDescent="0.3">
      <c r="A66" s="18"/>
      <c r="B66" s="19"/>
      <c r="C66" s="19"/>
      <c r="D66" s="19"/>
      <c r="E66" s="19"/>
      <c r="F66" s="20"/>
      <c r="G66" s="1">
        <v>64</v>
      </c>
    </row>
    <row r="67" spans="1:7" x14ac:dyDescent="0.3">
      <c r="A67" s="18"/>
      <c r="B67" s="19"/>
      <c r="C67" s="19"/>
      <c r="D67" s="19"/>
      <c r="E67" s="19"/>
      <c r="F67" s="20"/>
      <c r="G67" s="1">
        <v>65</v>
      </c>
    </row>
    <row r="68" spans="1:7" x14ac:dyDescent="0.3">
      <c r="A68" s="18"/>
      <c r="B68" s="19"/>
      <c r="C68" s="19"/>
      <c r="D68" s="19"/>
      <c r="E68" s="19"/>
      <c r="F68" s="20"/>
      <c r="G68" s="1">
        <v>66</v>
      </c>
    </row>
    <row r="69" spans="1:7" x14ac:dyDescent="0.3">
      <c r="A69" s="18"/>
      <c r="B69" s="19"/>
      <c r="C69" s="19"/>
      <c r="D69" s="19"/>
      <c r="E69" s="19"/>
      <c r="F69" s="20"/>
      <c r="G69" s="1">
        <v>67</v>
      </c>
    </row>
    <row r="70" spans="1:7" x14ac:dyDescent="0.3">
      <c r="A70" s="18"/>
      <c r="B70" s="19"/>
      <c r="C70" s="19"/>
      <c r="D70" s="19"/>
      <c r="E70" s="19"/>
      <c r="F70" s="20"/>
      <c r="G70" s="1">
        <v>68</v>
      </c>
    </row>
    <row r="71" spans="1:7" x14ac:dyDescent="0.3">
      <c r="A71" s="18"/>
      <c r="B71" s="19"/>
      <c r="C71" s="19"/>
      <c r="D71" s="19"/>
      <c r="E71" s="19"/>
      <c r="F71" s="20"/>
      <c r="G71" s="1">
        <v>69</v>
      </c>
    </row>
    <row r="72" spans="1:7" x14ac:dyDescent="0.3">
      <c r="A72" s="18"/>
      <c r="B72" s="19"/>
      <c r="C72" s="19"/>
      <c r="D72" s="19"/>
      <c r="E72" s="19"/>
      <c r="F72" s="20"/>
      <c r="G72" s="1">
        <v>70</v>
      </c>
    </row>
    <row r="73" spans="1:7" x14ac:dyDescent="0.3">
      <c r="A73" s="18"/>
      <c r="B73" s="19"/>
      <c r="C73" s="19"/>
      <c r="D73" s="19"/>
      <c r="E73" s="19"/>
      <c r="F73" s="20"/>
      <c r="G73" s="1">
        <v>71</v>
      </c>
    </row>
    <row r="74" spans="1:7" x14ac:dyDescent="0.3">
      <c r="A74" s="18"/>
      <c r="B74" s="19"/>
      <c r="C74" s="19"/>
      <c r="D74" s="19"/>
      <c r="E74" s="19"/>
      <c r="F74" s="20"/>
      <c r="G74" s="1">
        <v>72</v>
      </c>
    </row>
    <row r="75" spans="1:7" x14ac:dyDescent="0.3">
      <c r="A75" s="18"/>
      <c r="B75" s="19"/>
      <c r="C75" s="19"/>
      <c r="D75" s="19"/>
      <c r="E75" s="19"/>
      <c r="F75" s="20"/>
      <c r="G75" s="1">
        <v>73</v>
      </c>
    </row>
    <row r="76" spans="1:7" x14ac:dyDescent="0.3">
      <c r="A76" s="18"/>
      <c r="B76" s="19"/>
      <c r="C76" s="19"/>
      <c r="D76" s="19"/>
      <c r="E76" s="19"/>
      <c r="F76" s="20"/>
      <c r="G76" s="1">
        <v>74</v>
      </c>
    </row>
    <row r="77" spans="1:7" x14ac:dyDescent="0.3">
      <c r="A77" s="18"/>
      <c r="B77" s="19"/>
      <c r="C77" s="19"/>
      <c r="D77" s="19"/>
      <c r="E77" s="19"/>
      <c r="F77" s="20"/>
      <c r="G77" s="1">
        <v>75</v>
      </c>
    </row>
    <row r="78" spans="1:7" x14ac:dyDescent="0.3">
      <c r="A78" s="18"/>
      <c r="B78" s="19"/>
      <c r="C78" s="19"/>
      <c r="D78" s="19"/>
      <c r="E78" s="19"/>
      <c r="F78" s="20"/>
      <c r="G78" s="1">
        <v>76</v>
      </c>
    </row>
    <row r="79" spans="1:7" x14ac:dyDescent="0.3">
      <c r="A79" s="18"/>
      <c r="B79" s="19"/>
      <c r="C79" s="19"/>
      <c r="D79" s="19"/>
      <c r="E79" s="19"/>
      <c r="F79" s="20"/>
      <c r="G79" s="1">
        <v>77</v>
      </c>
    </row>
    <row r="80" spans="1:7" x14ac:dyDescent="0.3">
      <c r="A80" s="18"/>
      <c r="B80" s="19"/>
      <c r="C80" s="19"/>
      <c r="D80" s="19"/>
      <c r="E80" s="19"/>
      <c r="F80" s="20"/>
      <c r="G80" s="1">
        <v>78</v>
      </c>
    </row>
    <row r="81" spans="1:6" x14ac:dyDescent="0.3">
      <c r="A81" s="18"/>
      <c r="B81" s="19"/>
      <c r="C81" s="19"/>
      <c r="D81" s="19"/>
      <c r="E81" s="19"/>
      <c r="F81" s="20"/>
    </row>
    <row r="82" spans="1:6" x14ac:dyDescent="0.3">
      <c r="A82" s="18"/>
      <c r="B82" s="19"/>
      <c r="C82" s="19"/>
      <c r="D82" s="19"/>
      <c r="E82" s="19"/>
      <c r="F82" s="20"/>
    </row>
    <row r="83" spans="1:6" x14ac:dyDescent="0.3">
      <c r="A83" s="18"/>
      <c r="B83" s="19"/>
      <c r="C83" s="19"/>
      <c r="D83" s="19"/>
      <c r="E83" s="19"/>
      <c r="F83" s="20"/>
    </row>
    <row r="84" spans="1:6" x14ac:dyDescent="0.3">
      <c r="A84" s="18"/>
      <c r="B84" s="19"/>
      <c r="C84" s="19"/>
      <c r="D84" s="19"/>
      <c r="E84" s="19"/>
      <c r="F84" s="20"/>
    </row>
    <row r="85" spans="1:6" x14ac:dyDescent="0.3">
      <c r="A85" s="18"/>
      <c r="B85" s="19"/>
      <c r="C85" s="19"/>
      <c r="D85" s="19"/>
      <c r="E85" s="19"/>
      <c r="F85" s="20"/>
    </row>
    <row r="86" spans="1:6" x14ac:dyDescent="0.3">
      <c r="A86" s="18"/>
      <c r="B86" s="19"/>
      <c r="C86" s="19"/>
      <c r="D86" s="19"/>
      <c r="E86" s="19"/>
      <c r="F86" s="20"/>
    </row>
    <row r="87" spans="1:6" x14ac:dyDescent="0.3">
      <c r="A87" s="18"/>
      <c r="B87" s="19"/>
      <c r="C87" s="19"/>
      <c r="D87" s="19"/>
      <c r="E87" s="19"/>
      <c r="F87" s="20"/>
    </row>
    <row r="88" spans="1:6" x14ac:dyDescent="0.3">
      <c r="A88" s="18"/>
      <c r="B88" s="19"/>
      <c r="C88" s="19"/>
      <c r="D88" s="19"/>
      <c r="E88" s="19"/>
      <c r="F88" s="20"/>
    </row>
    <row r="89" spans="1:6" x14ac:dyDescent="0.3">
      <c r="A89" s="18"/>
      <c r="B89" s="19"/>
      <c r="C89" s="19"/>
      <c r="D89" s="19"/>
      <c r="E89" s="19"/>
      <c r="F89" s="20"/>
    </row>
    <row r="90" spans="1:6" x14ac:dyDescent="0.3">
      <c r="A90" s="18"/>
      <c r="B90" s="19"/>
      <c r="C90" s="19"/>
      <c r="D90" s="19"/>
      <c r="E90" s="19"/>
      <c r="F90" s="20"/>
    </row>
    <row r="91" spans="1:6" x14ac:dyDescent="0.3">
      <c r="A91" s="18"/>
      <c r="B91" s="19"/>
      <c r="C91" s="19"/>
      <c r="D91" s="19"/>
      <c r="E91" s="19"/>
      <c r="F91" s="20"/>
    </row>
    <row r="92" spans="1:6" x14ac:dyDescent="0.3">
      <c r="A92" s="18"/>
      <c r="B92" s="19"/>
      <c r="C92" s="19"/>
      <c r="D92" s="19"/>
      <c r="E92" s="19"/>
      <c r="F92" s="20"/>
    </row>
    <row r="93" spans="1:6" x14ac:dyDescent="0.3">
      <c r="A93" s="18"/>
      <c r="B93" s="19"/>
      <c r="C93" s="19"/>
      <c r="D93" s="19"/>
      <c r="E93" s="19"/>
      <c r="F93" s="20"/>
    </row>
    <row r="94" spans="1:6" x14ac:dyDescent="0.3">
      <c r="A94" s="18"/>
      <c r="B94" s="19"/>
      <c r="C94" s="19"/>
      <c r="D94" s="19"/>
      <c r="E94" s="19"/>
      <c r="F94" s="20"/>
    </row>
    <row r="95" spans="1:6" x14ac:dyDescent="0.3">
      <c r="A95" s="18"/>
      <c r="B95" s="19"/>
      <c r="C95" s="19"/>
      <c r="D95" s="19"/>
      <c r="E95" s="19"/>
      <c r="F95" s="20"/>
    </row>
    <row r="96" spans="1:6" x14ac:dyDescent="0.3">
      <c r="A96" s="18"/>
      <c r="B96" s="19"/>
      <c r="C96" s="19"/>
      <c r="D96" s="19"/>
      <c r="E96" s="19"/>
      <c r="F96" s="20"/>
    </row>
    <row r="97" spans="1:6" x14ac:dyDescent="0.3">
      <c r="A97" s="18"/>
      <c r="B97" s="19"/>
      <c r="C97" s="19"/>
      <c r="D97" s="19"/>
      <c r="E97" s="19"/>
      <c r="F97" s="20"/>
    </row>
    <row r="98" spans="1:6" x14ac:dyDescent="0.3">
      <c r="A98" s="18"/>
      <c r="B98" s="19"/>
      <c r="C98" s="19"/>
      <c r="D98" s="19"/>
      <c r="E98" s="19"/>
      <c r="F98" s="20"/>
    </row>
    <row r="99" spans="1:6" x14ac:dyDescent="0.3">
      <c r="A99" s="18"/>
      <c r="B99" s="19"/>
      <c r="C99" s="19"/>
      <c r="D99" s="19"/>
      <c r="E99" s="19"/>
      <c r="F99" s="20"/>
    </row>
    <row r="100" spans="1:6" x14ac:dyDescent="0.3">
      <c r="A100" s="18"/>
      <c r="B100" s="19"/>
      <c r="C100" s="19"/>
      <c r="D100" s="19"/>
      <c r="E100" s="19"/>
      <c r="F100" s="20"/>
    </row>
    <row r="101" spans="1:6" x14ac:dyDescent="0.3">
      <c r="A101" s="18"/>
      <c r="B101" s="19"/>
      <c r="C101" s="19"/>
      <c r="D101" s="19"/>
      <c r="E101" s="19"/>
      <c r="F101" s="20"/>
    </row>
    <row r="102" spans="1:6" x14ac:dyDescent="0.3">
      <c r="B102" s="9"/>
      <c r="C102" s="9"/>
      <c r="D102" s="9"/>
      <c r="E102" s="9"/>
    </row>
    <row r="103" spans="1:6" x14ac:dyDescent="0.3">
      <c r="B103" s="9"/>
      <c r="C103" s="9"/>
      <c r="D103" s="9"/>
      <c r="E103" s="9"/>
    </row>
    <row r="104" spans="1:6" x14ac:dyDescent="0.3">
      <c r="B104" s="9"/>
      <c r="C104" s="9"/>
      <c r="D104" s="9"/>
      <c r="E104" s="9"/>
    </row>
    <row r="105" spans="1:6" x14ac:dyDescent="0.3">
      <c r="B105" s="9"/>
      <c r="C105" s="9"/>
      <c r="D105" s="9"/>
      <c r="E105" s="9"/>
    </row>
    <row r="106" spans="1:6" x14ac:dyDescent="0.3">
      <c r="B106" s="9"/>
      <c r="C106" s="9"/>
      <c r="D106" s="9"/>
      <c r="E106" s="9"/>
    </row>
    <row r="107" spans="1:6" x14ac:dyDescent="0.3">
      <c r="B107" s="9"/>
      <c r="C107" s="9"/>
      <c r="D107" s="9"/>
      <c r="E107" s="9"/>
    </row>
    <row r="108" spans="1:6" x14ac:dyDescent="0.3">
      <c r="B108" s="9"/>
      <c r="C108" s="9"/>
      <c r="D108" s="9"/>
      <c r="E108" s="9"/>
    </row>
    <row r="109" spans="1:6" x14ac:dyDescent="0.3">
      <c r="B109" s="9"/>
      <c r="C109" s="9"/>
      <c r="D109" s="9"/>
      <c r="E109" s="9"/>
    </row>
    <row r="110" spans="1:6" x14ac:dyDescent="0.3">
      <c r="B110" s="9"/>
      <c r="C110" s="9"/>
      <c r="D110" s="9"/>
      <c r="E110" s="9"/>
    </row>
    <row r="111" spans="1:6" x14ac:dyDescent="0.3">
      <c r="B111" s="9"/>
      <c r="C111" s="9"/>
      <c r="D111" s="9"/>
      <c r="E111" s="9"/>
    </row>
    <row r="112" spans="1:6" x14ac:dyDescent="0.3">
      <c r="B112" s="9"/>
      <c r="C112" s="9"/>
      <c r="D112" s="9"/>
      <c r="E112" s="9"/>
    </row>
    <row r="113" spans="2:5" x14ac:dyDescent="0.3">
      <c r="B113" s="9"/>
      <c r="C113" s="9"/>
      <c r="D113" s="9"/>
      <c r="E113" s="9"/>
    </row>
    <row r="114" spans="2:5" x14ac:dyDescent="0.3">
      <c r="B114" s="9"/>
      <c r="C114" s="9"/>
      <c r="D114" s="9"/>
      <c r="E114" s="9"/>
    </row>
    <row r="115" spans="2:5" x14ac:dyDescent="0.3">
      <c r="B115" s="9"/>
      <c r="C115" s="9"/>
      <c r="D115" s="9"/>
      <c r="E115" s="9"/>
    </row>
    <row r="116" spans="2:5" x14ac:dyDescent="0.3">
      <c r="B116" s="9"/>
      <c r="C116" s="9"/>
      <c r="D116" s="9"/>
      <c r="E116" s="9"/>
    </row>
    <row r="117" spans="2:5" x14ac:dyDescent="0.3">
      <c r="B117" s="9"/>
      <c r="C117" s="9"/>
      <c r="D117" s="9"/>
      <c r="E117" s="9"/>
    </row>
    <row r="118" spans="2:5" x14ac:dyDescent="0.3">
      <c r="B118" s="9"/>
      <c r="C118" s="9"/>
      <c r="D118" s="9"/>
      <c r="E118" s="9"/>
    </row>
    <row r="119" spans="2:5" x14ac:dyDescent="0.3">
      <c r="B119" s="9"/>
      <c r="C119" s="9"/>
      <c r="D119" s="9"/>
      <c r="E119" s="9"/>
    </row>
    <row r="120" spans="2:5" x14ac:dyDescent="0.3">
      <c r="B120" s="9"/>
      <c r="C120" s="9"/>
      <c r="D120" s="9"/>
      <c r="E120" s="9"/>
    </row>
    <row r="121" spans="2:5" x14ac:dyDescent="0.3">
      <c r="B121" s="9"/>
      <c r="C121" s="9"/>
      <c r="D121" s="9"/>
      <c r="E121" s="9"/>
    </row>
    <row r="122" spans="2:5" x14ac:dyDescent="0.3">
      <c r="B122" s="9"/>
      <c r="C122" s="9"/>
      <c r="D122" s="9"/>
      <c r="E122" s="9"/>
    </row>
    <row r="123" spans="2:5" x14ac:dyDescent="0.3">
      <c r="B123" s="9"/>
      <c r="C123" s="9"/>
      <c r="D123" s="9"/>
      <c r="E123" s="9"/>
    </row>
    <row r="124" spans="2:5" x14ac:dyDescent="0.3">
      <c r="B124" s="9"/>
      <c r="C124" s="9"/>
      <c r="D124" s="9"/>
      <c r="E124" s="9"/>
    </row>
    <row r="125" spans="2:5" x14ac:dyDescent="0.3">
      <c r="B125" s="9"/>
      <c r="C125" s="9"/>
      <c r="D125" s="9"/>
      <c r="E125" s="9"/>
    </row>
    <row r="126" spans="2:5" x14ac:dyDescent="0.3">
      <c r="B126" s="9"/>
      <c r="C126" s="9"/>
      <c r="D126" s="9"/>
      <c r="E126" s="9"/>
    </row>
    <row r="127" spans="2:5" x14ac:dyDescent="0.3">
      <c r="B127" s="9"/>
      <c r="C127" s="9"/>
      <c r="D127" s="9"/>
      <c r="E127" s="9"/>
    </row>
    <row r="128" spans="2:5" x14ac:dyDescent="0.3">
      <c r="B128" s="9"/>
      <c r="C128" s="9"/>
      <c r="D128" s="9"/>
      <c r="E128" s="9"/>
    </row>
    <row r="129" spans="2:5" x14ac:dyDescent="0.3">
      <c r="B129" s="9"/>
      <c r="C129" s="9"/>
      <c r="D129" s="9"/>
      <c r="E129" s="9"/>
    </row>
    <row r="130" spans="2:5" x14ac:dyDescent="0.3">
      <c r="B130" s="9"/>
      <c r="C130" s="9"/>
      <c r="D130" s="9"/>
      <c r="E130" s="9"/>
    </row>
    <row r="131" spans="2:5" x14ac:dyDescent="0.3">
      <c r="B131" s="9"/>
      <c r="C131" s="9"/>
      <c r="D131" s="9"/>
      <c r="E131" s="9"/>
    </row>
    <row r="132" spans="2:5" x14ac:dyDescent="0.3">
      <c r="B132" s="9"/>
      <c r="C132" s="9"/>
      <c r="D132" s="9"/>
      <c r="E132" s="9"/>
    </row>
    <row r="133" spans="2:5" x14ac:dyDescent="0.3">
      <c r="B133" s="9"/>
      <c r="C133" s="9"/>
      <c r="D133" s="9"/>
      <c r="E133" s="9"/>
    </row>
    <row r="134" spans="2:5" x14ac:dyDescent="0.3">
      <c r="B134" s="9"/>
      <c r="C134" s="9"/>
      <c r="D134" s="9"/>
      <c r="E134" s="9"/>
    </row>
    <row r="135" spans="2:5" x14ac:dyDescent="0.3">
      <c r="B135" s="9"/>
      <c r="C135" s="9"/>
      <c r="D135" s="9"/>
      <c r="E135" s="9"/>
    </row>
    <row r="136" spans="2:5" x14ac:dyDescent="0.3">
      <c r="B136" s="9"/>
      <c r="C136" s="9"/>
      <c r="D136" s="9"/>
      <c r="E136" s="9"/>
    </row>
    <row r="137" spans="2:5" x14ac:dyDescent="0.3">
      <c r="B137" s="9"/>
      <c r="C137" s="9"/>
      <c r="D137" s="9"/>
      <c r="E137" s="9"/>
    </row>
    <row r="138" spans="2:5" x14ac:dyDescent="0.3">
      <c r="B138" s="9"/>
      <c r="C138" s="9"/>
      <c r="D138" s="9"/>
      <c r="E138" s="9"/>
    </row>
    <row r="139" spans="2:5" x14ac:dyDescent="0.3">
      <c r="B139" s="9"/>
      <c r="C139" s="9"/>
      <c r="D139" s="9"/>
      <c r="E139" s="9"/>
    </row>
    <row r="140" spans="2:5" x14ac:dyDescent="0.3">
      <c r="B140" s="9"/>
      <c r="C140" s="9"/>
      <c r="D140" s="9"/>
      <c r="E140" s="9"/>
    </row>
    <row r="141" spans="2:5" x14ac:dyDescent="0.3">
      <c r="B141" s="9"/>
      <c r="C141" s="9"/>
      <c r="D141" s="9"/>
      <c r="E141" s="9"/>
    </row>
    <row r="142" spans="2:5" x14ac:dyDescent="0.3">
      <c r="B142" s="9"/>
      <c r="C142" s="9"/>
      <c r="D142" s="9"/>
      <c r="E142" s="9"/>
    </row>
    <row r="143" spans="2:5" x14ac:dyDescent="0.3">
      <c r="B143" s="9"/>
      <c r="C143" s="9"/>
      <c r="D143" s="9"/>
      <c r="E143" s="9"/>
    </row>
    <row r="144" spans="2:5" x14ac:dyDescent="0.3">
      <c r="B144" s="9"/>
      <c r="C144" s="9"/>
      <c r="D144" s="9"/>
      <c r="E144" s="9"/>
    </row>
    <row r="145" spans="2:5" x14ac:dyDescent="0.3">
      <c r="B145" s="9"/>
      <c r="C145" s="9"/>
      <c r="D145" s="9"/>
      <c r="E145" s="9"/>
    </row>
    <row r="146" spans="2:5" x14ac:dyDescent="0.3">
      <c r="B146" s="9"/>
      <c r="C146" s="9"/>
      <c r="D146" s="9"/>
      <c r="E146" s="9"/>
    </row>
    <row r="147" spans="2:5" x14ac:dyDescent="0.3">
      <c r="B147" s="9"/>
      <c r="C147" s="9"/>
      <c r="D147" s="9"/>
      <c r="E147" s="9"/>
    </row>
    <row r="148" spans="2:5" x14ac:dyDescent="0.3">
      <c r="B148" s="9"/>
      <c r="C148" s="9"/>
      <c r="D148" s="9"/>
      <c r="E148" s="9"/>
    </row>
    <row r="149" spans="2:5" x14ac:dyDescent="0.3">
      <c r="B149" s="9"/>
      <c r="C149" s="9"/>
      <c r="D149" s="9"/>
      <c r="E149" s="9"/>
    </row>
    <row r="150" spans="2:5" x14ac:dyDescent="0.3">
      <c r="B150" s="9"/>
      <c r="C150" s="9"/>
      <c r="D150" s="9"/>
      <c r="E150" s="9"/>
    </row>
    <row r="151" spans="2:5" x14ac:dyDescent="0.3">
      <c r="B151" s="9"/>
      <c r="C151" s="9"/>
      <c r="D151" s="9"/>
      <c r="E151" s="9"/>
    </row>
    <row r="152" spans="2:5" x14ac:dyDescent="0.3">
      <c r="B152" s="9"/>
      <c r="C152" s="9"/>
      <c r="D152" s="9"/>
      <c r="E152" s="9"/>
    </row>
    <row r="153" spans="2:5" x14ac:dyDescent="0.3">
      <c r="B153" s="9"/>
      <c r="C153" s="9"/>
      <c r="D153" s="9"/>
      <c r="E153" s="9"/>
    </row>
    <row r="154" spans="2:5" x14ac:dyDescent="0.3">
      <c r="B154" s="9"/>
      <c r="C154" s="9"/>
      <c r="D154" s="9"/>
      <c r="E154" s="9"/>
    </row>
    <row r="155" spans="2:5" x14ac:dyDescent="0.3">
      <c r="B155" s="9"/>
      <c r="C155" s="9"/>
      <c r="D155" s="9"/>
      <c r="E155" s="9"/>
    </row>
    <row r="156" spans="2:5" x14ac:dyDescent="0.3">
      <c r="B156" s="9"/>
      <c r="C156" s="9"/>
      <c r="D156" s="9"/>
      <c r="E156" s="9"/>
    </row>
    <row r="157" spans="2:5" x14ac:dyDescent="0.3">
      <c r="B157" s="9"/>
      <c r="C157" s="9"/>
      <c r="D157" s="9"/>
      <c r="E157" s="9"/>
    </row>
    <row r="158" spans="2:5" x14ac:dyDescent="0.3">
      <c r="B158" s="9"/>
      <c r="C158" s="9"/>
      <c r="D158" s="9"/>
      <c r="E158" s="9"/>
    </row>
    <row r="159" spans="2:5" x14ac:dyDescent="0.3">
      <c r="B159" s="9"/>
      <c r="C159" s="9"/>
      <c r="D159" s="9"/>
      <c r="E159" s="9"/>
    </row>
    <row r="160" spans="2:5" x14ac:dyDescent="0.3">
      <c r="B160" s="9"/>
      <c r="C160" s="9"/>
      <c r="D160" s="9"/>
      <c r="E160" s="9"/>
    </row>
    <row r="161" spans="2:5" x14ac:dyDescent="0.3">
      <c r="B161" s="9"/>
      <c r="C161" s="9"/>
      <c r="D161" s="9"/>
      <c r="E161" s="9"/>
    </row>
    <row r="162" spans="2:5" x14ac:dyDescent="0.3">
      <c r="B162" s="9"/>
      <c r="C162" s="9"/>
      <c r="D162" s="9"/>
      <c r="E162" s="9"/>
    </row>
    <row r="163" spans="2:5" x14ac:dyDescent="0.3">
      <c r="B163" s="9"/>
      <c r="C163" s="9"/>
      <c r="D163" s="9"/>
      <c r="E163" s="9"/>
    </row>
    <row r="164" spans="2:5" x14ac:dyDescent="0.3">
      <c r="B164" s="9"/>
      <c r="C164" s="9"/>
      <c r="D164" s="9"/>
      <c r="E164" s="9"/>
    </row>
    <row r="165" spans="2:5" x14ac:dyDescent="0.3">
      <c r="B165" s="9"/>
      <c r="C165" s="9"/>
      <c r="D165" s="9"/>
      <c r="E165" s="9"/>
    </row>
    <row r="166" spans="2:5" x14ac:dyDescent="0.3">
      <c r="B166" s="9"/>
      <c r="C166" s="9"/>
      <c r="D166" s="9"/>
      <c r="E166" s="9"/>
    </row>
    <row r="167" spans="2:5" x14ac:dyDescent="0.3">
      <c r="B167" s="9"/>
      <c r="C167" s="9"/>
      <c r="D167" s="9"/>
      <c r="E167" s="9"/>
    </row>
    <row r="168" spans="2:5" x14ac:dyDescent="0.3">
      <c r="B168" s="9"/>
      <c r="C168" s="9"/>
      <c r="D168" s="9"/>
      <c r="E168" s="9"/>
    </row>
    <row r="169" spans="2:5" x14ac:dyDescent="0.3">
      <c r="B169" s="9"/>
      <c r="C169" s="9"/>
      <c r="D169" s="9"/>
      <c r="E169" s="9"/>
    </row>
    <row r="170" spans="2:5" x14ac:dyDescent="0.3">
      <c r="B170" s="9"/>
      <c r="C170" s="9"/>
      <c r="D170" s="9"/>
      <c r="E170" s="9"/>
    </row>
    <row r="171" spans="2:5" x14ac:dyDescent="0.3">
      <c r="B171" s="9"/>
      <c r="C171" s="9"/>
      <c r="D171" s="9"/>
      <c r="E171" s="9"/>
    </row>
    <row r="172" spans="2:5" x14ac:dyDescent="0.3">
      <c r="B172" s="9"/>
      <c r="C172" s="9"/>
      <c r="D172" s="9"/>
      <c r="E172" s="9"/>
    </row>
    <row r="173" spans="2:5" x14ac:dyDescent="0.3">
      <c r="B173" s="9"/>
      <c r="C173" s="9"/>
      <c r="D173" s="9"/>
      <c r="E173" s="9"/>
    </row>
    <row r="174" spans="2:5" x14ac:dyDescent="0.3">
      <c r="B174" s="9"/>
      <c r="C174" s="9"/>
      <c r="D174" s="9"/>
      <c r="E174" s="9"/>
    </row>
    <row r="175" spans="2:5" x14ac:dyDescent="0.3">
      <c r="B175" s="9"/>
      <c r="C175" s="9"/>
      <c r="D175" s="9"/>
      <c r="E175" s="9"/>
    </row>
    <row r="176" spans="2:5" x14ac:dyDescent="0.3">
      <c r="B176" s="9"/>
      <c r="C176" s="9"/>
      <c r="D176" s="9"/>
      <c r="E176" s="9"/>
    </row>
    <row r="177" spans="2:5" x14ac:dyDescent="0.3">
      <c r="B177" s="9"/>
      <c r="C177" s="9"/>
      <c r="D177" s="9"/>
      <c r="E177" s="9"/>
    </row>
    <row r="178" spans="2:5" x14ac:dyDescent="0.3">
      <c r="B178" s="9"/>
      <c r="C178" s="9"/>
      <c r="D178" s="9"/>
      <c r="E178" s="9"/>
    </row>
    <row r="179" spans="2:5" x14ac:dyDescent="0.3">
      <c r="B179" s="9"/>
      <c r="C179" s="9"/>
      <c r="D179" s="9"/>
      <c r="E179" s="9"/>
    </row>
    <row r="180" spans="2:5" x14ac:dyDescent="0.3">
      <c r="B180" s="9"/>
      <c r="C180" s="9"/>
      <c r="D180" s="9"/>
      <c r="E180" s="9"/>
    </row>
    <row r="181" spans="2:5" x14ac:dyDescent="0.3">
      <c r="B181" s="9"/>
      <c r="C181" s="9"/>
      <c r="D181" s="9"/>
      <c r="E181" s="9"/>
    </row>
    <row r="182" spans="2:5" x14ac:dyDescent="0.3">
      <c r="B182" s="9"/>
      <c r="C182" s="9"/>
      <c r="D182" s="9"/>
      <c r="E182" s="9"/>
    </row>
    <row r="183" spans="2:5" x14ac:dyDescent="0.3">
      <c r="B183" s="9"/>
      <c r="C183" s="9"/>
      <c r="D183" s="9"/>
      <c r="E183" s="9"/>
    </row>
    <row r="184" spans="2:5" x14ac:dyDescent="0.3">
      <c r="B184" s="9"/>
      <c r="C184" s="9"/>
      <c r="D184" s="9"/>
      <c r="E184" s="9"/>
    </row>
    <row r="185" spans="2:5" x14ac:dyDescent="0.3">
      <c r="B185" s="9"/>
      <c r="C185" s="9"/>
      <c r="D185" s="9"/>
      <c r="E185" s="9"/>
    </row>
    <row r="186" spans="2:5" x14ac:dyDescent="0.3">
      <c r="B186" s="9"/>
      <c r="C186" s="9"/>
      <c r="D186" s="9"/>
      <c r="E186" s="9"/>
    </row>
    <row r="187" spans="2:5" x14ac:dyDescent="0.3">
      <c r="B187" s="9"/>
      <c r="C187" s="9"/>
      <c r="D187" s="9"/>
      <c r="E187" s="9"/>
    </row>
    <row r="188" spans="2:5" x14ac:dyDescent="0.3">
      <c r="B188" s="9"/>
      <c r="C188" s="9"/>
      <c r="D188" s="9"/>
      <c r="E188" s="9"/>
    </row>
    <row r="189" spans="2:5" x14ac:dyDescent="0.3">
      <c r="B189" s="9"/>
      <c r="C189" s="9"/>
      <c r="D189" s="9"/>
      <c r="E189" s="9"/>
    </row>
    <row r="190" spans="2:5" x14ac:dyDescent="0.3">
      <c r="B190" s="9"/>
      <c r="C190" s="9"/>
      <c r="D190" s="9"/>
      <c r="E190" s="9"/>
    </row>
    <row r="191" spans="2:5" x14ac:dyDescent="0.3">
      <c r="B191" s="9"/>
      <c r="C191" s="9"/>
      <c r="D191" s="9"/>
      <c r="E191" s="9"/>
    </row>
    <row r="192" spans="2:5" x14ac:dyDescent="0.3">
      <c r="B192" s="9"/>
      <c r="C192" s="9"/>
      <c r="D192" s="9"/>
      <c r="E192" s="9"/>
    </row>
    <row r="193" spans="2:5" x14ac:dyDescent="0.3">
      <c r="B193" s="9"/>
      <c r="C193" s="9"/>
      <c r="D193" s="9"/>
      <c r="E193" s="9"/>
    </row>
    <row r="194" spans="2:5" x14ac:dyDescent="0.3">
      <c r="B194" s="9"/>
      <c r="C194" s="9"/>
      <c r="D194" s="9"/>
      <c r="E194" s="9"/>
    </row>
    <row r="195" spans="2:5" x14ac:dyDescent="0.3">
      <c r="B195" s="9"/>
      <c r="C195" s="9"/>
      <c r="D195" s="9"/>
      <c r="E195" s="9"/>
    </row>
    <row r="196" spans="2:5" x14ac:dyDescent="0.3">
      <c r="B196" s="9"/>
      <c r="C196" s="9"/>
      <c r="D196" s="9"/>
      <c r="E196" s="9"/>
    </row>
    <row r="197" spans="2:5" x14ac:dyDescent="0.3">
      <c r="B197" s="9"/>
      <c r="C197" s="9"/>
      <c r="D197" s="9"/>
      <c r="E197" s="9"/>
    </row>
    <row r="198" spans="2:5" x14ac:dyDescent="0.3">
      <c r="B198" s="9"/>
      <c r="C198" s="9"/>
      <c r="D198" s="9"/>
      <c r="E198" s="9"/>
    </row>
    <row r="199" spans="2:5" x14ac:dyDescent="0.3">
      <c r="B199" s="9"/>
      <c r="C199" s="9"/>
      <c r="D199" s="9"/>
      <c r="E199" s="9"/>
    </row>
    <row r="200" spans="2:5" x14ac:dyDescent="0.3">
      <c r="B200" s="9"/>
      <c r="C200" s="9"/>
      <c r="D200" s="9"/>
      <c r="E200" s="9"/>
    </row>
    <row r="201" spans="2:5" x14ac:dyDescent="0.3">
      <c r="B201" s="9"/>
      <c r="C201" s="9"/>
      <c r="D201" s="9"/>
      <c r="E201" s="9"/>
    </row>
  </sheetData>
  <sortState xmlns:xlrd2="http://schemas.microsoft.com/office/spreadsheetml/2017/richdata2" ref="A3:F58">
    <sortCondition descending="1" ref="D3:D500"/>
  </sortState>
  <conditionalFormatting sqref="G2">
    <cfRule type="cellIs" dxfId="0" priority="1" operator="not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C64E5EB-DED6-4D26-AE52-16632268E8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46D246-6ACF-459C-B010-EB77EADB04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B9F47D-F6F5-49DF-ADD9-0C8BF96DA70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  Daily Exposures by Name</vt:lpstr>
      <vt:lpstr>Curated Data</vt:lpstr>
      <vt:lpstr>Aggregated Data</vt:lpstr>
      <vt:lpstr>'Aggregated Data'!DeltaExpGross</vt:lpstr>
      <vt:lpstr>'Curated Data'!DeltaExpGross</vt:lpstr>
      <vt:lpstr>'Aggregated Data'!DeltaExpLong</vt:lpstr>
      <vt:lpstr>'Curated Data'!DeltaExpLong</vt:lpstr>
      <vt:lpstr>'Aggregated Data'!DeltaExpNet</vt:lpstr>
      <vt:lpstr>'Curated Data'!DeltaExpNet</vt:lpstr>
      <vt:lpstr>'Aggregated Data'!DeltaExpShort</vt:lpstr>
      <vt:lpstr>'Curated Data'!DeltaExpShort</vt:lpstr>
      <vt:lpstr>'Aggregated Data'!DropSpot</vt:lpstr>
      <vt:lpstr>'Curated Data'!DropSpot</vt:lpstr>
      <vt:lpstr>'Curated Data'!PosStart</vt:lpstr>
      <vt:lpstr>'Aggregated Data'!SecurityName</vt:lpstr>
      <vt:lpstr>'Curated Data'!SecurityName</vt:lpstr>
      <vt:lpstr>'Aggregated Data'!TopTenLMV</vt:lpstr>
      <vt:lpstr>'Aggregated Data'!UnderlyingSymbol</vt:lpstr>
      <vt:lpstr>'Curated Data'!UnderlyingSymbol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Lee Kafafian</cp:lastModifiedBy>
  <dcterms:created xsi:type="dcterms:W3CDTF">2023-09-11T21:26:14Z</dcterms:created>
  <dcterms:modified xsi:type="dcterms:W3CDTF">2025-01-29T14:17:27Z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2023-09-11T21:26:57Z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d1e79fc9-0d29-4369-8499-e6c753fb68fe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