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llostery.sharepoint.com/sites/Trading/Shared Documents/Operations/Data Capture/"/>
    </mc:Choice>
  </mc:AlternateContent>
  <xr:revisionPtr revIDLastSave="0" documentId="8_{A34D13AB-B642-4D4B-9E6E-428B41A6A7AE}" xr6:coauthVersionLast="47" xr6:coauthVersionMax="47" xr10:uidLastSave="{00000000-0000-0000-0000-000000000000}"/>
  <bookViews>
    <workbookView xWindow="2890" yWindow="810" windowWidth="32200" windowHeight="18550" activeTab="1" xr2:uid="{3DCC0603-A1AE-4797-9F8B-B9DCA322AAF2}"/>
  </bookViews>
  <sheets>
    <sheet name="Portfolio" sheetId="1" r:id="rId1"/>
    <sheet name="PriceQuery" sheetId="2" r:id="rId2"/>
  </sheets>
  <functionGroups builtInGroupCount="19"/>
  <definedNames>
    <definedName name="BegDate">PriceQuery!$E$1</definedName>
    <definedName name="DropSpot">PriceQuery!$B$5</definedName>
    <definedName name="EndDate">PriceQuery!$E$2</definedName>
    <definedName name="MNEMONIC">PriceQuery!$E$3</definedName>
    <definedName name="TickerList">PriceQuery!$C$5:$Y$5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10" i="2" l="1" a="1"/>
  <c r="V10" i="2"/>
  <c r="V8" i="2" a="1"/>
  <c r="V8" i="2"/>
  <c r="V6" i="2" a="1"/>
  <c r="V6" i="2"/>
  <c r="V15" i="2" a="1"/>
  <c r="V15" i="2"/>
  <c r="V17" i="2" a="1"/>
  <c r="V17" i="2"/>
  <c r="V20" i="2" a="1"/>
  <c r="V20" i="2"/>
  <c r="V19" i="2" a="1"/>
  <c r="V19" i="2"/>
  <c r="V7" i="2" a="1"/>
  <c r="V7" i="2"/>
  <c r="V16" i="2" a="1"/>
  <c r="V16" i="2"/>
  <c r="V13" i="2" a="1"/>
  <c r="V13" i="2"/>
  <c r="V9" i="2" a="1"/>
  <c r="V9" i="2"/>
  <c r="V12" i="2" a="1"/>
  <c r="V12" i="2"/>
  <c r="V11" i="2" a="1"/>
  <c r="V11" i="2"/>
  <c r="V14" i="2" a="1"/>
  <c r="V14" i="2"/>
  <c r="V18" i="2" a="1"/>
  <c r="V18" i="2"/>
  <c r="I13" i="2" a="1"/>
  <c r="I13" i="2" l="1"/>
  <c r="H13" i="2" a="1"/>
  <c r="H13" i="2"/>
  <c r="L13" i="2" a="1"/>
  <c r="L13" i="2"/>
  <c r="N13" i="2" a="1"/>
  <c r="N13" i="2"/>
  <c r="D13" i="2" a="1"/>
  <c r="D13" i="2"/>
  <c r="J13" i="2" a="1"/>
  <c r="J13" i="2"/>
  <c r="Q13" i="2" a="1"/>
  <c r="Q13" i="2"/>
  <c r="E13" i="2" a="1"/>
  <c r="E13" i="2"/>
  <c r="O11" i="2" a="1"/>
  <c r="O11" i="2"/>
  <c r="M11" i="2" a="1"/>
  <c r="M11" i="2"/>
  <c r="H11" i="2" a="1"/>
  <c r="H11" i="2"/>
  <c r="K11" i="2" a="1"/>
  <c r="K11" i="2"/>
  <c r="T11" i="2" a="1"/>
  <c r="T11" i="2"/>
  <c r="D11" i="2" a="1"/>
  <c r="D11" i="2"/>
  <c r="P11" i="2" a="1"/>
  <c r="P11" i="2"/>
  <c r="R11" i="2" a="1"/>
  <c r="R11" i="2"/>
  <c r="P19" i="2" a="1"/>
  <c r="P19" i="2"/>
  <c r="T19" i="2" a="1"/>
  <c r="T19" i="2"/>
  <c r="Q19" i="2" a="1"/>
  <c r="Q19" i="2"/>
  <c r="E19" i="2" a="1"/>
  <c r="E19" i="2"/>
  <c r="F19" i="2" a="1"/>
  <c r="F19" i="2"/>
  <c r="I19" i="2" a="1"/>
  <c r="I19" i="2"/>
  <c r="C19" i="2" a="1"/>
  <c r="C19" i="2"/>
  <c r="M19" i="2" a="1"/>
  <c r="M19" i="2"/>
  <c r="Q11" i="2" a="1"/>
  <c r="Q11" i="2"/>
  <c r="C11" i="2" a="1"/>
  <c r="C11" i="2"/>
  <c r="L11" i="2" a="1"/>
  <c r="L11" i="2"/>
  <c r="G11" i="2" a="1"/>
  <c r="G11" i="2"/>
  <c r="N11" i="2" a="1"/>
  <c r="N11" i="2"/>
  <c r="F11" i="2" a="1"/>
  <c r="F11" i="2"/>
  <c r="J11" i="2" a="1"/>
  <c r="J11" i="2"/>
  <c r="E11" i="2" a="1"/>
  <c r="E11" i="2"/>
  <c r="R13" i="2" a="1"/>
  <c r="R13" i="2"/>
  <c r="K13" i="2" a="1"/>
  <c r="K13" i="2"/>
  <c r="T13" i="2" a="1"/>
  <c r="T13" i="2"/>
  <c r="U13" i="2" a="1"/>
  <c r="U13" i="2"/>
  <c r="P13" i="2" a="1"/>
  <c r="P13" i="2"/>
  <c r="S13" i="2" a="1"/>
  <c r="S13" i="2"/>
  <c r="M13" i="2" a="1"/>
  <c r="M13" i="2"/>
  <c r="I11" i="2" a="1"/>
  <c r="I11" i="2"/>
  <c r="U11" i="2" a="1"/>
  <c r="U11" i="2"/>
  <c r="S11" i="2" a="1"/>
  <c r="S11" i="2"/>
  <c r="R19" i="2" a="1"/>
  <c r="R19" i="2"/>
  <c r="U19" i="2" a="1"/>
  <c r="U19" i="2"/>
  <c r="N19" i="2" a="1"/>
  <c r="N19" i="2"/>
  <c r="J19" i="2" a="1"/>
  <c r="J19" i="2"/>
  <c r="K19" i="2" a="1"/>
  <c r="K19" i="2"/>
  <c r="G19" i="2" a="1"/>
  <c r="G19" i="2"/>
  <c r="L19" i="2" a="1"/>
  <c r="L19" i="2"/>
  <c r="S20" i="2" a="1"/>
  <c r="S20" i="2"/>
  <c r="K20" i="2" a="1"/>
  <c r="K20" i="2"/>
  <c r="M20" i="2" a="1"/>
  <c r="M20" i="2"/>
  <c r="Q20" i="2" a="1"/>
  <c r="Q20" i="2"/>
  <c r="U20" i="2" a="1"/>
  <c r="U20" i="2"/>
  <c r="O20" i="2" a="1"/>
  <c r="O20" i="2"/>
  <c r="D20" i="2" a="1"/>
  <c r="D20" i="2"/>
  <c r="R20" i="2" a="1"/>
  <c r="R20" i="2"/>
  <c r="D19" i="2" a="1"/>
  <c r="D19" i="2"/>
  <c r="O13" i="2" a="1"/>
  <c r="O13" i="2"/>
  <c r="C6" i="2" a="1"/>
  <c r="C6" i="2"/>
  <c r="J6" i="2" a="1"/>
  <c r="J6" i="2"/>
  <c r="P6" i="2" a="1"/>
  <c r="P6" i="2"/>
  <c r="N6" i="2" a="1"/>
  <c r="N6" i="2"/>
  <c r="H6" i="2" a="1"/>
  <c r="H6" i="2"/>
  <c r="M6" i="2" a="1"/>
  <c r="M6" i="2"/>
  <c r="Q6" i="2" a="1"/>
  <c r="Q6" i="2"/>
  <c r="S19" i="2" a="1"/>
  <c r="S19" i="2"/>
  <c r="O19" i="2" a="1"/>
  <c r="O19" i="2"/>
  <c r="H19" i="2" a="1"/>
  <c r="H19" i="2"/>
  <c r="T6" i="2" a="1"/>
  <c r="T6" i="2"/>
  <c r="G6" i="2" a="1"/>
  <c r="G6" i="2"/>
  <c r="O6" i="2" a="1"/>
  <c r="O6" i="2"/>
  <c r="S6" i="2" a="1"/>
  <c r="S6" i="2"/>
  <c r="I6" i="2" a="1"/>
  <c r="I6" i="2"/>
  <c r="U6" i="2" a="1"/>
  <c r="U6" i="2"/>
  <c r="E6" i="2" a="1"/>
  <c r="E6" i="2"/>
  <c r="F6" i="2" a="1"/>
  <c r="F6" i="2"/>
  <c r="D6" i="2" a="1"/>
  <c r="D6" i="2"/>
  <c r="R6" i="2" a="1"/>
  <c r="R6" i="2"/>
  <c r="K6" i="2" a="1"/>
  <c r="K6" i="2"/>
  <c r="L6" i="2" a="1"/>
  <c r="L6" i="2"/>
  <c r="R12" i="2" a="1"/>
  <c r="R12" i="2"/>
  <c r="I12" i="2" a="1"/>
  <c r="I12" i="2"/>
  <c r="O12" i="2" a="1"/>
  <c r="O12" i="2"/>
  <c r="G13" i="2" a="1"/>
  <c r="G13" i="2"/>
  <c r="F13" i="2" a="1"/>
  <c r="F13" i="2"/>
  <c r="C13" i="2" a="1"/>
  <c r="C13" i="2"/>
  <c r="J17" i="2" a="1"/>
  <c r="J17" i="2"/>
  <c r="F17" i="2" a="1"/>
  <c r="F17" i="2"/>
  <c r="L17" i="2" a="1"/>
  <c r="L17" i="2"/>
  <c r="T17" i="2" a="1"/>
  <c r="T17" i="2"/>
  <c r="R17" i="2" a="1"/>
  <c r="R17" i="2"/>
  <c r="Q17" i="2" a="1"/>
  <c r="Q17" i="2"/>
  <c r="G17" i="2" a="1"/>
  <c r="G17" i="2"/>
  <c r="N17" i="2" a="1"/>
  <c r="N17" i="2"/>
  <c r="R7" i="2" a="1"/>
  <c r="R7" i="2"/>
  <c r="T7" i="2" a="1"/>
  <c r="T7" i="2"/>
  <c r="K7" i="2" a="1"/>
  <c r="K7" i="2"/>
  <c r="Q7" i="2" a="1"/>
  <c r="Q7" i="2"/>
  <c r="J7" i="2" a="1"/>
  <c r="J7" i="2"/>
  <c r="F7" i="2" a="1"/>
  <c r="F7" i="2"/>
  <c r="S7" i="2" a="1"/>
  <c r="S7" i="2"/>
  <c r="N7" i="2" a="1"/>
  <c r="N7" i="2"/>
  <c r="U18" i="2" a="1"/>
  <c r="U18" i="2"/>
  <c r="K18" i="2" a="1"/>
  <c r="K18" i="2"/>
  <c r="E18" i="2" a="1"/>
  <c r="E18" i="2"/>
  <c r="P7" i="2" a="1"/>
  <c r="P7" i="2"/>
  <c r="C7" i="2" a="1"/>
  <c r="C7" i="2"/>
  <c r="D7" i="2" a="1"/>
  <c r="D7" i="2"/>
  <c r="E7" i="2" a="1"/>
  <c r="E7" i="2"/>
  <c r="N16" i="2" a="1"/>
  <c r="N16" i="2"/>
  <c r="H7" i="2" a="1"/>
  <c r="H7" i="2"/>
  <c r="J16" i="2" a="1"/>
  <c r="J16" i="2"/>
  <c r="F16" i="2" a="1"/>
  <c r="F16" i="2"/>
  <c r="L7" i="2" a="1"/>
  <c r="L7" i="2"/>
  <c r="K16" i="2" a="1"/>
  <c r="K16" i="2"/>
  <c r="O16" i="2" a="1"/>
  <c r="O16" i="2"/>
  <c r="P16" i="2" a="1"/>
  <c r="P16" i="2"/>
  <c r="D16" i="2" a="1"/>
  <c r="D16" i="2"/>
  <c r="L16" i="2" a="1"/>
  <c r="L16" i="2"/>
  <c r="I7" i="2" a="1"/>
  <c r="I7" i="2"/>
  <c r="M7" i="2" a="1"/>
  <c r="M7" i="2"/>
  <c r="S18" i="2" a="1"/>
  <c r="S18" i="2"/>
  <c r="J18" i="2" a="1"/>
  <c r="J18" i="2"/>
  <c r="H18" i="2" a="1"/>
  <c r="H18" i="2"/>
  <c r="P18" i="2" a="1"/>
  <c r="P18" i="2"/>
  <c r="G18" i="2" a="1"/>
  <c r="G18" i="2"/>
  <c r="M17" i="2" a="1"/>
  <c r="M17" i="2"/>
  <c r="O17" i="2" a="1"/>
  <c r="O17" i="2"/>
  <c r="T16" i="2" a="1"/>
  <c r="T16" i="2"/>
  <c r="D17" i="2" a="1"/>
  <c r="D17" i="2"/>
  <c r="Q16" i="2" a="1"/>
  <c r="Q16" i="2"/>
  <c r="U16" i="2" a="1"/>
  <c r="U16" i="2"/>
  <c r="H17" i="2" a="1"/>
  <c r="H17" i="2"/>
  <c r="M16" i="2" a="1"/>
  <c r="M16" i="2"/>
  <c r="E17" i="2" a="1"/>
  <c r="E17" i="2"/>
  <c r="I16" i="2" a="1"/>
  <c r="I16" i="2"/>
  <c r="I17" i="2" a="1"/>
  <c r="I17" i="2"/>
  <c r="S17" i="2" a="1"/>
  <c r="S17" i="2"/>
  <c r="K17" i="2" a="1"/>
  <c r="K17" i="2"/>
  <c r="C16" i="2" a="1"/>
  <c r="C16" i="2"/>
  <c r="E16" i="2" a="1"/>
  <c r="E16" i="2"/>
  <c r="R16" i="2" a="1"/>
  <c r="R16" i="2"/>
  <c r="C9" i="2" a="1"/>
  <c r="C9" i="2"/>
  <c r="Q9" i="2" a="1"/>
  <c r="Q9" i="2"/>
  <c r="E9" i="2" a="1"/>
  <c r="E9" i="2"/>
  <c r="K9" i="2" a="1"/>
  <c r="K9" i="2"/>
  <c r="S9" i="2" a="1"/>
  <c r="S9" i="2"/>
  <c r="H9" i="2" a="1"/>
  <c r="H9" i="2"/>
  <c r="G9" i="2" a="1"/>
  <c r="G9" i="2"/>
  <c r="F9" i="2" a="1"/>
  <c r="F9" i="2"/>
  <c r="J15" i="2" a="1"/>
  <c r="J15" i="2"/>
  <c r="Q15" i="2" a="1"/>
  <c r="Q15" i="2"/>
  <c r="G15" i="2" a="1"/>
  <c r="G15" i="2"/>
  <c r="D15" i="2" a="1"/>
  <c r="D15" i="2"/>
  <c r="P15" i="2" a="1"/>
  <c r="P15" i="2"/>
  <c r="N15" i="2" a="1"/>
  <c r="N15" i="2"/>
  <c r="E15" i="2" a="1"/>
  <c r="E15" i="2"/>
  <c r="L15" i="2" a="1"/>
  <c r="L15" i="2"/>
  <c r="K15" i="2" a="1"/>
  <c r="K15" i="2"/>
  <c r="I15" i="2" a="1"/>
  <c r="I15" i="2"/>
  <c r="C15" i="2" a="1"/>
  <c r="C15" i="2"/>
  <c r="K10" i="2" a="1"/>
  <c r="K10" i="2"/>
  <c r="E10" i="2" a="1"/>
  <c r="E10" i="2"/>
  <c r="S10" i="2" a="1"/>
  <c r="S10" i="2"/>
  <c r="P10" i="2" a="1"/>
  <c r="P10" i="2"/>
  <c r="C10" i="2" a="1"/>
  <c r="C10" i="2"/>
  <c r="Q10" i="2" a="1"/>
  <c r="Q10" i="2"/>
  <c r="T10" i="2" a="1"/>
  <c r="T10" i="2"/>
  <c r="N10" i="2" a="1"/>
  <c r="N10" i="2"/>
  <c r="S14" i="2" a="1"/>
  <c r="S14" i="2"/>
  <c r="G14" i="2" a="1"/>
  <c r="G14" i="2"/>
  <c r="U14" i="2" a="1"/>
  <c r="U14" i="2"/>
  <c r="T14" i="2" a="1"/>
  <c r="T14" i="2"/>
  <c r="L14" i="2" a="1"/>
  <c r="L14" i="2"/>
  <c r="F14" i="2" a="1"/>
  <c r="F14" i="2"/>
  <c r="R14" i="2" a="1"/>
  <c r="R14" i="2"/>
  <c r="P12" i="2" a="1"/>
  <c r="P12" i="2"/>
  <c r="J12" i="2" a="1"/>
  <c r="J12" i="2"/>
  <c r="H12" i="2" a="1"/>
  <c r="H12" i="2"/>
  <c r="D12" i="2" a="1"/>
  <c r="D12" i="2"/>
  <c r="F12" i="2" a="1"/>
  <c r="F12" i="2"/>
  <c r="L12" i="2" a="1"/>
  <c r="L12" i="2"/>
  <c r="G12" i="2" a="1"/>
  <c r="G12" i="2"/>
  <c r="U12" i="2" a="1"/>
  <c r="U12" i="2"/>
  <c r="N12" i="2" a="1"/>
  <c r="N12" i="2"/>
  <c r="K12" i="2" a="1"/>
  <c r="K12" i="2"/>
  <c r="M12" i="2" a="1"/>
  <c r="M12" i="2"/>
  <c r="Q12" i="2" a="1"/>
  <c r="Q12" i="2"/>
  <c r="C12" i="2" a="1"/>
  <c r="C12" i="2"/>
  <c r="S12" i="2" a="1"/>
  <c r="S12" i="2"/>
  <c r="E12" i="2" a="1"/>
  <c r="E12" i="2"/>
  <c r="K14" i="2" a="1"/>
  <c r="K14" i="2"/>
  <c r="S8" i="2" a="1"/>
  <c r="S8" i="2"/>
  <c r="D8" i="2" a="1"/>
  <c r="D8" i="2"/>
  <c r="E8" i="2" a="1"/>
  <c r="E8" i="2"/>
  <c r="K8" i="2" a="1"/>
  <c r="K8" i="2"/>
  <c r="F8" i="2" a="1"/>
  <c r="F8" i="2"/>
  <c r="P8" i="2" a="1"/>
  <c r="P8" i="2"/>
  <c r="U8" i="2" a="1"/>
  <c r="U8" i="2"/>
  <c r="J10" i="2" a="1"/>
  <c r="J10" i="2"/>
  <c r="G10" i="2" a="1"/>
  <c r="G10" i="2"/>
  <c r="R10" i="2" a="1"/>
  <c r="R10" i="2"/>
  <c r="F10" i="2" a="1"/>
  <c r="F10" i="2"/>
  <c r="M10" i="2" a="1"/>
  <c r="M10" i="2"/>
  <c r="H10" i="2" a="1"/>
  <c r="H10" i="2"/>
  <c r="O10" i="2" a="1"/>
  <c r="O10" i="2"/>
  <c r="O15" i="2" a="1"/>
  <c r="O15" i="2"/>
  <c r="R15" i="2" a="1"/>
  <c r="R15" i="2"/>
  <c r="U15" i="2" a="1"/>
  <c r="U15" i="2"/>
  <c r="S15" i="2" a="1"/>
  <c r="S15" i="2"/>
  <c r="H15" i="2" a="1"/>
  <c r="H15" i="2"/>
  <c r="T15" i="2" a="1"/>
  <c r="T15" i="2"/>
  <c r="M15" i="2" a="1"/>
  <c r="M15" i="2"/>
  <c r="F15" i="2" a="1"/>
  <c r="F15" i="2"/>
  <c r="L8" i="2" a="1"/>
  <c r="L8" i="2"/>
  <c r="R8" i="2" a="1"/>
  <c r="R8" i="2"/>
  <c r="Q8" i="2" a="1"/>
  <c r="Q8" i="2"/>
  <c r="Q18" i="2" a="1"/>
  <c r="Q18" i="2"/>
  <c r="N18" i="2" a="1"/>
  <c r="N18" i="2"/>
  <c r="F18" i="2" a="1"/>
  <c r="F18" i="2"/>
  <c r="C18" i="2" a="1"/>
  <c r="C18" i="2"/>
  <c r="R18" i="2" a="1"/>
  <c r="R18" i="2"/>
  <c r="T18" i="2" a="1"/>
  <c r="T18" i="2"/>
  <c r="M9" i="2" a="1"/>
  <c r="M9" i="2"/>
  <c r="U9" i="2" a="1"/>
  <c r="U9" i="2"/>
  <c r="N9" i="2" a="1"/>
  <c r="N9" i="2"/>
  <c r="L18" i="2" a="1"/>
  <c r="L18" i="2"/>
  <c r="I9" i="2" a="1"/>
  <c r="I9" i="2"/>
  <c r="J9" i="2" a="1"/>
  <c r="J9" i="2"/>
  <c r="D9" i="2" a="1"/>
  <c r="D9" i="2"/>
  <c r="P9" i="2" a="1"/>
  <c r="P9" i="2"/>
  <c r="L10" i="2" a="1"/>
  <c r="L10" i="2"/>
  <c r="O9" i="2" a="1"/>
  <c r="O9" i="2"/>
  <c r="O8" i="2" a="1"/>
  <c r="O8" i="2"/>
  <c r="G8" i="2" a="1"/>
  <c r="G8" i="2"/>
  <c r="P20" i="2" a="1"/>
  <c r="P20" i="2"/>
  <c r="I20" i="2" a="1"/>
  <c r="I20" i="2"/>
  <c r="H20" i="2" a="1"/>
  <c r="H20" i="2"/>
  <c r="C8" i="2" a="1"/>
  <c r="C8" i="2"/>
  <c r="C20" i="2" a="1"/>
  <c r="C20" i="2"/>
  <c r="J8" i="2" a="1"/>
  <c r="J8" i="2"/>
  <c r="N20" i="2" a="1"/>
  <c r="N20" i="2"/>
  <c r="M8" i="2" a="1"/>
  <c r="M8" i="2"/>
  <c r="G20" i="2" a="1"/>
  <c r="G20" i="2"/>
  <c r="F20" i="2" a="1"/>
  <c r="F20" i="2"/>
  <c r="N8" i="2" a="1"/>
  <c r="N8" i="2"/>
  <c r="T12" i="2" a="1"/>
  <c r="T12" i="2"/>
  <c r="L20" i="2" a="1"/>
  <c r="L20" i="2"/>
  <c r="I18" i="2" a="1"/>
  <c r="I18" i="2"/>
  <c r="D14" i="2" a="1"/>
  <c r="D14" i="2"/>
  <c r="Q14" i="2" a="1"/>
  <c r="Q14" i="2"/>
  <c r="J14" i="2" a="1"/>
  <c r="J14" i="2"/>
  <c r="O14" i="2" a="1"/>
  <c r="O14" i="2"/>
  <c r="C14" i="2" a="1"/>
  <c r="C14" i="2"/>
  <c r="I14" i="2" a="1"/>
  <c r="I14" i="2"/>
  <c r="P14" i="2" a="1"/>
  <c r="P14" i="2"/>
  <c r="M14" i="2" a="1"/>
  <c r="M14" i="2"/>
  <c r="U7" i="2" a="1"/>
  <c r="U7" i="2"/>
  <c r="O7" i="2" a="1"/>
  <c r="O7" i="2"/>
  <c r="U10" i="2" a="1"/>
  <c r="U10" i="2"/>
  <c r="D10" i="2" a="1"/>
  <c r="D10" i="2"/>
  <c r="I10" i="2" a="1"/>
  <c r="I10" i="2"/>
  <c r="C17" i="2" a="1"/>
  <c r="C17" i="2"/>
  <c r="U17" i="2" a="1"/>
  <c r="U17" i="2"/>
  <c r="P17" i="2" a="1"/>
  <c r="P17" i="2"/>
  <c r="G7" i="2" a="1"/>
  <c r="G7" i="2"/>
  <c r="G16" i="2" a="1"/>
  <c r="G16" i="2"/>
  <c r="H16" i="2" a="1"/>
  <c r="H16" i="2"/>
  <c r="L9" i="2" a="1"/>
  <c r="L9" i="2"/>
  <c r="R9" i="2" a="1"/>
  <c r="R9" i="2"/>
  <c r="E14" i="2" a="1"/>
  <c r="E14" i="2"/>
  <c r="N14" i="2" a="1"/>
  <c r="N14" i="2"/>
  <c r="D18" i="2" a="1"/>
  <c r="D18" i="2"/>
  <c r="O18" i="2" a="1"/>
  <c r="O18" i="2"/>
  <c r="M18" i="2" a="1"/>
  <c r="M18" i="2"/>
  <c r="S16" i="2" a="1"/>
  <c r="S16" i="2"/>
  <c r="E20" i="2" a="1"/>
  <c r="E20" i="2"/>
  <c r="T20" i="2" a="1"/>
  <c r="T20" i="2"/>
  <c r="J20" i="2" a="1"/>
  <c r="J20" i="2"/>
  <c r="T9" i="2" a="1"/>
  <c r="T9" i="2"/>
  <c r="H14" i="2" a="1"/>
  <c r="H14" i="2"/>
  <c r="H8" i="2" a="1"/>
  <c r="H8" i="2"/>
  <c r="T8" i="2" a="1"/>
  <c r="T8" i="2"/>
  <c r="I8" i="2" a="1"/>
  <c r="I8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<sst xmlns="http://schemas.openxmlformats.org/spreadsheetml/2006/main" count="345" uniqueCount="238">
  <si>
    <t>AsOfDate</t>
  </si>
  <si>
    <t>InstDescr</t>
  </si>
  <si>
    <t>CcyOne</t>
  </si>
  <si>
    <t>BBYellowKey</t>
  </si>
  <si>
    <t>Quantity</t>
  </si>
  <si>
    <t>4D MOLECULAR THERAPEUTICS ORD</t>
  </si>
  <si>
    <t>USD</t>
  </si>
  <si>
    <t>FDMT US Equity</t>
  </si>
  <si>
    <t>89BIO ORD</t>
  </si>
  <si>
    <t>ETNB US Equity</t>
  </si>
  <si>
    <t>ABIVAX ORD</t>
  </si>
  <si>
    <t>EUR</t>
  </si>
  <si>
    <t>ABVX FP Equity</t>
  </si>
  <si>
    <t>ACELYRIN ORD</t>
  </si>
  <si>
    <t>SLRN US Equity</t>
  </si>
  <si>
    <t>ACHIEVE LIFE SCIENCES ORD</t>
  </si>
  <si>
    <t>ACHV US Equity</t>
  </si>
  <si>
    <t>ACLARIS THERAPEUTICS ORD</t>
  </si>
  <si>
    <t>ACRS US Equity</t>
  </si>
  <si>
    <t>ACTINIUM PHARMACEUTICALS ORD</t>
  </si>
  <si>
    <t>ATNM US Equity</t>
  </si>
  <si>
    <t>ACUMEN PHARMACEUTICALS ORD</t>
  </si>
  <si>
    <t>ABOS US Equity</t>
  </si>
  <si>
    <t>AEGLEA BIOTHERAPEUTICS ORD</t>
  </si>
  <si>
    <t>AGLE US Equity</t>
  </si>
  <si>
    <t>AEROVATE THERAPEUTICS ORD</t>
  </si>
  <si>
    <t>AVTE US Equity</t>
  </si>
  <si>
    <t>ALPINE IMMUNE SCIENCES ORD</t>
  </si>
  <si>
    <t>ALPN US Equity</t>
  </si>
  <si>
    <t>ALTIMMUNE ORD</t>
  </si>
  <si>
    <t>ALT US Equity</t>
  </si>
  <si>
    <t>ALX ONCOLOGY HOLDINGS ORD</t>
  </si>
  <si>
    <t>ALXO US Equity</t>
  </si>
  <si>
    <t>AMARIN ADR REP 1 ORD</t>
  </si>
  <si>
    <t>AMRN US Equity</t>
  </si>
  <si>
    <t>AMBRX BIOPHARMA ORD</t>
  </si>
  <si>
    <t>AMAM US Equity</t>
  </si>
  <si>
    <t>ANAPTYSBIO ORD</t>
  </si>
  <si>
    <t>ANAB US Equity</t>
  </si>
  <si>
    <t>APELLIS PHARMACEUTICALS ORD</t>
  </si>
  <si>
    <t>APLS US Equity</t>
  </si>
  <si>
    <t>APOGEE THERAPEUTICS ORD</t>
  </si>
  <si>
    <t>APGE US Equity</t>
  </si>
  <si>
    <t>APPLIED MOLECULAR TRANSPORT ORD</t>
  </si>
  <si>
    <t>AMTI US Equity</t>
  </si>
  <si>
    <t>ARCELLX ORD</t>
  </si>
  <si>
    <t>ACLX US Equity</t>
  </si>
  <si>
    <t>ASTELLAS PHARMA ADR REP 1 ORD</t>
  </si>
  <si>
    <t>ALPMY US Equity</t>
  </si>
  <si>
    <t>AVALO THERAPEUTICS ORD</t>
  </si>
  <si>
    <t>AVTX US Equity</t>
  </si>
  <si>
    <t>AVROBIO ORD</t>
  </si>
  <si>
    <t>AVRO US Equity</t>
  </si>
  <si>
    <t>BELLICUM PHARMACEUTICALS ORD</t>
  </si>
  <si>
    <t>BLCM US Equity</t>
  </si>
  <si>
    <t>BICYCLE THERAPEUTICS ADR</t>
  </si>
  <si>
    <t>BCYC US Equity</t>
  </si>
  <si>
    <t>BRIDGEBIO PHARMA ORD</t>
  </si>
  <si>
    <t>BBIO US Equity</t>
  </si>
  <si>
    <t>COGENT BIOSCIENCES ORD</t>
  </si>
  <si>
    <t>COGT US Equity</t>
  </si>
  <si>
    <t>COHERUS BIOSCIENCES ORD</t>
  </si>
  <si>
    <t>CHRS US Equity</t>
  </si>
  <si>
    <t>CRINETICS PHARMACEUTICALS ORD</t>
  </si>
  <si>
    <t>CRNX US Equity</t>
  </si>
  <si>
    <t>CYMABAY THERAPEUTICS ORD</t>
  </si>
  <si>
    <t>CBAY US Equity</t>
  </si>
  <si>
    <t>CYTOKINETICS ORD</t>
  </si>
  <si>
    <t>CYTK US Equity</t>
  </si>
  <si>
    <t>DAIICHI SANKYO ORD</t>
  </si>
  <si>
    <t>JPY</t>
  </si>
  <si>
    <t>4568 JP Equity</t>
  </si>
  <si>
    <t>DAY ONE BIOPHARMACEUTICALS ORD</t>
  </si>
  <si>
    <t>DAWN US Equity</t>
  </si>
  <si>
    <t>ELEVATION ONCOLOGY ORD</t>
  </si>
  <si>
    <t>ELEV US Equity</t>
  </si>
  <si>
    <t>ELIEM THERAPEUTICS ORD</t>
  </si>
  <si>
    <t>ELYM US Equity</t>
  </si>
  <si>
    <t>EMERGENT BIOSOLUTIONS ORD</t>
  </si>
  <si>
    <t>EBS US Equity</t>
  </si>
  <si>
    <t>EQRX ORD</t>
  </si>
  <si>
    <t>EQRX US Equity</t>
  </si>
  <si>
    <t>EVOLUS ORD</t>
  </si>
  <si>
    <t>EOLS US Equity</t>
  </si>
  <si>
    <t>EXSCIENTIA ADR</t>
  </si>
  <si>
    <t>EXAI US Equity</t>
  </si>
  <si>
    <t>FINCH THERAPEUTICS GROUP ORD</t>
  </si>
  <si>
    <t>FNCH US Equity</t>
  </si>
  <si>
    <t>FOGHORN THERAPEUTICS ORD</t>
  </si>
  <si>
    <t>FHTX US Equity</t>
  </si>
  <si>
    <t>FREQUENCY THERAPEUTICS ORD</t>
  </si>
  <si>
    <t>FREQ US Equity</t>
  </si>
  <si>
    <t>FULCRUM THERAPEUTICS ORD</t>
  </si>
  <si>
    <t>FULC US Equity</t>
  </si>
  <si>
    <t>FUSION PHARMACEUTICALS ORD</t>
  </si>
  <si>
    <t>FUSN US Equity</t>
  </si>
  <si>
    <t>GOSSAMER BIO ORD</t>
  </si>
  <si>
    <t>GOSS US Equity</t>
  </si>
  <si>
    <t>GRAPHITE BIO ORD</t>
  </si>
  <si>
    <t>GRPH US Equity</t>
  </si>
  <si>
    <t>HORIZON THERAPEUTICS PUBLIC ORD</t>
  </si>
  <si>
    <t>HZNP US Equity</t>
  </si>
  <si>
    <t>IGM BIOSCIENCES ORD</t>
  </si>
  <si>
    <t>IGMS US Equity</t>
  </si>
  <si>
    <t>IMMUNOGEN ORD</t>
  </si>
  <si>
    <t>IMGN US Equity</t>
  </si>
  <si>
    <t>INFLARX ORD</t>
  </si>
  <si>
    <t>IFRX US Equity</t>
  </si>
  <si>
    <t>ITEOS THERAPEUTICS ORD</t>
  </si>
  <si>
    <t>ITOS US Equity</t>
  </si>
  <si>
    <t>KALVISTA PHARMACEUTICALS ORD</t>
  </si>
  <si>
    <t>KALV US Equity</t>
  </si>
  <si>
    <t>KODIAK SCIENCES ORD</t>
  </si>
  <si>
    <t>KOD US Equity</t>
  </si>
  <si>
    <t>KURA ONCOLOGY ORD</t>
  </si>
  <si>
    <t>KURA US Equity</t>
  </si>
  <si>
    <t>LANTHEUS HOLDINGS ORD</t>
  </si>
  <si>
    <t>LNTH US Equity</t>
  </si>
  <si>
    <t>LARIMAR THERAPEUTICS ORD</t>
  </si>
  <si>
    <t>LRMR US Equity</t>
  </si>
  <si>
    <t>LIANBIO ADR</t>
  </si>
  <si>
    <t>LIAN US Equity</t>
  </si>
  <si>
    <t>MADRIGAL PHARMACEUTICALS ORD</t>
  </si>
  <si>
    <t>MDGL US Equity</t>
  </si>
  <si>
    <t>MERRIMACK PHARMACEUTICALS ORD</t>
  </si>
  <si>
    <t>MACK US Equity</t>
  </si>
  <si>
    <t>MIRATI THERAPEUTICS ORD</t>
  </si>
  <si>
    <t>MRTX US Equity</t>
  </si>
  <si>
    <t>MIRUM PHARMACEUTICALS ORD</t>
  </si>
  <si>
    <t>MIRM US Equity</t>
  </si>
  <si>
    <t>MOONLAKE IMMUNOTHERAPEUTICS CL A ORD</t>
  </si>
  <si>
    <t>MLTX US Equity</t>
  </si>
  <si>
    <t>MORPHIC HOLDING ORD</t>
  </si>
  <si>
    <t>MORF US Equity</t>
  </si>
  <si>
    <t>NATERA ORD</t>
  </si>
  <si>
    <t>NTRA US Equity</t>
  </si>
  <si>
    <t>NEOLEUKIN THERAPEUTICS ORD</t>
  </si>
  <si>
    <t>NLTX US Equity</t>
  </si>
  <si>
    <t>NUVALENT CL A ORD</t>
  </si>
  <si>
    <t>NUVL US Equity</t>
  </si>
  <si>
    <t>OMNIAB ORD</t>
  </si>
  <si>
    <t>OABI US Equity</t>
  </si>
  <si>
    <t>PHARMACYTE BIOTECH ORD</t>
  </si>
  <si>
    <t>PMCB US Equity</t>
  </si>
  <si>
    <t>PHARVARIS N V ORD</t>
  </si>
  <si>
    <t>PHVS US Equity</t>
  </si>
  <si>
    <t>PIERIS PHARMACEUTICALS ORD</t>
  </si>
  <si>
    <t>PIRS US Equity</t>
  </si>
  <si>
    <t>PLIANT THERAPEUTICS ORD</t>
  </si>
  <si>
    <t>PLRX US Equity</t>
  </si>
  <si>
    <t>POINT BIOPHARMA GLOBAL ORD</t>
  </si>
  <si>
    <t>PNT US Equity</t>
  </si>
  <si>
    <t>PRAXIS PRECISION MEDICINES ORD</t>
  </si>
  <si>
    <t>PRAX US Equity</t>
  </si>
  <si>
    <t>PROTAGONIST THERAPEUTICS ORD</t>
  </si>
  <si>
    <t>PTGX US Equity</t>
  </si>
  <si>
    <t>PYXIS ONCOLOGY ORD</t>
  </si>
  <si>
    <t>PYXS US Equity</t>
  </si>
  <si>
    <t>RAIN ONCOLOGY ORD</t>
  </si>
  <si>
    <t>RAIN US Equity</t>
  </si>
  <si>
    <t>RALLYBIO ORD</t>
  </si>
  <si>
    <t>RLYB US Equity</t>
  </si>
  <si>
    <t>RAPT THERAPEUTICS ORD</t>
  </si>
  <si>
    <t>RAPT US Equity</t>
  </si>
  <si>
    <t>RAYZEBIO ORD</t>
  </si>
  <si>
    <t>RYZB US Equity</t>
  </si>
  <si>
    <t>RECURSION PHARMACEUTICALS CL A ORD</t>
  </si>
  <si>
    <t>RXRX US Equity</t>
  </si>
  <si>
    <t>RENEO PHARMACEUTICALS ORD</t>
  </si>
  <si>
    <t>RPHM US Equity</t>
  </si>
  <si>
    <t>RHYTHM PHARMACEUTICALS ORD</t>
  </si>
  <si>
    <t>RYTM US Equity</t>
  </si>
  <si>
    <t>ROIVANT SCIENCES ORD</t>
  </si>
  <si>
    <t>ROIV US Equity</t>
  </si>
  <si>
    <t>SAREPTA THERAPEUTICS ORD</t>
  </si>
  <si>
    <t>SRPT US Equity</t>
  </si>
  <si>
    <t>SAVARA ORD</t>
  </si>
  <si>
    <t>SVRA US Equity</t>
  </si>
  <si>
    <t>SCHRODINGER ORD</t>
  </si>
  <si>
    <t>SDGR US Equity</t>
  </si>
  <si>
    <t>SEAGEN ORD</t>
  </si>
  <si>
    <t>SGEN US Equity</t>
  </si>
  <si>
    <t>SOLENO THERAPEUTICS ORD</t>
  </si>
  <si>
    <t>SLNO US Equity</t>
  </si>
  <si>
    <t>SYNDAX PHARMACEUTICALS ORD</t>
  </si>
  <si>
    <t>SNDX US Equity</t>
  </si>
  <si>
    <t>TALARIS THERAPEUTICS ORD</t>
  </si>
  <si>
    <t>TALS US Equity</t>
  </si>
  <si>
    <t>TG THERAPEUTICS ORD</t>
  </si>
  <si>
    <t>TGTX US Equity</t>
  </si>
  <si>
    <t>THESEUS PHARMACEUTICALS ORD</t>
  </si>
  <si>
    <t>THRX US Equity</t>
  </si>
  <si>
    <t>THIRD HARMONIC BIO ORD</t>
  </si>
  <si>
    <t>THRD US Equity</t>
  </si>
  <si>
    <t>TRAVERE THERAPEUTICS ORD</t>
  </si>
  <si>
    <t>TVTX US Equity</t>
  </si>
  <si>
    <t>UROGEN PHARMA ORD</t>
  </si>
  <si>
    <t>URGN US Equity</t>
  </si>
  <si>
    <t>VAXCYTE ORD</t>
  </si>
  <si>
    <t>PCVX US Equity</t>
  </si>
  <si>
    <t>VENTYX BIOSCIENCES ORD</t>
  </si>
  <si>
    <t>VTYX US Equity</t>
  </si>
  <si>
    <t>VIKING THERAPEUTICS ORD</t>
  </si>
  <si>
    <t>VKTX US Equity</t>
  </si>
  <si>
    <t>VIRIDIAN THERAPEUTICS ORD</t>
  </si>
  <si>
    <t>VRDN US Equity</t>
  </si>
  <si>
    <t>VOR BIOPHARMA ORD</t>
  </si>
  <si>
    <t>VOR US Equity</t>
  </si>
  <si>
    <t>XENON PHARMACEUTICALS ORD</t>
  </si>
  <si>
    <t>XENE US Equity</t>
  </si>
  <si>
    <t>XERIS BIOPHARMA HOLDINGS ORD</t>
  </si>
  <si>
    <t>XERS US Equity</t>
  </si>
  <si>
    <t>ZURA BIO CL A ORD</t>
  </si>
  <si>
    <t>ZURA US Equity</t>
  </si>
  <si>
    <t>BegDate</t>
  </si>
  <si>
    <t>EndDate</t>
  </si>
  <si>
    <t>Mnemonic</t>
  </si>
  <si>
    <t>LAST_PRICE</t>
  </si>
  <si>
    <t>2538060D US Equity</t>
  </si>
  <si>
    <t>AUTL US Equity</t>
  </si>
  <si>
    <t>BHC US Equity</t>
  </si>
  <si>
    <t>BHVN US Equity</t>
  </si>
  <si>
    <t>BOLD US Equity</t>
  </si>
  <si>
    <t>DNA US Equity</t>
  </si>
  <si>
    <t>FGEN US Equity</t>
  </si>
  <si>
    <t>ISEE US Equity</t>
  </si>
  <si>
    <t>KYTX US Equity</t>
  </si>
  <si>
    <t>LENZ US Equity</t>
  </si>
  <si>
    <t>LLY US Equity</t>
  </si>
  <si>
    <t>MRK US Equity</t>
  </si>
  <si>
    <t>NOVOB DC Equity</t>
  </si>
  <si>
    <t>NVO US Equity</t>
  </si>
  <si>
    <t>PRDS US Equity</t>
  </si>
  <si>
    <t>RETA US Equity</t>
  </si>
  <si>
    <t>RXDX US Equity</t>
  </si>
  <si>
    <t>SMMT US Equity</t>
  </si>
  <si>
    <t>STOK US Equity</t>
  </si>
  <si>
    <t>USO US Equity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</si>
</sst>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/>
    <xf numFmtId="0" fontId="2" fillId="3" borderId="1" xfId="0" applyFont="1" applyFill="1" applyBorder="1"/>
    <xf numFmtId="0" fontId="1" fillId="0" borderId="0" xfId="0" applyFont="1" applyAlignment="1">
      <alignment horizontal="right" indent="1"/>
    </xf>
    <xf numFmtId="3" fontId="2" fillId="3" borderId="1" xfId="0" applyNumberFormat="1" applyFont="1" applyFill="1" applyBorder="1" applyAlignment="1">
      <alignment horizontal="right" indent="1"/>
    </xf>
    <xf numFmtId="3" fontId="0" fillId="0" borderId="0" xfId="0" applyNumberFormat="1" applyAlignment="1">
      <alignment horizontal="right" indent="1"/>
    </xf>
    <xf numFmtId="14" fontId="1" fillId="0" borderId="1" xfId="0" applyNumberFormat="1" applyFont="1" applyBorder="1" applyAlignment="1">
      <alignment horizontal="left" indent="1"/>
    </xf>
    <xf numFmtId="0" fontId="1" fillId="0" borderId="1" xfId="0" applyFont="1" applyBorder="1" applyAlignment="1">
      <alignment horizontal="left" indent="1"/>
    </xf>
    <xf numFmtId="3" fontId="1" fillId="0" borderId="1" xfId="0" applyNumberFormat="1" applyFont="1" applyBorder="1" applyAlignment="1">
      <alignment horizontal="right" indent="1"/>
    </xf>
    <xf numFmtId="4" fontId="1" fillId="0" borderId="0" xfId="0" applyNumberFormat="1" applyFont="1" applyAlignment="1">
      <alignment horizontal="right" indent="1"/>
    </xf>
    <xf numFmtId="4" fontId="2" fillId="2" borderId="1" xfId="0" applyNumberFormat="1" applyFont="1" applyFill="1" applyBorder="1" applyAlignment="1">
      <alignment horizontal="right" indent="1"/>
    </xf>
    <xf numFmtId="0" fontId="2" fillId="2" borderId="1" xfId="0" applyFont="1" applyFill="1" applyBorder="1" applyAlignment="1">
      <alignment horizontal="right" indent="1"/>
    </xf>
    <xf numFmtId="4" fontId="1" fillId="0" borderId="1" xfId="0" applyNumberFormat="1" applyFont="1" applyBorder="1" applyAlignment="1">
      <alignment horizontal="right" indent="1"/>
    </xf>
    <xf numFmtId="0" fontId="1" fillId="0" borderId="0" xfId="0" applyFont="1" applyAlignment="1">
      <alignment horizontal="center"/>
    </xf>
    <xf numFmtId="0" fontId="2" fillId="2" borderId="1" xfId="0" applyFont="1" applyFill="1" applyBorder="1" applyAlignment="1">
      <alignment horizontal="center"/>
    </xf>
    <xf numFmtId="14" fontId="1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>
      <alignment horizontal="right" indent="1"/>
    </xf>
    <xf numFmtId="0" fontId="1" fillId="3" borderId="1" xfId="0" applyFont="1" applyFill="1" applyBorder="1" applyAlignment="1">
      <alignment horizontal="right" inden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 t="s">
        <v>#N/A N/A</v>
        <stp/>
        <stp>BDH|17361991967616941478</stp>
        <tr r="C13" s="2"/>
      </tp>
      <tp t="s">
        <v>#N/A N/A</v>
        <stp/>
        <stp>BDH|14792873344501607304</stp>
        <tr r="N14" s="2"/>
      </tp>
      <tp t="s">
        <v>#N/A N/A</v>
        <stp/>
        <stp>BDH|16052114598331820541</stp>
        <tr r="T16" s="2"/>
      </tp>
      <tp t="s">
        <v>#N/A N/A</v>
        <stp/>
        <stp>BDH|18244902582676087549</stp>
        <tr r="G13" s="2"/>
      </tp>
      <tp t="s">
        <v>#N/A N/A</v>
        <stp/>
        <stp>BDH|12314675263481565963</stp>
        <tr r="Q10" s="2"/>
      </tp>
      <tp t="s">
        <v>#N/A N/A</v>
        <stp/>
        <stp>BDH|10340832401966207449</stp>
        <tr r="V8" s="2"/>
      </tp>
      <tp t="s">
        <v>#N/A N/A</v>
        <stp/>
        <stp>BDH|16924596874109581768</stp>
        <tr r="U11" s="2"/>
      </tp>
      <tp t="s">
        <v>#N/A N/A</v>
        <stp/>
        <stp>BDH|14943598580295276694</stp>
        <tr r="R13" s="2"/>
      </tp>
      <tp t="s">
        <v>#N/A N/A</v>
        <stp/>
        <stp>BDH|14801136611129419737</stp>
        <tr r="G8" s="2"/>
      </tp>
      <tp t="s">
        <v>#N/A N/A</v>
        <stp/>
        <stp>BDH|17788832216615501012</stp>
        <tr r="J20" s="2"/>
      </tp>
      <tp t="s">
        <v>#N/A N/A</v>
        <stp/>
        <stp>BDH|14707498919508606282</stp>
        <tr r="S6" s="2"/>
      </tp>
      <tp t="s">
        <v>#N/A N/A</v>
        <stp/>
        <stp>BDH|11333937055570177505</stp>
        <tr r="L15" s="2"/>
      </tp>
      <tp t="s">
        <v>#N/A N/A</v>
        <stp/>
        <stp>BDH|17566127962019191127</stp>
        <tr r="R12" s="2"/>
      </tp>
      <tp t="s">
        <v>#N/A N/A</v>
        <stp/>
        <stp>BDH|15086401777176240895</stp>
        <tr r="Q16" s="2"/>
      </tp>
      <tp t="s">
        <v>#N/A N/A</v>
        <stp/>
        <stp>BDH|12047499427215938822</stp>
        <tr r="E7" s="2"/>
      </tp>
      <tp t="s">
        <v>#N/A N/A</v>
        <stp/>
        <stp>BDH|17426655853368519520</stp>
        <tr r="G15" s="2"/>
      </tp>
      <tp t="s">
        <v>#N/A N/A</v>
        <stp/>
        <stp>BDH|12570912863801116526</stp>
        <tr r="P18" s="2"/>
      </tp>
      <tp t="s">
        <v>#N/A N/A</v>
        <stp/>
        <stp>BDH|17456098615927309867</stp>
        <tr r="G7" s="2"/>
      </tp>
      <tp t="s">
        <v>#N/A N/A</v>
        <stp/>
        <stp>BDH|13368920161415171724</stp>
        <tr r="O11" s="2"/>
      </tp>
      <tp t="s">
        <v>#N/A N/A</v>
        <stp/>
        <stp>BDH|13847968812912065750</stp>
        <tr r="E16" s="2"/>
      </tp>
      <tp t="s">
        <v>#N/A N/A</v>
        <stp/>
        <stp>BDH|15534164345718966663</stp>
        <tr r="P15" s="2"/>
      </tp>
      <tp t="s">
        <v>#N/A N/A</v>
        <stp/>
        <stp>BDH|10917856067305471567</stp>
        <tr r="G12" s="2"/>
      </tp>
      <tp t="s">
        <v>#N/A N/A</v>
        <stp/>
        <stp>BDH|11024062518586304871</stp>
        <tr r="I7" s="2"/>
      </tp>
      <tp t="s">
        <v>#N/A N/A</v>
        <stp/>
        <stp>BDH|13198839322997512083</stp>
        <tr r="D7" s="2"/>
      </tp>
      <tp t="s">
        <v>#N/A N/A</v>
        <stp/>
        <stp>BDH|17681592982017995396</stp>
        <tr r="U10" s="2"/>
      </tp>
      <tp t="s">
        <v>#N/A N/A</v>
        <stp/>
        <stp>BDH|15365768097044614182</stp>
        <tr r="E18" s="2"/>
      </tp>
      <tp t="s">
        <v>#N/A N/A</v>
        <stp/>
        <stp>BDH|13864804049210979140</stp>
        <tr r="C7" s="2"/>
      </tp>
      <tp t="s">
        <v>#N/A N/A</v>
        <stp/>
        <stp>BDH|18285434378622717715</stp>
        <tr r="D18" s="2"/>
      </tp>
      <tp t="s">
        <v>#N/A N/A</v>
        <stp/>
        <stp>BDH|16585228532018233181</stp>
        <tr r="Q15" s="2"/>
      </tp>
      <tp t="s">
        <v>#N/A N/A</v>
        <stp/>
        <stp>BDH|14479807526564850442</stp>
        <tr r="P19" s="2"/>
      </tp>
      <tp t="s">
        <v>#N/A N/A</v>
        <stp/>
        <stp>BDH|13818177061548814377</stp>
        <tr r="C10" s="2"/>
      </tp>
      <tp t="s">
        <v>#N/A N/A</v>
        <stp/>
        <stp>BDH|10486356237678549735</stp>
        <tr r="O17" s="2"/>
      </tp>
      <tp t="s">
        <v>#N/A N/A</v>
        <stp/>
        <stp>BDH|16552877176556682023</stp>
        <tr r="S16" s="2"/>
      </tp>
      <tp t="s">
        <v>#N/A N/A</v>
        <stp/>
        <stp>BDH|13923165785554973174</stp>
        <tr r="C16" s="2"/>
      </tp>
      <tp t="s">
        <v>#N/A N/A</v>
        <stp/>
        <stp>BDH|11439473494135703644</stp>
        <tr r="L7" s="2"/>
      </tp>
      <tp t="s">
        <v>#N/A N/A</v>
        <stp/>
        <stp>BDH|13172618643659129754</stp>
        <tr r="N15" s="2"/>
      </tp>
      <tp t="s">
        <v>#N/A N/A</v>
        <stp/>
        <stp>BDH|10862666922882601929</stp>
        <tr r="V9" s="2"/>
      </tp>
      <tp t="s">
        <v>#N/A N/A</v>
        <stp/>
        <stp>BDH|12653298943939279240</stp>
        <tr r="F6" s="2"/>
      </tp>
      <tp t="s">
        <v>#N/A N/A</v>
        <stp/>
        <stp>BDH|14743858808993352393</stp>
        <tr r="C8" s="2"/>
      </tp>
      <tp t="s">
        <v>#N/A N/A</v>
        <stp/>
        <stp>BDH|14764435295367233208</stp>
        <tr r="M16" s="2"/>
      </tp>
      <tp t="s">
        <v>#N/A N/A</v>
        <stp/>
        <stp>BDH|10116436130649511232</stp>
        <tr r="K12" s="2"/>
      </tp>
      <tp t="s">
        <v>#N/A N/A</v>
        <stp/>
        <stp>BDH|18215401006130586069</stp>
        <tr r="E20" s="2"/>
      </tp>
      <tp t="s">
        <v>#N/A N/A</v>
        <stp/>
        <stp>BDH|11209996052996930790</stp>
        <tr r="O20" s="2"/>
      </tp>
      <tp t="s">
        <v>#N/A N/A</v>
        <stp/>
        <stp>BDH|15851861643223385667</stp>
        <tr r="K18" s="2"/>
      </tp>
      <tp t="s">
        <v>#N/A N/A</v>
        <stp/>
        <stp>BDH|13382578203652464960</stp>
        <tr r="H18" s="2"/>
      </tp>
      <tp t="s">
        <v>#N/A N/A</v>
        <stp/>
        <stp>BDH|16053949313884367714</stp>
        <tr r="L8" s="2"/>
      </tp>
      <tp t="s">
        <v>#N/A N/A</v>
        <stp/>
        <stp>BDH|14302858703125309424</stp>
        <tr r="S10" s="2"/>
      </tp>
      <tp t="s">
        <v>#N/A N/A</v>
        <stp/>
        <stp>BDH|10114498280740353133</stp>
        <tr r="K15" s="2"/>
      </tp>
      <tp t="s">
        <v>#N/A N/A</v>
        <stp/>
        <stp>BDH|15421247648568378667</stp>
        <tr r="K10" s="2"/>
      </tp>
      <tp t="s">
        <v>#N/A N/A</v>
        <stp/>
        <stp>BDH|17774032498850421377</stp>
        <tr r="G16" s="2"/>
      </tp>
      <tp t="s">
        <v>#N/A N/A</v>
        <stp/>
        <stp>BDH|12889818649565793699</stp>
        <tr r="Q9" s="2"/>
      </tp>
      <tp t="s">
        <v>#N/A N/A</v>
        <stp/>
        <stp>BDH|16654484345884873037</stp>
        <tr r="H16" s="2"/>
      </tp>
      <tp t="s">
        <v>#N/A N/A</v>
        <stp/>
        <stp>BDH|16216805008669366594</stp>
        <tr r="H19" s="2"/>
      </tp>
      <tp t="s">
        <v>#N/A N/A</v>
        <stp/>
        <stp>BDH|12501626411631109640</stp>
        <tr r="E9" s="2"/>
      </tp>
      <tp t="s">
        <v>#N/A N/A</v>
        <stp/>
        <stp>BDH|10476263463361568734</stp>
        <tr r="V14" s="2"/>
      </tp>
      <tp t="s">
        <v>#N/A N/A</v>
        <stp/>
        <stp>BDH|17222122775300148328</stp>
        <tr r="S19" s="2"/>
      </tp>
      <tp t="s">
        <v>#N/A N/A</v>
        <stp/>
        <stp>BDH|18217658693431676446</stp>
        <tr r="L9" s="2"/>
      </tp>
      <tp t="s">
        <v>#N/A N/A</v>
        <stp/>
        <stp>BDH|11072700052272265366</stp>
        <tr r="D12" s="2"/>
      </tp>
      <tp t="s">
        <v>#N/A N/A</v>
        <stp/>
        <stp>BDH|16470471702038853826</stp>
        <tr r="D10" s="2"/>
      </tp>
      <tp t="s">
        <v>#N/A N/A</v>
        <stp/>
        <stp>BDH|17466814122857026897</stp>
        <tr r="H8" s="2"/>
      </tp>
      <tp t="s">
        <v>#N/A N/A</v>
        <stp/>
        <stp>BDH|16265261767851595060</stp>
        <tr r="O19" s="2"/>
      </tp>
      <tp t="s">
        <v>#N/A N/A</v>
        <stp/>
        <stp>BDH|12036354034706064738</stp>
        <tr r="D14" s="2"/>
      </tp>
      <tp t="s">
        <v>#N/A N/A</v>
        <stp/>
        <stp>BDH|10977053088283751813</stp>
        <tr r="M7" s="2"/>
      </tp>
      <tp t="s">
        <v>#N/A N/A</v>
        <stp/>
        <stp>BDH|14788227106711469434</stp>
        <tr r="U16" s="2"/>
      </tp>
      <tp t="s">
        <v>#N/A N/A</v>
        <stp/>
        <stp>BDH|13959431247487946709</stp>
        <tr r="K13" s="2"/>
      </tp>
      <tp t="s">
        <v>#N/A N/A</v>
        <stp/>
        <stp>BDH|14026509394722080903</stp>
        <tr r="P10" s="2"/>
      </tp>
      <tp t="s">
        <v>#N/A N/A</v>
        <stp/>
        <stp>BDH|13222678231911227425</stp>
        <tr r="E6" s="2"/>
      </tp>
      <tp t="s">
        <v>#N/A N/A</v>
        <stp/>
        <stp>BDH|14902562055765495284</stp>
        <tr r="P17" s="2"/>
      </tp>
      <tp t="s">
        <v>#N/A N/A</v>
        <stp/>
        <stp>BDH|12194210835095877579</stp>
        <tr r="J12" s="2"/>
      </tp>
      <tp t="s">
        <v>#N/A N/A</v>
        <stp/>
        <stp>BDH|10508296911342570253</stp>
        <tr r="E15" s="2"/>
      </tp>
      <tp t="s">
        <v>#N/A N/A</v>
        <stp/>
        <stp>BDH|10528773972302858145</stp>
        <tr r="D20" s="2"/>
      </tp>
      <tp t="s">
        <v>#N/A N/A</v>
        <stp/>
        <stp>BDH|11225775843827762525</stp>
        <tr r="H12" s="2"/>
      </tp>
      <tp t="s">
        <v>#N/A N/A</v>
        <stp/>
        <stp>BDH|17466890511036177898</stp>
        <tr r="M18" s="2"/>
      </tp>
      <tp t="s">
        <v>#N/A N/A</v>
        <stp/>
        <stp>BDH|13381660938563882514</stp>
        <tr r="S18" s="2"/>
      </tp>
      <tp t="s">
        <v>#N/A N/A</v>
        <stp/>
        <stp>BDH|10090551348172371353</stp>
        <tr r="K11" s="2"/>
      </tp>
      <tp t="s">
        <v>#N/A N/A</v>
        <stp/>
        <stp>BDH|14932802663048021275</stp>
        <tr r="O8" s="2"/>
      </tp>
      <tp t="s">
        <v>#N/A N/A</v>
        <stp/>
        <stp>BDH|12149790064893289025</stp>
        <tr r="J8" s="2"/>
      </tp>
      <tp t="s">
        <v>#N/A N/A</v>
        <stp/>
        <stp>BDH|15951721382049662317</stp>
        <tr r="O12" s="2"/>
      </tp>
      <tp t="s">
        <v>#N/A N/A</v>
        <stp/>
        <stp>BDH|11443688360094487493</stp>
        <tr r="H7" s="2"/>
      </tp>
      <tp t="s">
        <v>#N/A N/A</v>
        <stp/>
        <stp>BDH|16153096524534582199</stp>
        <tr r="O6" s="2"/>
      </tp>
      <tp t="s">
        <v>#N/A N/A</v>
        <stp/>
        <stp>BDH|17237489162226725285</stp>
        <tr r="S20" s="2"/>
      </tp>
      <tp t="s">
        <v>#N/A N/A</v>
        <stp/>
        <stp>BDH|15355650003076745454</stp>
        <tr r="R8" s="2"/>
      </tp>
      <tp t="s">
        <v>#N/A N/A</v>
        <stp/>
        <stp>BDH|15056280645772911029</stp>
        <tr r="J18" s="2"/>
      </tp>
      <tp t="s">
        <v>#N/A N/A</v>
        <stp/>
        <stp>BDH|15674931896202365687</stp>
        <tr r="U17" s="2"/>
      </tp>
      <tp t="s">
        <v>#N/A N/A</v>
        <stp/>
        <stp>BDH|10356083425886430504</stp>
        <tr r="D6" s="2"/>
      </tp>
      <tp t="s">
        <v>#N/A N/A</v>
        <stp/>
        <stp>BDH|15261674828947978795</stp>
        <tr r="T9" s="2"/>
      </tp>
      <tp t="s">
        <v>#N/A N/A</v>
        <stp/>
        <stp>BDH|18420224412482975807</stp>
        <tr r="G6" s="2"/>
      </tp>
      <tp t="s">
        <v>#N/A N/A</v>
        <stp/>
        <stp>BDH|14470148022303179222</stp>
        <tr r="E10" s="2"/>
      </tp>
      <tp t="s">
        <v>#N/A N/A</v>
        <stp/>
        <stp>BDH|13983080732891288724</stp>
        <tr r="U6" s="2"/>
      </tp>
      <tp t="s">
        <v>#N/A N/A</v>
        <stp/>
        <stp>BDH|10068685821610457298</stp>
        <tr r="V10" s="2"/>
      </tp>
      <tp t="s">
        <v>#N/A N/A</v>
        <stp/>
        <stp>BDH|14948546034174592074</stp>
        <tr r="V15" s="2"/>
      </tp>
      <tp t="s">
        <v>#N/A N/A</v>
        <stp/>
        <stp>BDH|17728376089023416919</stp>
        <tr r="O18" s="2"/>
      </tp>
      <tp t="s">
        <v>#N/A N/A</v>
        <stp/>
        <stp>BDH|17252292741655080256</stp>
        <tr r="I12" s="2"/>
      </tp>
      <tp t="s">
        <v>#N/A N/A</v>
        <stp/>
        <stp>BDH|16084419413720859541</stp>
        <tr r="E14" s="2"/>
      </tp>
      <tp t="s">
        <v>#N/A N/A</v>
        <stp/>
        <stp>BDH|10476399941236292701</stp>
        <tr r="D17" s="2"/>
      </tp>
      <tp t="s">
        <v>#N/A N/A</v>
        <stp/>
        <stp>BDH|16339860324372346938</stp>
        <tr r="C15" s="2"/>
      </tp>
      <tp t="s">
        <v>#N/A N/A</v>
        <stp/>
        <stp>BDH|13142247217963103466</stp>
        <tr r="V18" s="2"/>
      </tp>
      <tp t="s">
        <v>#N/A N/A</v>
        <stp/>
        <stp>BDH|18175797078347473814</stp>
        <tr r="U7" s="2"/>
      </tp>
      <tp t="s">
        <v>#N/A N/A</v>
        <stp/>
        <stp>BDH|15787391940903080694</stp>
        <tr r="S11" s="2"/>
      </tp>
      <tp t="s">
        <v>#N/A N/A</v>
        <stp/>
        <stp>BDH|15395759190899096503</stp>
        <tr r="Q20" s="2"/>
      </tp>
      <tp t="s">
        <v>#N/A N/A</v>
        <stp/>
        <stp>BDH|16085454043807129611</stp>
        <tr r="J15" s="2"/>
      </tp>
      <tp t="s">
        <v>#N/A N/A</v>
        <stp/>
        <stp>BDH|11708391341790844115</stp>
        <tr r="E19" s="2"/>
      </tp>
      <tp t="s">
        <v>#N/A N/A</v>
        <stp/>
        <stp>BDH|12987071126754911385</stp>
        <tr r="C9" s="2"/>
      </tp>
      <tp t="s">
        <v>#N/A N/A</v>
        <stp/>
        <stp>BDH|12627201118095012373</stp>
        <tr r="U20" s="2"/>
      </tp>
      <tp t="s">
        <v>#N/A N/A</v>
        <stp/>
        <stp>BDH|10817055162261334046</stp>
        <tr r="M17" s="2"/>
      </tp>
      <tp t="s">
        <v>#N/A N/A</v>
        <stp/>
        <stp>BDH|11725644332006980528</stp>
        <tr r="Q14" s="2"/>
      </tp>
      <tp t="s">
        <v>#N/A N/A</v>
        <stp/>
        <stp>BDH|14346027150830757684</stp>
        <tr r="P7" s="2"/>
      </tp>
      <tp t="s">
        <v>#N/A N/A</v>
        <stp/>
        <stp>BDH|17799546948502773328</stp>
        <tr r="R9" s="2"/>
      </tp>
      <tp t="s">
        <v>#N/A N/A</v>
        <stp/>
        <stp>BDH|15854681337935445103</stp>
        <tr r="C17" s="2"/>
      </tp>
      <tp t="s">
        <v>#N/A N/A</v>
        <stp/>
        <stp>BDH|15885803184458814972</stp>
        <tr r="I10" s="2"/>
      </tp>
      <tp t="s">
        <v>#N/A N/A</v>
        <stp/>
        <stp>BDH|14477419170535663618</stp>
        <tr r="H14" s="2"/>
      </tp>
      <tp t="s">
        <v>#N/A N/A</v>
        <stp/>
        <stp>BDH|18085113187527051228</stp>
        <tr r="F13" s="2"/>
      </tp>
      <tp t="s">
        <v>#N/A N/A</v>
        <stp/>
        <stp>BDH|14555997040575813839</stp>
        <tr r="I16" s="2"/>
      </tp>
      <tp t="s">
        <v>#N/A N/A</v>
        <stp/>
        <stp>BDH|15434045245805022039</stp>
        <tr r="M20" s="2"/>
      </tp>
      <tp t="s">
        <v>#N/A N/A</v>
        <stp/>
        <stp>BDH|12169449122335914577</stp>
        <tr r="T13" s="2"/>
      </tp>
      <tp t="s">
        <v>#N/A N/A</v>
        <stp/>
        <stp>BDH|10892586803795806412</stp>
        <tr r="H11" s="2"/>
      </tp>
      <tp t="s">
        <v>#N/A N/A</v>
        <stp/>
        <stp>BDH|17947194858832680547</stp>
        <tr r="T20" s="2"/>
      </tp>
      <tp t="s">
        <v>#N/A N/A</v>
        <stp/>
        <stp>BDH|15776115637815587698</stp>
        <tr r="D15" s="2"/>
      </tp>
      <tp t="s">
        <v>#N/A N/A</v>
        <stp/>
        <stp>BDH|12652330275062578148</stp>
        <tr r="Q19" s="2"/>
      </tp>
      <tp t="s">
        <v>#N/A N/A</v>
        <stp/>
        <stp>BDH|17024421927953191749</stp>
        <tr r="U18" s="2"/>
      </tp>
      <tp t="s">
        <v>#N/A N/A</v>
        <stp/>
        <stp>BDH|10614415712783328348</stp>
        <tr r="K9" s="2"/>
      </tp>
      <tp t="s">
        <v>#N/A N/A</v>
        <stp/>
        <stp>BDH|18338797880086785485</stp>
        <tr r="T8" s="2"/>
      </tp>
      <tp t="s">
        <v>#N/A N/A</v>
        <stp/>
        <stp>BDH|17075069073030374536</stp>
        <tr r="I11" s="2"/>
      </tp>
      <tp t="s">
        <v>#N/A N/A</v>
        <stp/>
        <stp>BDH|12736973958219886247</stp>
        <tr r="R16" s="2"/>
      </tp>
      <tp t="s">
        <v>#N/A N/A</v>
        <stp/>
        <stp>BDH|14145671695867643930</stp>
        <tr r="I6" s="2"/>
      </tp>
      <tp t="s">
        <v>#N/A N/A</v>
        <stp/>
        <stp>BDH|12990347864750795282</stp>
        <tr r="T19" s="2"/>
      </tp>
      <tp t="s">
        <v>#N/A N/A</v>
        <stp/>
        <stp>BDH|10471099430036393045</stp>
        <tr r="U13" s="2"/>
      </tp>
      <tp t="s">
        <v>#N/A N/A</v>
        <stp/>
        <stp>BDH|15847695706172923439</stp>
        <tr r="K20" s="2"/>
      </tp>
      <tp t="s">
        <v>#N/A N/A</v>
        <stp/>
        <stp>BDH|10404635654303806567</stp>
        <tr r="G18" s="2"/>
      </tp>
      <tp t="s">
        <v>#N/A N/A</v>
        <stp/>
        <stp>BDH|17880989249427265875</stp>
        <tr r="O7" s="2"/>
      </tp>
      <tp t="s">
        <v>#N/A N/A</v>
        <stp/>
        <stp>BDH|14967327523391549110</stp>
        <tr r="P12" s="2"/>
      </tp>
      <tp t="s">
        <v>#N/A N/A</v>
        <stp/>
        <stp>BDH|12554658942623987640</stp>
        <tr r="M11" s="2"/>
      </tp>
      <tp t="s">
        <v>#N/A N/A</v>
        <stp/>
        <stp>BDH|15375819091619960840</stp>
        <tr r="Q8" s="2"/>
      </tp>
      <tp t="s">
        <v>#N/A N/A</v>
        <stp/>
        <stp>BDH|16872889225208800132</stp>
        <tr r="I8" s="2"/>
      </tp>
    </main>
    <main first="bofaddin.rtdserver">
      <tp t="s">
        <v>#N/A N/A</v>
        <stp/>
        <stp>BDH|5086484331095153</stp>
        <tr r="T6" s="2"/>
      </tp>
    </main>
    <main first="bofaddin.rtdserver">
      <tp t="s">
        <v>#N/A N/A</v>
        <stp/>
        <stp>BDH|9798211271132954244</stp>
        <tr r="F19" s="2"/>
      </tp>
      <tp t="s">
        <v>#N/A N/A</v>
        <stp/>
        <stp>BDH|6224406494294593393</stp>
        <tr r="M14" s="2"/>
      </tp>
      <tp t="s">
        <v>#N/A N/A</v>
        <stp/>
        <stp>BDH|1900449799256320653</stp>
        <tr r="F20" s="2"/>
      </tp>
      <tp t="s">
        <v>#N/A N/A</v>
        <stp/>
        <stp>BDH|7328978844693434572</stp>
        <tr r="K7" s="2"/>
      </tp>
      <tp t="s">
        <v>#N/A N/A</v>
        <stp/>
        <stp>BDH|9765660751801746768</stp>
        <tr r="Q12" s="2"/>
      </tp>
      <tp t="s">
        <v>#N/A N/A</v>
        <stp/>
        <stp>BDH|5050335147547426968</stp>
        <tr r="F7" s="2"/>
      </tp>
      <tp t="s">
        <v>#N/A N/A</v>
        <stp/>
        <stp>BDH|5227856274066725001</stp>
        <tr r="N9" s="2"/>
      </tp>
      <tp t="s">
        <v>#N/A N/A</v>
        <stp/>
        <stp>BDH|3758873961920240169</stp>
        <tr r="H10" s="2"/>
      </tp>
      <tp t="s">
        <v>#N/A N/A</v>
        <stp/>
        <stp>BDH|5883952604919412872</stp>
        <tr r="C11" s="2"/>
      </tp>
      <tp t="s">
        <v>#N/A N/A</v>
        <stp/>
        <stp>BDH|5020282842957962988</stp>
        <tr r="V11" s="2"/>
      </tp>
      <tp t="s">
        <v>#N/A N/A</v>
        <stp/>
        <stp>BDH|7961116566094025960</stp>
        <tr r="N10" s="2"/>
      </tp>
      <tp t="s">
        <v>#N/A N/A</v>
        <stp/>
        <stp>BDH|1136086660249234333</stp>
        <tr r="D16" s="2"/>
      </tp>
      <tp t="s">
        <v>#N/A N/A</v>
        <stp/>
        <stp>BDH|4832691433818915452</stp>
        <tr r="N11" s="2"/>
      </tp>
      <tp t="s">
        <v>#N/A N/A</v>
        <stp/>
        <stp>BDH|4306749520514082889</stp>
        <tr r="N6" s="2"/>
      </tp>
      <tp t="s">
        <v>#N/A N/A</v>
        <stp/>
        <stp>BDH|8335626483663707863</stp>
        <tr r="O14" s="2"/>
      </tp>
      <tp t="s">
        <v>#N/A N/A</v>
        <stp/>
        <stp>BDH|4965414774353698992</stp>
        <tr r="G14" s="2"/>
      </tp>
      <tp t="s">
        <v>#N/A N/A</v>
        <stp/>
        <stp>BDH|5717119570027309954</stp>
        <tr r="U19" s="2"/>
      </tp>
      <tp t="s">
        <v>#N/A N/A</v>
        <stp/>
        <stp>BDH|1468130395026262217</stp>
        <tr r="M15" s="2"/>
      </tp>
      <tp t="s">
        <v>#N/A N/A</v>
        <stp/>
        <stp>BDH|5912694913948462718</stp>
        <tr r="J16" s="2"/>
      </tp>
      <tp t="s">
        <v>#N/A N/A</v>
        <stp/>
        <stp>BDH|5024034692613375248</stp>
        <tr r="L17" s="2"/>
      </tp>
      <tp t="s">
        <v>#N/A N/A</v>
        <stp/>
        <stp>BDH|1533767027939084033</stp>
        <tr r="V13" s="2"/>
      </tp>
      <tp t="s">
        <v>#N/A N/A</v>
        <stp/>
        <stp>BDH|1478831719660936538</stp>
        <tr r="F14" s="2"/>
      </tp>
      <tp t="s">
        <v>#N/A N/A</v>
        <stp/>
        <stp>BDH|9160132076206413791</stp>
        <tr r="G9" s="2"/>
      </tp>
      <tp t="s">
        <v>#N/A N/A</v>
        <stp/>
        <stp>BDH|5808304424292283876</stp>
        <tr r="L11" s="2"/>
      </tp>
      <tp t="s">
        <v>#N/A N/A</v>
        <stp/>
        <stp>BDH|3333855948612262323</stp>
        <tr r="U14" s="2"/>
      </tp>
      <tp t="s">
        <v>#N/A N/A</v>
        <stp/>
        <stp>BDH|6153408234288279790</stp>
        <tr r="L6" s="2"/>
      </tp>
      <tp t="s">
        <v>#N/A N/A</v>
        <stp/>
        <stp>BDH|7396628418748117676</stp>
        <tr r="P11" s="2"/>
      </tp>
      <tp t="s">
        <v>#N/A N/A</v>
        <stp/>
        <stp>BDH|6896916929617803479</stp>
        <tr r="S8" s="2"/>
      </tp>
      <tp t="s">
        <v>#N/A N/A</v>
        <stp/>
        <stp>BDH|6105012293497719689</stp>
        <tr r="L13" s="2"/>
      </tp>
      <tp t="s">
        <v>#N/A N/A</v>
        <stp/>
        <stp>BDH|9571131329266939275</stp>
        <tr r="H9" s="2"/>
      </tp>
      <tp t="s">
        <v>#N/A N/A</v>
        <stp/>
        <stp>BDH|3912343886544950238</stp>
        <tr r="J19" s="2"/>
      </tp>
      <tp t="s">
        <v>#N/A N/A</v>
        <stp/>
        <stp>BDH|1051241123599139607</stp>
        <tr r="L19" s="2"/>
      </tp>
      <tp t="s">
        <v>#N/A N/A</v>
        <stp/>
        <stp>BDH|5649153958129024711</stp>
        <tr r="D8" s="2"/>
      </tp>
      <tp t="s">
        <v>#N/A N/A</v>
        <stp/>
        <stp>BDH|4432038267719146482</stp>
        <tr r="S12" s="2"/>
      </tp>
      <tp t="s">
        <v>#N/A N/A</v>
        <stp/>
        <stp>BDH|9875262611702068714</stp>
        <tr r="R20" s="2"/>
      </tp>
      <tp t="s">
        <v>#N/A N/A</v>
        <stp/>
        <stp>BDH|4027319099296359759</stp>
        <tr r="K19" s="2"/>
      </tp>
      <tp t="s">
        <v>#N/A N/A</v>
        <stp/>
        <stp>BDH|6752149580631689176</stp>
        <tr r="Q11" s="2"/>
      </tp>
      <tp t="s">
        <v>#N/A N/A</v>
        <stp/>
        <stp>BDH|9721654642370633450</stp>
        <tr r="N18" s="2"/>
      </tp>
      <tp t="s">
        <v>#N/A N/A</v>
        <stp/>
        <stp>BDH|6387711695053532422</stp>
        <tr r="V16" s="2"/>
      </tp>
      <tp t="s">
        <v>#N/A N/A</v>
        <stp/>
        <stp>BDH|3412241793544025342</stp>
        <tr r="K16" s="2"/>
      </tp>
      <tp t="s">
        <v>#N/A N/A</v>
        <stp/>
        <stp>BDH|8732696189590354913</stp>
        <tr r="L12" s="2"/>
      </tp>
      <tp t="s">
        <v>#N/A N/A</v>
        <stp/>
        <stp>BDH|77790786689366411</stp>
        <tr r="N8" s="2"/>
      </tp>
      <tp t="s">
        <v>#N/A N/A</v>
        <stp/>
        <stp>BDH|5420066752239245190</stp>
        <tr r="G11" s="2"/>
      </tp>
      <tp t="s">
        <v>#N/A N/A</v>
        <stp/>
        <stp>BDH|8600499579152847173</stp>
        <tr r="S17" s="2"/>
      </tp>
      <tp t="s">
        <v>#N/A N/A</v>
        <stp/>
        <stp>BDH|2379492213727017897</stp>
        <tr r="Q13" s="2"/>
      </tp>
      <tp t="s">
        <v>#N/A N/A</v>
        <stp/>
        <stp>BDH|6661945833401326566</stp>
        <tr r="K6" s="2"/>
      </tp>
      <tp t="s">
        <v>#N/A N/A</v>
        <stp/>
        <stp>BDH|5158168230958435697</stp>
        <tr r="N19" s="2"/>
      </tp>
      <tp t="s">
        <v>#N/A N/A</v>
        <stp/>
        <stp>BDH|9877856994994070511</stp>
        <tr r="Q18" s="2"/>
      </tp>
      <tp t="s">
        <v>#N/A N/A</v>
        <stp/>
        <stp>BDH|9086415974685975650</stp>
        <tr r="R7" s="2"/>
      </tp>
      <tp t="s">
        <v>#N/A N/A</v>
        <stp/>
        <stp>BDH|7117837448612291016</stp>
        <tr r="P14" s="2"/>
      </tp>
      <tp t="s">
        <v>#N/A N/A</v>
        <stp/>
        <stp>BDH|9515530940789093896</stp>
        <tr r="H17" s="2"/>
      </tp>
      <tp t="s">
        <v>#N/A N/A</v>
        <stp/>
        <stp>BDH|5253359955669557381</stp>
        <tr r="D13" s="2"/>
      </tp>
      <tp t="s">
        <v>#N/A N/A</v>
        <stp/>
        <stp>BDH|4884588552288465566</stp>
        <tr r="J6" s="2"/>
      </tp>
      <tp t="s">
        <v>#N/A N/A</v>
        <stp/>
        <stp>BDH|7130081986450795688</stp>
        <tr r="F18" s="2"/>
      </tp>
      <tp t="s">
        <v>#N/A N/A</v>
        <stp/>
        <stp>BDH|9866078754774865131</stp>
        <tr r="T11" s="2"/>
      </tp>
      <tp t="s">
        <v>#N/A N/A</v>
        <stp/>
        <stp>BDH|8927230325533850261</stp>
        <tr r="H20" s="2"/>
      </tp>
      <tp t="s">
        <v>#N/A N/A</v>
        <stp/>
        <stp>BDH|9392228801414148651</stp>
        <tr r="E17" s="2"/>
      </tp>
      <tp t="s">
        <v>#N/A N/A</v>
        <stp/>
        <stp>BDH|1740386926153171925</stp>
        <tr r="P16" s="2"/>
      </tp>
      <tp t="s">
        <v>#N/A N/A</v>
        <stp/>
        <stp>BDH|1348758400735501998</stp>
        <tr r="V19" s="2"/>
      </tp>
      <tp t="s">
        <v>#N/A N/A</v>
        <stp/>
        <stp>BDH|9579374878154513363</stp>
        <tr r="D11" s="2"/>
      </tp>
      <tp t="s">
        <v>#N/A N/A</v>
        <stp/>
        <stp>BDH|9091445456311943359</stp>
        <tr r="I20" s="2"/>
      </tp>
      <tp t="s">
        <v>#N/A N/A</v>
        <stp/>
        <stp>BDH|9126677869020494357</stp>
        <tr r="V6" s="2"/>
      </tp>
      <tp t="s">
        <v>#N/A N/A</v>
        <stp/>
        <stp>BDH|5891474997830230265</stp>
        <tr r="C6" s="2"/>
      </tp>
      <tp t="s">
        <v>#N/A N/A</v>
        <stp/>
        <stp>BDH|1650128749739582781</stp>
        <tr r="L20" s="2"/>
      </tp>
      <tp t="s">
        <v>#N/A N/A</v>
        <stp/>
        <stp>BDH|6917091322977077926</stp>
        <tr r="R11" s="2"/>
      </tp>
      <tp t="s">
        <v>#N/A N/A</v>
        <stp/>
        <stp>BDH|1071907339951168097</stp>
        <tr r="O10" s="2"/>
      </tp>
      <tp t="s">
        <v>#N/A N/A</v>
        <stp/>
        <stp>BDH|6189506897716518623</stp>
        <tr r="J10" s="2"/>
      </tp>
      <tp t="s">
        <v>#N/A N/A</v>
        <stp/>
        <stp>BDH|31251794084775864</stp>
        <tr r="I18" s="2"/>
      </tp>
      <tp t="s">
        <v>#N/A N/A</v>
        <stp/>
        <stp>BDH|3199247176834441985</stp>
        <tr r="R17" s="2"/>
      </tp>
      <tp t="s">
        <v>#N/A N/A</v>
        <stp/>
        <stp>BDH|2449598858688770132</stp>
        <tr r="H15" s="2"/>
      </tp>
      <tp t="s">
        <v>#N/A N/A</v>
        <stp/>
        <stp>BDH|9794616015086237366</stp>
        <tr r="M12" s="2"/>
      </tp>
      <tp t="s">
        <v>#N/A N/A</v>
        <stp/>
        <stp>BDH|6086946415433145671</stp>
        <tr r="N13" s="2"/>
      </tp>
      <tp t="s">
        <v>#N/A N/A</v>
        <stp/>
        <stp>BDH|2699033881129516853</stp>
        <tr r="J11" s="2"/>
      </tp>
      <tp t="s">
        <v>#N/A N/A</v>
        <stp/>
        <stp>BDH|7190867242136768670</stp>
        <tr r="R10" s="2"/>
      </tp>
      <tp t="s">
        <v>#N/A N/A</v>
        <stp/>
        <stp>BDH|9028674038970736869</stp>
        <tr r="T7" s="2"/>
      </tp>
      <tp t="s">
        <v>#N/A N/A</v>
        <stp/>
        <stp>BDH|2344226652633898256</stp>
        <tr r="O16" s="2"/>
      </tp>
      <tp t="s">
        <v>#N/A N/A</v>
        <stp/>
        <stp>BDH|6530491425130772410</stp>
        <tr r="I13" s="2"/>
      </tp>
      <tp t="s">
        <v>#N/A N/A</v>
        <stp/>
        <stp>BDH|7143394614816984792</stp>
        <tr r="C19" s="2"/>
      </tp>
      <tp t="s">
        <v>#N/A N/A</v>
        <stp/>
        <stp>BDH|1438258760153539283</stp>
        <tr r="G17" s="2"/>
      </tp>
      <tp t="s">
        <v>#N/A N/A</v>
        <stp/>
        <stp>BDH|7462547016430376785</stp>
        <tr r="I15" s="2"/>
      </tp>
      <tp t="s">
        <v>#N/A N/A</v>
        <stp/>
        <stp>BDH|6429230356432767778</stp>
        <tr r="C12" s="2"/>
      </tp>
      <tp t="s">
        <v>#N/A N/A</v>
        <stp/>
        <stp>BDH|1606804769229084281</stp>
        <tr r="T15" s="2"/>
      </tp>
      <tp t="s">
        <v>#N/A N/A</v>
        <stp/>
        <stp>BDH|4325979090347985666</stp>
        <tr r="T17" s="2"/>
      </tp>
      <tp t="s">
        <v>#N/A N/A</v>
        <stp/>
        <stp>BDH|6343832080973305081</stp>
        <tr r="O15" s="2"/>
      </tp>
      <tp t="s">
        <v>#N/A N/A</v>
        <stp/>
        <stp>BDH|3006281047622321244</stp>
        <tr r="R18" s="2"/>
      </tp>
      <tp t="s">
        <v>#N/A N/A</v>
        <stp/>
        <stp>BDH|5277715449883695028</stp>
        <tr r="F10" s="2"/>
      </tp>
      <tp t="s">
        <v>#N/A N/A</v>
        <stp/>
        <stp>BDH|9419582520582123925</stp>
        <tr r="P20" s="2"/>
      </tp>
      <tp t="s">
        <v>#N/A N/A</v>
        <stp/>
        <stp>BDH|5913553691365909988</stp>
        <tr r="Q7" s="2"/>
      </tp>
      <tp t="s">
        <v>#N/A N/A</v>
        <stp/>
        <stp>BDH|7380752672222388051</stp>
        <tr r="I19" s="2"/>
      </tp>
      <tp t="s">
        <v>#N/A N/A</v>
        <stp/>
        <stp>BDH|2023549301024406620</stp>
        <tr r="E13" s="2"/>
      </tp>
      <tp t="s">
        <v>#N/A N/A</v>
        <stp/>
        <stp>BDH|3380776261390738713</stp>
        <tr r="K8" s="2"/>
      </tp>
      <tp t="s">
        <v>#N/A N/A</v>
        <stp/>
        <stp>BDH|7229122944734382373</stp>
        <tr r="M9" s="2"/>
      </tp>
      <tp t="s">
        <v>#N/A N/A</v>
        <stp/>
        <stp>BDH|6752361541373569743</stp>
        <tr r="O13" s="2"/>
      </tp>
      <tp t="s">
        <v>#N/A N/A</v>
        <stp/>
        <stp>BDH|9717010560169750303</stp>
        <tr r="S9" s="2"/>
      </tp>
      <tp t="s">
        <v>#N/A N/A</v>
        <stp/>
        <stp>BDH|8335835832076477019</stp>
        <tr r="J14" s="2"/>
      </tp>
      <tp t="s">
        <v>#N/A N/A</v>
        <stp/>
        <stp>BDH|8614266946222547972</stp>
        <tr r="R6" s="2"/>
      </tp>
      <tp t="s">
        <v>#N/A N/A</v>
        <stp/>
        <stp>BDH|5714031900977773772</stp>
        <tr r="U9" s="2"/>
      </tp>
      <tp t="s">
        <v>#N/A N/A</v>
        <stp/>
        <stp>BDH|26136910750328897</stp>
        <tr r="Q6" s="2"/>
      </tp>
      <tp t="s">
        <v>#N/A N/A</v>
        <stp/>
        <stp>BDH|7380299622001587061</stp>
        <tr r="N12" s="2"/>
      </tp>
      <tp t="s">
        <v>#N/A N/A</v>
        <stp/>
        <stp>BDH|5146419521963118696</stp>
        <tr r="F16" s="2"/>
      </tp>
      <tp t="s">
        <v>#N/A N/A</v>
        <stp/>
        <stp>BDH|2890773110023433126</stp>
        <tr r="P8" s="2"/>
      </tp>
      <tp t="s">
        <v>#N/A N/A</v>
        <stp/>
        <stp>BDH|7319105216868321981</stp>
        <tr r="S13" s="2"/>
      </tp>
      <tp t="s">
        <v>#N/A N/A</v>
        <stp/>
        <stp>BDH|2374711455646457030</stp>
        <tr r="Q17" s="2"/>
      </tp>
      <tp t="s">
        <v>#N/A N/A</v>
        <stp/>
        <stp>BDH|1354414643373288434</stp>
        <tr r="D9" s="2"/>
      </tp>
      <tp t="s">
        <v>#N/A N/A</v>
        <stp/>
        <stp>BDH|2080452773764389341</stp>
        <tr r="U8" s="2"/>
      </tp>
      <tp t="s">
        <v>#N/A N/A</v>
        <stp/>
        <stp>BDH|7011133551687334272</stp>
        <tr r="M13" s="2"/>
      </tp>
      <tp t="s">
        <v>#N/A N/A</v>
        <stp/>
        <stp>BDH|9029919722737486318</stp>
        <tr r="F9" s="2"/>
      </tp>
      <tp t="s">
        <v>#N/A N/A</v>
        <stp/>
        <stp>BDH|3063079476634429625</stp>
        <tr r="E12" s="2"/>
      </tp>
      <tp t="s">
        <v>#N/A N/A</v>
        <stp/>
        <stp>BDH|1134361066431672328</stp>
        <tr r="F15" s="2"/>
      </tp>
      <tp t="s">
        <v>#N/A N/A</v>
        <stp/>
        <stp>BDH|6587603890257958969</stp>
        <tr r="F17" s="2"/>
      </tp>
      <tp t="s">
        <v>#N/A N/A</v>
        <stp/>
        <stp>BDH|6632516194565755895</stp>
        <tr r="V20" s="2"/>
      </tp>
      <tp t="s">
        <v>#N/A N/A</v>
        <stp/>
        <stp>BDH|8123985472210225144</stp>
        <tr r="T10" s="2"/>
      </tp>
      <tp t="s">
        <v>#N/A N/A</v>
        <stp/>
        <stp>BDH|3226457001012453212</stp>
        <tr r="F8" s="2"/>
      </tp>
      <tp t="s">
        <v>#N/A N/A</v>
        <stp/>
        <stp>BDH|3344537776995187371</stp>
        <tr r="S15" s="2"/>
      </tp>
      <tp t="s">
        <v>#N/A N/A</v>
        <stp/>
        <stp>BDH|6924209872461939532</stp>
        <tr r="M8" s="2"/>
      </tp>
      <tp t="s">
        <v>#N/A N/A</v>
        <stp/>
        <stp>BDH|4030843182335798604</stp>
        <tr r="E8" s="2"/>
      </tp>
      <tp t="s">
        <v>#N/A N/A</v>
        <stp/>
        <stp>BDH|5580792517150803452</stp>
        <tr r="S14" s="2"/>
      </tp>
      <tp t="s">
        <v>#N/A N/A</v>
        <stp/>
        <stp>BDH|7031578662730262307</stp>
        <tr r="M19" s="2"/>
      </tp>
      <tp t="s">
        <v>#N/A N/A</v>
        <stp/>
        <stp>BDH|5000429044446152404</stp>
        <tr r="I9" s="2"/>
      </tp>
      <tp t="s">
        <v>#N/A N/A</v>
        <stp/>
        <stp>BDH|7611494240382185501</stp>
        <tr r="C20" s="2"/>
      </tp>
      <tp t="s">
        <v>#N/A N/A</v>
        <stp/>
        <stp>BDH|9765186713988442156</stp>
        <tr r="N16" s="2"/>
      </tp>
      <tp t="s">
        <v>#N/A N/A</v>
        <stp/>
        <stp>BDH|7290932594382562536</stp>
        <tr r="G10" s="2"/>
      </tp>
      <tp t="s">
        <v>#N/A N/A</v>
        <stp/>
        <stp>BDH|2525702369517809449</stp>
        <tr r="J9" s="2"/>
      </tp>
      <tp t="s">
        <v>#N/A N/A</v>
        <stp/>
        <stp>BDH|4793144475612680076</stp>
        <tr r="P6" s="2"/>
      </tp>
      <tp t="s">
        <v>#N/A N/A</v>
        <stp/>
        <stp>BDH|6817267462320470369</stp>
        <tr r="J17" s="2"/>
      </tp>
      <tp t="s">
        <v>#N/A N/A</v>
        <stp/>
        <stp>BDH|2305038796849212382</stp>
        <tr r="T12" s="2"/>
      </tp>
      <tp t="s">
        <v>#N/A N/A</v>
        <stp/>
        <stp>BDH|4852247373525807540</stp>
        <tr r="N20" s="2"/>
      </tp>
      <tp t="s">
        <v>#N/A N/A</v>
        <stp/>
        <stp>BDH|4901185387248430425</stp>
        <tr r="M10" s="2"/>
      </tp>
      <tp t="s">
        <v>#N/A N/A</v>
        <stp/>
        <stp>BDH|2282389228970425268</stp>
        <tr r="L14" s="2"/>
      </tp>
      <tp t="s">
        <v>#N/A N/A</v>
        <stp/>
        <stp>BDH|1372536490689444556</stp>
        <tr r="T18" s="2"/>
      </tp>
      <tp t="s">
        <v>#N/A N/A</v>
        <stp/>
        <stp>BDH|6330470236228335866</stp>
        <tr r="R19" s="2"/>
      </tp>
      <tp t="s">
        <v>#N/A N/A</v>
        <stp/>
        <stp>BDH|9890471015434859955</stp>
        <tr r="V7" s="2"/>
      </tp>
      <tp t="s">
        <v>#N/A N/A</v>
        <stp/>
        <stp>BDH|6077246345268495911</stp>
        <tr r="R15" s="2"/>
      </tp>
      <tp t="s">
        <v>#N/A N/A</v>
        <stp/>
        <stp>BDH|7688573331516547611</stp>
        <tr r="C14" s="2"/>
      </tp>
      <tp t="s">
        <v>#N/A N/A</v>
        <stp/>
        <stp>BDH|4697084381168606629</stp>
        <tr r="U15" s="2"/>
      </tp>
      <tp t="s">
        <v>#N/A N/A</v>
        <stp/>
        <stp>BDH|3517739629305800197</stp>
        <tr r="G20" s="2"/>
      </tp>
      <tp t="s">
        <v>#N/A N/A</v>
        <stp/>
        <stp>BDH|2952367413284472678</stp>
        <tr r="F11" s="2"/>
      </tp>
      <tp t="s">
        <v>#N/A N/A</v>
        <stp/>
        <stp>BDH|7439470327047038497</stp>
        <tr r="I14" s="2"/>
      </tp>
      <tp t="s">
        <v>#N/A N/A</v>
        <stp/>
        <stp>BDH|2940379565745486024</stp>
        <tr r="T14" s="2"/>
      </tp>
      <tp t="s">
        <v>#N/A N/A</v>
        <stp/>
        <stp>BDH|4077077211296138149</stp>
        <tr r="M6" s="2"/>
      </tp>
      <tp t="s">
        <v>#N/A N/A</v>
        <stp/>
        <stp>BDH|3663207228749985842</stp>
        <tr r="J13" s="2"/>
      </tp>
      <tp t="s">
        <v>#N/A N/A</v>
        <stp/>
        <stp>BDH|4604906262128243161</stp>
        <tr r="C18" s="2"/>
      </tp>
      <tp t="s">
        <v>#N/A N/A</v>
        <stp/>
        <stp>BDH|6207677195319405236</stp>
        <tr r="H13" s="2"/>
      </tp>
      <tp t="s">
        <v>#N/A N/A</v>
        <stp/>
        <stp>BDH|9129260150955058929</stp>
        <tr r="P13" s="2"/>
      </tp>
      <tp t="s">
        <v>#N/A N/A</v>
        <stp/>
        <stp>BDH|8993930528777286783</stp>
        <tr r="I17" s="2"/>
      </tp>
      <tp t="s">
        <v>#N/A N/A</v>
        <stp/>
        <stp>BDH|7596546869024143302</stp>
        <tr r="U12" s="2"/>
      </tp>
      <tp t="s">
        <v>#N/A N/A</v>
        <stp/>
        <stp>BDH|4093532425910888007</stp>
        <tr r="H6" s="2"/>
      </tp>
      <tp t="s">
        <v>#N/A N/A</v>
        <stp/>
        <stp>BDH|9165747443618348195</stp>
        <tr r="F12" s="2"/>
      </tp>
      <tp t="s">
        <v>#N/A N/A</v>
        <stp/>
        <stp>BDH|1097191154933908589</stp>
        <tr r="G19" s="2"/>
      </tp>
      <tp t="s">
        <v>#N/A N/A</v>
        <stp/>
        <stp>BDH|5386824594846381119</stp>
        <tr r="J7" s="2"/>
      </tp>
      <tp t="s">
        <v>#N/A N/A</v>
        <stp/>
        <stp>BDH|7100982798346125259</stp>
        <tr r="K17" s="2"/>
      </tp>
      <tp t="s">
        <v>#N/A N/A</v>
        <stp/>
        <stp>BDH|92784591332680272</stp>
        <tr r="V12" s="2"/>
      </tp>
      <tp t="s">
        <v>#N/A N/A</v>
        <stp/>
        <stp>BDH|584008737001921747</stp>
        <tr r="L16" s="2"/>
      </tp>
      <tp t="s">
        <v>#N/A N/A</v>
        <stp/>
        <stp>BDH|661727322146830655</stp>
        <tr r="N17" s="2"/>
      </tp>
      <tp t="s">
        <v>#N/A N/A</v>
        <stp/>
        <stp>BDH|540335358607270743</stp>
        <tr r="K14" s="2"/>
      </tp>
      <tp t="s">
        <v>#N/A N/A</v>
        <stp/>
        <stp>BDH|388957314309831088</stp>
        <tr r="L18" s="2"/>
      </tp>
      <tp t="s">
        <v>#N/A N/A</v>
        <stp/>
        <stp>BDH|653001732674351649</stp>
        <tr r="R14" s="2"/>
      </tp>
      <tp t="s">
        <v>#N/A N/A</v>
        <stp/>
        <stp>BDH|350449647781686050</stp>
        <tr r="V17" s="2"/>
      </tp>
      <tp t="s">
        <v>#N/A N/A</v>
        <stp/>
        <stp>BDH|232275669697719075</stp>
        <tr r="E11" s="2"/>
      </tp>
      <tp t="s">
        <v>#N/A N/A</v>
        <stp/>
        <stp>BDH|617207342798658383</stp>
        <tr r="P9" s="2"/>
      </tp>
      <tp t="s">
        <v>#N/A N/A</v>
        <stp/>
        <stp>BDH|415161480724013039</stp>
        <tr r="D19" s="2"/>
      </tp>
      <tp t="s">
        <v>#N/A N/A</v>
        <stp/>
        <stp>BDH|296668132558288107</stp>
        <tr r="O9" s="2"/>
      </tp>
      <tp t="s">
        <v>#N/A N/A</v>
        <stp/>
        <stp>BDH|792485630610647897</stp>
        <tr r="S7" s="2"/>
      </tp>
      <tp t="s">
        <v>#N/A N/A</v>
        <stp/>
        <stp>BDH|447711231845602836</stp>
        <tr r="N7" s="2"/>
      </tp>
      <tp t="s">
        <v>#N/A N/A</v>
        <stp/>
        <stp>BDH|976769000277373812</stp>
        <tr r="L10" s="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openxmlformats.org/officeDocument/2006/relationships/volatileDependencies" Target="volatileDependencies.xml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AE78F7-9EF9-49C0-B6A0-3AC28EB41B42}">
  <sheetPr codeName="Sheet1"/>
  <dimension ref="B2:F107"/>
  <sheetViews>
    <sheetView showGridLines="0" workbookViewId="0">
      <selection activeCell="B2" sqref="B2"/>
    </sheetView>
  </sheetViews>
  <sheetFormatPr defaultRowHeight="14.5" x14ac:dyDescent="0.35"/>
  <cols>
    <col min="1" max="1" width="3.26953125" customWidth="1"/>
    <col min="2" max="2" width="14" customWidth="1"/>
    <col min="3" max="3" width="44.7265625" customWidth="1"/>
    <col min="4" max="4" width="13.7265625" customWidth="1"/>
    <col min="5" max="5" width="20.54296875" customWidth="1"/>
    <col min="6" max="6" width="11.26953125" style="5" customWidth="1"/>
  </cols>
  <sheetData>
    <row r="2" spans="2:6" x14ac:dyDescent="0.35">
      <c r="B2" s="2" t="s">
        <v>0</v>
      </c>
      <c r="C2" s="2" t="s">
        <v>1</v>
      </c>
      <c r="D2" s="2" t="s">
        <v>2</v>
      </c>
      <c r="E2" s="2" t="s">
        <v>3</v>
      </c>
      <c r="F2" s="4" t="s">
        <v>4</v>
      </c>
    </row>
    <row r="3" spans="2:6" x14ac:dyDescent="0.35">
      <c r="B3" s="6">
        <v>45217</v>
      </c>
      <c r="C3" s="7" t="s">
        <v>5</v>
      </c>
      <c r="D3" s="7" t="s">
        <v>6</v>
      </c>
      <c r="E3" s="7" t="s">
        <v>7</v>
      </c>
      <c r="F3" s="8">
        <v>0</v>
      </c>
    </row>
    <row r="4" spans="2:6" x14ac:dyDescent="0.35">
      <c r="B4" s="6">
        <v>45217</v>
      </c>
      <c r="C4" s="7" t="s">
        <v>8</v>
      </c>
      <c r="D4" s="7" t="s">
        <v>6</v>
      </c>
      <c r="E4" s="7" t="s">
        <v>9</v>
      </c>
      <c r="F4" s="8">
        <v>0</v>
      </c>
    </row>
    <row r="5" spans="2:6" x14ac:dyDescent="0.35">
      <c r="B5" s="6">
        <v>45217</v>
      </c>
      <c r="C5" s="7" t="s">
        <v>10</v>
      </c>
      <c r="D5" s="7" t="s">
        <v>11</v>
      </c>
      <c r="E5" s="7" t="s">
        <v>12</v>
      </c>
      <c r="F5" s="8">
        <v>60000</v>
      </c>
    </row>
    <row r="6" spans="2:6" x14ac:dyDescent="0.35">
      <c r="B6" s="6">
        <v>45217</v>
      </c>
      <c r="C6" s="7" t="s">
        <v>10</v>
      </c>
      <c r="D6" s="7" t="s">
        <v>11</v>
      </c>
      <c r="E6" s="7" t="s">
        <v>12</v>
      </c>
      <c r="F6" s="8">
        <v>258673</v>
      </c>
    </row>
    <row r="7" spans="2:6" x14ac:dyDescent="0.35">
      <c r="B7" s="6">
        <v>45217</v>
      </c>
      <c r="C7" s="7" t="s">
        <v>13</v>
      </c>
      <c r="D7" s="7" t="s">
        <v>6</v>
      </c>
      <c r="E7" s="7" t="s">
        <v>14</v>
      </c>
      <c r="F7" s="8">
        <v>0</v>
      </c>
    </row>
    <row r="8" spans="2:6" x14ac:dyDescent="0.35">
      <c r="B8" s="6">
        <v>45217</v>
      </c>
      <c r="C8" s="7" t="s">
        <v>15</v>
      </c>
      <c r="D8" s="7" t="s">
        <v>6</v>
      </c>
      <c r="E8" s="7" t="s">
        <v>16</v>
      </c>
      <c r="F8" s="8">
        <v>0</v>
      </c>
    </row>
    <row r="9" spans="2:6" x14ac:dyDescent="0.35">
      <c r="B9" s="6">
        <v>45217</v>
      </c>
      <c r="C9" s="7" t="s">
        <v>17</v>
      </c>
      <c r="D9" s="7" t="s">
        <v>6</v>
      </c>
      <c r="E9" s="7" t="s">
        <v>18</v>
      </c>
      <c r="F9" s="8">
        <v>40000</v>
      </c>
    </row>
    <row r="10" spans="2:6" x14ac:dyDescent="0.35">
      <c r="B10" s="6">
        <v>45217</v>
      </c>
      <c r="C10" s="7" t="s">
        <v>19</v>
      </c>
      <c r="D10" s="7" t="s">
        <v>6</v>
      </c>
      <c r="E10" s="7" t="s">
        <v>20</v>
      </c>
      <c r="F10" s="8">
        <v>0</v>
      </c>
    </row>
    <row r="11" spans="2:6" x14ac:dyDescent="0.35">
      <c r="B11" s="6">
        <v>45217</v>
      </c>
      <c r="C11" s="7" t="s">
        <v>21</v>
      </c>
      <c r="D11" s="7" t="s">
        <v>6</v>
      </c>
      <c r="E11" s="7" t="s">
        <v>22</v>
      </c>
      <c r="F11" s="8">
        <v>0</v>
      </c>
    </row>
    <row r="12" spans="2:6" x14ac:dyDescent="0.35">
      <c r="B12" s="6">
        <v>45217</v>
      </c>
      <c r="C12" s="7" t="s">
        <v>23</v>
      </c>
      <c r="D12" s="7" t="s">
        <v>6</v>
      </c>
      <c r="E12" s="7" t="s">
        <v>24</v>
      </c>
      <c r="F12" s="8">
        <v>0</v>
      </c>
    </row>
    <row r="13" spans="2:6" x14ac:dyDescent="0.35">
      <c r="B13" s="6">
        <v>45217</v>
      </c>
      <c r="C13" s="7" t="s">
        <v>25</v>
      </c>
      <c r="D13" s="7" t="s">
        <v>6</v>
      </c>
      <c r="E13" s="7" t="s">
        <v>26</v>
      </c>
      <c r="F13" s="8">
        <v>0</v>
      </c>
    </row>
    <row r="14" spans="2:6" x14ac:dyDescent="0.35">
      <c r="B14" s="6">
        <v>45217</v>
      </c>
      <c r="C14" s="7" t="s">
        <v>27</v>
      </c>
      <c r="D14" s="7" t="s">
        <v>6</v>
      </c>
      <c r="E14" s="7" t="s">
        <v>28</v>
      </c>
      <c r="F14" s="8">
        <v>376066</v>
      </c>
    </row>
    <row r="15" spans="2:6" x14ac:dyDescent="0.35">
      <c r="B15" s="6">
        <v>45217</v>
      </c>
      <c r="C15" s="7" t="s">
        <v>29</v>
      </c>
      <c r="D15" s="7" t="s">
        <v>6</v>
      </c>
      <c r="E15" s="7" t="s">
        <v>30</v>
      </c>
      <c r="F15" s="8">
        <v>0</v>
      </c>
    </row>
    <row r="16" spans="2:6" x14ac:dyDescent="0.35">
      <c r="B16" s="6">
        <v>45217</v>
      </c>
      <c r="C16" s="7" t="s">
        <v>31</v>
      </c>
      <c r="D16" s="7" t="s">
        <v>6</v>
      </c>
      <c r="E16" s="7" t="s">
        <v>32</v>
      </c>
      <c r="F16" s="8">
        <v>0</v>
      </c>
    </row>
    <row r="17" spans="2:6" x14ac:dyDescent="0.35">
      <c r="B17" s="6">
        <v>45217</v>
      </c>
      <c r="C17" s="7" t="s">
        <v>33</v>
      </c>
      <c r="D17" s="7" t="s">
        <v>6</v>
      </c>
      <c r="E17" s="7" t="s">
        <v>34</v>
      </c>
      <c r="F17" s="8">
        <v>0</v>
      </c>
    </row>
    <row r="18" spans="2:6" x14ac:dyDescent="0.35">
      <c r="B18" s="6">
        <v>45217</v>
      </c>
      <c r="C18" s="7" t="s">
        <v>35</v>
      </c>
      <c r="D18" s="7" t="s">
        <v>6</v>
      </c>
      <c r="E18" s="7" t="s">
        <v>36</v>
      </c>
      <c r="F18" s="8">
        <v>0</v>
      </c>
    </row>
    <row r="19" spans="2:6" x14ac:dyDescent="0.35">
      <c r="B19" s="6">
        <v>45217</v>
      </c>
      <c r="C19" s="7" t="s">
        <v>37</v>
      </c>
      <c r="D19" s="7" t="s">
        <v>6</v>
      </c>
      <c r="E19" s="7" t="s">
        <v>38</v>
      </c>
      <c r="F19" s="8">
        <v>236021</v>
      </c>
    </row>
    <row r="20" spans="2:6" x14ac:dyDescent="0.35">
      <c r="B20" s="6">
        <v>45217</v>
      </c>
      <c r="C20" s="7" t="s">
        <v>39</v>
      </c>
      <c r="D20" s="7" t="s">
        <v>6</v>
      </c>
      <c r="E20" s="7" t="s">
        <v>40</v>
      </c>
      <c r="F20" s="8">
        <v>0</v>
      </c>
    </row>
    <row r="21" spans="2:6" x14ac:dyDescent="0.35">
      <c r="B21" s="6">
        <v>45217</v>
      </c>
      <c r="C21" s="7" t="s">
        <v>41</v>
      </c>
      <c r="D21" s="7" t="s">
        <v>6</v>
      </c>
      <c r="E21" s="7" t="s">
        <v>42</v>
      </c>
      <c r="F21" s="8">
        <v>125239</v>
      </c>
    </row>
    <row r="22" spans="2:6" x14ac:dyDescent="0.35">
      <c r="B22" s="6">
        <v>45217</v>
      </c>
      <c r="C22" s="7" t="s">
        <v>43</v>
      </c>
      <c r="D22" s="7" t="s">
        <v>6</v>
      </c>
      <c r="E22" s="7" t="s">
        <v>44</v>
      </c>
      <c r="F22" s="8">
        <v>0</v>
      </c>
    </row>
    <row r="23" spans="2:6" x14ac:dyDescent="0.35">
      <c r="B23" s="6">
        <v>45217</v>
      </c>
      <c r="C23" s="7" t="s">
        <v>45</v>
      </c>
      <c r="D23" s="7" t="s">
        <v>6</v>
      </c>
      <c r="E23" s="7" t="s">
        <v>46</v>
      </c>
      <c r="F23" s="8">
        <v>0</v>
      </c>
    </row>
    <row r="24" spans="2:6" x14ac:dyDescent="0.35">
      <c r="B24" s="6">
        <v>45217</v>
      </c>
      <c r="C24" s="7" t="s">
        <v>47</v>
      </c>
      <c r="D24" s="7" t="s">
        <v>6</v>
      </c>
      <c r="E24" s="7" t="s">
        <v>48</v>
      </c>
      <c r="F24" s="8">
        <v>0</v>
      </c>
    </row>
    <row r="25" spans="2:6" x14ac:dyDescent="0.35">
      <c r="B25" s="6">
        <v>45217</v>
      </c>
      <c r="C25" s="7" t="s">
        <v>49</v>
      </c>
      <c r="D25" s="7" t="s">
        <v>6</v>
      </c>
      <c r="E25" s="7" t="s">
        <v>50</v>
      </c>
      <c r="F25" s="8">
        <v>0</v>
      </c>
    </row>
    <row r="26" spans="2:6" x14ac:dyDescent="0.35">
      <c r="B26" s="6">
        <v>45217</v>
      </c>
      <c r="C26" s="7" t="s">
        <v>51</v>
      </c>
      <c r="D26" s="7" t="s">
        <v>6</v>
      </c>
      <c r="E26" s="7" t="s">
        <v>52</v>
      </c>
      <c r="F26" s="8">
        <v>250000</v>
      </c>
    </row>
    <row r="27" spans="2:6" x14ac:dyDescent="0.35">
      <c r="B27" s="6">
        <v>45217</v>
      </c>
      <c r="C27" s="7" t="s">
        <v>53</v>
      </c>
      <c r="D27" s="7" t="s">
        <v>6</v>
      </c>
      <c r="E27" s="7" t="s">
        <v>54</v>
      </c>
      <c r="F27" s="8">
        <v>0</v>
      </c>
    </row>
    <row r="28" spans="2:6" x14ac:dyDescent="0.35">
      <c r="B28" s="6">
        <v>45217</v>
      </c>
      <c r="C28" s="7" t="s">
        <v>55</v>
      </c>
      <c r="D28" s="7" t="s">
        <v>6</v>
      </c>
      <c r="E28" s="7" t="s">
        <v>56</v>
      </c>
      <c r="F28" s="8">
        <v>3978</v>
      </c>
    </row>
    <row r="29" spans="2:6" x14ac:dyDescent="0.35">
      <c r="B29" s="6">
        <v>45217</v>
      </c>
      <c r="C29" s="7" t="s">
        <v>57</v>
      </c>
      <c r="D29" s="7" t="s">
        <v>6</v>
      </c>
      <c r="E29" s="7" t="s">
        <v>58</v>
      </c>
      <c r="F29" s="8">
        <v>80000</v>
      </c>
    </row>
    <row r="30" spans="2:6" x14ac:dyDescent="0.35">
      <c r="B30" s="6">
        <v>45217</v>
      </c>
      <c r="C30" s="7" t="s">
        <v>59</v>
      </c>
      <c r="D30" s="7" t="s">
        <v>6</v>
      </c>
      <c r="E30" s="7" t="s">
        <v>60</v>
      </c>
      <c r="F30" s="8">
        <v>0</v>
      </c>
    </row>
    <row r="31" spans="2:6" x14ac:dyDescent="0.35">
      <c r="B31" s="6">
        <v>45217</v>
      </c>
      <c r="C31" s="7" t="s">
        <v>61</v>
      </c>
      <c r="D31" s="7" t="s">
        <v>6</v>
      </c>
      <c r="E31" s="7" t="s">
        <v>62</v>
      </c>
      <c r="F31" s="8">
        <v>325000</v>
      </c>
    </row>
    <row r="32" spans="2:6" x14ac:dyDescent="0.35">
      <c r="B32" s="6">
        <v>45217</v>
      </c>
      <c r="C32" s="7" t="s">
        <v>63</v>
      </c>
      <c r="D32" s="7" t="s">
        <v>6</v>
      </c>
      <c r="E32" s="7" t="s">
        <v>64</v>
      </c>
      <c r="F32" s="8">
        <v>0</v>
      </c>
    </row>
    <row r="33" spans="2:6" x14ac:dyDescent="0.35">
      <c r="B33" s="6">
        <v>45217</v>
      </c>
      <c r="C33" s="7" t="s">
        <v>65</v>
      </c>
      <c r="D33" s="7" t="s">
        <v>6</v>
      </c>
      <c r="E33" s="7" t="s">
        <v>66</v>
      </c>
      <c r="F33" s="8">
        <v>0</v>
      </c>
    </row>
    <row r="34" spans="2:6" x14ac:dyDescent="0.35">
      <c r="B34" s="6">
        <v>45217</v>
      </c>
      <c r="C34" s="7" t="s">
        <v>67</v>
      </c>
      <c r="D34" s="7" t="s">
        <v>6</v>
      </c>
      <c r="E34" s="7" t="s">
        <v>68</v>
      </c>
      <c r="F34" s="8">
        <v>35000</v>
      </c>
    </row>
    <row r="35" spans="2:6" x14ac:dyDescent="0.35">
      <c r="B35" s="6">
        <v>45217</v>
      </c>
      <c r="C35" s="7" t="s">
        <v>69</v>
      </c>
      <c r="D35" s="7" t="s">
        <v>70</v>
      </c>
      <c r="E35" s="7" t="s">
        <v>71</v>
      </c>
      <c r="F35" s="8">
        <v>131600</v>
      </c>
    </row>
    <row r="36" spans="2:6" x14ac:dyDescent="0.35">
      <c r="B36" s="6">
        <v>45217</v>
      </c>
      <c r="C36" s="7" t="s">
        <v>72</v>
      </c>
      <c r="D36" s="7" t="s">
        <v>6</v>
      </c>
      <c r="E36" s="7" t="s">
        <v>73</v>
      </c>
      <c r="F36" s="8">
        <v>0</v>
      </c>
    </row>
    <row r="37" spans="2:6" x14ac:dyDescent="0.35">
      <c r="B37" s="6">
        <v>45217</v>
      </c>
      <c r="C37" s="7" t="s">
        <v>74</v>
      </c>
      <c r="D37" s="7" t="s">
        <v>6</v>
      </c>
      <c r="E37" s="7" t="s">
        <v>75</v>
      </c>
      <c r="F37" s="8">
        <v>56867</v>
      </c>
    </row>
    <row r="38" spans="2:6" x14ac:dyDescent="0.35">
      <c r="B38" s="6">
        <v>45217</v>
      </c>
      <c r="C38" s="7" t="s">
        <v>76</v>
      </c>
      <c r="D38" s="7" t="s">
        <v>6</v>
      </c>
      <c r="E38" s="7" t="s">
        <v>77</v>
      </c>
      <c r="F38" s="8">
        <v>127461</v>
      </c>
    </row>
    <row r="39" spans="2:6" x14ac:dyDescent="0.35">
      <c r="B39" s="6">
        <v>45217</v>
      </c>
      <c r="C39" s="7" t="s">
        <v>78</v>
      </c>
      <c r="D39" s="7" t="s">
        <v>6</v>
      </c>
      <c r="E39" s="7" t="s">
        <v>79</v>
      </c>
      <c r="F39" s="8">
        <v>0</v>
      </c>
    </row>
    <row r="40" spans="2:6" x14ac:dyDescent="0.35">
      <c r="B40" s="6">
        <v>45217</v>
      </c>
      <c r="C40" s="7" t="s">
        <v>80</v>
      </c>
      <c r="D40" s="7" t="s">
        <v>6</v>
      </c>
      <c r="E40" s="7" t="s">
        <v>81</v>
      </c>
      <c r="F40" s="8">
        <v>0</v>
      </c>
    </row>
    <row r="41" spans="2:6" x14ac:dyDescent="0.35">
      <c r="B41" s="6">
        <v>45217</v>
      </c>
      <c r="C41" s="7" t="s">
        <v>82</v>
      </c>
      <c r="D41" s="7" t="s">
        <v>6</v>
      </c>
      <c r="E41" s="7" t="s">
        <v>83</v>
      </c>
      <c r="F41" s="8">
        <v>414852</v>
      </c>
    </row>
    <row r="42" spans="2:6" x14ac:dyDescent="0.35">
      <c r="B42" s="6">
        <v>45217</v>
      </c>
      <c r="C42" s="7" t="s">
        <v>84</v>
      </c>
      <c r="D42" s="7" t="s">
        <v>6</v>
      </c>
      <c r="E42" s="7" t="s">
        <v>85</v>
      </c>
      <c r="F42" s="8">
        <v>0</v>
      </c>
    </row>
    <row r="43" spans="2:6" x14ac:dyDescent="0.35">
      <c r="B43" s="6">
        <v>45217</v>
      </c>
      <c r="C43" s="7" t="s">
        <v>86</v>
      </c>
      <c r="D43" s="7" t="s">
        <v>6</v>
      </c>
      <c r="E43" s="7" t="s">
        <v>87</v>
      </c>
      <c r="F43" s="8">
        <v>22799</v>
      </c>
    </row>
    <row r="44" spans="2:6" x14ac:dyDescent="0.35">
      <c r="B44" s="6">
        <v>45217</v>
      </c>
      <c r="C44" s="7" t="s">
        <v>88</v>
      </c>
      <c r="D44" s="7" t="s">
        <v>6</v>
      </c>
      <c r="E44" s="7" t="s">
        <v>89</v>
      </c>
      <c r="F44" s="8">
        <v>0</v>
      </c>
    </row>
    <row r="45" spans="2:6" x14ac:dyDescent="0.35">
      <c r="B45" s="6">
        <v>45217</v>
      </c>
      <c r="C45" s="7" t="s">
        <v>90</v>
      </c>
      <c r="D45" s="7" t="s">
        <v>6</v>
      </c>
      <c r="E45" s="7" t="s">
        <v>91</v>
      </c>
      <c r="F45" s="8">
        <v>0</v>
      </c>
    </row>
    <row r="46" spans="2:6" x14ac:dyDescent="0.35">
      <c r="B46" s="6">
        <v>45217</v>
      </c>
      <c r="C46" s="7" t="s">
        <v>92</v>
      </c>
      <c r="D46" s="7" t="s">
        <v>6</v>
      </c>
      <c r="E46" s="7" t="s">
        <v>93</v>
      </c>
      <c r="F46" s="8">
        <v>0</v>
      </c>
    </row>
    <row r="47" spans="2:6" x14ac:dyDescent="0.35">
      <c r="B47" s="6">
        <v>45217</v>
      </c>
      <c r="C47" s="7" t="s">
        <v>94</v>
      </c>
      <c r="D47" s="7" t="s">
        <v>6</v>
      </c>
      <c r="E47" s="7" t="s">
        <v>95</v>
      </c>
      <c r="F47" s="8">
        <v>0</v>
      </c>
    </row>
    <row r="48" spans="2:6" x14ac:dyDescent="0.35">
      <c r="B48" s="6">
        <v>45217</v>
      </c>
      <c r="C48" s="7" t="s">
        <v>94</v>
      </c>
      <c r="D48" s="7" t="s">
        <v>6</v>
      </c>
      <c r="E48" s="7" t="s">
        <v>95</v>
      </c>
      <c r="F48" s="8">
        <v>0</v>
      </c>
    </row>
    <row r="49" spans="2:6" x14ac:dyDescent="0.35">
      <c r="B49" s="6">
        <v>45217</v>
      </c>
      <c r="C49" s="7" t="s">
        <v>96</v>
      </c>
      <c r="D49" s="7" t="s">
        <v>6</v>
      </c>
      <c r="E49" s="7" t="s">
        <v>97</v>
      </c>
      <c r="F49" s="8">
        <v>350000</v>
      </c>
    </row>
    <row r="50" spans="2:6" x14ac:dyDescent="0.35">
      <c r="B50" s="6">
        <v>45217</v>
      </c>
      <c r="C50" s="7" t="s">
        <v>98</v>
      </c>
      <c r="D50" s="7" t="s">
        <v>6</v>
      </c>
      <c r="E50" s="7" t="s">
        <v>99</v>
      </c>
      <c r="F50" s="8">
        <v>200917</v>
      </c>
    </row>
    <row r="51" spans="2:6" x14ac:dyDescent="0.35">
      <c r="B51" s="6">
        <v>45217</v>
      </c>
      <c r="C51" s="7" t="s">
        <v>100</v>
      </c>
      <c r="D51" s="7" t="s">
        <v>6</v>
      </c>
      <c r="E51" s="7" t="s">
        <v>101</v>
      </c>
      <c r="F51" s="8">
        <v>0</v>
      </c>
    </row>
    <row r="52" spans="2:6" x14ac:dyDescent="0.35">
      <c r="B52" s="6">
        <v>45217</v>
      </c>
      <c r="C52" s="7" t="s">
        <v>102</v>
      </c>
      <c r="D52" s="7" t="s">
        <v>6</v>
      </c>
      <c r="E52" s="7" t="s">
        <v>103</v>
      </c>
      <c r="F52" s="8">
        <v>243455</v>
      </c>
    </row>
    <row r="53" spans="2:6" x14ac:dyDescent="0.35">
      <c r="B53" s="6">
        <v>45217</v>
      </c>
      <c r="C53" s="7" t="s">
        <v>104</v>
      </c>
      <c r="D53" s="7" t="s">
        <v>6</v>
      </c>
      <c r="E53" s="7" t="s">
        <v>105</v>
      </c>
      <c r="F53" s="8">
        <v>0</v>
      </c>
    </row>
    <row r="54" spans="2:6" x14ac:dyDescent="0.35">
      <c r="B54" s="6">
        <v>45217</v>
      </c>
      <c r="C54" s="7" t="s">
        <v>106</v>
      </c>
      <c r="D54" s="7" t="s">
        <v>6</v>
      </c>
      <c r="E54" s="7" t="s">
        <v>107</v>
      </c>
      <c r="F54" s="8">
        <v>0</v>
      </c>
    </row>
    <row r="55" spans="2:6" x14ac:dyDescent="0.35">
      <c r="B55" s="6">
        <v>45217</v>
      </c>
      <c r="C55" s="7" t="s">
        <v>108</v>
      </c>
      <c r="D55" s="7" t="s">
        <v>6</v>
      </c>
      <c r="E55" s="7" t="s">
        <v>109</v>
      </c>
      <c r="F55" s="8">
        <v>0</v>
      </c>
    </row>
    <row r="56" spans="2:6" x14ac:dyDescent="0.35">
      <c r="B56" s="6">
        <v>45217</v>
      </c>
      <c r="C56" s="7" t="s">
        <v>110</v>
      </c>
      <c r="D56" s="7" t="s">
        <v>6</v>
      </c>
      <c r="E56" s="7" t="s">
        <v>111</v>
      </c>
      <c r="F56" s="8">
        <v>111015</v>
      </c>
    </row>
    <row r="57" spans="2:6" x14ac:dyDescent="0.35">
      <c r="B57" s="6">
        <v>45217</v>
      </c>
      <c r="C57" s="7" t="s">
        <v>112</v>
      </c>
      <c r="D57" s="7" t="s">
        <v>6</v>
      </c>
      <c r="E57" s="7" t="s">
        <v>113</v>
      </c>
      <c r="F57" s="8">
        <v>0</v>
      </c>
    </row>
    <row r="58" spans="2:6" x14ac:dyDescent="0.35">
      <c r="B58" s="6">
        <v>45217</v>
      </c>
      <c r="C58" s="7" t="s">
        <v>114</v>
      </c>
      <c r="D58" s="7" t="s">
        <v>6</v>
      </c>
      <c r="E58" s="7" t="s">
        <v>115</v>
      </c>
      <c r="F58" s="8">
        <v>0</v>
      </c>
    </row>
    <row r="59" spans="2:6" x14ac:dyDescent="0.35">
      <c r="B59" s="6">
        <v>45217</v>
      </c>
      <c r="C59" s="7" t="s">
        <v>116</v>
      </c>
      <c r="D59" s="7" t="s">
        <v>6</v>
      </c>
      <c r="E59" s="7" t="s">
        <v>117</v>
      </c>
      <c r="F59" s="8">
        <v>30000</v>
      </c>
    </row>
    <row r="60" spans="2:6" x14ac:dyDescent="0.35">
      <c r="B60" s="6">
        <v>45217</v>
      </c>
      <c r="C60" s="7" t="s">
        <v>118</v>
      </c>
      <c r="D60" s="7" t="s">
        <v>6</v>
      </c>
      <c r="E60" s="7" t="s">
        <v>119</v>
      </c>
      <c r="F60" s="8">
        <v>0</v>
      </c>
    </row>
    <row r="61" spans="2:6" x14ac:dyDescent="0.35">
      <c r="B61" s="6">
        <v>45217</v>
      </c>
      <c r="C61" s="7" t="s">
        <v>120</v>
      </c>
      <c r="D61" s="7" t="s">
        <v>6</v>
      </c>
      <c r="E61" s="7" t="s">
        <v>121</v>
      </c>
      <c r="F61" s="8">
        <v>0</v>
      </c>
    </row>
    <row r="62" spans="2:6" x14ac:dyDescent="0.35">
      <c r="B62" s="6">
        <v>45217</v>
      </c>
      <c r="C62" s="7" t="s">
        <v>122</v>
      </c>
      <c r="D62" s="7" t="s">
        <v>6</v>
      </c>
      <c r="E62" s="7" t="s">
        <v>123</v>
      </c>
      <c r="F62" s="8">
        <v>3355</v>
      </c>
    </row>
    <row r="63" spans="2:6" x14ac:dyDescent="0.35">
      <c r="B63" s="6">
        <v>45217</v>
      </c>
      <c r="C63" s="7" t="s">
        <v>124</v>
      </c>
      <c r="D63" s="7" t="s">
        <v>6</v>
      </c>
      <c r="E63" s="7" t="s">
        <v>125</v>
      </c>
      <c r="F63" s="8">
        <v>91233</v>
      </c>
    </row>
    <row r="64" spans="2:6" x14ac:dyDescent="0.35">
      <c r="B64" s="6">
        <v>45217</v>
      </c>
      <c r="C64" s="7" t="s">
        <v>126</v>
      </c>
      <c r="D64" s="7" t="s">
        <v>6</v>
      </c>
      <c r="E64" s="7" t="s">
        <v>127</v>
      </c>
      <c r="F64" s="8">
        <v>0</v>
      </c>
    </row>
    <row r="65" spans="2:6" x14ac:dyDescent="0.35">
      <c r="B65" s="6">
        <v>45217</v>
      </c>
      <c r="C65" s="7" t="s">
        <v>128</v>
      </c>
      <c r="D65" s="7" t="s">
        <v>6</v>
      </c>
      <c r="E65" s="7" t="s">
        <v>129</v>
      </c>
      <c r="F65" s="8">
        <v>0</v>
      </c>
    </row>
    <row r="66" spans="2:6" x14ac:dyDescent="0.35">
      <c r="B66" s="6">
        <v>45217</v>
      </c>
      <c r="C66" s="7" t="s">
        <v>130</v>
      </c>
      <c r="D66" s="7" t="s">
        <v>6</v>
      </c>
      <c r="E66" s="7" t="s">
        <v>131</v>
      </c>
      <c r="F66" s="8">
        <v>0</v>
      </c>
    </row>
    <row r="67" spans="2:6" x14ac:dyDescent="0.35">
      <c r="B67" s="6">
        <v>45217</v>
      </c>
      <c r="C67" s="7" t="s">
        <v>132</v>
      </c>
      <c r="D67" s="7" t="s">
        <v>6</v>
      </c>
      <c r="E67" s="7" t="s">
        <v>133</v>
      </c>
      <c r="F67" s="8">
        <v>0</v>
      </c>
    </row>
    <row r="68" spans="2:6" x14ac:dyDescent="0.35">
      <c r="B68" s="6">
        <v>45217</v>
      </c>
      <c r="C68" s="7" t="s">
        <v>134</v>
      </c>
      <c r="D68" s="7" t="s">
        <v>6</v>
      </c>
      <c r="E68" s="7" t="s">
        <v>135</v>
      </c>
      <c r="F68" s="8">
        <v>0</v>
      </c>
    </row>
    <row r="69" spans="2:6" x14ac:dyDescent="0.35">
      <c r="B69" s="6">
        <v>45217</v>
      </c>
      <c r="C69" s="7" t="s">
        <v>136</v>
      </c>
      <c r="D69" s="7" t="s">
        <v>6</v>
      </c>
      <c r="E69" s="7" t="s">
        <v>137</v>
      </c>
      <c r="F69" s="8">
        <v>164918</v>
      </c>
    </row>
    <row r="70" spans="2:6" x14ac:dyDescent="0.35">
      <c r="B70" s="6">
        <v>45217</v>
      </c>
      <c r="C70" s="7" t="s">
        <v>138</v>
      </c>
      <c r="D70" s="7" t="s">
        <v>6</v>
      </c>
      <c r="E70" s="7" t="s">
        <v>139</v>
      </c>
      <c r="F70" s="8">
        <v>0</v>
      </c>
    </row>
    <row r="71" spans="2:6" x14ac:dyDescent="0.35">
      <c r="B71" s="6">
        <v>45217</v>
      </c>
      <c r="C71" s="7" t="s">
        <v>140</v>
      </c>
      <c r="D71" s="7" t="s">
        <v>6</v>
      </c>
      <c r="E71" s="7" t="s">
        <v>141</v>
      </c>
      <c r="F71" s="8">
        <v>463344</v>
      </c>
    </row>
    <row r="72" spans="2:6" x14ac:dyDescent="0.35">
      <c r="B72" s="6">
        <v>45217</v>
      </c>
      <c r="C72" s="7" t="s">
        <v>142</v>
      </c>
      <c r="D72" s="7" t="s">
        <v>6</v>
      </c>
      <c r="E72" s="7" t="s">
        <v>143</v>
      </c>
      <c r="F72" s="8">
        <v>86734</v>
      </c>
    </row>
    <row r="73" spans="2:6" x14ac:dyDescent="0.35">
      <c r="B73" s="6">
        <v>45217</v>
      </c>
      <c r="C73" s="7" t="s">
        <v>144</v>
      </c>
      <c r="D73" s="7" t="s">
        <v>6</v>
      </c>
      <c r="E73" s="7" t="s">
        <v>145</v>
      </c>
      <c r="F73" s="8">
        <v>0</v>
      </c>
    </row>
    <row r="74" spans="2:6" x14ac:dyDescent="0.35">
      <c r="B74" s="6">
        <v>45217</v>
      </c>
      <c r="C74" s="7" t="s">
        <v>146</v>
      </c>
      <c r="D74" s="7" t="s">
        <v>6</v>
      </c>
      <c r="E74" s="7" t="s">
        <v>147</v>
      </c>
      <c r="F74" s="8">
        <v>0</v>
      </c>
    </row>
    <row r="75" spans="2:6" x14ac:dyDescent="0.35">
      <c r="B75" s="6">
        <v>45217</v>
      </c>
      <c r="C75" s="7" t="s">
        <v>148</v>
      </c>
      <c r="D75" s="7" t="s">
        <v>6</v>
      </c>
      <c r="E75" s="7" t="s">
        <v>149</v>
      </c>
      <c r="F75" s="8">
        <v>0</v>
      </c>
    </row>
    <row r="76" spans="2:6" x14ac:dyDescent="0.35">
      <c r="B76" s="6">
        <v>45217</v>
      </c>
      <c r="C76" s="7" t="s">
        <v>150</v>
      </c>
      <c r="D76" s="7" t="s">
        <v>6</v>
      </c>
      <c r="E76" s="7" t="s">
        <v>151</v>
      </c>
      <c r="F76" s="8">
        <v>0</v>
      </c>
    </row>
    <row r="77" spans="2:6" x14ac:dyDescent="0.35">
      <c r="B77" s="6">
        <v>45217</v>
      </c>
      <c r="C77" s="7" t="s">
        <v>152</v>
      </c>
      <c r="D77" s="7" t="s">
        <v>6</v>
      </c>
      <c r="E77" s="7" t="s">
        <v>153</v>
      </c>
      <c r="F77" s="8">
        <v>0</v>
      </c>
    </row>
    <row r="78" spans="2:6" x14ac:dyDescent="0.35">
      <c r="B78" s="6">
        <v>45217</v>
      </c>
      <c r="C78" s="7" t="s">
        <v>154</v>
      </c>
      <c r="D78" s="7" t="s">
        <v>6</v>
      </c>
      <c r="E78" s="7" t="s">
        <v>155</v>
      </c>
      <c r="F78" s="8">
        <v>0</v>
      </c>
    </row>
    <row r="79" spans="2:6" x14ac:dyDescent="0.35">
      <c r="B79" s="6">
        <v>45217</v>
      </c>
      <c r="C79" s="7" t="s">
        <v>156</v>
      </c>
      <c r="D79" s="7" t="s">
        <v>6</v>
      </c>
      <c r="E79" s="7" t="s">
        <v>157</v>
      </c>
      <c r="F79" s="8">
        <v>0</v>
      </c>
    </row>
    <row r="80" spans="2:6" x14ac:dyDescent="0.35">
      <c r="B80" s="6">
        <v>45217</v>
      </c>
      <c r="C80" s="7" t="s">
        <v>158</v>
      </c>
      <c r="D80" s="7" t="s">
        <v>6</v>
      </c>
      <c r="E80" s="7" t="s">
        <v>159</v>
      </c>
      <c r="F80" s="8">
        <v>209169</v>
      </c>
    </row>
    <row r="81" spans="2:6" x14ac:dyDescent="0.35">
      <c r="B81" s="6">
        <v>45217</v>
      </c>
      <c r="C81" s="7" t="s">
        <v>160</v>
      </c>
      <c r="D81" s="7" t="s">
        <v>6</v>
      </c>
      <c r="E81" s="7" t="s">
        <v>161</v>
      </c>
      <c r="F81" s="8">
        <v>0</v>
      </c>
    </row>
    <row r="82" spans="2:6" x14ac:dyDescent="0.35">
      <c r="B82" s="6">
        <v>45217</v>
      </c>
      <c r="C82" s="7" t="s">
        <v>162</v>
      </c>
      <c r="D82" s="7" t="s">
        <v>6</v>
      </c>
      <c r="E82" s="7" t="s">
        <v>163</v>
      </c>
      <c r="F82" s="8">
        <v>91156</v>
      </c>
    </row>
    <row r="83" spans="2:6" x14ac:dyDescent="0.35">
      <c r="B83" s="6">
        <v>45217</v>
      </c>
      <c r="C83" s="7" t="s">
        <v>164</v>
      </c>
      <c r="D83" s="7" t="s">
        <v>6</v>
      </c>
      <c r="E83" s="7" t="s">
        <v>165</v>
      </c>
      <c r="F83" s="8">
        <v>0</v>
      </c>
    </row>
    <row r="84" spans="2:6" x14ac:dyDescent="0.35">
      <c r="B84" s="6">
        <v>45217</v>
      </c>
      <c r="C84" s="7" t="s">
        <v>166</v>
      </c>
      <c r="D84" s="7" t="s">
        <v>6</v>
      </c>
      <c r="E84" s="7" t="s">
        <v>167</v>
      </c>
      <c r="F84" s="8">
        <v>0</v>
      </c>
    </row>
    <row r="85" spans="2:6" x14ac:dyDescent="0.35">
      <c r="B85" s="6">
        <v>45217</v>
      </c>
      <c r="C85" s="7" t="s">
        <v>168</v>
      </c>
      <c r="D85" s="7" t="s">
        <v>6</v>
      </c>
      <c r="E85" s="7" t="s">
        <v>169</v>
      </c>
      <c r="F85" s="8">
        <v>121210</v>
      </c>
    </row>
    <row r="86" spans="2:6" x14ac:dyDescent="0.35">
      <c r="B86" s="6">
        <v>45217</v>
      </c>
      <c r="C86" s="7" t="s">
        <v>170</v>
      </c>
      <c r="D86" s="7" t="s">
        <v>6</v>
      </c>
      <c r="E86" s="7" t="s">
        <v>171</v>
      </c>
      <c r="F86" s="8">
        <v>169042</v>
      </c>
    </row>
    <row r="87" spans="2:6" x14ac:dyDescent="0.35">
      <c r="B87" s="6">
        <v>45217</v>
      </c>
      <c r="C87" s="7" t="s">
        <v>172</v>
      </c>
      <c r="D87" s="7" t="s">
        <v>6</v>
      </c>
      <c r="E87" s="7" t="s">
        <v>173</v>
      </c>
      <c r="F87" s="8">
        <v>88151</v>
      </c>
    </row>
    <row r="88" spans="2:6" x14ac:dyDescent="0.35">
      <c r="B88" s="6">
        <v>45217</v>
      </c>
      <c r="C88" s="7" t="s">
        <v>174</v>
      </c>
      <c r="D88" s="7" t="s">
        <v>6</v>
      </c>
      <c r="E88" s="7" t="s">
        <v>175</v>
      </c>
      <c r="F88" s="8">
        <v>0</v>
      </c>
    </row>
    <row r="89" spans="2:6" x14ac:dyDescent="0.35">
      <c r="B89" s="6">
        <v>45217</v>
      </c>
      <c r="C89" s="7" t="s">
        <v>176</v>
      </c>
      <c r="D89" s="7" t="s">
        <v>6</v>
      </c>
      <c r="E89" s="7" t="s">
        <v>177</v>
      </c>
      <c r="F89" s="8">
        <v>0</v>
      </c>
    </row>
    <row r="90" spans="2:6" x14ac:dyDescent="0.35">
      <c r="B90" s="6">
        <v>45217</v>
      </c>
      <c r="C90" s="7" t="s">
        <v>178</v>
      </c>
      <c r="D90" s="7" t="s">
        <v>6</v>
      </c>
      <c r="E90" s="7" t="s">
        <v>179</v>
      </c>
      <c r="F90" s="8">
        <v>0</v>
      </c>
    </row>
    <row r="91" spans="2:6" x14ac:dyDescent="0.35">
      <c r="B91" s="6">
        <v>45217</v>
      </c>
      <c r="C91" s="7" t="s">
        <v>180</v>
      </c>
      <c r="D91" s="7" t="s">
        <v>6</v>
      </c>
      <c r="E91" s="7" t="s">
        <v>181</v>
      </c>
      <c r="F91" s="8">
        <v>0</v>
      </c>
    </row>
    <row r="92" spans="2:6" x14ac:dyDescent="0.35">
      <c r="B92" s="6">
        <v>45217</v>
      </c>
      <c r="C92" s="7" t="s">
        <v>182</v>
      </c>
      <c r="D92" s="7" t="s">
        <v>6</v>
      </c>
      <c r="E92" s="7" t="s">
        <v>183</v>
      </c>
      <c r="F92" s="8">
        <v>26013</v>
      </c>
    </row>
    <row r="93" spans="2:6" x14ac:dyDescent="0.35">
      <c r="B93" s="6">
        <v>45217</v>
      </c>
      <c r="C93" s="7" t="s">
        <v>184</v>
      </c>
      <c r="D93" s="7" t="s">
        <v>6</v>
      </c>
      <c r="E93" s="7" t="s">
        <v>185</v>
      </c>
      <c r="F93" s="8">
        <v>0</v>
      </c>
    </row>
    <row r="94" spans="2:6" x14ac:dyDescent="0.35">
      <c r="B94" s="6">
        <v>45217</v>
      </c>
      <c r="C94" s="7" t="s">
        <v>186</v>
      </c>
      <c r="D94" s="7" t="s">
        <v>6</v>
      </c>
      <c r="E94" s="7" t="s">
        <v>187</v>
      </c>
      <c r="F94" s="8">
        <v>195825</v>
      </c>
    </row>
    <row r="95" spans="2:6" x14ac:dyDescent="0.35">
      <c r="B95" s="6">
        <v>45217</v>
      </c>
      <c r="C95" s="7" t="s">
        <v>188</v>
      </c>
      <c r="D95" s="7" t="s">
        <v>6</v>
      </c>
      <c r="E95" s="7" t="s">
        <v>189</v>
      </c>
      <c r="F95" s="8">
        <v>0</v>
      </c>
    </row>
    <row r="96" spans="2:6" x14ac:dyDescent="0.35">
      <c r="B96" s="6">
        <v>45217</v>
      </c>
      <c r="C96" s="7" t="s">
        <v>190</v>
      </c>
      <c r="D96" s="7" t="s">
        <v>6</v>
      </c>
      <c r="E96" s="7" t="s">
        <v>191</v>
      </c>
      <c r="F96" s="8">
        <v>0</v>
      </c>
    </row>
    <row r="97" spans="2:6" x14ac:dyDescent="0.35">
      <c r="B97" s="6">
        <v>45217</v>
      </c>
      <c r="C97" s="7" t="s">
        <v>192</v>
      </c>
      <c r="D97" s="7" t="s">
        <v>6</v>
      </c>
      <c r="E97" s="7" t="s">
        <v>193</v>
      </c>
      <c r="F97" s="8">
        <v>0</v>
      </c>
    </row>
    <row r="98" spans="2:6" x14ac:dyDescent="0.35">
      <c r="B98" s="6">
        <v>45217</v>
      </c>
      <c r="C98" s="7" t="s">
        <v>194</v>
      </c>
      <c r="D98" s="7" t="s">
        <v>6</v>
      </c>
      <c r="E98" s="7" t="s">
        <v>195</v>
      </c>
      <c r="F98" s="8">
        <v>0</v>
      </c>
    </row>
    <row r="99" spans="2:6" x14ac:dyDescent="0.35">
      <c r="B99" s="6">
        <v>45217</v>
      </c>
      <c r="C99" s="7" t="s">
        <v>196</v>
      </c>
      <c r="D99" s="7" t="s">
        <v>6</v>
      </c>
      <c r="E99" s="7" t="s">
        <v>197</v>
      </c>
      <c r="F99" s="8">
        <v>90000</v>
      </c>
    </row>
    <row r="100" spans="2:6" x14ac:dyDescent="0.35">
      <c r="B100" s="6">
        <v>45217</v>
      </c>
      <c r="C100" s="7" t="s">
        <v>198</v>
      </c>
      <c r="D100" s="7" t="s">
        <v>6</v>
      </c>
      <c r="E100" s="7" t="s">
        <v>199</v>
      </c>
      <c r="F100" s="8">
        <v>11523</v>
      </c>
    </row>
    <row r="101" spans="2:6" x14ac:dyDescent="0.35">
      <c r="B101" s="6">
        <v>45217</v>
      </c>
      <c r="C101" s="7" t="s">
        <v>200</v>
      </c>
      <c r="D101" s="7" t="s">
        <v>6</v>
      </c>
      <c r="E101" s="7" t="s">
        <v>201</v>
      </c>
      <c r="F101" s="8">
        <v>0</v>
      </c>
    </row>
    <row r="102" spans="2:6" x14ac:dyDescent="0.35">
      <c r="B102" s="6">
        <v>45217</v>
      </c>
      <c r="C102" s="7" t="s">
        <v>202</v>
      </c>
      <c r="D102" s="7" t="s">
        <v>6</v>
      </c>
      <c r="E102" s="7" t="s">
        <v>203</v>
      </c>
      <c r="F102" s="8">
        <v>0</v>
      </c>
    </row>
    <row r="103" spans="2:6" x14ac:dyDescent="0.35">
      <c r="B103" s="6">
        <v>45217</v>
      </c>
      <c r="C103" s="7" t="s">
        <v>204</v>
      </c>
      <c r="D103" s="7" t="s">
        <v>6</v>
      </c>
      <c r="E103" s="7" t="s">
        <v>205</v>
      </c>
      <c r="F103" s="8">
        <v>114646</v>
      </c>
    </row>
    <row r="104" spans="2:6" x14ac:dyDescent="0.35">
      <c r="B104" s="6">
        <v>45217</v>
      </c>
      <c r="C104" s="7" t="s">
        <v>206</v>
      </c>
      <c r="D104" s="7" t="s">
        <v>6</v>
      </c>
      <c r="E104" s="7" t="s">
        <v>207</v>
      </c>
      <c r="F104" s="8">
        <v>7613</v>
      </c>
    </row>
    <row r="105" spans="2:6" x14ac:dyDescent="0.35">
      <c r="B105" s="6">
        <v>45217</v>
      </c>
      <c r="C105" s="7" t="s">
        <v>208</v>
      </c>
      <c r="D105" s="7" t="s">
        <v>6</v>
      </c>
      <c r="E105" s="7" t="s">
        <v>209</v>
      </c>
      <c r="F105" s="8">
        <v>0</v>
      </c>
    </row>
    <row r="106" spans="2:6" x14ac:dyDescent="0.35">
      <c r="B106" s="6">
        <v>45217</v>
      </c>
      <c r="C106" s="7" t="s">
        <v>210</v>
      </c>
      <c r="D106" s="7" t="s">
        <v>6</v>
      </c>
      <c r="E106" s="7" t="s">
        <v>211</v>
      </c>
      <c r="F106" s="8">
        <v>0</v>
      </c>
    </row>
    <row r="107" spans="2:6" x14ac:dyDescent="0.35">
      <c r="B107" s="6">
        <v>45217</v>
      </c>
      <c r="C107" s="7" t="s">
        <v>212</v>
      </c>
      <c r="D107" s="7" t="s">
        <v>6</v>
      </c>
      <c r="E107" s="7" t="s">
        <v>213</v>
      </c>
      <c r="F107" s="8">
        <v>15685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74DF2-9578-42AC-8102-D08F617F60D8}">
  <sheetPr codeName="Sheet2"/>
  <dimension ref="B1:V257"/>
  <sheetViews>
    <sheetView showGridLines="0" tabSelected="1" workbookViewId="0">
      <pane ySplit="5" topLeftCell="A6" activePane="bottomLeft" state="frozen"/>
      <selection pane="bottomLeft" activeCell="B5" sqref="B5"/>
    </sheetView>
  </sheetViews>
  <sheetFormatPr defaultColWidth="9.1796875" defaultRowHeight="13" x14ac:dyDescent="0.3"/>
  <cols>
    <col min="1" max="1" width="4.26953125" style="1" customWidth="1"/>
    <col min="2" max="2" width="11.453125" style="13" customWidth="1"/>
    <col min="3" max="3" width="17.36328125" style="9" customWidth="1"/>
    <col min="4" max="5" width="17.36328125" style="3" customWidth="1"/>
    <col min="6" max="22" width="17.36328125" style="1" customWidth="1"/>
    <col min="23" max="16384" width="9.1796875" style="1"/>
  </cols>
  <sheetData>
    <row r="1" spans="2:22" x14ac:dyDescent="0.3">
      <c r="D1" s="17" t="s">
        <v>214</v>
      </c>
      <c r="E1" s="16">
        <v>44927</v>
      </c>
    </row>
    <row r="2" spans="2:22" x14ac:dyDescent="0.3">
      <c r="D2" s="17" t="s">
        <v>215</v>
      </c>
      <c r="E2" s="16">
        <v>45657</v>
      </c>
    </row>
    <row r="3" spans="2:22" x14ac:dyDescent="0.3">
      <c r="D3" s="17" t="s">
        <v>216</v>
      </c>
      <c r="E3" s="7" t="s">
        <v>217</v>
      </c>
    </row>
    <row r="5" spans="2:22" x14ac:dyDescent="0.3">
      <c r="B5" s="14" t="s">
        <v>0</v>
      </c>
      <c r="C5" s="10" t="s">
        <v>218</v>
      </c>
      <c r="D5" s="11" t="s">
        <v>219</v>
      </c>
      <c r="E5" s="10" t="s">
        <v>220</v>
      </c>
      <c r="F5" s="10" t="s">
        <v>221</v>
      </c>
      <c r="G5" s="10" t="s">
        <v>222</v>
      </c>
      <c r="H5" s="10" t="s">
        <v>223</v>
      </c>
      <c r="I5" s="10" t="s">
        <v>224</v>
      </c>
      <c r="J5" s="10" t="s">
        <v>225</v>
      </c>
      <c r="K5" s="10" t="s">
        <v>226</v>
      </c>
      <c r="L5" s="10" t="s">
        <v>227</v>
      </c>
      <c r="M5" s="10" t="s">
        <v>228</v>
      </c>
      <c r="N5" s="10" t="s">
        <v>229</v>
      </c>
      <c r="O5" s="10" t="s">
        <v>230</v>
      </c>
      <c r="P5" s="10" t="s">
        <v>231</v>
      </c>
      <c r="Q5" s="10" t="s">
        <v>232</v>
      </c>
      <c r="R5" s="10" t="s">
        <v>233</v>
      </c>
      <c r="S5" s="10" t="s">
        <v>234</v>
      </c>
      <c r="T5" s="10" t="s">
        <v>235</v>
      </c>
      <c r="U5" s="10" t="s">
        <v>236</v>
      </c>
      <c r="V5" s="10" t="s">
        <v>237</v>
      </c>
    </row>
    <row r="6" spans="2:22" x14ac:dyDescent="0.3">
      <c r="B6" s="15">
        <v>44957</v>
      </c>
      <c r="C6" s="12" cm="1">
        <f t="array" ref="C6">_xll.BDH(C$5,MNEMONIC, $B6)</f>
        <v>8.98</v>
      </c>
      <c r="D6" s="12" cm="1">
        <f t="array" ref="D6">_xll.BDH(D$5,MNEMONIC, $B6)</f>
        <v>2.15</v>
      </c>
      <c r="E6" s="12" cm="1">
        <f t="array" ref="E6">_xll.BDH(E$5,MNEMONIC, $B6)</f>
        <v>7.7</v>
      </c>
      <c r="F6" s="12" cm="1">
        <f t="array" ref="F6">_xll.BDH(F$5,MNEMONIC, $B6)</f>
        <v>19.09</v>
      </c>
      <c r="G6" s="12" t="str" cm="1">
        <f t="array" ref="G6">_xll.BDH(G$5,MNEMONIC, $B6)</f>
        <v>#N/A N/A</v>
      </c>
      <c r="H6" s="12" cm="1">
        <f t="array" ref="H6">_xll.BDH(H$5,MNEMONIC, $B6)</f>
        <v>78</v>
      </c>
      <c r="I6" s="12" cm="1">
        <f t="array" ref="I6">_xll.BDH(I$5,MNEMONIC, $B6)</f>
        <v>23.6</v>
      </c>
      <c r="J6" s="12" cm="1">
        <f t="array" ref="J6">_xll.BDH(J$5,MNEMONIC, $B6)</f>
        <v>23.1</v>
      </c>
      <c r="K6" s="12" t="str" cm="1">
        <f t="array" ref="K6">_xll.BDH(K$5,MNEMONIC, $B6)</f>
        <v>#N/A N/A</v>
      </c>
      <c r="L6" s="12" cm="1">
        <f t="array" ref="L6">_xll.BDH(L$5,MNEMONIC, $B6)</f>
        <v>15.05</v>
      </c>
      <c r="M6" s="12" cm="1">
        <f t="array" ref="M6">_xll.BDH(M$5,MNEMONIC, $B6)</f>
        <v>344.15</v>
      </c>
      <c r="N6" s="12" cm="1">
        <f t="array" ref="N6">_xll.BDH(N$5,MNEMONIC, $B6)</f>
        <v>107.41</v>
      </c>
      <c r="O6" s="12" cm="1">
        <f t="array" ref="O6">_xll.BDH(O$5,MNEMONIC, $B6)</f>
        <v>471.5</v>
      </c>
      <c r="P6" s="12" cm="1">
        <f t="array" ref="P6">_xll.BDH(P$5,MNEMONIC, $B6)</f>
        <v>69.39</v>
      </c>
      <c r="Q6" s="12" cm="1">
        <f t="array" ref="Q6">_xll.BDH(Q$5,MNEMONIC, $B6)</f>
        <v>2.0699999999999998</v>
      </c>
      <c r="R6" s="12" cm="1">
        <f t="array" ref="R6">_xll.BDH(R$5,MNEMONIC, $B6)</f>
        <v>43.33</v>
      </c>
      <c r="S6" s="12" cm="1">
        <f t="array" ref="S6">_xll.BDH(S$5,MNEMONIC, $B6)</f>
        <v>113.66</v>
      </c>
      <c r="T6" s="12" cm="1">
        <f t="array" ref="T6">_xll.BDH(T$5,MNEMONIC, $B6)</f>
        <v>3.55</v>
      </c>
      <c r="U6" s="12" cm="1">
        <f t="array" ref="U6">_xll.BDH(U$5,MNEMONIC, $B6)</f>
        <v>9.9600000000000009</v>
      </c>
      <c r="V6" s="12" cm="1">
        <f t="array" ref="V6">_xll.BDH(V$5,MNEMONIC, $B6)</f>
        <v>69.319999999999993</v>
      </c>
    </row>
    <row r="7" spans="2:22" x14ac:dyDescent="0.3">
      <c r="B7" s="15">
        <v>45077</v>
      </c>
      <c r="C7" s="12" cm="1">
        <f t="array" ref="C7">_xll.BDH(C$5,MNEMONIC, $B7)</f>
        <v>1.1100000000000001</v>
      </c>
      <c r="D7" s="12" cm="1">
        <f t="array" ref="D7">_xll.BDH(D$5,MNEMONIC, $B7)</f>
        <v>3.11</v>
      </c>
      <c r="E7" s="12" cm="1">
        <f t="array" ref="E7">_xll.BDH(E$5,MNEMONIC, $B7)</f>
        <v>8.2100000000000009</v>
      </c>
      <c r="F7" s="12" cm="1">
        <f t="array" ref="F7">_xll.BDH(F$5,MNEMONIC, $B7)</f>
        <v>17.510000000000002</v>
      </c>
      <c r="G7" s="12" t="str" cm="1">
        <f t="array" ref="G7">_xll.BDH(G$5,MNEMONIC, $B7)</f>
        <v>#N/A N/A</v>
      </c>
      <c r="H7" s="12" cm="1">
        <f t="array" ref="H7">_xll.BDH(H$5,MNEMONIC, $B7)</f>
        <v>63.2</v>
      </c>
      <c r="I7" s="12" cm="1">
        <f t="array" ref="I7">_xll.BDH(I$5,MNEMONIC, $B7)</f>
        <v>17.25</v>
      </c>
      <c r="J7" s="12" cm="1">
        <f t="array" ref="J7">_xll.BDH(J$5,MNEMONIC, $B7)</f>
        <v>37.75</v>
      </c>
      <c r="K7" s="12" t="str" cm="1">
        <f t="array" ref="K7">_xll.BDH(K$5,MNEMONIC, $B7)</f>
        <v>#N/A N/A</v>
      </c>
      <c r="L7" s="12" cm="1">
        <f t="array" ref="L7">_xll.BDH(L$5,MNEMONIC, $B7)</f>
        <v>19.88</v>
      </c>
      <c r="M7" s="12" cm="1">
        <f t="array" ref="M7">_xll.BDH(M$5,MNEMONIC, $B7)</f>
        <v>429.46</v>
      </c>
      <c r="N7" s="12" cm="1">
        <f t="array" ref="N7">_xll.BDH(N$5,MNEMONIC, $B7)</f>
        <v>110.41</v>
      </c>
      <c r="O7" s="12" cm="1">
        <f t="array" ref="O7">_xll.BDH(O$5,MNEMONIC, $B7)</f>
        <v>558.1</v>
      </c>
      <c r="P7" s="12" cm="1">
        <f t="array" ref="P7">_xll.BDH(P$5,MNEMONIC, $B7)</f>
        <v>80.23</v>
      </c>
      <c r="Q7" s="12" cm="1">
        <f t="array" ref="Q7">_xll.BDH(Q$5,MNEMONIC, $B7)</f>
        <v>1.91</v>
      </c>
      <c r="R7" s="12" cm="1">
        <f t="array" ref="R7">_xll.BDH(R$5,MNEMONIC, $B7)</f>
        <v>90.05</v>
      </c>
      <c r="S7" s="12" cm="1">
        <f t="array" ref="S7">_xll.BDH(S$5,MNEMONIC, $B7)</f>
        <v>198.7</v>
      </c>
      <c r="T7" s="12" cm="1">
        <f t="array" ref="T7">_xll.BDH(T$5,MNEMONIC, $B7)</f>
        <v>1.63</v>
      </c>
      <c r="U7" s="12" cm="1">
        <f t="array" ref="U7">_xll.BDH(U$5,MNEMONIC, $B7)</f>
        <v>11.2</v>
      </c>
      <c r="V7" s="12" cm="1">
        <f t="array" ref="V7">_xll.BDH(V$5,MNEMONIC, $B7)</f>
        <v>60.63</v>
      </c>
    </row>
    <row r="8" spans="2:22" x14ac:dyDescent="0.3">
      <c r="B8" s="15">
        <v>45138</v>
      </c>
      <c r="C8" s="12" cm="1">
        <f t="array" ref="C8">_xll.BDH(C$5,MNEMONIC, $B8)</f>
        <v>1.33</v>
      </c>
      <c r="D8" s="12" cm="1">
        <f t="array" ref="D8">_xll.BDH(D$5,MNEMONIC, $B8)</f>
        <v>3.23</v>
      </c>
      <c r="E8" s="12" cm="1">
        <f t="array" ref="E8">_xll.BDH(E$5,MNEMONIC, $B8)</f>
        <v>9.7100000000000009</v>
      </c>
      <c r="F8" s="12" cm="1">
        <f t="array" ref="F8">_xll.BDH(F$5,MNEMONIC, $B8)</f>
        <v>19.88</v>
      </c>
      <c r="G8" s="12" t="str" cm="1">
        <f t="array" ref="G8">_xll.BDH(G$5,MNEMONIC, $B8)</f>
        <v>#N/A N/A</v>
      </c>
      <c r="H8" s="12" cm="1">
        <f t="array" ref="H8">_xll.BDH(H$5,MNEMONIC, $B8)</f>
        <v>100.4</v>
      </c>
      <c r="I8" s="12" cm="1">
        <f t="array" ref="I8">_xll.BDH(I$5,MNEMONIC, $B8)</f>
        <v>2.06</v>
      </c>
      <c r="J8" s="12" t="str" cm="1">
        <f t="array" ref="J8">_xll.BDH(J$5,MNEMONIC, $B8)</f>
        <v>#N/A N/A</v>
      </c>
      <c r="K8" s="12" t="str" cm="1">
        <f t="array" ref="K8">_xll.BDH(K$5,MNEMONIC, $B8)</f>
        <v>#N/A N/A</v>
      </c>
      <c r="L8" s="12" cm="1">
        <f t="array" ref="L8">_xll.BDH(L$5,MNEMONIC, $B8)</f>
        <v>17.71</v>
      </c>
      <c r="M8" s="12" cm="1">
        <f t="array" ref="M8">_xll.BDH(M$5,MNEMONIC, $B8)</f>
        <v>454.55</v>
      </c>
      <c r="N8" s="12" cm="1">
        <f t="array" ref="N8">_xll.BDH(N$5,MNEMONIC, $B8)</f>
        <v>106.65</v>
      </c>
      <c r="O8" s="12" cm="1">
        <f t="array" ref="O8">_xll.BDH(O$5,MNEMONIC, $B8)</f>
        <v>546.1</v>
      </c>
      <c r="P8" s="12" cm="1">
        <f t="array" ref="P8">_xll.BDH(P$5,MNEMONIC, $B8)</f>
        <v>80.55</v>
      </c>
      <c r="Q8" s="12" cm="1">
        <f t="array" ref="Q8">_xll.BDH(Q$5,MNEMONIC, $B8)</f>
        <v>2.09</v>
      </c>
      <c r="R8" s="12" cm="1">
        <f t="array" ref="R8">_xll.BDH(R$5,MNEMONIC, $B8)</f>
        <v>165.58</v>
      </c>
      <c r="S8" s="12" t="str" cm="1">
        <f t="array" ref="S8">_xll.BDH(S$5,MNEMONIC, $B8)</f>
        <v>#N/A N/A</v>
      </c>
      <c r="T8" s="12" cm="1">
        <f t="array" ref="T8">_xll.BDH(T$5,MNEMONIC, $B8)</f>
        <v>2.1</v>
      </c>
      <c r="U8" s="12" cm="1">
        <f t="array" ref="U8">_xll.BDH(U$5,MNEMONIC, $B8)</f>
        <v>6.64</v>
      </c>
      <c r="V8" s="12" cm="1">
        <f t="array" ref="V8">_xll.BDH(V$5,MNEMONIC, $B8)</f>
        <v>73.17</v>
      </c>
    </row>
    <row r="9" spans="2:22" x14ac:dyDescent="0.3">
      <c r="B9" s="15">
        <v>45169</v>
      </c>
      <c r="C9" s="12" cm="1">
        <f t="array" ref="C9">_xll.BDH(C$5,MNEMONIC, $B9)</f>
        <v>1.05</v>
      </c>
      <c r="D9" s="12" cm="1">
        <f t="array" ref="D9">_xll.BDH(D$5,MNEMONIC, $B9)</f>
        <v>3.21</v>
      </c>
      <c r="E9" s="12" cm="1">
        <f t="array" ref="E9">_xll.BDH(E$5,MNEMONIC, $B9)</f>
        <v>8.34</v>
      </c>
      <c r="F9" s="12" cm="1">
        <f t="array" ref="F9">_xll.BDH(F$5,MNEMONIC, $B9)</f>
        <v>18.29</v>
      </c>
      <c r="G9" s="12" t="str" cm="1">
        <f t="array" ref="G9">_xll.BDH(G$5,MNEMONIC, $B9)</f>
        <v>#N/A N/A</v>
      </c>
      <c r="H9" s="12" cm="1">
        <f t="array" ref="H9">_xll.BDH(H$5,MNEMONIC, $B9)</f>
        <v>93.6</v>
      </c>
      <c r="I9" s="12" cm="1">
        <f t="array" ref="I9">_xll.BDH(I$5,MNEMONIC, $B9)</f>
        <v>0.96</v>
      </c>
      <c r="J9" s="12" t="str" cm="1">
        <f t="array" ref="J9">_xll.BDH(J$5,MNEMONIC, $B9)</f>
        <v>#N/A N/A</v>
      </c>
      <c r="K9" s="12" t="str" cm="1">
        <f t="array" ref="K9">_xll.BDH(K$5,MNEMONIC, $B9)</f>
        <v>#N/A N/A</v>
      </c>
      <c r="L9" s="12" cm="1">
        <f t="array" ref="L9">_xll.BDH(L$5,MNEMONIC, $B9)</f>
        <v>15.54</v>
      </c>
      <c r="M9" s="12" cm="1">
        <f t="array" ref="M9">_xll.BDH(M$5,MNEMONIC, $B9)</f>
        <v>554.20000000000005</v>
      </c>
      <c r="N9" s="12" cm="1">
        <f t="array" ref="N9">_xll.BDH(N$5,MNEMONIC, $B9)</f>
        <v>108.98</v>
      </c>
      <c r="O9" s="12" cm="1">
        <f t="array" ref="O9">_xll.BDH(O$5,MNEMONIC, $B9)</f>
        <v>637</v>
      </c>
      <c r="P9" s="12" cm="1">
        <f t="array" ref="P9">_xll.BDH(P$5,MNEMONIC, $B9)</f>
        <v>92.81</v>
      </c>
      <c r="Q9" s="12" t="str" cm="1">
        <f t="array" ref="Q9">_xll.BDH(Q$5,MNEMONIC, $B9)</f>
        <v>#N/A N/A</v>
      </c>
      <c r="R9" s="12" cm="1">
        <f t="array" ref="R9">_xll.BDH(R$5,MNEMONIC, $B9)</f>
        <v>169</v>
      </c>
      <c r="S9" s="12" t="str" cm="1">
        <f t="array" ref="S9">_xll.BDH(S$5,MNEMONIC, $B9)</f>
        <v>#N/A N/A</v>
      </c>
      <c r="T9" s="12" cm="1">
        <f t="array" ref="T9">_xll.BDH(T$5,MNEMONIC, $B9)</f>
        <v>1.62</v>
      </c>
      <c r="U9" s="12" cm="1">
        <f t="array" ref="U9">_xll.BDH(U$5,MNEMONIC, $B9)</f>
        <v>5.62</v>
      </c>
      <c r="V9" s="12" cm="1">
        <f t="array" ref="V9">_xll.BDH(V$5,MNEMONIC, $B9)</f>
        <v>75.06</v>
      </c>
    </row>
    <row r="10" spans="2:22" x14ac:dyDescent="0.3">
      <c r="B10" s="15">
        <v>45289</v>
      </c>
      <c r="C10" s="12" cm="1">
        <f t="array" ref="C10">_xll.BDH(C$5,MNEMONIC, $B10)</f>
        <v>1.2</v>
      </c>
      <c r="D10" s="12" cm="1">
        <f t="array" ref="D10">_xll.BDH(D$5,MNEMONIC, $B10)</f>
        <v>6.44</v>
      </c>
      <c r="E10" s="12" cm="1">
        <f t="array" ref="E10">_xll.BDH(E$5,MNEMONIC, $B10)</f>
        <v>8.02</v>
      </c>
      <c r="F10" s="12" cm="1">
        <f t="array" ref="F10">_xll.BDH(F$5,MNEMONIC, $B10)</f>
        <v>42.8</v>
      </c>
      <c r="G10" s="12" t="str" cm="1">
        <f t="array" ref="G10">_xll.BDH(G$5,MNEMONIC, $B10)</f>
        <v>#N/A N/A</v>
      </c>
      <c r="H10" s="12" cm="1">
        <f t="array" ref="H10">_xll.BDH(H$5,MNEMONIC, $B10)</f>
        <v>67.599999999999994</v>
      </c>
      <c r="I10" s="12" cm="1">
        <f t="array" ref="I10">_xll.BDH(I$5,MNEMONIC, $B10)</f>
        <v>0.88629999999999998</v>
      </c>
      <c r="J10" s="12" t="str" cm="1">
        <f t="array" ref="J10">_xll.BDH(J$5,MNEMONIC, $B10)</f>
        <v>#N/A N/A</v>
      </c>
      <c r="K10" s="12" t="str" cm="1">
        <f t="array" ref="K10">_xll.BDH(K$5,MNEMONIC, $B10)</f>
        <v>#N/A N/A</v>
      </c>
      <c r="L10" s="12" cm="1">
        <f t="array" ref="L10">_xll.BDH(L$5,MNEMONIC, $B10)</f>
        <v>18.34</v>
      </c>
      <c r="M10" s="12" cm="1">
        <f t="array" ref="M10">_xll.BDH(M$5,MNEMONIC, $B10)</f>
        <v>582.91999999999996</v>
      </c>
      <c r="N10" s="12" cm="1">
        <f t="array" ref="N10">_xll.BDH(N$5,MNEMONIC, $B10)</f>
        <v>109.02</v>
      </c>
      <c r="O10" s="12" cm="1">
        <f t="array" ref="O10">_xll.BDH(O$5,MNEMONIC, $B10)</f>
        <v>698.1</v>
      </c>
      <c r="P10" s="12" cm="1">
        <f t="array" ref="P10">_xll.BDH(P$5,MNEMONIC, $B10)</f>
        <v>103.45</v>
      </c>
      <c r="Q10" s="12" t="str" cm="1">
        <f t="array" ref="Q10">_xll.BDH(Q$5,MNEMONIC, $B10)</f>
        <v>#N/A N/A</v>
      </c>
      <c r="R10" s="12" t="str" cm="1">
        <f t="array" ref="R10">_xll.BDH(R$5,MNEMONIC, $B10)</f>
        <v>#N/A N/A</v>
      </c>
      <c r="S10" s="12" t="str" cm="1">
        <f t="array" ref="S10">_xll.BDH(S$5,MNEMONIC, $B10)</f>
        <v>#N/A N/A</v>
      </c>
      <c r="T10" s="12" cm="1">
        <f t="array" ref="T10">_xll.BDH(T$5,MNEMONIC, $B10)</f>
        <v>2.61</v>
      </c>
      <c r="U10" s="12" cm="1">
        <f t="array" ref="U10">_xll.BDH(U$5,MNEMONIC, $B10)</f>
        <v>5.26</v>
      </c>
      <c r="V10" s="12" cm="1">
        <f t="array" ref="V10">_xll.BDH(V$5,MNEMONIC, $B10)</f>
        <v>66.650000000000006</v>
      </c>
    </row>
    <row r="11" spans="2:22" x14ac:dyDescent="0.3">
      <c r="B11" s="15">
        <v>45351</v>
      </c>
      <c r="C11" s="12" t="str" cm="1">
        <f t="array" ref="C11">_xll.BDH(C$5,MNEMONIC, $B11)</f>
        <v>#N/A N/A</v>
      </c>
      <c r="D11" s="12" cm="1">
        <f t="array" ref="D11">_xll.BDH(D$5,MNEMONIC, $B11)</f>
        <v>6</v>
      </c>
      <c r="E11" s="12" cm="1">
        <f t="array" ref="E11">_xll.BDH(E$5,MNEMONIC, $B11)</f>
        <v>9.39</v>
      </c>
      <c r="F11" s="12" cm="1">
        <f t="array" ref="F11">_xll.BDH(F$5,MNEMONIC, $B11)</f>
        <v>48.14</v>
      </c>
      <c r="G11" s="12" t="str" cm="1">
        <f t="array" ref="G11">_xll.BDH(G$5,MNEMONIC, $B11)</f>
        <v>#N/A N/A</v>
      </c>
      <c r="H11" s="12" cm="1">
        <f t="array" ref="H11">_xll.BDH(H$5,MNEMONIC, $B11)</f>
        <v>60.8</v>
      </c>
      <c r="I11" s="12" cm="1">
        <f t="array" ref="I11">_xll.BDH(I$5,MNEMONIC, $B11)</f>
        <v>1.71</v>
      </c>
      <c r="J11" s="12" t="str" cm="1">
        <f t="array" ref="J11">_xll.BDH(J$5,MNEMONIC, $B11)</f>
        <v>#N/A N/A</v>
      </c>
      <c r="K11" s="12" cm="1">
        <f t="array" ref="K11">_xll.BDH(K$5,MNEMONIC, $B11)</f>
        <v>27.17</v>
      </c>
      <c r="L11" s="12" cm="1">
        <f t="array" ref="L11">_xll.BDH(L$5,MNEMONIC, $B11)</f>
        <v>23.73</v>
      </c>
      <c r="M11" s="12" cm="1">
        <f t="array" ref="M11">_xll.BDH(M$5,MNEMONIC, $B11)</f>
        <v>753.68</v>
      </c>
      <c r="N11" s="12" cm="1">
        <f t="array" ref="N11">_xll.BDH(N$5,MNEMONIC, $B11)</f>
        <v>127.15</v>
      </c>
      <c r="O11" s="12" cm="1">
        <f t="array" ref="O11">_xll.BDH(O$5,MNEMONIC, $B11)</f>
        <v>819.7</v>
      </c>
      <c r="P11" s="12" cm="1">
        <f t="array" ref="P11">_xll.BDH(P$5,MNEMONIC, $B11)</f>
        <v>119.77</v>
      </c>
      <c r="Q11" s="12" t="str" cm="1">
        <f t="array" ref="Q11">_xll.BDH(Q$5,MNEMONIC, $B11)</f>
        <v>#N/A N/A</v>
      </c>
      <c r="R11" s="12" t="str" cm="1">
        <f t="array" ref="R11">_xll.BDH(R$5,MNEMONIC, $B11)</f>
        <v>#N/A N/A</v>
      </c>
      <c r="S11" s="12" t="str" cm="1">
        <f t="array" ref="S11">_xll.BDH(S$5,MNEMONIC, $B11)</f>
        <v>#N/A N/A</v>
      </c>
      <c r="T11" s="12" cm="1">
        <f t="array" ref="T11">_xll.BDH(T$5,MNEMONIC, $B11)</f>
        <v>4.54</v>
      </c>
      <c r="U11" s="12" cm="1">
        <f t="array" ref="U11">_xll.BDH(U$5,MNEMONIC, $B11)</f>
        <v>7.74</v>
      </c>
      <c r="V11" s="12" cm="1">
        <f t="array" ref="V11">_xll.BDH(V$5,MNEMONIC, $B11)</f>
        <v>73.36</v>
      </c>
    </row>
    <row r="12" spans="2:22" x14ac:dyDescent="0.3">
      <c r="B12" s="15">
        <v>45379</v>
      </c>
      <c r="C12" s="12" t="str" cm="1">
        <f t="array" ref="C12">_xll.BDH(C$5,MNEMONIC, $B12)</f>
        <v>#N/A N/A</v>
      </c>
      <c r="D12" s="12" cm="1">
        <f t="array" ref="D12">_xll.BDH(D$5,MNEMONIC, $B12)</f>
        <v>6.38</v>
      </c>
      <c r="E12" s="12" cm="1">
        <f t="array" ref="E12">_xll.BDH(E$5,MNEMONIC, $B12)</f>
        <v>10.61</v>
      </c>
      <c r="F12" s="12" cm="1">
        <f t="array" ref="F12">_xll.BDH(F$5,MNEMONIC, $B12)</f>
        <v>54.69</v>
      </c>
      <c r="G12" s="12" cm="1">
        <f t="array" ref="G12">_xll.BDH(G$5,MNEMONIC, $B12)</f>
        <v>14.25</v>
      </c>
      <c r="H12" s="12" cm="1">
        <f t="array" ref="H12">_xll.BDH(H$5,MNEMONIC, $B12)</f>
        <v>46.4</v>
      </c>
      <c r="I12" s="12" cm="1">
        <f t="array" ref="I12">_xll.BDH(I$5,MNEMONIC, $B12)</f>
        <v>2.35</v>
      </c>
      <c r="J12" s="12" t="str" cm="1">
        <f t="array" ref="J12">_xll.BDH(J$5,MNEMONIC, $B12)</f>
        <v>#N/A N/A</v>
      </c>
      <c r="K12" s="12" cm="1">
        <f t="array" ref="K12">_xll.BDH(K$5,MNEMONIC, $B12)</f>
        <v>24.84</v>
      </c>
      <c r="L12" s="12" cm="1">
        <f t="array" ref="L12">_xll.BDH(L$5,MNEMONIC, $B12)</f>
        <v>22.33</v>
      </c>
      <c r="M12" s="12" cm="1">
        <f t="array" ref="M12">_xll.BDH(M$5,MNEMONIC, $B12)</f>
        <v>777.96</v>
      </c>
      <c r="N12" s="12" cm="1">
        <f t="array" ref="N12">_xll.BDH(N$5,MNEMONIC, $B12)</f>
        <v>131.94999999999999</v>
      </c>
      <c r="O12" s="12" t="str" cm="1">
        <f t="array" ref="O12">_xll.BDH(O$5,MNEMONIC, $B12)</f>
        <v>#N/A N/A</v>
      </c>
      <c r="P12" s="12" cm="1">
        <f t="array" ref="P12">_xll.BDH(P$5,MNEMONIC, $B12)</f>
        <v>128.4</v>
      </c>
      <c r="Q12" s="12" t="str" cm="1">
        <f t="array" ref="Q12">_xll.BDH(Q$5,MNEMONIC, $B12)</f>
        <v>#N/A N/A</v>
      </c>
      <c r="R12" s="12" t="str" cm="1">
        <f t="array" ref="R12">_xll.BDH(R$5,MNEMONIC, $B12)</f>
        <v>#N/A N/A</v>
      </c>
      <c r="S12" s="12" t="str" cm="1">
        <f t="array" ref="S12">_xll.BDH(S$5,MNEMONIC, $B12)</f>
        <v>#N/A N/A</v>
      </c>
      <c r="T12" s="12" cm="1">
        <f t="array" ref="T12">_xll.BDH(T$5,MNEMONIC, $B12)</f>
        <v>4.1399999999999997</v>
      </c>
      <c r="U12" s="12" cm="1">
        <f t="array" ref="U12">_xll.BDH(U$5,MNEMONIC, $B12)</f>
        <v>13.5</v>
      </c>
      <c r="V12" s="12" cm="1">
        <f t="array" ref="V12">_xll.BDH(V$5,MNEMONIC, $B12)</f>
        <v>78.73</v>
      </c>
    </row>
    <row r="13" spans="2:22" x14ac:dyDescent="0.3">
      <c r="B13" s="15">
        <v>45412</v>
      </c>
      <c r="C13" s="12" t="str" cm="1">
        <f t="array" ref="C13">_xll.BDH(C$5,MNEMONIC, $B13)</f>
        <v>#N/A N/A</v>
      </c>
      <c r="D13" s="12" cm="1">
        <f t="array" ref="D13">_xll.BDH(D$5,MNEMONIC, $B13)</f>
        <v>3.68</v>
      </c>
      <c r="E13" s="12" cm="1">
        <f t="array" ref="E13">_xll.BDH(E$5,MNEMONIC, $B13)</f>
        <v>8.76</v>
      </c>
      <c r="F13" s="12" cm="1">
        <f t="array" ref="F13">_xll.BDH(F$5,MNEMONIC, $B13)</f>
        <v>38.799999999999997</v>
      </c>
      <c r="G13" s="12" cm="1">
        <f t="array" ref="G13">_xll.BDH(G$5,MNEMONIC, $B13)</f>
        <v>9.9</v>
      </c>
      <c r="H13" s="12" cm="1">
        <f t="array" ref="H13">_xll.BDH(H$5,MNEMONIC, $B13)</f>
        <v>35.643999999999998</v>
      </c>
      <c r="I13" s="12" cm="1">
        <f t="array" ref="I13">_xll.BDH(I$5,MNEMONIC, $B13)</f>
        <v>1.1200000000000001</v>
      </c>
      <c r="J13" s="12" t="str" cm="1">
        <f t="array" ref="J13">_xll.BDH(J$5,MNEMONIC, $B13)</f>
        <v>#N/A N/A</v>
      </c>
      <c r="K13" s="12" cm="1">
        <f t="array" ref="K13">_xll.BDH(K$5,MNEMONIC, $B13)</f>
        <v>15.14</v>
      </c>
      <c r="L13" s="12" cm="1">
        <f t="array" ref="L13">_xll.BDH(L$5,MNEMONIC, $B13)</f>
        <v>15.87</v>
      </c>
      <c r="M13" s="12" cm="1">
        <f t="array" ref="M13">_xll.BDH(M$5,MNEMONIC, $B13)</f>
        <v>781.1</v>
      </c>
      <c r="N13" s="12" cm="1">
        <f t="array" ref="N13">_xll.BDH(N$5,MNEMONIC, $B13)</f>
        <v>129.22</v>
      </c>
      <c r="O13" s="12" cm="1">
        <f t="array" ref="O13">_xll.BDH(O$5,MNEMONIC, $B13)</f>
        <v>902.6</v>
      </c>
      <c r="P13" s="12" cm="1">
        <f t="array" ref="P13">_xll.BDH(P$5,MNEMONIC, $B13)</f>
        <v>128.31</v>
      </c>
      <c r="Q13" s="12" t="str" cm="1">
        <f t="array" ref="Q13">_xll.BDH(Q$5,MNEMONIC, $B13)</f>
        <v>#N/A N/A</v>
      </c>
      <c r="R13" s="12" t="str" cm="1">
        <f t="array" ref="R13">_xll.BDH(R$5,MNEMONIC, $B13)</f>
        <v>#N/A N/A</v>
      </c>
      <c r="S13" s="12" t="str" cm="1">
        <f t="array" ref="S13">_xll.BDH(S$5,MNEMONIC, $B13)</f>
        <v>#N/A N/A</v>
      </c>
      <c r="T13" s="12" cm="1">
        <f t="array" ref="T13">_xll.BDH(T$5,MNEMONIC, $B13)</f>
        <v>3.93</v>
      </c>
      <c r="U13" s="12" cm="1">
        <f t="array" ref="U13">_xll.BDH(U$5,MNEMONIC, $B13)</f>
        <v>11.03</v>
      </c>
      <c r="V13" s="12" cm="1">
        <f t="array" ref="V13">_xll.BDH(V$5,MNEMONIC, $B13)</f>
        <v>78.38</v>
      </c>
    </row>
    <row r="14" spans="2:22" x14ac:dyDescent="0.3">
      <c r="B14" s="15">
        <v>45443</v>
      </c>
      <c r="C14" s="12" t="str" cm="1">
        <f t="array" ref="C14">_xll.BDH(C$5,MNEMONIC, $B14)</f>
        <v>#N/A N/A</v>
      </c>
      <c r="D14" s="12" cm="1">
        <f t="array" ref="D14">_xll.BDH(D$5,MNEMONIC, $B14)</f>
        <v>4.1900000000000004</v>
      </c>
      <c r="E14" s="12" cm="1">
        <f t="array" ref="E14">_xll.BDH(E$5,MNEMONIC, $B14)</f>
        <v>6.56</v>
      </c>
      <c r="F14" s="12" cm="1">
        <f t="array" ref="F14">_xll.BDH(F$5,MNEMONIC, $B14)</f>
        <v>35.1</v>
      </c>
      <c r="G14" s="12" cm="1">
        <f t="array" ref="G14">_xll.BDH(G$5,MNEMONIC, $B14)</f>
        <v>9.1199999999999992</v>
      </c>
      <c r="H14" s="12" cm="1">
        <f t="array" ref="H14">_xll.BDH(H$5,MNEMONIC, $B14)</f>
        <v>21.14</v>
      </c>
      <c r="I14" s="12" cm="1">
        <f t="array" ref="I14">_xll.BDH(I$5,MNEMONIC, $B14)</f>
        <v>1.2</v>
      </c>
      <c r="J14" s="12" t="str" cm="1">
        <f t="array" ref="J14">_xll.BDH(J$5,MNEMONIC, $B14)</f>
        <v>#N/A N/A</v>
      </c>
      <c r="K14" s="12" cm="1">
        <f t="array" ref="K14">_xll.BDH(K$5,MNEMONIC, $B14)</f>
        <v>12.53</v>
      </c>
      <c r="L14" s="12" cm="1">
        <f t="array" ref="L14">_xll.BDH(L$5,MNEMONIC, $B14)</f>
        <v>15.29</v>
      </c>
      <c r="M14" s="12" cm="1">
        <f t="array" ref="M14">_xll.BDH(M$5,MNEMONIC, $B14)</f>
        <v>820.34</v>
      </c>
      <c r="N14" s="12" cm="1">
        <f t="array" ref="N14">_xll.BDH(N$5,MNEMONIC, $B14)</f>
        <v>125.54</v>
      </c>
      <c r="O14" s="12" cm="1">
        <f t="array" ref="O14">_xll.BDH(O$5,MNEMONIC, $B14)</f>
        <v>927.3</v>
      </c>
      <c r="P14" s="12" cm="1">
        <f t="array" ref="P14">_xll.BDH(P$5,MNEMONIC, $B14)</f>
        <v>135.28</v>
      </c>
      <c r="Q14" s="12" t="str" cm="1">
        <f t="array" ref="Q14">_xll.BDH(Q$5,MNEMONIC, $B14)</f>
        <v>#N/A N/A</v>
      </c>
      <c r="R14" s="12" t="str" cm="1">
        <f t="array" ref="R14">_xll.BDH(R$5,MNEMONIC, $B14)</f>
        <v>#N/A N/A</v>
      </c>
      <c r="S14" s="12" t="str" cm="1">
        <f t="array" ref="S14">_xll.BDH(S$5,MNEMONIC, $B14)</f>
        <v>#N/A N/A</v>
      </c>
      <c r="T14" s="12" cm="1">
        <f t="array" ref="T14">_xll.BDH(T$5,MNEMONIC, $B14)</f>
        <v>8.6850000000000005</v>
      </c>
      <c r="U14" s="12" cm="1">
        <f t="array" ref="U14">_xll.BDH(U$5,MNEMONIC, $B14)</f>
        <v>14.62</v>
      </c>
      <c r="V14" s="12" cm="1">
        <f t="array" ref="V14">_xll.BDH(V$5,MNEMONIC, $B14)</f>
        <v>74.819999999999993</v>
      </c>
    </row>
    <row r="15" spans="2:22" x14ac:dyDescent="0.3">
      <c r="B15" s="15">
        <v>45504</v>
      </c>
      <c r="C15" s="12" t="str" cm="1">
        <f t="array" ref="C15">_xll.BDH(C$5,MNEMONIC, $B15)</f>
        <v>#N/A N/A</v>
      </c>
      <c r="D15" s="12" cm="1">
        <f t="array" ref="D15">_xll.BDH(D$5,MNEMONIC, $B15)</f>
        <v>4.6900000000000004</v>
      </c>
      <c r="E15" s="12" cm="1">
        <f t="array" ref="E15">_xll.BDH(E$5,MNEMONIC, $B15)</f>
        <v>6.03</v>
      </c>
      <c r="F15" s="12" cm="1">
        <f t="array" ref="F15">_xll.BDH(F$5,MNEMONIC, $B15)</f>
        <v>39.33</v>
      </c>
      <c r="G15" s="12" cm="1">
        <f t="array" ref="G15">_xll.BDH(G$5,MNEMONIC, $B15)</f>
        <v>3.85</v>
      </c>
      <c r="H15" s="12" cm="1">
        <f t="array" ref="H15">_xll.BDH(H$5,MNEMONIC, $B15)</f>
        <v>15.2</v>
      </c>
      <c r="I15" s="12" cm="1">
        <f t="array" ref="I15">_xll.BDH(I$5,MNEMONIC, $B15)</f>
        <v>0.54010000000000002</v>
      </c>
      <c r="J15" s="12" t="str" cm="1">
        <f t="array" ref="J15">_xll.BDH(J$5,MNEMONIC, $B15)</f>
        <v>#N/A N/A</v>
      </c>
      <c r="K15" s="12" cm="1">
        <f t="array" ref="K15">_xll.BDH(K$5,MNEMONIC, $B15)</f>
        <v>8.66</v>
      </c>
      <c r="L15" s="12" cm="1">
        <f t="array" ref="L15">_xll.BDH(L$5,MNEMONIC, $B15)</f>
        <v>24.83</v>
      </c>
      <c r="M15" s="12" cm="1">
        <f t="array" ref="M15">_xll.BDH(M$5,MNEMONIC, $B15)</f>
        <v>804.27</v>
      </c>
      <c r="N15" s="12" cm="1">
        <f t="array" ref="N15">_xll.BDH(N$5,MNEMONIC, $B15)</f>
        <v>113.13</v>
      </c>
      <c r="O15" s="12" cm="1">
        <f t="array" ref="O15">_xll.BDH(O$5,MNEMONIC, $B15)</f>
        <v>912</v>
      </c>
      <c r="P15" s="12" cm="1">
        <f t="array" ref="P15">_xll.BDH(P$5,MNEMONIC, $B15)</f>
        <v>132.63</v>
      </c>
      <c r="Q15" s="12" t="str" cm="1">
        <f t="array" ref="Q15">_xll.BDH(Q$5,MNEMONIC, $B15)</f>
        <v>#N/A N/A</v>
      </c>
      <c r="R15" s="12" t="str" cm="1">
        <f t="array" ref="R15">_xll.BDH(R$5,MNEMONIC, $B15)</f>
        <v>#N/A N/A</v>
      </c>
      <c r="S15" s="12" t="str" cm="1">
        <f t="array" ref="S15">_xll.BDH(S$5,MNEMONIC, $B15)</f>
        <v>#N/A N/A</v>
      </c>
      <c r="T15" s="12" cm="1">
        <f t="array" ref="T15">_xll.BDH(T$5,MNEMONIC, $B15)</f>
        <v>10.8</v>
      </c>
      <c r="U15" s="12" cm="1">
        <f t="array" ref="U15">_xll.BDH(U$5,MNEMONIC, $B15)</f>
        <v>14.97</v>
      </c>
      <c r="V15" s="12" cm="1">
        <f t="array" ref="V15">_xll.BDH(V$5,MNEMONIC, $B15)</f>
        <v>77.739999999999995</v>
      </c>
    </row>
    <row r="16" spans="2:22" x14ac:dyDescent="0.3">
      <c r="B16" s="15">
        <v>45534</v>
      </c>
      <c r="C16" s="12" t="str" cm="1">
        <f t="array" ref="C16">_xll.BDH(C$5,MNEMONIC, $B16)</f>
        <v>#N/A N/A</v>
      </c>
      <c r="D16" s="12" cm="1">
        <f t="array" ref="D16">_xll.BDH(D$5,MNEMONIC, $B16)</f>
        <v>3.93</v>
      </c>
      <c r="E16" s="12" cm="1">
        <f t="array" ref="E16">_xll.BDH(E$5,MNEMONIC, $B16)</f>
        <v>5.93</v>
      </c>
      <c r="F16" s="12" cm="1">
        <f t="array" ref="F16">_xll.BDH(F$5,MNEMONIC, $B16)</f>
        <v>39.4</v>
      </c>
      <c r="G16" s="12" cm="1">
        <f t="array" ref="G16">_xll.BDH(G$5,MNEMONIC, $B16)</f>
        <v>3.62</v>
      </c>
      <c r="H16" s="12" cm="1">
        <f t="array" ref="H16">_xll.BDH(H$5,MNEMONIC, $B16)</f>
        <v>6.69</v>
      </c>
      <c r="I16" s="12" cm="1">
        <f t="array" ref="I16">_xll.BDH(I$5,MNEMONIC, $B16)</f>
        <v>0.36559999999999998</v>
      </c>
      <c r="J16" s="12" t="str" cm="1">
        <f t="array" ref="J16">_xll.BDH(J$5,MNEMONIC, $B16)</f>
        <v>#N/A N/A</v>
      </c>
      <c r="K16" s="12" cm="1">
        <f t="array" ref="K16">_xll.BDH(K$5,MNEMONIC, $B16)</f>
        <v>8.0299999999999994</v>
      </c>
      <c r="L16" s="12" cm="1">
        <f t="array" ref="L16">_xll.BDH(L$5,MNEMONIC, $B16)</f>
        <v>23.39</v>
      </c>
      <c r="M16" s="12" cm="1">
        <f t="array" ref="M16">_xll.BDH(M$5,MNEMONIC, $B16)</f>
        <v>960.02</v>
      </c>
      <c r="N16" s="12" cm="1">
        <f t="array" ref="N16">_xll.BDH(N$5,MNEMONIC, $B16)</f>
        <v>118.45</v>
      </c>
      <c r="O16" s="12" cm="1">
        <f t="array" ref="O16">_xll.BDH(O$5,MNEMONIC, $B16)</f>
        <v>938.1</v>
      </c>
      <c r="P16" s="12" cm="1">
        <f t="array" ref="P16">_xll.BDH(P$5,MNEMONIC, $B16)</f>
        <v>139.16</v>
      </c>
      <c r="Q16" s="12" t="str" cm="1">
        <f t="array" ref="Q16">_xll.BDH(Q$5,MNEMONIC, $B16)</f>
        <v>#N/A N/A</v>
      </c>
      <c r="R16" s="12" t="str" cm="1">
        <f t="array" ref="R16">_xll.BDH(R$5,MNEMONIC, $B16)</f>
        <v>#N/A N/A</v>
      </c>
      <c r="S16" s="12" t="str" cm="1">
        <f t="array" ref="S16">_xll.BDH(S$5,MNEMONIC, $B16)</f>
        <v>#N/A N/A</v>
      </c>
      <c r="T16" s="12" cm="1">
        <f t="array" ref="T16">_xll.BDH(T$5,MNEMONIC, $B16)</f>
        <v>12.98</v>
      </c>
      <c r="U16" s="12" cm="1">
        <f t="array" ref="U16">_xll.BDH(U$5,MNEMONIC, $B16)</f>
        <v>14.55</v>
      </c>
      <c r="V16" s="12" cm="1">
        <f t="array" ref="V16">_xll.BDH(V$5,MNEMONIC, $B16)</f>
        <v>74.34</v>
      </c>
    </row>
    <row r="17" spans="2:22" x14ac:dyDescent="0.3">
      <c r="B17" s="15">
        <v>45565</v>
      </c>
      <c r="C17" s="12" t="str" cm="1">
        <f t="array" ref="C17">_xll.BDH(C$5,MNEMONIC, $B17)</f>
        <v>#N/A N/A</v>
      </c>
      <c r="D17" s="12" cm="1">
        <f t="array" ref="D17">_xll.BDH(D$5,MNEMONIC, $B17)</f>
        <v>3.63</v>
      </c>
      <c r="E17" s="12" cm="1">
        <f t="array" ref="E17">_xll.BDH(E$5,MNEMONIC, $B17)</f>
        <v>8.16</v>
      </c>
      <c r="F17" s="12" cm="1">
        <f t="array" ref="F17">_xll.BDH(F$5,MNEMONIC, $B17)</f>
        <v>49.97</v>
      </c>
      <c r="G17" s="12" cm="1">
        <f t="array" ref="G17">_xll.BDH(G$5,MNEMONIC, $B17)</f>
        <v>3.47</v>
      </c>
      <c r="H17" s="12" cm="1">
        <f t="array" ref="H17">_xll.BDH(H$5,MNEMONIC, $B17)</f>
        <v>8.15</v>
      </c>
      <c r="I17" s="12" cm="1">
        <f t="array" ref="I17">_xll.BDH(I$5,MNEMONIC, $B17)</f>
        <v>0.39939999999999998</v>
      </c>
      <c r="J17" s="12" t="str" cm="1">
        <f t="array" ref="J17">_xll.BDH(J$5,MNEMONIC, $B17)</f>
        <v>#N/A N/A</v>
      </c>
      <c r="K17" s="12" cm="1">
        <f t="array" ref="K17">_xll.BDH(K$5,MNEMONIC, $B17)</f>
        <v>4.8899999999999997</v>
      </c>
      <c r="L17" s="12" cm="1">
        <f t="array" ref="L17">_xll.BDH(L$5,MNEMONIC, $B17)</f>
        <v>23.74</v>
      </c>
      <c r="M17" s="12" cm="1">
        <f t="array" ref="M17">_xll.BDH(M$5,MNEMONIC, $B17)</f>
        <v>885.94</v>
      </c>
      <c r="N17" s="12" cm="1">
        <f t="array" ref="N17">_xll.BDH(N$5,MNEMONIC, $B17)</f>
        <v>113.56</v>
      </c>
      <c r="O17" s="12" cm="1">
        <f t="array" ref="O17">_xll.BDH(O$5,MNEMONIC, $B17)</f>
        <v>786.8</v>
      </c>
      <c r="P17" s="12" cm="1">
        <f t="array" ref="P17">_xll.BDH(P$5,MNEMONIC, $B17)</f>
        <v>119.07</v>
      </c>
      <c r="Q17" s="12" t="str" cm="1">
        <f t="array" ref="Q17">_xll.BDH(Q$5,MNEMONIC, $B17)</f>
        <v>#N/A N/A</v>
      </c>
      <c r="R17" s="12" t="str" cm="1">
        <f t="array" ref="R17">_xll.BDH(R$5,MNEMONIC, $B17)</f>
        <v>#N/A N/A</v>
      </c>
      <c r="S17" s="12" t="str" cm="1">
        <f t="array" ref="S17">_xll.BDH(S$5,MNEMONIC, $B17)</f>
        <v>#N/A N/A</v>
      </c>
      <c r="T17" s="12" cm="1">
        <f t="array" ref="T17">_xll.BDH(T$5,MNEMONIC, $B17)</f>
        <v>21.9</v>
      </c>
      <c r="U17" s="12" cm="1">
        <f t="array" ref="U17">_xll.BDH(U$5,MNEMONIC, $B17)</f>
        <v>12.29</v>
      </c>
      <c r="V17" s="12" cm="1">
        <f t="array" ref="V17">_xll.BDH(V$5,MNEMONIC, $B17)</f>
        <v>69.92</v>
      </c>
    </row>
    <row r="18" spans="2:22" x14ac:dyDescent="0.3">
      <c r="B18" s="15">
        <v>45596</v>
      </c>
      <c r="C18" s="12" t="str" cm="1">
        <f t="array" ref="C18">_xll.BDH(C$5,MNEMONIC, $B18)</f>
        <v>#N/A N/A</v>
      </c>
      <c r="D18" s="12" cm="1">
        <f t="array" ref="D18">_xll.BDH(D$5,MNEMONIC, $B18)</f>
        <v>3.37</v>
      </c>
      <c r="E18" s="12" cm="1">
        <f t="array" ref="E18">_xll.BDH(E$5,MNEMONIC, $B18)</f>
        <v>9.1999999999999993</v>
      </c>
      <c r="F18" s="12" cm="1">
        <f t="array" ref="F18">_xll.BDH(F$5,MNEMONIC, $B18)</f>
        <v>49.76</v>
      </c>
      <c r="G18" s="12" cm="1">
        <f t="array" ref="G18">_xll.BDH(G$5,MNEMONIC, $B18)</f>
        <v>2.92</v>
      </c>
      <c r="H18" s="12" cm="1">
        <f t="array" ref="H18">_xll.BDH(H$5,MNEMONIC, $B18)</f>
        <v>7.62</v>
      </c>
      <c r="I18" s="12" cm="1">
        <f t="array" ref="I18">_xll.BDH(I$5,MNEMONIC, $B18)</f>
        <v>0.3014</v>
      </c>
      <c r="J18" s="12" t="str" cm="1">
        <f t="array" ref="J18">_xll.BDH(J$5,MNEMONIC, $B18)</f>
        <v>#N/A N/A</v>
      </c>
      <c r="K18" s="12" cm="1">
        <f t="array" ref="K18">_xll.BDH(K$5,MNEMONIC, $B18)</f>
        <v>4.78</v>
      </c>
      <c r="L18" s="12" cm="1">
        <f t="array" ref="L18">_xll.BDH(L$5,MNEMONIC, $B18)</f>
        <v>26.96</v>
      </c>
      <c r="M18" s="12" cm="1">
        <f t="array" ref="M18">_xll.BDH(M$5,MNEMONIC, $B18)</f>
        <v>829.74</v>
      </c>
      <c r="N18" s="12" cm="1">
        <f t="array" ref="N18">_xll.BDH(N$5,MNEMONIC, $B18)</f>
        <v>102.32</v>
      </c>
      <c r="O18" s="12" cm="1">
        <f t="array" ref="O18">_xll.BDH(O$5,MNEMONIC, $B18)</f>
        <v>763.1</v>
      </c>
      <c r="P18" s="12" cm="1">
        <f t="array" ref="P18">_xll.BDH(P$5,MNEMONIC, $B18)</f>
        <v>111.95</v>
      </c>
      <c r="Q18" s="12" t="str" cm="1">
        <f t="array" ref="Q18">_xll.BDH(Q$5,MNEMONIC, $B18)</f>
        <v>#N/A N/A</v>
      </c>
      <c r="R18" s="12" t="str" cm="1">
        <f t="array" ref="R18">_xll.BDH(R$5,MNEMONIC, $B18)</f>
        <v>#N/A N/A</v>
      </c>
      <c r="S18" s="12" t="str" cm="1">
        <f t="array" ref="S18">_xll.BDH(S$5,MNEMONIC, $B18)</f>
        <v>#N/A N/A</v>
      </c>
      <c r="T18" s="12" cm="1">
        <f t="array" ref="T18">_xll.BDH(T$5,MNEMONIC, $B18)</f>
        <v>18.59</v>
      </c>
      <c r="U18" s="12" cm="1">
        <f t="array" ref="U18">_xll.BDH(U$5,MNEMONIC, $B18)</f>
        <v>12.36</v>
      </c>
      <c r="V18" s="12" cm="1">
        <f t="array" ref="V18">_xll.BDH(V$5,MNEMONIC, $B18)</f>
        <v>73.08</v>
      </c>
    </row>
    <row r="19" spans="2:22" x14ac:dyDescent="0.3">
      <c r="B19" s="15">
        <v>45625</v>
      </c>
      <c r="C19" s="12" t="str" cm="1">
        <f t="array" ref="C19">_xll.BDH(C$5,MNEMONIC, $B19)</f>
        <v>#N/A N/A</v>
      </c>
      <c r="D19" s="12" cm="1">
        <f t="array" ref="D19">_xll.BDH(D$5,MNEMONIC, $B19)</f>
        <v>3.32</v>
      </c>
      <c r="E19" s="12" cm="1">
        <f t="array" ref="E19">_xll.BDH(E$5,MNEMONIC, $B19)</f>
        <v>8.3699999999999992</v>
      </c>
      <c r="F19" s="12" cm="1">
        <f t="array" ref="F19">_xll.BDH(F$5,MNEMONIC, $B19)</f>
        <v>46.01</v>
      </c>
      <c r="G19" s="12" cm="1">
        <f t="array" ref="G19">_xll.BDH(G$5,MNEMONIC, $B19)</f>
        <v>2.73</v>
      </c>
      <c r="H19" s="12" cm="1">
        <f t="array" ref="H19">_xll.BDH(H$5,MNEMONIC, $B19)</f>
        <v>8.6999999999999993</v>
      </c>
      <c r="I19" s="12" cm="1">
        <f t="array" ref="I19">_xll.BDH(I$5,MNEMONIC, $B19)</f>
        <v>0.42470000000000002</v>
      </c>
      <c r="J19" s="12" t="str" cm="1">
        <f t="array" ref="J19">_xll.BDH(J$5,MNEMONIC, $B19)</f>
        <v>#N/A N/A</v>
      </c>
      <c r="K19" s="12" cm="1">
        <f t="array" ref="K19">_xll.BDH(K$5,MNEMONIC, $B19)</f>
        <v>5.77</v>
      </c>
      <c r="L19" s="12" cm="1">
        <f t="array" ref="L19">_xll.BDH(L$5,MNEMONIC, $B19)</f>
        <v>35.6</v>
      </c>
      <c r="M19" s="12" cm="1">
        <f t="array" ref="M19">_xll.BDH(M$5,MNEMONIC, $B19)</f>
        <v>795.35</v>
      </c>
      <c r="N19" s="12" cm="1">
        <f t="array" ref="N19">_xll.BDH(N$5,MNEMONIC, $B19)</f>
        <v>101.64</v>
      </c>
      <c r="O19" s="12" cm="1">
        <f t="array" ref="O19">_xll.BDH(O$5,MNEMONIC, $B19)</f>
        <v>757.3</v>
      </c>
      <c r="P19" s="12" cm="1">
        <f t="array" ref="P19">_xll.BDH(P$5,MNEMONIC, $B19)</f>
        <v>106.8</v>
      </c>
      <c r="Q19" s="12" t="str" cm="1">
        <f t="array" ref="Q19">_xll.BDH(Q$5,MNEMONIC, $B19)</f>
        <v>#N/A N/A</v>
      </c>
      <c r="R19" s="12" t="str" cm="1">
        <f t="array" ref="R19">_xll.BDH(R$5,MNEMONIC, $B19)</f>
        <v>#N/A N/A</v>
      </c>
      <c r="S19" s="12" t="str" cm="1">
        <f t="array" ref="S19">_xll.BDH(S$5,MNEMONIC, $B19)</f>
        <v>#N/A N/A</v>
      </c>
      <c r="T19" s="12" cm="1">
        <f t="array" ref="T19">_xll.BDH(T$5,MNEMONIC, $B19)</f>
        <v>18.46</v>
      </c>
      <c r="U19" s="12" cm="1">
        <f t="array" ref="U19">_xll.BDH(U$5,MNEMONIC, $B19)</f>
        <v>12.11</v>
      </c>
      <c r="V19" s="12" cm="1">
        <f t="array" ref="V19">_xll.BDH(V$5,MNEMONIC, $B19)</f>
        <v>71.61</v>
      </c>
    </row>
    <row r="20" spans="2:22" x14ac:dyDescent="0.3">
      <c r="B20" s="15">
        <v>45657</v>
      </c>
      <c r="C20" s="12" t="str" cm="1">
        <f t="array" ref="C20">_xll.BDH(C$5,MNEMONIC, $B20)</f>
        <v>#N/A N/A</v>
      </c>
      <c r="D20" s="12" cm="1">
        <f t="array" ref="D20">_xll.BDH(D$5,MNEMONIC, $B20)</f>
        <v>2.35</v>
      </c>
      <c r="E20" s="12" cm="1">
        <f t="array" ref="E20">_xll.BDH(E$5,MNEMONIC, $B20)</f>
        <v>8.06</v>
      </c>
      <c r="F20" s="12" cm="1">
        <f t="array" ref="F20">_xll.BDH(F$5,MNEMONIC, $B20)</f>
        <v>37.35</v>
      </c>
      <c r="G20" s="12" cm="1">
        <f t="array" ref="G20">_xll.BDH(G$5,MNEMONIC, $B20)</f>
        <v>2.9</v>
      </c>
      <c r="H20" s="12" cm="1">
        <f t="array" ref="H20">_xll.BDH(H$5,MNEMONIC, $B20)</f>
        <v>9.82</v>
      </c>
      <c r="I20" s="12" cm="1">
        <f t="array" ref="I20">_xll.BDH(I$5,MNEMONIC, $B20)</f>
        <v>0.52949999999999997</v>
      </c>
      <c r="J20" s="12" t="str" cm="1">
        <f t="array" ref="J20">_xll.BDH(J$5,MNEMONIC, $B20)</f>
        <v>#N/A N/A</v>
      </c>
      <c r="K20" s="12" cm="1">
        <f t="array" ref="K20">_xll.BDH(K$5,MNEMONIC, $B20)</f>
        <v>3.74</v>
      </c>
      <c r="L20" s="12" cm="1">
        <f t="array" ref="L20">_xll.BDH(L$5,MNEMONIC, $B20)</f>
        <v>28.87</v>
      </c>
      <c r="M20" s="12" cm="1">
        <f t="array" ref="M20">_xll.BDH(M$5,MNEMONIC, $B20)</f>
        <v>772</v>
      </c>
      <c r="N20" s="12" cm="1">
        <f t="array" ref="N20">_xll.BDH(N$5,MNEMONIC, $B20)</f>
        <v>99.48</v>
      </c>
      <c r="O20" s="12" t="str" cm="1">
        <f t="array" ref="O20">_xll.BDH(O$5,MNEMONIC, $B20)</f>
        <v>#N/A N/A</v>
      </c>
      <c r="P20" s="12" cm="1">
        <f t="array" ref="P20">_xll.BDH(P$5,MNEMONIC, $B20)</f>
        <v>86.02</v>
      </c>
      <c r="Q20" s="12" t="str" cm="1">
        <f t="array" ref="Q20">_xll.BDH(Q$5,MNEMONIC, $B20)</f>
        <v>#N/A N/A</v>
      </c>
      <c r="R20" s="12" t="str" cm="1">
        <f t="array" ref="R20">_xll.BDH(R$5,MNEMONIC, $B20)</f>
        <v>#N/A N/A</v>
      </c>
      <c r="S20" s="12" t="str" cm="1">
        <f t="array" ref="S20">_xll.BDH(S$5,MNEMONIC, $B20)</f>
        <v>#N/A N/A</v>
      </c>
      <c r="T20" s="12" cm="1">
        <f t="array" ref="T20">_xll.BDH(T$5,MNEMONIC, $B20)</f>
        <v>17.844999999999999</v>
      </c>
      <c r="U20" s="12" cm="1">
        <f t="array" ref="U20">_xll.BDH(U$5,MNEMONIC, $B20)</f>
        <v>11.03</v>
      </c>
      <c r="V20" s="12" cm="1">
        <f t="array" ref="V20">_xll.BDH(V$5,MNEMONIC, $B20)</f>
        <v>75.55</v>
      </c>
    </row>
    <row r="21" spans="2:22" x14ac:dyDescent="0.3">
      <c r="B21" s="15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</row>
    <row r="22" spans="2:22" x14ac:dyDescent="0.3">
      <c r="B22" s="15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</row>
    <row r="23" spans="2:22" x14ac:dyDescent="0.3">
      <c r="B23" s="15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</row>
    <row r="24" spans="2:22" x14ac:dyDescent="0.3">
      <c r="B24" s="15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</row>
    <row r="25" spans="2:22" x14ac:dyDescent="0.3">
      <c r="B25" s="15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</row>
    <row r="26" spans="2:22" x14ac:dyDescent="0.3">
      <c r="B26" s="15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</row>
    <row r="27" spans="2:22" x14ac:dyDescent="0.3">
      <c r="B27" s="15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</row>
    <row r="28" spans="2:22" x14ac:dyDescent="0.3">
      <c r="B28" s="15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</row>
    <row r="29" spans="2:22" x14ac:dyDescent="0.3">
      <c r="B29" s="15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</row>
    <row r="30" spans="2:22" x14ac:dyDescent="0.3">
      <c r="B30" s="15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</row>
    <row r="31" spans="2:22" x14ac:dyDescent="0.3">
      <c r="B31" s="15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</row>
    <row r="32" spans="2:22" x14ac:dyDescent="0.3">
      <c r="B32" s="15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</row>
    <row r="33" spans="2:22" x14ac:dyDescent="0.3">
      <c r="B33" s="15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</row>
    <row r="34" spans="2:22" x14ac:dyDescent="0.3">
      <c r="B34" s="15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</row>
    <row r="35" spans="2:22" x14ac:dyDescent="0.3">
      <c r="B35" s="15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</row>
    <row r="36" spans="2:22" x14ac:dyDescent="0.3">
      <c r="B36" s="15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</row>
    <row r="37" spans="2:22" x14ac:dyDescent="0.3">
      <c r="B37" s="15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</row>
    <row r="38" spans="2:22" x14ac:dyDescent="0.3">
      <c r="B38" s="15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</row>
    <row r="39" spans="2:22" x14ac:dyDescent="0.3">
      <c r="B39" s="15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</row>
    <row r="40" spans="2:22" x14ac:dyDescent="0.3">
      <c r="B40" s="15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</row>
    <row r="41" spans="2:22" x14ac:dyDescent="0.3">
      <c r="B41" s="15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</row>
    <row r="42" spans="2:22" x14ac:dyDescent="0.3">
      <c r="B42" s="15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</row>
    <row r="43" spans="2:22" x14ac:dyDescent="0.3">
      <c r="B43" s="15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</row>
    <row r="44" spans="2:22" x14ac:dyDescent="0.3">
      <c r="B44" s="15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</row>
    <row r="45" spans="2:22" x14ac:dyDescent="0.3">
      <c r="B45" s="15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</row>
    <row r="46" spans="2:22" x14ac:dyDescent="0.3">
      <c r="B46" s="15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</row>
    <row r="47" spans="2:22" x14ac:dyDescent="0.3">
      <c r="B47" s="15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</row>
    <row r="48" spans="2:22" x14ac:dyDescent="0.3">
      <c r="B48" s="15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</row>
    <row r="49" spans="2:22" x14ac:dyDescent="0.3">
      <c r="B49" s="15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</row>
    <row r="50" spans="2:22" x14ac:dyDescent="0.3">
      <c r="B50" s="15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</row>
    <row r="51" spans="2:22" x14ac:dyDescent="0.3">
      <c r="B51" s="15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</row>
    <row r="52" spans="2:22" x14ac:dyDescent="0.3">
      <c r="B52" s="15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</row>
    <row r="53" spans="2:22" x14ac:dyDescent="0.3">
      <c r="B53" s="15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</row>
    <row r="54" spans="2:22" x14ac:dyDescent="0.3">
      <c r="B54" s="15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</row>
    <row r="55" spans="2:22" x14ac:dyDescent="0.3">
      <c r="B55" s="15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</row>
    <row r="56" spans="2:22" x14ac:dyDescent="0.3">
      <c r="B56" s="15"/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</row>
    <row r="57" spans="2:22" x14ac:dyDescent="0.3">
      <c r="B57" s="15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</row>
    <row r="58" spans="2:22" x14ac:dyDescent="0.3">
      <c r="B58" s="15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</row>
    <row r="59" spans="2:22" x14ac:dyDescent="0.3">
      <c r="B59" s="15"/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</row>
    <row r="60" spans="2:22" x14ac:dyDescent="0.3">
      <c r="B60" s="15"/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</row>
    <row r="61" spans="2:22" x14ac:dyDescent="0.3">
      <c r="B61" s="15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</row>
    <row r="62" spans="2:22" x14ac:dyDescent="0.3">
      <c r="B62" s="15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</row>
    <row r="63" spans="2:22" x14ac:dyDescent="0.3">
      <c r="B63" s="15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</row>
    <row r="64" spans="2:22" x14ac:dyDescent="0.3">
      <c r="B64" s="15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</row>
    <row r="65" spans="2:22" x14ac:dyDescent="0.3">
      <c r="B65" s="15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</row>
    <row r="66" spans="2:22" x14ac:dyDescent="0.3">
      <c r="B66" s="15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</row>
    <row r="67" spans="2:22" x14ac:dyDescent="0.3">
      <c r="B67" s="15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</row>
    <row r="68" spans="2:22" x14ac:dyDescent="0.3">
      <c r="B68" s="15"/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</row>
    <row r="69" spans="2:22" x14ac:dyDescent="0.3">
      <c r="B69" s="15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</row>
    <row r="70" spans="2:22" x14ac:dyDescent="0.3">
      <c r="B70" s="15"/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</row>
    <row r="71" spans="2:22" x14ac:dyDescent="0.3">
      <c r="B71" s="15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</row>
    <row r="72" spans="2:22" x14ac:dyDescent="0.3">
      <c r="B72" s="15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</row>
    <row r="73" spans="2:22" x14ac:dyDescent="0.3">
      <c r="B73" s="15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</row>
    <row r="74" spans="2:22" x14ac:dyDescent="0.3">
      <c r="B74" s="15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</row>
    <row r="75" spans="2:22" x14ac:dyDescent="0.3">
      <c r="B75" s="15"/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</row>
    <row r="76" spans="2:22" x14ac:dyDescent="0.3">
      <c r="B76" s="15"/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</row>
    <row r="77" spans="2:22" x14ac:dyDescent="0.3">
      <c r="B77" s="15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</row>
    <row r="78" spans="2:22" x14ac:dyDescent="0.3">
      <c r="B78" s="15"/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</row>
    <row r="79" spans="2:22" x14ac:dyDescent="0.3">
      <c r="B79" s="15"/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</row>
    <row r="80" spans="2:22" x14ac:dyDescent="0.3">
      <c r="B80" s="15"/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</row>
    <row r="81" spans="2:22" x14ac:dyDescent="0.3">
      <c r="B81" s="15"/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</row>
    <row r="82" spans="2:22" x14ac:dyDescent="0.3">
      <c r="B82" s="15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</row>
    <row r="83" spans="2:22" x14ac:dyDescent="0.3">
      <c r="B83" s="15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</row>
    <row r="84" spans="2:22" x14ac:dyDescent="0.3">
      <c r="B84" s="15"/>
      <c r="C84" s="12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</row>
    <row r="85" spans="2:22" x14ac:dyDescent="0.3">
      <c r="B85" s="15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</row>
    <row r="86" spans="2:22" x14ac:dyDescent="0.3">
      <c r="B86" s="15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</row>
    <row r="87" spans="2:22" x14ac:dyDescent="0.3">
      <c r="B87" s="15"/>
      <c r="C87" s="12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</row>
    <row r="88" spans="2:22" x14ac:dyDescent="0.3">
      <c r="B88" s="15"/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</row>
    <row r="89" spans="2:22" x14ac:dyDescent="0.3">
      <c r="B89" s="15"/>
      <c r="C89" s="12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</row>
    <row r="90" spans="2:22" x14ac:dyDescent="0.3">
      <c r="B90" s="15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2"/>
    </row>
    <row r="91" spans="2:22" x14ac:dyDescent="0.3">
      <c r="B91" s="15"/>
      <c r="C91" s="12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2"/>
    </row>
    <row r="92" spans="2:22" x14ac:dyDescent="0.3">
      <c r="B92" s="15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</row>
    <row r="93" spans="2:22" x14ac:dyDescent="0.3">
      <c r="B93" s="15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2"/>
    </row>
    <row r="94" spans="2:22" x14ac:dyDescent="0.3">
      <c r="B94" s="15"/>
      <c r="C94" s="12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2"/>
    </row>
    <row r="95" spans="2:22" x14ac:dyDescent="0.3">
      <c r="B95" s="15"/>
      <c r="C95" s="12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2"/>
    </row>
    <row r="96" spans="2:22" x14ac:dyDescent="0.3">
      <c r="B96" s="15"/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2"/>
    </row>
    <row r="97" spans="2:22" x14ac:dyDescent="0.3">
      <c r="B97" s="15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/>
    </row>
    <row r="98" spans="2:22" x14ac:dyDescent="0.3">
      <c r="B98" s="15"/>
      <c r="C98" s="12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/>
    </row>
    <row r="99" spans="2:22" x14ac:dyDescent="0.3">
      <c r="B99" s="15"/>
      <c r="C99" s="12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2"/>
    </row>
    <row r="100" spans="2:22" x14ac:dyDescent="0.3">
      <c r="B100" s="15"/>
      <c r="C100" s="12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2"/>
    </row>
    <row r="101" spans="2:22" x14ac:dyDescent="0.3">
      <c r="B101" s="15"/>
      <c r="C101" s="12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2"/>
    </row>
    <row r="102" spans="2:22" x14ac:dyDescent="0.3">
      <c r="B102" s="15"/>
      <c r="C102" s="12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2"/>
    </row>
    <row r="103" spans="2:22" x14ac:dyDescent="0.3">
      <c r="B103" s="15"/>
      <c r="C103" s="12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2"/>
    </row>
    <row r="104" spans="2:22" x14ac:dyDescent="0.3">
      <c r="B104" s="15"/>
      <c r="C104" s="12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2"/>
    </row>
    <row r="105" spans="2:22" x14ac:dyDescent="0.3">
      <c r="B105" s="15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</row>
    <row r="106" spans="2:22" x14ac:dyDescent="0.3">
      <c r="B106" s="15"/>
      <c r="C106" s="12"/>
      <c r="D106" s="12"/>
      <c r="E106" s="12"/>
      <c r="F106" s="12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12"/>
      <c r="S106" s="12"/>
      <c r="T106" s="12"/>
      <c r="U106" s="12"/>
      <c r="V106" s="12"/>
    </row>
    <row r="107" spans="2:22" x14ac:dyDescent="0.3">
      <c r="B107" s="15"/>
      <c r="C107" s="12"/>
      <c r="D107" s="12"/>
      <c r="E107" s="12"/>
      <c r="F107" s="12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2"/>
    </row>
    <row r="108" spans="2:22" x14ac:dyDescent="0.3">
      <c r="B108" s="15"/>
      <c r="C108" s="12"/>
      <c r="D108" s="12"/>
      <c r="E108" s="12"/>
      <c r="F108" s="12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2"/>
    </row>
    <row r="109" spans="2:22" x14ac:dyDescent="0.3">
      <c r="B109" s="15"/>
      <c r="C109" s="12"/>
      <c r="D109" s="12"/>
      <c r="E109" s="12"/>
      <c r="F109" s="12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2"/>
    </row>
    <row r="110" spans="2:22" x14ac:dyDescent="0.3">
      <c r="B110" s="15"/>
      <c r="C110" s="12"/>
      <c r="D110" s="12"/>
      <c r="E110" s="12"/>
      <c r="F110" s="12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2"/>
    </row>
    <row r="111" spans="2:22" x14ac:dyDescent="0.3">
      <c r="B111" s="15"/>
      <c r="C111" s="12"/>
      <c r="D111" s="12"/>
      <c r="E111" s="12"/>
      <c r="F111" s="12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  <c r="R111" s="12"/>
      <c r="S111" s="12"/>
      <c r="T111" s="12"/>
      <c r="U111" s="12"/>
      <c r="V111" s="12"/>
    </row>
    <row r="112" spans="2:22" x14ac:dyDescent="0.3">
      <c r="B112" s="15"/>
      <c r="C112" s="12"/>
      <c r="D112" s="12"/>
      <c r="E112" s="12"/>
      <c r="F112" s="12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  <c r="R112" s="12"/>
      <c r="S112" s="12"/>
      <c r="T112" s="12"/>
      <c r="U112" s="12"/>
      <c r="V112" s="12"/>
    </row>
    <row r="113" spans="2:22" x14ac:dyDescent="0.3">
      <c r="B113" s="15"/>
      <c r="C113" s="12"/>
      <c r="D113" s="12"/>
      <c r="E113" s="12"/>
      <c r="F113" s="12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  <c r="R113" s="12"/>
      <c r="S113" s="12"/>
      <c r="T113" s="12"/>
      <c r="U113" s="12"/>
      <c r="V113" s="12"/>
    </row>
    <row r="114" spans="2:22" x14ac:dyDescent="0.3">
      <c r="B114" s="15"/>
      <c r="C114" s="12"/>
      <c r="D114" s="12"/>
      <c r="E114" s="12"/>
      <c r="F114" s="12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  <c r="R114" s="12"/>
      <c r="S114" s="12"/>
      <c r="T114" s="12"/>
      <c r="U114" s="12"/>
      <c r="V114" s="12"/>
    </row>
    <row r="115" spans="2:22" x14ac:dyDescent="0.3">
      <c r="B115" s="15"/>
      <c r="C115" s="12"/>
      <c r="D115" s="12"/>
      <c r="E115" s="12"/>
      <c r="F115" s="12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  <c r="R115" s="12"/>
      <c r="S115" s="12"/>
      <c r="T115" s="12"/>
      <c r="U115" s="12"/>
      <c r="V115" s="12"/>
    </row>
    <row r="116" spans="2:22" x14ac:dyDescent="0.3">
      <c r="B116" s="15"/>
      <c r="C116" s="12"/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  <c r="R116" s="12"/>
      <c r="S116" s="12"/>
      <c r="T116" s="12"/>
      <c r="U116" s="12"/>
      <c r="V116" s="12"/>
    </row>
    <row r="117" spans="2:22" x14ac:dyDescent="0.3">
      <c r="B117" s="15"/>
      <c r="C117" s="12"/>
      <c r="D117" s="12"/>
      <c r="E117" s="12"/>
      <c r="F117" s="12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  <c r="R117" s="12"/>
      <c r="S117" s="12"/>
      <c r="T117" s="12"/>
      <c r="U117" s="12"/>
      <c r="V117" s="12"/>
    </row>
    <row r="118" spans="2:22" x14ac:dyDescent="0.3">
      <c r="B118" s="15"/>
      <c r="C118" s="12"/>
      <c r="D118" s="12"/>
      <c r="E118" s="12"/>
      <c r="F118" s="12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  <c r="R118" s="12"/>
      <c r="S118" s="12"/>
      <c r="T118" s="12"/>
      <c r="U118" s="12"/>
      <c r="V118" s="12"/>
    </row>
    <row r="119" spans="2:22" x14ac:dyDescent="0.3">
      <c r="B119" s="15"/>
      <c r="C119" s="12"/>
      <c r="D119" s="12"/>
      <c r="E119" s="12"/>
      <c r="F119" s="12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  <c r="R119" s="12"/>
      <c r="S119" s="12"/>
      <c r="T119" s="12"/>
      <c r="U119" s="12"/>
      <c r="V119" s="12"/>
    </row>
    <row r="120" spans="2:22" x14ac:dyDescent="0.3">
      <c r="B120" s="15"/>
      <c r="C120" s="12"/>
      <c r="D120" s="12"/>
      <c r="E120" s="12"/>
      <c r="F120" s="12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  <c r="R120" s="12"/>
      <c r="S120" s="12"/>
      <c r="T120" s="12"/>
      <c r="U120" s="12"/>
      <c r="V120" s="12"/>
    </row>
    <row r="121" spans="2:22" x14ac:dyDescent="0.3">
      <c r="B121" s="15"/>
      <c r="C121" s="12"/>
      <c r="D121" s="12"/>
      <c r="E121" s="12"/>
      <c r="F121" s="12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  <c r="R121" s="12"/>
      <c r="S121" s="12"/>
      <c r="T121" s="12"/>
      <c r="U121" s="12"/>
      <c r="V121" s="12"/>
    </row>
    <row r="122" spans="2:22" x14ac:dyDescent="0.3">
      <c r="B122" s="15"/>
      <c r="C122" s="12"/>
      <c r="D122" s="12"/>
      <c r="E122" s="12"/>
      <c r="F122" s="12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  <c r="R122" s="12"/>
      <c r="S122" s="12"/>
      <c r="T122" s="12"/>
      <c r="U122" s="12"/>
      <c r="V122" s="12"/>
    </row>
    <row r="123" spans="2:22" x14ac:dyDescent="0.3">
      <c r="B123" s="15"/>
      <c r="C123" s="12"/>
      <c r="D123" s="12"/>
      <c r="E123" s="12"/>
      <c r="F123" s="12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  <c r="R123" s="12"/>
      <c r="S123" s="12"/>
      <c r="T123" s="12"/>
      <c r="U123" s="12"/>
      <c r="V123" s="12"/>
    </row>
    <row r="124" spans="2:22" x14ac:dyDescent="0.3">
      <c r="B124" s="15"/>
      <c r="C124" s="12"/>
      <c r="D124" s="12"/>
      <c r="E124" s="12"/>
      <c r="F124" s="12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  <c r="R124" s="12"/>
      <c r="S124" s="12"/>
      <c r="T124" s="12"/>
      <c r="U124" s="12"/>
      <c r="V124" s="12"/>
    </row>
    <row r="125" spans="2:22" x14ac:dyDescent="0.3">
      <c r="B125" s="15"/>
      <c r="C125" s="12"/>
      <c r="D125" s="12"/>
      <c r="E125" s="12"/>
      <c r="F125" s="12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2"/>
    </row>
    <row r="126" spans="2:22" x14ac:dyDescent="0.3">
      <c r="B126" s="15"/>
      <c r="C126" s="12"/>
      <c r="D126" s="12"/>
      <c r="E126" s="12"/>
      <c r="F126" s="12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2"/>
    </row>
    <row r="127" spans="2:22" x14ac:dyDescent="0.3">
      <c r="B127" s="15"/>
      <c r="C127" s="12"/>
      <c r="D127" s="12"/>
      <c r="E127" s="12"/>
      <c r="F127" s="12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2"/>
    </row>
    <row r="128" spans="2:22" x14ac:dyDescent="0.3">
      <c r="B128" s="15"/>
      <c r="C128" s="12"/>
      <c r="D128" s="12"/>
      <c r="E128" s="12"/>
      <c r="F128" s="12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  <c r="R128" s="12"/>
      <c r="S128" s="12"/>
      <c r="T128" s="12"/>
      <c r="U128" s="12"/>
      <c r="V128" s="12"/>
    </row>
    <row r="129" spans="2:22" x14ac:dyDescent="0.3">
      <c r="B129" s="15"/>
      <c r="C129" s="12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  <c r="R129" s="12"/>
      <c r="S129" s="12"/>
      <c r="T129" s="12"/>
      <c r="U129" s="12"/>
      <c r="V129" s="12"/>
    </row>
    <row r="130" spans="2:22" x14ac:dyDescent="0.3">
      <c r="B130" s="15"/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  <c r="R130" s="12"/>
      <c r="S130" s="12"/>
      <c r="T130" s="12"/>
      <c r="U130" s="12"/>
      <c r="V130" s="12"/>
    </row>
    <row r="131" spans="2:22" x14ac:dyDescent="0.3">
      <c r="B131" s="15"/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  <c r="R131" s="12"/>
      <c r="S131" s="12"/>
      <c r="T131" s="12"/>
      <c r="U131" s="12"/>
      <c r="V131" s="12"/>
    </row>
    <row r="132" spans="2:22" x14ac:dyDescent="0.3">
      <c r="B132" s="15"/>
      <c r="C132" s="12"/>
      <c r="D132" s="12"/>
      <c r="E132" s="12"/>
      <c r="F132" s="12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2"/>
      <c r="T132" s="12"/>
      <c r="U132" s="12"/>
      <c r="V132" s="12"/>
    </row>
    <row r="133" spans="2:22" x14ac:dyDescent="0.3">
      <c r="B133" s="15"/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12"/>
      <c r="T133" s="12"/>
      <c r="U133" s="12"/>
      <c r="V133" s="12"/>
    </row>
    <row r="134" spans="2:22" x14ac:dyDescent="0.3">
      <c r="B134" s="15"/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  <c r="R134" s="12"/>
      <c r="S134" s="12"/>
      <c r="T134" s="12"/>
      <c r="U134" s="12"/>
      <c r="V134" s="12"/>
    </row>
    <row r="135" spans="2:22" x14ac:dyDescent="0.3">
      <c r="B135" s="15"/>
      <c r="C135" s="12"/>
      <c r="D135" s="12"/>
      <c r="E135" s="12"/>
      <c r="F135" s="12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  <c r="R135" s="12"/>
      <c r="S135" s="12"/>
      <c r="T135" s="12"/>
      <c r="U135" s="12"/>
      <c r="V135" s="12"/>
    </row>
    <row r="136" spans="2:22" x14ac:dyDescent="0.3">
      <c r="B136" s="15"/>
      <c r="C136" s="12"/>
      <c r="D136" s="12"/>
      <c r="E136" s="12"/>
      <c r="F136" s="12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  <c r="R136" s="12"/>
      <c r="S136" s="12"/>
      <c r="T136" s="12"/>
      <c r="U136" s="12"/>
      <c r="V136" s="12"/>
    </row>
    <row r="137" spans="2:22" x14ac:dyDescent="0.3">
      <c r="B137" s="15"/>
      <c r="C137" s="12"/>
      <c r="D137" s="12"/>
      <c r="E137" s="12"/>
      <c r="F137" s="12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  <c r="R137" s="12"/>
      <c r="S137" s="12"/>
      <c r="T137" s="12"/>
      <c r="U137" s="12"/>
      <c r="V137" s="12"/>
    </row>
    <row r="138" spans="2:22" x14ac:dyDescent="0.3">
      <c r="B138" s="15"/>
      <c r="C138" s="12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  <c r="R138" s="12"/>
      <c r="S138" s="12"/>
      <c r="T138" s="12"/>
      <c r="U138" s="12"/>
      <c r="V138" s="12"/>
    </row>
    <row r="139" spans="2:22" x14ac:dyDescent="0.3">
      <c r="B139" s="15"/>
      <c r="C139" s="12"/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  <c r="R139" s="12"/>
      <c r="S139" s="12"/>
      <c r="T139" s="12"/>
      <c r="U139" s="12"/>
      <c r="V139" s="12"/>
    </row>
    <row r="140" spans="2:22" x14ac:dyDescent="0.3">
      <c r="B140" s="15"/>
      <c r="C140" s="12"/>
      <c r="D140" s="12"/>
      <c r="E140" s="12"/>
      <c r="F140" s="12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2"/>
    </row>
    <row r="141" spans="2:22" x14ac:dyDescent="0.3">
      <c r="B141" s="15"/>
      <c r="C141" s="12"/>
      <c r="D141" s="12"/>
      <c r="E141" s="12"/>
      <c r="F141" s="12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  <c r="R141" s="12"/>
      <c r="S141" s="12"/>
      <c r="T141" s="12"/>
      <c r="U141" s="12"/>
      <c r="V141" s="12"/>
    </row>
    <row r="142" spans="2:22" x14ac:dyDescent="0.3">
      <c r="B142" s="15"/>
      <c r="C142" s="12"/>
      <c r="D142" s="12"/>
      <c r="E142" s="12"/>
      <c r="F142" s="12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  <c r="R142" s="12"/>
      <c r="S142" s="12"/>
      <c r="T142" s="12"/>
      <c r="U142" s="12"/>
      <c r="V142" s="12"/>
    </row>
    <row r="143" spans="2:22" x14ac:dyDescent="0.3">
      <c r="B143" s="15"/>
      <c r="C143" s="12"/>
      <c r="D143" s="12"/>
      <c r="E143" s="12"/>
      <c r="F143" s="12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  <c r="R143" s="12"/>
      <c r="S143" s="12"/>
      <c r="T143" s="12"/>
      <c r="U143" s="12"/>
      <c r="V143" s="12"/>
    </row>
    <row r="144" spans="2:22" x14ac:dyDescent="0.3">
      <c r="B144" s="15"/>
      <c r="C144" s="12"/>
      <c r="D144" s="12"/>
      <c r="E144" s="12"/>
      <c r="F144" s="12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  <c r="R144" s="12"/>
      <c r="S144" s="12"/>
      <c r="T144" s="12"/>
      <c r="U144" s="12"/>
      <c r="V144" s="12"/>
    </row>
    <row r="145" spans="2:22" x14ac:dyDescent="0.3">
      <c r="B145" s="15"/>
      <c r="C145" s="12"/>
      <c r="D145" s="12"/>
      <c r="E145" s="12"/>
      <c r="F145" s="12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12"/>
      <c r="V145" s="12"/>
    </row>
    <row r="146" spans="2:22" x14ac:dyDescent="0.3">
      <c r="B146" s="15"/>
      <c r="C146" s="12"/>
      <c r="D146" s="12"/>
      <c r="E146" s="12"/>
      <c r="F146" s="12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  <c r="R146" s="12"/>
      <c r="S146" s="12"/>
      <c r="T146" s="12"/>
      <c r="U146" s="12"/>
      <c r="V146" s="12"/>
    </row>
    <row r="147" spans="2:22" x14ac:dyDescent="0.3">
      <c r="B147" s="15"/>
      <c r="C147" s="12"/>
      <c r="D147" s="12"/>
      <c r="E147" s="12"/>
      <c r="F147" s="12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  <c r="R147" s="12"/>
      <c r="S147" s="12"/>
      <c r="T147" s="12"/>
      <c r="U147" s="12"/>
      <c r="V147" s="12"/>
    </row>
    <row r="148" spans="2:22" x14ac:dyDescent="0.3">
      <c r="B148" s="15"/>
      <c r="C148" s="12"/>
      <c r="D148" s="12"/>
      <c r="E148" s="12"/>
      <c r="F148" s="12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  <c r="R148" s="12"/>
      <c r="S148" s="12"/>
      <c r="T148" s="12"/>
      <c r="U148" s="12"/>
      <c r="V148" s="12"/>
    </row>
    <row r="149" spans="2:22" x14ac:dyDescent="0.3">
      <c r="B149" s="15"/>
      <c r="C149" s="12"/>
      <c r="D149" s="12"/>
      <c r="E149" s="12"/>
      <c r="F149" s="12"/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  <c r="R149" s="12"/>
      <c r="S149" s="12"/>
      <c r="T149" s="12"/>
      <c r="U149" s="12"/>
      <c r="V149" s="12"/>
    </row>
    <row r="150" spans="2:22" x14ac:dyDescent="0.3">
      <c r="B150" s="15"/>
      <c r="C150" s="12"/>
      <c r="D150" s="12"/>
      <c r="E150" s="12"/>
      <c r="F150" s="12"/>
      <c r="G150" s="12"/>
      <c r="H150" s="12"/>
      <c r="I150" s="12"/>
      <c r="J150" s="12"/>
      <c r="K150" s="12"/>
      <c r="L150" s="12"/>
      <c r="M150" s="12"/>
      <c r="N150" s="12"/>
      <c r="O150" s="12"/>
      <c r="P150" s="12"/>
      <c r="Q150" s="12"/>
      <c r="R150" s="12"/>
      <c r="S150" s="12"/>
      <c r="T150" s="12"/>
      <c r="U150" s="12"/>
      <c r="V150" s="12"/>
    </row>
    <row r="151" spans="2:22" x14ac:dyDescent="0.3">
      <c r="B151" s="15"/>
      <c r="C151" s="12"/>
      <c r="D151" s="12"/>
      <c r="E151" s="12"/>
      <c r="F151" s="12"/>
      <c r="G151" s="12"/>
      <c r="H151" s="12"/>
      <c r="I151" s="12"/>
      <c r="J151" s="12"/>
      <c r="K151" s="12"/>
      <c r="L151" s="12"/>
      <c r="M151" s="12"/>
      <c r="N151" s="12"/>
      <c r="O151" s="12"/>
      <c r="P151" s="12"/>
      <c r="Q151" s="12"/>
      <c r="R151" s="12"/>
      <c r="S151" s="12"/>
      <c r="T151" s="12"/>
      <c r="U151" s="12"/>
      <c r="V151" s="12"/>
    </row>
    <row r="152" spans="2:22" x14ac:dyDescent="0.3">
      <c r="B152" s="15"/>
      <c r="C152" s="12"/>
      <c r="D152" s="12"/>
      <c r="E152" s="12"/>
      <c r="F152" s="12"/>
      <c r="G152" s="12"/>
      <c r="H152" s="12"/>
      <c r="I152" s="12"/>
      <c r="J152" s="12"/>
      <c r="K152" s="12"/>
      <c r="L152" s="12"/>
      <c r="M152" s="12"/>
      <c r="N152" s="12"/>
      <c r="O152" s="12"/>
      <c r="P152" s="12"/>
      <c r="Q152" s="12"/>
      <c r="R152" s="12"/>
      <c r="S152" s="12"/>
      <c r="T152" s="12"/>
      <c r="U152" s="12"/>
      <c r="V152" s="12"/>
    </row>
    <row r="153" spans="2:22" x14ac:dyDescent="0.3">
      <c r="B153" s="15"/>
      <c r="C153" s="12"/>
      <c r="D153" s="12"/>
      <c r="E153" s="12"/>
      <c r="F153" s="12"/>
      <c r="G153" s="12"/>
      <c r="H153" s="12"/>
      <c r="I153" s="12"/>
      <c r="J153" s="12"/>
      <c r="K153" s="12"/>
      <c r="L153" s="12"/>
      <c r="M153" s="12"/>
      <c r="N153" s="12"/>
      <c r="O153" s="12"/>
      <c r="P153" s="12"/>
      <c r="Q153" s="12"/>
      <c r="R153" s="12"/>
      <c r="S153" s="12"/>
      <c r="T153" s="12"/>
      <c r="U153" s="12"/>
      <c r="V153" s="12"/>
    </row>
    <row r="154" spans="2:22" x14ac:dyDescent="0.3">
      <c r="B154" s="15"/>
      <c r="C154" s="12"/>
      <c r="D154" s="12"/>
      <c r="E154" s="12"/>
      <c r="F154" s="12"/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  <c r="R154" s="12"/>
      <c r="S154" s="12"/>
      <c r="T154" s="12"/>
      <c r="U154" s="12"/>
      <c r="V154" s="12"/>
    </row>
    <row r="155" spans="2:22" x14ac:dyDescent="0.3">
      <c r="B155" s="15"/>
      <c r="C155" s="12"/>
      <c r="D155" s="12"/>
      <c r="E155" s="12"/>
      <c r="F155" s="12"/>
      <c r="G155" s="12"/>
      <c r="H155" s="12"/>
      <c r="I155" s="12"/>
      <c r="J155" s="12"/>
      <c r="K155" s="12"/>
      <c r="L155" s="12"/>
      <c r="M155" s="12"/>
      <c r="N155" s="12"/>
      <c r="O155" s="12"/>
      <c r="P155" s="12"/>
      <c r="Q155" s="12"/>
      <c r="R155" s="12"/>
      <c r="S155" s="12"/>
      <c r="T155" s="12"/>
      <c r="U155" s="12"/>
      <c r="V155" s="12"/>
    </row>
    <row r="156" spans="2:22" x14ac:dyDescent="0.3">
      <c r="B156" s="15"/>
      <c r="C156" s="12"/>
      <c r="D156" s="12"/>
      <c r="E156" s="12"/>
      <c r="F156" s="12"/>
      <c r="G156" s="12"/>
      <c r="H156" s="12"/>
      <c r="I156" s="12"/>
      <c r="J156" s="12"/>
      <c r="K156" s="12"/>
      <c r="L156" s="12"/>
      <c r="M156" s="12"/>
      <c r="N156" s="12"/>
      <c r="O156" s="12"/>
      <c r="P156" s="12"/>
      <c r="Q156" s="12"/>
      <c r="R156" s="12"/>
      <c r="S156" s="12"/>
      <c r="T156" s="12"/>
      <c r="U156" s="12"/>
      <c r="V156" s="12"/>
    </row>
    <row r="157" spans="2:22" x14ac:dyDescent="0.3">
      <c r="B157" s="15"/>
      <c r="C157" s="12"/>
      <c r="D157" s="12"/>
      <c r="E157" s="12"/>
      <c r="F157" s="12"/>
      <c r="G157" s="12"/>
      <c r="H157" s="12"/>
      <c r="I157" s="12"/>
      <c r="J157" s="12"/>
      <c r="K157" s="12"/>
      <c r="L157" s="12"/>
      <c r="M157" s="12"/>
      <c r="N157" s="12"/>
      <c r="O157" s="12"/>
      <c r="P157" s="12"/>
      <c r="Q157" s="12"/>
      <c r="R157" s="12"/>
      <c r="S157" s="12"/>
      <c r="T157" s="12"/>
      <c r="U157" s="12"/>
      <c r="V157" s="12"/>
    </row>
    <row r="158" spans="2:22" x14ac:dyDescent="0.3">
      <c r="B158" s="15"/>
      <c r="C158" s="12"/>
      <c r="D158" s="12"/>
      <c r="E158" s="12"/>
      <c r="F158" s="12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  <c r="R158" s="12"/>
      <c r="S158" s="12"/>
      <c r="T158" s="12"/>
      <c r="U158" s="12"/>
      <c r="V158" s="12"/>
    </row>
    <row r="159" spans="2:22" x14ac:dyDescent="0.3">
      <c r="B159" s="15"/>
      <c r="C159" s="12"/>
      <c r="D159" s="12"/>
      <c r="E159" s="12"/>
      <c r="F159" s="12"/>
      <c r="G159" s="12"/>
      <c r="H159" s="12"/>
      <c r="I159" s="12"/>
      <c r="J159" s="12"/>
      <c r="K159" s="12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2"/>
    </row>
    <row r="160" spans="2:22" x14ac:dyDescent="0.3">
      <c r="B160" s="15"/>
      <c r="C160" s="12"/>
      <c r="D160" s="12"/>
      <c r="E160" s="12"/>
      <c r="F160" s="12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  <c r="R160" s="12"/>
      <c r="S160" s="12"/>
      <c r="T160" s="12"/>
      <c r="U160" s="12"/>
      <c r="V160" s="12"/>
    </row>
    <row r="161" spans="2:22" x14ac:dyDescent="0.3">
      <c r="B161" s="15"/>
      <c r="C161" s="12"/>
      <c r="D161" s="12"/>
      <c r="E161" s="12"/>
      <c r="F161" s="12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  <c r="R161" s="12"/>
      <c r="S161" s="12"/>
      <c r="T161" s="12"/>
      <c r="U161" s="12"/>
      <c r="V161" s="12"/>
    </row>
    <row r="162" spans="2:22" x14ac:dyDescent="0.3">
      <c r="B162" s="15"/>
      <c r="C162" s="12"/>
      <c r="D162" s="12"/>
      <c r="E162" s="12"/>
      <c r="F162" s="12"/>
      <c r="G162" s="12"/>
      <c r="H162" s="12"/>
      <c r="I162" s="12"/>
      <c r="J162" s="12"/>
      <c r="K162" s="12"/>
      <c r="L162" s="12"/>
      <c r="M162" s="12"/>
      <c r="N162" s="12"/>
      <c r="O162" s="12"/>
      <c r="P162" s="12"/>
      <c r="Q162" s="12"/>
      <c r="R162" s="12"/>
      <c r="S162" s="12"/>
      <c r="T162" s="12"/>
      <c r="U162" s="12"/>
      <c r="V162" s="12"/>
    </row>
    <row r="163" spans="2:22" x14ac:dyDescent="0.3">
      <c r="B163" s="15"/>
      <c r="C163" s="12"/>
      <c r="D163" s="12"/>
      <c r="E163" s="12"/>
      <c r="F163" s="12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12"/>
      <c r="V163" s="12"/>
    </row>
    <row r="164" spans="2:22" x14ac:dyDescent="0.3">
      <c r="B164" s="15"/>
      <c r="C164" s="12"/>
      <c r="D164" s="12"/>
      <c r="E164" s="12"/>
      <c r="F164" s="12"/>
      <c r="G164" s="12"/>
      <c r="H164" s="12"/>
      <c r="I164" s="12"/>
      <c r="J164" s="12"/>
      <c r="K164" s="12"/>
      <c r="L164" s="12"/>
      <c r="M164" s="12"/>
      <c r="N164" s="12"/>
      <c r="O164" s="12"/>
      <c r="P164" s="12"/>
      <c r="Q164" s="12"/>
      <c r="R164" s="12"/>
      <c r="S164" s="12"/>
      <c r="T164" s="12"/>
      <c r="U164" s="12"/>
      <c r="V164" s="12"/>
    </row>
    <row r="165" spans="2:22" x14ac:dyDescent="0.3">
      <c r="B165" s="15"/>
      <c r="C165" s="12"/>
      <c r="D165" s="12"/>
      <c r="E165" s="12"/>
      <c r="F165" s="12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2"/>
    </row>
    <row r="166" spans="2:22" x14ac:dyDescent="0.3">
      <c r="B166" s="15"/>
      <c r="C166" s="12"/>
      <c r="D166" s="12"/>
      <c r="E166" s="12"/>
      <c r="F166" s="12"/>
      <c r="G166" s="12"/>
      <c r="H166" s="12"/>
      <c r="I166" s="12"/>
      <c r="J166" s="12"/>
      <c r="K166" s="12"/>
      <c r="L166" s="12"/>
      <c r="M166" s="12"/>
      <c r="N166" s="12"/>
      <c r="O166" s="12"/>
      <c r="P166" s="12"/>
      <c r="Q166" s="12"/>
      <c r="R166" s="12"/>
      <c r="S166" s="12"/>
      <c r="T166" s="12"/>
      <c r="U166" s="12"/>
      <c r="V166" s="12"/>
    </row>
    <row r="167" spans="2:22" x14ac:dyDescent="0.3">
      <c r="B167" s="15"/>
      <c r="C167" s="12"/>
      <c r="D167" s="12"/>
      <c r="E167" s="12"/>
      <c r="F167" s="12"/>
      <c r="G167" s="12"/>
      <c r="H167" s="12"/>
      <c r="I167" s="12"/>
      <c r="J167" s="12"/>
      <c r="K167" s="12"/>
      <c r="L167" s="12"/>
      <c r="M167" s="12"/>
      <c r="N167" s="12"/>
      <c r="O167" s="12"/>
      <c r="P167" s="12"/>
      <c r="Q167" s="12"/>
      <c r="R167" s="12"/>
      <c r="S167" s="12"/>
      <c r="T167" s="12"/>
      <c r="U167" s="12"/>
      <c r="V167" s="12"/>
    </row>
    <row r="168" spans="2:22" x14ac:dyDescent="0.3">
      <c r="B168" s="15"/>
      <c r="C168" s="12"/>
      <c r="D168" s="12"/>
      <c r="E168" s="12"/>
      <c r="F168" s="12"/>
      <c r="G168" s="12"/>
      <c r="H168" s="12"/>
      <c r="I168" s="12"/>
      <c r="J168" s="12"/>
      <c r="K168" s="12"/>
      <c r="L168" s="12"/>
      <c r="M168" s="12"/>
      <c r="N168" s="12"/>
      <c r="O168" s="12"/>
      <c r="P168" s="12"/>
      <c r="Q168" s="12"/>
      <c r="R168" s="12"/>
      <c r="S168" s="12"/>
      <c r="T168" s="12"/>
      <c r="U168" s="12"/>
      <c r="V168" s="12"/>
    </row>
    <row r="169" spans="2:22" x14ac:dyDescent="0.3">
      <c r="B169" s="15"/>
      <c r="C169" s="12"/>
      <c r="D169" s="12"/>
      <c r="E169" s="12"/>
      <c r="F169" s="12"/>
      <c r="G169" s="12"/>
      <c r="H169" s="12"/>
      <c r="I169" s="12"/>
      <c r="J169" s="12"/>
      <c r="K169" s="12"/>
      <c r="L169" s="12"/>
      <c r="M169" s="12"/>
      <c r="N169" s="12"/>
      <c r="O169" s="12"/>
      <c r="P169" s="12"/>
      <c r="Q169" s="12"/>
      <c r="R169" s="12"/>
      <c r="S169" s="12"/>
      <c r="T169" s="12"/>
      <c r="U169" s="12"/>
      <c r="V169" s="12"/>
    </row>
    <row r="170" spans="2:22" x14ac:dyDescent="0.3">
      <c r="B170" s="15"/>
      <c r="C170" s="12"/>
      <c r="D170" s="12"/>
      <c r="E170" s="12"/>
      <c r="F170" s="12"/>
      <c r="G170" s="12"/>
      <c r="H170" s="12"/>
      <c r="I170" s="12"/>
      <c r="J170" s="12"/>
      <c r="K170" s="12"/>
      <c r="L170" s="12"/>
      <c r="M170" s="12"/>
      <c r="N170" s="12"/>
      <c r="O170" s="12"/>
      <c r="P170" s="12"/>
      <c r="Q170" s="12"/>
      <c r="R170" s="12"/>
      <c r="S170" s="12"/>
      <c r="T170" s="12"/>
      <c r="U170" s="12"/>
      <c r="V170" s="12"/>
    </row>
    <row r="171" spans="2:22" x14ac:dyDescent="0.3">
      <c r="B171" s="15"/>
      <c r="C171" s="12"/>
      <c r="D171" s="12"/>
      <c r="E171" s="12"/>
      <c r="F171" s="12"/>
      <c r="G171" s="12"/>
      <c r="H171" s="12"/>
      <c r="I171" s="12"/>
      <c r="J171" s="12"/>
      <c r="K171" s="12"/>
      <c r="L171" s="12"/>
      <c r="M171" s="12"/>
      <c r="N171" s="12"/>
      <c r="O171" s="12"/>
      <c r="P171" s="12"/>
      <c r="Q171" s="12"/>
      <c r="R171" s="12"/>
      <c r="S171" s="12"/>
      <c r="T171" s="12"/>
      <c r="U171" s="12"/>
      <c r="V171" s="12"/>
    </row>
    <row r="172" spans="2:22" x14ac:dyDescent="0.3">
      <c r="B172" s="15"/>
      <c r="C172" s="12"/>
      <c r="D172" s="12"/>
      <c r="E172" s="12"/>
      <c r="F172" s="12"/>
      <c r="G172" s="12"/>
      <c r="H172" s="12"/>
      <c r="I172" s="12"/>
      <c r="J172" s="12"/>
      <c r="K172" s="12"/>
      <c r="L172" s="12"/>
      <c r="M172" s="12"/>
      <c r="N172" s="12"/>
      <c r="O172" s="12"/>
      <c r="P172" s="12"/>
      <c r="Q172" s="12"/>
      <c r="R172" s="12"/>
      <c r="S172" s="12"/>
      <c r="T172" s="12"/>
      <c r="U172" s="12"/>
      <c r="V172" s="12"/>
    </row>
    <row r="173" spans="2:22" x14ac:dyDescent="0.3">
      <c r="B173" s="15"/>
      <c r="C173" s="12"/>
      <c r="D173" s="12"/>
      <c r="E173" s="12"/>
      <c r="F173" s="12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  <c r="R173" s="12"/>
      <c r="S173" s="12"/>
      <c r="T173" s="12"/>
      <c r="U173" s="12"/>
      <c r="V173" s="12"/>
    </row>
    <row r="174" spans="2:22" x14ac:dyDescent="0.3">
      <c r="B174" s="15"/>
      <c r="C174" s="12"/>
      <c r="D174" s="12"/>
      <c r="E174" s="12"/>
      <c r="F174" s="12"/>
      <c r="G174" s="12"/>
      <c r="H174" s="12"/>
      <c r="I174" s="12"/>
      <c r="J174" s="12"/>
      <c r="K174" s="12"/>
      <c r="L174" s="12"/>
      <c r="M174" s="12"/>
      <c r="N174" s="12"/>
      <c r="O174" s="12"/>
      <c r="P174" s="12"/>
      <c r="Q174" s="12"/>
      <c r="R174" s="12"/>
      <c r="S174" s="12"/>
      <c r="T174" s="12"/>
      <c r="U174" s="12"/>
      <c r="V174" s="12"/>
    </row>
    <row r="175" spans="2:22" x14ac:dyDescent="0.3">
      <c r="B175" s="15"/>
      <c r="C175" s="12"/>
      <c r="D175" s="12"/>
      <c r="E175" s="12"/>
      <c r="F175" s="12"/>
      <c r="G175" s="12"/>
      <c r="H175" s="12"/>
      <c r="I175" s="12"/>
      <c r="J175" s="12"/>
      <c r="K175" s="12"/>
      <c r="L175" s="12"/>
      <c r="M175" s="12"/>
      <c r="N175" s="12"/>
      <c r="O175" s="12"/>
      <c r="P175" s="12"/>
      <c r="Q175" s="12"/>
      <c r="R175" s="12"/>
      <c r="S175" s="12"/>
      <c r="T175" s="12"/>
      <c r="U175" s="12"/>
      <c r="V175" s="12"/>
    </row>
    <row r="176" spans="2:22" x14ac:dyDescent="0.3">
      <c r="B176" s="15"/>
      <c r="C176" s="12"/>
      <c r="D176" s="12"/>
      <c r="E176" s="12"/>
      <c r="F176" s="12"/>
      <c r="G176" s="12"/>
      <c r="H176" s="12"/>
      <c r="I176" s="12"/>
      <c r="J176" s="12"/>
      <c r="K176" s="12"/>
      <c r="L176" s="12"/>
      <c r="M176" s="12"/>
      <c r="N176" s="12"/>
      <c r="O176" s="12"/>
      <c r="P176" s="12"/>
      <c r="Q176" s="12"/>
      <c r="R176" s="12"/>
      <c r="S176" s="12"/>
      <c r="T176" s="12"/>
      <c r="U176" s="12"/>
      <c r="V176" s="12"/>
    </row>
    <row r="177" spans="2:22" x14ac:dyDescent="0.3">
      <c r="B177" s="15"/>
      <c r="C177" s="12"/>
      <c r="D177" s="12"/>
      <c r="E177" s="12"/>
      <c r="F177" s="12"/>
      <c r="G177" s="12"/>
      <c r="H177" s="12"/>
      <c r="I177" s="12"/>
      <c r="J177" s="12"/>
      <c r="K177" s="12"/>
      <c r="L177" s="12"/>
      <c r="M177" s="12"/>
      <c r="N177" s="12"/>
      <c r="O177" s="12"/>
      <c r="P177" s="12"/>
      <c r="Q177" s="12"/>
      <c r="R177" s="12"/>
      <c r="S177" s="12"/>
      <c r="T177" s="12"/>
      <c r="U177" s="12"/>
      <c r="V177" s="12"/>
    </row>
    <row r="178" spans="2:22" x14ac:dyDescent="0.3">
      <c r="B178" s="15"/>
      <c r="C178" s="12"/>
      <c r="D178" s="12"/>
      <c r="E178" s="12"/>
      <c r="F178" s="12"/>
      <c r="G178" s="12"/>
      <c r="H178" s="12"/>
      <c r="I178" s="12"/>
      <c r="J178" s="12"/>
      <c r="K178" s="12"/>
      <c r="L178" s="12"/>
      <c r="M178" s="12"/>
      <c r="N178" s="12"/>
      <c r="O178" s="12"/>
      <c r="P178" s="12"/>
      <c r="Q178" s="12"/>
      <c r="R178" s="12"/>
      <c r="S178" s="12"/>
      <c r="T178" s="12"/>
      <c r="U178" s="12"/>
      <c r="V178" s="12"/>
    </row>
    <row r="179" spans="2:22" x14ac:dyDescent="0.3">
      <c r="B179" s="15"/>
      <c r="C179" s="12"/>
      <c r="D179" s="12"/>
      <c r="E179" s="12"/>
      <c r="F179" s="12"/>
      <c r="G179" s="12"/>
      <c r="H179" s="12"/>
      <c r="I179" s="12"/>
      <c r="J179" s="12"/>
      <c r="K179" s="12"/>
      <c r="L179" s="12"/>
      <c r="M179" s="12"/>
      <c r="N179" s="12"/>
      <c r="O179" s="12"/>
      <c r="P179" s="12"/>
      <c r="Q179" s="12"/>
      <c r="R179" s="12"/>
      <c r="S179" s="12"/>
      <c r="T179" s="12"/>
      <c r="U179" s="12"/>
      <c r="V179" s="12"/>
    </row>
    <row r="180" spans="2:22" x14ac:dyDescent="0.3">
      <c r="B180" s="15"/>
      <c r="C180" s="12"/>
      <c r="D180" s="12"/>
      <c r="E180" s="12"/>
      <c r="F180" s="12"/>
      <c r="G180" s="12"/>
      <c r="H180" s="12"/>
      <c r="I180" s="12"/>
      <c r="J180" s="12"/>
      <c r="K180" s="12"/>
      <c r="L180" s="12"/>
      <c r="M180" s="12"/>
      <c r="N180" s="12"/>
      <c r="O180" s="12"/>
      <c r="P180" s="12"/>
      <c r="Q180" s="12"/>
      <c r="R180" s="12"/>
      <c r="S180" s="12"/>
      <c r="T180" s="12"/>
      <c r="U180" s="12"/>
      <c r="V180" s="12"/>
    </row>
    <row r="181" spans="2:22" x14ac:dyDescent="0.3">
      <c r="B181" s="15"/>
      <c r="C181" s="12"/>
      <c r="D181" s="12"/>
      <c r="E181" s="12"/>
      <c r="F181" s="12"/>
      <c r="G181" s="12"/>
      <c r="H181" s="12"/>
      <c r="I181" s="12"/>
      <c r="J181" s="12"/>
      <c r="K181" s="12"/>
      <c r="L181" s="12"/>
      <c r="M181" s="12"/>
      <c r="N181" s="12"/>
      <c r="O181" s="12"/>
      <c r="P181" s="12"/>
      <c r="Q181" s="12"/>
      <c r="R181" s="12"/>
      <c r="S181" s="12"/>
      <c r="T181" s="12"/>
      <c r="U181" s="12"/>
      <c r="V181" s="12"/>
    </row>
    <row r="182" spans="2:22" x14ac:dyDescent="0.3">
      <c r="B182" s="15"/>
      <c r="C182" s="12"/>
      <c r="D182" s="12"/>
      <c r="E182" s="12"/>
      <c r="F182" s="12"/>
      <c r="G182" s="12"/>
      <c r="H182" s="12"/>
      <c r="I182" s="12"/>
      <c r="J182" s="12"/>
      <c r="K182" s="12"/>
      <c r="L182" s="12"/>
      <c r="M182" s="12"/>
      <c r="N182" s="12"/>
      <c r="O182" s="12"/>
      <c r="P182" s="12"/>
      <c r="Q182" s="12"/>
      <c r="R182" s="12"/>
      <c r="S182" s="12"/>
      <c r="T182" s="12"/>
      <c r="U182" s="12"/>
      <c r="V182" s="12"/>
    </row>
    <row r="183" spans="2:22" x14ac:dyDescent="0.3">
      <c r="B183" s="15"/>
      <c r="C183" s="12"/>
      <c r="D183" s="12"/>
      <c r="E183" s="12"/>
      <c r="F183" s="12"/>
      <c r="G183" s="12"/>
      <c r="H183" s="12"/>
      <c r="I183" s="12"/>
      <c r="J183" s="12"/>
      <c r="K183" s="12"/>
      <c r="L183" s="12"/>
      <c r="M183" s="12"/>
      <c r="N183" s="12"/>
      <c r="O183" s="12"/>
      <c r="P183" s="12"/>
      <c r="Q183" s="12"/>
      <c r="R183" s="12"/>
      <c r="S183" s="12"/>
      <c r="T183" s="12"/>
      <c r="U183" s="12"/>
      <c r="V183" s="12"/>
    </row>
    <row r="184" spans="2:22" x14ac:dyDescent="0.3">
      <c r="B184" s="15"/>
      <c r="C184" s="12"/>
      <c r="D184" s="12"/>
      <c r="E184" s="12"/>
      <c r="F184" s="12"/>
      <c r="G184" s="12"/>
      <c r="H184" s="12"/>
      <c r="I184" s="12"/>
      <c r="J184" s="12"/>
      <c r="K184" s="12"/>
      <c r="L184" s="12"/>
      <c r="M184" s="12"/>
      <c r="N184" s="12"/>
      <c r="O184" s="12"/>
      <c r="P184" s="12"/>
      <c r="Q184" s="12"/>
      <c r="R184" s="12"/>
      <c r="S184" s="12"/>
      <c r="T184" s="12"/>
      <c r="U184" s="12"/>
      <c r="V184" s="12"/>
    </row>
    <row r="185" spans="2:22" x14ac:dyDescent="0.3">
      <c r="B185" s="15"/>
      <c r="C185" s="12"/>
      <c r="D185" s="12"/>
      <c r="E185" s="12"/>
      <c r="F185" s="12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2"/>
    </row>
    <row r="186" spans="2:22" x14ac:dyDescent="0.3">
      <c r="B186" s="15"/>
      <c r="C186" s="12"/>
      <c r="D186" s="12"/>
      <c r="E186" s="12"/>
      <c r="F186" s="12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2"/>
    </row>
    <row r="187" spans="2:22" x14ac:dyDescent="0.3">
      <c r="B187" s="15"/>
      <c r="C187" s="12"/>
      <c r="D187" s="12"/>
      <c r="E187" s="12"/>
      <c r="F187" s="12"/>
      <c r="G187" s="12"/>
      <c r="H187" s="12"/>
      <c r="I187" s="12"/>
      <c r="J187" s="12"/>
      <c r="K187" s="12"/>
      <c r="L187" s="12"/>
      <c r="M187" s="12"/>
      <c r="N187" s="12"/>
      <c r="O187" s="12"/>
      <c r="P187" s="12"/>
      <c r="Q187" s="12"/>
      <c r="R187" s="12"/>
      <c r="S187" s="12"/>
      <c r="T187" s="12"/>
      <c r="U187" s="12"/>
      <c r="V187" s="12"/>
    </row>
    <row r="188" spans="2:22" x14ac:dyDescent="0.3">
      <c r="B188" s="15"/>
      <c r="C188" s="12"/>
      <c r="D188" s="12"/>
      <c r="E188" s="12"/>
      <c r="F188" s="12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  <c r="R188" s="12"/>
      <c r="S188" s="12"/>
      <c r="T188" s="12"/>
      <c r="U188" s="12"/>
      <c r="V188" s="12"/>
    </row>
    <row r="189" spans="2:22" x14ac:dyDescent="0.3">
      <c r="B189" s="15"/>
      <c r="C189" s="12"/>
      <c r="D189" s="12"/>
      <c r="E189" s="12"/>
      <c r="F189" s="12"/>
      <c r="G189" s="12"/>
      <c r="H189" s="12"/>
      <c r="I189" s="12"/>
      <c r="J189" s="12"/>
      <c r="K189" s="12"/>
      <c r="L189" s="12"/>
      <c r="M189" s="12"/>
      <c r="N189" s="12"/>
      <c r="O189" s="12"/>
      <c r="P189" s="12"/>
      <c r="Q189" s="12"/>
      <c r="R189" s="12"/>
      <c r="S189" s="12"/>
      <c r="T189" s="12"/>
      <c r="U189" s="12"/>
      <c r="V189" s="12"/>
    </row>
    <row r="190" spans="2:22" x14ac:dyDescent="0.3">
      <c r="B190" s="15"/>
      <c r="C190" s="12"/>
      <c r="D190" s="12"/>
      <c r="E190" s="12"/>
      <c r="F190" s="12"/>
      <c r="G190" s="12"/>
      <c r="H190" s="12"/>
      <c r="I190" s="12"/>
      <c r="J190" s="12"/>
      <c r="K190" s="12"/>
      <c r="L190" s="12"/>
      <c r="M190" s="12"/>
      <c r="N190" s="12"/>
      <c r="O190" s="12"/>
      <c r="P190" s="12"/>
      <c r="Q190" s="12"/>
      <c r="R190" s="12"/>
      <c r="S190" s="12"/>
      <c r="T190" s="12"/>
      <c r="U190" s="12"/>
      <c r="V190" s="12"/>
    </row>
    <row r="191" spans="2:22" x14ac:dyDescent="0.3">
      <c r="B191" s="15"/>
      <c r="C191" s="12"/>
      <c r="D191" s="12"/>
      <c r="E191" s="12"/>
      <c r="F191" s="12"/>
      <c r="G191" s="12"/>
      <c r="H191" s="12"/>
      <c r="I191" s="12"/>
      <c r="J191" s="12"/>
      <c r="K191" s="12"/>
      <c r="L191" s="12"/>
      <c r="M191" s="12"/>
      <c r="N191" s="12"/>
      <c r="O191" s="12"/>
      <c r="P191" s="12"/>
      <c r="Q191" s="12"/>
      <c r="R191" s="12"/>
      <c r="S191" s="12"/>
      <c r="T191" s="12"/>
      <c r="U191" s="12"/>
      <c r="V191" s="12"/>
    </row>
    <row r="192" spans="2:22" x14ac:dyDescent="0.3">
      <c r="B192" s="15"/>
      <c r="C192" s="12"/>
      <c r="D192" s="12"/>
      <c r="E192" s="12"/>
      <c r="F192" s="12"/>
      <c r="G192" s="12"/>
      <c r="H192" s="12"/>
      <c r="I192" s="12"/>
      <c r="J192" s="12"/>
      <c r="K192" s="12"/>
      <c r="L192" s="12"/>
      <c r="M192" s="12"/>
      <c r="N192" s="12"/>
      <c r="O192" s="12"/>
      <c r="P192" s="12"/>
      <c r="Q192" s="12"/>
      <c r="R192" s="12"/>
      <c r="S192" s="12"/>
      <c r="T192" s="12"/>
      <c r="U192" s="12"/>
      <c r="V192" s="12"/>
    </row>
    <row r="193" spans="2:22" x14ac:dyDescent="0.3">
      <c r="B193" s="15"/>
      <c r="C193" s="12"/>
      <c r="D193" s="12"/>
      <c r="E193" s="12"/>
      <c r="F193" s="12"/>
      <c r="G193" s="12"/>
      <c r="H193" s="12"/>
      <c r="I193" s="12"/>
      <c r="J193" s="12"/>
      <c r="K193" s="12"/>
      <c r="L193" s="12"/>
      <c r="M193" s="12"/>
      <c r="N193" s="12"/>
      <c r="O193" s="12"/>
      <c r="P193" s="12"/>
      <c r="Q193" s="12"/>
      <c r="R193" s="12"/>
      <c r="S193" s="12"/>
      <c r="T193" s="12"/>
      <c r="U193" s="12"/>
      <c r="V193" s="12"/>
    </row>
    <row r="194" spans="2:22" x14ac:dyDescent="0.3">
      <c r="B194" s="15"/>
      <c r="C194" s="12"/>
      <c r="D194" s="12"/>
      <c r="E194" s="12"/>
      <c r="F194" s="12"/>
      <c r="G194" s="12"/>
      <c r="H194" s="12"/>
      <c r="I194" s="12"/>
      <c r="J194" s="12"/>
      <c r="K194" s="12"/>
      <c r="L194" s="12"/>
      <c r="M194" s="12"/>
      <c r="N194" s="12"/>
      <c r="O194" s="12"/>
      <c r="P194" s="12"/>
      <c r="Q194" s="12"/>
      <c r="R194" s="12"/>
      <c r="S194" s="12"/>
      <c r="T194" s="12"/>
      <c r="U194" s="12"/>
      <c r="V194" s="12"/>
    </row>
    <row r="195" spans="2:22" x14ac:dyDescent="0.3">
      <c r="B195" s="15"/>
      <c r="C195" s="12"/>
      <c r="D195" s="12"/>
      <c r="E195" s="12"/>
      <c r="F195" s="12"/>
      <c r="G195" s="12"/>
      <c r="H195" s="12"/>
      <c r="I195" s="12"/>
      <c r="J195" s="12"/>
      <c r="K195" s="12"/>
      <c r="L195" s="12"/>
      <c r="M195" s="12"/>
      <c r="N195" s="12"/>
      <c r="O195" s="12"/>
      <c r="P195" s="12"/>
      <c r="Q195" s="12"/>
      <c r="R195" s="12"/>
      <c r="S195" s="12"/>
      <c r="T195" s="12"/>
      <c r="U195" s="12"/>
      <c r="V195" s="12"/>
    </row>
    <row r="196" spans="2:22" x14ac:dyDescent="0.3">
      <c r="B196" s="15"/>
      <c r="C196" s="12"/>
      <c r="D196" s="12"/>
      <c r="E196" s="12"/>
      <c r="F196" s="12"/>
      <c r="G196" s="12"/>
      <c r="H196" s="12"/>
      <c r="I196" s="12"/>
      <c r="J196" s="12"/>
      <c r="K196" s="12"/>
      <c r="L196" s="12"/>
      <c r="M196" s="12"/>
      <c r="N196" s="12"/>
      <c r="O196" s="12"/>
      <c r="P196" s="12"/>
      <c r="Q196" s="12"/>
      <c r="R196" s="12"/>
      <c r="S196" s="12"/>
      <c r="T196" s="12"/>
      <c r="U196" s="12"/>
      <c r="V196" s="12"/>
    </row>
    <row r="197" spans="2:22" x14ac:dyDescent="0.3">
      <c r="B197" s="15"/>
      <c r="C197" s="12"/>
      <c r="D197" s="12"/>
      <c r="E197" s="12"/>
      <c r="F197" s="12"/>
      <c r="G197" s="12"/>
      <c r="H197" s="12"/>
      <c r="I197" s="12"/>
      <c r="J197" s="12"/>
      <c r="K197" s="12"/>
      <c r="L197" s="12"/>
      <c r="M197" s="12"/>
      <c r="N197" s="12"/>
      <c r="O197" s="12"/>
      <c r="P197" s="12"/>
      <c r="Q197" s="12"/>
      <c r="R197" s="12"/>
      <c r="S197" s="12"/>
      <c r="T197" s="12"/>
      <c r="U197" s="12"/>
      <c r="V197" s="12"/>
    </row>
    <row r="198" spans="2:22" x14ac:dyDescent="0.3">
      <c r="B198" s="15"/>
      <c r="C198" s="12"/>
      <c r="D198" s="12"/>
      <c r="E198" s="12"/>
      <c r="F198" s="12"/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  <c r="R198" s="12"/>
      <c r="S198" s="12"/>
      <c r="T198" s="12"/>
      <c r="U198" s="12"/>
      <c r="V198" s="12"/>
    </row>
    <row r="199" spans="2:22" x14ac:dyDescent="0.3">
      <c r="B199" s="15"/>
      <c r="C199" s="12"/>
      <c r="D199" s="12"/>
      <c r="E199" s="12"/>
      <c r="F199" s="12"/>
      <c r="G199" s="12"/>
      <c r="H199" s="12"/>
      <c r="I199" s="12"/>
      <c r="J199" s="12"/>
      <c r="K199" s="12"/>
      <c r="L199" s="12"/>
      <c r="M199" s="12"/>
      <c r="N199" s="12"/>
      <c r="O199" s="12"/>
      <c r="P199" s="12"/>
      <c r="Q199" s="12"/>
      <c r="R199" s="12"/>
      <c r="S199" s="12"/>
      <c r="T199" s="12"/>
      <c r="U199" s="12"/>
      <c r="V199" s="12"/>
    </row>
    <row r="200" spans="2:22" x14ac:dyDescent="0.3">
      <c r="B200" s="15"/>
      <c r="C200" s="12"/>
      <c r="D200" s="12"/>
      <c r="E200" s="12"/>
      <c r="F200" s="12"/>
      <c r="G200" s="12"/>
      <c r="H200" s="12"/>
      <c r="I200" s="12"/>
      <c r="J200" s="12"/>
      <c r="K200" s="12"/>
      <c r="L200" s="12"/>
      <c r="M200" s="12"/>
      <c r="N200" s="12"/>
      <c r="O200" s="12"/>
      <c r="P200" s="12"/>
      <c r="Q200" s="12"/>
      <c r="R200" s="12"/>
      <c r="S200" s="12"/>
      <c r="T200" s="12"/>
      <c r="U200" s="12"/>
      <c r="V200" s="12"/>
    </row>
    <row r="201" spans="2:22" x14ac:dyDescent="0.3">
      <c r="B201" s="15"/>
      <c r="C201" s="12"/>
      <c r="D201" s="12"/>
      <c r="E201" s="12"/>
      <c r="F201" s="12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  <c r="R201" s="12"/>
      <c r="S201" s="12"/>
      <c r="T201" s="12"/>
      <c r="U201" s="12"/>
      <c r="V201" s="12"/>
    </row>
    <row r="202" spans="2:22" x14ac:dyDescent="0.3">
      <c r="B202" s="15"/>
      <c r="C202" s="12"/>
      <c r="D202" s="12"/>
      <c r="E202" s="12"/>
      <c r="F202" s="12"/>
      <c r="G202" s="12"/>
      <c r="H202" s="12"/>
      <c r="I202" s="12"/>
      <c r="J202" s="12"/>
      <c r="K202" s="12"/>
      <c r="L202" s="12"/>
      <c r="M202" s="12"/>
      <c r="N202" s="12"/>
      <c r="O202" s="12"/>
      <c r="P202" s="12"/>
      <c r="Q202" s="12"/>
      <c r="R202" s="12"/>
      <c r="S202" s="12"/>
      <c r="T202" s="12"/>
      <c r="U202" s="12"/>
      <c r="V202" s="12"/>
    </row>
    <row r="203" spans="2:22" x14ac:dyDescent="0.3">
      <c r="B203" s="15"/>
      <c r="C203" s="12"/>
      <c r="D203" s="12"/>
      <c r="E203" s="12"/>
      <c r="F203" s="12"/>
      <c r="G203" s="12"/>
      <c r="H203" s="12"/>
      <c r="I203" s="12"/>
      <c r="J203" s="12"/>
      <c r="K203" s="12"/>
      <c r="L203" s="12"/>
      <c r="M203" s="12"/>
      <c r="N203" s="12"/>
      <c r="O203" s="12"/>
      <c r="P203" s="12"/>
      <c r="Q203" s="12"/>
      <c r="R203" s="12"/>
      <c r="S203" s="12"/>
      <c r="T203" s="12"/>
      <c r="U203" s="12"/>
      <c r="V203" s="12"/>
    </row>
    <row r="204" spans="2:22" x14ac:dyDescent="0.3">
      <c r="B204" s="15"/>
      <c r="C204" s="12"/>
      <c r="D204" s="12"/>
      <c r="E204" s="12"/>
      <c r="F204" s="12"/>
      <c r="G204" s="12"/>
      <c r="H204" s="12"/>
      <c r="I204" s="12"/>
      <c r="J204" s="12"/>
      <c r="K204" s="12"/>
      <c r="L204" s="12"/>
      <c r="M204" s="12"/>
      <c r="N204" s="12"/>
      <c r="O204" s="12"/>
      <c r="P204" s="12"/>
      <c r="Q204" s="12"/>
      <c r="R204" s="12"/>
      <c r="S204" s="12"/>
      <c r="T204" s="12"/>
      <c r="U204" s="12"/>
      <c r="V204" s="12"/>
    </row>
    <row r="205" spans="2:22" x14ac:dyDescent="0.3">
      <c r="B205" s="15"/>
      <c r="C205" s="12"/>
      <c r="D205" s="12"/>
      <c r="E205" s="12"/>
      <c r="F205" s="12"/>
      <c r="G205" s="12"/>
      <c r="H205" s="12"/>
      <c r="I205" s="12"/>
      <c r="J205" s="12"/>
      <c r="K205" s="12"/>
      <c r="L205" s="12"/>
      <c r="M205" s="12"/>
      <c r="N205" s="12"/>
      <c r="O205" s="12"/>
      <c r="P205" s="12"/>
      <c r="Q205" s="12"/>
      <c r="R205" s="12"/>
      <c r="S205" s="12"/>
      <c r="T205" s="12"/>
      <c r="U205" s="12"/>
      <c r="V205" s="12"/>
    </row>
    <row r="206" spans="2:22" x14ac:dyDescent="0.3">
      <c r="B206" s="15"/>
      <c r="C206" s="12"/>
      <c r="D206" s="12"/>
      <c r="E206" s="12"/>
      <c r="F206" s="12"/>
      <c r="G206" s="12"/>
      <c r="H206" s="12"/>
      <c r="I206" s="12"/>
      <c r="J206" s="12"/>
      <c r="K206" s="12"/>
      <c r="L206" s="12"/>
      <c r="M206" s="12"/>
      <c r="N206" s="12"/>
      <c r="O206" s="12"/>
      <c r="P206" s="12"/>
      <c r="Q206" s="12"/>
      <c r="R206" s="12"/>
      <c r="S206" s="12"/>
      <c r="T206" s="12"/>
      <c r="U206" s="12"/>
      <c r="V206" s="12"/>
    </row>
    <row r="207" spans="2:22" x14ac:dyDescent="0.3">
      <c r="B207" s="15"/>
      <c r="C207" s="12"/>
      <c r="D207" s="12"/>
      <c r="E207" s="12"/>
      <c r="F207" s="12"/>
      <c r="G207" s="12"/>
      <c r="H207" s="12"/>
      <c r="I207" s="12"/>
      <c r="J207" s="12"/>
      <c r="K207" s="12"/>
      <c r="L207" s="12"/>
      <c r="M207" s="12"/>
      <c r="N207" s="12"/>
      <c r="O207" s="12"/>
      <c r="P207" s="12"/>
      <c r="Q207" s="12"/>
      <c r="R207" s="12"/>
      <c r="S207" s="12"/>
      <c r="T207" s="12"/>
      <c r="U207" s="12"/>
      <c r="V207" s="12"/>
    </row>
    <row r="208" spans="2:22" x14ac:dyDescent="0.3">
      <c r="B208" s="15"/>
      <c r="C208" s="12"/>
      <c r="D208" s="12"/>
      <c r="E208" s="12"/>
      <c r="F208" s="12"/>
      <c r="G208" s="12"/>
      <c r="H208" s="12"/>
      <c r="I208" s="12"/>
      <c r="J208" s="12"/>
      <c r="K208" s="12"/>
      <c r="L208" s="12"/>
      <c r="M208" s="12"/>
      <c r="N208" s="12"/>
      <c r="O208" s="12"/>
      <c r="P208" s="12"/>
      <c r="Q208" s="12"/>
      <c r="R208" s="12"/>
      <c r="S208" s="12"/>
      <c r="T208" s="12"/>
      <c r="U208" s="12"/>
      <c r="V208" s="12"/>
    </row>
    <row r="209" spans="2:22" x14ac:dyDescent="0.3">
      <c r="B209" s="15"/>
      <c r="C209" s="12"/>
      <c r="D209" s="12"/>
      <c r="E209" s="12"/>
      <c r="F209" s="12"/>
      <c r="G209" s="12"/>
      <c r="H209" s="12"/>
      <c r="I209" s="12"/>
      <c r="J209" s="12"/>
      <c r="K209" s="12"/>
      <c r="L209" s="12"/>
      <c r="M209" s="12"/>
      <c r="N209" s="12"/>
      <c r="O209" s="12"/>
      <c r="P209" s="12"/>
      <c r="Q209" s="12"/>
      <c r="R209" s="12"/>
      <c r="S209" s="12"/>
      <c r="T209" s="12"/>
      <c r="U209" s="12"/>
      <c r="V209" s="12"/>
    </row>
    <row r="210" spans="2:22" x14ac:dyDescent="0.3">
      <c r="B210" s="15"/>
      <c r="C210" s="12"/>
      <c r="D210" s="12"/>
      <c r="E210" s="12"/>
      <c r="F210" s="12"/>
      <c r="G210" s="12"/>
      <c r="H210" s="12"/>
      <c r="I210" s="12"/>
      <c r="J210" s="12"/>
      <c r="K210" s="12"/>
      <c r="L210" s="12"/>
      <c r="M210" s="12"/>
      <c r="N210" s="12"/>
      <c r="O210" s="12"/>
      <c r="P210" s="12"/>
      <c r="Q210" s="12"/>
      <c r="R210" s="12"/>
      <c r="S210" s="12"/>
      <c r="T210" s="12"/>
      <c r="U210" s="12"/>
      <c r="V210" s="12"/>
    </row>
    <row r="211" spans="2:22" x14ac:dyDescent="0.3">
      <c r="B211" s="15"/>
      <c r="C211" s="12"/>
      <c r="D211" s="12"/>
      <c r="E211" s="12"/>
      <c r="F211" s="12"/>
      <c r="G211" s="12"/>
      <c r="H211" s="12"/>
      <c r="I211" s="12"/>
      <c r="J211" s="12"/>
      <c r="K211" s="12"/>
      <c r="L211" s="12"/>
      <c r="M211" s="12"/>
      <c r="N211" s="12"/>
      <c r="O211" s="12"/>
      <c r="P211" s="12"/>
      <c r="Q211" s="12"/>
      <c r="R211" s="12"/>
      <c r="S211" s="12"/>
      <c r="T211" s="12"/>
      <c r="U211" s="12"/>
      <c r="V211" s="12"/>
    </row>
    <row r="212" spans="2:22" x14ac:dyDescent="0.3">
      <c r="B212" s="15"/>
      <c r="C212" s="12"/>
      <c r="D212" s="12"/>
      <c r="E212" s="12"/>
      <c r="F212" s="12"/>
      <c r="G212" s="12"/>
      <c r="H212" s="12"/>
      <c r="I212" s="12"/>
      <c r="J212" s="12"/>
      <c r="K212" s="12"/>
      <c r="L212" s="12"/>
      <c r="M212" s="12"/>
      <c r="N212" s="12"/>
      <c r="O212" s="12"/>
      <c r="P212" s="12"/>
      <c r="Q212" s="12"/>
      <c r="R212" s="12"/>
      <c r="S212" s="12"/>
      <c r="T212" s="12"/>
      <c r="U212" s="12"/>
      <c r="V212" s="12"/>
    </row>
    <row r="213" spans="2:22" x14ac:dyDescent="0.3">
      <c r="B213" s="15"/>
      <c r="C213" s="12"/>
      <c r="D213" s="12"/>
      <c r="E213" s="12"/>
      <c r="F213" s="12"/>
      <c r="G213" s="12"/>
      <c r="H213" s="12"/>
      <c r="I213" s="12"/>
      <c r="J213" s="12"/>
      <c r="K213" s="12"/>
      <c r="L213" s="12"/>
      <c r="M213" s="12"/>
      <c r="N213" s="12"/>
      <c r="O213" s="12"/>
      <c r="P213" s="12"/>
      <c r="Q213" s="12"/>
      <c r="R213" s="12"/>
      <c r="S213" s="12"/>
      <c r="T213" s="12"/>
      <c r="U213" s="12"/>
      <c r="V213" s="12"/>
    </row>
    <row r="214" spans="2:22" x14ac:dyDescent="0.3">
      <c r="B214" s="15"/>
      <c r="C214" s="12"/>
      <c r="D214" s="12"/>
      <c r="E214" s="12"/>
      <c r="F214" s="12"/>
      <c r="G214" s="12"/>
      <c r="H214" s="12"/>
      <c r="I214" s="12"/>
      <c r="J214" s="12"/>
      <c r="K214" s="12"/>
      <c r="L214" s="12"/>
      <c r="M214" s="12"/>
      <c r="N214" s="12"/>
      <c r="O214" s="12"/>
      <c r="P214" s="12"/>
      <c r="Q214" s="12"/>
      <c r="R214" s="12"/>
      <c r="S214" s="12"/>
      <c r="T214" s="12"/>
      <c r="U214" s="12"/>
      <c r="V214" s="12"/>
    </row>
    <row r="215" spans="2:22" x14ac:dyDescent="0.3">
      <c r="B215" s="15"/>
      <c r="C215" s="12"/>
      <c r="D215" s="12"/>
      <c r="E215" s="12"/>
      <c r="F215" s="12"/>
      <c r="G215" s="12"/>
      <c r="H215" s="12"/>
      <c r="I215" s="12"/>
      <c r="J215" s="12"/>
      <c r="K215" s="12"/>
      <c r="L215" s="12"/>
      <c r="M215" s="12"/>
      <c r="N215" s="12"/>
      <c r="O215" s="12"/>
      <c r="P215" s="12"/>
      <c r="Q215" s="12"/>
      <c r="R215" s="12"/>
      <c r="S215" s="12"/>
      <c r="T215" s="12"/>
      <c r="U215" s="12"/>
      <c r="V215" s="12"/>
    </row>
    <row r="216" spans="2:22" x14ac:dyDescent="0.3">
      <c r="B216" s="15"/>
      <c r="C216" s="12"/>
      <c r="D216" s="12"/>
      <c r="E216" s="12"/>
      <c r="F216" s="12"/>
      <c r="G216" s="12"/>
      <c r="H216" s="12"/>
      <c r="I216" s="12"/>
      <c r="J216" s="12"/>
      <c r="K216" s="12"/>
      <c r="L216" s="12"/>
      <c r="M216" s="12"/>
      <c r="N216" s="12"/>
      <c r="O216" s="12"/>
      <c r="P216" s="12"/>
      <c r="Q216" s="12"/>
      <c r="R216" s="12"/>
      <c r="S216" s="12"/>
      <c r="T216" s="12"/>
      <c r="U216" s="12"/>
      <c r="V216" s="12"/>
    </row>
    <row r="217" spans="2:22" x14ac:dyDescent="0.3">
      <c r="B217" s="15"/>
      <c r="C217" s="12"/>
      <c r="D217" s="12"/>
      <c r="E217" s="12"/>
      <c r="F217" s="12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  <c r="R217" s="12"/>
      <c r="S217" s="12"/>
      <c r="T217" s="12"/>
      <c r="U217" s="12"/>
      <c r="V217" s="12"/>
    </row>
    <row r="218" spans="2:22" x14ac:dyDescent="0.3">
      <c r="B218" s="15"/>
      <c r="C218" s="12"/>
      <c r="D218" s="12"/>
      <c r="E218" s="12"/>
      <c r="F218" s="12"/>
      <c r="G218" s="12"/>
      <c r="H218" s="12"/>
      <c r="I218" s="12"/>
      <c r="J218" s="12"/>
      <c r="K218" s="12"/>
      <c r="L218" s="12"/>
      <c r="M218" s="12"/>
      <c r="N218" s="12"/>
      <c r="O218" s="12"/>
      <c r="P218" s="12"/>
      <c r="Q218" s="12"/>
      <c r="R218" s="12"/>
      <c r="S218" s="12"/>
      <c r="T218" s="12"/>
      <c r="U218" s="12"/>
      <c r="V218" s="12"/>
    </row>
    <row r="219" spans="2:22" x14ac:dyDescent="0.3">
      <c r="B219" s="15"/>
      <c r="C219" s="12"/>
      <c r="D219" s="12"/>
      <c r="E219" s="12"/>
      <c r="F219" s="12"/>
      <c r="G219" s="12"/>
      <c r="H219" s="12"/>
      <c r="I219" s="12"/>
      <c r="J219" s="12"/>
      <c r="K219" s="12"/>
      <c r="L219" s="12"/>
      <c r="M219" s="12"/>
      <c r="N219" s="12"/>
      <c r="O219" s="12"/>
      <c r="P219" s="12"/>
      <c r="Q219" s="12"/>
      <c r="R219" s="12"/>
      <c r="S219" s="12"/>
      <c r="T219" s="12"/>
      <c r="U219" s="12"/>
      <c r="V219" s="12"/>
    </row>
    <row r="220" spans="2:22" x14ac:dyDescent="0.3">
      <c r="B220" s="15"/>
      <c r="C220" s="12"/>
      <c r="D220" s="12"/>
      <c r="E220" s="12"/>
      <c r="F220" s="12"/>
      <c r="G220" s="12"/>
      <c r="H220" s="12"/>
      <c r="I220" s="12"/>
      <c r="J220" s="12"/>
      <c r="K220" s="12"/>
      <c r="L220" s="12"/>
      <c r="M220" s="12"/>
      <c r="N220" s="12"/>
      <c r="O220" s="12"/>
      <c r="P220" s="12"/>
      <c r="Q220" s="12"/>
      <c r="R220" s="12"/>
      <c r="S220" s="12"/>
      <c r="T220" s="12"/>
      <c r="U220" s="12"/>
      <c r="V220" s="12"/>
    </row>
    <row r="221" spans="2:22" x14ac:dyDescent="0.3">
      <c r="B221" s="15"/>
      <c r="C221" s="12"/>
      <c r="D221" s="12"/>
      <c r="E221" s="12"/>
      <c r="F221" s="12"/>
      <c r="G221" s="12"/>
      <c r="H221" s="12"/>
      <c r="I221" s="12"/>
      <c r="J221" s="12"/>
      <c r="K221" s="12"/>
      <c r="L221" s="12"/>
      <c r="M221" s="12"/>
      <c r="N221" s="12"/>
      <c r="O221" s="12"/>
      <c r="P221" s="12"/>
      <c r="Q221" s="12"/>
      <c r="R221" s="12"/>
      <c r="S221" s="12"/>
      <c r="T221" s="12"/>
      <c r="U221" s="12"/>
      <c r="V221" s="12"/>
    </row>
    <row r="222" spans="2:22" x14ac:dyDescent="0.3">
      <c r="B222" s="15"/>
      <c r="C222" s="12"/>
      <c r="D222" s="12"/>
      <c r="E222" s="12"/>
      <c r="F222" s="12"/>
      <c r="G222" s="12"/>
      <c r="H222" s="12"/>
      <c r="I222" s="12"/>
      <c r="J222" s="12"/>
      <c r="K222" s="12"/>
      <c r="L222" s="12"/>
      <c r="M222" s="12"/>
      <c r="N222" s="12"/>
      <c r="O222" s="12"/>
      <c r="P222" s="12"/>
      <c r="Q222" s="12"/>
      <c r="R222" s="12"/>
      <c r="S222" s="12"/>
      <c r="T222" s="12"/>
      <c r="U222" s="12"/>
      <c r="V222" s="12"/>
    </row>
    <row r="223" spans="2:22" x14ac:dyDescent="0.3">
      <c r="B223" s="15"/>
      <c r="C223" s="12"/>
      <c r="D223" s="12"/>
      <c r="E223" s="12"/>
      <c r="F223" s="12"/>
      <c r="G223" s="12"/>
      <c r="H223" s="12"/>
      <c r="I223" s="12"/>
      <c r="J223" s="12"/>
      <c r="K223" s="12"/>
      <c r="L223" s="12"/>
      <c r="M223" s="12"/>
      <c r="N223" s="12"/>
      <c r="O223" s="12"/>
      <c r="P223" s="12"/>
      <c r="Q223" s="12"/>
      <c r="R223" s="12"/>
      <c r="S223" s="12"/>
      <c r="T223" s="12"/>
      <c r="U223" s="12"/>
      <c r="V223" s="12"/>
    </row>
    <row r="224" spans="2:22" x14ac:dyDescent="0.3">
      <c r="B224" s="15"/>
      <c r="C224" s="12"/>
      <c r="D224" s="12"/>
      <c r="E224" s="12"/>
      <c r="F224" s="12"/>
      <c r="G224" s="12"/>
      <c r="H224" s="12"/>
      <c r="I224" s="12"/>
      <c r="J224" s="12"/>
      <c r="K224" s="12"/>
      <c r="L224" s="12"/>
      <c r="M224" s="12"/>
      <c r="N224" s="12"/>
      <c r="O224" s="12"/>
      <c r="P224" s="12"/>
      <c r="Q224" s="12"/>
      <c r="R224" s="12"/>
      <c r="S224" s="12"/>
      <c r="T224" s="12"/>
      <c r="U224" s="12"/>
      <c r="V224" s="12"/>
    </row>
    <row r="225" spans="2:22" x14ac:dyDescent="0.3">
      <c r="B225" s="15"/>
      <c r="C225" s="12"/>
      <c r="D225" s="12"/>
      <c r="E225" s="12"/>
      <c r="F225" s="12"/>
      <c r="G225" s="12"/>
      <c r="H225" s="12"/>
      <c r="I225" s="12"/>
      <c r="J225" s="12"/>
      <c r="K225" s="12"/>
      <c r="L225" s="12"/>
      <c r="M225" s="12"/>
      <c r="N225" s="12"/>
      <c r="O225" s="12"/>
      <c r="P225" s="12"/>
      <c r="Q225" s="12"/>
      <c r="R225" s="12"/>
      <c r="S225" s="12"/>
      <c r="T225" s="12"/>
      <c r="U225" s="12"/>
      <c r="V225" s="12"/>
    </row>
    <row r="226" spans="2:22" x14ac:dyDescent="0.3">
      <c r="B226" s="15"/>
      <c r="C226" s="12"/>
      <c r="D226" s="12"/>
      <c r="E226" s="12"/>
      <c r="F226" s="12"/>
      <c r="G226" s="12"/>
      <c r="H226" s="12"/>
      <c r="I226" s="12"/>
      <c r="J226" s="12"/>
      <c r="K226" s="12"/>
      <c r="L226" s="12"/>
      <c r="M226" s="12"/>
      <c r="N226" s="12"/>
      <c r="O226" s="12"/>
      <c r="P226" s="12"/>
      <c r="Q226" s="12"/>
      <c r="R226" s="12"/>
      <c r="S226" s="12"/>
      <c r="T226" s="12"/>
      <c r="U226" s="12"/>
      <c r="V226" s="12"/>
    </row>
    <row r="227" spans="2:22" x14ac:dyDescent="0.3">
      <c r="B227" s="15"/>
      <c r="C227" s="12"/>
      <c r="D227" s="12"/>
      <c r="E227" s="12"/>
      <c r="F227" s="12"/>
      <c r="G227" s="12"/>
      <c r="H227" s="12"/>
      <c r="I227" s="12"/>
      <c r="J227" s="12"/>
      <c r="K227" s="12"/>
      <c r="L227" s="12"/>
      <c r="M227" s="12"/>
      <c r="N227" s="12"/>
      <c r="O227" s="12"/>
      <c r="P227" s="12"/>
      <c r="Q227" s="12"/>
      <c r="R227" s="12"/>
      <c r="S227" s="12"/>
      <c r="T227" s="12"/>
      <c r="U227" s="12"/>
      <c r="V227" s="12"/>
    </row>
    <row r="228" spans="2:22" x14ac:dyDescent="0.3">
      <c r="B228" s="15"/>
      <c r="C228" s="12"/>
      <c r="D228" s="12"/>
      <c r="E228" s="12"/>
      <c r="F228" s="12"/>
      <c r="G228" s="12"/>
      <c r="H228" s="12"/>
      <c r="I228" s="12"/>
      <c r="J228" s="12"/>
      <c r="K228" s="12"/>
      <c r="L228" s="12"/>
      <c r="M228" s="12"/>
      <c r="N228" s="12"/>
      <c r="O228" s="12"/>
      <c r="P228" s="12"/>
      <c r="Q228" s="12"/>
      <c r="R228" s="12"/>
      <c r="S228" s="12"/>
      <c r="T228" s="12"/>
      <c r="U228" s="12"/>
      <c r="V228" s="12"/>
    </row>
    <row r="229" spans="2:22" x14ac:dyDescent="0.3">
      <c r="B229" s="15"/>
      <c r="C229" s="12"/>
      <c r="D229" s="12"/>
      <c r="E229" s="12"/>
      <c r="F229" s="12"/>
      <c r="G229" s="12"/>
      <c r="H229" s="12"/>
      <c r="I229" s="12"/>
      <c r="J229" s="12"/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12"/>
      <c r="V229" s="12"/>
    </row>
    <row r="230" spans="2:22" x14ac:dyDescent="0.3">
      <c r="B230" s="15"/>
      <c r="C230" s="12"/>
      <c r="D230" s="12"/>
      <c r="E230" s="12"/>
      <c r="F230" s="12"/>
      <c r="G230" s="12"/>
      <c r="H230" s="12"/>
      <c r="I230" s="12"/>
      <c r="J230" s="12"/>
      <c r="K230" s="12"/>
      <c r="L230" s="12"/>
      <c r="M230" s="12"/>
      <c r="N230" s="12"/>
      <c r="O230" s="12"/>
      <c r="P230" s="12"/>
      <c r="Q230" s="12"/>
      <c r="R230" s="12"/>
      <c r="S230" s="12"/>
      <c r="T230" s="12"/>
      <c r="U230" s="12"/>
      <c r="V230" s="12"/>
    </row>
    <row r="231" spans="2:22" x14ac:dyDescent="0.3">
      <c r="B231" s="15"/>
      <c r="C231" s="12"/>
      <c r="D231" s="12"/>
      <c r="E231" s="12"/>
      <c r="F231" s="12"/>
      <c r="G231" s="12"/>
      <c r="H231" s="12"/>
      <c r="I231" s="12"/>
      <c r="J231" s="12"/>
      <c r="K231" s="12"/>
      <c r="L231" s="12"/>
      <c r="M231" s="12"/>
      <c r="N231" s="12"/>
      <c r="O231" s="12"/>
      <c r="P231" s="12"/>
      <c r="Q231" s="12"/>
      <c r="R231" s="12"/>
      <c r="S231" s="12"/>
      <c r="T231" s="12"/>
      <c r="U231" s="12"/>
      <c r="V231" s="12"/>
    </row>
    <row r="232" spans="2:22" x14ac:dyDescent="0.3">
      <c r="B232" s="15"/>
      <c r="C232" s="12"/>
      <c r="D232" s="12"/>
      <c r="E232" s="12"/>
      <c r="F232" s="12"/>
      <c r="G232" s="12"/>
      <c r="H232" s="12"/>
      <c r="I232" s="12"/>
      <c r="J232" s="12"/>
      <c r="K232" s="12"/>
      <c r="L232" s="12"/>
      <c r="M232" s="12"/>
      <c r="N232" s="12"/>
      <c r="O232" s="12"/>
      <c r="P232" s="12"/>
      <c r="Q232" s="12"/>
      <c r="R232" s="12"/>
      <c r="S232" s="12"/>
      <c r="T232" s="12"/>
      <c r="U232" s="12"/>
      <c r="V232" s="12"/>
    </row>
    <row r="233" spans="2:22" x14ac:dyDescent="0.3">
      <c r="B233" s="15"/>
      <c r="C233" s="12"/>
      <c r="D233" s="12"/>
      <c r="E233" s="12"/>
      <c r="F233" s="12"/>
      <c r="G233" s="12"/>
      <c r="H233" s="12"/>
      <c r="I233" s="12"/>
      <c r="J233" s="12"/>
      <c r="K233" s="12"/>
      <c r="L233" s="12"/>
      <c r="M233" s="12"/>
      <c r="N233" s="12"/>
      <c r="O233" s="12"/>
      <c r="P233" s="12"/>
      <c r="Q233" s="12"/>
      <c r="R233" s="12"/>
      <c r="S233" s="12"/>
      <c r="T233" s="12"/>
      <c r="U233" s="12"/>
      <c r="V233" s="12"/>
    </row>
    <row r="234" spans="2:22" x14ac:dyDescent="0.3">
      <c r="B234" s="15"/>
      <c r="C234" s="12"/>
      <c r="D234" s="12"/>
      <c r="E234" s="12"/>
      <c r="F234" s="12"/>
      <c r="G234" s="12"/>
      <c r="H234" s="12"/>
      <c r="I234" s="12"/>
      <c r="J234" s="12"/>
      <c r="K234" s="12"/>
      <c r="L234" s="12"/>
      <c r="M234" s="12"/>
      <c r="N234" s="12"/>
      <c r="O234" s="12"/>
      <c r="P234" s="12"/>
      <c r="Q234" s="12"/>
      <c r="R234" s="12"/>
      <c r="S234" s="12"/>
      <c r="T234" s="12"/>
      <c r="U234" s="12"/>
      <c r="V234" s="12"/>
    </row>
    <row r="235" spans="2:22" x14ac:dyDescent="0.3">
      <c r="B235" s="15"/>
      <c r="C235" s="12"/>
      <c r="D235" s="12"/>
      <c r="E235" s="12"/>
      <c r="F235" s="12"/>
      <c r="G235" s="12"/>
      <c r="H235" s="12"/>
      <c r="I235" s="12"/>
      <c r="J235" s="12"/>
      <c r="K235" s="12"/>
      <c r="L235" s="12"/>
      <c r="M235" s="12"/>
      <c r="N235" s="12"/>
      <c r="O235" s="12"/>
      <c r="P235" s="12"/>
      <c r="Q235" s="12"/>
      <c r="R235" s="12"/>
      <c r="S235" s="12"/>
      <c r="T235" s="12"/>
      <c r="U235" s="12"/>
      <c r="V235" s="12"/>
    </row>
    <row r="236" spans="2:22" x14ac:dyDescent="0.3">
      <c r="B236" s="15"/>
      <c r="C236" s="12"/>
      <c r="D236" s="12"/>
      <c r="E236" s="12"/>
      <c r="F236" s="12"/>
      <c r="G236" s="12"/>
      <c r="H236" s="12"/>
      <c r="I236" s="12"/>
      <c r="J236" s="12"/>
      <c r="K236" s="12"/>
      <c r="L236" s="12"/>
      <c r="M236" s="12"/>
      <c r="N236" s="12"/>
      <c r="O236" s="12"/>
      <c r="P236" s="12"/>
      <c r="Q236" s="12"/>
      <c r="R236" s="12"/>
      <c r="S236" s="12"/>
      <c r="T236" s="12"/>
      <c r="U236" s="12"/>
      <c r="V236" s="12"/>
    </row>
    <row r="237" spans="2:22" x14ac:dyDescent="0.3">
      <c r="B237" s="15"/>
      <c r="C237" s="12"/>
      <c r="D237" s="12"/>
      <c r="E237" s="12"/>
      <c r="F237" s="12"/>
      <c r="G237" s="12"/>
      <c r="H237" s="12"/>
      <c r="I237" s="12"/>
      <c r="J237" s="12"/>
      <c r="K237" s="12"/>
      <c r="L237" s="12"/>
      <c r="M237" s="12"/>
      <c r="N237" s="12"/>
      <c r="O237" s="12"/>
      <c r="P237" s="12"/>
      <c r="Q237" s="12"/>
      <c r="R237" s="12"/>
      <c r="S237" s="12"/>
      <c r="T237" s="12"/>
      <c r="U237" s="12"/>
      <c r="V237" s="12"/>
    </row>
    <row r="238" spans="2:22" x14ac:dyDescent="0.3">
      <c r="B238" s="15"/>
      <c r="C238" s="12"/>
      <c r="D238" s="12"/>
      <c r="E238" s="12"/>
      <c r="F238" s="12"/>
      <c r="G238" s="12"/>
      <c r="H238" s="12"/>
      <c r="I238" s="12"/>
      <c r="J238" s="12"/>
      <c r="K238" s="12"/>
      <c r="L238" s="12"/>
      <c r="M238" s="12"/>
      <c r="N238" s="12"/>
      <c r="O238" s="12"/>
      <c r="P238" s="12"/>
      <c r="Q238" s="12"/>
      <c r="R238" s="12"/>
      <c r="S238" s="12"/>
      <c r="T238" s="12"/>
      <c r="U238" s="12"/>
      <c r="V238" s="12"/>
    </row>
    <row r="239" spans="2:22" x14ac:dyDescent="0.3">
      <c r="B239" s="15"/>
      <c r="C239" s="12"/>
      <c r="D239" s="12"/>
      <c r="E239" s="12"/>
      <c r="F239" s="12"/>
      <c r="G239" s="12"/>
      <c r="H239" s="12"/>
      <c r="I239" s="12"/>
      <c r="J239" s="12"/>
      <c r="K239" s="12"/>
      <c r="L239" s="12"/>
      <c r="M239" s="12"/>
      <c r="N239" s="12"/>
      <c r="O239" s="12"/>
      <c r="P239" s="12"/>
      <c r="Q239" s="12"/>
      <c r="R239" s="12"/>
      <c r="S239" s="12"/>
      <c r="T239" s="12"/>
      <c r="U239" s="12"/>
      <c r="V239" s="12"/>
    </row>
    <row r="240" spans="2:22" x14ac:dyDescent="0.3">
      <c r="B240" s="15"/>
      <c r="C240" s="12"/>
      <c r="D240" s="12"/>
      <c r="E240" s="12"/>
      <c r="F240" s="12"/>
      <c r="G240" s="12"/>
      <c r="H240" s="12"/>
      <c r="I240" s="12"/>
      <c r="J240" s="12"/>
      <c r="K240" s="12"/>
      <c r="L240" s="12"/>
      <c r="M240" s="12"/>
      <c r="N240" s="12"/>
      <c r="O240" s="12"/>
      <c r="P240" s="12"/>
      <c r="Q240" s="12"/>
      <c r="R240" s="12"/>
      <c r="S240" s="12"/>
      <c r="T240" s="12"/>
      <c r="U240" s="12"/>
      <c r="V240" s="12"/>
    </row>
    <row r="241" spans="2:22" x14ac:dyDescent="0.3">
      <c r="B241" s="15"/>
      <c r="C241" s="12"/>
      <c r="D241" s="12"/>
      <c r="E241" s="12"/>
      <c r="F241" s="12"/>
      <c r="G241" s="12"/>
      <c r="H241" s="12"/>
      <c r="I241" s="12"/>
      <c r="J241" s="12"/>
      <c r="K241" s="12"/>
      <c r="L241" s="12"/>
      <c r="M241" s="12"/>
      <c r="N241" s="12"/>
      <c r="O241" s="12"/>
      <c r="P241" s="12"/>
      <c r="Q241" s="12"/>
      <c r="R241" s="12"/>
      <c r="S241" s="12"/>
      <c r="T241" s="12"/>
      <c r="U241" s="12"/>
      <c r="V241" s="12"/>
    </row>
    <row r="242" spans="2:22" x14ac:dyDescent="0.3">
      <c r="B242" s="15"/>
      <c r="C242" s="12"/>
      <c r="D242" s="12"/>
      <c r="E242" s="12"/>
      <c r="F242" s="12"/>
      <c r="G242" s="12"/>
      <c r="H242" s="12"/>
      <c r="I242" s="12"/>
      <c r="J242" s="12"/>
      <c r="K242" s="12"/>
      <c r="L242" s="12"/>
      <c r="M242" s="12"/>
      <c r="N242" s="12"/>
      <c r="O242" s="12"/>
      <c r="P242" s="12"/>
      <c r="Q242" s="12"/>
      <c r="R242" s="12"/>
      <c r="S242" s="12"/>
      <c r="T242" s="12"/>
      <c r="U242" s="12"/>
      <c r="V242" s="12"/>
    </row>
    <row r="243" spans="2:22" x14ac:dyDescent="0.3">
      <c r="B243" s="15"/>
      <c r="C243" s="12"/>
      <c r="D243" s="12"/>
      <c r="E243" s="12"/>
      <c r="F243" s="12"/>
      <c r="G243" s="12"/>
      <c r="H243" s="12"/>
      <c r="I243" s="12"/>
      <c r="J243" s="12"/>
      <c r="K243" s="12"/>
      <c r="L243" s="12"/>
      <c r="M243" s="12"/>
      <c r="N243" s="12"/>
      <c r="O243" s="12"/>
      <c r="P243" s="12"/>
      <c r="Q243" s="12"/>
      <c r="R243" s="12"/>
      <c r="S243" s="12"/>
      <c r="T243" s="12"/>
      <c r="U243" s="12"/>
      <c r="V243" s="12"/>
    </row>
    <row r="244" spans="2:22" x14ac:dyDescent="0.3">
      <c r="B244" s="15"/>
      <c r="C244" s="12"/>
      <c r="D244" s="12"/>
      <c r="E244" s="12"/>
      <c r="F244" s="12"/>
      <c r="G244" s="12"/>
      <c r="H244" s="12"/>
      <c r="I244" s="12"/>
      <c r="J244" s="12"/>
      <c r="K244" s="12"/>
      <c r="L244" s="12"/>
      <c r="M244" s="12"/>
      <c r="N244" s="12"/>
      <c r="O244" s="12"/>
      <c r="P244" s="12"/>
      <c r="Q244" s="12"/>
      <c r="R244" s="12"/>
      <c r="S244" s="12"/>
      <c r="T244" s="12"/>
      <c r="U244" s="12"/>
      <c r="V244" s="12"/>
    </row>
    <row r="245" spans="2:22" x14ac:dyDescent="0.3">
      <c r="B245" s="15"/>
      <c r="C245" s="12"/>
      <c r="D245" s="12"/>
      <c r="E245" s="12"/>
      <c r="F245" s="12"/>
      <c r="G245" s="12"/>
      <c r="H245" s="12"/>
      <c r="I245" s="12"/>
      <c r="J245" s="12"/>
      <c r="K245" s="12"/>
      <c r="L245" s="12"/>
      <c r="M245" s="12"/>
      <c r="N245" s="12"/>
      <c r="O245" s="12"/>
      <c r="P245" s="12"/>
      <c r="Q245" s="12"/>
      <c r="R245" s="12"/>
      <c r="S245" s="12"/>
      <c r="T245" s="12"/>
      <c r="U245" s="12"/>
      <c r="V245" s="12"/>
    </row>
    <row r="246" spans="2:22" x14ac:dyDescent="0.3">
      <c r="B246" s="15"/>
      <c r="C246" s="12"/>
      <c r="D246" s="12"/>
      <c r="E246" s="12"/>
      <c r="F246" s="12"/>
      <c r="G246" s="12"/>
      <c r="H246" s="12"/>
      <c r="I246" s="12"/>
      <c r="J246" s="12"/>
      <c r="K246" s="12"/>
      <c r="L246" s="12"/>
      <c r="M246" s="12"/>
      <c r="N246" s="12"/>
      <c r="O246" s="12"/>
      <c r="P246" s="12"/>
      <c r="Q246" s="12"/>
      <c r="R246" s="12"/>
      <c r="S246" s="12"/>
      <c r="T246" s="12"/>
      <c r="U246" s="12"/>
      <c r="V246" s="12"/>
    </row>
    <row r="247" spans="2:22" x14ac:dyDescent="0.3">
      <c r="B247" s="15"/>
      <c r="C247" s="12"/>
      <c r="D247" s="12"/>
      <c r="E247" s="12"/>
      <c r="F247" s="12"/>
      <c r="G247" s="12"/>
      <c r="H247" s="12"/>
      <c r="I247" s="12"/>
      <c r="J247" s="12"/>
      <c r="K247" s="12"/>
      <c r="L247" s="12"/>
      <c r="M247" s="12"/>
      <c r="N247" s="12"/>
      <c r="O247" s="12"/>
      <c r="P247" s="12"/>
      <c r="Q247" s="12"/>
      <c r="R247" s="12"/>
      <c r="S247" s="12"/>
      <c r="T247" s="12"/>
      <c r="U247" s="12"/>
      <c r="V247" s="12"/>
    </row>
    <row r="248" spans="2:22" x14ac:dyDescent="0.3">
      <c r="B248" s="15"/>
      <c r="C248" s="12"/>
      <c r="D248" s="12"/>
      <c r="E248" s="12"/>
      <c r="F248" s="12"/>
      <c r="G248" s="12"/>
      <c r="H248" s="12"/>
      <c r="I248" s="12"/>
      <c r="J248" s="12"/>
      <c r="K248" s="12"/>
      <c r="L248" s="12"/>
      <c r="M248" s="12"/>
      <c r="N248" s="12"/>
      <c r="O248" s="12"/>
      <c r="P248" s="12"/>
      <c r="Q248" s="12"/>
      <c r="R248" s="12"/>
      <c r="S248" s="12"/>
      <c r="T248" s="12"/>
      <c r="U248" s="12"/>
      <c r="V248" s="12"/>
    </row>
    <row r="249" spans="2:22" x14ac:dyDescent="0.3">
      <c r="B249" s="15"/>
      <c r="C249" s="12"/>
      <c r="D249" s="12"/>
      <c r="E249" s="12"/>
      <c r="F249" s="12"/>
      <c r="G249" s="12"/>
      <c r="H249" s="12"/>
      <c r="I249" s="12"/>
      <c r="J249" s="12"/>
      <c r="K249" s="12"/>
      <c r="L249" s="12"/>
      <c r="M249" s="12"/>
      <c r="N249" s="12"/>
      <c r="O249" s="12"/>
      <c r="P249" s="12"/>
      <c r="Q249" s="12"/>
      <c r="R249" s="12"/>
      <c r="S249" s="12"/>
      <c r="T249" s="12"/>
      <c r="U249" s="12"/>
      <c r="V249" s="12"/>
    </row>
    <row r="250" spans="2:22" x14ac:dyDescent="0.3">
      <c r="B250" s="15"/>
      <c r="C250" s="12"/>
      <c r="D250" s="12"/>
      <c r="E250" s="12"/>
      <c r="F250" s="12"/>
      <c r="G250" s="12"/>
      <c r="H250" s="12"/>
      <c r="I250" s="12"/>
      <c r="J250" s="12"/>
      <c r="K250" s="12"/>
      <c r="L250" s="12"/>
      <c r="M250" s="12"/>
      <c r="N250" s="12"/>
      <c r="O250" s="12"/>
      <c r="P250" s="12"/>
      <c r="Q250" s="12"/>
      <c r="R250" s="12"/>
      <c r="S250" s="12"/>
      <c r="T250" s="12"/>
      <c r="U250" s="12"/>
      <c r="V250" s="12"/>
    </row>
    <row r="251" spans="2:22" x14ac:dyDescent="0.3">
      <c r="B251" s="15"/>
      <c r="C251" s="12"/>
      <c r="D251" s="12"/>
      <c r="E251" s="12"/>
      <c r="F251" s="12"/>
      <c r="G251" s="12"/>
      <c r="H251" s="12"/>
      <c r="I251" s="12"/>
      <c r="J251" s="12"/>
      <c r="K251" s="12"/>
      <c r="L251" s="12"/>
      <c r="M251" s="12"/>
      <c r="N251" s="12"/>
      <c r="O251" s="12"/>
      <c r="P251" s="12"/>
      <c r="Q251" s="12"/>
      <c r="R251" s="12"/>
      <c r="S251" s="12"/>
      <c r="T251" s="12"/>
      <c r="U251" s="12"/>
      <c r="V251" s="12"/>
    </row>
    <row r="252" spans="2:22" x14ac:dyDescent="0.3">
      <c r="B252" s="15"/>
      <c r="C252" s="12"/>
      <c r="D252" s="12"/>
      <c r="E252" s="12"/>
      <c r="F252" s="12"/>
      <c r="G252" s="12"/>
      <c r="H252" s="12"/>
      <c r="I252" s="12"/>
      <c r="J252" s="12"/>
      <c r="K252" s="12"/>
      <c r="L252" s="12"/>
      <c r="M252" s="12"/>
      <c r="N252" s="12"/>
      <c r="O252" s="12"/>
      <c r="P252" s="12"/>
      <c r="Q252" s="12"/>
      <c r="R252" s="12"/>
      <c r="S252" s="12"/>
      <c r="T252" s="12"/>
      <c r="U252" s="12"/>
      <c r="V252" s="12"/>
    </row>
    <row r="253" spans="2:22" x14ac:dyDescent="0.3">
      <c r="B253" s="15"/>
      <c r="C253" s="12"/>
      <c r="D253" s="12"/>
      <c r="E253" s="12"/>
      <c r="F253" s="12"/>
      <c r="G253" s="12"/>
      <c r="H253" s="12"/>
      <c r="I253" s="12"/>
      <c r="J253" s="12"/>
      <c r="K253" s="12"/>
      <c r="L253" s="12"/>
      <c r="M253" s="12"/>
      <c r="N253" s="12"/>
      <c r="O253" s="12"/>
      <c r="P253" s="12"/>
      <c r="Q253" s="12"/>
      <c r="R253" s="12"/>
      <c r="S253" s="12"/>
      <c r="T253" s="12"/>
      <c r="U253" s="12"/>
      <c r="V253" s="12"/>
    </row>
    <row r="254" spans="2:22" x14ac:dyDescent="0.3">
      <c r="B254" s="15"/>
      <c r="C254" s="12"/>
      <c r="D254" s="12"/>
      <c r="E254" s="12"/>
      <c r="F254" s="12"/>
      <c r="G254" s="12"/>
      <c r="H254" s="12"/>
      <c r="I254" s="12"/>
      <c r="J254" s="12"/>
      <c r="K254" s="12"/>
      <c r="L254" s="12"/>
      <c r="M254" s="12"/>
      <c r="N254" s="12"/>
      <c r="O254" s="12"/>
      <c r="P254" s="12"/>
      <c r="Q254" s="12"/>
      <c r="R254" s="12"/>
      <c r="S254" s="12"/>
      <c r="T254" s="12"/>
      <c r="U254" s="12"/>
      <c r="V254" s="12"/>
    </row>
    <row r="255" spans="2:22" x14ac:dyDescent="0.3">
      <c r="B255" s="15"/>
      <c r="C255" s="12"/>
      <c r="D255" s="12"/>
      <c r="E255" s="12"/>
      <c r="F255" s="12"/>
      <c r="G255" s="12"/>
      <c r="H255" s="12"/>
      <c r="I255" s="12"/>
      <c r="J255" s="12"/>
      <c r="K255" s="12"/>
      <c r="L255" s="12"/>
      <c r="M255" s="12"/>
      <c r="N255" s="12"/>
      <c r="O255" s="12"/>
      <c r="P255" s="12"/>
      <c r="Q255" s="12"/>
      <c r="R255" s="12"/>
      <c r="S255" s="12"/>
      <c r="T255" s="12"/>
      <c r="U255" s="12"/>
      <c r="V255" s="12"/>
    </row>
    <row r="256" spans="2:22" x14ac:dyDescent="0.3">
      <c r="B256" s="15"/>
      <c r="C256" s="12"/>
      <c r="D256" s="12"/>
      <c r="E256" s="12"/>
      <c r="F256" s="12"/>
      <c r="G256" s="12"/>
      <c r="H256" s="12"/>
      <c r="I256" s="12"/>
      <c r="J256" s="12"/>
      <c r="K256" s="12"/>
      <c r="L256" s="12"/>
      <c r="M256" s="12"/>
      <c r="N256" s="12"/>
      <c r="O256" s="12"/>
      <c r="P256" s="12"/>
      <c r="Q256" s="12"/>
      <c r="R256" s="12"/>
      <c r="S256" s="12"/>
      <c r="T256" s="12"/>
      <c r="U256" s="12"/>
      <c r="V256" s="12"/>
    </row>
    <row r="257" spans="2:22" x14ac:dyDescent="0.3">
      <c r="B257" s="15"/>
      <c r="C257" s="12"/>
      <c r="D257" s="12"/>
      <c r="E257" s="12"/>
      <c r="F257" s="12"/>
      <c r="G257" s="12"/>
      <c r="H257" s="12"/>
      <c r="I257" s="12"/>
      <c r="J257" s="12"/>
      <c r="K257" s="12"/>
      <c r="L257" s="12"/>
      <c r="M257" s="12"/>
      <c r="N257" s="12"/>
      <c r="O257" s="12"/>
      <c r="P257" s="12"/>
      <c r="Q257" s="12"/>
      <c r="R257" s="12"/>
      <c r="S257" s="12"/>
      <c r="T257" s="12"/>
      <c r="U257" s="12"/>
      <c r="V257" s="12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DA490525EEDCD47B1C8745AB8F6D769" ma:contentTypeVersion="6" ma:contentTypeDescription="Create a new document." ma:contentTypeScope="" ma:versionID="d1b70d7ff17c81296004841414414f54">
  <xsd:schema xmlns:xsd="http://www.w3.org/2001/XMLSchema" xmlns:xs="http://www.w3.org/2001/XMLSchema" xmlns:p="http://schemas.microsoft.com/office/2006/metadata/properties" xmlns:ns2="8996a84b-be9f-47e4-9a4a-7b6b99f407db" xmlns:ns3="923e1776-a5c4-499c-83fd-0b7c46984e57" targetNamespace="http://schemas.microsoft.com/office/2006/metadata/properties" ma:root="true" ma:fieldsID="e5b9578769dad0986c400eee6f26d24f" ns2:_="" ns3:_="">
    <xsd:import namespace="8996a84b-be9f-47e4-9a4a-7b6b99f407db"/>
    <xsd:import namespace="923e1776-a5c4-499c-83fd-0b7c46984e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3:SharedWithUsers" minOccurs="0"/>
                <xsd:element ref="ns3:SharedWithDetail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996a84b-be9f-47e4-9a4a-7b6b99f407d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23e1776-a5c4-499c-83fd-0b7c46984e57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C5107CC9-A9C3-4991-A5AC-443815EDB99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996a84b-be9f-47e4-9a4a-7b6b99f407db"/>
    <ds:schemaRef ds:uri="923e1776-a5c4-499c-83fd-0b7c46984e5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04ADEE1-EBB5-4211-8083-5B7E2438DBC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0149F68-CE0C-4201-B8B4-C653C248F593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Portfolio</vt:lpstr>
      <vt:lpstr>PriceQuery</vt:lpstr>
      <vt:lpstr>BegDate</vt:lpstr>
      <vt:lpstr>DropSpot</vt:lpstr>
      <vt:lpstr>EndDate</vt:lpstr>
      <vt:lpstr>MNEMONIC</vt:lpstr>
      <vt:lpstr>TickerList</vt:lpstr>
    </vt:vector>
  </TitlesOfParts>
  <Company>ALILxAllostery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Lee Kafafian</dc:creator>
  <cp:lastModifiedBy>Lee Kafafian</cp:lastModifiedBy>
  <dcterms:created xsi:type="dcterms:W3CDTF">2023-10-19T17:57:50Z</dcterms:created>
  <dcterms:modified xsi:type="dcterms:W3CDTF">2025-01-17T14:37:40Z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2023-10-19T18:30:56Z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0bec8574-e162-47d3-853d-72480033babb</vt:lpwstr>
  </property>
  <property fmtid="{D5CDD505-2E9C-101B-9397-08002B2CF9AE}" pid="7" name="MSIP_Label_defa4170-0d19-0005-0004-bc88714345d2_ActionId">
    <vt:lpwstr>a8797ed8-4a10-40ca-9a42-ec4c99650354</vt:lpwstr>
  </property>
  <property fmtid="{D5CDD505-2E9C-101B-9397-08002B2CF9AE}" pid="8" name="MSIP_Label_defa4170-0d19-0005-0004-bc88714345d2_ContentBits">
    <vt:lpwstr>0</vt:lpwstr>
  </property>
  <property fmtid="{D5CDD505-2E9C-101B-9397-08002B2CF9AE}" pid="9" name="ContentTypeId">
    <vt:lpwstr>0x010100DDA490525EEDCD47B1C8745AB8F6D769</vt:lpwstr>
  </property>
</Properties>
</file>