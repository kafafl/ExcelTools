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Biotech 400/"/>
    </mc:Choice>
  </mc:AlternateContent>
  <xr:revisionPtr revIDLastSave="972" documentId="8_{14E6A8D6-037B-4411-B1AA-3F763DF3503D}" xr6:coauthVersionLast="47" xr6:coauthVersionMax="47" xr10:uidLastSave="{1A964353-11A1-475C-AFE0-61545BE1743F}"/>
  <bookViews>
    <workbookView xWindow="9240" yWindow="210" windowWidth="29010" windowHeight="17930" activeTab="3" xr2:uid="{349E5CC1-08F9-4B96-9BF0-6C269A7E6F11}"/>
  </bookViews>
  <sheets>
    <sheet name="USD" sheetId="1" r:id="rId1"/>
    <sheet name="CAD" sheetId="2" r:id="rId2"/>
    <sheet name="RTY" sheetId="3" r:id="rId3"/>
    <sheet name="RGUSHSBT" sheetId="4" r:id="rId4"/>
    <sheet name="XBI" sheetId="6" r:id="rId5"/>
  </sheets>
  <functionGroups builtInGroupCount="19"/>
  <definedNames>
    <definedName name="StartSpot" localSheetId="1">CAD!$A$2</definedName>
    <definedName name="StartSpot" localSheetId="3">RGUSHSBT!$A$2</definedName>
    <definedName name="StartSpot" localSheetId="2">RTY!$A$2</definedName>
    <definedName name="StartSpot" localSheetId="0">USD!$A$2</definedName>
    <definedName name="StartSpot" localSheetId="4">XBI!$A$2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/>
  <c r="A1" i="1"/>
  <c r="A1" i="4"/>
  <c r="A1" i="6"/>
  <c r="A1" i="2"/>
</calcChain>
</file>

<file path=xl/sharedStrings.xml><?xml version="1.0" encoding="utf-8"?>
<sst xmlns="http://schemas.openxmlformats.org/spreadsheetml/2006/main" count="32729" uniqueCount="13508">
  <si>
    <t>name().value</t>
  </si>
  <si>
    <t>crncy().value</t>
  </si>
  <si>
    <t>cur_mkt_cap().value</t>
  </si>
  <si>
    <t>curr_entp_val().value</t>
  </si>
  <si>
    <t>px_last().value</t>
  </si>
  <si>
    <t>px_open().value</t>
  </si>
  <si>
    <t>pe_ratio().value</t>
  </si>
  <si>
    <t>ann_total_return().value</t>
  </si>
  <si>
    <t>sales_rev_turn().value</t>
  </si>
  <si>
    <t>eps_growth().value</t>
  </si>
  <si>
    <t>gics_sector_name().value</t>
  </si>
  <si>
    <t>gics_industry_name().value</t>
  </si>
  <si>
    <t>id_cusip().value</t>
  </si>
  <si>
    <t>id_sedol1().value</t>
  </si>
  <si>
    <t>IRBS US Equity</t>
  </si>
  <si>
    <t>IR Biosciences Holdings Inc</t>
  </si>
  <si>
    <t>USD</t>
  </si>
  <si>
    <t>Health Care</t>
  </si>
  <si>
    <t>Biotechnology</t>
  </si>
  <si>
    <t>46264M303</t>
  </si>
  <si>
    <t>2884666</t>
  </si>
  <si>
    <t>HSTC US Equity</t>
  </si>
  <si>
    <t>HST Global Inc</t>
  </si>
  <si>
    <t>40432E202</t>
  </si>
  <si>
    <t>BKBTJ97</t>
  </si>
  <si>
    <t>UTMD US Equity</t>
  </si>
  <si>
    <t>Utah Medical Products Inc</t>
  </si>
  <si>
    <t>Health Care Equipment &amp; Supplies</t>
  </si>
  <si>
    <t>917488108</t>
  </si>
  <si>
    <t>2925899</t>
  </si>
  <si>
    <t>ICAD US Equity</t>
  </si>
  <si>
    <t>iCAD Inc</t>
  </si>
  <si>
    <t>Health Care Technology</t>
  </si>
  <si>
    <t>44934S206</t>
  </si>
  <si>
    <t>B83YYY6</t>
  </si>
  <si>
    <t>QTXB US Equity</t>
  </si>
  <si>
    <t>QuantRx Biomedical Corp</t>
  </si>
  <si>
    <t>74765N109</t>
  </si>
  <si>
    <t>2060864</t>
  </si>
  <si>
    <t>Psychemedics Corp</t>
  </si>
  <si>
    <t>Health Care Providers &amp; Services</t>
  </si>
  <si>
    <t>DCTH US Equity</t>
  </si>
  <si>
    <t>Delcath Systems Inc</t>
  </si>
  <si>
    <t>24661P807</t>
  </si>
  <si>
    <t>BK228T8</t>
  </si>
  <si>
    <t>GTBP US Equity</t>
  </si>
  <si>
    <t>GT Biopharma Inc</t>
  </si>
  <si>
    <t>36254L308</t>
  </si>
  <si>
    <t>BSMLP01</t>
  </si>
  <si>
    <t>UAHC US Equity</t>
  </si>
  <si>
    <t>United American Healthcare Cor</t>
  </si>
  <si>
    <t>90934C105</t>
  </si>
  <si>
    <t>2914154</t>
  </si>
  <si>
    <t>KRMD US Equity</t>
  </si>
  <si>
    <t>KORU Medical Systems Inc</t>
  </si>
  <si>
    <t>759910102</t>
  </si>
  <si>
    <t>2548597</t>
  </si>
  <si>
    <t>PFND US Equity</t>
  </si>
  <si>
    <t>Pathfinder Cell Therapy Inc</t>
  </si>
  <si>
    <t>70319A106</t>
  </si>
  <si>
    <t>B6SW9B3</t>
  </si>
  <si>
    <t>STAA US Equity</t>
  </si>
  <si>
    <t>STAAR Surgical Co</t>
  </si>
  <si>
    <t>852312305</t>
  </si>
  <si>
    <t>2836292</t>
  </si>
  <si>
    <t>IONS US Equity</t>
  </si>
  <si>
    <t>Ionis Pharmaceuticals Inc</t>
  </si>
  <si>
    <t>462222100</t>
  </si>
  <si>
    <t>BDJ0LS6</t>
  </si>
  <si>
    <t>MBOT US Equity</t>
  </si>
  <si>
    <t>Microbot Medical Inc</t>
  </si>
  <si>
    <t>59503A204</t>
  </si>
  <si>
    <t>BFZ4V20</t>
  </si>
  <si>
    <t>ADYX US Equity</t>
  </si>
  <si>
    <t>Adynxx Inc</t>
  </si>
  <si>
    <t>00784D103</t>
  </si>
  <si>
    <t>BJNPCC0</t>
  </si>
  <si>
    <t>PHRX US Equity</t>
  </si>
  <si>
    <t>Pharmagen Inc</t>
  </si>
  <si>
    <t>71715W106</t>
  </si>
  <si>
    <t>B89CYS8</t>
  </si>
  <si>
    <t>PDRX US Equity</t>
  </si>
  <si>
    <t>Pd-Rx Pharmaceuticals Inc</t>
  </si>
  <si>
    <t>693298101</t>
  </si>
  <si>
    <t>B02WBR7</t>
  </si>
  <si>
    <t>KAYS US Equity</t>
  </si>
  <si>
    <t>Kaya Holdings Inc</t>
  </si>
  <si>
    <t>Pharmaceuticals</t>
  </si>
  <si>
    <t>486567209</t>
  </si>
  <si>
    <t>BLB51B8</t>
  </si>
  <si>
    <t>AMED US Equity</t>
  </si>
  <si>
    <t>Amedisys Inc</t>
  </si>
  <si>
    <t>023436108</t>
  </si>
  <si>
    <t>2024332</t>
  </si>
  <si>
    <t>BIIB US Equity</t>
  </si>
  <si>
    <t>Biogen Inc</t>
  </si>
  <si>
    <t>09062X103</t>
  </si>
  <si>
    <t>2455965</t>
  </si>
  <si>
    <t>RVTY US Equity</t>
  </si>
  <si>
    <t>Revvity Inc</t>
  </si>
  <si>
    <t>Life Sciences Tools &amp; Services</t>
  </si>
  <si>
    <t>714046109</t>
  </si>
  <si>
    <t>2305844</t>
  </si>
  <si>
    <t>HRTX US Equity</t>
  </si>
  <si>
    <t>Heron Therapeutics Inc</t>
  </si>
  <si>
    <t>427746102</t>
  </si>
  <si>
    <t>BJ0XLZ3</t>
  </si>
  <si>
    <t>MRK US Equity</t>
  </si>
  <si>
    <t>Merck &amp; Co Inc</t>
  </si>
  <si>
    <t>58933Y105</t>
  </si>
  <si>
    <t>2778844</t>
  </si>
  <si>
    <t>IDXX US Equity</t>
  </si>
  <si>
    <t>IDEXX Laboratories Inc</t>
  </si>
  <si>
    <t>45168D104</t>
  </si>
  <si>
    <t>2459202</t>
  </si>
  <si>
    <t>REGN US Equity</t>
  </si>
  <si>
    <t>Regeneron Pharmaceuticals Inc</t>
  </si>
  <si>
    <t>75886F107</t>
  </si>
  <si>
    <t>2730190</t>
  </si>
  <si>
    <t>BSYI US Equity</t>
  </si>
  <si>
    <t>BioSyntech Inc</t>
  </si>
  <si>
    <t>09068L103</t>
  </si>
  <si>
    <t>2548791</t>
  </si>
  <si>
    <t>DXR US Equity</t>
  </si>
  <si>
    <t>Daxor Corp</t>
  </si>
  <si>
    <t>239467103</t>
  </si>
  <si>
    <t>2258498</t>
  </si>
  <si>
    <t>EAPH US Equity</t>
  </si>
  <si>
    <t>Easton Pharmaceuticals Inc</t>
  </si>
  <si>
    <t>277774105</t>
  </si>
  <si>
    <t>B4QK1S6</t>
  </si>
  <si>
    <t>HXBM US Equity</t>
  </si>
  <si>
    <t>Helix Biomedix Inc</t>
  </si>
  <si>
    <t>423287507</t>
  </si>
  <si>
    <t>B9GRTQ6</t>
  </si>
  <si>
    <t>NMXS US Equity</t>
  </si>
  <si>
    <t>Net Medical Xpress Solutions I</t>
  </si>
  <si>
    <t>64111U204</t>
  </si>
  <si>
    <t>BD97756</t>
  </si>
  <si>
    <t>SRDX US Equity</t>
  </si>
  <si>
    <t>Surmodics Inc</t>
  </si>
  <si>
    <t>868873100</t>
  </si>
  <si>
    <t>2502678</t>
  </si>
  <si>
    <t>OMI US Equity</t>
  </si>
  <si>
    <t>Owens &amp; Minor Inc</t>
  </si>
  <si>
    <t>690732102</t>
  </si>
  <si>
    <t>2665128</t>
  </si>
  <si>
    <t>RSPI US Equity</t>
  </si>
  <si>
    <t>RespireRx Pharmaceuticals Inc</t>
  </si>
  <si>
    <t>761227305</t>
  </si>
  <si>
    <t>BMDKQL3</t>
  </si>
  <si>
    <t>NVAX US Equity</t>
  </si>
  <si>
    <t>Novavax Inc</t>
  </si>
  <si>
    <t>670002401</t>
  </si>
  <si>
    <t>BJDQXG4</t>
  </si>
  <si>
    <t>ATRX US Equity</t>
  </si>
  <si>
    <t>Adhera Therapeutics Inc</t>
  </si>
  <si>
    <t>00687E406</t>
  </si>
  <si>
    <t>BPK26Q8</t>
  </si>
  <si>
    <t>PTN US Equity</t>
  </si>
  <si>
    <t>Palatin Technologies Inc</t>
  </si>
  <si>
    <t>696077502</t>
  </si>
  <si>
    <t>BNDY300</t>
  </si>
  <si>
    <t>NSTM US Equity</t>
  </si>
  <si>
    <t>NovelStem International Corp</t>
  </si>
  <si>
    <t>67001V109</t>
  </si>
  <si>
    <t>BD9C4R2</t>
  </si>
  <si>
    <t>INVA US Equity</t>
  </si>
  <si>
    <t>Innoviva Inc</t>
  </si>
  <si>
    <t>45781M101</t>
  </si>
  <si>
    <t>BDDXF67</t>
  </si>
  <si>
    <t>PBIO US Equity</t>
  </si>
  <si>
    <t>Pressure BioSciences Inc</t>
  </si>
  <si>
    <t>74112E208</t>
  </si>
  <si>
    <t>BF34649</t>
  </si>
  <si>
    <t>PVCT US Equity</t>
  </si>
  <si>
    <t>Provectus Biopharmaceuticals I</t>
  </si>
  <si>
    <t>74373P108</t>
  </si>
  <si>
    <t>BJ7C0X4</t>
  </si>
  <si>
    <t>NBIX US Equity</t>
  </si>
  <si>
    <t>Neurocrine Biosciences Inc</t>
  </si>
  <si>
    <t>64125C109</t>
  </si>
  <si>
    <t>2623911</t>
  </si>
  <si>
    <t>AMGN US Equity</t>
  </si>
  <si>
    <t>Amgen Inc</t>
  </si>
  <si>
    <t>031162100</t>
  </si>
  <si>
    <t>2023607</t>
  </si>
  <si>
    <t>CBRF US Equity</t>
  </si>
  <si>
    <t>Cyberfuels Holding Company Inc</t>
  </si>
  <si>
    <t>278744107</t>
  </si>
  <si>
    <t>2304380</t>
  </si>
  <si>
    <t>ICUI US Equity</t>
  </si>
  <si>
    <t>ICU Medical Inc</t>
  </si>
  <si>
    <t>44930G107</t>
  </si>
  <si>
    <t>2451918</t>
  </si>
  <si>
    <t>ONPH US Equity</t>
  </si>
  <si>
    <t>Oncology Pharma Inc</t>
  </si>
  <si>
    <t>68235J201</t>
  </si>
  <si>
    <t>BMH5RF5</t>
  </si>
  <si>
    <t>ELOX US Equity</t>
  </si>
  <si>
    <t>Eloxx Pharmaceuticals Inc</t>
  </si>
  <si>
    <t>29014R202</t>
  </si>
  <si>
    <t>BPG8P29</t>
  </si>
  <si>
    <t>MRDH US Equity</t>
  </si>
  <si>
    <t>Meridian Holdings Inc</t>
  </si>
  <si>
    <t>589636208</t>
  </si>
  <si>
    <t>2648828</t>
  </si>
  <si>
    <t>VIAP US Equity</t>
  </si>
  <si>
    <t>VIA Pharmaceuticals Inc</t>
  </si>
  <si>
    <t>92554T103</t>
  </si>
  <si>
    <t>B1YLCS7</t>
  </si>
  <si>
    <t>PCRX US Equity</t>
  </si>
  <si>
    <t>Pacira BioSciences Inc</t>
  </si>
  <si>
    <t>695127100</t>
  </si>
  <si>
    <t>B3X26D8</t>
  </si>
  <si>
    <t>NNLX US Equity</t>
  </si>
  <si>
    <t>NanoLogix Inc</t>
  </si>
  <si>
    <t>630076107</t>
  </si>
  <si>
    <t>2317786</t>
  </si>
  <si>
    <t>NIMU US Equity</t>
  </si>
  <si>
    <t>Non-Invasive Monitoring System</t>
  </si>
  <si>
    <t>655366508</t>
  </si>
  <si>
    <t>2098661</t>
  </si>
  <si>
    <t>BCDA US Equity</t>
  </si>
  <si>
    <t>BioCardia Inc</t>
  </si>
  <si>
    <t>09060U606</t>
  </si>
  <si>
    <t>BN4KSW4</t>
  </si>
  <si>
    <t>CRVO US Equity</t>
  </si>
  <si>
    <t>CervoMed Inc</t>
  </si>
  <si>
    <t>15713L109</t>
  </si>
  <si>
    <t>BQC4QK3</t>
  </si>
  <si>
    <t>ICLR US Equity</t>
  </si>
  <si>
    <t>ICON PLC</t>
  </si>
  <si>
    <t>#N/A</t>
  </si>
  <si>
    <t>B94G471</t>
  </si>
  <si>
    <t>CNC US Equity</t>
  </si>
  <si>
    <t>Centene Corp</t>
  </si>
  <si>
    <t>15135B101</t>
  </si>
  <si>
    <t>2807061</t>
  </si>
  <si>
    <t>COR US Equity</t>
  </si>
  <si>
    <t>Cencora Inc</t>
  </si>
  <si>
    <t>03073E105</t>
  </si>
  <si>
    <t>2795393</t>
  </si>
  <si>
    <t>OPCH US Equity</t>
  </si>
  <si>
    <t>Option Care Health Inc</t>
  </si>
  <si>
    <t>68404L201</t>
  </si>
  <si>
    <t>BKM5C62</t>
  </si>
  <si>
    <t>ONVO US Equity</t>
  </si>
  <si>
    <t>Organovo Holdings Inc</t>
  </si>
  <si>
    <t>68620A203</t>
  </si>
  <si>
    <t>BN2C1T0</t>
  </si>
  <si>
    <t>MDIT US Equity</t>
  </si>
  <si>
    <t>MEDITE Cancer Diagnostics Inc</t>
  </si>
  <si>
    <t>58503D200</t>
  </si>
  <si>
    <t>BWC8Y14</t>
  </si>
  <si>
    <t>PTIX US Equity</t>
  </si>
  <si>
    <t>Protagenic Therapeutics Inc</t>
  </si>
  <si>
    <t>74365N202</t>
  </si>
  <si>
    <t>BQP8RQ5</t>
  </si>
  <si>
    <t>AVXT US Equity</t>
  </si>
  <si>
    <t>Avax Technologies Inc</t>
  </si>
  <si>
    <t>053495305</t>
  </si>
  <si>
    <t>2067133</t>
  </si>
  <si>
    <t>AIMD US Equity</t>
  </si>
  <si>
    <t>Ainos Inc</t>
  </si>
  <si>
    <t>00902F303</t>
  </si>
  <si>
    <t>BPDHGM6</t>
  </si>
  <si>
    <t>SVRA US Equity</t>
  </si>
  <si>
    <t>Savara Inc</t>
  </si>
  <si>
    <t>805111101</t>
  </si>
  <si>
    <t>BYXGN81</t>
  </si>
  <si>
    <t>SNDA US Equity</t>
  </si>
  <si>
    <t>Sonida Senior Living Inc</t>
  </si>
  <si>
    <t>140475203</t>
  </si>
  <si>
    <t>BN7RQC8</t>
  </si>
  <si>
    <t>GRUSF US Equity</t>
  </si>
  <si>
    <t>Grown Rogue International Inc</t>
  </si>
  <si>
    <t>39986R304</t>
  </si>
  <si>
    <t>BQD3KZ2</t>
  </si>
  <si>
    <t>TLIF US Equity</t>
  </si>
  <si>
    <t>TOCCA Life Holdings Inc</t>
  </si>
  <si>
    <t>888847100</t>
  </si>
  <si>
    <t>BVB3BY5</t>
  </si>
  <si>
    <t>SRNE US Equity</t>
  </si>
  <si>
    <t>Sorrento Therapeutics Inc</t>
  </si>
  <si>
    <t>83587F202</t>
  </si>
  <si>
    <t>BCT5QQ7</t>
  </si>
  <si>
    <t>BMGP US Equity</t>
  </si>
  <si>
    <t>Biomagnetics Diagnostics Corp</t>
  </si>
  <si>
    <t>09062Q108</t>
  </si>
  <si>
    <t>B1264J9</t>
  </si>
  <si>
    <t>PHMB US Equity</t>
  </si>
  <si>
    <t>PharmaCom BioVet Inc</t>
  </si>
  <si>
    <t>71720A107</t>
  </si>
  <si>
    <t>B02V9L4</t>
  </si>
  <si>
    <t>CCRN US Equity</t>
  </si>
  <si>
    <t>Cross Country Healthcare Inc</t>
  </si>
  <si>
    <t>227483104</t>
  </si>
  <si>
    <t>2809056</t>
  </si>
  <si>
    <t>MDLH US Equity</t>
  </si>
  <si>
    <t>Medical International Technolo</t>
  </si>
  <si>
    <t>58457X202</t>
  </si>
  <si>
    <t>B0R0PZ2</t>
  </si>
  <si>
    <t>PRPO US Equity</t>
  </si>
  <si>
    <t>Precipio Inc</t>
  </si>
  <si>
    <t>74019L602</t>
  </si>
  <si>
    <t>BQXST38</t>
  </si>
  <si>
    <t>CHE US Equity</t>
  </si>
  <si>
    <t>Chemed Corp</t>
  </si>
  <si>
    <t>16359R103</t>
  </si>
  <si>
    <t>2190084</t>
  </si>
  <si>
    <t>VRTX US Equity</t>
  </si>
  <si>
    <t>Vertex Pharmaceuticals Inc</t>
  </si>
  <si>
    <t>92532F100</t>
  </si>
  <si>
    <t>2931034</t>
  </si>
  <si>
    <t>ADHC US Equity</t>
  </si>
  <si>
    <t>American Diversified Holdings</t>
  </si>
  <si>
    <t>02541R300</t>
  </si>
  <si>
    <t>BCCVXT4</t>
  </si>
  <si>
    <t>NXEN US Equity</t>
  </si>
  <si>
    <t>Nexien BioPharma Inc</t>
  </si>
  <si>
    <t>65343D100</t>
  </si>
  <si>
    <t>BFZQDP3</t>
  </si>
  <si>
    <t>DHR US Equity</t>
  </si>
  <si>
    <t>Danaher Corp</t>
  </si>
  <si>
    <t>235851102</t>
  </si>
  <si>
    <t>2250870</t>
  </si>
  <si>
    <t>MLAB US Equity</t>
  </si>
  <si>
    <t>Mesa Laboratories Inc</t>
  </si>
  <si>
    <t>59064R109</t>
  </si>
  <si>
    <t>2553814</t>
  </si>
  <si>
    <t>BSX US Equity</t>
  </si>
  <si>
    <t>Boston Scientific Corp</t>
  </si>
  <si>
    <t>101137107</t>
  </si>
  <si>
    <t>2113434</t>
  </si>
  <si>
    <t>ANIP US Equity</t>
  </si>
  <si>
    <t>ANI Pharmaceuticals Inc</t>
  </si>
  <si>
    <t>00182C103</t>
  </si>
  <si>
    <t>BCDWBX6</t>
  </si>
  <si>
    <t>MMSI US Equity</t>
  </si>
  <si>
    <t>Merit Medical Systems Inc</t>
  </si>
  <si>
    <t>589889104</t>
  </si>
  <si>
    <t>2580555</t>
  </si>
  <si>
    <t>LMAT US Equity</t>
  </si>
  <si>
    <t>LeMaitre Vascular Inc</t>
  </si>
  <si>
    <t>525558201</t>
  </si>
  <si>
    <t>B1G6TJ0</t>
  </si>
  <si>
    <t>CHME US Equity</t>
  </si>
  <si>
    <t>China Medicine Corp</t>
  </si>
  <si>
    <t>169491107</t>
  </si>
  <si>
    <t>B1G5Y36</t>
  </si>
  <si>
    <t>AMRN US Equity</t>
  </si>
  <si>
    <t>Amarin Corp PLC</t>
  </si>
  <si>
    <t>023111206</t>
  </si>
  <si>
    <t>2301938</t>
  </si>
  <si>
    <t>BIO US Equity</t>
  </si>
  <si>
    <t>Bio-Rad Laboratories Inc</t>
  </si>
  <si>
    <t>090572207</t>
  </si>
  <si>
    <t>2098508</t>
  </si>
  <si>
    <t>MDT US Equity</t>
  </si>
  <si>
    <t>Medtronic PLC</t>
  </si>
  <si>
    <t>BTN1Y11</t>
  </si>
  <si>
    <t>TMO US Equity</t>
  </si>
  <si>
    <t>Thermo Fisher Scientific Inc</t>
  </si>
  <si>
    <t>883556102</t>
  </si>
  <si>
    <t>2886907</t>
  </si>
  <si>
    <t>BDX US Equity</t>
  </si>
  <si>
    <t>Becton Dickinson &amp; Co</t>
  </si>
  <si>
    <t>075887109</t>
  </si>
  <si>
    <t>2087807</t>
  </si>
  <si>
    <t>BAX US Equity</t>
  </si>
  <si>
    <t>Baxter International Inc</t>
  </si>
  <si>
    <t>071813109</t>
  </si>
  <si>
    <t>2085102</t>
  </si>
  <si>
    <t>WAT US Equity</t>
  </si>
  <si>
    <t>Waters Corp</t>
  </si>
  <si>
    <t>941848103</t>
  </si>
  <si>
    <t>2937689</t>
  </si>
  <si>
    <t>GTHR US Equity</t>
  </si>
  <si>
    <t>GeneThera Inc</t>
  </si>
  <si>
    <t>37185E306</t>
  </si>
  <si>
    <t>2839956</t>
  </si>
  <si>
    <t>RNVA US Equity</t>
  </si>
  <si>
    <t>Rennova Health Inc</t>
  </si>
  <si>
    <t>759757867</t>
  </si>
  <si>
    <t>BJLTMC4</t>
  </si>
  <si>
    <t>ENOV US Equity</t>
  </si>
  <si>
    <t>Enovis Corp</t>
  </si>
  <si>
    <t>194014502</t>
  </si>
  <si>
    <t>BJLTMX5</t>
  </si>
  <si>
    <t>AZTA US Equity</t>
  </si>
  <si>
    <t>Azenta Inc</t>
  </si>
  <si>
    <t>114340102</t>
  </si>
  <si>
    <t>2145460</t>
  </si>
  <si>
    <t>IMTH US Equity</t>
  </si>
  <si>
    <t>Innovative MedTech Inc</t>
  </si>
  <si>
    <t>45782W108</t>
  </si>
  <si>
    <t>BMH9C96</t>
  </si>
  <si>
    <t>ACAI US Equity</t>
  </si>
  <si>
    <t>Safeplus International Holding</t>
  </si>
  <si>
    <t>78646R106</t>
  </si>
  <si>
    <t>BN78D75</t>
  </si>
  <si>
    <t>NEOG US Equity</t>
  </si>
  <si>
    <t>Neogen Corp</t>
  </si>
  <si>
    <t>640491106</t>
  </si>
  <si>
    <t>2630085</t>
  </si>
  <si>
    <t>AEMD US Equity</t>
  </si>
  <si>
    <t>Aethlon Medical Inc</t>
  </si>
  <si>
    <t>00808Y406</t>
  </si>
  <si>
    <t>BRWHTF5</t>
  </si>
  <si>
    <t>NNBP US Equity</t>
  </si>
  <si>
    <t>Nanobac Pharmaceuticals Inc</t>
  </si>
  <si>
    <t>63007M102</t>
  </si>
  <si>
    <t>2568755</t>
  </si>
  <si>
    <t>LFPI US Equity</t>
  </si>
  <si>
    <t>LifePoint Inc</t>
  </si>
  <si>
    <t>53215R100</t>
  </si>
  <si>
    <t>2242112</t>
  </si>
  <si>
    <t>PDMI US Equity</t>
  </si>
  <si>
    <t>Paradigm Medical Industries In</t>
  </si>
  <si>
    <t>69900Q884</t>
  </si>
  <si>
    <t>2293745</t>
  </si>
  <si>
    <t>IART US Equity</t>
  </si>
  <si>
    <t>Integra LifeSciences Holdings</t>
  </si>
  <si>
    <t>457985208</t>
  </si>
  <si>
    <t>2248693</t>
  </si>
  <si>
    <t>CYTH US Equity</t>
  </si>
  <si>
    <t>Cyclo Therapeutics Inc</t>
  </si>
  <si>
    <t>23254X201</t>
  </si>
  <si>
    <t>BMH5BX1</t>
  </si>
  <si>
    <t>HSIC US Equity</t>
  </si>
  <si>
    <t>Henry Schein Inc</t>
  </si>
  <si>
    <t>806407102</t>
  </si>
  <si>
    <t>2416962</t>
  </si>
  <si>
    <t>MASI US Equity</t>
  </si>
  <si>
    <t>Masimo Corp</t>
  </si>
  <si>
    <t>574795100</t>
  </si>
  <si>
    <t>B1YWR63</t>
  </si>
  <si>
    <t>DRWN US Equity</t>
  </si>
  <si>
    <t>Quantum Medical Transport Inc</t>
  </si>
  <si>
    <t>00089L107</t>
  </si>
  <si>
    <t>B4TZQH2</t>
  </si>
  <si>
    <t>OMRX US Equity</t>
  </si>
  <si>
    <t>Orthometrix Inc</t>
  </si>
  <si>
    <t>68750M100</t>
  </si>
  <si>
    <t>2664181</t>
  </si>
  <si>
    <t>WINT US Equity</t>
  </si>
  <si>
    <t>Windtree Therapeutics Inc</t>
  </si>
  <si>
    <t>97382D501</t>
  </si>
  <si>
    <t>BP9N1V2</t>
  </si>
  <si>
    <t>TURA US Equity</t>
  </si>
  <si>
    <t>Turbine Aviation Inc</t>
  </si>
  <si>
    <t>89990A102</t>
  </si>
  <si>
    <t>BTL8Q96</t>
  </si>
  <si>
    <t>POSC US Equity</t>
  </si>
  <si>
    <t>Positron Corp</t>
  </si>
  <si>
    <t>737397604</t>
  </si>
  <si>
    <t>BVGH8B8</t>
  </si>
  <si>
    <t>DVTC US Equity</t>
  </si>
  <si>
    <t>Development Technologies Corp</t>
  </si>
  <si>
    <t>70557B204</t>
  </si>
  <si>
    <t>BLFKW16</t>
  </si>
  <si>
    <t>XOMA US Equity</t>
  </si>
  <si>
    <t>XOMA Royalty Corp</t>
  </si>
  <si>
    <t>98419J206</t>
  </si>
  <si>
    <t>BYP7GF0</t>
  </si>
  <si>
    <t>NYMXF US Equity</t>
  </si>
  <si>
    <t>Nymox Pharmaceutical Corp</t>
  </si>
  <si>
    <t>BYTR3Q6</t>
  </si>
  <si>
    <t>AVTI US Equity</t>
  </si>
  <si>
    <t>Avitar Inc</t>
  </si>
  <si>
    <t>053801304</t>
  </si>
  <si>
    <t>B0ZBZN5</t>
  </si>
  <si>
    <t>MRPI US Equity</t>
  </si>
  <si>
    <t>Mera Pharmaceuticals Inc</t>
  </si>
  <si>
    <t>58732R103</t>
  </si>
  <si>
    <t>2046819</t>
  </si>
  <si>
    <t>XRAY US Equity</t>
  </si>
  <si>
    <t>DENTSPLY SIRONA Inc</t>
  </si>
  <si>
    <t>24906P109</t>
  </si>
  <si>
    <t>BYNPPC6</t>
  </si>
  <si>
    <t>PRGO US Equity</t>
  </si>
  <si>
    <t>Perrigo Co PLC</t>
  </si>
  <si>
    <t>BGH1M56</t>
  </si>
  <si>
    <t>LFCR US Equity</t>
  </si>
  <si>
    <t>Lifecore Biomedical Inc</t>
  </si>
  <si>
    <t>514766104</t>
  </si>
  <si>
    <t>2517058</t>
  </si>
  <si>
    <t>CERS US Equity</t>
  </si>
  <si>
    <t>Cerus Corp</t>
  </si>
  <si>
    <t>157085101</t>
  </si>
  <si>
    <t>2222471</t>
  </si>
  <si>
    <t>PRTT US Equity</t>
  </si>
  <si>
    <t>Protect Pharmaceutical Corp</t>
  </si>
  <si>
    <t>74364W203</t>
  </si>
  <si>
    <t>BSHZ2S5</t>
  </si>
  <si>
    <t>RMTI US Equity</t>
  </si>
  <si>
    <t>Rockwell Medical Inc</t>
  </si>
  <si>
    <t>774374300</t>
  </si>
  <si>
    <t>BMH63K5</t>
  </si>
  <si>
    <t>BSSP US Equity</t>
  </si>
  <si>
    <t>Reve Technologies Inc</t>
  </si>
  <si>
    <t>070249107</t>
  </si>
  <si>
    <t>B4WB2B3</t>
  </si>
  <si>
    <t>EMMA US Equity</t>
  </si>
  <si>
    <t>Emmaus Life Sciences Inc</t>
  </si>
  <si>
    <t>29137T101</t>
  </si>
  <si>
    <t>BJV3011</t>
  </si>
  <si>
    <t>CTXR US Equity</t>
  </si>
  <si>
    <t>Citius Pharmaceuticals Inc</t>
  </si>
  <si>
    <t>EMDF US Equity</t>
  </si>
  <si>
    <t>E Med Future Inc</t>
  </si>
  <si>
    <t>26875D108</t>
  </si>
  <si>
    <t>2561903</t>
  </si>
  <si>
    <t>HDII US Equity</t>
  </si>
  <si>
    <t>Hypertension Diagnostics Inc</t>
  </si>
  <si>
    <t>44914V104</t>
  </si>
  <si>
    <t>2284233</t>
  </si>
  <si>
    <t>XCRT US Equity</t>
  </si>
  <si>
    <t>XCELERATE INC</t>
  </si>
  <si>
    <t>98401T105</t>
  </si>
  <si>
    <t>BNVWRM6</t>
  </si>
  <si>
    <t>CRL US Equity</t>
  </si>
  <si>
    <t>Charles River Laboratories Int</t>
  </si>
  <si>
    <t>159864107</t>
  </si>
  <si>
    <t>2604336</t>
  </si>
  <si>
    <t>PLX US Equity</t>
  </si>
  <si>
    <t>Protalix BioTherapeutics Inc</t>
  </si>
  <si>
    <t>74365A309</t>
  </si>
  <si>
    <t>BJ9RYW4</t>
  </si>
  <si>
    <t>TBRG US Equity</t>
  </si>
  <si>
    <t>TruBridge Inc</t>
  </si>
  <si>
    <t>205306103</t>
  </si>
  <si>
    <t>2872122</t>
  </si>
  <si>
    <t>SIGA US Equity</t>
  </si>
  <si>
    <t>SIGA Technologies Inc</t>
  </si>
  <si>
    <t>826917106</t>
  </si>
  <si>
    <t>2107437</t>
  </si>
  <si>
    <t>UNVC US Equity</t>
  </si>
  <si>
    <t>Univec Inc</t>
  </si>
  <si>
    <t>91335U108</t>
  </si>
  <si>
    <t>2040383</t>
  </si>
  <si>
    <t>TOVX US Equity</t>
  </si>
  <si>
    <t>Theriva Biologics Inc</t>
  </si>
  <si>
    <t>87164U508</t>
  </si>
  <si>
    <t>BMW5VP8</t>
  </si>
  <si>
    <t>SRPT US Equity</t>
  </si>
  <si>
    <t>Sarepta Therapeutics Inc</t>
  </si>
  <si>
    <t>803607100</t>
  </si>
  <si>
    <t>B8DPDT7</t>
  </si>
  <si>
    <t>MNZO US Equity</t>
  </si>
  <si>
    <t>Manzo Pharmaceuticals Inc</t>
  </si>
  <si>
    <t>56510D106</t>
  </si>
  <si>
    <t>BQVCG53</t>
  </si>
  <si>
    <t>CPMD US Equity</t>
  </si>
  <si>
    <t>CannaPharmaRX Inc</t>
  </si>
  <si>
    <t>13765D109</t>
  </si>
  <si>
    <t>BWG2NB5</t>
  </si>
  <si>
    <t>SCIE US Equity</t>
  </si>
  <si>
    <t>SpectraScience Inc</t>
  </si>
  <si>
    <t>84760E301</t>
  </si>
  <si>
    <t>B02MXG0</t>
  </si>
  <si>
    <t>JNJ US Equity</t>
  </si>
  <si>
    <t>Johnson &amp; Johnson</t>
  </si>
  <si>
    <t>478160104</t>
  </si>
  <si>
    <t>2475833</t>
  </si>
  <si>
    <t>BMRA US Equity</t>
  </si>
  <si>
    <t>Biomerica Inc</t>
  </si>
  <si>
    <t>09061H307</t>
  </si>
  <si>
    <t>2618520</t>
  </si>
  <si>
    <t>FZMD US Equity</t>
  </si>
  <si>
    <t>Fuse Medical Inc</t>
  </si>
  <si>
    <t>36113U101</t>
  </si>
  <si>
    <t>BN5H5N4</t>
  </si>
  <si>
    <t>NWBO US Equity</t>
  </si>
  <si>
    <t>Northwest Biotherapeutics Inc</t>
  </si>
  <si>
    <t>66737P600</t>
  </si>
  <si>
    <t>B7HZCX3</t>
  </si>
  <si>
    <t>VIVE US Equity</t>
  </si>
  <si>
    <t>Viveve Medical Inc</t>
  </si>
  <si>
    <t>92852W501</t>
  </si>
  <si>
    <t>BN7JHV0</t>
  </si>
  <si>
    <t>CRVL US Equity</t>
  </si>
  <si>
    <t>CorVel Corp</t>
  </si>
  <si>
    <t>221006109</t>
  </si>
  <si>
    <t>2347277</t>
  </si>
  <si>
    <t>WOWU US Equity</t>
  </si>
  <si>
    <t>WOWI Inc</t>
  </si>
  <si>
    <t>92940M101</t>
  </si>
  <si>
    <t>BDD9S55</t>
  </si>
  <si>
    <t>VOIS US Equity</t>
  </si>
  <si>
    <t>Mind Solutions Inc/United Stat</t>
  </si>
  <si>
    <t>60255A202</t>
  </si>
  <si>
    <t>BYP8352</t>
  </si>
  <si>
    <t>RDNT US Equity</t>
  </si>
  <si>
    <t>RadNet Inc</t>
  </si>
  <si>
    <t>750491102</t>
  </si>
  <si>
    <t>B1JNG19</t>
  </si>
  <si>
    <t>ICCC US Equity</t>
  </si>
  <si>
    <t>ImmuCell Corp</t>
  </si>
  <si>
    <t>452525306</t>
  </si>
  <si>
    <t>2457994</t>
  </si>
  <si>
    <t>LGND US Equity</t>
  </si>
  <si>
    <t>Ligand Pharmaceuticals Inc</t>
  </si>
  <si>
    <t>53220K504</t>
  </si>
  <si>
    <t>2501578</t>
  </si>
  <si>
    <t>SETO US Equity</t>
  </si>
  <si>
    <t>SETO Holdings Inc</t>
  </si>
  <si>
    <t>817813108</t>
  </si>
  <si>
    <t>2307323</t>
  </si>
  <si>
    <t>PMCB US Equity</t>
  </si>
  <si>
    <t>PharmaCyte Biotech Inc</t>
  </si>
  <si>
    <t>71715X203</t>
  </si>
  <si>
    <t>BMYMZR7</t>
  </si>
  <si>
    <t>UHS US Equity</t>
  </si>
  <si>
    <t>Universal Health Services Inc</t>
  </si>
  <si>
    <t>913903100</t>
  </si>
  <si>
    <t>2923785</t>
  </si>
  <si>
    <t>THMO US Equity</t>
  </si>
  <si>
    <t>ThermoGenesis Holdings Inc</t>
  </si>
  <si>
    <t>88362L209</t>
  </si>
  <si>
    <t>BMCVD38</t>
  </si>
  <si>
    <t>AXGN US Equity</t>
  </si>
  <si>
    <t>Axogen Inc</t>
  </si>
  <si>
    <t>05463X106</t>
  </si>
  <si>
    <t>B7254K9</t>
  </si>
  <si>
    <t>NBY US Equity</t>
  </si>
  <si>
    <t>NovaBay Pharmaceuticals Inc</t>
  </si>
  <si>
    <t>66987P409</t>
  </si>
  <si>
    <t>BRJNWV3</t>
  </si>
  <si>
    <t>VLXC US Equity</t>
  </si>
  <si>
    <t>Veltex Corp</t>
  </si>
  <si>
    <t>922576202</t>
  </si>
  <si>
    <t>B030VD6</t>
  </si>
  <si>
    <t>LLY US Equity</t>
  </si>
  <si>
    <t>Eli Lilly &amp; Co</t>
  </si>
  <si>
    <t>532457108</t>
  </si>
  <si>
    <t>2516152</t>
  </si>
  <si>
    <t>GOVX US Equity</t>
  </si>
  <si>
    <t>GeoVax Labs Inc</t>
  </si>
  <si>
    <t>373678606</t>
  </si>
  <si>
    <t>BQWNJP6</t>
  </si>
  <si>
    <t>ATRC US Equity</t>
  </si>
  <si>
    <t>AtriCure Inc</t>
  </si>
  <si>
    <t>04963C209</t>
  </si>
  <si>
    <t>B0C8KV2</t>
  </si>
  <si>
    <t>PDCO US Equity</t>
  </si>
  <si>
    <t>Patterson Cos Inc</t>
  </si>
  <si>
    <t>703395103</t>
  </si>
  <si>
    <t>2672689</t>
  </si>
  <si>
    <t>MYMX US Equity</t>
  </si>
  <si>
    <t>Mymetics Corp</t>
  </si>
  <si>
    <t>62856A300</t>
  </si>
  <si>
    <t>BR3VNX2</t>
  </si>
  <si>
    <t>ECGI US Equity</t>
  </si>
  <si>
    <t>ECGI Holdings Inc</t>
  </si>
  <si>
    <t>26835R106</t>
  </si>
  <si>
    <t>BK1KJC3</t>
  </si>
  <si>
    <t>INCY US Equity</t>
  </si>
  <si>
    <t>Incyte Corp</t>
  </si>
  <si>
    <t>45337C102</t>
  </si>
  <si>
    <t>2471950</t>
  </si>
  <si>
    <t>BMMJ US Equity</t>
  </si>
  <si>
    <t>Body and Mind Inc</t>
  </si>
  <si>
    <t>09689V100</t>
  </si>
  <si>
    <t>BFD4XY8</t>
  </si>
  <si>
    <t>GALT US Equity</t>
  </si>
  <si>
    <t>Galectin Therapeutics Inc</t>
  </si>
  <si>
    <t>363225202</t>
  </si>
  <si>
    <t>B7ZN8B9</t>
  </si>
  <si>
    <t>CMPD US Equity</t>
  </si>
  <si>
    <t>Compumed Inc</t>
  </si>
  <si>
    <t>204914501</t>
  </si>
  <si>
    <t>BPF0WG9</t>
  </si>
  <si>
    <t>CLDX US Equity</t>
  </si>
  <si>
    <t>Celldex Therapeutics Inc</t>
  </si>
  <si>
    <t>15117B202</t>
  </si>
  <si>
    <t>BJLV8T9</t>
  </si>
  <si>
    <t>BIOLQ US Equity</t>
  </si>
  <si>
    <t>Biolase Inc</t>
  </si>
  <si>
    <t>090911702</t>
  </si>
  <si>
    <t>BNXJFV0</t>
  </si>
  <si>
    <t>SEM US Equity</t>
  </si>
  <si>
    <t>Select Medical Holdings Corp</t>
  </si>
  <si>
    <t>81619Q105</t>
  </si>
  <si>
    <t>B4MF0Q6</t>
  </si>
  <si>
    <t>PANC US Equity</t>
  </si>
  <si>
    <t>Panacos Pharmaceuticals Inc</t>
  </si>
  <si>
    <t>69811Q106</t>
  </si>
  <si>
    <t>B06KSH6</t>
  </si>
  <si>
    <t>ABEO US Equity</t>
  </si>
  <si>
    <t>Abeona Therapeutics Inc</t>
  </si>
  <si>
    <t>00289Y206</t>
  </si>
  <si>
    <t>BMZ4B74</t>
  </si>
  <si>
    <t>Predictive Technology Group In</t>
  </si>
  <si>
    <t>DYAI US Equity</t>
  </si>
  <si>
    <t>Dyadic International Inc</t>
  </si>
  <si>
    <t>26745T101</t>
  </si>
  <si>
    <t>2375557</t>
  </si>
  <si>
    <t>Propanc Biopharma Inc</t>
  </si>
  <si>
    <t>PSTV US Equity</t>
  </si>
  <si>
    <t>Plus Therapeutics Inc</t>
  </si>
  <si>
    <t>72941H509</t>
  </si>
  <si>
    <t>BQD1T82</t>
  </si>
  <si>
    <t>TFX US Equity</t>
  </si>
  <si>
    <t>Teleflex Inc</t>
  </si>
  <si>
    <t>879369106</t>
  </si>
  <si>
    <t>2881407</t>
  </si>
  <si>
    <t>MYRX US Equity</t>
  </si>
  <si>
    <t>Myrexis Inc</t>
  </si>
  <si>
    <t>62856H107</t>
  </si>
  <si>
    <t>B5BPZM5</t>
  </si>
  <si>
    <t>MCK US Equity</t>
  </si>
  <si>
    <t>McKesson Corp</t>
  </si>
  <si>
    <t>58155Q103</t>
  </si>
  <si>
    <t>2378534</t>
  </si>
  <si>
    <t>PCYN US Equity</t>
  </si>
  <si>
    <t>Procyon Corp</t>
  </si>
  <si>
    <t>742806300</t>
  </si>
  <si>
    <t>B018VM1</t>
  </si>
  <si>
    <t>BRRN US Equity</t>
  </si>
  <si>
    <t>Born Inc</t>
  </si>
  <si>
    <t>099863102</t>
  </si>
  <si>
    <t>BLSN1V5</t>
  </si>
  <si>
    <t>CTSO US Equity</t>
  </si>
  <si>
    <t>CytoSorbents Corp</t>
  </si>
  <si>
    <t>23283X206</t>
  </si>
  <si>
    <t>BTCB1L1</t>
  </si>
  <si>
    <t>MBCI US Equity</t>
  </si>
  <si>
    <t>MabCure Inc</t>
  </si>
  <si>
    <t>554094102</t>
  </si>
  <si>
    <t>B1XGYT8</t>
  </si>
  <si>
    <t>ARYX US Equity</t>
  </si>
  <si>
    <t>ARYx Therapeutics Inc</t>
  </si>
  <si>
    <t>043387109</t>
  </si>
  <si>
    <t>B292P50</t>
  </si>
  <si>
    <t>MJNA US Equity</t>
  </si>
  <si>
    <t>Medical Marijuana Inc</t>
  </si>
  <si>
    <t>58463A105</t>
  </si>
  <si>
    <t>B0BCDY9</t>
  </si>
  <si>
    <t>CYTK US Equity</t>
  </si>
  <si>
    <t>Cytokinetics Inc</t>
  </si>
  <si>
    <t>23282W605</t>
  </si>
  <si>
    <t>BBBSBJ5</t>
  </si>
  <si>
    <t>DRRX US Equity</t>
  </si>
  <si>
    <t>Durect Corp</t>
  </si>
  <si>
    <t>266605500</t>
  </si>
  <si>
    <t>BPLKTG2</t>
  </si>
  <si>
    <t>IMMB US Equity</t>
  </si>
  <si>
    <t>Immunotech Laboratories Inc</t>
  </si>
  <si>
    <t>45254F203</t>
  </si>
  <si>
    <t>B0JQW35</t>
  </si>
  <si>
    <t>BZYR US Equity</t>
  </si>
  <si>
    <t>Burzynski Research Institute I</t>
  </si>
  <si>
    <t>123159105</t>
  </si>
  <si>
    <t>B018ZM9</t>
  </si>
  <si>
    <t>LLBO US Equity</t>
  </si>
  <si>
    <t>Lifeline Biotechnologies Inc</t>
  </si>
  <si>
    <t>53219E808</t>
  </si>
  <si>
    <t>B03H5C4</t>
  </si>
  <si>
    <t>GILD US Equity</t>
  </si>
  <si>
    <t>Gilead Sciences Inc</t>
  </si>
  <si>
    <t>375558103</t>
  </si>
  <si>
    <t>2369174</t>
  </si>
  <si>
    <t>KRTL US Equity</t>
  </si>
  <si>
    <t>KRTL Holding Group Inc</t>
  </si>
  <si>
    <t>74823U103</t>
  </si>
  <si>
    <t>2493233</t>
  </si>
  <si>
    <t>MCTH US Equity</t>
  </si>
  <si>
    <t>Medical Connections Holdings I</t>
  </si>
  <si>
    <t>58455T203</t>
  </si>
  <si>
    <t>B0X7D86</t>
  </si>
  <si>
    <t>MDRX US Equity</t>
  </si>
  <si>
    <t>Veradigm Inc</t>
  </si>
  <si>
    <t>01988P108</t>
  </si>
  <si>
    <t>2710039</t>
  </si>
  <si>
    <t>THER US Equity</t>
  </si>
  <si>
    <t>Theralink Technologies Inc</t>
  </si>
  <si>
    <t>88339Q109</t>
  </si>
  <si>
    <t>BM8XC08</t>
  </si>
  <si>
    <t>MNOV US Equity</t>
  </si>
  <si>
    <t>MediciNova Inc</t>
  </si>
  <si>
    <t>58468P206</t>
  </si>
  <si>
    <t>B1L2QM5</t>
  </si>
  <si>
    <t>OPRX US Equity</t>
  </si>
  <si>
    <t>OptimizeRx Corp</t>
  </si>
  <si>
    <t>68401U204</t>
  </si>
  <si>
    <t>BF5MM09</t>
  </si>
  <si>
    <t>AUPH US Equity</t>
  </si>
  <si>
    <t>Aurinia Pharmaceuticals Inc</t>
  </si>
  <si>
    <t>05156V102</t>
  </si>
  <si>
    <t>BFWLC09</t>
  </si>
  <si>
    <t>TXMD US Equity</t>
  </si>
  <si>
    <t>TherapeuticsMD Inc</t>
  </si>
  <si>
    <t>88338N206</t>
  </si>
  <si>
    <t>BPX3N12</t>
  </si>
  <si>
    <t>ERNA US Equity</t>
  </si>
  <si>
    <t>Eterna Therapeutics Inc</t>
  </si>
  <si>
    <t>114082209</t>
  </si>
  <si>
    <t>BPDYCD0</t>
  </si>
  <si>
    <t>OMCL US Equity</t>
  </si>
  <si>
    <t>Omnicell Inc</t>
  </si>
  <si>
    <t>68213N109</t>
  </si>
  <si>
    <t>2789523</t>
  </si>
  <si>
    <t>AOXG US Equity</t>
  </si>
  <si>
    <t>Aoxing Pharmaceutical Co Inc</t>
  </si>
  <si>
    <t>03740A106</t>
  </si>
  <si>
    <t>B18TDT5</t>
  </si>
  <si>
    <t>CCEL US Equity</t>
  </si>
  <si>
    <t>Cryo-Cell International Inc</t>
  </si>
  <si>
    <t>228895108</t>
  </si>
  <si>
    <t>2238326</t>
  </si>
  <si>
    <t>FCHS US Equity</t>
  </si>
  <si>
    <t>First Choice Healthcare Soluti</t>
  </si>
  <si>
    <t>31949B104</t>
  </si>
  <si>
    <t>B7Y3GP0</t>
  </si>
  <si>
    <t>GENN US Equity</t>
  </si>
  <si>
    <t>Genesis Healthcare Inc</t>
  </si>
  <si>
    <t>37185X106</t>
  </si>
  <si>
    <t>BVCVMW3</t>
  </si>
  <si>
    <t>SIGO US Equity</t>
  </si>
  <si>
    <t>Sunset Island Group Inc</t>
  </si>
  <si>
    <t>867744203</t>
  </si>
  <si>
    <t>BD8G5Y9</t>
  </si>
  <si>
    <t>RGTPQ US Equity</t>
  </si>
  <si>
    <t>Regenetp Inc</t>
  </si>
  <si>
    <t>731094207</t>
  </si>
  <si>
    <t>BM9PKZ4</t>
  </si>
  <si>
    <t>MDCN US Equity</t>
  </si>
  <si>
    <t>Medican Enterprises Inc</t>
  </si>
  <si>
    <t>58464T202</t>
  </si>
  <si>
    <t>BWX5XR3</t>
  </si>
  <si>
    <t>PALI US Equity</t>
  </si>
  <si>
    <t>Palisade Bio Inc</t>
  </si>
  <si>
    <t>696389402</t>
  </si>
  <si>
    <t>BQXNTR7</t>
  </si>
  <si>
    <t>ZYXI US Equity</t>
  </si>
  <si>
    <t>Zynex Inc</t>
  </si>
  <si>
    <t>98986M103</t>
  </si>
  <si>
    <t>2226042</t>
  </si>
  <si>
    <t>EHC US Equity</t>
  </si>
  <si>
    <t>Encompass Health Corp</t>
  </si>
  <si>
    <t>29261A100</t>
  </si>
  <si>
    <t>BYX2YJ7</t>
  </si>
  <si>
    <t>EXAS US Equity</t>
  </si>
  <si>
    <t>Exact Sciences Corp</t>
  </si>
  <si>
    <t>30063P105</t>
  </si>
  <si>
    <t>2719951</t>
  </si>
  <si>
    <t>VOQP US Equity</t>
  </si>
  <si>
    <t>VioQuest Pharmaceuticals Inc</t>
  </si>
  <si>
    <t>927625202</t>
  </si>
  <si>
    <t>2019101</t>
  </si>
  <si>
    <t>SGLN US Equity</t>
  </si>
  <si>
    <t>SurgLine International Inc</t>
  </si>
  <si>
    <t>868848102</t>
  </si>
  <si>
    <t>B6SB0H3</t>
  </si>
  <si>
    <t>HRTT US Equity</t>
  </si>
  <si>
    <t>Heart Tronics Inc</t>
  </si>
  <si>
    <t>42234M101</t>
  </si>
  <si>
    <t>2677297</t>
  </si>
  <si>
    <t>SBFM US Equity</t>
  </si>
  <si>
    <t>Sunshine Biopharma Inc</t>
  </si>
  <si>
    <t>867781700</t>
  </si>
  <si>
    <t>BSMRHB4</t>
  </si>
  <si>
    <t>EXEL US Equity</t>
  </si>
  <si>
    <t>Exelixis Inc</t>
  </si>
  <si>
    <t>30161Q104</t>
  </si>
  <si>
    <t>2576941</t>
  </si>
  <si>
    <t>LXRX US Equity</t>
  </si>
  <si>
    <t>Lexicon Pharmaceuticals Inc</t>
  </si>
  <si>
    <t>528872302</t>
  </si>
  <si>
    <t>BWFZX59</t>
  </si>
  <si>
    <t>DPAT US Equity</t>
  </si>
  <si>
    <t>Dental Patient Care America In</t>
  </si>
  <si>
    <t>24873V105</t>
  </si>
  <si>
    <t>2743091</t>
  </si>
  <si>
    <t>KEQU US Equity</t>
  </si>
  <si>
    <t>Kewaunee Scientific Corp</t>
  </si>
  <si>
    <t>492854104</t>
  </si>
  <si>
    <t>2490728</t>
  </si>
  <si>
    <t>CTTH US Equity</t>
  </si>
  <si>
    <t>CTT Pharmaceutical Holdings In</t>
  </si>
  <si>
    <t>12651E106</t>
  </si>
  <si>
    <t>BYNQJK5</t>
  </si>
  <si>
    <t>STRM US Equity</t>
  </si>
  <si>
    <t>Streamline Health Solutions In</t>
  </si>
  <si>
    <t>86323X205</t>
  </si>
  <si>
    <t>BSVLRM8</t>
  </si>
  <si>
    <t>MOH US Equity</t>
  </si>
  <si>
    <t>Molina Healthcare Inc</t>
  </si>
  <si>
    <t>60855R100</t>
  </si>
  <si>
    <t>2212706</t>
  </si>
  <si>
    <t>AGEN US Equity</t>
  </si>
  <si>
    <t>Agenus Inc</t>
  </si>
  <si>
    <t>00847G804</t>
  </si>
  <si>
    <t>BRJF7G9</t>
  </si>
  <si>
    <t>HALO US Equity</t>
  </si>
  <si>
    <t>Halozyme Therapeutics Inc</t>
  </si>
  <si>
    <t>40637H109</t>
  </si>
  <si>
    <t>2975098</t>
  </si>
  <si>
    <t>Yield10 Bioscience Inc</t>
  </si>
  <si>
    <t>APYI US Equity</t>
  </si>
  <si>
    <t>Aspyra Inc</t>
  </si>
  <si>
    <t>04538V203</t>
  </si>
  <si>
    <t>2232232</t>
  </si>
  <si>
    <t>MDXL US Equity</t>
  </si>
  <si>
    <t>MediXall Group Inc</t>
  </si>
  <si>
    <t>58504K104</t>
  </si>
  <si>
    <t>BZ013B9</t>
  </si>
  <si>
    <t>BIMI US Equity</t>
  </si>
  <si>
    <t>BIMI International Medical Inc</t>
  </si>
  <si>
    <t>05552Q301</t>
  </si>
  <si>
    <t>BNTBMK8</t>
  </si>
  <si>
    <t>ILMN US Equity</t>
  </si>
  <si>
    <t>Illumina Inc</t>
  </si>
  <si>
    <t>452327109</t>
  </si>
  <si>
    <t>2613990</t>
  </si>
  <si>
    <t>IHAI US Equity</t>
  </si>
  <si>
    <t>Innovative Holdings Alliance I</t>
  </si>
  <si>
    <t>457672301</t>
  </si>
  <si>
    <t>B8F4QR1</t>
  </si>
  <si>
    <t>CYDX US Equity</t>
  </si>
  <si>
    <t>CYduct Diagnostics Inc</t>
  </si>
  <si>
    <t>23256Q105</t>
  </si>
  <si>
    <t>BLGZ8H8</t>
  </si>
  <si>
    <t>CDXS US Equity</t>
  </si>
  <si>
    <t>Codexis Inc</t>
  </si>
  <si>
    <t>192005106</t>
  </si>
  <si>
    <t>B5LL2C2</t>
  </si>
  <si>
    <t>AOLS US Equity</t>
  </si>
  <si>
    <t>Aeolus Pharmaceuticals Inc</t>
  </si>
  <si>
    <t>00765G109</t>
  </si>
  <si>
    <t>B01XWT0</t>
  </si>
  <si>
    <t>A US Equity</t>
  </si>
  <si>
    <t>Agilent Technologies Inc</t>
  </si>
  <si>
    <t>00846U101</t>
  </si>
  <si>
    <t>2520153</t>
  </si>
  <si>
    <t>FUNI US Equity</t>
  </si>
  <si>
    <t>Hypha Labs Inc</t>
  </si>
  <si>
    <t>253825202</t>
  </si>
  <si>
    <t>BYL7SC5</t>
  </si>
  <si>
    <t>NTHD US Equity</t>
  </si>
  <si>
    <t>NetImpact Holdings Inc</t>
  </si>
  <si>
    <t>64117L109</t>
  </si>
  <si>
    <t>2719809</t>
  </si>
  <si>
    <t>ARMP US Equity</t>
  </si>
  <si>
    <t>Armata Pharmaceuticals Inc</t>
  </si>
  <si>
    <t>04216R102</t>
  </si>
  <si>
    <t>BH3T9X8</t>
  </si>
  <si>
    <t>DVAX US Equity</t>
  </si>
  <si>
    <t>Dynavax Technologies Corp</t>
  </si>
  <si>
    <t>268158201</t>
  </si>
  <si>
    <t>BRJZSK0</t>
  </si>
  <si>
    <t>SUWN US Equity</t>
  </si>
  <si>
    <t>Sunwin Stevia International In</t>
  </si>
  <si>
    <t>86803D109</t>
  </si>
  <si>
    <t>B649543</t>
  </si>
  <si>
    <t>OMMH US Equity</t>
  </si>
  <si>
    <t>Omnimmune Holdings Inc</t>
  </si>
  <si>
    <t>68216A104</t>
  </si>
  <si>
    <t>B29TNR9</t>
  </si>
  <si>
    <t>HBIO US Equity</t>
  </si>
  <si>
    <t>Harvard Bioscience Inc</t>
  </si>
  <si>
    <t>416906105</t>
  </si>
  <si>
    <t>2694995</t>
  </si>
  <si>
    <t>MOSTQ US Equity</t>
  </si>
  <si>
    <t>MobileSmith Inc</t>
  </si>
  <si>
    <t>60743J104</t>
  </si>
  <si>
    <t>BF4JGS7</t>
  </si>
  <si>
    <t>DNAG US Equity</t>
  </si>
  <si>
    <t>DNAPrint Genomics Inc</t>
  </si>
  <si>
    <t>23324Q202</t>
  </si>
  <si>
    <t>B0D9NX7</t>
  </si>
  <si>
    <t>CS Diagnostics Corp</t>
  </si>
  <si>
    <t>EW US Equity</t>
  </si>
  <si>
    <t>Edwards Lifesciences Corp</t>
  </si>
  <si>
    <t>28176E108</t>
  </si>
  <si>
    <t>2567116</t>
  </si>
  <si>
    <t>ALGN US Equity</t>
  </si>
  <si>
    <t>Align Technology Inc</t>
  </si>
  <si>
    <t>016255101</t>
  </si>
  <si>
    <t>2679204</t>
  </si>
  <si>
    <t>VASO US Equity</t>
  </si>
  <si>
    <t>Vaso Corp</t>
  </si>
  <si>
    <t>92233F102</t>
  </si>
  <si>
    <t>BZ7P9G1</t>
  </si>
  <si>
    <t>ACUR US Equity</t>
  </si>
  <si>
    <t>Acura Pharmaceuticals Inc</t>
  </si>
  <si>
    <t>00509L802</t>
  </si>
  <si>
    <t>BZ1MNP5</t>
  </si>
  <si>
    <t>VIRX US Equity</t>
  </si>
  <si>
    <t>Viracta Therapeutics Inc</t>
  </si>
  <si>
    <t>92765F108</t>
  </si>
  <si>
    <t>BNRJVL8</t>
  </si>
  <si>
    <t>CPRX US Equity</t>
  </si>
  <si>
    <t>Catalyst Pharmaceuticals Inc</t>
  </si>
  <si>
    <t>14888U101</t>
  </si>
  <si>
    <t>B1G7Q03</t>
  </si>
  <si>
    <t>GLBH US Equity</t>
  </si>
  <si>
    <t>Globaltech Holdings Inc</t>
  </si>
  <si>
    <t>37948L209</t>
  </si>
  <si>
    <t>BSBNF97</t>
  </si>
  <si>
    <t>ALNY US Equity</t>
  </si>
  <si>
    <t>Alnylam Pharmaceuticals Inc</t>
  </si>
  <si>
    <t>02043Q107</t>
  </si>
  <si>
    <t>B00FWN1</t>
  </si>
  <si>
    <t>CRIS US Equity</t>
  </si>
  <si>
    <t>Curis Inc</t>
  </si>
  <si>
    <t>231269309</t>
  </si>
  <si>
    <t>BQ2LNT2</t>
  </si>
  <si>
    <t>ORHB US Equity</t>
  </si>
  <si>
    <t>ORHUB Inc</t>
  </si>
  <si>
    <t>68620R107</t>
  </si>
  <si>
    <t>BDGKQ28</t>
  </si>
  <si>
    <t>CAPS US Equity</t>
  </si>
  <si>
    <t>Capstone Therapeutics Corp</t>
  </si>
  <si>
    <t>14068E208</t>
  </si>
  <si>
    <t>BJVRC28</t>
  </si>
  <si>
    <t>CLRD US Equity</t>
  </si>
  <si>
    <t>Clearday Inc</t>
  </si>
  <si>
    <t>184791101</t>
  </si>
  <si>
    <t>BN455C8</t>
  </si>
  <si>
    <t>ACUS US Equity</t>
  </si>
  <si>
    <t>Acusphere Inc</t>
  </si>
  <si>
    <t>00511R854</t>
  </si>
  <si>
    <t>B3QJRX3</t>
  </si>
  <si>
    <t>TLPH US Equity</t>
  </si>
  <si>
    <t>Talphera Inc</t>
  </si>
  <si>
    <t>00444T209</t>
  </si>
  <si>
    <t>BMYZ930</t>
  </si>
  <si>
    <t>NURO US Equity</t>
  </si>
  <si>
    <t>NeuroMetrix Inc</t>
  </si>
  <si>
    <t>641255880</t>
  </si>
  <si>
    <t>BQXRRQ4</t>
  </si>
  <si>
    <t>PLUR US Equity</t>
  </si>
  <si>
    <t>Pluri Inc</t>
  </si>
  <si>
    <t>72942G203</t>
  </si>
  <si>
    <t>BSFSPG5</t>
  </si>
  <si>
    <t>STAB US Equity</t>
  </si>
  <si>
    <t>Statera Biopharma Inc</t>
  </si>
  <si>
    <t>857561104</t>
  </si>
  <si>
    <t>BL0P711</t>
  </si>
  <si>
    <t>MGON US Equity</t>
  </si>
  <si>
    <t>Megola Inc</t>
  </si>
  <si>
    <t>58517C305</t>
  </si>
  <si>
    <t>B400LY8</t>
  </si>
  <si>
    <t>CYH US Equity</t>
  </si>
  <si>
    <t>Community Health Systems Inc</t>
  </si>
  <si>
    <t>203668108</t>
  </si>
  <si>
    <t>2600248</t>
  </si>
  <si>
    <t>PPJE US Equity</t>
  </si>
  <si>
    <t>PPJ Healthcare Enterprises Inc</t>
  </si>
  <si>
    <t>69353D505</t>
  </si>
  <si>
    <t>BDD1Q13</t>
  </si>
  <si>
    <t>LPTI US Equity</t>
  </si>
  <si>
    <t>Longport Inc</t>
  </si>
  <si>
    <t>543137103</t>
  </si>
  <si>
    <t>2525288</t>
  </si>
  <si>
    <t>GYRE US Equity</t>
  </si>
  <si>
    <t>Gyre Therapeutics Inc</t>
  </si>
  <si>
    <t>403783103</t>
  </si>
  <si>
    <t>BQ6BQM2</t>
  </si>
  <si>
    <t>BBAL US Equity</t>
  </si>
  <si>
    <t>New York Health Care Inc</t>
  </si>
  <si>
    <t>649487204</t>
  </si>
  <si>
    <t>2216195</t>
  </si>
  <si>
    <t>WPHM US Equity</t>
  </si>
  <si>
    <t>Winston Pharmaceuticals Inc</t>
  </si>
  <si>
    <t>975657107</t>
  </si>
  <si>
    <t>B1KKVB4</t>
  </si>
  <si>
    <t>BPC PS Equity</t>
  </si>
  <si>
    <t>Birzeit Pharmaceuticals Co</t>
  </si>
  <si>
    <t>BD5M5G2</t>
  </si>
  <si>
    <t>NPHC US Equity</t>
  </si>
  <si>
    <t>Nutra Pharma Corp</t>
  </si>
  <si>
    <t>67060U208</t>
  </si>
  <si>
    <t>BWX4KL3</t>
  </si>
  <si>
    <t>ORMP US Equity</t>
  </si>
  <si>
    <t>Oramed Pharmaceuticals Inc</t>
  </si>
  <si>
    <t>68403P203</t>
  </si>
  <si>
    <t>B97LZ58</t>
  </si>
  <si>
    <t>EYPT US Equity</t>
  </si>
  <si>
    <t>EyePoint Pharmaceuticals Inc</t>
  </si>
  <si>
    <t>30233G209</t>
  </si>
  <si>
    <t>BMGS7L1</t>
  </si>
  <si>
    <t>ANGO US Equity</t>
  </si>
  <si>
    <t>AngioDynamics Inc</t>
  </si>
  <si>
    <t>03475V101</t>
  </si>
  <si>
    <t>B00CR04</t>
  </si>
  <si>
    <t>EBS US Equity</t>
  </si>
  <si>
    <t>Emergent BioSolutions Inc</t>
  </si>
  <si>
    <t>29089Q105</t>
  </si>
  <si>
    <t>B1HJLW5</t>
  </si>
  <si>
    <t>IVVI US Equity</t>
  </si>
  <si>
    <t>Ivivi Technologies Inc</t>
  </si>
  <si>
    <t>46589F108</t>
  </si>
  <si>
    <t>B0GWDR7</t>
  </si>
  <si>
    <t>NVOS US Equity</t>
  </si>
  <si>
    <t>Novo Integrated Sciences Inc</t>
  </si>
  <si>
    <t>67011T300</t>
  </si>
  <si>
    <t>BQHN111</t>
  </si>
  <si>
    <t>DECN US Equity</t>
  </si>
  <si>
    <t>Decision Diagnostics Corp</t>
  </si>
  <si>
    <t>243443108</t>
  </si>
  <si>
    <t>B510KV4</t>
  </si>
  <si>
    <t>NNVC US Equity</t>
  </si>
  <si>
    <t>NanoViricides Inc</t>
  </si>
  <si>
    <t>630087302</t>
  </si>
  <si>
    <t>BKM3D96</t>
  </si>
  <si>
    <t>RTGC US Equity</t>
  </si>
  <si>
    <t>Ridder Titan Genesis Corp</t>
  </si>
  <si>
    <t>902897206</t>
  </si>
  <si>
    <t>BMVXP39</t>
  </si>
  <si>
    <t>CRVW US Equity</t>
  </si>
  <si>
    <t>CareView Communications Inc</t>
  </si>
  <si>
    <t>141743104</t>
  </si>
  <si>
    <t>B0124B3</t>
  </si>
  <si>
    <t>CBDX US Equity</t>
  </si>
  <si>
    <t>Curative Biosciences Inc</t>
  </si>
  <si>
    <t>23127M101</t>
  </si>
  <si>
    <t>BFM08W0</t>
  </si>
  <si>
    <t>AIDA US Equity</t>
  </si>
  <si>
    <t>AIDA Pharmaceuticals Inc</t>
  </si>
  <si>
    <t>008721102</t>
  </si>
  <si>
    <t>B0SF318</t>
  </si>
  <si>
    <t>SPOM US Equity</t>
  </si>
  <si>
    <t>SPO Global Inc</t>
  </si>
  <si>
    <t>78468T206</t>
  </si>
  <si>
    <t>BF0YBR0</t>
  </si>
  <si>
    <t>JAZZ US Equity</t>
  </si>
  <si>
    <t>Jazz Pharmaceuticals PLC</t>
  </si>
  <si>
    <t>B4Q5ZN4</t>
  </si>
  <si>
    <t>VTGN US Equity</t>
  </si>
  <si>
    <t>Vistagen Therapeutics Inc</t>
  </si>
  <si>
    <t>92840H400</t>
  </si>
  <si>
    <t>BRDV1W7</t>
  </si>
  <si>
    <t>MODD US Equity</t>
  </si>
  <si>
    <t>Modular Medical Inc</t>
  </si>
  <si>
    <t>60785L207</t>
  </si>
  <si>
    <t>BNR4CD2</t>
  </si>
  <si>
    <t>AVXL US Equity</t>
  </si>
  <si>
    <t>Anavex Life Sciences Corp</t>
  </si>
  <si>
    <t>032797300</t>
  </si>
  <si>
    <t>BYTYP72</t>
  </si>
  <si>
    <t>FPSUF US Equity</t>
  </si>
  <si>
    <t>Capha Pharmaceuticals Inc</t>
  </si>
  <si>
    <t>13962W108</t>
  </si>
  <si>
    <t>BDSHKD6</t>
  </si>
  <si>
    <t>OGEN US Equity</t>
  </si>
  <si>
    <t>Oragenics Inc</t>
  </si>
  <si>
    <t>684023500</t>
  </si>
  <si>
    <t>BMDLXR1</t>
  </si>
  <si>
    <t>RFCS US Equity</t>
  </si>
  <si>
    <t>Refocus Group Inc</t>
  </si>
  <si>
    <t>75865X202</t>
  </si>
  <si>
    <t>B0T0CQ0</t>
  </si>
  <si>
    <t>CLRB US Equity</t>
  </si>
  <si>
    <t>Cellectar Biosciences Inc</t>
  </si>
  <si>
    <t>15117F807</t>
  </si>
  <si>
    <t>BLBM4Q5</t>
  </si>
  <si>
    <t>SAGD US Equity</t>
  </si>
  <si>
    <t>South American Gold Corp</t>
  </si>
  <si>
    <t>836301200</t>
  </si>
  <si>
    <t>BYW6DF9</t>
  </si>
  <si>
    <t>PMN US Equity</t>
  </si>
  <si>
    <t>ProMIS Neurosciences Inc</t>
  </si>
  <si>
    <t>74346M406</t>
  </si>
  <si>
    <t>BP7MPR5</t>
  </si>
  <si>
    <t>DMAC US Equity</t>
  </si>
  <si>
    <t>DiaMedica Therapeutics Inc</t>
  </si>
  <si>
    <t>25253X207</t>
  </si>
  <si>
    <t>BGT0PL8</t>
  </si>
  <si>
    <t>ECIA US Equity</t>
  </si>
  <si>
    <t>Encision Inc</t>
  </si>
  <si>
    <t>29254Q104</t>
  </si>
  <si>
    <t>2304142</t>
  </si>
  <si>
    <t>MDCE US Equity</t>
  </si>
  <si>
    <t>Medical Care Technologies Inc</t>
  </si>
  <si>
    <t>584507305</t>
  </si>
  <si>
    <t>BQ95MQ7</t>
  </si>
  <si>
    <t>PSIQ US Equity</t>
  </si>
  <si>
    <t>Profile Solutions Inc</t>
  </si>
  <si>
    <t>74317L106</t>
  </si>
  <si>
    <t>BPRMD71</t>
  </si>
  <si>
    <t>GENX US Equity</t>
  </si>
  <si>
    <t>Genex Pharmaceutical Inc</t>
  </si>
  <si>
    <t>37227T105</t>
  </si>
  <si>
    <t>B00HS40</t>
  </si>
  <si>
    <t>SNOA US Equity</t>
  </si>
  <si>
    <t>Sonoma Pharmaceuticals Inc</t>
  </si>
  <si>
    <t>83558L303</t>
  </si>
  <si>
    <t>BSY4VK0</t>
  </si>
  <si>
    <t>VICP US Equity</t>
  </si>
  <si>
    <t>Vicapsys Life Sciences Inc</t>
  </si>
  <si>
    <t>92560A106</t>
  </si>
  <si>
    <t>BYWSR08</t>
  </si>
  <si>
    <t>ELV US Equity</t>
  </si>
  <si>
    <t>Elevance Health Inc</t>
  </si>
  <si>
    <t>036752103</t>
  </si>
  <si>
    <t>BSPHGL4</t>
  </si>
  <si>
    <t>RGDXQ US Equity</t>
  </si>
  <si>
    <t>Response Genetics Inc</t>
  </si>
  <si>
    <t>76123U105</t>
  </si>
  <si>
    <t>B1YH854</t>
  </si>
  <si>
    <t>UEEC US Equity</t>
  </si>
  <si>
    <t>United Health Products Inc</t>
  </si>
  <si>
    <t>91059D100</t>
  </si>
  <si>
    <t>B1P1952</t>
  </si>
  <si>
    <t>DXCM US Equity</t>
  </si>
  <si>
    <t>Dexcom Inc</t>
  </si>
  <si>
    <t>252131107</t>
  </si>
  <si>
    <t>B0796X4</t>
  </si>
  <si>
    <t>BSEM US Equity</t>
  </si>
  <si>
    <t>BioStem Technologies Inc</t>
  </si>
  <si>
    <t>090684200</t>
  </si>
  <si>
    <t>BVRKL17</t>
  </si>
  <si>
    <t>MTST US Equity</t>
  </si>
  <si>
    <t>MetaStat Inc</t>
  </si>
  <si>
    <t>59140A203</t>
  </si>
  <si>
    <t>BYVY7R4</t>
  </si>
  <si>
    <t>LTUS US Equity</t>
  </si>
  <si>
    <t>Lotus Pharmaceuticals Inc</t>
  </si>
  <si>
    <t>545715203</t>
  </si>
  <si>
    <t>B0DJ917</t>
  </si>
  <si>
    <t>PACB US Equity</t>
  </si>
  <si>
    <t>Pacific Biosciences of Califor</t>
  </si>
  <si>
    <t>69404D108</t>
  </si>
  <si>
    <t>B4N8MH9</t>
  </si>
  <si>
    <t>UNH US Equity</t>
  </si>
  <si>
    <t>UnitedHealth Group Inc</t>
  </si>
  <si>
    <t>91324P102</t>
  </si>
  <si>
    <t>2917766</t>
  </si>
  <si>
    <t>SOFE US Equity</t>
  </si>
  <si>
    <t>Carepay Inc</t>
  </si>
  <si>
    <t>14173W101</t>
  </si>
  <si>
    <t>BLCH7H1</t>
  </si>
  <si>
    <t>IPA US Equity</t>
  </si>
  <si>
    <t>ImmunoPrecise Antibodies Ltd</t>
  </si>
  <si>
    <t>45257F200</t>
  </si>
  <si>
    <t>BMCMZS0</t>
  </si>
  <si>
    <t>CDXC US Equity</t>
  </si>
  <si>
    <t>ChromaDex Corp</t>
  </si>
  <si>
    <t>171077407</t>
  </si>
  <si>
    <t>BD0SJ96</t>
  </si>
  <si>
    <t>MDGL US Equity</t>
  </si>
  <si>
    <t>Madrigal Pharmaceuticals Inc</t>
  </si>
  <si>
    <t>558868105</t>
  </si>
  <si>
    <t>BD59BS7</t>
  </si>
  <si>
    <t>PHBI US Equity</t>
  </si>
  <si>
    <t>Pharmagreen Biotech Inc</t>
  </si>
  <si>
    <t>71716C109</t>
  </si>
  <si>
    <t>BG8BN07</t>
  </si>
  <si>
    <t>ENZ US Equity</t>
  </si>
  <si>
    <t>Enzo Biochem Inc</t>
  </si>
  <si>
    <t>294100102</t>
  </si>
  <si>
    <t>2318499</t>
  </si>
  <si>
    <t>FONR US Equity</t>
  </si>
  <si>
    <t>FONAR Corp</t>
  </si>
  <si>
    <t>344437405</t>
  </si>
  <si>
    <t>B1W52D6</t>
  </si>
  <si>
    <t>AYTU US Equity</t>
  </si>
  <si>
    <t>Aytu BioPharma Inc</t>
  </si>
  <si>
    <t>054754858</t>
  </si>
  <si>
    <t>BPXYZX1</t>
  </si>
  <si>
    <t>SVA US Equity</t>
  </si>
  <si>
    <t>Sinovac Biotech Ltd</t>
  </si>
  <si>
    <t>2384520</t>
  </si>
  <si>
    <t>ATHXQ US Equity</t>
  </si>
  <si>
    <t>Athersys Inc</t>
  </si>
  <si>
    <t>04744L205</t>
  </si>
  <si>
    <t>BN4Q5K9</t>
  </si>
  <si>
    <t>HOLX US Equity</t>
  </si>
  <si>
    <t>Hologic Inc</t>
  </si>
  <si>
    <t>436440101</t>
  </si>
  <si>
    <t>2433530</t>
  </si>
  <si>
    <t>NGRC US Equity</t>
  </si>
  <si>
    <t>National Graphite Corp</t>
  </si>
  <si>
    <t>636268203</t>
  </si>
  <si>
    <t>BQ1VNL5</t>
  </si>
  <si>
    <t>INSM US Equity</t>
  </si>
  <si>
    <t>Insmed Inc</t>
  </si>
  <si>
    <t>457669307</t>
  </si>
  <si>
    <t>2614487</t>
  </si>
  <si>
    <t>TNXP US Equity</t>
  </si>
  <si>
    <t>Tonix Pharmaceuticals Holding</t>
  </si>
  <si>
    <t>RDGL US Equity</t>
  </si>
  <si>
    <t>Vivos Inc</t>
  </si>
  <si>
    <t>92858K204</t>
  </si>
  <si>
    <t>BKKJT09</t>
  </si>
  <si>
    <t>NEO US Equity</t>
  </si>
  <si>
    <t>NeoGenomics Inc</t>
  </si>
  <si>
    <t>64049M209</t>
  </si>
  <si>
    <t>2598246</t>
  </si>
  <si>
    <t>IYXI US Equity</t>
  </si>
  <si>
    <t>Inyx Inc</t>
  </si>
  <si>
    <t>461868101</t>
  </si>
  <si>
    <t>2117180</t>
  </si>
  <si>
    <t>ANIK US Equity</t>
  </si>
  <si>
    <t>Anika Therapeutics Inc</t>
  </si>
  <si>
    <t>035255108</t>
  </si>
  <si>
    <t>2035754</t>
  </si>
  <si>
    <t>SGMO US Equity</t>
  </si>
  <si>
    <t>Sangamo Therapeutics Inc</t>
  </si>
  <si>
    <t>800677106</t>
  </si>
  <si>
    <t>2573083</t>
  </si>
  <si>
    <t>ENVB US Equity</t>
  </si>
  <si>
    <t>Enveric Biosciences Inc</t>
  </si>
  <si>
    <t>COCP US Equity</t>
  </si>
  <si>
    <t>Cocrystal Pharma Inc</t>
  </si>
  <si>
    <t>19188J409</t>
  </si>
  <si>
    <t>BMFPTT5</t>
  </si>
  <si>
    <t>DYNT US Equity</t>
  </si>
  <si>
    <t>Dynatronics Corp</t>
  </si>
  <si>
    <t>268157500</t>
  </si>
  <si>
    <t>BR04HK9</t>
  </si>
  <si>
    <t>FRLI US Equity</t>
  </si>
  <si>
    <t>Frelii Inc</t>
  </si>
  <si>
    <t>357051101</t>
  </si>
  <si>
    <t>BFZ1DR0</t>
  </si>
  <si>
    <t>SSY US Equity</t>
  </si>
  <si>
    <t>SunLink Health Systems Inc</t>
  </si>
  <si>
    <t>86737U102</t>
  </si>
  <si>
    <t>2880222</t>
  </si>
  <si>
    <t>NAVB US Equity</t>
  </si>
  <si>
    <t>Navidea Biopharmaceuticals Inc</t>
  </si>
  <si>
    <t>63937X202</t>
  </si>
  <si>
    <t>BJHDL45</t>
  </si>
  <si>
    <t>BICX US Equity</t>
  </si>
  <si>
    <t>BioCorRx Inc</t>
  </si>
  <si>
    <t>09073C205</t>
  </si>
  <si>
    <t>BGLSV90</t>
  </si>
  <si>
    <t>900943 CH Equity</t>
  </si>
  <si>
    <t>Shanghai Kai Kai Industrial Co</t>
  </si>
  <si>
    <t>6787976</t>
  </si>
  <si>
    <t>VCII US Equity</t>
  </si>
  <si>
    <t>ViviCells International Inc</t>
  </si>
  <si>
    <t>928535103</t>
  </si>
  <si>
    <t>2579456</t>
  </si>
  <si>
    <t>RBII US Equity</t>
  </si>
  <si>
    <t>Rising Biosciences Inc</t>
  </si>
  <si>
    <t>76761W108</t>
  </si>
  <si>
    <t>BDQZP59</t>
  </si>
  <si>
    <t>XSNX US Equity</t>
  </si>
  <si>
    <t>Novaccess Global Inc</t>
  </si>
  <si>
    <t>67001N107</t>
  </si>
  <si>
    <t>BMGYH20</t>
  </si>
  <si>
    <t>Seelos Therapeutics Inc</t>
  </si>
  <si>
    <t>KDCE US Equity</t>
  </si>
  <si>
    <t>Kid Castle Educational Corp</t>
  </si>
  <si>
    <t>49375K208</t>
  </si>
  <si>
    <t>2978859</t>
  </si>
  <si>
    <t>NHC US Equity</t>
  </si>
  <si>
    <t>National HealthCare Corp</t>
  </si>
  <si>
    <t>635906100</t>
  </si>
  <si>
    <t>2139731</t>
  </si>
  <si>
    <t>PBH US Equity</t>
  </si>
  <si>
    <t>Prestige Consumer Healthcare I</t>
  </si>
  <si>
    <t>74112D101</t>
  </si>
  <si>
    <t>B0650P3</t>
  </si>
  <si>
    <t>SCNX US Equity</t>
  </si>
  <si>
    <t>Scienture Holdings Inc</t>
  </si>
  <si>
    <t>80880X104</t>
  </si>
  <si>
    <t>BRYQ938</t>
  </si>
  <si>
    <t>ASTH US Equity</t>
  </si>
  <si>
    <t>Astrana Health Inc</t>
  </si>
  <si>
    <t>03763A207</t>
  </si>
  <si>
    <t>BX3SQS1</t>
  </si>
  <si>
    <t>USPH US Equity</t>
  </si>
  <si>
    <t>US Physical Therapy Inc</t>
  </si>
  <si>
    <t>90337L108</t>
  </si>
  <si>
    <t>2911166</t>
  </si>
  <si>
    <t>INFIQ US Equity</t>
  </si>
  <si>
    <t>Infinity Pharmaceuticals Inc</t>
  </si>
  <si>
    <t>45665G303</t>
  </si>
  <si>
    <t>B1FCQS7</t>
  </si>
  <si>
    <t>XTNT US Equity</t>
  </si>
  <si>
    <t>Xtant Medical Holdings Inc</t>
  </si>
  <si>
    <t>98420P308</t>
  </si>
  <si>
    <t>BYWFGK2</t>
  </si>
  <si>
    <t>MRZM US Equity</t>
  </si>
  <si>
    <t>Marizyme Inc</t>
  </si>
  <si>
    <t>570372102</t>
  </si>
  <si>
    <t>BG0L5X2</t>
  </si>
  <si>
    <t>ADUS US Equity</t>
  </si>
  <si>
    <t>Addus HomeCare Corp</t>
  </si>
  <si>
    <t>006739106</t>
  </si>
  <si>
    <t>B55BN47</t>
  </si>
  <si>
    <t>WST US Equity</t>
  </si>
  <si>
    <t>West Pharmaceutical Services I</t>
  </si>
  <si>
    <t>955306105</t>
  </si>
  <si>
    <t>2950482</t>
  </si>
  <si>
    <t>AXMP US Equity</t>
  </si>
  <si>
    <t>AXM Pharma Inc</t>
  </si>
  <si>
    <t>002457109</t>
  </si>
  <si>
    <t>2749464</t>
  </si>
  <si>
    <t>MSTF US Equity</t>
  </si>
  <si>
    <t>Monarch Staffing Inc</t>
  </si>
  <si>
    <t>609180104</t>
  </si>
  <si>
    <t>B1287Z2</t>
  </si>
  <si>
    <t>TXTM US Equity</t>
  </si>
  <si>
    <t>ProText Mobility Inc</t>
  </si>
  <si>
    <t>74371E204</t>
  </si>
  <si>
    <t>BJ35QD9</t>
  </si>
  <si>
    <t>AVDL US Equity</t>
  </si>
  <si>
    <t>Avadel Pharmaceuticals PLC</t>
  </si>
  <si>
    <t>BDGMC59</t>
  </si>
  <si>
    <t>CPYT US Equity</t>
  </si>
  <si>
    <t>CarePayment Technologies Inc</t>
  </si>
  <si>
    <t>14173D103</t>
  </si>
  <si>
    <t>2216667</t>
  </si>
  <si>
    <t>CRMD US Equity</t>
  </si>
  <si>
    <t>CorMedix Inc</t>
  </si>
  <si>
    <t>21900C308</t>
  </si>
  <si>
    <t>BJ0LT31</t>
  </si>
  <si>
    <t>CAPR US Equity</t>
  </si>
  <si>
    <t>Capricor Therapeutics Inc</t>
  </si>
  <si>
    <t>14070B309</t>
  </si>
  <si>
    <t>BK7Y2Z3</t>
  </si>
  <si>
    <t>OTRK US Equity</t>
  </si>
  <si>
    <t>Ontrak Inc</t>
  </si>
  <si>
    <t>683373401</t>
  </si>
  <si>
    <t>BP08ZB4</t>
  </si>
  <si>
    <t>LAB US Equity</t>
  </si>
  <si>
    <t>Standard BioTools Inc</t>
  </si>
  <si>
    <t>34385P108</t>
  </si>
  <si>
    <t>B3D32T9</t>
  </si>
  <si>
    <t>BTAX US Equity</t>
  </si>
  <si>
    <t>Biostax Corp</t>
  </si>
  <si>
    <t>45252A305</t>
  </si>
  <si>
    <t>BMV88K2</t>
  </si>
  <si>
    <t>SKTO US Equity</t>
  </si>
  <si>
    <t>SK3 Group Inc</t>
  </si>
  <si>
    <t>78440L107</t>
  </si>
  <si>
    <t>B1P19N0</t>
  </si>
  <si>
    <t>SGBI US Equity</t>
  </si>
  <si>
    <t>Sangui Biotech International I</t>
  </si>
  <si>
    <t>80105B101</t>
  </si>
  <si>
    <t>2397540</t>
  </si>
  <si>
    <t>CBGL US Equity</t>
  </si>
  <si>
    <t>Cannabis Global Inc</t>
  </si>
  <si>
    <t>13767G100</t>
  </si>
  <si>
    <t>BLF9376</t>
  </si>
  <si>
    <t>IBIO US Equity</t>
  </si>
  <si>
    <t>iBio Inc</t>
  </si>
  <si>
    <t>451033708</t>
  </si>
  <si>
    <t>BMVRC85</t>
  </si>
  <si>
    <t>NWCI US Equity</t>
  </si>
  <si>
    <t>NewCardio Inc</t>
  </si>
  <si>
    <t>65106G100</t>
  </si>
  <si>
    <t>B1CXCP2</t>
  </si>
  <si>
    <t>AMBS US Equity</t>
  </si>
  <si>
    <t>Amarantus Bioscience Holdings</t>
  </si>
  <si>
    <t>02300U205</t>
  </si>
  <si>
    <t>BZ0D6D8</t>
  </si>
  <si>
    <t>NUWE US Equity</t>
  </si>
  <si>
    <t>Nuwellis Inc</t>
  </si>
  <si>
    <t>67113Y603</t>
  </si>
  <si>
    <t>BR2NM54</t>
  </si>
  <si>
    <t>INLB US Equity</t>
  </si>
  <si>
    <t>Item 9 Labs Corp</t>
  </si>
  <si>
    <t>46564C203</t>
  </si>
  <si>
    <t>BGKG5G0</t>
  </si>
  <si>
    <t>SILO US Equity</t>
  </si>
  <si>
    <t>Silo Pharma Inc</t>
  </si>
  <si>
    <t>82711P201</t>
  </si>
  <si>
    <t>BQ74CB1</t>
  </si>
  <si>
    <t>PLPL US Equity</t>
  </si>
  <si>
    <t>Plandai Biotechnology Inc</t>
  </si>
  <si>
    <t>72703D100</t>
  </si>
  <si>
    <t>B72T8X2</t>
  </si>
  <si>
    <t>TCRT US Equity</t>
  </si>
  <si>
    <t>Alaunos Therapeutics Inc</t>
  </si>
  <si>
    <t>98973P309</t>
  </si>
  <si>
    <t>BP5DSB5</t>
  </si>
  <si>
    <t>SSKN US Equity</t>
  </si>
  <si>
    <t>Strata Skin Sciences Inc</t>
  </si>
  <si>
    <t>86272A305</t>
  </si>
  <si>
    <t>BSLSJF6</t>
  </si>
  <si>
    <t>RMSL US Equity</t>
  </si>
  <si>
    <t>RemSleep Holdings Inc</t>
  </si>
  <si>
    <t>75990A200</t>
  </si>
  <si>
    <t>BYVLFL5</t>
  </si>
  <si>
    <t>AMPE US Equity</t>
  </si>
  <si>
    <t>Ampio Pharmaceuticals Inc</t>
  </si>
  <si>
    <t>03209T307</t>
  </si>
  <si>
    <t>BRJ8H79</t>
  </si>
  <si>
    <t>ANIX US Equity</t>
  </si>
  <si>
    <t>Anixa Biosciences Inc</t>
  </si>
  <si>
    <t>03528H109</t>
  </si>
  <si>
    <t>BF7NLD6</t>
  </si>
  <si>
    <t>CNBI US Equity</t>
  </si>
  <si>
    <t>China BCT Pharmacy Group Inc</t>
  </si>
  <si>
    <t>16890M100</t>
  </si>
  <si>
    <t>B3D08P8</t>
  </si>
  <si>
    <t>HAE US Equity</t>
  </si>
  <si>
    <t>Haemonetics Corp</t>
  </si>
  <si>
    <t>405024100</t>
  </si>
  <si>
    <t>2401195</t>
  </si>
  <si>
    <t>CELZ US Equity</t>
  </si>
  <si>
    <t>Creative Medical Technology Ho</t>
  </si>
  <si>
    <t>22529Y408</t>
  </si>
  <si>
    <t>BQWPCM0</t>
  </si>
  <si>
    <t>BKUH US Equity</t>
  </si>
  <si>
    <t>Bakhu Holdings Corp</t>
  </si>
  <si>
    <t>057586208</t>
  </si>
  <si>
    <t>BFWVN73</t>
  </si>
  <si>
    <t>CNBX US Equity</t>
  </si>
  <si>
    <t>CNBX Pharmaceuticals Inc</t>
  </si>
  <si>
    <t>13764M209</t>
  </si>
  <si>
    <t>BLDBLV4</t>
  </si>
  <si>
    <t>INTI US Equity</t>
  </si>
  <si>
    <t>Inhibitor Therapeutics Inc</t>
  </si>
  <si>
    <t>45720M105</t>
  </si>
  <si>
    <t>BJTJ6R9</t>
  </si>
  <si>
    <t>ORGS US Equity</t>
  </si>
  <si>
    <t>Orgenesis Inc</t>
  </si>
  <si>
    <t>68619K303</t>
  </si>
  <si>
    <t>BQPDMT8</t>
  </si>
  <si>
    <t>KALY US Equity</t>
  </si>
  <si>
    <t>Kali Inc</t>
  </si>
  <si>
    <t>483380101</t>
  </si>
  <si>
    <t>BYNQ8Y2</t>
  </si>
  <si>
    <t>NUTX US Equity</t>
  </si>
  <si>
    <t>Nutex Health Inc</t>
  </si>
  <si>
    <t>67079U306</t>
  </si>
  <si>
    <t>BSMNX92</t>
  </si>
  <si>
    <t>AWH US Equity</t>
  </si>
  <si>
    <t>Aspira Women's Health Inc</t>
  </si>
  <si>
    <t>04537Y208</t>
  </si>
  <si>
    <t>BMCJW79</t>
  </si>
  <si>
    <t>CATX US Equity</t>
  </si>
  <si>
    <t>Perspective Therapeutics Inc</t>
  </si>
  <si>
    <t>46489V302</t>
  </si>
  <si>
    <t>BS096W6</t>
  </si>
  <si>
    <t>DYXC US Equity</t>
  </si>
  <si>
    <t>DiaSys Corp</t>
  </si>
  <si>
    <t>252838107</t>
  </si>
  <si>
    <t>2254117</t>
  </si>
  <si>
    <t>ECGS US Equity</t>
  </si>
  <si>
    <t>Eco-Growth Strategies Inc</t>
  </si>
  <si>
    <t>27890J104</t>
  </si>
  <si>
    <t>BKKFCH5</t>
  </si>
  <si>
    <t>VICA US Equity</t>
  </si>
  <si>
    <t>Rafina Innovations Inc</t>
  </si>
  <si>
    <t>75063R106</t>
  </si>
  <si>
    <t>BZ8VH42</t>
  </si>
  <si>
    <t>IDXG US Equity</t>
  </si>
  <si>
    <t>Interpace Biosciences Inc</t>
  </si>
  <si>
    <t>46062X303</t>
  </si>
  <si>
    <t>BKP8HG3</t>
  </si>
  <si>
    <t>NOUV US Equity</t>
  </si>
  <si>
    <t>Nouveau Life Pharmaceuticals I</t>
  </si>
  <si>
    <t>66979K103</t>
  </si>
  <si>
    <t>B7XP0W2</t>
  </si>
  <si>
    <t>POCI US Equity</t>
  </si>
  <si>
    <t>Precision Optics Corp Inc/Mass</t>
  </si>
  <si>
    <t>740294400</t>
  </si>
  <si>
    <t>BQVW415</t>
  </si>
  <si>
    <t>KKUR US Equity</t>
  </si>
  <si>
    <t>Chromocure Inc</t>
  </si>
  <si>
    <t>171127103</t>
  </si>
  <si>
    <t>B1VYP35</t>
  </si>
  <si>
    <t>ISRG US Equity</t>
  </si>
  <si>
    <t>Intuitive Surgical Inc</t>
  </si>
  <si>
    <t>46120E602</t>
  </si>
  <si>
    <t>2871301</t>
  </si>
  <si>
    <t>ABT US Equity</t>
  </si>
  <si>
    <t>Abbott Laboratories</t>
  </si>
  <si>
    <t>002824100</t>
  </si>
  <si>
    <t>2002305</t>
  </si>
  <si>
    <t>VNRX US Equity</t>
  </si>
  <si>
    <t>VolitionRX Ltd</t>
  </si>
  <si>
    <t>928661107</t>
  </si>
  <si>
    <t>B71LH98</t>
  </si>
  <si>
    <t>POAI US Equity</t>
  </si>
  <si>
    <t>Predictive Oncology Inc</t>
  </si>
  <si>
    <t>74039M309</t>
  </si>
  <si>
    <t>BQB9X97</t>
  </si>
  <si>
    <t>WCUI US Equity</t>
  </si>
  <si>
    <t>Wellness Center USA Inc</t>
  </si>
  <si>
    <t>94973A103</t>
  </si>
  <si>
    <t>B5BQQ25</t>
  </si>
  <si>
    <t>DSOL US Equity</t>
  </si>
  <si>
    <t>Drug Free Solution Inc</t>
  </si>
  <si>
    <t>262194103</t>
  </si>
  <si>
    <t>BJ05QV0</t>
  </si>
  <si>
    <t>CXBS US Equity</t>
  </si>
  <si>
    <t>Corix Bioscience Inc</t>
  </si>
  <si>
    <t>21887N103</t>
  </si>
  <si>
    <t>BF7MQC7</t>
  </si>
  <si>
    <t>SCND US Equity</t>
  </si>
  <si>
    <t>Scientific Industries Inc</t>
  </si>
  <si>
    <t>808757108</t>
  </si>
  <si>
    <t>2779654</t>
  </si>
  <si>
    <t>VDRM US Equity</t>
  </si>
  <si>
    <t>ViaDerma Inc</t>
  </si>
  <si>
    <t>92555K101</t>
  </si>
  <si>
    <t>BMH0N41</t>
  </si>
  <si>
    <t>AXRX US Equity</t>
  </si>
  <si>
    <t>Amexdrug Corp</t>
  </si>
  <si>
    <t>031139207</t>
  </si>
  <si>
    <t>B9B9FH0</t>
  </si>
  <si>
    <t>ERUC US Equity</t>
  </si>
  <si>
    <t>ER Urgent Care Holdings Inc</t>
  </si>
  <si>
    <t>26884H207</t>
  </si>
  <si>
    <t>B1W7RJ3</t>
  </si>
  <si>
    <t>KPEA US Equity</t>
  </si>
  <si>
    <t>Kun Peng International Ltd</t>
  </si>
  <si>
    <t>12672T108</t>
  </si>
  <si>
    <t>BDFG8R6</t>
  </si>
  <si>
    <t>CBIA US Equity</t>
  </si>
  <si>
    <t>Canopus Biopharma Inc</t>
  </si>
  <si>
    <t>138034103</t>
  </si>
  <si>
    <t>B02ZLS7</t>
  </si>
  <si>
    <t>CYCC US Equity</t>
  </si>
  <si>
    <t>Cyclacel Pharmaceuticals Inc</t>
  </si>
  <si>
    <t>23254L801</t>
  </si>
  <si>
    <t>BM9HFC2</t>
  </si>
  <si>
    <t>CPHI US Equity</t>
  </si>
  <si>
    <t>China Pharma Holdings Inc</t>
  </si>
  <si>
    <t>16941T302</t>
  </si>
  <si>
    <t>BPGN8B4</t>
  </si>
  <si>
    <t>BIXT US Equity</t>
  </si>
  <si>
    <t>Bioxytran Inc</t>
  </si>
  <si>
    <t>09075D102</t>
  </si>
  <si>
    <t>BGL88X3</t>
  </si>
  <si>
    <t>RMHI US Equity</t>
  </si>
  <si>
    <t>Retrieve Medical Holdings Inc</t>
  </si>
  <si>
    <t>70469W205</t>
  </si>
  <si>
    <t>BNKCHT4</t>
  </si>
  <si>
    <t>TBET US Equity</t>
  </si>
  <si>
    <t>Tibet Pharmaceuticals Inc</t>
  </si>
  <si>
    <t>B54M5B2</t>
  </si>
  <si>
    <t>ASMB US Equity</t>
  </si>
  <si>
    <t>Assembly Biosciences Inc</t>
  </si>
  <si>
    <t>045396207</t>
  </si>
  <si>
    <t>BSF1TH3</t>
  </si>
  <si>
    <t>ELMD US Equity</t>
  </si>
  <si>
    <t>Electromed Inc</t>
  </si>
  <si>
    <t>285409108</t>
  </si>
  <si>
    <t>B3WLLH5</t>
  </si>
  <si>
    <t>BIEI US Equity</t>
  </si>
  <si>
    <t>Premier Biomedical Inc</t>
  </si>
  <si>
    <t>74048K203</t>
  </si>
  <si>
    <t>BD36VL3</t>
  </si>
  <si>
    <t>MICRD US Equity</t>
  </si>
  <si>
    <t>Micron Solutions Inc</t>
  </si>
  <si>
    <t>59511X204</t>
  </si>
  <si>
    <t>BRXGNZ9</t>
  </si>
  <si>
    <t>CEOS US Equity</t>
  </si>
  <si>
    <t>CeCors Inc</t>
  </si>
  <si>
    <t>150043107</t>
  </si>
  <si>
    <t>B0F71V3</t>
  </si>
  <si>
    <t>GRST US Equity</t>
  </si>
  <si>
    <t>Ethema Health Corp</t>
  </si>
  <si>
    <t>29764P109</t>
  </si>
  <si>
    <t>BDFG5G4</t>
  </si>
  <si>
    <t>CLPT US Equity</t>
  </si>
  <si>
    <t>ClearPoint Neuro Inc</t>
  </si>
  <si>
    <t>18507C103</t>
  </si>
  <si>
    <t>BKT1TK6</t>
  </si>
  <si>
    <t>NNMX US Equity</t>
  </si>
  <si>
    <t>Nanomix Corp</t>
  </si>
  <si>
    <t>63008H201</t>
  </si>
  <si>
    <t>BQ0GK98</t>
  </si>
  <si>
    <t>HROW US Equity</t>
  </si>
  <si>
    <t>Harrow Inc</t>
  </si>
  <si>
    <t>415858109</t>
  </si>
  <si>
    <t>BHNDW86</t>
  </si>
  <si>
    <t>JTBK US Equity</t>
  </si>
  <si>
    <t>Jetblack Corp</t>
  </si>
  <si>
    <t>47714A105</t>
  </si>
  <si>
    <t>B1431F3</t>
  </si>
  <si>
    <t>CANL US Equity</t>
  </si>
  <si>
    <t>CannLabs Inc</t>
  </si>
  <si>
    <t>13767T102</t>
  </si>
  <si>
    <t>BNB7R09</t>
  </si>
  <si>
    <t>LEXX US Equity</t>
  </si>
  <si>
    <t>Lexaria Bioscience Corp</t>
  </si>
  <si>
    <t>52886N406</t>
  </si>
  <si>
    <t>BLB3SQ6</t>
  </si>
  <si>
    <t>FBIO US Equity</t>
  </si>
  <si>
    <t>Fortress Biotech Inc</t>
  </si>
  <si>
    <t>34960Q307</t>
  </si>
  <si>
    <t>BS82D93</t>
  </si>
  <si>
    <t>OMER US Equity</t>
  </si>
  <si>
    <t>Omeros Corp</t>
  </si>
  <si>
    <t>682143102</t>
  </si>
  <si>
    <t>B4NB858</t>
  </si>
  <si>
    <t>AMBD US Equity</t>
  </si>
  <si>
    <t>American Mobile Dental Corp</t>
  </si>
  <si>
    <t>02755P107</t>
  </si>
  <si>
    <t>B01ZPM0</t>
  </si>
  <si>
    <t>ALT US Equity</t>
  </si>
  <si>
    <t>Altimmune Inc</t>
  </si>
  <si>
    <t>02155H200</t>
  </si>
  <si>
    <t>BFY7DC4</t>
  </si>
  <si>
    <t>VNDA US Equity</t>
  </si>
  <si>
    <t>Vanda Pharmaceuticals Inc</t>
  </si>
  <si>
    <t>921659108</t>
  </si>
  <si>
    <t>B12W3P6</t>
  </si>
  <si>
    <t>VYCO US Equity</t>
  </si>
  <si>
    <t>Vycor Medical Inc</t>
  </si>
  <si>
    <t>92921M203</t>
  </si>
  <si>
    <t>B99MCC5</t>
  </si>
  <si>
    <t>BKD US Equity</t>
  </si>
  <si>
    <t>Brookdale Senior Living Inc</t>
  </si>
  <si>
    <t>112463104</t>
  </si>
  <si>
    <t>B0PZN33</t>
  </si>
  <si>
    <t>ROSGQ US Equity</t>
  </si>
  <si>
    <t>Rosetta Genomics Ltd</t>
  </si>
  <si>
    <t>B1FRWH3</t>
  </si>
  <si>
    <t>CORBF US Equity</t>
  </si>
  <si>
    <t>Global Cord Blood Corp</t>
  </si>
  <si>
    <t>BZ8VL95</t>
  </si>
  <si>
    <t>FOLD US Equity</t>
  </si>
  <si>
    <t>Amicus Therapeutics Inc</t>
  </si>
  <si>
    <t>03152W109</t>
  </si>
  <si>
    <t>B19FQ48</t>
  </si>
  <si>
    <t>IRWD US Equity</t>
  </si>
  <si>
    <t>Ironwood Pharmaceuticals Inc</t>
  </si>
  <si>
    <t>46333X108</t>
  </si>
  <si>
    <t>B3MZ6K5</t>
  </si>
  <si>
    <t>AXDX US Equity</t>
  </si>
  <si>
    <t>Accelerate Diagnostics Inc</t>
  </si>
  <si>
    <t>00430H201</t>
  </si>
  <si>
    <t>BMTQ314</t>
  </si>
  <si>
    <t>LUDG US Equity</t>
  </si>
  <si>
    <t>Ludwig Enterprises Inc</t>
  </si>
  <si>
    <t>54973P401</t>
  </si>
  <si>
    <t>B3NNC44</t>
  </si>
  <si>
    <t>ACHC US Equity</t>
  </si>
  <si>
    <t>Acadia Healthcare Co Inc</t>
  </si>
  <si>
    <t>00404A109</t>
  </si>
  <si>
    <t>B65VZ37</t>
  </si>
  <si>
    <t>OVIT US Equity</t>
  </si>
  <si>
    <t>OncoVista Innovative Therapies</t>
  </si>
  <si>
    <t>68232J105</t>
  </si>
  <si>
    <t>B0VLLR5</t>
  </si>
  <si>
    <t>PRPH US Equity</t>
  </si>
  <si>
    <t>ProPhase Labs Inc</t>
  </si>
  <si>
    <t>74345W108</t>
  </si>
  <si>
    <t>2738332</t>
  </si>
  <si>
    <t>RGRX US Equity</t>
  </si>
  <si>
    <t>RegeneRx Biopharmaceuticals In</t>
  </si>
  <si>
    <t>75886X306</t>
  </si>
  <si>
    <t>BMCLD05</t>
  </si>
  <si>
    <t>RGEN US Equity</t>
  </si>
  <si>
    <t>Repligen Corp</t>
  </si>
  <si>
    <t>759916109</t>
  </si>
  <si>
    <t>2731654</t>
  </si>
  <si>
    <t>AMS US Equity</t>
  </si>
  <si>
    <t>American Shared Hospital Servi</t>
  </si>
  <si>
    <t>029595105</t>
  </si>
  <si>
    <t>2029359</t>
  </si>
  <si>
    <t>CVM US Equity</t>
  </si>
  <si>
    <t>CEL-SCI Corp</t>
  </si>
  <si>
    <t>150837607</t>
  </si>
  <si>
    <t>BDFZC26</t>
  </si>
  <si>
    <t>ENDV US Equity</t>
  </si>
  <si>
    <t>Endonovo Therapeutics Inc</t>
  </si>
  <si>
    <t>29272H300</t>
  </si>
  <si>
    <t>BKWC7L3</t>
  </si>
  <si>
    <t>BCRX US Equity</t>
  </si>
  <si>
    <t>BioCryst Pharmaceuticals Inc</t>
  </si>
  <si>
    <t>09058V103</t>
  </si>
  <si>
    <t>2100362</t>
  </si>
  <si>
    <t>EDSA US Equity</t>
  </si>
  <si>
    <t>Edesa Biotech Inc</t>
  </si>
  <si>
    <t>27966L306</t>
  </si>
  <si>
    <t>BQGG3M6</t>
  </si>
  <si>
    <t>NTII US Equity</t>
  </si>
  <si>
    <t>Neurobiological Technologies I</t>
  </si>
  <si>
    <t>64124W304</t>
  </si>
  <si>
    <t>2624066</t>
  </si>
  <si>
    <t>MDXG US Equity</t>
  </si>
  <si>
    <t>MiMedx Group Inc</t>
  </si>
  <si>
    <t>602496101</t>
  </si>
  <si>
    <t>B1Z3TW5</t>
  </si>
  <si>
    <t>ALTS US Equity</t>
  </si>
  <si>
    <t>ALT5 Sigma Corp</t>
  </si>
  <si>
    <t>47089W104</t>
  </si>
  <si>
    <t>BKFHHK4</t>
  </si>
  <si>
    <t>CNLK US Equity</t>
  </si>
  <si>
    <t>Cannalink Inc</t>
  </si>
  <si>
    <t>13765B103</t>
  </si>
  <si>
    <t>BQRWYL9</t>
  </si>
  <si>
    <t>AIM US Equity</t>
  </si>
  <si>
    <t>AIM ImmunoTech Inc</t>
  </si>
  <si>
    <t>00901B105</t>
  </si>
  <si>
    <t>BKM8GV4</t>
  </si>
  <si>
    <t>OPK US Equity</t>
  </si>
  <si>
    <t>OPKO Health Inc</t>
  </si>
  <si>
    <t>68375N103</t>
  </si>
  <si>
    <t>2115902</t>
  </si>
  <si>
    <t>KOAN US Equity</t>
  </si>
  <si>
    <t>Resonate Blends Inc</t>
  </si>
  <si>
    <t>76090M102</t>
  </si>
  <si>
    <t>BK9Q2P7</t>
  </si>
  <si>
    <t>ACGI US Equity</t>
  </si>
  <si>
    <t>Amacore Group Inc/The</t>
  </si>
  <si>
    <t>022624100</t>
  </si>
  <si>
    <t>2805504</t>
  </si>
  <si>
    <t>HMGN US Equity</t>
  </si>
  <si>
    <t>Hemagen Diagnostics Inc</t>
  </si>
  <si>
    <t>423501105</t>
  </si>
  <si>
    <t>2420952</t>
  </si>
  <si>
    <t>NKTR US Equity</t>
  </si>
  <si>
    <t>Nektar Therapeutics</t>
  </si>
  <si>
    <t>640268108</t>
  </si>
  <si>
    <t>2454445</t>
  </si>
  <si>
    <t>PFHO US Equity</t>
  </si>
  <si>
    <t>Pacific Health Care Organizati</t>
  </si>
  <si>
    <t>69439P407</t>
  </si>
  <si>
    <t>BJXNQH7</t>
  </si>
  <si>
    <t>CVS US Equity</t>
  </si>
  <si>
    <t>CVS Health Corp</t>
  </si>
  <si>
    <t>126650100</t>
  </si>
  <si>
    <t>2577609</t>
  </si>
  <si>
    <t>900917 CH Equity</t>
  </si>
  <si>
    <t>Shanghai Haixin Group Co</t>
  </si>
  <si>
    <t>6826415</t>
  </si>
  <si>
    <t>ORKA US Equity</t>
  </si>
  <si>
    <t>Oruka Therapeutics Inc</t>
  </si>
  <si>
    <t>687604108</t>
  </si>
  <si>
    <t>BKVF0J2</t>
  </si>
  <si>
    <t>MLSS US Equity</t>
  </si>
  <si>
    <t>Milestone Scientific Inc</t>
  </si>
  <si>
    <t>59935P209</t>
  </si>
  <si>
    <t>2323352</t>
  </si>
  <si>
    <t>CBSC US Equity</t>
  </si>
  <si>
    <t>CB Scientific Inc</t>
  </si>
  <si>
    <t>12506E103</t>
  </si>
  <si>
    <t>BYVJXG0</t>
  </si>
  <si>
    <t>WUHN US Equity</t>
  </si>
  <si>
    <t>M2bio Sciences Inc</t>
  </si>
  <si>
    <t>982569105</t>
  </si>
  <si>
    <t>B1LGZ97</t>
  </si>
  <si>
    <t>TRIB US Equity</t>
  </si>
  <si>
    <t>Trinity Biotech PLC</t>
  </si>
  <si>
    <t>896438504</t>
  </si>
  <si>
    <t>BP69W76</t>
  </si>
  <si>
    <t>TTNP US Equity</t>
  </si>
  <si>
    <t>Titan Pharmaceuticals Inc</t>
  </si>
  <si>
    <t>888314705</t>
  </si>
  <si>
    <t>BPCMS59</t>
  </si>
  <si>
    <t>KOVR US Equity</t>
  </si>
  <si>
    <t>Korver Corp</t>
  </si>
  <si>
    <t>50067G109</t>
  </si>
  <si>
    <t>BFMFJR7</t>
  </si>
  <si>
    <t>SVSO US Equity</t>
  </si>
  <si>
    <t>SheerVision Inc</t>
  </si>
  <si>
    <t>82104Q105</t>
  </si>
  <si>
    <t>B11Y5D5</t>
  </si>
  <si>
    <t>CUTR US Equity</t>
  </si>
  <si>
    <t>Cutera Inc</t>
  </si>
  <si>
    <t>232109108</t>
  </si>
  <si>
    <t>2839741</t>
  </si>
  <si>
    <t>ULGX US Equity</t>
  </si>
  <si>
    <t>Urologix Inc</t>
  </si>
  <si>
    <t>917273104</t>
  </si>
  <si>
    <t>2892313</t>
  </si>
  <si>
    <t>PRTG US Equity</t>
  </si>
  <si>
    <t>Portage Biotech Inc</t>
  </si>
  <si>
    <t>BNDSZG2</t>
  </si>
  <si>
    <t>REMI US Equity</t>
  </si>
  <si>
    <t>Remedent Inc</t>
  </si>
  <si>
    <t>75954T104</t>
  </si>
  <si>
    <t>B0B1F39</t>
  </si>
  <si>
    <t>SPDE US Equity</t>
  </si>
  <si>
    <t>Speedus Corp</t>
  </si>
  <si>
    <t>847723202</t>
  </si>
  <si>
    <t>2181992</t>
  </si>
  <si>
    <t>MD US Equity</t>
  </si>
  <si>
    <t>Pediatrix Medical Group Inc</t>
  </si>
  <si>
    <t>58502B106</t>
  </si>
  <si>
    <t>2677640</t>
  </si>
  <si>
    <t>MYGN US Equity</t>
  </si>
  <si>
    <t>Myriad Genetics Inc</t>
  </si>
  <si>
    <t>62855J104</t>
  </si>
  <si>
    <t>2614153</t>
  </si>
  <si>
    <t>MDIN US Equity</t>
  </si>
  <si>
    <t>MedGen Inc</t>
  </si>
  <si>
    <t>58436J100</t>
  </si>
  <si>
    <t>BYL6R14</t>
  </si>
  <si>
    <t>VCEL US Equity</t>
  </si>
  <si>
    <t>Vericel Corp</t>
  </si>
  <si>
    <t>92346J108</t>
  </si>
  <si>
    <t>BSBMN89</t>
  </si>
  <si>
    <t>SLDX US Equity</t>
  </si>
  <si>
    <t>Stella Diagnostics Inc</t>
  </si>
  <si>
    <t>85853Y104</t>
  </si>
  <si>
    <t>BNC0D98</t>
  </si>
  <si>
    <t>MHTX US Equity</t>
  </si>
  <si>
    <t>Manhattan Scientifics Inc</t>
  </si>
  <si>
    <t>563122100</t>
  </si>
  <si>
    <t>2156741</t>
  </si>
  <si>
    <t>MRKR US Equity</t>
  </si>
  <si>
    <t>Marker Therapeutics Inc</t>
  </si>
  <si>
    <t>57055L206</t>
  </si>
  <si>
    <t>BPRB2H1</t>
  </si>
  <si>
    <t>OSUR US Equity</t>
  </si>
  <si>
    <t>OraSure Technologies Inc</t>
  </si>
  <si>
    <t>68554V108</t>
  </si>
  <si>
    <t>2318790</t>
  </si>
  <si>
    <t>BSPK US Equity</t>
  </si>
  <si>
    <t>Bespoke Extracts Inc</t>
  </si>
  <si>
    <t>08634Q208</t>
  </si>
  <si>
    <t>BQWS296</t>
  </si>
  <si>
    <t>DTRK US Equity</t>
  </si>
  <si>
    <t>DATATRAK International Inc</t>
  </si>
  <si>
    <t>238134209</t>
  </si>
  <si>
    <t>BBDRT30</t>
  </si>
  <si>
    <t>CGEN US Equity</t>
  </si>
  <si>
    <t>Compugen Ltd</t>
  </si>
  <si>
    <t>2620859</t>
  </si>
  <si>
    <t>IPAH US Equity</t>
  </si>
  <si>
    <t>Interpharm Holdings Inc</t>
  </si>
  <si>
    <t>460588106</t>
  </si>
  <si>
    <t>2127394</t>
  </si>
  <si>
    <t>SYVC US Equity</t>
  </si>
  <si>
    <t>Synovics Pharmaceuticals Inc</t>
  </si>
  <si>
    <t>87163M101</t>
  </si>
  <si>
    <t>2761811</t>
  </si>
  <si>
    <t>ADLI US Equity</t>
  </si>
  <si>
    <t>American Medical Technologies</t>
  </si>
  <si>
    <t>02744X104</t>
  </si>
  <si>
    <t>2013471</t>
  </si>
  <si>
    <t>CVSC US Equity</t>
  </si>
  <si>
    <t>Cardiovascular Sciences Inc</t>
  </si>
  <si>
    <t>141614206</t>
  </si>
  <si>
    <t>B15T1D8</t>
  </si>
  <si>
    <t>PARD US Equity</t>
  </si>
  <si>
    <t>Poniard Pharmaceuticals Inc</t>
  </si>
  <si>
    <t>732449400</t>
  </si>
  <si>
    <t>B719899</t>
  </si>
  <si>
    <t>AJOY US Equity</t>
  </si>
  <si>
    <t>Ayujoy Herbals Ltd</t>
  </si>
  <si>
    <t>054761101</t>
  </si>
  <si>
    <t>BN2XDG4</t>
  </si>
  <si>
    <t>IGNT US Equity</t>
  </si>
  <si>
    <t>Ingen Technologies Inc</t>
  </si>
  <si>
    <t>45684G508</t>
  </si>
  <si>
    <t>B0T0CR1</t>
  </si>
  <si>
    <t>EDAP US Equity</t>
  </si>
  <si>
    <t>EDAP TMS SA</t>
  </si>
  <si>
    <t>268311107</t>
  </si>
  <si>
    <t>2086677</t>
  </si>
  <si>
    <t>TGTX US Equity</t>
  </si>
  <si>
    <t>TG Therapeutics Inc</t>
  </si>
  <si>
    <t>88322Q108</t>
  </si>
  <si>
    <t>B828K63</t>
  </si>
  <si>
    <t>CRDF US Equity</t>
  </si>
  <si>
    <t>Cardiff Oncology Inc</t>
  </si>
  <si>
    <t>14147L108</t>
  </si>
  <si>
    <t>BMZ8228</t>
  </si>
  <si>
    <t>SMAS US Equity</t>
  </si>
  <si>
    <t>Somatic Systems Inc</t>
  </si>
  <si>
    <t>83444X107</t>
  </si>
  <si>
    <t>2373283</t>
  </si>
  <si>
    <t>MTD US Equity</t>
  </si>
  <si>
    <t>Mettler-Toledo International I</t>
  </si>
  <si>
    <t>592688105</t>
  </si>
  <si>
    <t>2126249</t>
  </si>
  <si>
    <t>IRIX US Equity</t>
  </si>
  <si>
    <t>IRIDEX Corp</t>
  </si>
  <si>
    <t>462684101</t>
  </si>
  <si>
    <t>2476375</t>
  </si>
  <si>
    <t>MEIP US Equity</t>
  </si>
  <si>
    <t>MEI Pharma Inc</t>
  </si>
  <si>
    <t>55279B301</t>
  </si>
  <si>
    <t>BP5HNT0</t>
  </si>
  <si>
    <t>SNGX US Equity</t>
  </si>
  <si>
    <t>Soligenix Inc</t>
  </si>
  <si>
    <t>834223604</t>
  </si>
  <si>
    <t>BRDY8Q9</t>
  </si>
  <si>
    <t>ELTP US Equity</t>
  </si>
  <si>
    <t>Elite Pharmaceuticals Inc</t>
  </si>
  <si>
    <t>28659T200</t>
  </si>
  <si>
    <t>2248660</t>
  </si>
  <si>
    <t>OTLC US Equity</t>
  </si>
  <si>
    <t>Oncotelic Therapeutics Inc</t>
  </si>
  <si>
    <t>628341109</t>
  </si>
  <si>
    <t>BMD26W0</t>
  </si>
  <si>
    <t>EDXC US Equity</t>
  </si>
  <si>
    <t>Endexx Corp</t>
  </si>
  <si>
    <t>29259K102</t>
  </si>
  <si>
    <t>2855952</t>
  </si>
  <si>
    <t>CAH US Equity</t>
  </si>
  <si>
    <t>Cardinal Health Inc</t>
  </si>
  <si>
    <t>14149Y108</t>
  </si>
  <si>
    <t>2175672</t>
  </si>
  <si>
    <t>ALID US Equity</t>
  </si>
  <si>
    <t>Allied Corp</t>
  </si>
  <si>
    <t>019114107</t>
  </si>
  <si>
    <t>BJBM7G2</t>
  </si>
  <si>
    <t>INIS US Equity</t>
  </si>
  <si>
    <t>International Isotopes Inc</t>
  </si>
  <si>
    <t>45972C102</t>
  </si>
  <si>
    <t>2103758</t>
  </si>
  <si>
    <t>RMTN US Equity</t>
  </si>
  <si>
    <t>Rocky Mountain Ayre Inc</t>
  </si>
  <si>
    <t>774673107</t>
  </si>
  <si>
    <t>BVVT7G7</t>
  </si>
  <si>
    <t>COO US Equity</t>
  </si>
  <si>
    <t>Cooper Cos Inc/The</t>
  </si>
  <si>
    <t>216648501</t>
  </si>
  <si>
    <t>BQPDXR3</t>
  </si>
  <si>
    <t>SINT US Equity</t>
  </si>
  <si>
    <t>SiNtx Technologies Inc</t>
  </si>
  <si>
    <t>829392703</t>
  </si>
  <si>
    <t>BS87WZ7</t>
  </si>
  <si>
    <t>FPCG US Equity</t>
  </si>
  <si>
    <t>First Physicians Capital Group</t>
  </si>
  <si>
    <t>33613R209</t>
  </si>
  <si>
    <t>BRK0213</t>
  </si>
  <si>
    <t>PDEX US Equity</t>
  </si>
  <si>
    <t>Pro-Dex Inc</t>
  </si>
  <si>
    <t>74265M205</t>
  </si>
  <si>
    <t>2704292</t>
  </si>
  <si>
    <t>SMTI US Equity</t>
  </si>
  <si>
    <t>Sanara Medtech Inc</t>
  </si>
  <si>
    <t>79957L100</t>
  </si>
  <si>
    <t>BJDQMV2</t>
  </si>
  <si>
    <t>ADVT US Equity</t>
  </si>
  <si>
    <t>Advantis Corp</t>
  </si>
  <si>
    <t>007614100</t>
  </si>
  <si>
    <t>BZ4BYW3</t>
  </si>
  <si>
    <t>LCDX US Equity</t>
  </si>
  <si>
    <t>Caliber Imaging &amp; Diagnostics</t>
  </si>
  <si>
    <t>13001C105</t>
  </si>
  <si>
    <t>BL648F3</t>
  </si>
  <si>
    <t>ABMC US Equity</t>
  </si>
  <si>
    <t>American Bio Medica Corp</t>
  </si>
  <si>
    <t>024600108</t>
  </si>
  <si>
    <t>2029553</t>
  </si>
  <si>
    <t>PODD US Equity</t>
  </si>
  <si>
    <t>Insulet Corp</t>
  </si>
  <si>
    <t>45784P101</t>
  </si>
  <si>
    <t>B1XGNW4</t>
  </si>
  <si>
    <t>BLFS US Equity</t>
  </si>
  <si>
    <t>BioLife Solutions Inc</t>
  </si>
  <si>
    <t>09062W204</t>
  </si>
  <si>
    <t>BJH08B2</t>
  </si>
  <si>
    <t>MODV US Equity</t>
  </si>
  <si>
    <t>ModivCare Inc</t>
  </si>
  <si>
    <t>60783X104</t>
  </si>
  <si>
    <t>BNDL420</t>
  </si>
  <si>
    <t>Know Labs Inc</t>
  </si>
  <si>
    <t>NIKA US Equity</t>
  </si>
  <si>
    <t>Nika Pharmaceuticals Inc</t>
  </si>
  <si>
    <t>151341104</t>
  </si>
  <si>
    <t>2387507</t>
  </si>
  <si>
    <t>ISCO US Equity</t>
  </si>
  <si>
    <t>International Stem Cell Corp</t>
  </si>
  <si>
    <t>460378201</t>
  </si>
  <si>
    <t>BYVDJP3</t>
  </si>
  <si>
    <t>LSTA US Equity</t>
  </si>
  <si>
    <t>Lisata Therapeutics Inc</t>
  </si>
  <si>
    <t>128058302</t>
  </si>
  <si>
    <t>BPX4QH2</t>
  </si>
  <si>
    <t>CGNH US Equity</t>
  </si>
  <si>
    <t>CardioGenics Holdings Inc</t>
  </si>
  <si>
    <t>14160X203</t>
  </si>
  <si>
    <t>B01DXC0</t>
  </si>
  <si>
    <t>VXRT US Equity</t>
  </si>
  <si>
    <t>Vaxart Inc</t>
  </si>
  <si>
    <t>92243A200</t>
  </si>
  <si>
    <t>BYWJD92</t>
  </si>
  <si>
    <t>STXS US Equity</t>
  </si>
  <si>
    <t>Stereotaxis Inc</t>
  </si>
  <si>
    <t>85916J409</t>
  </si>
  <si>
    <t>B8J3C43</t>
  </si>
  <si>
    <t>ARNI US Equity</t>
  </si>
  <si>
    <t>Arno Therapeutics Inc</t>
  </si>
  <si>
    <t>042564203</t>
  </si>
  <si>
    <t>BG4BK22</t>
  </si>
  <si>
    <t>PKTX US Equity</t>
  </si>
  <si>
    <t>ProtoKinetix Inc</t>
  </si>
  <si>
    <t>743722100</t>
  </si>
  <si>
    <t>2828750</t>
  </si>
  <si>
    <t>DFHL US Equity</t>
  </si>
  <si>
    <t>Dong Fang Hui Le Inc</t>
  </si>
  <si>
    <t>25774M201</t>
  </si>
  <si>
    <t>BYWFFK5</t>
  </si>
  <si>
    <t>RIGL US Equity</t>
  </si>
  <si>
    <t>Rigel Pharmaceuticals Inc</t>
  </si>
  <si>
    <t>766559702</t>
  </si>
  <si>
    <t>BQD3J33</t>
  </si>
  <si>
    <t>USNU US Equity</t>
  </si>
  <si>
    <t>US Neurosurgical Holdings Inc</t>
  </si>
  <si>
    <t>90336K101</t>
  </si>
  <si>
    <t>2488411</t>
  </si>
  <si>
    <t>EVIO US Equity</t>
  </si>
  <si>
    <t>EVIO Inc</t>
  </si>
  <si>
    <t>30051V106</t>
  </si>
  <si>
    <t>BD9GWM5</t>
  </si>
  <si>
    <t>INO US Equity</t>
  </si>
  <si>
    <t>Inovio Pharmaceuticals Inc</t>
  </si>
  <si>
    <t>45773H409</t>
  </si>
  <si>
    <t>BN6V126</t>
  </si>
  <si>
    <t>ADXS US Equity</t>
  </si>
  <si>
    <t>Ayala Pharmaceuticals Inc</t>
  </si>
  <si>
    <t>007624406</t>
  </si>
  <si>
    <t>BPVC9K2</t>
  </si>
  <si>
    <t>XCRP US Equity</t>
  </si>
  <si>
    <t>Xcorporeal Inc</t>
  </si>
  <si>
    <t>98400P104</t>
  </si>
  <si>
    <t>B1T4VQ2</t>
  </si>
  <si>
    <t>VGLS US Equity</t>
  </si>
  <si>
    <t>VG Life Sciences Inc</t>
  </si>
  <si>
    <t>91822T101</t>
  </si>
  <si>
    <t>B90JCC5</t>
  </si>
  <si>
    <t>GTHP US Equity</t>
  </si>
  <si>
    <t>Guided Therapeutics Inc</t>
  </si>
  <si>
    <t>40171F501</t>
  </si>
  <si>
    <t>BJ5K1F9</t>
  </si>
  <si>
    <t>THCT US Equity</t>
  </si>
  <si>
    <t>THC Therapeutics Inc</t>
  </si>
  <si>
    <t>87248Q101</t>
  </si>
  <si>
    <t>BFMXLT7</t>
  </si>
  <si>
    <t>IRME US Equity</t>
  </si>
  <si>
    <t>IR-Med Inc</t>
  </si>
  <si>
    <t>46265R103</t>
  </si>
  <si>
    <t>BMDH1B9</t>
  </si>
  <si>
    <t>SANUWAVE Health Inc</t>
  </si>
  <si>
    <t>GNLKQ US Equity</t>
  </si>
  <si>
    <t>GeneLink Inc</t>
  </si>
  <si>
    <t>36870F107</t>
  </si>
  <si>
    <t>2327183</t>
  </si>
  <si>
    <t>OCLG US Equity</t>
  </si>
  <si>
    <t>Oncologix Tech Inc</t>
  </si>
  <si>
    <t>68230M209</t>
  </si>
  <si>
    <t>2534659</t>
  </si>
  <si>
    <t>MLKNA US Equity</t>
  </si>
  <si>
    <t>MedLink International Inc</t>
  </si>
  <si>
    <t>58502M102</t>
  </si>
  <si>
    <t>B0R4MJ7</t>
  </si>
  <si>
    <t>EBYH US Equity</t>
  </si>
  <si>
    <t>Strainsforpains Inc</t>
  </si>
  <si>
    <t>26827D107</t>
  </si>
  <si>
    <t>B7TJ4Y8</t>
  </si>
  <si>
    <t>CBDS US Equity</t>
  </si>
  <si>
    <t>Cannabis Sativa Inc</t>
  </si>
  <si>
    <t>13764T105</t>
  </si>
  <si>
    <t>BGLPHK4</t>
  </si>
  <si>
    <t>ESMC US Equity</t>
  </si>
  <si>
    <t>Escalon Medical Corp</t>
  </si>
  <si>
    <t>296074305</t>
  </si>
  <si>
    <t>2128320</t>
  </si>
  <si>
    <t>FRTX US Equity</t>
  </si>
  <si>
    <t>Fresh Tracks Therapeutics Inc</t>
  </si>
  <si>
    <t>10802T204</t>
  </si>
  <si>
    <t>BMZR5X7</t>
  </si>
  <si>
    <t>KENS US Equity</t>
  </si>
  <si>
    <t>Kenilworth Systems Corp</t>
  </si>
  <si>
    <t>489084202</t>
  </si>
  <si>
    <t>B413QC9</t>
  </si>
  <si>
    <t>INQR US Equity</t>
  </si>
  <si>
    <t>InnovaQor Inc</t>
  </si>
  <si>
    <t>92844G101</t>
  </si>
  <si>
    <t>2001744</t>
  </si>
  <si>
    <t>AORT US Equity</t>
  </si>
  <si>
    <t>Artivion Inc</t>
  </si>
  <si>
    <t>228903100</t>
  </si>
  <si>
    <t>2239017</t>
  </si>
  <si>
    <t>ZBH US Equity</t>
  </si>
  <si>
    <t>Zimmer Biomet Holdings Inc</t>
  </si>
  <si>
    <t>98956P102</t>
  </si>
  <si>
    <t>2783815</t>
  </si>
  <si>
    <t>IOVA US Equity</t>
  </si>
  <si>
    <t>Iovance Biotherapeutics Inc</t>
  </si>
  <si>
    <t>462260100</t>
  </si>
  <si>
    <t>BF0DMK7</t>
  </si>
  <si>
    <t>IHTI US Equity</t>
  </si>
  <si>
    <t>Integrative Health Technologie</t>
  </si>
  <si>
    <t>45822A207</t>
  </si>
  <si>
    <t>B1VQH13</t>
  </si>
  <si>
    <t>DVA US Equity</t>
  </si>
  <si>
    <t>DaVita Inc</t>
  </si>
  <si>
    <t>23918K108</t>
  </si>
  <si>
    <t>2898087</t>
  </si>
  <si>
    <t>RLBD US Equity</t>
  </si>
  <si>
    <t>Real Brands Inc</t>
  </si>
  <si>
    <t>75584Q108</t>
  </si>
  <si>
    <t>BFDT9P6</t>
  </si>
  <si>
    <t>DGX US Equity</t>
  </si>
  <si>
    <t>Quest Diagnostics Inc</t>
  </si>
  <si>
    <t>74834L100</t>
  </si>
  <si>
    <t>2702791</t>
  </si>
  <si>
    <t>MITI US Equity</t>
  </si>
  <si>
    <t>Mitesco Inc</t>
  </si>
  <si>
    <t>60672T206</t>
  </si>
  <si>
    <t>BNTBQK6</t>
  </si>
  <si>
    <t>JPH PS Equity</t>
  </si>
  <si>
    <t>Jerusalem Pharmaceuticals Co</t>
  </si>
  <si>
    <t>BYV1YV8</t>
  </si>
  <si>
    <t>MCIC US Equity</t>
  </si>
  <si>
    <t>Multicorp International Inc</t>
  </si>
  <si>
    <t>62544A100</t>
  </si>
  <si>
    <t>B8HN7L7</t>
  </si>
  <si>
    <t>CAVG US Equity</t>
  </si>
  <si>
    <t>ACC Aviation Holdings Ltd</t>
  </si>
  <si>
    <t>00086F103</t>
  </si>
  <si>
    <t>BLF9FK3</t>
  </si>
  <si>
    <t>HSTM US Equity</t>
  </si>
  <si>
    <t>HealthStream Inc</t>
  </si>
  <si>
    <t>42222N103</t>
  </si>
  <si>
    <t>2577870</t>
  </si>
  <si>
    <t>TNGNQ US Equity</t>
  </si>
  <si>
    <t>Tengion Inc</t>
  </si>
  <si>
    <t>88034G208</t>
  </si>
  <si>
    <t>B8GF9D0</t>
  </si>
  <si>
    <t>NOHO US Equity</t>
  </si>
  <si>
    <t>Novation Holdings Inc</t>
  </si>
  <si>
    <t>66989U109</t>
  </si>
  <si>
    <t>B818105</t>
  </si>
  <si>
    <t>CYRX US Equity</t>
  </si>
  <si>
    <t>CryoPort Inc</t>
  </si>
  <si>
    <t>229050307</t>
  </si>
  <si>
    <t>BY2ZKK0</t>
  </si>
  <si>
    <t>ARYC US Equity</t>
  </si>
  <si>
    <t>Arrayit Corp</t>
  </si>
  <si>
    <t>04269N107</t>
  </si>
  <si>
    <t>B11Y591</t>
  </si>
  <si>
    <t>RVP US Equity</t>
  </si>
  <si>
    <t>Retractable Technologies Inc</t>
  </si>
  <si>
    <t>76129W105</t>
  </si>
  <si>
    <t>2754888</t>
  </si>
  <si>
    <t>NRTSF US Equity</t>
  </si>
  <si>
    <t>Nobilis Health Corp</t>
  </si>
  <si>
    <t>65500B103</t>
  </si>
  <si>
    <t>BTF30Y0</t>
  </si>
  <si>
    <t>CORT US Equity</t>
  </si>
  <si>
    <t>Corcept Therapeutics Inc</t>
  </si>
  <si>
    <t>218352102</t>
  </si>
  <si>
    <t>B00SCY1</t>
  </si>
  <si>
    <t>XENO US Equity</t>
  </si>
  <si>
    <t>Xeno Transplants Corp</t>
  </si>
  <si>
    <t>98410N107</t>
  </si>
  <si>
    <t>B12L814</t>
  </si>
  <si>
    <t>BCLI US Equity</t>
  </si>
  <si>
    <t>BrainStorm Cell Therapeutics I</t>
  </si>
  <si>
    <t>10501E300</t>
  </si>
  <si>
    <t>BSML4C6</t>
  </si>
  <si>
    <t>BSPM US Equity</t>
  </si>
  <si>
    <t>Biostar Pharmaceuticals Inc</t>
  </si>
  <si>
    <t>090678301</t>
  </si>
  <si>
    <t>BZ6TN84</t>
  </si>
  <si>
    <t>DGCRF US Equity</t>
  </si>
  <si>
    <t>Diagnocure Inc</t>
  </si>
  <si>
    <t>251912101</t>
  </si>
  <si>
    <t>B3BGYT4</t>
  </si>
  <si>
    <t>TRAA US Equity</t>
  </si>
  <si>
    <t>Traack Technologies Inc</t>
  </si>
  <si>
    <t>89237X105</t>
  </si>
  <si>
    <t>BN953G3</t>
  </si>
  <si>
    <t>NUGS US Equity</t>
  </si>
  <si>
    <t>Cannabis Strategic Ventures</t>
  </si>
  <si>
    <t>13765M109</t>
  </si>
  <si>
    <t>BFFF4T1</t>
  </si>
  <si>
    <t>QMDT US Equity</t>
  </si>
  <si>
    <t>Quick-Med Technologies Inc</t>
  </si>
  <si>
    <t>74837Q106</t>
  </si>
  <si>
    <t>2977180</t>
  </si>
  <si>
    <t>RZLT US Equity</t>
  </si>
  <si>
    <t>Rezolute Inc</t>
  </si>
  <si>
    <t>76200L309</t>
  </si>
  <si>
    <t>BMY7XX4</t>
  </si>
  <si>
    <t>RSCF US Equity</t>
  </si>
  <si>
    <t>Reflect Scientific Inc</t>
  </si>
  <si>
    <t>75866F101</t>
  </si>
  <si>
    <t>2761338</t>
  </si>
  <si>
    <t>MCET US Equity</t>
  </si>
  <si>
    <t>MultiCell Technologies Inc</t>
  </si>
  <si>
    <t>62544S200</t>
  </si>
  <si>
    <t>B095CQ5</t>
  </si>
  <si>
    <t>PFE US Equity</t>
  </si>
  <si>
    <t>Pfizer Inc</t>
  </si>
  <si>
    <t>717081103</t>
  </si>
  <si>
    <t>2684703</t>
  </si>
  <si>
    <t>MCDA US Equity</t>
  </si>
  <si>
    <t>KMA Holding Inc</t>
  </si>
  <si>
    <t>48254P106</t>
  </si>
  <si>
    <t>B1XFFB4</t>
  </si>
  <si>
    <t>IMNN US Equity</t>
  </si>
  <si>
    <t>Imunon Inc</t>
  </si>
  <si>
    <t>15117N602</t>
  </si>
  <si>
    <t>BNHNPL8</t>
  </si>
  <si>
    <t>BPTH US Equity</t>
  </si>
  <si>
    <t>Bio-Path Holdings Inc</t>
  </si>
  <si>
    <t>09057N409</t>
  </si>
  <si>
    <t>BMG3W99</t>
  </si>
  <si>
    <t>BNYN US Equity</t>
  </si>
  <si>
    <t>Banyan Corp/Oregon</t>
  </si>
  <si>
    <t>06682M509</t>
  </si>
  <si>
    <t>2065911</t>
  </si>
  <si>
    <t>THC US Equity</t>
  </si>
  <si>
    <t>Tenet Healthcare Corp</t>
  </si>
  <si>
    <t>88033G407</t>
  </si>
  <si>
    <t>B8DMK08</t>
  </si>
  <si>
    <t>MDWK US Equity</t>
  </si>
  <si>
    <t>MDwerks Inc</t>
  </si>
  <si>
    <t>582829107</t>
  </si>
  <si>
    <t>B0M6DR3</t>
  </si>
  <si>
    <t>LIXT US Equity</t>
  </si>
  <si>
    <t>Lixte Biotechnology Holdings I</t>
  </si>
  <si>
    <t>539319301</t>
  </si>
  <si>
    <t>BQB9YL6</t>
  </si>
  <si>
    <t>LHRP US Equity</t>
  </si>
  <si>
    <t>LifeHouse Retirement Propertie</t>
  </si>
  <si>
    <t>532198108</t>
  </si>
  <si>
    <t>B0DJPV9</t>
  </si>
  <si>
    <t>900904 CH Equity</t>
  </si>
  <si>
    <t>Shanghai Shenqi Pharmaceutical</t>
  </si>
  <si>
    <t>6800828</t>
  </si>
  <si>
    <t>CBIH US Equity</t>
  </si>
  <si>
    <t>Cannabis Bioscience Internatio</t>
  </si>
  <si>
    <t>16948K106</t>
  </si>
  <si>
    <t>B2Q96R3</t>
  </si>
  <si>
    <t>HUM US Equity</t>
  </si>
  <si>
    <t>Humana Inc</t>
  </si>
  <si>
    <t>444859102</t>
  </si>
  <si>
    <t>2445063</t>
  </si>
  <si>
    <t>TVTX US Equity</t>
  </si>
  <si>
    <t>Travere Therapeutics Inc</t>
  </si>
  <si>
    <t>89422G107</t>
  </si>
  <si>
    <t>BLFGJD5</t>
  </si>
  <si>
    <t>EXHI US Equity</t>
  </si>
  <si>
    <t>Exlites Holdings International</t>
  </si>
  <si>
    <t>30207P300</t>
  </si>
  <si>
    <t>BQGG478</t>
  </si>
  <si>
    <t>ITGR US Equity</t>
  </si>
  <si>
    <t>Integer Holdings Corp</t>
  </si>
  <si>
    <t>45826H109</t>
  </si>
  <si>
    <t>BD06LM7</t>
  </si>
  <si>
    <t>IGXT US Equity</t>
  </si>
  <si>
    <t>IntelGenx Technologies Corp</t>
  </si>
  <si>
    <t>45822R101</t>
  </si>
  <si>
    <t>B1KQZV0</t>
  </si>
  <si>
    <t>FPMI US Equity</t>
  </si>
  <si>
    <t>FluoroPharma Medical Inc</t>
  </si>
  <si>
    <t>343870101</t>
  </si>
  <si>
    <t>B5TJFM9</t>
  </si>
  <si>
    <t>ATNM US Equity</t>
  </si>
  <si>
    <t>Actinium Pharmaceuticals Inc</t>
  </si>
  <si>
    <t>00507W206</t>
  </si>
  <si>
    <t>BLFH013</t>
  </si>
  <si>
    <t>ABUS US Equity</t>
  </si>
  <si>
    <t>Arbutus Biopharma Corp</t>
  </si>
  <si>
    <t>03879J100</t>
  </si>
  <si>
    <t>BZ0QMB7</t>
  </si>
  <si>
    <t>CPIX US Equity</t>
  </si>
  <si>
    <t>Cumberland Pharmaceuticals Inc</t>
  </si>
  <si>
    <t>230770109</t>
  </si>
  <si>
    <t>B23WLP8</t>
  </si>
  <si>
    <t>TENX US Equity</t>
  </si>
  <si>
    <t>Tenax Therapeutics Inc</t>
  </si>
  <si>
    <t>88032L605</t>
  </si>
  <si>
    <t>BRF2YR4</t>
  </si>
  <si>
    <t>CSBR US Equity</t>
  </si>
  <si>
    <t>Champions Oncology Inc</t>
  </si>
  <si>
    <t>15870P307</t>
  </si>
  <si>
    <t>BYS3HH4</t>
  </si>
  <si>
    <t>BMY US Equity</t>
  </si>
  <si>
    <t>Bristol-Myers Squibb Co</t>
  </si>
  <si>
    <t>110122108</t>
  </si>
  <si>
    <t>2126335</t>
  </si>
  <si>
    <t>ITNS US Equity</t>
  </si>
  <si>
    <t>ITonis Inc</t>
  </si>
  <si>
    <t>465733103</t>
  </si>
  <si>
    <t>B1Q2R38</t>
  </si>
  <si>
    <t>BRKR US Equity</t>
  </si>
  <si>
    <t>Bruker Corp</t>
  </si>
  <si>
    <t>116794108</t>
  </si>
  <si>
    <t>2616137</t>
  </si>
  <si>
    <t>GERN US Equity</t>
  </si>
  <si>
    <t>Geron Corp</t>
  </si>
  <si>
    <t>374163103</t>
  </si>
  <si>
    <t>2370381</t>
  </si>
  <si>
    <t>ABVC US Equity</t>
  </si>
  <si>
    <t>ABVC BioPharma Inc</t>
  </si>
  <si>
    <t>00091F304</t>
  </si>
  <si>
    <t>BM8K061</t>
  </si>
  <si>
    <t>ONCSQ US Equity</t>
  </si>
  <si>
    <t>OncoSec Medical Inc</t>
  </si>
  <si>
    <t>68234L405</t>
  </si>
  <si>
    <t>BQB9KK7</t>
  </si>
  <si>
    <t>BRTX US Equity</t>
  </si>
  <si>
    <t>BioRestorative Therapies Inc</t>
  </si>
  <si>
    <t>090655606</t>
  </si>
  <si>
    <t>BLR87S0</t>
  </si>
  <si>
    <t>UFPT US Equity</t>
  </si>
  <si>
    <t>UFP Technologies Inc</t>
  </si>
  <si>
    <t>902673102</t>
  </si>
  <si>
    <t>2908652</t>
  </si>
  <si>
    <t>ACHV US Equity</t>
  </si>
  <si>
    <t>Achieve Life Sciences Inc</t>
  </si>
  <si>
    <t>004468500</t>
  </si>
  <si>
    <t>BLD0Z08</t>
  </si>
  <si>
    <t>SAVA US Equity</t>
  </si>
  <si>
    <t>Cassava Sciences Inc</t>
  </si>
  <si>
    <t>14817C107</t>
  </si>
  <si>
    <t>BJVLKZ9</t>
  </si>
  <si>
    <t>CDIX US Equity</t>
  </si>
  <si>
    <t>Cardiff Lexington Corp</t>
  </si>
  <si>
    <t>14146R601</t>
  </si>
  <si>
    <t>BPQTHQ0</t>
  </si>
  <si>
    <t>BMRN US Equity</t>
  </si>
  <si>
    <t>BioMarin Pharmaceutical Inc</t>
  </si>
  <si>
    <t>09061G101</t>
  </si>
  <si>
    <t>2437071</t>
  </si>
  <si>
    <t>SYUP US Equity</t>
  </si>
  <si>
    <t>ANBC Inc</t>
  </si>
  <si>
    <t>00180L105</t>
  </si>
  <si>
    <t>BD3GJM0</t>
  </si>
  <si>
    <t>ARAY US Equity</t>
  </si>
  <si>
    <t>Accuray Inc</t>
  </si>
  <si>
    <t>004397105</t>
  </si>
  <si>
    <t>B1R2HW6</t>
  </si>
  <si>
    <t>ERBB US Equity</t>
  </si>
  <si>
    <t>American Green Inc</t>
  </si>
  <si>
    <t>02640N200</t>
  </si>
  <si>
    <t>BKBQB03</t>
  </si>
  <si>
    <t>NOTV US Equity</t>
  </si>
  <si>
    <t>Inotiv Inc</t>
  </si>
  <si>
    <t>45783Q100</t>
  </si>
  <si>
    <t>BN14KP6</t>
  </si>
  <si>
    <t>CCM US Equity</t>
  </si>
  <si>
    <t>Concord Medical Services Holdi</t>
  </si>
  <si>
    <t>206277204</t>
  </si>
  <si>
    <t>BP5DS60</t>
  </si>
  <si>
    <t>GBLX US Equity</t>
  </si>
  <si>
    <t>GB Sciences Inc</t>
  </si>
  <si>
    <t>361544109</t>
  </si>
  <si>
    <t>BYX1TD3</t>
  </si>
  <si>
    <t>SYK US Equity</t>
  </si>
  <si>
    <t>Stryker Corp</t>
  </si>
  <si>
    <t>863667101</t>
  </si>
  <si>
    <t>2853688</t>
  </si>
  <si>
    <t>LCTX US Equity</t>
  </si>
  <si>
    <t>Lineage Cell Therapeutics Inc</t>
  </si>
  <si>
    <t>53566P109</t>
  </si>
  <si>
    <t>BJMSX83</t>
  </si>
  <si>
    <t>ALKS US Equity</t>
  </si>
  <si>
    <t>Alkermes PLC</t>
  </si>
  <si>
    <t>B3P6D26</t>
  </si>
  <si>
    <t>MTEM US Equity</t>
  </si>
  <si>
    <t>Molecular Templates Inc</t>
  </si>
  <si>
    <t>608550208</t>
  </si>
  <si>
    <t>BRF0638</t>
  </si>
  <si>
    <t>ENZN US Equity</t>
  </si>
  <si>
    <t>Enzon Pharmaceuticals Inc</t>
  </si>
  <si>
    <t>293904108</t>
  </si>
  <si>
    <t>2318660</t>
  </si>
  <si>
    <t>SYNI US Equity</t>
  </si>
  <si>
    <t>Synvista Therapeutics Inc</t>
  </si>
  <si>
    <t>87164M100</t>
  </si>
  <si>
    <t>2034397</t>
  </si>
  <si>
    <t>RCAR US Equity</t>
  </si>
  <si>
    <t>RenovaCare Inc</t>
  </si>
  <si>
    <t>75988J106</t>
  </si>
  <si>
    <t>BJ05Q10</t>
  </si>
  <si>
    <t>UTHR US Equity</t>
  </si>
  <si>
    <t>United Therapeutics Corp</t>
  </si>
  <si>
    <t>91307C102</t>
  </si>
  <si>
    <t>2430412</t>
  </si>
  <si>
    <t>BGMD US Equity</t>
  </si>
  <si>
    <t>BG Medicine Inc</t>
  </si>
  <si>
    <t>08861T206</t>
  </si>
  <si>
    <t>BYMBVT4</t>
  </si>
  <si>
    <t>APYX US Equity</t>
  </si>
  <si>
    <t>Apyx Medical Corp</t>
  </si>
  <si>
    <t>03837C106</t>
  </si>
  <si>
    <t>BHNDW97</t>
  </si>
  <si>
    <t>CYDY US Equity</t>
  </si>
  <si>
    <t>CytoDyn Inc</t>
  </si>
  <si>
    <t>23283M101</t>
  </si>
  <si>
    <t>B0JJVZ9</t>
  </si>
  <si>
    <t>AMN US Equity</t>
  </si>
  <si>
    <t>AMN Healthcare Services Inc</t>
  </si>
  <si>
    <t>001744101</t>
  </si>
  <si>
    <t>2813552</t>
  </si>
  <si>
    <t>HCA US Equity</t>
  </si>
  <si>
    <t>HCA Healthcare Inc</t>
  </si>
  <si>
    <t>40412C101</t>
  </si>
  <si>
    <t>B4MGBG6</t>
  </si>
  <si>
    <t>DMKPQ US Equity</t>
  </si>
  <si>
    <t>DMK Pharmaceuticals Corp</t>
  </si>
  <si>
    <t>00547W307</t>
  </si>
  <si>
    <t>BRK4185</t>
  </si>
  <si>
    <t>TNFA US Equity</t>
  </si>
  <si>
    <t>TNF Pharmaceuticals Inc</t>
  </si>
  <si>
    <t>62856X201</t>
  </si>
  <si>
    <t>BP69W21</t>
  </si>
  <si>
    <t>LADX US Equity</t>
  </si>
  <si>
    <t>LadRx Corp</t>
  </si>
  <si>
    <t>232828707</t>
  </si>
  <si>
    <t>BNRQY87</t>
  </si>
  <si>
    <t>CSOC US Equity</t>
  </si>
  <si>
    <t>Caduceus Software Systems Corp</t>
  </si>
  <si>
    <t>12763A109</t>
  </si>
  <si>
    <t>B2NDC14</t>
  </si>
  <si>
    <t>HDVY US Equity</t>
  </si>
  <si>
    <t>Health Discovery Corp</t>
  </si>
  <si>
    <t>42218R100</t>
  </si>
  <si>
    <t>2812935</t>
  </si>
  <si>
    <t>ABMT US Equity</t>
  </si>
  <si>
    <t>Advanced BioMedical Technologi</t>
  </si>
  <si>
    <t>00752M101</t>
  </si>
  <si>
    <t>B23QDM1</t>
  </si>
  <si>
    <t>ANTH US Equity</t>
  </si>
  <si>
    <t>Anthera Pharmaceuticals Inc</t>
  </si>
  <si>
    <t>03674U300</t>
  </si>
  <si>
    <t>BD5J4C2</t>
  </si>
  <si>
    <t>RMD US Equity</t>
  </si>
  <si>
    <t>ResMed Inc</t>
  </si>
  <si>
    <t>761152107</t>
  </si>
  <si>
    <t>2732903</t>
  </si>
  <si>
    <t>IGC US Equity</t>
  </si>
  <si>
    <t>IGC Pharma Inc</t>
  </si>
  <si>
    <t>45408X308</t>
  </si>
  <si>
    <t>B8P3GF6</t>
  </si>
  <si>
    <t>PROT US Equity</t>
  </si>
  <si>
    <t>Proteonomix Inc</t>
  </si>
  <si>
    <t>74371C208</t>
  </si>
  <si>
    <t>B1FR4J9</t>
  </si>
  <si>
    <t>SLS US Equity</t>
  </si>
  <si>
    <t>SELLAS Life Sciences Group Inc</t>
  </si>
  <si>
    <t>81642T209</t>
  </si>
  <si>
    <t>BG0WPH9</t>
  </si>
  <si>
    <t>BLFE US Equity</t>
  </si>
  <si>
    <t>Biolife Sciences Inc</t>
  </si>
  <si>
    <t>09076L103</t>
  </si>
  <si>
    <t>BL55SZ7</t>
  </si>
  <si>
    <t>BUDZ US Equity</t>
  </si>
  <si>
    <t>WEED Inc</t>
  </si>
  <si>
    <t>948508106</t>
  </si>
  <si>
    <t>BVV2M38</t>
  </si>
  <si>
    <t>OFIX US Equity</t>
  </si>
  <si>
    <t>Orthofix Medical Inc</t>
  </si>
  <si>
    <t>68752M108</t>
  </si>
  <si>
    <t>BGGJFT6</t>
  </si>
  <si>
    <t>SLP US Equity</t>
  </si>
  <si>
    <t>Simulations Plus Inc</t>
  </si>
  <si>
    <t>829214105</t>
  </si>
  <si>
    <t>2122560</t>
  </si>
  <si>
    <t>MNKD US Equity</t>
  </si>
  <si>
    <t>MannKind Corp</t>
  </si>
  <si>
    <t>56400P706</t>
  </si>
  <si>
    <t>BF081J4</t>
  </si>
  <si>
    <t>CANB US Equity</t>
  </si>
  <si>
    <t>Can B Corp</t>
  </si>
  <si>
    <t>13470W202</t>
  </si>
  <si>
    <t>BP38R15</t>
  </si>
  <si>
    <t>MDXH US Equity</t>
  </si>
  <si>
    <t>MDxHealth SA</t>
  </si>
  <si>
    <t>BLGYTW7</t>
  </si>
  <si>
    <t>ARWR US Equity</t>
  </si>
  <si>
    <t>Arrowhead Pharmaceuticals Inc</t>
  </si>
  <si>
    <t>04280A100</t>
  </si>
  <si>
    <t>BYQBFJ8</t>
  </si>
  <si>
    <t>NSPR US Equity</t>
  </si>
  <si>
    <t>InspireMD Inc</t>
  </si>
  <si>
    <t>45779A846</t>
  </si>
  <si>
    <t>BNZJWN9</t>
  </si>
  <si>
    <t>APDN US Equity</t>
  </si>
  <si>
    <t>Applied DNA Sciences Inc</t>
  </si>
  <si>
    <t>03815U409</t>
  </si>
  <si>
    <t>BRJNS26</t>
  </si>
  <si>
    <t>TECH US Equity</t>
  </si>
  <si>
    <t>Bio-Techne Corp</t>
  </si>
  <si>
    <t>09073M104</t>
  </si>
  <si>
    <t>BSHZ3Q0</t>
  </si>
  <si>
    <t>SONN US Equity</t>
  </si>
  <si>
    <t>Sonnet BioTherapeutics Holding</t>
  </si>
  <si>
    <t>83548R402</t>
  </si>
  <si>
    <t>BRSF1S0</t>
  </si>
  <si>
    <t>COSM US Equity</t>
  </si>
  <si>
    <t>Cosmos Health Inc</t>
  </si>
  <si>
    <t>221413305</t>
  </si>
  <si>
    <t>BR1Z2N9</t>
  </si>
  <si>
    <t>ATOS US Equity</t>
  </si>
  <si>
    <t>Atossa Therapeutics Inc</t>
  </si>
  <si>
    <t>04962H506</t>
  </si>
  <si>
    <t>BFXZQW0</t>
  </si>
  <si>
    <t>PVTTF US Equity</t>
  </si>
  <si>
    <t>Pivotal Therapeutics Inc</t>
  </si>
  <si>
    <t>72582E104</t>
  </si>
  <si>
    <t>B7RRM62</t>
  </si>
  <si>
    <t>PBSV US Equity</t>
  </si>
  <si>
    <t>Pharma-Bio Serv Inc</t>
  </si>
  <si>
    <t>71711N100</t>
  </si>
  <si>
    <t>B1HMMP4</t>
  </si>
  <si>
    <t>INFU US Equity</t>
  </si>
  <si>
    <t>InfuSystem Holdings Inc</t>
  </si>
  <si>
    <t>45685K102</t>
  </si>
  <si>
    <t>B17FVR8</t>
  </si>
  <si>
    <t>RBSH US Equity</t>
  </si>
  <si>
    <t>Rebus Holdings Inc</t>
  </si>
  <si>
    <t>75619J103</t>
  </si>
  <si>
    <t>BN49F20</t>
  </si>
  <si>
    <t>INM US Equity</t>
  </si>
  <si>
    <t>InMed Pharmaceuticals Inc</t>
  </si>
  <si>
    <t>QEBR US Equity</t>
  </si>
  <si>
    <t>Virtual Medical International</t>
  </si>
  <si>
    <t>92828H109</t>
  </si>
  <si>
    <t>B4M5ZH2</t>
  </si>
  <si>
    <t>ATEC US Equity</t>
  </si>
  <si>
    <t>Alphatec Holdings Inc</t>
  </si>
  <si>
    <t>02081G201</t>
  </si>
  <si>
    <t>BD60BG7</t>
  </si>
  <si>
    <t>ABBV US Equity</t>
  </si>
  <si>
    <t>AbbVie Inc</t>
  </si>
  <si>
    <t>00287Y109</t>
  </si>
  <si>
    <t>B92SR70</t>
  </si>
  <si>
    <t>GSTC US Equity</t>
  </si>
  <si>
    <t>GlobeStar Therapeutics Corp</t>
  </si>
  <si>
    <t>37960P104</t>
  </si>
  <si>
    <t>BMFPP42</t>
  </si>
  <si>
    <t>CNMD US Equity</t>
  </si>
  <si>
    <t>CONMED Corp</t>
  </si>
  <si>
    <t>207410101</t>
  </si>
  <si>
    <t>2216010</t>
  </si>
  <si>
    <t>WDBG US Equity</t>
  </si>
  <si>
    <t>Woodbrook Group Holdings Inc</t>
  </si>
  <si>
    <t>978887206</t>
  </si>
  <si>
    <t>BJCZ6S5</t>
  </si>
  <si>
    <t>LFMD US Equity</t>
  </si>
  <si>
    <t>LifeMD Inc</t>
  </si>
  <si>
    <t>53216B104</t>
  </si>
  <si>
    <t>BMXDBQ2</t>
  </si>
  <si>
    <t>HENC US Equity</t>
  </si>
  <si>
    <t>Hero Technologies Inc</t>
  </si>
  <si>
    <t>42771W108</t>
  </si>
  <si>
    <t>BN13NW1</t>
  </si>
  <si>
    <t>USRM US Equity</t>
  </si>
  <si>
    <t>US Stem Cell Inc</t>
  </si>
  <si>
    <t>90350U100</t>
  </si>
  <si>
    <t>BYM2LC0</t>
  </si>
  <si>
    <t>ENSG US Equity</t>
  </si>
  <si>
    <t>Ensign Group Inc/The</t>
  </si>
  <si>
    <t>29358P101</t>
  </si>
  <si>
    <t>B1YWPP8</t>
  </si>
  <si>
    <t>IPIX US Equity</t>
  </si>
  <si>
    <t>Innovation Pharmaceuticals Inc</t>
  </si>
  <si>
    <t>45782D100</t>
  </si>
  <si>
    <t>BF2BDS4</t>
  </si>
  <si>
    <t>IMUC US Equity</t>
  </si>
  <si>
    <t>Eom Pharmaceutical Holdings In</t>
  </si>
  <si>
    <t>452536402</t>
  </si>
  <si>
    <t>BMC5S02</t>
  </si>
  <si>
    <t>ACAD US Equity</t>
  </si>
  <si>
    <t>ACADIA Pharmaceuticals Inc</t>
  </si>
  <si>
    <t>004225108</t>
  </si>
  <si>
    <t>2713317</t>
  </si>
  <si>
    <t>VSTM US Equity</t>
  </si>
  <si>
    <t>Verastem Inc</t>
  </si>
  <si>
    <t>92337C203</t>
  </si>
  <si>
    <t>BRK1S18</t>
  </si>
  <si>
    <t>GMED US Equity</t>
  </si>
  <si>
    <t>Globus Medical Inc</t>
  </si>
  <si>
    <t>379577208</t>
  </si>
  <si>
    <t>B7D65M0</t>
  </si>
  <si>
    <t>MRMD US Equity</t>
  </si>
  <si>
    <t>MariMed Inc</t>
  </si>
  <si>
    <t>56782V107</t>
  </si>
  <si>
    <t>BD9P7K5</t>
  </si>
  <si>
    <t>PBYI US Equity</t>
  </si>
  <si>
    <t>Puma Biotechnology Inc</t>
  </si>
  <si>
    <t>74587V107</t>
  </si>
  <si>
    <t>B7F2TY6</t>
  </si>
  <si>
    <t>PAHC US Equity</t>
  </si>
  <si>
    <t>Phibro Animal Health Corp</t>
  </si>
  <si>
    <t>71742Q106</t>
  </si>
  <si>
    <t>BL95N25</t>
  </si>
  <si>
    <t>ETST US Equity</t>
  </si>
  <si>
    <t>Earth Science Tech Inc</t>
  </si>
  <si>
    <t>270311103</t>
  </si>
  <si>
    <t>BN33FF6</t>
  </si>
  <si>
    <t>XBIO US Equity</t>
  </si>
  <si>
    <t>Xenetic Biosciences Inc</t>
  </si>
  <si>
    <t>984015602</t>
  </si>
  <si>
    <t>BMWGSB6</t>
  </si>
  <si>
    <t>SUPN US Equity</t>
  </si>
  <si>
    <t>Supernus Pharmaceuticals Inc</t>
  </si>
  <si>
    <t>868459108</t>
  </si>
  <si>
    <t>B72ZBG4</t>
  </si>
  <si>
    <t>TRGM US Equity</t>
  </si>
  <si>
    <t>Targeted Medical Pharma Inc</t>
  </si>
  <si>
    <t>876140104</t>
  </si>
  <si>
    <t>B89B1L7</t>
  </si>
  <si>
    <t>ARTH US Equity</t>
  </si>
  <si>
    <t>Arch Therapeutics Inc</t>
  </si>
  <si>
    <t>03939W208</t>
  </si>
  <si>
    <t>BL0NTN1</t>
  </si>
  <si>
    <t>LPCN US Equity</t>
  </si>
  <si>
    <t>Lipocine Inc</t>
  </si>
  <si>
    <t>53630X203</t>
  </si>
  <si>
    <t>BMCJW91</t>
  </si>
  <si>
    <t>BNKL US Equity</t>
  </si>
  <si>
    <t>Bionik Laboratories Corp</t>
  </si>
  <si>
    <t>09074A208</t>
  </si>
  <si>
    <t>BGT37S8</t>
  </si>
  <si>
    <t>PHIO US Equity</t>
  </si>
  <si>
    <t>Phio Pharmaceuticals Corp</t>
  </si>
  <si>
    <t>71880W501</t>
  </si>
  <si>
    <t>BT5F6Z9</t>
  </si>
  <si>
    <t>MJNE US Equity</t>
  </si>
  <si>
    <t>MJ Holdings Inc</t>
  </si>
  <si>
    <t>553075102</t>
  </si>
  <si>
    <t>BK8G6S9</t>
  </si>
  <si>
    <t>EKSO US Equity</t>
  </si>
  <si>
    <t>Ekso Bionics Holdings Inc</t>
  </si>
  <si>
    <t>282644301</t>
  </si>
  <si>
    <t>BMGJY91</t>
  </si>
  <si>
    <t>ADMA US Equity</t>
  </si>
  <si>
    <t>ADMA Biologics Inc</t>
  </si>
  <si>
    <t>000899104</t>
  </si>
  <si>
    <t>B9NSBM2</t>
  </si>
  <si>
    <t>EWLL US Equity</t>
  </si>
  <si>
    <t>eWellness Healthcare Corp</t>
  </si>
  <si>
    <t>30051D205</t>
  </si>
  <si>
    <t>BL1KDN9</t>
  </si>
  <si>
    <t>MGNX US Equity</t>
  </si>
  <si>
    <t>MacroGenics Inc</t>
  </si>
  <si>
    <t>556099109</t>
  </si>
  <si>
    <t>BFDV8K0</t>
  </si>
  <si>
    <t>AMPH US Equity</t>
  </si>
  <si>
    <t>Amphastar Pharmaceuticals Inc</t>
  </si>
  <si>
    <t>03209R103</t>
  </si>
  <si>
    <t>BNFWZS4</t>
  </si>
  <si>
    <t>STIM US Equity</t>
  </si>
  <si>
    <t>Neuronetics Inc</t>
  </si>
  <si>
    <t>64131A105</t>
  </si>
  <si>
    <t>BFXH9H2</t>
  </si>
  <si>
    <t>SCYX US Equity</t>
  </si>
  <si>
    <t>SCYNEXIS Inc</t>
  </si>
  <si>
    <t>811292200</t>
  </si>
  <si>
    <t>BMCC9R7</t>
  </si>
  <si>
    <t>HQY US Equity</t>
  </si>
  <si>
    <t>HealthEquity Inc</t>
  </si>
  <si>
    <t>42226A107</t>
  </si>
  <si>
    <t>BP8XZL1</t>
  </si>
  <si>
    <t>NPCE US Equity</t>
  </si>
  <si>
    <t>NeuroPace Inc</t>
  </si>
  <si>
    <t>641288105</t>
  </si>
  <si>
    <t>BNBW7R1</t>
  </si>
  <si>
    <t>PEN US Equity</t>
  </si>
  <si>
    <t>Penumbra Inc</t>
  </si>
  <si>
    <t>70975L107</t>
  </si>
  <si>
    <t>BZ0V201</t>
  </si>
  <si>
    <t>STVN US Equity</t>
  </si>
  <si>
    <t>Stevanato Group SpA</t>
  </si>
  <si>
    <t>BNM0752</t>
  </si>
  <si>
    <t>71377E105</t>
  </si>
  <si>
    <t>B835PW4</t>
  </si>
  <si>
    <t>GCTK US Equity</t>
  </si>
  <si>
    <t>GlucoTrack Inc</t>
  </si>
  <si>
    <t>PINC US Equity</t>
  </si>
  <si>
    <t>Premier Inc</t>
  </si>
  <si>
    <t>74051N102</t>
  </si>
  <si>
    <t>BDZDRC5</t>
  </si>
  <si>
    <t>VANI US Equity</t>
  </si>
  <si>
    <t>Vivani Medical Inc</t>
  </si>
  <si>
    <t>92854B109</t>
  </si>
  <si>
    <t>BMTND59</t>
  </si>
  <si>
    <t>PTCT US Equity</t>
  </si>
  <si>
    <t>PTC Therapeutics Inc</t>
  </si>
  <si>
    <t>69366J200</t>
  </si>
  <si>
    <t>B17VCN9</t>
  </si>
  <si>
    <t>COLL US Equity</t>
  </si>
  <si>
    <t>Collegium Pharmaceutical Inc</t>
  </si>
  <si>
    <t>19459J104</t>
  </si>
  <si>
    <t>BX7RSN3</t>
  </si>
  <si>
    <t>TCMD US Equity</t>
  </si>
  <si>
    <t>Tactile Systems Technology Inc</t>
  </si>
  <si>
    <t>87357P100</t>
  </si>
  <si>
    <t>BZB1XF2</t>
  </si>
  <si>
    <t>CDXI US Equity</t>
  </si>
  <si>
    <t>Cardax Inc</t>
  </si>
  <si>
    <t>14141D201</t>
  </si>
  <si>
    <t>BKV8CZ1</t>
  </si>
  <si>
    <t>GBIM US Equity</t>
  </si>
  <si>
    <t>GlobeImmune Inc</t>
  </si>
  <si>
    <t>37957B100</t>
  </si>
  <si>
    <t>B849495</t>
  </si>
  <si>
    <t>PETV US Equity</t>
  </si>
  <si>
    <t>PetVivo Holdings Inc</t>
  </si>
  <si>
    <t>716817408</t>
  </si>
  <si>
    <t>BL6H9M6</t>
  </si>
  <si>
    <t>ZTS US Equity</t>
  </si>
  <si>
    <t>Zoetis Inc</t>
  </si>
  <si>
    <t>98978V103</t>
  </si>
  <si>
    <t>B95WG16</t>
  </si>
  <si>
    <t>PLSH US Equity</t>
  </si>
  <si>
    <t>Panacea Life Sciences Hldgs In</t>
  </si>
  <si>
    <t>69810P109</t>
  </si>
  <si>
    <t>BMTW895</t>
  </si>
  <si>
    <t>TPST US Equity</t>
  </si>
  <si>
    <t>Tempest Therapeutics Inc</t>
  </si>
  <si>
    <t>87978U108</t>
  </si>
  <si>
    <t>BM8K1V3</t>
  </si>
  <si>
    <t>ZEOX US Equity</t>
  </si>
  <si>
    <t>Zeo ScientifiX Inc</t>
  </si>
  <si>
    <t>68621D206</t>
  </si>
  <si>
    <t>BQ721V8</t>
  </si>
  <si>
    <t>RGLS US Equity</t>
  </si>
  <si>
    <t>Regulus Therapeutics Inc</t>
  </si>
  <si>
    <t>75915K309</t>
  </si>
  <si>
    <t>BMWPT43</t>
  </si>
  <si>
    <t>ENTA US Equity</t>
  </si>
  <si>
    <t>Enanta Pharmaceuticals Inc</t>
  </si>
  <si>
    <t>29251M106</t>
  </si>
  <si>
    <t>B9L5200</t>
  </si>
  <si>
    <t>NMTC US Equity</t>
  </si>
  <si>
    <t>NeuroOne Medical Technologies</t>
  </si>
  <si>
    <t>64130M209</t>
  </si>
  <si>
    <t>BNKH205</t>
  </si>
  <si>
    <t>RLMD US Equity</t>
  </si>
  <si>
    <t>Relmada Therapeutics Inc</t>
  </si>
  <si>
    <t>75955J402</t>
  </si>
  <si>
    <t>BK71LV3</t>
  </si>
  <si>
    <t>PCSA US Equity</t>
  </si>
  <si>
    <t>Processa Pharmaceuticals Inc</t>
  </si>
  <si>
    <t>74275C304</t>
  </si>
  <si>
    <t>BRBCS76</t>
  </si>
  <si>
    <t>PRTA US Equity</t>
  </si>
  <si>
    <t>Prothena Corp PLC</t>
  </si>
  <si>
    <t>B91XRN2</t>
  </si>
  <si>
    <t>AKTX US Equity</t>
  </si>
  <si>
    <t>Akari Therapeutics PLC</t>
  </si>
  <si>
    <t>00972G207</t>
  </si>
  <si>
    <t>BQC4MY9</t>
  </si>
  <si>
    <t>HRGN US Equity</t>
  </si>
  <si>
    <t>Harvard Apparatus Regenerative</t>
  </si>
  <si>
    <t>09074M202</t>
  </si>
  <si>
    <t>BD05PJ9</t>
  </si>
  <si>
    <t>DRIO US Equity</t>
  </si>
  <si>
    <t>DarioHealth Corp</t>
  </si>
  <si>
    <t>23725P209</t>
  </si>
  <si>
    <t>BL0MJ94</t>
  </si>
  <si>
    <t>SKYE US Equity</t>
  </si>
  <si>
    <t>Skye Bioscience Inc</t>
  </si>
  <si>
    <t>83086J200</t>
  </si>
  <si>
    <t>BQBBF75</t>
  </si>
  <si>
    <t>LGMK US Equity</t>
  </si>
  <si>
    <t>LogicMark Inc</t>
  </si>
  <si>
    <t>IQV US Equity</t>
  </si>
  <si>
    <t>IQVIA Holdings Inc</t>
  </si>
  <si>
    <t>46266C105</t>
  </si>
  <si>
    <t>BDR73G1</t>
  </si>
  <si>
    <t>CLCS US Equity</t>
  </si>
  <si>
    <t>Cell Source Inc</t>
  </si>
  <si>
    <t>15114L104</t>
  </si>
  <si>
    <t>BNN83Y6</t>
  </si>
  <si>
    <t>CMRX US Equity</t>
  </si>
  <si>
    <t>Chimerix Inc</t>
  </si>
  <si>
    <t>16934W106</t>
  </si>
  <si>
    <t>B8RLM49</t>
  </si>
  <si>
    <t>AXIM US Equity</t>
  </si>
  <si>
    <t>Axim Biotechnologies Inc</t>
  </si>
  <si>
    <t>05463V100</t>
  </si>
  <si>
    <t>BPRCHY6</t>
  </si>
  <si>
    <t>BIIO US Equity</t>
  </si>
  <si>
    <t>Bionovate Technologies Corp</t>
  </si>
  <si>
    <t>09074V202</t>
  </si>
  <si>
    <t>BKMPP85</t>
  </si>
  <si>
    <t>SCPX US Equity</t>
  </si>
  <si>
    <t>Scorpius Holdings Inc</t>
  </si>
  <si>
    <t>PHARMACA PS Equity</t>
  </si>
  <si>
    <t>Dar Al Shifa Pharmaceuticals</t>
  </si>
  <si>
    <t>B8DTBG2</t>
  </si>
  <si>
    <t>NRC US Equity</t>
  </si>
  <si>
    <t>National Research Corp</t>
  </si>
  <si>
    <t>637372202</t>
  </si>
  <si>
    <t>B8W3QK4</t>
  </si>
  <si>
    <t>BLUE US Equity</t>
  </si>
  <si>
    <t>Bluebird Bio Inc</t>
  </si>
  <si>
    <t>ESPR US Equity</t>
  </si>
  <si>
    <t>Esperion Therapeutics Inc</t>
  </si>
  <si>
    <t>29664W105</t>
  </si>
  <si>
    <t>BBNBTD2</t>
  </si>
  <si>
    <t>RTSL US Equity</t>
  </si>
  <si>
    <t>Rapid Therapeutic Science Labo</t>
  </si>
  <si>
    <t>753431204</t>
  </si>
  <si>
    <t>BPJJQK4</t>
  </si>
  <si>
    <t>EVOK US Equity</t>
  </si>
  <si>
    <t>Evoke Pharma Inc</t>
  </si>
  <si>
    <t>30049G302</t>
  </si>
  <si>
    <t>BR2NJD1</t>
  </si>
  <si>
    <t>AGIO US Equity</t>
  </si>
  <si>
    <t>Agios Pharmaceuticals Inc</t>
  </si>
  <si>
    <t>00847X104</t>
  </si>
  <si>
    <t>BCBVTX1</t>
  </si>
  <si>
    <t>Histogen Inc</t>
  </si>
  <si>
    <t>43358Y202</t>
  </si>
  <si>
    <t>BNM7TX5</t>
  </si>
  <si>
    <t>TRAW US Equity</t>
  </si>
  <si>
    <t>Traws Pharma Inc</t>
  </si>
  <si>
    <t>68232V884</t>
  </si>
  <si>
    <t>BP08ZD6</t>
  </si>
  <si>
    <t>PGEN US Equity</t>
  </si>
  <si>
    <t>Precigen Inc</t>
  </si>
  <si>
    <t>74017N105</t>
  </si>
  <si>
    <t>BKM5C84</t>
  </si>
  <si>
    <t>PULM US Equity</t>
  </si>
  <si>
    <t>Pulmatrix Inc</t>
  </si>
  <si>
    <t>74584P301</t>
  </si>
  <si>
    <t>BNHNNZ8</t>
  </si>
  <si>
    <t>BIVI US Equity</t>
  </si>
  <si>
    <t>BioVie Inc</t>
  </si>
  <si>
    <t>09074F405</t>
  </si>
  <si>
    <t>BM8Z8K6</t>
  </si>
  <si>
    <t>HITC US Equity</t>
  </si>
  <si>
    <t>Healthcare Integrated Technolo</t>
  </si>
  <si>
    <t>422009100</t>
  </si>
  <si>
    <t>BFYDVD9</t>
  </si>
  <si>
    <t>FATE US Equity</t>
  </si>
  <si>
    <t>Fate Therapeutics Inc</t>
  </si>
  <si>
    <t>31189P102</t>
  </si>
  <si>
    <t>BCZS820</t>
  </si>
  <si>
    <t>ACAN US Equity</t>
  </si>
  <si>
    <t>Americann Inc</t>
  </si>
  <si>
    <t>030588107</t>
  </si>
  <si>
    <t>BLSP9Q2</t>
  </si>
  <si>
    <t>RASP US Equity</t>
  </si>
  <si>
    <t>Actavia Life Sciences Inc</t>
  </si>
  <si>
    <t>753888106</t>
  </si>
  <si>
    <t>BD5D060</t>
  </si>
  <si>
    <t>VEEV US Equity</t>
  </si>
  <si>
    <t>Veeva Systems Inc</t>
  </si>
  <si>
    <t>922475108</t>
  </si>
  <si>
    <t>BFH3N85</t>
  </si>
  <si>
    <t>BIOCQ US Equity</t>
  </si>
  <si>
    <t>Biocept Inc</t>
  </si>
  <si>
    <t>09072V600</t>
  </si>
  <si>
    <t>BNRQYG5</t>
  </si>
  <si>
    <t>VCYT US Equity</t>
  </si>
  <si>
    <t>Veracyte Inc</t>
  </si>
  <si>
    <t>92337F107</t>
  </si>
  <si>
    <t>BFTWZY0</t>
  </si>
  <si>
    <t>KPTI US Equity</t>
  </si>
  <si>
    <t>Karyopharm Therapeutics Inc</t>
  </si>
  <si>
    <t>48576U106</t>
  </si>
  <si>
    <t>BG3FZW0</t>
  </si>
  <si>
    <t>GLYC US Equity</t>
  </si>
  <si>
    <t>GlycoMimetics Inc</t>
  </si>
  <si>
    <t>38000Q102</t>
  </si>
  <si>
    <t>BG3G1D6</t>
  </si>
  <si>
    <t>TNDM US Equity</t>
  </si>
  <si>
    <t>Tandem Diabetes Care Inc</t>
  </si>
  <si>
    <t>875372203</t>
  </si>
  <si>
    <t>BF3W461</t>
  </si>
  <si>
    <t>TRVN US Equity</t>
  </si>
  <si>
    <t>Trevena Inc</t>
  </si>
  <si>
    <t>89532E307</t>
  </si>
  <si>
    <t>BQ0N6Z7</t>
  </si>
  <si>
    <t>XNCR US Equity</t>
  </si>
  <si>
    <t>Xencor Inc</t>
  </si>
  <si>
    <t>98401F105</t>
  </si>
  <si>
    <t>BGCYWN8</t>
  </si>
  <si>
    <t>IMUX US Equity</t>
  </si>
  <si>
    <t>Immunic Inc</t>
  </si>
  <si>
    <t>4525EP101</t>
  </si>
  <si>
    <t>BJ0LV13</t>
  </si>
  <si>
    <t>TLOG US Equity</t>
  </si>
  <si>
    <t>TetraLogic Pharmaceuticals Cor</t>
  </si>
  <si>
    <t>88165U109</t>
  </si>
  <si>
    <t>BGDW1Y5</t>
  </si>
  <si>
    <t>ICCM US Equity</t>
  </si>
  <si>
    <t>Icecure Medical Ltd</t>
  </si>
  <si>
    <t>BGD0202</t>
  </si>
  <si>
    <t>CARA US Equity</t>
  </si>
  <si>
    <t>Cara Therapeutics Inc</t>
  </si>
  <si>
    <t>RARE US Equity</t>
  </si>
  <si>
    <t>Ultragenyx Pharmaceutical Inc</t>
  </si>
  <si>
    <t>90400D108</t>
  </si>
  <si>
    <t>BJ62Z18</t>
  </si>
  <si>
    <t>SMLR US Equity</t>
  </si>
  <si>
    <t>Semler Scientific Inc</t>
  </si>
  <si>
    <t>81684M104</t>
  </si>
  <si>
    <t>BJ36RP1</t>
  </si>
  <si>
    <t>ITCI US Equity</t>
  </si>
  <si>
    <t>Intra-Cellular Therapies Inc</t>
  </si>
  <si>
    <t>46116X101</t>
  </si>
  <si>
    <t>BHCB0P4</t>
  </si>
  <si>
    <t>INGN US Equity</t>
  </si>
  <si>
    <t>Inogen Inc</t>
  </si>
  <si>
    <t>45780L104</t>
  </si>
  <si>
    <t>BJSVLL5</t>
  </si>
  <si>
    <t>CCLD US Equity</t>
  </si>
  <si>
    <t>CareCloud Inc</t>
  </si>
  <si>
    <t>14167R100</t>
  </si>
  <si>
    <t>BKP32B8</t>
  </si>
  <si>
    <t>CARM US Equity</t>
  </si>
  <si>
    <t>Carisma Therapeutics Inc</t>
  </si>
  <si>
    <t>14216R101</t>
  </si>
  <si>
    <t>BPXXJV4</t>
  </si>
  <si>
    <t>QURE US Equity</t>
  </si>
  <si>
    <t>uniQure NV</t>
  </si>
  <si>
    <t>BJFSR88</t>
  </si>
  <si>
    <t>ALDX US Equity</t>
  </si>
  <si>
    <t>Aldeyra Therapeutics Inc</t>
  </si>
  <si>
    <t>01438T106</t>
  </si>
  <si>
    <t>BLD36T3</t>
  </si>
  <si>
    <t>GNCAQ US Equity</t>
  </si>
  <si>
    <t>Genocea Biosciences Inc</t>
  </si>
  <si>
    <t>372427401</t>
  </si>
  <si>
    <t>BJ028Z9</t>
  </si>
  <si>
    <t>MTNB US Equity</t>
  </si>
  <si>
    <t>Matinas BioPharma Holdings Inc</t>
  </si>
  <si>
    <t>576810303</t>
  </si>
  <si>
    <t>BQXSP30</t>
  </si>
  <si>
    <t>VRAYQ US Equity</t>
  </si>
  <si>
    <t>ViewRay Inc</t>
  </si>
  <si>
    <t>92672L107</t>
  </si>
  <si>
    <t>BYSGPK2</t>
  </si>
  <si>
    <t>NGNE US Equity</t>
  </si>
  <si>
    <t>Neurogene Inc</t>
  </si>
  <si>
    <t>64135M105</t>
  </si>
  <si>
    <t>BS2F741</t>
  </si>
  <si>
    <t>EGRX US Equity</t>
  </si>
  <si>
    <t>Eagle Pharmaceuticals Inc/DE</t>
  </si>
  <si>
    <t>269796108</t>
  </si>
  <si>
    <t>BJH7VB4</t>
  </si>
  <si>
    <t>HEPA US Equity</t>
  </si>
  <si>
    <t>Hepion Pharmaceuticals Inc</t>
  </si>
  <si>
    <t>426897302</t>
  </si>
  <si>
    <t>BLB3JY1</t>
  </si>
  <si>
    <t>GLMD US Equity</t>
  </si>
  <si>
    <t>Galmed Pharmaceuticals Ltd</t>
  </si>
  <si>
    <t>BKMDKS4</t>
  </si>
  <si>
    <t>ENLV US Equity</t>
  </si>
  <si>
    <t>Enlivex Therapeutics Ltd</t>
  </si>
  <si>
    <t>BP96PT7</t>
  </si>
  <si>
    <t>MDWD US Equity</t>
  </si>
  <si>
    <t>MediWound Ltd</t>
  </si>
  <si>
    <t>BKJ9B48</t>
  </si>
  <si>
    <t>RENB US Equity</t>
  </si>
  <si>
    <t>Renovaro Inc</t>
  </si>
  <si>
    <t>29350E104</t>
  </si>
  <si>
    <t>BD3NJQ5</t>
  </si>
  <si>
    <t>AKBA US Equity</t>
  </si>
  <si>
    <t>Akebia Therapeutics Inc</t>
  </si>
  <si>
    <t>00972D105</t>
  </si>
  <si>
    <t>BKKMP44</t>
  </si>
  <si>
    <t>QBIO US Equity</t>
  </si>
  <si>
    <t>Q BioMed Inc</t>
  </si>
  <si>
    <t>74736N105</t>
  </si>
  <si>
    <t>BYX05C1</t>
  </si>
  <si>
    <t>EVARF US Equity</t>
  </si>
  <si>
    <t>Lombard Medical Inc</t>
  </si>
  <si>
    <t>BL25F15</t>
  </si>
  <si>
    <t>VRDN US Equity</t>
  </si>
  <si>
    <t>Viridian Therapeutics Inc</t>
  </si>
  <si>
    <t>92790C104</t>
  </si>
  <si>
    <t>BMDH2B6</t>
  </si>
  <si>
    <t>DARE US Equity</t>
  </si>
  <si>
    <t>Dare Bioscience Inc</t>
  </si>
  <si>
    <t>23666P200</t>
  </si>
  <si>
    <t>BT3JX63</t>
  </si>
  <si>
    <t>SNDX US Equity</t>
  </si>
  <si>
    <t>Syndax Pharmaceuticals Inc</t>
  </si>
  <si>
    <t>87164F105</t>
  </si>
  <si>
    <t>BN7Q7R7</t>
  </si>
  <si>
    <t>NMRD US Equity</t>
  </si>
  <si>
    <t>Nemaura Medical Inc</t>
  </si>
  <si>
    <t>640442208</t>
  </si>
  <si>
    <t>BKKCVZ7</t>
  </si>
  <si>
    <t>NERV US Equity</t>
  </si>
  <si>
    <t>Minerva Neurosciences Inc</t>
  </si>
  <si>
    <t>603380205</t>
  </si>
  <si>
    <t>BPF0KJ8</t>
  </si>
  <si>
    <t>ELTX US Equity</t>
  </si>
  <si>
    <t>Elicio Therapeutics Inc</t>
  </si>
  <si>
    <t>28657F103</t>
  </si>
  <si>
    <t>BP92Z62</t>
  </si>
  <si>
    <t>CFRXQ US Equity</t>
  </si>
  <si>
    <t>ContraFect Corp</t>
  </si>
  <si>
    <t>212326409</t>
  </si>
  <si>
    <t>BNKCG64</t>
  </si>
  <si>
    <t>LRMR US Equity</t>
  </si>
  <si>
    <t>Larimar Therapeutics Inc</t>
  </si>
  <si>
    <t>517125100</t>
  </si>
  <si>
    <t>BMXNGZ6</t>
  </si>
  <si>
    <t>AVNS US Equity</t>
  </si>
  <si>
    <t>Avanos Medical Inc</t>
  </si>
  <si>
    <t>05350V106</t>
  </si>
  <si>
    <t>BFFVV54</t>
  </si>
  <si>
    <t>MRNS US Equity</t>
  </si>
  <si>
    <t>Marinus Pharmaceuticals Inc</t>
  </si>
  <si>
    <t>56854Q200</t>
  </si>
  <si>
    <t>BM8MVZ3</t>
  </si>
  <si>
    <t>TBPH US Equity</t>
  </si>
  <si>
    <t>Theravance Biopharma Inc</t>
  </si>
  <si>
    <t>BMNDK09</t>
  </si>
  <si>
    <t>PARNF US Equity</t>
  </si>
  <si>
    <t>Parnell Pharmaceuticals Holdin</t>
  </si>
  <si>
    <t>BNFXF87</t>
  </si>
  <si>
    <t>ARDX US Equity</t>
  </si>
  <si>
    <t>Ardelyx Inc</t>
  </si>
  <si>
    <t>039697107</t>
  </si>
  <si>
    <t>BN89V40</t>
  </si>
  <si>
    <t>CDNA US Equity</t>
  </si>
  <si>
    <t>CareDx Inc</t>
  </si>
  <si>
    <t>14167L103</t>
  </si>
  <si>
    <t>BP3YM74</t>
  </si>
  <si>
    <t>SLNO US Equity</t>
  </si>
  <si>
    <t>Soleno Therapeutics Inc</t>
  </si>
  <si>
    <t>834203309</t>
  </si>
  <si>
    <t>BL6JK96</t>
  </si>
  <si>
    <t>BSGM US Equity</t>
  </si>
  <si>
    <t>BioSig Technologies Inc</t>
  </si>
  <si>
    <t>09073N300</t>
  </si>
  <si>
    <t>BS7XQ21</t>
  </si>
  <si>
    <t>Notable Labs Ltd</t>
  </si>
  <si>
    <t>BLC8KF3</t>
  </si>
  <si>
    <t>SAGE US Equity</t>
  </si>
  <si>
    <t>Sage Therapeutics Inc</t>
  </si>
  <si>
    <t>78667J108</t>
  </si>
  <si>
    <t>BP4GNK9</t>
  </si>
  <si>
    <t>IRMD US Equity</t>
  </si>
  <si>
    <t>iRadimed Corp</t>
  </si>
  <si>
    <t>46266A109</t>
  </si>
  <si>
    <t>BP4GNJ8</t>
  </si>
  <si>
    <t>ATRA US Equity</t>
  </si>
  <si>
    <t>Atara Biotherapeutics Inc</t>
  </si>
  <si>
    <t>046513206</t>
  </si>
  <si>
    <t>BSY14M4</t>
  </si>
  <si>
    <t>OCUL US Equity</t>
  </si>
  <si>
    <t>Ocular Therapeutix Inc</t>
  </si>
  <si>
    <t>67576A100</t>
  </si>
  <si>
    <t>BNZB1X8</t>
  </si>
  <si>
    <t>LNTH US Equity</t>
  </si>
  <si>
    <t>Lantheus Holdings Inc</t>
  </si>
  <si>
    <t>516544103</t>
  </si>
  <si>
    <t>BP8S8J5</t>
  </si>
  <si>
    <t>HSDT US Equity</t>
  </si>
  <si>
    <t>Helius Medical Technologies In</t>
  </si>
  <si>
    <t>42328V801</t>
  </si>
  <si>
    <t>BQC4QN6</t>
  </si>
  <si>
    <t>Altamira Therapeutics Ltd</t>
  </si>
  <si>
    <t>ADVM US Equity</t>
  </si>
  <si>
    <t>Adverum Biotechnologies Inc</t>
  </si>
  <si>
    <t>00773U207</t>
  </si>
  <si>
    <t>BQ9D380</t>
  </si>
  <si>
    <t>AFMD US Equity</t>
  </si>
  <si>
    <t>Affimed NV</t>
  </si>
  <si>
    <t>BMTXL55</t>
  </si>
  <si>
    <t>VKTX US Equity</t>
  </si>
  <si>
    <t>Viking Therapeutics Inc</t>
  </si>
  <si>
    <t>92686J106</t>
  </si>
  <si>
    <t>BQQG1V1</t>
  </si>
  <si>
    <t>TTOO US Equity</t>
  </si>
  <si>
    <t>T2 Biosystems Inc</t>
  </si>
  <si>
    <t>89853L302</t>
  </si>
  <si>
    <t>BR2P540</t>
  </si>
  <si>
    <t>LFWD US Equity</t>
  </si>
  <si>
    <t>Lifeward Ltd</t>
  </si>
  <si>
    <t>BQKHN58</t>
  </si>
  <si>
    <t>ELDN US Equity</t>
  </si>
  <si>
    <t>Eledon Pharmaceuticals Inc</t>
  </si>
  <si>
    <t>28617K101</t>
  </si>
  <si>
    <t>BM90L23</t>
  </si>
  <si>
    <t>OLMM US Equity</t>
  </si>
  <si>
    <t>OneLife Technologies Corp</t>
  </si>
  <si>
    <t>68268M105</t>
  </si>
  <si>
    <t>BD8PFH9</t>
  </si>
  <si>
    <t>PRQR US Equity</t>
  </si>
  <si>
    <t>ProQR Therapeutics NV</t>
  </si>
  <si>
    <t>BQRX1W2</t>
  </si>
  <si>
    <t>CALA US Equity</t>
  </si>
  <si>
    <t>Calithera Biosciences Inc</t>
  </si>
  <si>
    <t>13089P507</t>
  </si>
  <si>
    <t>BP9M4W1</t>
  </si>
  <si>
    <t>JAGX US Equity</t>
  </si>
  <si>
    <t>Jaguar Health Inc</t>
  </si>
  <si>
    <t>47010C805</t>
  </si>
  <si>
    <t>BRJNX10</t>
  </si>
  <si>
    <t>XENE US Equity</t>
  </si>
  <si>
    <t>Xenon Pharmaceuticals Inc</t>
  </si>
  <si>
    <t>98420N105</t>
  </si>
  <si>
    <t>BRJ3GY4</t>
  </si>
  <si>
    <t>TARA US Equity</t>
  </si>
  <si>
    <t>Protara Therapeutics Inc</t>
  </si>
  <si>
    <t>74365U107</t>
  </si>
  <si>
    <t>BMVWYW8</t>
  </si>
  <si>
    <t>XGN US Equity</t>
  </si>
  <si>
    <t>Exagen Inc</t>
  </si>
  <si>
    <t>30068X103</t>
  </si>
  <si>
    <t>BK4W379</t>
  </si>
  <si>
    <t>JYNT US Equity</t>
  </si>
  <si>
    <t>Joint Corp/The</t>
  </si>
  <si>
    <t>47973J102</t>
  </si>
  <si>
    <t>BRK0127</t>
  </si>
  <si>
    <t>CHRS US Equity</t>
  </si>
  <si>
    <t>Coherus Biosciences Inc</t>
  </si>
  <si>
    <t>19249H103</t>
  </si>
  <si>
    <t>BRK0149</t>
  </si>
  <si>
    <t>FGEN US Equity</t>
  </si>
  <si>
    <t>FibroGen Inc</t>
  </si>
  <si>
    <t>31572Q808</t>
  </si>
  <si>
    <t>BSDRYR8</t>
  </si>
  <si>
    <t>CRBP US Equity</t>
  </si>
  <si>
    <t>Corbus Pharmaceuticals Holding</t>
  </si>
  <si>
    <t>21833P301</t>
  </si>
  <si>
    <t>BNHTR76</t>
  </si>
  <si>
    <t>NVRO US Equity</t>
  </si>
  <si>
    <t>Nevro Corp</t>
  </si>
  <si>
    <t>64157F103</t>
  </si>
  <si>
    <t>BS7K7C9</t>
  </si>
  <si>
    <t>OCGN US Equity</t>
  </si>
  <si>
    <t>Ocugen Inc</t>
  </si>
  <si>
    <t>67577C105</t>
  </si>
  <si>
    <t>BK71M09</t>
  </si>
  <si>
    <t>ARTL US Equity</t>
  </si>
  <si>
    <t>Artelo Biosciences Inc</t>
  </si>
  <si>
    <t>04301G508</t>
  </si>
  <si>
    <t>BPJK1G8</t>
  </si>
  <si>
    <t>PYPD US Equity</t>
  </si>
  <si>
    <t>PolyPid Ltd</t>
  </si>
  <si>
    <t>BSHZXB5</t>
  </si>
  <si>
    <t>APPB US Equity</t>
  </si>
  <si>
    <t>Applied Biosciences Corp</t>
  </si>
  <si>
    <t>03815L102</t>
  </si>
  <si>
    <t>BFMNR77</t>
  </si>
  <si>
    <t>EVFM US Equity</t>
  </si>
  <si>
    <t>Evofem Biosciences Inc</t>
  </si>
  <si>
    <t>30048L302</t>
  </si>
  <si>
    <t>BP48833</t>
  </si>
  <si>
    <t>NHEL US Equity</t>
  </si>
  <si>
    <t>Natural Health Farm Holdings I</t>
  </si>
  <si>
    <t>63889N103</t>
  </si>
  <si>
    <t>BF33QQ8</t>
  </si>
  <si>
    <t>RCKT US Equity</t>
  </si>
  <si>
    <t>Rocket Pharmaceuticals Inc</t>
  </si>
  <si>
    <t>77313F106</t>
  </si>
  <si>
    <t>BDFKQ07</t>
  </si>
  <si>
    <t>OWPC US Equity</t>
  </si>
  <si>
    <t>One World Products Inc</t>
  </si>
  <si>
    <t>68248W108</t>
  </si>
  <si>
    <t>BHTDC02</t>
  </si>
  <si>
    <t>ASND US Equity</t>
  </si>
  <si>
    <t>Ascendis Pharma A/S</t>
  </si>
  <si>
    <t>04351P101</t>
  </si>
  <si>
    <t>BV9G6B8</t>
  </si>
  <si>
    <t>YECO US Equity</t>
  </si>
  <si>
    <t>Yulong Eco-Materials Ltd</t>
  </si>
  <si>
    <t>988497103</t>
  </si>
  <si>
    <t>BLC8C57</t>
  </si>
  <si>
    <t>SLRX US Equity</t>
  </si>
  <si>
    <t>Salarius Pharmaceuticals Inc</t>
  </si>
  <si>
    <t>79400X404</t>
  </si>
  <si>
    <t>BR4Z7H5</t>
  </si>
  <si>
    <t>KALV US Equity</t>
  </si>
  <si>
    <t>KalVista Pharmaceuticals Inc</t>
  </si>
  <si>
    <t>483497103</t>
  </si>
  <si>
    <t>BD06CS0</t>
  </si>
  <si>
    <t>SCNI US Equity</t>
  </si>
  <si>
    <t>Scinai Immunotherapeutics Ltd</t>
  </si>
  <si>
    <t>09073Q303</t>
  </si>
  <si>
    <t>BM8JCK6</t>
  </si>
  <si>
    <t>AVGR US Equity</t>
  </si>
  <si>
    <t>Avinger Inc</t>
  </si>
  <si>
    <t>053734877</t>
  </si>
  <si>
    <t>BNNJC75</t>
  </si>
  <si>
    <t>HTGMQ US Equity</t>
  </si>
  <si>
    <t>HTG Molecular Diagnostics Inc</t>
  </si>
  <si>
    <t>40434H302</t>
  </si>
  <si>
    <t>BMC8JW0</t>
  </si>
  <si>
    <t>IDHC LN Equity</t>
  </si>
  <si>
    <t>Integrated Diagnostics Holding</t>
  </si>
  <si>
    <t>BLKGSR7</t>
  </si>
  <si>
    <t>CBDY US Equity</t>
  </si>
  <si>
    <t>Target Group Inc</t>
  </si>
  <si>
    <t>87614W104</t>
  </si>
  <si>
    <t>BFYDQC3</t>
  </si>
  <si>
    <t>BTCY US Equity</t>
  </si>
  <si>
    <t>Biotricity Inc</t>
  </si>
  <si>
    <t>09074H203</t>
  </si>
  <si>
    <t>BRJTTM1</t>
  </si>
  <si>
    <t>IVRN US Equity</t>
  </si>
  <si>
    <t>Innoveren Scientific Inc</t>
  </si>
  <si>
    <t>404124307</t>
  </si>
  <si>
    <t>BNDBDG7</t>
  </si>
  <si>
    <t>BBLG US Equity</t>
  </si>
  <si>
    <t>Bone Biologics Corp</t>
  </si>
  <si>
    <t>098070501</t>
  </si>
  <si>
    <t>BR1G3D9</t>
  </si>
  <si>
    <t>XBIT US Equity</t>
  </si>
  <si>
    <t>XBiotech Inc</t>
  </si>
  <si>
    <t>98400H102</t>
  </si>
  <si>
    <t>BWD1LM2</t>
  </si>
  <si>
    <t>KPRX US Equity</t>
  </si>
  <si>
    <t>Kiora Pharmaceuticals Inc</t>
  </si>
  <si>
    <t>49721T507</t>
  </si>
  <si>
    <t>BRK1TJ3</t>
  </si>
  <si>
    <t>CLGN US Equity</t>
  </si>
  <si>
    <t>Collplant Biotechnologies Ltd</t>
  </si>
  <si>
    <t>BMZ1KB2</t>
  </si>
  <si>
    <t>OPGN US Equity</t>
  </si>
  <si>
    <t>OpGen Inc</t>
  </si>
  <si>
    <t>68373L505</t>
  </si>
  <si>
    <t>BQFPQS1</t>
  </si>
  <si>
    <t>ZVRA US Equity</t>
  </si>
  <si>
    <t>Zevra Therapeutics Inc</t>
  </si>
  <si>
    <t>488445206</t>
  </si>
  <si>
    <t>BLFBZ32</t>
  </si>
  <si>
    <t>EPIX US Equity</t>
  </si>
  <si>
    <t>Essa Pharma Inc</t>
  </si>
  <si>
    <t>29668H708</t>
  </si>
  <si>
    <t>BDTYY56</t>
  </si>
  <si>
    <t>CDTX US Equity</t>
  </si>
  <si>
    <t>Cidara Therapeutics Inc</t>
  </si>
  <si>
    <t>171757206</t>
  </si>
  <si>
    <t>BNNV4W0</t>
  </si>
  <si>
    <t>CHEK US Equity</t>
  </si>
  <si>
    <t>Check Cap Ltd</t>
  </si>
  <si>
    <t>BVTGHG0</t>
  </si>
  <si>
    <t>BPMC US Equity</t>
  </si>
  <si>
    <t>Blueprint Medicines Corp</t>
  </si>
  <si>
    <t>09627Y109</t>
  </si>
  <si>
    <t>BWY52P3</t>
  </si>
  <si>
    <t>QLGN US Equity</t>
  </si>
  <si>
    <t>Qualigen Therapeutics Inc</t>
  </si>
  <si>
    <t>ATYR US Equity</t>
  </si>
  <si>
    <t>aTyr Pharma Inc</t>
  </si>
  <si>
    <t>002120202</t>
  </si>
  <si>
    <t>BGMGBW6</t>
  </si>
  <si>
    <t>ADAP US Equity</t>
  </si>
  <si>
    <t>Adaptimmune Therapeutics Plc</t>
  </si>
  <si>
    <t>00653A107</t>
  </si>
  <si>
    <t>BWY4XV3</t>
  </si>
  <si>
    <t>IVBT US Equity</t>
  </si>
  <si>
    <t>Innovation1 Biotech Inc</t>
  </si>
  <si>
    <t>39809D201</t>
  </si>
  <si>
    <t>BM8DGV7</t>
  </si>
  <si>
    <t>NAOV US Equity</t>
  </si>
  <si>
    <t>NanoVibronix Inc</t>
  </si>
  <si>
    <t>63008J603</t>
  </si>
  <si>
    <t>BMXHMY9</t>
  </si>
  <si>
    <t>TDOC US Equity</t>
  </si>
  <si>
    <t>Teladoc Health Inc</t>
  </si>
  <si>
    <t>87918A105</t>
  </si>
  <si>
    <t>BYQRFY1</t>
  </si>
  <si>
    <t>EVH US Equity</t>
  </si>
  <si>
    <t>Evolent Health Inc</t>
  </si>
  <si>
    <t>30050B101</t>
  </si>
  <si>
    <t>BYLY8H1</t>
  </si>
  <si>
    <t>GKOS US Equity</t>
  </si>
  <si>
    <t>Glaukos Corp</t>
  </si>
  <si>
    <t>377322102</t>
  </si>
  <si>
    <t>BYMWL19</t>
  </si>
  <si>
    <t>ATXS US Equity</t>
  </si>
  <si>
    <t>Astria Therapeutics Inc</t>
  </si>
  <si>
    <t>04635X102</t>
  </si>
  <si>
    <t>BMYRFN8</t>
  </si>
  <si>
    <t>XYLO US Equity</t>
  </si>
  <si>
    <t>Xylo Technologies Ltd</t>
  </si>
  <si>
    <t>58471G508</t>
  </si>
  <si>
    <t>BPDY7V3</t>
  </si>
  <si>
    <t>MCRB US Equity</t>
  </si>
  <si>
    <t>Seres Therapeutics Inc</t>
  </si>
  <si>
    <t>81750R102</t>
  </si>
  <si>
    <t>BYNQNP8</t>
  </si>
  <si>
    <t>NTRA US Equity</t>
  </si>
  <si>
    <t>Natera Inc</t>
  </si>
  <si>
    <t>632307104</t>
  </si>
  <si>
    <t>BYQRG48</t>
  </si>
  <si>
    <t>SHWZ US Equity</t>
  </si>
  <si>
    <t>Medicine Man Technologies Inc</t>
  </si>
  <si>
    <t>58468U106</t>
  </si>
  <si>
    <t>BZ1MJ68</t>
  </si>
  <si>
    <t>AVRW US Equity</t>
  </si>
  <si>
    <t>Avenir Wellness Solutions Inc</t>
  </si>
  <si>
    <t>23127P104</t>
  </si>
  <si>
    <t>BD3HSB5</t>
  </si>
  <si>
    <t>AVTX US Equity</t>
  </si>
  <si>
    <t>Avalo Therapeutics Inc</t>
  </si>
  <si>
    <t>05338F306</t>
  </si>
  <si>
    <t>BSKSFB5</t>
  </si>
  <si>
    <t>VTVT US Equity</t>
  </si>
  <si>
    <t>vTv Therapeutics Inc</t>
  </si>
  <si>
    <t>918385204</t>
  </si>
  <si>
    <t>BMJ0GK6</t>
  </si>
  <si>
    <t>SYRE US Equity</t>
  </si>
  <si>
    <t>Spyre Therapeutics Inc</t>
  </si>
  <si>
    <t>00773J202</t>
  </si>
  <si>
    <t>BQBBDY8</t>
  </si>
  <si>
    <t>IBRX US Equity</t>
  </si>
  <si>
    <t>ImmunityBio Inc</t>
  </si>
  <si>
    <t>45256X103</t>
  </si>
  <si>
    <t>BNSP0B8</t>
  </si>
  <si>
    <t>LIVN US Equity</t>
  </si>
  <si>
    <t>LivaNova PLC</t>
  </si>
  <si>
    <t>BYMT0J1</t>
  </si>
  <si>
    <t>APVO US Equity</t>
  </si>
  <si>
    <t>Aptevo Therapeutics Inc</t>
  </si>
  <si>
    <t>PDSB US Equity</t>
  </si>
  <si>
    <t>PDS Biotechnology Corp</t>
  </si>
  <si>
    <t>70465T107</t>
  </si>
  <si>
    <t>BJQN8B2</t>
  </si>
  <si>
    <t>RGNX US Equity</t>
  </si>
  <si>
    <t>REGENXBIO Inc</t>
  </si>
  <si>
    <t>75901B107</t>
  </si>
  <si>
    <t>BZ0G875</t>
  </si>
  <si>
    <t>SGRY US Equity</t>
  </si>
  <si>
    <t>Surgery Partners Inc</t>
  </si>
  <si>
    <t>86881A100</t>
  </si>
  <si>
    <t>BYTC1B2</t>
  </si>
  <si>
    <t>ACRS US Equity</t>
  </si>
  <si>
    <t>Aclaris Therapeutics Inc</t>
  </si>
  <si>
    <t>00461U105</t>
  </si>
  <si>
    <t>BYV2W40</t>
  </si>
  <si>
    <t>KURA US Equity</t>
  </si>
  <si>
    <t>Kura Oncology Inc</t>
  </si>
  <si>
    <t>50127T109</t>
  </si>
  <si>
    <t>BYZD465</t>
  </si>
  <si>
    <t>SYBX US Equity</t>
  </si>
  <si>
    <t>Synlogic Inc</t>
  </si>
  <si>
    <t>87166L209</t>
  </si>
  <si>
    <t>BS1L5T1</t>
  </si>
  <si>
    <t>CTMX US Equity</t>
  </si>
  <si>
    <t>CytomX Therapeutics Inc</t>
  </si>
  <si>
    <t>23284F105</t>
  </si>
  <si>
    <t>BYWVTY5</t>
  </si>
  <si>
    <t>NVCR US Equity</t>
  </si>
  <si>
    <t>Novocure Ltd</t>
  </si>
  <si>
    <t>BYSS4X4</t>
  </si>
  <si>
    <t>ANAB US Equity</t>
  </si>
  <si>
    <t>AnaptysBio Inc</t>
  </si>
  <si>
    <t>032724106</t>
  </si>
  <si>
    <t>BDRW1L7</t>
  </si>
  <si>
    <t>XAIR US Equity</t>
  </si>
  <si>
    <t>Beyond Air Inc</t>
  </si>
  <si>
    <t>08862L103</t>
  </si>
  <si>
    <t>BKLTT19</t>
  </si>
  <si>
    <t>WVE US Equity</t>
  </si>
  <si>
    <t>WaVe Life Sciences Ltd</t>
  </si>
  <si>
    <t>BYZG9R0</t>
  </si>
  <si>
    <t>VYGR US Equity</t>
  </si>
  <si>
    <t>Voyager Therapeutics Inc</t>
  </si>
  <si>
    <t>92915B106</t>
  </si>
  <si>
    <t>BY7RB53</t>
  </si>
  <si>
    <t>AXSM US Equity</t>
  </si>
  <si>
    <t>Axsome Therapeutics Inc</t>
  </si>
  <si>
    <t>05464T104</t>
  </si>
  <si>
    <t>BYZR4X4</t>
  </si>
  <si>
    <t>APLS US Equity</t>
  </si>
  <si>
    <t>Apellis Pharmaceuticals Inc</t>
  </si>
  <si>
    <t>03753U106</t>
  </si>
  <si>
    <t>BYTQ6X1</t>
  </si>
  <si>
    <t>BeiGene Ltd</t>
  </si>
  <si>
    <t>MRUS US Equity</t>
  </si>
  <si>
    <t>Merus NV</t>
  </si>
  <si>
    <t>BZBY005</t>
  </si>
  <si>
    <t>ACBM US Equity</t>
  </si>
  <si>
    <t>Acro Biomedical Co Ltd</t>
  </si>
  <si>
    <t>004892105</t>
  </si>
  <si>
    <t>BD6VJ33</t>
  </si>
  <si>
    <t>NMTRQ US Equity</t>
  </si>
  <si>
    <t>9 Meters Biopharma Inc</t>
  </si>
  <si>
    <t>654405208</t>
  </si>
  <si>
    <t>BQPDW65</t>
  </si>
  <si>
    <t>OCX US Equity</t>
  </si>
  <si>
    <t>Oncocyte Corp</t>
  </si>
  <si>
    <t>68235C206</t>
  </si>
  <si>
    <t>BM8K072</t>
  </si>
  <si>
    <t>SENS US Equity</t>
  </si>
  <si>
    <t>Senseonics Holdings Inc</t>
  </si>
  <si>
    <t>81727U105</t>
  </si>
  <si>
    <t>BYQNYR5</t>
  </si>
  <si>
    <t>PLSE US Equity</t>
  </si>
  <si>
    <t>Pulse Biosciences Inc</t>
  </si>
  <si>
    <t>74587B101</t>
  </si>
  <si>
    <t>BD02SG8</t>
  </si>
  <si>
    <t>KANT US Equity</t>
  </si>
  <si>
    <t>Kineta Inc</t>
  </si>
  <si>
    <t>49461C102</t>
  </si>
  <si>
    <t>BM91ZJ1</t>
  </si>
  <si>
    <t>EDIT US Equity</t>
  </si>
  <si>
    <t>Editas Medicine Inc</t>
  </si>
  <si>
    <t>28106W103</t>
  </si>
  <si>
    <t>BZ8FPH3</t>
  </si>
  <si>
    <t>CRVS US Equity</t>
  </si>
  <si>
    <t>Corvus Pharmaceuticals Inc</t>
  </si>
  <si>
    <t>221015100</t>
  </si>
  <si>
    <t>BYP80F1</t>
  </si>
  <si>
    <t>CLSD US Equity</t>
  </si>
  <si>
    <t>Clearside Biomedical Inc</t>
  </si>
  <si>
    <t>185063104</t>
  </si>
  <si>
    <t>BZ6VT37</t>
  </si>
  <si>
    <t>OTLK US Equity</t>
  </si>
  <si>
    <t>Outlook Therapeutics Inc</t>
  </si>
  <si>
    <t>69012T305</t>
  </si>
  <si>
    <t>BP9QDY8</t>
  </si>
  <si>
    <t>MBRX US Equity</t>
  </si>
  <si>
    <t>Moleculin Biotech Inc</t>
  </si>
  <si>
    <t>60855D309</t>
  </si>
  <si>
    <t>BQC86B6</t>
  </si>
  <si>
    <t>SRTS US Equity</t>
  </si>
  <si>
    <t>Sensus Healthcare Inc</t>
  </si>
  <si>
    <t>81728J109</t>
  </si>
  <si>
    <t>BD21197</t>
  </si>
  <si>
    <t>BRSF US Equity</t>
  </si>
  <si>
    <t>Brain Scientific Inc</t>
  </si>
  <si>
    <t>10488W208</t>
  </si>
  <si>
    <t>BR1H5C5</t>
  </si>
  <si>
    <t>PZRXQ US Equity</t>
  </si>
  <si>
    <t>PhaseRx Inc</t>
  </si>
  <si>
    <t>71723F103</t>
  </si>
  <si>
    <t>BYQ8384</t>
  </si>
  <si>
    <t>NTLA US Equity</t>
  </si>
  <si>
    <t>Intellia Therapeutics Inc</t>
  </si>
  <si>
    <t>45826J105</t>
  </si>
  <si>
    <t>BYZM6C2</t>
  </si>
  <si>
    <t>NHIQ US Equity</t>
  </si>
  <si>
    <t>NantHealth Inc</t>
  </si>
  <si>
    <t>630104305</t>
  </si>
  <si>
    <t>BR1YXN3</t>
  </si>
  <si>
    <t>VREX US Equity</t>
  </si>
  <si>
    <t>Varex Imaging Corp</t>
  </si>
  <si>
    <t>92214X106</t>
  </si>
  <si>
    <t>BDQYWV1</t>
  </si>
  <si>
    <t>RNAC US Equity</t>
  </si>
  <si>
    <t>Cartesian Therapeutics Inc</t>
  </si>
  <si>
    <t>816212302</t>
  </si>
  <si>
    <t>BQB9HM8</t>
  </si>
  <si>
    <t>ACIU US Equity</t>
  </si>
  <si>
    <t>AC Immune SA</t>
  </si>
  <si>
    <t>BZC0D70</t>
  </si>
  <si>
    <t>SYRS US Equity</t>
  </si>
  <si>
    <t>Syros Pharmaceuticals Inc</t>
  </si>
  <si>
    <t>87184Q206</t>
  </si>
  <si>
    <t>BMGBJ92</t>
  </si>
  <si>
    <t>GPFT US Equity</t>
  </si>
  <si>
    <t>Grapefruit USA Inc</t>
  </si>
  <si>
    <t>388598104</t>
  </si>
  <si>
    <t>BL2HZH7</t>
  </si>
  <si>
    <t>MEDP US Equity</t>
  </si>
  <si>
    <t>Medpace Holdings Inc</t>
  </si>
  <si>
    <t>58506Q109</t>
  </si>
  <si>
    <t>BDCBC61</t>
  </si>
  <si>
    <t>BVS US Equity</t>
  </si>
  <si>
    <t>Bioventus Inc</t>
  </si>
  <si>
    <t>09075A108</t>
  </si>
  <si>
    <t>BD6P6L2</t>
  </si>
  <si>
    <t>QNRX US Equity</t>
  </si>
  <si>
    <t>Quoin Pharmaceuticals Ltd</t>
  </si>
  <si>
    <t>74907L300</t>
  </si>
  <si>
    <t>BLD1L03</t>
  </si>
  <si>
    <t>PTGX US Equity</t>
  </si>
  <si>
    <t>Protagonist Therapeutics Inc</t>
  </si>
  <si>
    <t>74366E102</t>
  </si>
  <si>
    <t>BDCBCD8</t>
  </si>
  <si>
    <t>ENTO US Equity</t>
  </si>
  <si>
    <t>Entero Therapeutics Inc</t>
  </si>
  <si>
    <t>33749P408</t>
  </si>
  <si>
    <t>BM9HFF5</t>
  </si>
  <si>
    <t>PAVM US Equity</t>
  </si>
  <si>
    <t>PAVmed Inc</t>
  </si>
  <si>
    <t>70387R403</t>
  </si>
  <si>
    <t>BSBGY77</t>
  </si>
  <si>
    <t>ZOM US Equity</t>
  </si>
  <si>
    <t>Zomedica Corp</t>
  </si>
  <si>
    <t>98980M109</t>
  </si>
  <si>
    <t>BN951X6</t>
  </si>
  <si>
    <t>WORX US Equity</t>
  </si>
  <si>
    <t>SCWorx Corp</t>
  </si>
  <si>
    <t>78396V208</t>
  </si>
  <si>
    <t>BQGG3N7</t>
  </si>
  <si>
    <t>FORZ US Equity</t>
  </si>
  <si>
    <t>Forza Innovations Inc</t>
  </si>
  <si>
    <t>34987W105</t>
  </si>
  <si>
    <t>BM9YJS7</t>
  </si>
  <si>
    <t>FLGT US Equity</t>
  </si>
  <si>
    <t>Fulgent Genetics Inc</t>
  </si>
  <si>
    <t>359664109</t>
  </si>
  <si>
    <t>BYQBFQ5</t>
  </si>
  <si>
    <t>RSLS US Equity</t>
  </si>
  <si>
    <t>ReShape Lifesciences Inc</t>
  </si>
  <si>
    <t>76090R309</t>
  </si>
  <si>
    <t>BP08ZC5</t>
  </si>
  <si>
    <t>CRSP US Equity</t>
  </si>
  <si>
    <t>CRISPR Therapeutics AG</t>
  </si>
  <si>
    <t>BDHF4K6</t>
  </si>
  <si>
    <t>BLEVF US Equity</t>
  </si>
  <si>
    <t>Beleave Inc</t>
  </si>
  <si>
    <t>077561108</t>
  </si>
  <si>
    <t>BYQBFW1</t>
  </si>
  <si>
    <t>SNES US Equity</t>
  </si>
  <si>
    <t>Senestech Inc</t>
  </si>
  <si>
    <t>81720R604</t>
  </si>
  <si>
    <t>BPDWQ32</t>
  </si>
  <si>
    <t>IRTC US Equity</t>
  </si>
  <si>
    <t>iRhythm Technologies Inc</t>
  </si>
  <si>
    <t>450056106</t>
  </si>
  <si>
    <t>BYT4ST5</t>
  </si>
  <si>
    <t>MNMD US Equity</t>
  </si>
  <si>
    <t>Mind Medicine MindMed Inc</t>
  </si>
  <si>
    <t>60255C885</t>
  </si>
  <si>
    <t>BPQYY97</t>
  </si>
  <si>
    <t>CKPT US Equity</t>
  </si>
  <si>
    <t>Checkpoint Therapeutics Inc</t>
  </si>
  <si>
    <t>162828206</t>
  </si>
  <si>
    <t>BPLKPQ4</t>
  </si>
  <si>
    <t>BYSI US Equity</t>
  </si>
  <si>
    <t>Beyondspring Inc</t>
  </si>
  <si>
    <t>BD36JB9</t>
  </si>
  <si>
    <t>NDRA US Equity</t>
  </si>
  <si>
    <t>ENDRA Life Sciences Inc</t>
  </si>
  <si>
    <t>KVMD US Equity</t>
  </si>
  <si>
    <t>Kelvin Medical Inc</t>
  </si>
  <si>
    <t>488349101</t>
  </si>
  <si>
    <t>BYP96M3</t>
  </si>
  <si>
    <t>ORGO US Equity</t>
  </si>
  <si>
    <t>Organogenesis Holdings Inc</t>
  </si>
  <si>
    <t>68621F102</t>
  </si>
  <si>
    <t>BF2KYH7</t>
  </si>
  <si>
    <t>AQB US Equity</t>
  </si>
  <si>
    <t>AquaBounty Technologies Inc</t>
  </si>
  <si>
    <t>03842K309</t>
  </si>
  <si>
    <t>BRBR1M7</t>
  </si>
  <si>
    <t>LPTX US Equity</t>
  </si>
  <si>
    <t>Leap Therapeutics Inc</t>
  </si>
  <si>
    <t>52187K200</t>
  </si>
  <si>
    <t>BQLSBS9</t>
  </si>
  <si>
    <t>HLYK US Equity</t>
  </si>
  <si>
    <t>HealthLynked Corp</t>
  </si>
  <si>
    <t>42228P102</t>
  </si>
  <si>
    <t>BDSCW79</t>
  </si>
  <si>
    <t>FBRX US Equity</t>
  </si>
  <si>
    <t>Forte Biosciences Inc</t>
  </si>
  <si>
    <t>34962G208</t>
  </si>
  <si>
    <t>BSFSH36</t>
  </si>
  <si>
    <t>QRON US Equity</t>
  </si>
  <si>
    <t>Qrons Inc</t>
  </si>
  <si>
    <t>74737F101</t>
  </si>
  <si>
    <t>BF4S178</t>
  </si>
  <si>
    <t>MYO US Equity</t>
  </si>
  <si>
    <t>Myomo Inc</t>
  </si>
  <si>
    <t>62857J201</t>
  </si>
  <si>
    <t>BKRMRM9</t>
  </si>
  <si>
    <t>URGN US Equity</t>
  </si>
  <si>
    <t>UroGen Pharma Ltd</t>
  </si>
  <si>
    <t>BZ7PJQ1</t>
  </si>
  <si>
    <t>OVID US Equity</t>
  </si>
  <si>
    <t>Ovid therapeutics Inc</t>
  </si>
  <si>
    <t>690469101</t>
  </si>
  <si>
    <t>BYPFK63</t>
  </si>
  <si>
    <t>CODX US Equity</t>
  </si>
  <si>
    <t>Co-Diagnostics Inc</t>
  </si>
  <si>
    <t>189763105</t>
  </si>
  <si>
    <t>BD3BX23</t>
  </si>
  <si>
    <t>ATXI US Equity</t>
  </si>
  <si>
    <t>Avenue Therapeutics Inc</t>
  </si>
  <si>
    <t>05360L403</t>
  </si>
  <si>
    <t>BS2HTV8</t>
  </si>
  <si>
    <t>NBRVF US Equity</t>
  </si>
  <si>
    <t>Nabriva Therapeutics PLC</t>
  </si>
  <si>
    <t>BQV3RP3</t>
  </si>
  <si>
    <t>MRSN US Equity</t>
  </si>
  <si>
    <t>Mersana Therapeutics Inc</t>
  </si>
  <si>
    <t>59045L106</t>
  </si>
  <si>
    <t>BF3NP05</t>
  </si>
  <si>
    <t>NTRB US Equity</t>
  </si>
  <si>
    <t>Nutriband Inc</t>
  </si>
  <si>
    <t>67092M208</t>
  </si>
  <si>
    <t>BJGWJ05</t>
  </si>
  <si>
    <t>DMTKQ US Equity</t>
  </si>
  <si>
    <t>DermTech Inc</t>
  </si>
  <si>
    <t>24984K105</t>
  </si>
  <si>
    <t>BKS3LH4</t>
  </si>
  <si>
    <t>ATNF US Equity</t>
  </si>
  <si>
    <t>180 Life Sciences Corp</t>
  </si>
  <si>
    <t>68236V302</t>
  </si>
  <si>
    <t>BPVFYX9</t>
  </si>
  <si>
    <t>CBUS US Equity</t>
  </si>
  <si>
    <t>Cibus Inc</t>
  </si>
  <si>
    <t>17166A101</t>
  </si>
  <si>
    <t>BRXJ8Q4</t>
  </si>
  <si>
    <t>KALA US Equity</t>
  </si>
  <si>
    <t>KALA BIO Inc</t>
  </si>
  <si>
    <t>483119202</t>
  </si>
  <si>
    <t>BPJKCH6</t>
  </si>
  <si>
    <t>SNNAQ US Equity</t>
  </si>
  <si>
    <t>Sienna Biopharmaceuticals Inc</t>
  </si>
  <si>
    <t>82622H108</t>
  </si>
  <si>
    <t>BF1BKK6</t>
  </si>
  <si>
    <t>IONM US Equity</t>
  </si>
  <si>
    <t>Assure Holdings Corp</t>
  </si>
  <si>
    <t>04625J402</t>
  </si>
  <si>
    <t>BPK7Y70</t>
  </si>
  <si>
    <t>GNPX US Equity</t>
  </si>
  <si>
    <t>Genprex Inc</t>
  </si>
  <si>
    <t>372446203</t>
  </si>
  <si>
    <t>BS7XQB0</t>
  </si>
  <si>
    <t>AADI US Equity</t>
  </si>
  <si>
    <t>Aadi Bioscience Inc</t>
  </si>
  <si>
    <t>00032Q104</t>
  </si>
  <si>
    <t>BMYH7M1</t>
  </si>
  <si>
    <t>KIDS US Equity</t>
  </si>
  <si>
    <t>OrthoPediatrics Corp</t>
  </si>
  <si>
    <t>68752L100</t>
  </si>
  <si>
    <t>BYWL5L4</t>
  </si>
  <si>
    <t>ZLAB US Equity</t>
  </si>
  <si>
    <t>Zai Lab Ltd</t>
  </si>
  <si>
    <t>98887Q104</t>
  </si>
  <si>
    <t>BD9GVY0</t>
  </si>
  <si>
    <t>MBIO US Equity</t>
  </si>
  <si>
    <t>Mustang Bio Inc</t>
  </si>
  <si>
    <t>KRYS US Equity</t>
  </si>
  <si>
    <t>Krystal Biotech Inc</t>
  </si>
  <si>
    <t>501147102</t>
  </si>
  <si>
    <t>BD6JX35</t>
  </si>
  <si>
    <t>CNTTQ US Equity</t>
  </si>
  <si>
    <t>CannTrust Holdings Inc</t>
  </si>
  <si>
    <t>137800207</t>
  </si>
  <si>
    <t>BF1D9W7</t>
  </si>
  <si>
    <t>CELC US Equity</t>
  </si>
  <si>
    <t>Celcuity Inc</t>
  </si>
  <si>
    <t>15102K100</t>
  </si>
  <si>
    <t>BDH6M05</t>
  </si>
  <si>
    <t>ATPC US Equity</t>
  </si>
  <si>
    <t>Agape ATP Corp</t>
  </si>
  <si>
    <t>008389207</t>
  </si>
  <si>
    <t>BSY4V00</t>
  </si>
  <si>
    <t>SLGL US Equity</t>
  </si>
  <si>
    <t>Sol-Gel Technologies Ltd</t>
  </si>
  <si>
    <t>BF5FLK1</t>
  </si>
  <si>
    <t>VERO US Equity</t>
  </si>
  <si>
    <t>Venus Concept Inc</t>
  </si>
  <si>
    <t>92332W204</t>
  </si>
  <si>
    <t>BMCJWC4</t>
  </si>
  <si>
    <t>NCNA US Equity</t>
  </si>
  <si>
    <t>NuCana PLC</t>
  </si>
  <si>
    <t>67022C205</t>
  </si>
  <si>
    <t>BPSN168</t>
  </si>
  <si>
    <t>RYTM US Equity</t>
  </si>
  <si>
    <t>Rhythm Pharmaceuticals Inc</t>
  </si>
  <si>
    <t>76243J105</t>
  </si>
  <si>
    <t>BF2YWG4</t>
  </si>
  <si>
    <t>ADIL US Equity</t>
  </si>
  <si>
    <t>Adial Pharmaceuticals Inc</t>
  </si>
  <si>
    <t>00688A205</t>
  </si>
  <si>
    <t>BQ74QT7</t>
  </si>
  <si>
    <t>NVNO US Equity</t>
  </si>
  <si>
    <t>enVVeno Medical Corp</t>
  </si>
  <si>
    <t>29415J106</t>
  </si>
  <si>
    <t>BMV4X72</t>
  </si>
  <si>
    <t>OPTN US Equity</t>
  </si>
  <si>
    <t>Optinose Inc</t>
  </si>
  <si>
    <t>Regional Health Properties Inc</t>
  </si>
  <si>
    <t>CUE US Equity</t>
  </si>
  <si>
    <t>Cue Biopharma Inc</t>
  </si>
  <si>
    <t>22978P106</t>
  </si>
  <si>
    <t>BD9G8M7</t>
  </si>
  <si>
    <t>AHG US Equity</t>
  </si>
  <si>
    <t>Akso Health Group</t>
  </si>
  <si>
    <t>98422P108</t>
  </si>
  <si>
    <t>BMH2604</t>
  </si>
  <si>
    <t>SPRO US Equity</t>
  </si>
  <si>
    <t>Spero Therapeutics Inc</t>
  </si>
  <si>
    <t>84833T103</t>
  </si>
  <si>
    <t>BF4HN80</t>
  </si>
  <si>
    <t>XFOR US Equity</t>
  </si>
  <si>
    <t>X4 Pharmaceuticals Inc</t>
  </si>
  <si>
    <t>98420X103</t>
  </si>
  <si>
    <t>BFY8WQ4</t>
  </si>
  <si>
    <t>SCPH US Equity</t>
  </si>
  <si>
    <t>scPharmaceuticals Inc</t>
  </si>
  <si>
    <t>810648105</t>
  </si>
  <si>
    <t>BYX2Z16</t>
  </si>
  <si>
    <t>GMVDF US Equity</t>
  </si>
  <si>
    <t>G Medical Innovations Holdings</t>
  </si>
  <si>
    <t>BLGV8M1</t>
  </si>
  <si>
    <t>YCBD US Equity</t>
  </si>
  <si>
    <t>cbdMD Inc</t>
  </si>
  <si>
    <t>12482W309</t>
  </si>
  <si>
    <t>BP5HQG8</t>
  </si>
  <si>
    <t>IFRX US Equity</t>
  </si>
  <si>
    <t>InflaRx NV</t>
  </si>
  <si>
    <t>BYZLV46</t>
  </si>
  <si>
    <t>ENTX US Equity</t>
  </si>
  <si>
    <t>Entera Bio Ltd</t>
  </si>
  <si>
    <t>BFNJ8H1</t>
  </si>
  <si>
    <t>QTRX US Equity</t>
  </si>
  <si>
    <t>Quanterix Corp</t>
  </si>
  <si>
    <t>74766Q101</t>
  </si>
  <si>
    <t>BD1KGN4</t>
  </si>
  <si>
    <t>Odonate Inc</t>
  </si>
  <si>
    <t>DNLI US Equity</t>
  </si>
  <si>
    <t>Denali Therapeutics Inc</t>
  </si>
  <si>
    <t>24823R105</t>
  </si>
  <si>
    <t>BD2B4V0</t>
  </si>
  <si>
    <t>NRXP US Equity</t>
  </si>
  <si>
    <t>NRX Pharmaceuticals Inc</t>
  </si>
  <si>
    <t>629444209</t>
  </si>
  <si>
    <t>BNG1S03</t>
  </si>
  <si>
    <t>SXTC US Equity</t>
  </si>
  <si>
    <t>China SXT Pharmaceuticals Inc</t>
  </si>
  <si>
    <t>BRWHTH7</t>
  </si>
  <si>
    <t>ENSC US Equity</t>
  </si>
  <si>
    <t>Ensysce Biosciences Inc</t>
  </si>
  <si>
    <t>EYEN US Equity</t>
  </si>
  <si>
    <t>Eyenovia Inc</t>
  </si>
  <si>
    <t>VYNE US Equity</t>
  </si>
  <si>
    <t>VYNE Therapeutics Inc</t>
  </si>
  <si>
    <t>92941V308</t>
  </si>
  <si>
    <t>BNC3DW0</t>
  </si>
  <si>
    <t>SLDB US Equity</t>
  </si>
  <si>
    <t>Solid Biosciences Inc</t>
  </si>
  <si>
    <t>83422E204</t>
  </si>
  <si>
    <t>BQHN6C7</t>
  </si>
  <si>
    <t>VMD US Equity</t>
  </si>
  <si>
    <t>Viemed Healthcare Inc</t>
  </si>
  <si>
    <t>92663R105</t>
  </si>
  <si>
    <t>BFFK5Z9</t>
  </si>
  <si>
    <t>AMRX US Equity</t>
  </si>
  <si>
    <t>Amneal Pharmaceuticals Inc</t>
  </si>
  <si>
    <t>03168L105</t>
  </si>
  <si>
    <t>BFNF1D6</t>
  </si>
  <si>
    <t>MOTS US Equity</t>
  </si>
  <si>
    <t>Motus GI Holdings Inc</t>
  </si>
  <si>
    <t>62014P504</t>
  </si>
  <si>
    <t>BRJQ8Q9</t>
  </si>
  <si>
    <t>EOLS US Equity</t>
  </si>
  <si>
    <t>Evolus Inc</t>
  </si>
  <si>
    <t>30052C107</t>
  </si>
  <si>
    <t>BDRJH21</t>
  </si>
  <si>
    <t>ACET US Equity</t>
  </si>
  <si>
    <t>Adicet Bio Inc</t>
  </si>
  <si>
    <t>007002108</t>
  </si>
  <si>
    <t>BMC5RV6</t>
  </si>
  <si>
    <t>XCUR US Equity</t>
  </si>
  <si>
    <t>Exicure Inc</t>
  </si>
  <si>
    <t>30205M309</t>
  </si>
  <si>
    <t>BSFSH81</t>
  </si>
  <si>
    <t>BTAI US Equity</t>
  </si>
  <si>
    <t>Bioxcel Therapeutics Inc</t>
  </si>
  <si>
    <t>RCUS US Equity</t>
  </si>
  <si>
    <t>Arcus Biosciences Inc</t>
  </si>
  <si>
    <t>03969F109</t>
  </si>
  <si>
    <t>BDZT9Y9</t>
  </si>
  <si>
    <t>QTTB US Equity</t>
  </si>
  <si>
    <t>Q32 Bio Inc</t>
  </si>
  <si>
    <t>746964105</t>
  </si>
  <si>
    <t>BS2FKQ4</t>
  </si>
  <si>
    <t>COGT US Equity</t>
  </si>
  <si>
    <t>Cogent Biosciences Inc</t>
  </si>
  <si>
    <t>19240Q201</t>
  </si>
  <si>
    <t>BLR6XK8</t>
  </si>
  <si>
    <t>MREO US Equity</t>
  </si>
  <si>
    <t>Mereo Biopharma Group PLC</t>
  </si>
  <si>
    <t>589492107</t>
  </si>
  <si>
    <t>BFX1VB2</t>
  </si>
  <si>
    <t>AHCO US Equity</t>
  </si>
  <si>
    <t>AdaptHealth Corp</t>
  </si>
  <si>
    <t>00653Q102</t>
  </si>
  <si>
    <t>BKDRF35</t>
  </si>
  <si>
    <t>UBX US Equity</t>
  </si>
  <si>
    <t>UNITY Biotechnology Inc</t>
  </si>
  <si>
    <t>91381U200</t>
  </si>
  <si>
    <t>BMD5VT1</t>
  </si>
  <si>
    <t>INSP US Equity</t>
  </si>
  <si>
    <t>Inspire Medical Systems Inc</t>
  </si>
  <si>
    <t>457730109</t>
  </si>
  <si>
    <t>BDT5KT5</t>
  </si>
  <si>
    <t>EVLO US Equity</t>
  </si>
  <si>
    <t>Evelo Biosciences Inc</t>
  </si>
  <si>
    <t>299734202</t>
  </si>
  <si>
    <t>BLBNS66</t>
  </si>
  <si>
    <t>SRRK US Equity</t>
  </si>
  <si>
    <t>Scholar Rock Holding Corp</t>
  </si>
  <si>
    <t>80706P103</t>
  </si>
  <si>
    <t>BFZQ0L8</t>
  </si>
  <si>
    <t>KNSA US Equity</t>
  </si>
  <si>
    <t>Kiniksa Pharmaceuticals Intern</t>
  </si>
  <si>
    <t>BRXB0C0</t>
  </si>
  <si>
    <t>ITRM US Equity</t>
  </si>
  <si>
    <t>Iterum Therapeutics plc</t>
  </si>
  <si>
    <t>BPLZY40</t>
  </si>
  <si>
    <t>AUTL US Equity</t>
  </si>
  <si>
    <t>Autolus Therapeutics PLC</t>
  </si>
  <si>
    <t>05280R100</t>
  </si>
  <si>
    <t>BFMLGR4</t>
  </si>
  <si>
    <t>OMWS US Equity</t>
  </si>
  <si>
    <t>Omnia Wellness Inc</t>
  </si>
  <si>
    <t>68217K200</t>
  </si>
  <si>
    <t>BMTQ079</t>
  </si>
  <si>
    <t>MGTX US Equity</t>
  </si>
  <si>
    <t>MeiraGTx Holdings plc</t>
  </si>
  <si>
    <t>BFYQFJ2</t>
  </si>
  <si>
    <t>CI US Equity</t>
  </si>
  <si>
    <t>Cigna Group/The</t>
  </si>
  <si>
    <t>125523100</t>
  </si>
  <si>
    <t>BHJ0775</t>
  </si>
  <si>
    <t>CYCN US Equity</t>
  </si>
  <si>
    <t>Cyclerion Therapeutics Inc</t>
  </si>
  <si>
    <t>23255M204</t>
  </si>
  <si>
    <t>BNBXNT8</t>
  </si>
  <si>
    <t>STMH US Equity</t>
  </si>
  <si>
    <t>Stem Holdings Inc</t>
  </si>
  <si>
    <t>85858U305</t>
  </si>
  <si>
    <t>BS7XQK9</t>
  </si>
  <si>
    <t>ECOR US Equity</t>
  </si>
  <si>
    <t>ElectroCore Inc</t>
  </si>
  <si>
    <t>28531P202</t>
  </si>
  <si>
    <t>BNKCG86</t>
  </si>
  <si>
    <t>VRCA US Equity</t>
  </si>
  <si>
    <t>Verrica Pharmaceuticals Inc</t>
  </si>
  <si>
    <t>92511W108</t>
  </si>
  <si>
    <t>BZ1NTH2</t>
  </si>
  <si>
    <t>KZR US Equity</t>
  </si>
  <si>
    <t>Kezar Life Sciences Inc</t>
  </si>
  <si>
    <t>DNTH US Equity</t>
  </si>
  <si>
    <t>Dianthus Therapeutics Inc</t>
  </si>
  <si>
    <t>252828108</t>
  </si>
  <si>
    <t>BN4J951</t>
  </si>
  <si>
    <t>TECX US Equity</t>
  </si>
  <si>
    <t>Tectonic Therapeutic Inc</t>
  </si>
  <si>
    <t>878972108</t>
  </si>
  <si>
    <t>BPBPCG8</t>
  </si>
  <si>
    <t>TLRY US Equity</t>
  </si>
  <si>
    <t>Tilray Brands Inc</t>
  </si>
  <si>
    <t>88688T100</t>
  </si>
  <si>
    <t>BDD1B29</t>
  </si>
  <si>
    <t>ESTA US Equity</t>
  </si>
  <si>
    <t>Establishment Labs Holdings In</t>
  </si>
  <si>
    <t>BYVR2D4</t>
  </si>
  <si>
    <t>REPL US Equity</t>
  </si>
  <si>
    <t>Replimune Group Inc</t>
  </si>
  <si>
    <t>76029N106</t>
  </si>
  <si>
    <t>BDDVW37</t>
  </si>
  <si>
    <t>CRNX US Equity</t>
  </si>
  <si>
    <t>Crinetics Pharmaceuticals Inc</t>
  </si>
  <si>
    <t>22663K107</t>
  </si>
  <si>
    <t>BDD19F8</t>
  </si>
  <si>
    <t>ALLK US Equity</t>
  </si>
  <si>
    <t>Allakos Inc</t>
  </si>
  <si>
    <t>01671P100</t>
  </si>
  <si>
    <t>BDD19P8</t>
  </si>
  <si>
    <t>AQST US Equity</t>
  </si>
  <si>
    <t>Aquestive Therapeutics Inc</t>
  </si>
  <si>
    <t>03843E104</t>
  </si>
  <si>
    <t>BYVQJ96</t>
  </si>
  <si>
    <t>LQDA US Equity</t>
  </si>
  <si>
    <t>Liquidia Corp</t>
  </si>
  <si>
    <t>53635D202</t>
  </si>
  <si>
    <t>BYVJ8J8</t>
  </si>
  <si>
    <t>BNGO US Equity</t>
  </si>
  <si>
    <t>Bionano Genomics Inc</t>
  </si>
  <si>
    <t>SSII US Equity</t>
  </si>
  <si>
    <t>SS Innovations International I</t>
  </si>
  <si>
    <t>05453U203</t>
  </si>
  <si>
    <t>BP5HQD5</t>
  </si>
  <si>
    <t>VCNX US Equity</t>
  </si>
  <si>
    <t>Vaccinex Inc</t>
  </si>
  <si>
    <t>918640301</t>
  </si>
  <si>
    <t>BSNWP58</t>
  </si>
  <si>
    <t>SER US Equity</t>
  </si>
  <si>
    <t>Serina Therapeutics Inc</t>
  </si>
  <si>
    <t>81751A108</t>
  </si>
  <si>
    <t>BSHSNS1</t>
  </si>
  <si>
    <t>VTAK US Equity</t>
  </si>
  <si>
    <t>Catheter Precision Inc</t>
  </si>
  <si>
    <t>74933X609</t>
  </si>
  <si>
    <t>BN13Y62</t>
  </si>
  <si>
    <t>ARDS US Equity</t>
  </si>
  <si>
    <t>Aridis Pharmaceuticals Inc</t>
  </si>
  <si>
    <t>040334104</t>
  </si>
  <si>
    <t>BD49J40</t>
  </si>
  <si>
    <t>RVPH US Equity</t>
  </si>
  <si>
    <t>Reviva Pharmaceuticals Holding</t>
  </si>
  <si>
    <t>76152G100</t>
  </si>
  <si>
    <t>BL96WV0</t>
  </si>
  <si>
    <t>ELAN US Equity</t>
  </si>
  <si>
    <t>Elanco Animal Health Inc</t>
  </si>
  <si>
    <t>28414H103</t>
  </si>
  <si>
    <t>BF5L3T2</t>
  </si>
  <si>
    <t>NVST US Equity</t>
  </si>
  <si>
    <t>Envista Holdings Corp</t>
  </si>
  <si>
    <t>29415F104</t>
  </si>
  <si>
    <t>BK63SF3</t>
  </si>
  <si>
    <t>ETON US Equity</t>
  </si>
  <si>
    <t>Eton Pharmaceuticals Inc</t>
  </si>
  <si>
    <t>29772L108</t>
  </si>
  <si>
    <t>BGL0JK3</t>
  </si>
  <si>
    <t>Gritstone bio Inc</t>
  </si>
  <si>
    <t>YMAB US Equity</t>
  </si>
  <si>
    <t>Y-mAbs Therapeutics Inc</t>
  </si>
  <si>
    <t>984241109</t>
  </si>
  <si>
    <t>BG31GH0</t>
  </si>
  <si>
    <t>STRO US Equity</t>
  </si>
  <si>
    <t>Sutro Biopharma Inc</t>
  </si>
  <si>
    <t>869367102</t>
  </si>
  <si>
    <t>BF12XC2</t>
  </si>
  <si>
    <t>ARVN US Equity</t>
  </si>
  <si>
    <t>Arvinas Inc</t>
  </si>
  <si>
    <t>04335A105</t>
  </si>
  <si>
    <t>BDZ30Q0</t>
  </si>
  <si>
    <t>INMB US Equity</t>
  </si>
  <si>
    <t>Inmune Bio Inc</t>
  </si>
  <si>
    <t>45782T105</t>
  </si>
  <si>
    <t>BJKGLW9</t>
  </si>
  <si>
    <t>APM US Equity</t>
  </si>
  <si>
    <t>Aptorum Group Ltd</t>
  </si>
  <si>
    <t>BQKRLP4</t>
  </si>
  <si>
    <t>GH US Equity</t>
  </si>
  <si>
    <t>Guardant Health Inc</t>
  </si>
  <si>
    <t>40131M109</t>
  </si>
  <si>
    <t>BFXC911</t>
  </si>
  <si>
    <t>KOD US Equity</t>
  </si>
  <si>
    <t>Kodiak Sciences Inc</t>
  </si>
  <si>
    <t>50015M109</t>
  </si>
  <si>
    <t>BFXC933</t>
  </si>
  <si>
    <t>BFGX US Equity</t>
  </si>
  <si>
    <t>Bangfu Technology Group Co Ltd</t>
  </si>
  <si>
    <t>05989X101</t>
  </si>
  <si>
    <t>BMGB732</t>
  </si>
  <si>
    <t>RVLPQ US Equity</t>
  </si>
  <si>
    <t>RVL Pharmaceuticals PLC</t>
  </si>
  <si>
    <t>BF2HDL5</t>
  </si>
  <si>
    <t>ALLO US Equity</t>
  </si>
  <si>
    <t>Allogene Therapeutics Inc</t>
  </si>
  <si>
    <t>019770106</t>
  </si>
  <si>
    <t>BFZNYB7</t>
  </si>
  <si>
    <t>BACK US Equity</t>
  </si>
  <si>
    <t>Imac Holdings Inc</t>
  </si>
  <si>
    <t>44967K302</t>
  </si>
  <si>
    <t>BQBBF20</t>
  </si>
  <si>
    <t>EQ US Equity</t>
  </si>
  <si>
    <t>Equillium Inc</t>
  </si>
  <si>
    <t>29446K106</t>
  </si>
  <si>
    <t>BGV8J85</t>
  </si>
  <si>
    <t>SIBN US Equity</t>
  </si>
  <si>
    <t>SI-BONE Inc</t>
  </si>
  <si>
    <t>825704109</t>
  </si>
  <si>
    <t>BZ0WN34</t>
  </si>
  <si>
    <t>TWST US Equity</t>
  </si>
  <si>
    <t>Twist Bioscience Corp</t>
  </si>
  <si>
    <t>90184D100</t>
  </si>
  <si>
    <t>BGKG6G7</t>
  </si>
  <si>
    <t>HOTH US Equity</t>
  </si>
  <si>
    <t>Hoth Therapeutics Inc</t>
  </si>
  <si>
    <t>44148G204</t>
  </si>
  <si>
    <t>BMYZ963</t>
  </si>
  <si>
    <t>MRNA US Equity</t>
  </si>
  <si>
    <t>Moderna Inc</t>
  </si>
  <si>
    <t>60770K107</t>
  </si>
  <si>
    <t>BGSXTS3</t>
  </si>
  <si>
    <t>ARDT US Equity</t>
  </si>
  <si>
    <t>Ardent Health Partners Inc</t>
  </si>
  <si>
    <t>03980N107</t>
  </si>
  <si>
    <t>BSF1W07</t>
  </si>
  <si>
    <t>STE US Equity</t>
  </si>
  <si>
    <t>STERIS PLC</t>
  </si>
  <si>
    <t>BFY8C75</t>
  </si>
  <si>
    <t>GOSS US Equity</t>
  </si>
  <si>
    <t>Gossamer Bio Inc</t>
  </si>
  <si>
    <t>38341P102</t>
  </si>
  <si>
    <t>BJ0CK86</t>
  </si>
  <si>
    <t>ALEC US Equity</t>
  </si>
  <si>
    <t>Alector Inc</t>
  </si>
  <si>
    <t>014442107</t>
  </si>
  <si>
    <t>BJ4LDC4</t>
  </si>
  <si>
    <t>CMMB US Equity</t>
  </si>
  <si>
    <t>Chemomab Therapeutics Ltd</t>
  </si>
  <si>
    <t>16385C104</t>
  </si>
  <si>
    <t>BKSH2M8</t>
  </si>
  <si>
    <t>KLDO US Equity</t>
  </si>
  <si>
    <t>Kaleido Biosciences Inc</t>
  </si>
  <si>
    <t>483347100</t>
  </si>
  <si>
    <t>BJ4T016</t>
  </si>
  <si>
    <t>AVTR US Equity</t>
  </si>
  <si>
    <t>Avantor Inc</t>
  </si>
  <si>
    <t>05352A100</t>
  </si>
  <si>
    <t>BJLT387</t>
  </si>
  <si>
    <t>DTIL US Equity</t>
  </si>
  <si>
    <t>Precision BioSciences Inc</t>
  </si>
  <si>
    <t>74019P207</t>
  </si>
  <si>
    <t>BNM6FK1</t>
  </si>
  <si>
    <t>HOOK US Equity</t>
  </si>
  <si>
    <t>Hookipa Pharma Inc</t>
  </si>
  <si>
    <t>43906K209</t>
  </si>
  <si>
    <t>BS6VHZ6</t>
  </si>
  <si>
    <t>ARCT US Equity</t>
  </si>
  <si>
    <t>Arcturus Therapeutics Holdings</t>
  </si>
  <si>
    <t>03969T109</t>
  </si>
  <si>
    <t>BKC9SX3</t>
  </si>
  <si>
    <t>MIST US Equity</t>
  </si>
  <si>
    <t>Milestone Pharmaceuticals Inc</t>
  </si>
  <si>
    <t>59935V107</t>
  </si>
  <si>
    <t>BGRX6Q1</t>
  </si>
  <si>
    <t>APLT US Equity</t>
  </si>
  <si>
    <t>Applied Therapeutics Inc</t>
  </si>
  <si>
    <t>03828A101</t>
  </si>
  <si>
    <t>BJL38Z1</t>
  </si>
  <si>
    <t>QNCX US Equity</t>
  </si>
  <si>
    <t>Quince Therapeutics Inc</t>
  </si>
  <si>
    <t>22053A107</t>
  </si>
  <si>
    <t>BJL3925</t>
  </si>
  <si>
    <t>TMDX US Equity</t>
  </si>
  <si>
    <t>TransMedics Group Inc</t>
  </si>
  <si>
    <t>89377M109</t>
  </si>
  <si>
    <t>BK6TM04</t>
  </si>
  <si>
    <t>TRVI US Equity</t>
  </si>
  <si>
    <t>Trevi Therapeutics Inc</t>
  </si>
  <si>
    <t>89532M101</t>
  </si>
  <si>
    <t>BJH9ZN0</t>
  </si>
  <si>
    <t>ATLN US Equity</t>
  </si>
  <si>
    <t>Atlantic International Corp</t>
  </si>
  <si>
    <t>048592109</t>
  </si>
  <si>
    <t>BS84LD9</t>
  </si>
  <si>
    <t>BCYC US Equity</t>
  </si>
  <si>
    <t>Bicycle Therapeutics PLC</t>
  </si>
  <si>
    <t>088786108</t>
  </si>
  <si>
    <t>BKDQKM6</t>
  </si>
  <si>
    <t>IDYA US Equity</t>
  </si>
  <si>
    <t>Ideaya Biosciences Inc</t>
  </si>
  <si>
    <t>45166A102</t>
  </si>
  <si>
    <t>BK0VHF6</t>
  </si>
  <si>
    <t>NXTC US Equity</t>
  </si>
  <si>
    <t>NextCure Inc</t>
  </si>
  <si>
    <t>65343E108</t>
  </si>
  <si>
    <t>BJL3CL5</t>
  </si>
  <si>
    <t>HCAT US Equity</t>
  </si>
  <si>
    <t>Health Catalyst Inc</t>
  </si>
  <si>
    <t>42225T107</t>
  </si>
  <si>
    <t>BKLCX50</t>
  </si>
  <si>
    <t>CELU US Equity</t>
  </si>
  <si>
    <t>Celularity Inc</t>
  </si>
  <si>
    <t>151190204</t>
  </si>
  <si>
    <t>BJK16Y1</t>
  </si>
  <si>
    <t>PNTG US Equity</t>
  </si>
  <si>
    <t>Pennant Group Inc/The</t>
  </si>
  <si>
    <t>70805E109</t>
  </si>
  <si>
    <t>BKTC976</t>
  </si>
  <si>
    <t>IMVT US Equity</t>
  </si>
  <si>
    <t>Immunovant Inc</t>
  </si>
  <si>
    <t>45258J102</t>
  </si>
  <si>
    <t>BJRFSB7</t>
  </si>
  <si>
    <t>PSNL US Equity</t>
  </si>
  <si>
    <t>Personalis Inc</t>
  </si>
  <si>
    <t>71535D106</t>
  </si>
  <si>
    <t>BJQ0608</t>
  </si>
  <si>
    <t>STOK US Equity</t>
  </si>
  <si>
    <t>Stoke Therapeutics Inc</t>
  </si>
  <si>
    <t>86150R107</t>
  </si>
  <si>
    <t>BJQ05Z6</t>
  </si>
  <si>
    <t>ADPT US Equity</t>
  </si>
  <si>
    <t>Adaptive Biotechnologies Corp</t>
  </si>
  <si>
    <t>00650F109</t>
  </si>
  <si>
    <t>BJ5FZ74</t>
  </si>
  <si>
    <t>UPHL US Equity</t>
  </si>
  <si>
    <t>UpHealth Inc</t>
  </si>
  <si>
    <t>91532B200</t>
  </si>
  <si>
    <t>BPCJND3</t>
  </si>
  <si>
    <t>AKRO US Equity</t>
  </si>
  <si>
    <t>Akero Therapeutics Inc</t>
  </si>
  <si>
    <t>00973Y108</t>
  </si>
  <si>
    <t>BK7Y2V9</t>
  </si>
  <si>
    <t>BBIO US Equity</t>
  </si>
  <si>
    <t>Bridgebio Pharma Inc</t>
  </si>
  <si>
    <t>10806X102</t>
  </si>
  <si>
    <t>BK1KWG8</t>
  </si>
  <si>
    <t>SCPS US Equity</t>
  </si>
  <si>
    <t>Scopus Biopharma Inc</t>
  </si>
  <si>
    <t>809171101</t>
  </si>
  <si>
    <t>BKDX3L7</t>
  </si>
  <si>
    <t>FULC US Equity</t>
  </si>
  <si>
    <t>Fulcrum Therapeutics Inc</t>
  </si>
  <si>
    <t>359616109</t>
  </si>
  <si>
    <t>BJDX8Z9</t>
  </si>
  <si>
    <t>PHR US Equity</t>
  </si>
  <si>
    <t>Phreesia Inc</t>
  </si>
  <si>
    <t>71944F106</t>
  </si>
  <si>
    <t>BKF9DQ8</t>
  </si>
  <si>
    <t>MIRM US Equity</t>
  </si>
  <si>
    <t>Mirum Pharmaceuticals Inc</t>
  </si>
  <si>
    <t>604749101</t>
  </si>
  <si>
    <t>BJDX8Y8</t>
  </si>
  <si>
    <t>CSTL US Equity</t>
  </si>
  <si>
    <t>Castle Biosciences Inc</t>
  </si>
  <si>
    <t>14843C105</t>
  </si>
  <si>
    <t>BKLCWZ3</t>
  </si>
  <si>
    <t>CNSP US Equity</t>
  </si>
  <si>
    <t>CNS Pharmaceuticals Inc</t>
  </si>
  <si>
    <t>18978H300</t>
  </si>
  <si>
    <t>BR3T648</t>
  </si>
  <si>
    <t>ANVS US Equity</t>
  </si>
  <si>
    <t>Annovis Bio Inc</t>
  </si>
  <si>
    <t>03615A108</t>
  </si>
  <si>
    <t>BK74P87</t>
  </si>
  <si>
    <t>RAPT US Equity</t>
  </si>
  <si>
    <t>RAPT Therapeutics Inc</t>
  </si>
  <si>
    <t>75382E109</t>
  </si>
  <si>
    <t>BK5T6R0</t>
  </si>
  <si>
    <t>SNDL US Equity</t>
  </si>
  <si>
    <t>SNDL Inc</t>
  </si>
  <si>
    <t>83307B101</t>
  </si>
  <si>
    <t>BLFJY06</t>
  </si>
  <si>
    <t>INMD US Equity</t>
  </si>
  <si>
    <t>Inmode Ltd</t>
  </si>
  <si>
    <t>BK5Z9R9</t>
  </si>
  <si>
    <t>MNPR US Equity</t>
  </si>
  <si>
    <t>Monopar Therapeutics Inc</t>
  </si>
  <si>
    <t>61023L207</t>
  </si>
  <si>
    <t>BQ0N709</t>
  </si>
  <si>
    <t>SDCCQ US Equity</t>
  </si>
  <si>
    <t>SmileDirectClub Inc</t>
  </si>
  <si>
    <t>83192H106</t>
  </si>
  <si>
    <t>BKT6B38</t>
  </si>
  <si>
    <t>SWTX US Equity</t>
  </si>
  <si>
    <t>SpringWorks Therapeutics Inc</t>
  </si>
  <si>
    <t>85205L107</t>
  </si>
  <si>
    <t>BGMGM89</t>
  </si>
  <si>
    <t>TXG US Equity</t>
  </si>
  <si>
    <t>10X Genomics Inc</t>
  </si>
  <si>
    <t>88025U109</t>
  </si>
  <si>
    <t>BKS3RS7</t>
  </si>
  <si>
    <t>IGMS US Equity</t>
  </si>
  <si>
    <t>IGM Biosciences Inc</t>
  </si>
  <si>
    <t>449585108</t>
  </si>
  <si>
    <t>BKS3SM8</t>
  </si>
  <si>
    <t>HIMS US Equity</t>
  </si>
  <si>
    <t>Hims &amp; Hers Health Inc</t>
  </si>
  <si>
    <t>433000106</t>
  </si>
  <si>
    <t>BN46048</t>
  </si>
  <si>
    <t>VIR US Equity</t>
  </si>
  <si>
    <t>Vir Biotechnology Inc</t>
  </si>
  <si>
    <t>92764N102</t>
  </si>
  <si>
    <t>BK4PZ38</t>
  </si>
  <si>
    <t>ADCT US Equity</t>
  </si>
  <si>
    <t>ADC Therapeutics SA</t>
  </si>
  <si>
    <t>BK6H4Z7</t>
  </si>
  <si>
    <t>APRE US Equity</t>
  </si>
  <si>
    <t>Aprea Therapeutics Inc</t>
  </si>
  <si>
    <t>03836J201</t>
  </si>
  <si>
    <t>BNC3DM0</t>
  </si>
  <si>
    <t>KRRO US Equity</t>
  </si>
  <si>
    <t>Korro Bio Inc</t>
  </si>
  <si>
    <t>500946108</t>
  </si>
  <si>
    <t>BSBJKP6</t>
  </si>
  <si>
    <t>BNTX US Equity</t>
  </si>
  <si>
    <t>BioNTech SE</t>
  </si>
  <si>
    <t>09075V102</t>
  </si>
  <si>
    <t>BK6H543</t>
  </si>
  <si>
    <t>PGNY US Equity</t>
  </si>
  <si>
    <t>Progyny Inc</t>
  </si>
  <si>
    <t>74340E103</t>
  </si>
  <si>
    <t>BKWD3M9</t>
  </si>
  <si>
    <t>BEAM US Equity</t>
  </si>
  <si>
    <t>Beam Therapeutics Inc</t>
  </si>
  <si>
    <t>07373V105</t>
  </si>
  <si>
    <t>BK6L288</t>
  </si>
  <si>
    <t>PAIYY US Equity</t>
  </si>
  <si>
    <t>Aesthetic Medical Internationa</t>
  </si>
  <si>
    <t>00809M104</t>
  </si>
  <si>
    <t>BJVNSG2</t>
  </si>
  <si>
    <t>CABA US Equity</t>
  </si>
  <si>
    <t>Cabaletta Bio Inc</t>
  </si>
  <si>
    <t>12674W109</t>
  </si>
  <si>
    <t>BK5MWR1</t>
  </si>
  <si>
    <t>FDMT US Equity</t>
  </si>
  <si>
    <t>4D Molecular Therapeutics Inc</t>
  </si>
  <si>
    <t>35104E100</t>
  </si>
  <si>
    <t>BKLXFX5</t>
  </si>
  <si>
    <t>PHAT US Equity</t>
  </si>
  <si>
    <t>Phathom Pharmaceuticals Inc</t>
  </si>
  <si>
    <t>71722W107</t>
  </si>
  <si>
    <t>BJLKVS6</t>
  </si>
  <si>
    <t>GRTX US Equity</t>
  </si>
  <si>
    <t>Galera Therapeutics Inc</t>
  </si>
  <si>
    <t>36338D108</t>
  </si>
  <si>
    <t>BKLF274</t>
  </si>
  <si>
    <t>CNTGF US Equity</t>
  </si>
  <si>
    <t>Centogene NV</t>
  </si>
  <si>
    <t>BK824K5</t>
  </si>
  <si>
    <t>ETNB US Equity</t>
  </si>
  <si>
    <t>89bio Inc</t>
  </si>
  <si>
    <t>282559103</t>
  </si>
  <si>
    <t>BK1K484</t>
  </si>
  <si>
    <t>TELA US Equity</t>
  </si>
  <si>
    <t>Tela Bio Inc</t>
  </si>
  <si>
    <t>872381108</t>
  </si>
  <si>
    <t>BJM0G57</t>
  </si>
  <si>
    <t>JSPR US Equity</t>
  </si>
  <si>
    <t>Jasper Therapeutics Inc</t>
  </si>
  <si>
    <t>471871202</t>
  </si>
  <si>
    <t>BQB5ML0</t>
  </si>
  <si>
    <t>IMAB US Equity</t>
  </si>
  <si>
    <t>I-Mab</t>
  </si>
  <si>
    <t>44975P103</t>
  </si>
  <si>
    <t>BKRRKY7</t>
  </si>
  <si>
    <t>BGM US Equity</t>
  </si>
  <si>
    <t>BPBPB50</t>
  </si>
  <si>
    <t>BXRXQ US Equity</t>
  </si>
  <si>
    <t>Baudax Bio Inc</t>
  </si>
  <si>
    <t>07160F404</t>
  </si>
  <si>
    <t>BPDJLX8</t>
  </si>
  <si>
    <t>ARQT US Equity</t>
  </si>
  <si>
    <t>Arcutis Biotherapeutics Inc</t>
  </si>
  <si>
    <t>03969K108</t>
  </si>
  <si>
    <t>BKX9VD3</t>
  </si>
  <si>
    <t>SDGR US Equity</t>
  </si>
  <si>
    <t>Schrodinger Inc/United States</t>
  </si>
  <si>
    <t>80810D103</t>
  </si>
  <si>
    <t>BKV28S8</t>
  </si>
  <si>
    <t>ADTX US Equity</t>
  </si>
  <si>
    <t>Aditxt Inc</t>
  </si>
  <si>
    <t>007025703</t>
  </si>
  <si>
    <t>BP2V4K3</t>
  </si>
  <si>
    <t>RVMD US Equity</t>
  </si>
  <si>
    <t>76155X100</t>
  </si>
  <si>
    <t>BL71K91</t>
  </si>
  <si>
    <t>BDTX US Equity</t>
  </si>
  <si>
    <t>Black Diamond Therapeutics Inc</t>
  </si>
  <si>
    <t>09203E105</t>
  </si>
  <si>
    <t>BKTV702</t>
  </si>
  <si>
    <t>MPLN US Equity</t>
  </si>
  <si>
    <t>Multiplan Corp</t>
  </si>
  <si>
    <t>62548M209</t>
  </si>
  <si>
    <t>BRQPHW8</t>
  </si>
  <si>
    <t>PASG US Equity</t>
  </si>
  <si>
    <t>Passage Bio Inc</t>
  </si>
  <si>
    <t>702712100</t>
  </si>
  <si>
    <t>BKTHM05</t>
  </si>
  <si>
    <t>ELVN US Equity</t>
  </si>
  <si>
    <t>Enliven Therapeutics Inc</t>
  </si>
  <si>
    <t>29337E102</t>
  </si>
  <si>
    <t>BMFD115</t>
  </si>
  <si>
    <t>VINC US Equity</t>
  </si>
  <si>
    <t>Vincerx Pharma Inc</t>
  </si>
  <si>
    <t>NARI US Equity</t>
  </si>
  <si>
    <t>Inari Medical Inc</t>
  </si>
  <si>
    <t>45332Y109</t>
  </si>
  <si>
    <t>BLDRF10</t>
  </si>
  <si>
    <t>BNTC US Equity</t>
  </si>
  <si>
    <t>Benitec Biopharma Inc</t>
  </si>
  <si>
    <t>08205P209</t>
  </si>
  <si>
    <t>BS2K7D5</t>
  </si>
  <si>
    <t>ACCD US Equity</t>
  </si>
  <si>
    <t>Accolade Inc</t>
  </si>
  <si>
    <t>00437E102</t>
  </si>
  <si>
    <t>BMB3JJ3</t>
  </si>
  <si>
    <t>LUNG US Equity</t>
  </si>
  <si>
    <t>Pulmonx Corp</t>
  </si>
  <si>
    <t>745848101</t>
  </si>
  <si>
    <t>BL72R71</t>
  </si>
  <si>
    <t>ORIC US Equity</t>
  </si>
  <si>
    <t>ORIC Pharmaceuticals Inc</t>
  </si>
  <si>
    <t>68622P109</t>
  </si>
  <si>
    <t>BKVDFF7</t>
  </si>
  <si>
    <t>NLSP US Equity</t>
  </si>
  <si>
    <t>NLS Pharmaceutics Ltd</t>
  </si>
  <si>
    <t>BL549W8</t>
  </si>
  <si>
    <t>TOI US Equity</t>
  </si>
  <si>
    <t>Oncology Institute Inc/The</t>
  </si>
  <si>
    <t>68236X100</t>
  </si>
  <si>
    <t>BL6CB69</t>
  </si>
  <si>
    <t>LYRA US Equity</t>
  </si>
  <si>
    <t>Lyra Therapeutics Inc</t>
  </si>
  <si>
    <t>55234L105</t>
  </si>
  <si>
    <t>BLF7Z85</t>
  </si>
  <si>
    <t>ZNTL US Equity</t>
  </si>
  <si>
    <t>Zentalis Pharmaceuticals Inc</t>
  </si>
  <si>
    <t>98943L107</t>
  </si>
  <si>
    <t>BMQ5T49</t>
  </si>
  <si>
    <t>CLOV US Equity</t>
  </si>
  <si>
    <t>Clover Health Investments Corp</t>
  </si>
  <si>
    <t>18914F103</t>
  </si>
  <si>
    <t>BNQS7K7</t>
  </si>
  <si>
    <t>KROS US Equity</t>
  </si>
  <si>
    <t>Keros Therapeutics Inc</t>
  </si>
  <si>
    <t>492327101</t>
  </si>
  <si>
    <t>BM7V485</t>
  </si>
  <si>
    <t>NXGL US Equity</t>
  </si>
  <si>
    <t>Nexgel Inc</t>
  </si>
  <si>
    <t>65344E107</t>
  </si>
  <si>
    <t>BP6T4Y7</t>
  </si>
  <si>
    <t>ASRT US Equity</t>
  </si>
  <si>
    <t>Assertio Holdings Inc</t>
  </si>
  <si>
    <t>04546C205</t>
  </si>
  <si>
    <t>BNGJGH0</t>
  </si>
  <si>
    <t>LTRN US Equity</t>
  </si>
  <si>
    <t>Lantern Pharma Inc</t>
  </si>
  <si>
    <t>51654W101</t>
  </si>
  <si>
    <t>BMGLD34</t>
  </si>
  <si>
    <t>BFLY US Equity</t>
  </si>
  <si>
    <t>Butterfly Network Inc</t>
  </si>
  <si>
    <t>124155102</t>
  </si>
  <si>
    <t>BMHYQY4</t>
  </si>
  <si>
    <t>RCEL US Equity</t>
  </si>
  <si>
    <t>Avita Medical Inc</t>
  </si>
  <si>
    <t>05380C102</t>
  </si>
  <si>
    <t>BMX0JN6</t>
  </si>
  <si>
    <t>PLRX US Equity</t>
  </si>
  <si>
    <t>Pliant Therapeutics Inc</t>
  </si>
  <si>
    <t>729139105</t>
  </si>
  <si>
    <t>BMDWW66</t>
  </si>
  <si>
    <t>KRBP US Equity</t>
  </si>
  <si>
    <t>Kiromic BioPharma Inc</t>
  </si>
  <si>
    <t>497634204</t>
  </si>
  <si>
    <t>BMCRRM3</t>
  </si>
  <si>
    <t>LEGN US Equity</t>
  </si>
  <si>
    <t>Legend Biotech Corp</t>
  </si>
  <si>
    <t>52490G102</t>
  </si>
  <si>
    <t>BMX9K07</t>
  </si>
  <si>
    <t>ZHCLF US Equity</t>
  </si>
  <si>
    <t>Zenith Capital Corp/Alberta</t>
  </si>
  <si>
    <t>98935N103</t>
  </si>
  <si>
    <t>BD4GYR9</t>
  </si>
  <si>
    <t>BNR US Equity</t>
  </si>
  <si>
    <t>Burning Rock Biotech Ltd</t>
  </si>
  <si>
    <t>12233L206</t>
  </si>
  <si>
    <t>BQ66DH1</t>
  </si>
  <si>
    <t>RPRX US Equity</t>
  </si>
  <si>
    <t>Royalty Pharma PLC</t>
  </si>
  <si>
    <t>BMVP7Y0</t>
  </si>
  <si>
    <t>PCVX US Equity</t>
  </si>
  <si>
    <t>Vaxcyte Inc</t>
  </si>
  <si>
    <t>92243G108</t>
  </si>
  <si>
    <t>BKPVGH6</t>
  </si>
  <si>
    <t>GBIO US Equity</t>
  </si>
  <si>
    <t>Generation Bio Co</t>
  </si>
  <si>
    <t>37148K100</t>
  </si>
  <si>
    <t>BMC2Z79</t>
  </si>
  <si>
    <t>RNA US Equity</t>
  </si>
  <si>
    <t>Avidity Biosciences Inc</t>
  </si>
  <si>
    <t>05370A108</t>
  </si>
  <si>
    <t>BMWHPY1</t>
  </si>
  <si>
    <t>TALK US Equity</t>
  </si>
  <si>
    <t>Talkspace Inc</t>
  </si>
  <si>
    <t>87427V103</t>
  </si>
  <si>
    <t>BP7L970</t>
  </si>
  <si>
    <t>Biora Therapeutics Inc</t>
  </si>
  <si>
    <t>RPTX US Equity</t>
  </si>
  <si>
    <t>Repare Therapeutics Inc</t>
  </si>
  <si>
    <t>760273102</t>
  </si>
  <si>
    <t>BLF0CW7</t>
  </si>
  <si>
    <t>GLSHQ US Equity</t>
  </si>
  <si>
    <t>Gelesis Holdings Inc</t>
  </si>
  <si>
    <t>36850R204</t>
  </si>
  <si>
    <t>BP6HGX4</t>
  </si>
  <si>
    <t>NUVB US Equity</t>
  </si>
  <si>
    <t>Nuvation Bio Inc</t>
  </si>
  <si>
    <t>67080N101</t>
  </si>
  <si>
    <t>BLNB9R6</t>
  </si>
  <si>
    <t>NKTX US Equity</t>
  </si>
  <si>
    <t>Nkarta Inc</t>
  </si>
  <si>
    <t>65487U108</t>
  </si>
  <si>
    <t>BK80YJ8</t>
  </si>
  <si>
    <t>GLSI US Equity</t>
  </si>
  <si>
    <t>Greenwich Lifesciences Inc</t>
  </si>
  <si>
    <t>396879108</t>
  </si>
  <si>
    <t>BLF0C50</t>
  </si>
  <si>
    <t>RLAY US Equity</t>
  </si>
  <si>
    <t>Relay Therapeutics Inc</t>
  </si>
  <si>
    <t>75943R102</t>
  </si>
  <si>
    <t>BN2R582</t>
  </si>
  <si>
    <t>ITOS US Equity</t>
  </si>
  <si>
    <t>iTeos Therapeutics Inc</t>
  </si>
  <si>
    <t>46565G104</t>
  </si>
  <si>
    <t>BMWXFT4</t>
  </si>
  <si>
    <t>ALXO US Equity</t>
  </si>
  <si>
    <t>ALX Oncology Holdings Inc</t>
  </si>
  <si>
    <t>00166B105</t>
  </si>
  <si>
    <t>BLN7XQ1</t>
  </si>
  <si>
    <t>RBOT US Equity</t>
  </si>
  <si>
    <t>Vicarious Surgical Inc</t>
  </si>
  <si>
    <t>92561V208</t>
  </si>
  <si>
    <t>BQGF7Y3</t>
  </si>
  <si>
    <t>PRFX US Equity</t>
  </si>
  <si>
    <t>PainReform Ltd</t>
  </si>
  <si>
    <t>BMHKZ45</t>
  </si>
  <si>
    <t>IMTX US Equity</t>
  </si>
  <si>
    <t>Immatics NV</t>
  </si>
  <si>
    <t>BMHQHS1</t>
  </si>
  <si>
    <t>NRIX US Equity</t>
  </si>
  <si>
    <t>Nurix Therapeutics Inc</t>
  </si>
  <si>
    <t>67080M103</t>
  </si>
  <si>
    <t>BMVLGP2</t>
  </si>
  <si>
    <t>PXMD US Equity</t>
  </si>
  <si>
    <t>PaxMedica Inc</t>
  </si>
  <si>
    <t>70424C203</t>
  </si>
  <si>
    <t>BQ6BQK0</t>
  </si>
  <si>
    <t>INZY US Equity</t>
  </si>
  <si>
    <t>Inozyme Pharma Inc</t>
  </si>
  <si>
    <t>45790W108</t>
  </si>
  <si>
    <t>BMVLGY1</t>
  </si>
  <si>
    <t>ANNX US Equity</t>
  </si>
  <si>
    <t>Annexon Inc</t>
  </si>
  <si>
    <t>03589W102</t>
  </si>
  <si>
    <t>BMVV9R5</t>
  </si>
  <si>
    <t>ALVR US Equity</t>
  </si>
  <si>
    <t>Allovir Inc</t>
  </si>
  <si>
    <t>AFIB US Equity</t>
  </si>
  <si>
    <t>Acutus Medical Inc</t>
  </si>
  <si>
    <t>005111109</t>
  </si>
  <si>
    <t>BLD0YM3</t>
  </si>
  <si>
    <t>OBIO US Equity</t>
  </si>
  <si>
    <t>Orchestra BioMed Holdings Inc</t>
  </si>
  <si>
    <t>68572M106</t>
  </si>
  <si>
    <t>BPRB2N7</t>
  </si>
  <si>
    <t>NAUT US Equity</t>
  </si>
  <si>
    <t>Nautilus Biotechnology Inc</t>
  </si>
  <si>
    <t>63909J108</t>
  </si>
  <si>
    <t>BNG1NK8</t>
  </si>
  <si>
    <t>IKT US Equity</t>
  </si>
  <si>
    <t>Inhibikase Therapeutics Inc</t>
  </si>
  <si>
    <t>45719W205</t>
  </si>
  <si>
    <t>BLBNS33</t>
  </si>
  <si>
    <t>CVAC US Equity</t>
  </si>
  <si>
    <t>CureVac NV</t>
  </si>
  <si>
    <t>BN4RD42</t>
  </si>
  <si>
    <t>IRON US Equity</t>
  </si>
  <si>
    <t>Disc Medicine Inc</t>
  </si>
  <si>
    <t>254604101</t>
  </si>
  <si>
    <t>BMGJZJ8</t>
  </si>
  <si>
    <t>HRMY US Equity</t>
  </si>
  <si>
    <t>Harmony Biosciences Holdings I</t>
  </si>
  <si>
    <t>413197104</t>
  </si>
  <si>
    <t>BKSGZN7</t>
  </si>
  <si>
    <t>NNOX US Equity</t>
  </si>
  <si>
    <t>Nano-X Imaging Ltd</t>
  </si>
  <si>
    <t>BLB2P06</t>
  </si>
  <si>
    <t>TNGX US Equity</t>
  </si>
  <si>
    <t>Tango Therapeutics Inc</t>
  </si>
  <si>
    <t>87583X109</t>
  </si>
  <si>
    <t>BP2P6L0</t>
  </si>
  <si>
    <t>KYMR US Equity</t>
  </si>
  <si>
    <t>Kymera Therapeutics Inc</t>
  </si>
  <si>
    <t>501575104</t>
  </si>
  <si>
    <t>BMPRZV5</t>
  </si>
  <si>
    <t>REVB US Equity</t>
  </si>
  <si>
    <t>Revelation Biosciences Inc</t>
  </si>
  <si>
    <t>MSP Recovery Inc</t>
  </si>
  <si>
    <t>CLVR US Equity</t>
  </si>
  <si>
    <t>Clever Leaves Holdings Inc</t>
  </si>
  <si>
    <t>186760203</t>
  </si>
  <si>
    <t>BMZ6DX0</t>
  </si>
  <si>
    <t>CMPX US Equity</t>
  </si>
  <si>
    <t>Compass Therapeutics Inc</t>
  </si>
  <si>
    <t>20454B104</t>
  </si>
  <si>
    <t>BMF7DQ6</t>
  </si>
  <si>
    <t>UPC US Equity</t>
  </si>
  <si>
    <t>Universe Pharmaceuticals Inc</t>
  </si>
  <si>
    <t>SLN US Equity</t>
  </si>
  <si>
    <t>Silence Therapeutics PLC</t>
  </si>
  <si>
    <t>82686Q101</t>
  </si>
  <si>
    <t>BL5B6Z1</t>
  </si>
  <si>
    <t>OM US Equity</t>
  </si>
  <si>
    <t>Outset Medical Inc</t>
  </si>
  <si>
    <t>690145107</t>
  </si>
  <si>
    <t>BMGWSL0</t>
  </si>
  <si>
    <t>ATIP US Equity</t>
  </si>
  <si>
    <t>ATI Physical Therapy Inc</t>
  </si>
  <si>
    <t>00216W208</t>
  </si>
  <si>
    <t>BRDYC56</t>
  </si>
  <si>
    <t>DYN US Equity</t>
  </si>
  <si>
    <t>Dyne Therapeutics Inc</t>
  </si>
  <si>
    <t>26818M108</t>
  </si>
  <si>
    <t>BN15WD1</t>
  </si>
  <si>
    <t>AMWL US Equity</t>
  </si>
  <si>
    <t>American Well Corp</t>
  </si>
  <si>
    <t>03044L204</t>
  </si>
  <si>
    <t>BRRD033</t>
  </si>
  <si>
    <t>ATHA US Equity</t>
  </si>
  <si>
    <t>Athira Pharma Inc</t>
  </si>
  <si>
    <t>04746L104</t>
  </si>
  <si>
    <t>BMTVQR6</t>
  </si>
  <si>
    <t>GDRX US Equity</t>
  </si>
  <si>
    <t>GoodRx Holdings Inc</t>
  </si>
  <si>
    <t>38246G108</t>
  </si>
  <si>
    <t>BMTVQT8</t>
  </si>
  <si>
    <t>CMPS US Equity</t>
  </si>
  <si>
    <t>Compass Pathways Plc</t>
  </si>
  <si>
    <t>20451W101</t>
  </si>
  <si>
    <t>BMC3HS7</t>
  </si>
  <si>
    <t>DWTX US Equity</t>
  </si>
  <si>
    <t>Dogwood Therapeutics Inc</t>
  </si>
  <si>
    <t>92829J203</t>
  </si>
  <si>
    <t>BQFN0N8</t>
  </si>
  <si>
    <t>SMMT US Equity</t>
  </si>
  <si>
    <t>Summit Therapeutics Inc</t>
  </si>
  <si>
    <t>86627T108</t>
  </si>
  <si>
    <t>BMTVQS7</t>
  </si>
  <si>
    <t>TSHA US Equity</t>
  </si>
  <si>
    <t>Taysha Gene Therapies Inc</t>
  </si>
  <si>
    <t>877619106</t>
  </si>
  <si>
    <t>BNC1BX1</t>
  </si>
  <si>
    <t>CALC US Equity</t>
  </si>
  <si>
    <t>CalciMedica Inc</t>
  </si>
  <si>
    <t>38942Q202</t>
  </si>
  <si>
    <t>BQPFB64</t>
  </si>
  <si>
    <t>IMNM US Equity</t>
  </si>
  <si>
    <t>Immunome Inc</t>
  </si>
  <si>
    <t>45257U108</t>
  </si>
  <si>
    <t>BM8FWX7</t>
  </si>
  <si>
    <t>LNSR US Equity</t>
  </si>
  <si>
    <t>LENSAR Inc</t>
  </si>
  <si>
    <t>52634L108</t>
  </si>
  <si>
    <t>BM8F4N1</t>
  </si>
  <si>
    <t>QSI US Equity</t>
  </si>
  <si>
    <t>Quantum-Si Inc</t>
  </si>
  <si>
    <t>74765K105</t>
  </si>
  <si>
    <t>BNR5QT9</t>
  </si>
  <si>
    <t>CCCC US Equity</t>
  </si>
  <si>
    <t>C4 Therapeutics Inc</t>
  </si>
  <si>
    <t>12529R107</t>
  </si>
  <si>
    <t>BKX9NQ0</t>
  </si>
  <si>
    <t>ELUT US Equity</t>
  </si>
  <si>
    <t>Elutia Inc</t>
  </si>
  <si>
    <t>05479K106</t>
  </si>
  <si>
    <t>BLHMSZ6</t>
  </si>
  <si>
    <t>WGS US Equity</t>
  </si>
  <si>
    <t>GeneDx Holdings Corp</t>
  </si>
  <si>
    <t>81663L200</t>
  </si>
  <si>
    <t>BR841G5</t>
  </si>
  <si>
    <t>STTK US Equity</t>
  </si>
  <si>
    <t>Shattuck Labs Inc</t>
  </si>
  <si>
    <t>82024L103</t>
  </si>
  <si>
    <t>BM8FWT3</t>
  </si>
  <si>
    <t>SPRB US Equity</t>
  </si>
  <si>
    <t>Spruce Biosciences Inc</t>
  </si>
  <si>
    <t>85209E109</t>
  </si>
  <si>
    <t>BM8HVW5</t>
  </si>
  <si>
    <t>KRON US Equity</t>
  </si>
  <si>
    <t>Kronos Bio Inc</t>
  </si>
  <si>
    <t>50107A104</t>
  </si>
  <si>
    <t>BM8FWV5</t>
  </si>
  <si>
    <t>PMVP US Equity</t>
  </si>
  <si>
    <t>PMV Pharmaceuticals Inc</t>
  </si>
  <si>
    <t>69353Y103</t>
  </si>
  <si>
    <t>BMW5084</t>
  </si>
  <si>
    <t>PRLD US Equity</t>
  </si>
  <si>
    <t>Prelude Therapeutics Inc</t>
  </si>
  <si>
    <t>74065P101</t>
  </si>
  <si>
    <t>BKX8YL9</t>
  </si>
  <si>
    <t>OWLT US Equity</t>
  </si>
  <si>
    <t>Owlet Inc</t>
  </si>
  <si>
    <t>69120X206</t>
  </si>
  <si>
    <t>BMFF8M1</t>
  </si>
  <si>
    <t>ALGS US Equity</t>
  </si>
  <si>
    <t>Aligos Therapeutics Inc</t>
  </si>
  <si>
    <t>01626L204</t>
  </si>
  <si>
    <t>BTCK7C1</t>
  </si>
  <si>
    <t>PRAX US Equity</t>
  </si>
  <si>
    <t>Praxis Precision Medicines Inc</t>
  </si>
  <si>
    <t>74006W207</t>
  </si>
  <si>
    <t>BQ721R4</t>
  </si>
  <si>
    <t>TARS US Equity</t>
  </si>
  <si>
    <t>Tarsus Pharmaceuticals Inc</t>
  </si>
  <si>
    <t>87650L103</t>
  </si>
  <si>
    <t>BMH5RL1</t>
  </si>
  <si>
    <t>HUMA US Equity</t>
  </si>
  <si>
    <t>Humacyte Inc</t>
  </si>
  <si>
    <t>44486Q103</t>
  </si>
  <si>
    <t>BMYTJP4</t>
  </si>
  <si>
    <t>MLTX US Equity</t>
  </si>
  <si>
    <t>MoonLake Immunotherapeutics</t>
  </si>
  <si>
    <t>61559X104</t>
  </si>
  <si>
    <t>BNG3F86</t>
  </si>
  <si>
    <t>BDSX US Equity</t>
  </si>
  <si>
    <t>Biodesix Inc</t>
  </si>
  <si>
    <t>09075X108</t>
  </si>
  <si>
    <t>BMWXS28</t>
  </si>
  <si>
    <t>FHTX US Equity</t>
  </si>
  <si>
    <t>Foghorn Therapeutics Inc</t>
  </si>
  <si>
    <t>344174107</t>
  </si>
  <si>
    <t>BMF7DT9</t>
  </si>
  <si>
    <t>GLTO US Equity</t>
  </si>
  <si>
    <t>Galecto Inc</t>
  </si>
  <si>
    <t>36322Q206</t>
  </si>
  <si>
    <t>BSY4V44</t>
  </si>
  <si>
    <t>AVIR US Equity</t>
  </si>
  <si>
    <t>Atea Pharmaceuticals Inc</t>
  </si>
  <si>
    <t>04683R106</t>
  </si>
  <si>
    <t>BLN9Z50</t>
  </si>
  <si>
    <t>SQZB US Equity</t>
  </si>
  <si>
    <t>SQZ Biotechnologies Co</t>
  </si>
  <si>
    <t>78472W104</t>
  </si>
  <si>
    <t>BMGW906</t>
  </si>
  <si>
    <t>VRPX US Equity</t>
  </si>
  <si>
    <t>Virpax Pharmaceuticals Inc</t>
  </si>
  <si>
    <t>928251206</t>
  </si>
  <si>
    <t>BRC7182</t>
  </si>
  <si>
    <t>VVOS US Equity</t>
  </si>
  <si>
    <t>Vivos Therapeutics Inc</t>
  </si>
  <si>
    <t>92859E207</t>
  </si>
  <si>
    <t>BNV09X5</t>
  </si>
  <si>
    <t>COEP US Equity</t>
  </si>
  <si>
    <t>Coeptis Therapeutics Holdings</t>
  </si>
  <si>
    <t>ME US Equity</t>
  </si>
  <si>
    <t>23andMe Holding Co</t>
  </si>
  <si>
    <t>INAB US Equity</t>
  </si>
  <si>
    <t>IN8bio Inc</t>
  </si>
  <si>
    <t>45674E109</t>
  </si>
  <si>
    <t>BLSN933</t>
  </si>
  <si>
    <t>SRZN US Equity</t>
  </si>
  <si>
    <t>Surrozen Inc</t>
  </si>
  <si>
    <t>86889P208</t>
  </si>
  <si>
    <t>BPDHGT3</t>
  </si>
  <si>
    <t>GRI US Equity</t>
  </si>
  <si>
    <t>GRI Bio Inc</t>
  </si>
  <si>
    <t>3622AW304</t>
  </si>
  <si>
    <t>BRZWWR0</t>
  </si>
  <si>
    <t>MRVI US Equity</t>
  </si>
  <si>
    <t>Maravai LifeSciences Holdings</t>
  </si>
  <si>
    <t>56600D107</t>
  </si>
  <si>
    <t>BMCWKZ2</t>
  </si>
  <si>
    <t>OLMA US Equity</t>
  </si>
  <si>
    <t>Olema Pharmaceuticals Inc</t>
  </si>
  <si>
    <t>68062P106</t>
  </si>
  <si>
    <t>BMZ4LN0</t>
  </si>
  <si>
    <t>SPRY US Equity</t>
  </si>
  <si>
    <t>ARS Pharmaceuticals Inc</t>
  </si>
  <si>
    <t>82835W108</t>
  </si>
  <si>
    <t>BMCR7V2</t>
  </si>
  <si>
    <t>VTRS US Equity</t>
  </si>
  <si>
    <t>Viatris Inc</t>
  </si>
  <si>
    <t>92556V106</t>
  </si>
  <si>
    <t>BMWS3X9</t>
  </si>
  <si>
    <t>SEER US Equity</t>
  </si>
  <si>
    <t>Seer Inc</t>
  </si>
  <si>
    <t>81578P106</t>
  </si>
  <si>
    <t>BMCWDS6</t>
  </si>
  <si>
    <t>SHC US Equity</t>
  </si>
  <si>
    <t>Sotera Health Co</t>
  </si>
  <si>
    <t>83601L102</t>
  </si>
  <si>
    <t>BNKVRZ7</t>
  </si>
  <si>
    <t>BCAB US Equity</t>
  </si>
  <si>
    <t>BioAtla Inc</t>
  </si>
  <si>
    <t>09077B104</t>
  </si>
  <si>
    <t>BNC5F86</t>
  </si>
  <si>
    <t>ISPC US Equity</t>
  </si>
  <si>
    <t>iSpecimen Inc</t>
  </si>
  <si>
    <t>45032V207</t>
  </si>
  <si>
    <t>BS6Q5B3</t>
  </si>
  <si>
    <t>CERT US Equity</t>
  </si>
  <si>
    <t>Certara Inc</t>
  </si>
  <si>
    <t>15687V109</t>
  </si>
  <si>
    <t>BM9GT61</t>
  </si>
  <si>
    <t>FORA US Equity</t>
  </si>
  <si>
    <t>Forian Inc</t>
  </si>
  <si>
    <t>34630N106</t>
  </si>
  <si>
    <t>BM9J6J2</t>
  </si>
  <si>
    <t>ABCL US Equity</t>
  </si>
  <si>
    <t>AbCellera Biologics Inc</t>
  </si>
  <si>
    <t>00288U106</t>
  </si>
  <si>
    <t>BL53SR3</t>
  </si>
  <si>
    <t>DCGO US Equity</t>
  </si>
  <si>
    <t>DocGo Inc</t>
  </si>
  <si>
    <t>256086109</t>
  </si>
  <si>
    <t>BKP4P23</t>
  </si>
  <si>
    <t>PTPI US Equity</t>
  </si>
  <si>
    <t>Petros Pharmaceuticals Inc</t>
  </si>
  <si>
    <t>71678J209</t>
  </si>
  <si>
    <t>BPDJLH2</t>
  </si>
  <si>
    <t>SNPX US Equity</t>
  </si>
  <si>
    <t>Synaptogenix Inc</t>
  </si>
  <si>
    <t>87167T300</t>
  </si>
  <si>
    <t>BQB9HQ2</t>
  </si>
  <si>
    <t>SABS US Equity</t>
  </si>
  <si>
    <t>SAB Biotherapeutics Inc</t>
  </si>
  <si>
    <t>78397T202</t>
  </si>
  <si>
    <t>BQPG5L0</t>
  </si>
  <si>
    <t>SCLX US Equity</t>
  </si>
  <si>
    <t>Scilex Holding Co</t>
  </si>
  <si>
    <t>80880W106</t>
  </si>
  <si>
    <t>BLKFRT9</t>
  </si>
  <si>
    <t>CGEM US Equity</t>
  </si>
  <si>
    <t>Cullinan Therapeutics Inc</t>
  </si>
  <si>
    <t>230031106</t>
  </si>
  <si>
    <t>BM90J52</t>
  </si>
  <si>
    <t>EFTR US Equity</t>
  </si>
  <si>
    <t>eFFECTOR Therapeutics Inc</t>
  </si>
  <si>
    <t>28202V207</t>
  </si>
  <si>
    <t>BRF1Y82</t>
  </si>
  <si>
    <t>INBS US Equity</t>
  </si>
  <si>
    <t>Intelligent Bio Solutions Inc</t>
  </si>
  <si>
    <t>36151G600</t>
  </si>
  <si>
    <t>BPDYZD1</t>
  </si>
  <si>
    <t>CLNN US Equity</t>
  </si>
  <si>
    <t>Clene Inc</t>
  </si>
  <si>
    <t>185634201</t>
  </si>
  <si>
    <t>BSF1QJ4</t>
  </si>
  <si>
    <t>EVAX US Equity</t>
  </si>
  <si>
    <t>Evaxion Biotech A/S</t>
  </si>
  <si>
    <t>PIII US Equity</t>
  </si>
  <si>
    <t>P3 Health Partners Inc</t>
  </si>
  <si>
    <t>744413105</t>
  </si>
  <si>
    <t>BM8JV43</t>
  </si>
  <si>
    <t>ICU US Equity</t>
  </si>
  <si>
    <t>SeaStar Medical Holding Corp</t>
  </si>
  <si>
    <t>81256L203</t>
  </si>
  <si>
    <t>BT3BML7</t>
  </si>
  <si>
    <t>HYPR US Equity</t>
  </si>
  <si>
    <t>Hyperfine Inc</t>
  </si>
  <si>
    <t>44916K106</t>
  </si>
  <si>
    <t>BP6W0G0</t>
  </si>
  <si>
    <t>SANA US Equity</t>
  </si>
  <si>
    <t>Sana Biotechnology Inc</t>
  </si>
  <si>
    <t>799566104</t>
  </si>
  <si>
    <t>BMFJJ97</t>
  </si>
  <si>
    <t>IMCR US Equity</t>
  </si>
  <si>
    <t>Immunocore Holdings PLC</t>
  </si>
  <si>
    <t>45258D105</t>
  </si>
  <si>
    <t>BLCD809</t>
  </si>
  <si>
    <t>BOLT US Equity</t>
  </si>
  <si>
    <t>Bolt Biotherapeutics Inc</t>
  </si>
  <si>
    <t>097702104</t>
  </si>
  <si>
    <t>BMDJ397</t>
  </si>
  <si>
    <t>TERN US Equity</t>
  </si>
  <si>
    <t>Terns Pharmaceuticals Inc</t>
  </si>
  <si>
    <t>880881107</t>
  </si>
  <si>
    <t>BMDJ0C9</t>
  </si>
  <si>
    <t>SNSE US Equity</t>
  </si>
  <si>
    <t>Sensei Biotherapeutics Inc</t>
  </si>
  <si>
    <t>81728A108</t>
  </si>
  <si>
    <t>BNDK2Q7</t>
  </si>
  <si>
    <t>VOR US Equity</t>
  </si>
  <si>
    <t>Vor BioPharma Inc</t>
  </si>
  <si>
    <t>929033108</t>
  </si>
  <si>
    <t>BLCD876</t>
  </si>
  <si>
    <t>PHVS US Equity</t>
  </si>
  <si>
    <t>Pharvaris NV</t>
  </si>
  <si>
    <t>BMZ2X38</t>
  </si>
  <si>
    <t>BTTX US Equity</t>
  </si>
  <si>
    <t>Better Therapeutics Inc</t>
  </si>
  <si>
    <t>08773T104</t>
  </si>
  <si>
    <t>BNTVZR6</t>
  </si>
  <si>
    <t>ADAG US Equity</t>
  </si>
  <si>
    <t>Adagene Inc</t>
  </si>
  <si>
    <t>005329107</t>
  </si>
  <si>
    <t>BN6RFS8</t>
  </si>
  <si>
    <t>LGVN US Equity</t>
  </si>
  <si>
    <t>Longeveron Inc</t>
  </si>
  <si>
    <t>54303L203</t>
  </si>
  <si>
    <t>BSSHD54</t>
  </si>
  <si>
    <t>NEXI US Equity</t>
  </si>
  <si>
    <t>NexImmune Inc</t>
  </si>
  <si>
    <t>65344D208</t>
  </si>
  <si>
    <t>BMWJM46</t>
  </si>
  <si>
    <t>TLIS US Equity</t>
  </si>
  <si>
    <t>Talis Biomedical Corp</t>
  </si>
  <si>
    <t>87424L207</t>
  </si>
  <si>
    <t>BRBP0X5</t>
  </si>
  <si>
    <t>AEON US Equity</t>
  </si>
  <si>
    <t>AEON Biopharma Inc</t>
  </si>
  <si>
    <t>00791X100</t>
  </si>
  <si>
    <t>BNTDKG6</t>
  </si>
  <si>
    <t>TLSI US Equity</t>
  </si>
  <si>
    <t>TriSalus Life Sciences Inc</t>
  </si>
  <si>
    <t>89680M101</t>
  </si>
  <si>
    <t>BRBDTR6</t>
  </si>
  <si>
    <t>MDAI US Equity</t>
  </si>
  <si>
    <t>Spectral AI Inc</t>
  </si>
  <si>
    <t>84757T105</t>
  </si>
  <si>
    <t>BN4JLQ6</t>
  </si>
  <si>
    <t>DHT/U CN Equity</t>
  </si>
  <si>
    <t>DRI Healthcare Trust</t>
  </si>
  <si>
    <t>23344H109</t>
  </si>
  <si>
    <t>BMBNL86</t>
  </si>
  <si>
    <t>INNV US Equity</t>
  </si>
  <si>
    <t>Innovage Holding Corp</t>
  </si>
  <si>
    <t>45784A104</t>
  </si>
  <si>
    <t>BNKLRT1</t>
  </si>
  <si>
    <t>COCH US Equity</t>
  </si>
  <si>
    <t>Envoy Medical Inc</t>
  </si>
  <si>
    <t>29415V109</t>
  </si>
  <si>
    <t>BR1H4J5</t>
  </si>
  <si>
    <t>BTMD US Equity</t>
  </si>
  <si>
    <t>Biote Corp</t>
  </si>
  <si>
    <t>090683103</t>
  </si>
  <si>
    <t>BMBPL15</t>
  </si>
  <si>
    <t>AONC US Equity</t>
  </si>
  <si>
    <t>American Oncology Network Inc</t>
  </si>
  <si>
    <t>028719102</t>
  </si>
  <si>
    <t>BMX7KN4</t>
  </si>
  <si>
    <t>GANX US Equity</t>
  </si>
  <si>
    <t>Gain Therapeutics Inc</t>
  </si>
  <si>
    <t>36269B105</t>
  </si>
  <si>
    <t>BNRKHG8</t>
  </si>
  <si>
    <t>ESLA US Equity</t>
  </si>
  <si>
    <t>Estrella Immunopharma Inc</t>
  </si>
  <si>
    <t>297584104</t>
  </si>
  <si>
    <t>BR1H2J1</t>
  </si>
  <si>
    <t>NKGN US Equity</t>
  </si>
  <si>
    <t>NKGen Biotech Inc</t>
  </si>
  <si>
    <t>65488A101</t>
  </si>
  <si>
    <t>BRRD5Z0</t>
  </si>
  <si>
    <t>CNTB US Equity</t>
  </si>
  <si>
    <t>Connect Biopharma Holdings Ltd</t>
  </si>
  <si>
    <t>207523101</t>
  </si>
  <si>
    <t>BMFPF31</t>
  </si>
  <si>
    <t>RNAZ US Equity</t>
  </si>
  <si>
    <t>TransCode Therapeutics Inc</t>
  </si>
  <si>
    <t>FNCH US Equity</t>
  </si>
  <si>
    <t>Finch Therapeutics Group Inc</t>
  </si>
  <si>
    <t>31773D200</t>
  </si>
  <si>
    <t>BQWPCJ7</t>
  </si>
  <si>
    <t>TIL US Equity</t>
  </si>
  <si>
    <t>Instil Bio Inc</t>
  </si>
  <si>
    <t>45783C200</t>
  </si>
  <si>
    <t>BM92RK9</t>
  </si>
  <si>
    <t>LVTX US Equity</t>
  </si>
  <si>
    <t>LAVA Therapeutics NV</t>
  </si>
  <si>
    <t>BMW3226</t>
  </si>
  <si>
    <t>ALHC US Equity</t>
  </si>
  <si>
    <t>Alignment Healthcare Inc</t>
  </si>
  <si>
    <t>01625V104</t>
  </si>
  <si>
    <t>BNNLSZ1</t>
  </si>
  <si>
    <t>EWTX US Equity</t>
  </si>
  <si>
    <t>Edgewise Therapeutics Inc</t>
  </si>
  <si>
    <t>28036F105</t>
  </si>
  <si>
    <t>BKY5JZ8</t>
  </si>
  <si>
    <t>IINN US Equity</t>
  </si>
  <si>
    <t>Inspira Technologies Oxy BHN L</t>
  </si>
  <si>
    <t>BNTBDG1</t>
  </si>
  <si>
    <t>DSGN US Equity</t>
  </si>
  <si>
    <t>Design Therapeutics Inc</t>
  </si>
  <si>
    <t>25056L103</t>
  </si>
  <si>
    <t>BMFK3H6</t>
  </si>
  <si>
    <t>IKNA US Equity</t>
  </si>
  <si>
    <t>Ikena Oncology Inc</t>
  </si>
  <si>
    <t>45175G108</t>
  </si>
  <si>
    <t>BNTB3M7</t>
  </si>
  <si>
    <t>LSB US Equity</t>
  </si>
  <si>
    <t>LakeShore Biopharma Co Ltd</t>
  </si>
  <si>
    <t>BSVLRF1</t>
  </si>
  <si>
    <t>CTCX US Equity</t>
  </si>
  <si>
    <t>Carmell Corp</t>
  </si>
  <si>
    <t>142922103</t>
  </si>
  <si>
    <t>BQMQCM3</t>
  </si>
  <si>
    <t>QT Imaging Holdings Inc</t>
  </si>
  <si>
    <t>ONMD US Equity</t>
  </si>
  <si>
    <t>OneMedNet Corp</t>
  </si>
  <si>
    <t>68270C103</t>
  </si>
  <si>
    <t>BLDB4D7</t>
  </si>
  <si>
    <t>AGL US Equity</t>
  </si>
  <si>
    <t>agilon health Inc</t>
  </si>
  <si>
    <t>00857U107</t>
  </si>
  <si>
    <t>BLR4TK4</t>
  </si>
  <si>
    <t>OGN US Equity</t>
  </si>
  <si>
    <t>Organon &amp; Co</t>
  </si>
  <si>
    <t>68622V106</t>
  </si>
  <si>
    <t>BLDC8J4</t>
  </si>
  <si>
    <t>OKUR US Equity</t>
  </si>
  <si>
    <t>OnKure Therapeutics Inc</t>
  </si>
  <si>
    <t>68277Q105</t>
  </si>
  <si>
    <t>BT7KGT6</t>
  </si>
  <si>
    <t>RXRX US Equity</t>
  </si>
  <si>
    <t>Recursion Pharmaceuticals Inc</t>
  </si>
  <si>
    <t>75629V104</t>
  </si>
  <si>
    <t>BM9FJ13</t>
  </si>
  <si>
    <t>RGC US Equity</t>
  </si>
  <si>
    <t>Regencell Bioscience Holdings</t>
  </si>
  <si>
    <t>BMW3196</t>
  </si>
  <si>
    <t>AKYA US Equity</t>
  </si>
  <si>
    <t>Akoya Biosciences Inc</t>
  </si>
  <si>
    <t>00974H104</t>
  </si>
  <si>
    <t>BM9FJ35</t>
  </si>
  <si>
    <t>BMEA US Equity</t>
  </si>
  <si>
    <t>Biomea Fusion Inc</t>
  </si>
  <si>
    <t>09077A106</t>
  </si>
  <si>
    <t>BNKF6N0</t>
  </si>
  <si>
    <t>TMCI US Equity</t>
  </si>
  <si>
    <t>Treace Medical Concepts Inc</t>
  </si>
  <si>
    <t>89455T109</t>
  </si>
  <si>
    <t>BNG47W7</t>
  </si>
  <si>
    <t>AVAH US Equity</t>
  </si>
  <si>
    <t>Aveanna Healthcare Holdings In</t>
  </si>
  <si>
    <t>05356F105</t>
  </si>
  <si>
    <t>BNYK9Y3</t>
  </si>
  <si>
    <t>ANEB US Equity</t>
  </si>
  <si>
    <t>Anebulo Pharmaceuticals Inc</t>
  </si>
  <si>
    <t>034569103</t>
  </si>
  <si>
    <t>BLGXY07</t>
  </si>
  <si>
    <t>PRVA US Equity</t>
  </si>
  <si>
    <t>Privia Health Group Inc</t>
  </si>
  <si>
    <t>74276R102</t>
  </si>
  <si>
    <t>BMDP209</t>
  </si>
  <si>
    <t>ARTV US Equity</t>
  </si>
  <si>
    <t>Artiva Biotherapeutics Inc</t>
  </si>
  <si>
    <t>04317A107</t>
  </si>
  <si>
    <t>BMF1LJ7</t>
  </si>
  <si>
    <t>BRNS US Equity</t>
  </si>
  <si>
    <t>Barinthus Biotherapeutics PLC</t>
  </si>
  <si>
    <t>91864C107</t>
  </si>
  <si>
    <t>BP0RLK2</t>
  </si>
  <si>
    <t>HOWL US Equity</t>
  </si>
  <si>
    <t>Werewolf Therapeutics Inc</t>
  </si>
  <si>
    <t>95075A107</t>
  </si>
  <si>
    <t>BLGXXZ5</t>
  </si>
  <si>
    <t>KTTA US Equity</t>
  </si>
  <si>
    <t>Pasithea Therapeutics Corp</t>
  </si>
  <si>
    <t>70261F202</t>
  </si>
  <si>
    <t>BR3VJZ6</t>
  </si>
  <si>
    <t>TRML US Equity</t>
  </si>
  <si>
    <t>Tourmaline Bio Inc</t>
  </si>
  <si>
    <t>89157D105</t>
  </si>
  <si>
    <t>BQ80NC6</t>
  </si>
  <si>
    <t>SGMT US Equity</t>
  </si>
  <si>
    <t>Sagimet Biosciences Inc</t>
  </si>
  <si>
    <t>786700104</t>
  </si>
  <si>
    <t>BP2NYN2</t>
  </si>
  <si>
    <t>ATAI US Equity</t>
  </si>
  <si>
    <t>ATAI Life Sciences NV</t>
  </si>
  <si>
    <t>BN6M8F1</t>
  </si>
  <si>
    <t>CNTA US Equity</t>
  </si>
  <si>
    <t>Centessa Pharmaceuticals PLC</t>
  </si>
  <si>
    <t>152309100</t>
  </si>
  <si>
    <t>BLB0YQ9</t>
  </si>
  <si>
    <t>VERA US Equity</t>
  </si>
  <si>
    <t>Vera Therapeutics Inc</t>
  </si>
  <si>
    <t>92337R101</t>
  </si>
  <si>
    <t>BL55460</t>
  </si>
  <si>
    <t>TCRX US Equity</t>
  </si>
  <si>
    <t>TScan Therapeutics Inc</t>
  </si>
  <si>
    <t>89854M101</t>
  </si>
  <si>
    <t>BNLYBJ7</t>
  </si>
  <si>
    <t>DAWN US Equity</t>
  </si>
  <si>
    <t>Day One Biopharmaceuticals Inc</t>
  </si>
  <si>
    <t>23954D109</t>
  </si>
  <si>
    <t>BLB0YH0</t>
  </si>
  <si>
    <t>SNTI US Equity</t>
  </si>
  <si>
    <t>Senti Biosciences Inc</t>
  </si>
  <si>
    <t>81726A209</t>
  </si>
  <si>
    <t>BP5DS48</t>
  </si>
  <si>
    <t>OMIC US Equity</t>
  </si>
  <si>
    <t>Singular Genomics Systems Inc</t>
  </si>
  <si>
    <t>82933R308</t>
  </si>
  <si>
    <t>BPLQCR2</t>
  </si>
  <si>
    <t>FEMY US Equity</t>
  </si>
  <si>
    <t>Femasys Inc</t>
  </si>
  <si>
    <t>31447E105</t>
  </si>
  <si>
    <t>BNM46W4</t>
  </si>
  <si>
    <t>ZVSA US Equity</t>
  </si>
  <si>
    <t>ZyVersa Therapeutics Inc</t>
  </si>
  <si>
    <t>98987D300</t>
  </si>
  <si>
    <t>BS2HV34</t>
  </si>
  <si>
    <t>LFST US Equity</t>
  </si>
  <si>
    <t>LifeStance Health Group Inc</t>
  </si>
  <si>
    <t>53228F101</t>
  </si>
  <si>
    <t>BN0TRB7</t>
  </si>
  <si>
    <t>NEUE US Equity</t>
  </si>
  <si>
    <t>NeueHealth Inc</t>
  </si>
  <si>
    <t>10920V404</t>
  </si>
  <si>
    <t>BRS9320</t>
  </si>
  <si>
    <t>JANX US Equity</t>
  </si>
  <si>
    <t>Janux Therapeutics Inc</t>
  </si>
  <si>
    <t>47103J105</t>
  </si>
  <si>
    <t>BMFX8Y7</t>
  </si>
  <si>
    <t>CTOR US Equity</t>
  </si>
  <si>
    <t>Citius Oncology Inc</t>
  </si>
  <si>
    <t>17331Y109</t>
  </si>
  <si>
    <t>BMYDVN8</t>
  </si>
  <si>
    <t>UNCY US Equity</t>
  </si>
  <si>
    <t>Unicycive Therapeutics Inc</t>
  </si>
  <si>
    <t>90466Y103</t>
  </si>
  <si>
    <t>BN7TVL8</t>
  </si>
  <si>
    <t>ALZN US Equity</t>
  </si>
  <si>
    <t>Alzamend Neuro Inc</t>
  </si>
  <si>
    <t>02262M506</t>
  </si>
  <si>
    <t>BQTWJN4</t>
  </si>
  <si>
    <t>HCWB US Equity</t>
  </si>
  <si>
    <t>HCW Biologics Inc</t>
  </si>
  <si>
    <t>40423R105</t>
  </si>
  <si>
    <t>BNTBJM9</t>
  </si>
  <si>
    <t>ACXP US Equity</t>
  </si>
  <si>
    <t>Acurx Pharmaceuticals Inc</t>
  </si>
  <si>
    <t>00510M104</t>
  </si>
  <si>
    <t>BP4X010</t>
  </si>
  <si>
    <t>DOCS US Equity</t>
  </si>
  <si>
    <t>Doximity Inc</t>
  </si>
  <si>
    <t>26622P107</t>
  </si>
  <si>
    <t>BMD22Y4</t>
  </si>
  <si>
    <t>VERV US Equity</t>
  </si>
  <si>
    <t>Verve Therapeutics Inc</t>
  </si>
  <si>
    <t>92539P101</t>
  </si>
  <si>
    <t>BNKGXX2</t>
  </si>
  <si>
    <t>TBIO US Equity</t>
  </si>
  <si>
    <t>Telesis Bio Inc</t>
  </si>
  <si>
    <t>192003200</t>
  </si>
  <si>
    <t>BSCBR61</t>
  </si>
  <si>
    <t>PROK US Equity</t>
  </si>
  <si>
    <t>ProKidney Corp</t>
  </si>
  <si>
    <t>BND9KF9</t>
  </si>
  <si>
    <t>GHRS US Equity</t>
  </si>
  <si>
    <t>GH Research PLC</t>
  </si>
  <si>
    <t>BP6C0S2</t>
  </si>
  <si>
    <t>ELEV US Equity</t>
  </si>
  <si>
    <t>Elevation Oncology Inc</t>
  </si>
  <si>
    <t>28623U101</t>
  </si>
  <si>
    <t>BP7L152</t>
  </si>
  <si>
    <t>TKNO US Equity</t>
  </si>
  <si>
    <t>Alpha Teknova Inc</t>
  </si>
  <si>
    <t>02080L102</t>
  </si>
  <si>
    <t>BP7L561</t>
  </si>
  <si>
    <t>LENZ US Equity</t>
  </si>
  <si>
    <t>LENZ Therapeutics Inc</t>
  </si>
  <si>
    <t>52635N103</t>
  </si>
  <si>
    <t>BQV0J03</t>
  </si>
  <si>
    <t>CVRX US Equity</t>
  </si>
  <si>
    <t>CVRx Inc</t>
  </si>
  <si>
    <t>126638105</t>
  </si>
  <si>
    <t>BLD3B98</t>
  </si>
  <si>
    <t>AVTE US Equity</t>
  </si>
  <si>
    <t>Aerovate Therapeutics Inc</t>
  </si>
  <si>
    <t>008064107</t>
  </si>
  <si>
    <t>BLR8K47</t>
  </si>
  <si>
    <t>ABOS US Equity</t>
  </si>
  <si>
    <t>Acumen Pharmaceuticals Inc</t>
  </si>
  <si>
    <t>00509G209</t>
  </si>
  <si>
    <t>BLR8WK7</t>
  </si>
  <si>
    <t>DRMA US Equity</t>
  </si>
  <si>
    <t>Dermata Therapeutics Inc</t>
  </si>
  <si>
    <t>249845405</t>
  </si>
  <si>
    <t>BPJK209</t>
  </si>
  <si>
    <t>SERA US Equity</t>
  </si>
  <si>
    <t>Sera Prognostics Inc</t>
  </si>
  <si>
    <t>81749D107</t>
  </si>
  <si>
    <t>BN2T5R7</t>
  </si>
  <si>
    <t>ZURA US Equity</t>
  </si>
  <si>
    <t>Zura Bio Ltd</t>
  </si>
  <si>
    <t>BQPCK91</t>
  </si>
  <si>
    <t>LYEL US Equity</t>
  </si>
  <si>
    <t>Lyell Immunopharma Inc</t>
  </si>
  <si>
    <t>55083R104</t>
  </si>
  <si>
    <t>BN6MB18</t>
  </si>
  <si>
    <t>IPSC US Equity</t>
  </si>
  <si>
    <t>Century Therapeutics Inc</t>
  </si>
  <si>
    <t>15673T100</t>
  </si>
  <si>
    <t>BNK9MY5</t>
  </si>
  <si>
    <t>GLUE US Equity</t>
  </si>
  <si>
    <t>Monte Rosa Therapeutics Inc</t>
  </si>
  <si>
    <t>61225M102</t>
  </si>
  <si>
    <t>BP7KZP7</t>
  </si>
  <si>
    <t>EUDA US Equity</t>
  </si>
  <si>
    <t>Euda Health Holdings Ltd</t>
  </si>
  <si>
    <t>BP5JFB2</t>
  </si>
  <si>
    <t>SGHT US Equity</t>
  </si>
  <si>
    <t>Sight Sciences Inc</t>
  </si>
  <si>
    <t>82657M105</t>
  </si>
  <si>
    <t>BN2T5Q6</t>
  </si>
  <si>
    <t>RPID US Equity</t>
  </si>
  <si>
    <t>Rapid Micro Biosystems Inc</t>
  </si>
  <si>
    <t>75340L104</t>
  </si>
  <si>
    <t>BNLYJ82</t>
  </si>
  <si>
    <t>ERAS US Equity</t>
  </si>
  <si>
    <t>Erasca Inc</t>
  </si>
  <si>
    <t>29479A108</t>
  </si>
  <si>
    <t>BNLYBF3</t>
  </si>
  <si>
    <t>CADL US Equity</t>
  </si>
  <si>
    <t>Candel Therapeutics Inc</t>
  </si>
  <si>
    <t>137404109</t>
  </si>
  <si>
    <t>BP0TQC5</t>
  </si>
  <si>
    <t>ABSI US Equity</t>
  </si>
  <si>
    <t>Absci Corp</t>
  </si>
  <si>
    <t>00091E109</t>
  </si>
  <si>
    <t>BN94K69</t>
  </si>
  <si>
    <t>CRBU US Equity</t>
  </si>
  <si>
    <t>Caribou Biosciences Inc</t>
  </si>
  <si>
    <t>142038108</t>
  </si>
  <si>
    <t>BNYJR68</t>
  </si>
  <si>
    <t>RLYB US Equity</t>
  </si>
  <si>
    <t>Rallybio Corp</t>
  </si>
  <si>
    <t>75120L100</t>
  </si>
  <si>
    <t>BMGTPL0</t>
  </si>
  <si>
    <t>CTKB US Equity</t>
  </si>
  <si>
    <t>Cytek Biosciences Inc</t>
  </si>
  <si>
    <t>23285D109</t>
  </si>
  <si>
    <t>BP0TJS2</t>
  </si>
  <si>
    <t>SOPH US Equity</t>
  </si>
  <si>
    <t>Sophia Genetics SA</t>
  </si>
  <si>
    <t>BP0TMK5</t>
  </si>
  <si>
    <t>BFRI US Equity</t>
  </si>
  <si>
    <t>Biofrontera Inc</t>
  </si>
  <si>
    <t>09077D209</t>
  </si>
  <si>
    <t>BRK3GL0</t>
  </si>
  <si>
    <t>IMRX US Equity</t>
  </si>
  <si>
    <t>Immuneering Corp</t>
  </si>
  <si>
    <t>45254E107</t>
  </si>
  <si>
    <t>BMVBZF5</t>
  </si>
  <si>
    <t>TNYA US Equity</t>
  </si>
  <si>
    <t>Tenaya Therapeutics Inc</t>
  </si>
  <si>
    <t>87990A106</t>
  </si>
  <si>
    <t>BNNXX52</t>
  </si>
  <si>
    <t>RXST US Equity</t>
  </si>
  <si>
    <t>RxSight Inc</t>
  </si>
  <si>
    <t>78349D107</t>
  </si>
  <si>
    <t>BMJ0GR3</t>
  </si>
  <si>
    <t>RANI US Equity</t>
  </si>
  <si>
    <t>Rani Therapeutics Holdings Inc</t>
  </si>
  <si>
    <t>753018100</t>
  </si>
  <si>
    <t>BNNXX18</t>
  </si>
  <si>
    <t>OMGA US Equity</t>
  </si>
  <si>
    <t>Omega Therapeutics Inc</t>
  </si>
  <si>
    <t>68217N105</t>
  </si>
  <si>
    <t>BNHQ2L6</t>
  </si>
  <si>
    <t>MSTH US Equity</t>
  </si>
  <si>
    <t>Mystic Holdings Inc</t>
  </si>
  <si>
    <t>628641102</t>
  </si>
  <si>
    <t>BNLYX80</t>
  </si>
  <si>
    <t>IVVD US Equity</t>
  </si>
  <si>
    <t>Invivyd Inc</t>
  </si>
  <si>
    <t>00534A102</t>
  </si>
  <si>
    <t>BM8NHS1</t>
  </si>
  <si>
    <t>CLYM US Equity</t>
  </si>
  <si>
    <t>Climb Bio Inc</t>
  </si>
  <si>
    <t>28658R106</t>
  </si>
  <si>
    <t>BMW5LX6</t>
  </si>
  <si>
    <t>CGTX US Equity</t>
  </si>
  <si>
    <t>Cognition Therapeutics Inc</t>
  </si>
  <si>
    <t>19243B102</t>
  </si>
  <si>
    <t>BMHF5J5</t>
  </si>
  <si>
    <t>OCEA US Equity</t>
  </si>
  <si>
    <t>Ocean Biomedical Inc</t>
  </si>
  <si>
    <t>67644C104</t>
  </si>
  <si>
    <t>BNKCHR2</t>
  </si>
  <si>
    <t>RNXT US Equity</t>
  </si>
  <si>
    <t>RenovoRx Inc</t>
  </si>
  <si>
    <t>75989R107</t>
  </si>
  <si>
    <t>BNNH0S6</t>
  </si>
  <si>
    <t>OABI US Equity</t>
  </si>
  <si>
    <t>OmniAb Inc</t>
  </si>
  <si>
    <t>68218J103</t>
  </si>
  <si>
    <t>BN13S71</t>
  </si>
  <si>
    <t>NUVL US Equity</t>
  </si>
  <si>
    <t>Nuvalent Inc</t>
  </si>
  <si>
    <t>670703107</t>
  </si>
  <si>
    <t>BMVBZD3</t>
  </si>
  <si>
    <t>CNTX US Equity</t>
  </si>
  <si>
    <t>Context Therapeutics Inc</t>
  </si>
  <si>
    <t>21077P108</t>
  </si>
  <si>
    <t>BP92744</t>
  </si>
  <si>
    <t>INDP US Equity</t>
  </si>
  <si>
    <t>Indaptus Therapeutics Inc</t>
  </si>
  <si>
    <t>45339J105</t>
  </si>
  <si>
    <t>BMW7VQ5</t>
  </si>
  <si>
    <t>RTGN US Equity</t>
  </si>
  <si>
    <t>RetinalGenix Technologies Inc</t>
  </si>
  <si>
    <t>76133Y105</t>
  </si>
  <si>
    <t>BMC8GC9</t>
  </si>
  <si>
    <t>CMND US Equity</t>
  </si>
  <si>
    <t>Clearmind Medicine Inc</t>
  </si>
  <si>
    <t>185053402</t>
  </si>
  <si>
    <t>BPG4DG7</t>
  </si>
  <si>
    <t>MHUA US Equity</t>
  </si>
  <si>
    <t>Meihua International Medical T</t>
  </si>
  <si>
    <t>BKSJR96</t>
  </si>
  <si>
    <t>TYRA US Equity</t>
  </si>
  <si>
    <t>Tyra Biosciences Inc</t>
  </si>
  <si>
    <t>90240B106</t>
  </si>
  <si>
    <t>BMVNDH9</t>
  </si>
  <si>
    <t>DH US Equity</t>
  </si>
  <si>
    <t>Definitive Healthcare Corp</t>
  </si>
  <si>
    <t>24477E103</t>
  </si>
  <si>
    <t>BMGSDK2</t>
  </si>
  <si>
    <t>SPRC US Equity</t>
  </si>
  <si>
    <t>SciSparc Ltd</t>
  </si>
  <si>
    <t>BN78W34</t>
  </si>
  <si>
    <t>HCTI US Equity</t>
  </si>
  <si>
    <t>Healthcare Triangle Inc</t>
  </si>
  <si>
    <t>42227W207</t>
  </si>
  <si>
    <t>BRJ52W0</t>
  </si>
  <si>
    <t>HLTHQ US Equity</t>
  </si>
  <si>
    <t>Cue Health Inc</t>
  </si>
  <si>
    <t>229790100</t>
  </si>
  <si>
    <t>BM9J045</t>
  </si>
  <si>
    <t>PRCT US Equity</t>
  </si>
  <si>
    <t>PROCEPT BioRobotics Corp</t>
  </si>
  <si>
    <t>74276L105</t>
  </si>
  <si>
    <t>BMYRFV6</t>
  </si>
  <si>
    <t>BEAT US Equity</t>
  </si>
  <si>
    <t>HeartBeam inc</t>
  </si>
  <si>
    <t>42238H108</t>
  </si>
  <si>
    <t>BN49GP0</t>
  </si>
  <si>
    <t>CING US Equity</t>
  </si>
  <si>
    <t>Cingulate Inc</t>
  </si>
  <si>
    <t>17248W303</t>
  </si>
  <si>
    <t>BT3NDD2</t>
  </si>
  <si>
    <t>INKT US Equity</t>
  </si>
  <si>
    <t>MiNK Therapeutics Inc</t>
  </si>
  <si>
    <t>CERO US Equity</t>
  </si>
  <si>
    <t>CERo Therapeutics Holdings Inc</t>
  </si>
  <si>
    <t>IMMX US Equity</t>
  </si>
  <si>
    <t>Immix Biopharma Inc</t>
  </si>
  <si>
    <t>45258H106</t>
  </si>
  <si>
    <t>BPBLY59</t>
  </si>
  <si>
    <t>PYXS US Equity</t>
  </si>
  <si>
    <t>Pyxis Oncology Inc</t>
  </si>
  <si>
    <t>747324101</t>
  </si>
  <si>
    <t>BLBR8D5</t>
  </si>
  <si>
    <t>LUCD US Equity</t>
  </si>
  <si>
    <t>Lucid Diagnostics Inc</t>
  </si>
  <si>
    <t>54948X109</t>
  </si>
  <si>
    <t>BMCCHR3</t>
  </si>
  <si>
    <t>ALLR US Equity</t>
  </si>
  <si>
    <t>Allarity Therapeutics Inc</t>
  </si>
  <si>
    <t>016744500</t>
  </si>
  <si>
    <t>BQWSMS5</t>
  </si>
  <si>
    <t>TIVC US Equity</t>
  </si>
  <si>
    <t>Tivic Health Systems Inc</t>
  </si>
  <si>
    <t>888705209</t>
  </si>
  <si>
    <t>BLGYNX6</t>
  </si>
  <si>
    <t>FNA US Equity</t>
  </si>
  <si>
    <t>Paragon 28 Inc</t>
  </si>
  <si>
    <t>69913P105</t>
  </si>
  <si>
    <t>BPK4YF9</t>
  </si>
  <si>
    <t>ZJYL US Equity</t>
  </si>
  <si>
    <t>Jin Medical International Ltd</t>
  </si>
  <si>
    <t>BRK36Y3</t>
  </si>
  <si>
    <t>UTRS US Equity</t>
  </si>
  <si>
    <t>Minerva Surgical Inc</t>
  </si>
  <si>
    <t>60343F205</t>
  </si>
  <si>
    <t>BR1H569</t>
  </si>
  <si>
    <t>CLDI US Equity</t>
  </si>
  <si>
    <t>Calidi Biotherapeutics Inc</t>
  </si>
  <si>
    <t>320703309</t>
  </si>
  <si>
    <t>BPK7ZY4</t>
  </si>
  <si>
    <t>THAR US Equity</t>
  </si>
  <si>
    <t>Tharimmune Inc</t>
  </si>
  <si>
    <t>432705309</t>
  </si>
  <si>
    <t>BS87X21</t>
  </si>
  <si>
    <t>Procaps Group SA</t>
  </si>
  <si>
    <t>VTYX US Equity</t>
  </si>
  <si>
    <t>Ventyx Biosciences Inc</t>
  </si>
  <si>
    <t>92332V107</t>
  </si>
  <si>
    <t>BMG99Y1</t>
  </si>
  <si>
    <t>ROIV US Equity</t>
  </si>
  <si>
    <t>Roivant Sciences Ltd</t>
  </si>
  <si>
    <t>BMW4NZ9</t>
  </si>
  <si>
    <t>AIRS US Equity</t>
  </si>
  <si>
    <t>AirSculpt Technologies Inc</t>
  </si>
  <si>
    <t>009496100</t>
  </si>
  <si>
    <t>BN96366</t>
  </si>
  <si>
    <t>XERS US Equity</t>
  </si>
  <si>
    <t>Xeris Biopharma Holdings Inc</t>
  </si>
  <si>
    <t>98422E103</t>
  </si>
  <si>
    <t>BLR7H87</t>
  </si>
  <si>
    <t>NVCT US Equity</t>
  </si>
  <si>
    <t>Nuvectis Pharma Inc</t>
  </si>
  <si>
    <t>67080T108</t>
  </si>
  <si>
    <t>BPG9KV6</t>
  </si>
  <si>
    <t>AURA US Equity</t>
  </si>
  <si>
    <t>Aura Biosciences Inc</t>
  </si>
  <si>
    <t>05153U107</t>
  </si>
  <si>
    <t>BP81R42</t>
  </si>
  <si>
    <t>VAXX US Equity</t>
  </si>
  <si>
    <t>Vaxxinity Inc</t>
  </si>
  <si>
    <t>92244V104</t>
  </si>
  <si>
    <t>BLBJB43</t>
  </si>
  <si>
    <t>Sonendo Inc</t>
  </si>
  <si>
    <t>TRDA US Equity</t>
  </si>
  <si>
    <t>Entrada Therapeutics Inc</t>
  </si>
  <si>
    <t>29384C108</t>
  </si>
  <si>
    <t>BP81RK8</t>
  </si>
  <si>
    <t>ONCO US Equity</t>
  </si>
  <si>
    <t>Onconetix Inc</t>
  </si>
  <si>
    <t>68237Q104</t>
  </si>
  <si>
    <t>BRYQ961</t>
  </si>
  <si>
    <t>BBLNF US Equity</t>
  </si>
  <si>
    <t>Babylon Holdings Ltd/Jersey</t>
  </si>
  <si>
    <t>BQWMWC1</t>
  </si>
  <si>
    <t>MYNZ US Equity</t>
  </si>
  <si>
    <t>Mainz Biomed NV</t>
  </si>
  <si>
    <t>BL5BHL4</t>
  </si>
  <si>
    <t>TLSA US Equity</t>
  </si>
  <si>
    <t>Tiziana Life Sciences Ltd</t>
  </si>
  <si>
    <t>BN4FBX1</t>
  </si>
  <si>
    <t>VSEE US Equity</t>
  </si>
  <si>
    <t>VSee Health Inc</t>
  </si>
  <si>
    <t>92919Y102</t>
  </si>
  <si>
    <t>BPLQCM7</t>
  </si>
  <si>
    <t>TSVT US Equity</t>
  </si>
  <si>
    <t>2seventy bio Inc</t>
  </si>
  <si>
    <t>901384107</t>
  </si>
  <si>
    <t>BMTXV88</t>
  </si>
  <si>
    <t>IOBT US Equity</t>
  </si>
  <si>
    <t>IO Biotech Inc</t>
  </si>
  <si>
    <t>449778109</t>
  </si>
  <si>
    <t>BKZ7793</t>
  </si>
  <si>
    <t>TVGN US Equity</t>
  </si>
  <si>
    <t>Tevogen Bio Holdings Inc</t>
  </si>
  <si>
    <t>88165K101</t>
  </si>
  <si>
    <t>BPG5P75</t>
  </si>
  <si>
    <t>NRSN US Equity</t>
  </si>
  <si>
    <t>NeuroSense Therapeutics Ltd</t>
  </si>
  <si>
    <t>BPNXM71</t>
  </si>
  <si>
    <t>XLO US Equity</t>
  </si>
  <si>
    <t>Xilio Therapeutics Inc</t>
  </si>
  <si>
    <t>98422T100</t>
  </si>
  <si>
    <t>BMV6Y64</t>
  </si>
  <si>
    <t>BTSG US Equity</t>
  </si>
  <si>
    <t>BrightSpring Health Services I</t>
  </si>
  <si>
    <t>10950A106</t>
  </si>
  <si>
    <t>BPJM8Q3</t>
  </si>
  <si>
    <t>LIANY US Equity</t>
  </si>
  <si>
    <t>LianBio</t>
  </si>
  <si>
    <t>53000N108</t>
  </si>
  <si>
    <t>BNBR4R5</t>
  </si>
  <si>
    <t>DERM US Equity</t>
  </si>
  <si>
    <t>Journey Medical Corp</t>
  </si>
  <si>
    <t>48115J109</t>
  </si>
  <si>
    <t>BP5GWR8</t>
  </si>
  <si>
    <t>TCBP US Equity</t>
  </si>
  <si>
    <t>TC Biopharm Holdings PLC</t>
  </si>
  <si>
    <t>INTS US Equity</t>
  </si>
  <si>
    <t>Intensity Therapeutics Inc</t>
  </si>
  <si>
    <t>45828J103</t>
  </si>
  <si>
    <t>BP8KP90</t>
  </si>
  <si>
    <t>PRE US Equity</t>
  </si>
  <si>
    <t>Prenetics Global Ltd</t>
  </si>
  <si>
    <t>BR1YSD8</t>
  </si>
  <si>
    <t>GNTA US Equity</t>
  </si>
  <si>
    <t>Genenta Science S.P.A.</t>
  </si>
  <si>
    <t>36870W100</t>
  </si>
  <si>
    <t>BN7LKH3</t>
  </si>
  <si>
    <t>CDIO US Equity</t>
  </si>
  <si>
    <t>Cardio Diagnostics Holdings In</t>
  </si>
  <si>
    <t>14159C103</t>
  </si>
  <si>
    <t>BNHPS48</t>
  </si>
  <si>
    <t>NUVOQ US Equity</t>
  </si>
  <si>
    <t>Holdco Nuvo Group DG Ltd</t>
  </si>
  <si>
    <t>BSMR2J7</t>
  </si>
  <si>
    <t>LDDD US Equity</t>
  </si>
  <si>
    <t>Longduoduo Co Ltd</t>
  </si>
  <si>
    <t>54303E209</t>
  </si>
  <si>
    <t>BRRF7B6</t>
  </si>
  <si>
    <t>VIGL US Equity</t>
  </si>
  <si>
    <t>Vigil Neuroscience Inc</t>
  </si>
  <si>
    <t>92673K108</t>
  </si>
  <si>
    <t>BNHSPZ7</t>
  </si>
  <si>
    <t>NXL US Equity</t>
  </si>
  <si>
    <t>Nexalin Technology Inc</t>
  </si>
  <si>
    <t>65345B201</t>
  </si>
  <si>
    <t>BN2D201</t>
  </si>
  <si>
    <t>AMLX US Equity</t>
  </si>
  <si>
    <t>Amylyx Pharmaceuticals Inc</t>
  </si>
  <si>
    <t>03237H101</t>
  </si>
  <si>
    <t>BPCK358</t>
  </si>
  <si>
    <t>ACON US Equity</t>
  </si>
  <si>
    <t>Aclarion Inc</t>
  </si>
  <si>
    <t>ACLX US Equity</t>
  </si>
  <si>
    <t>Arcellx Inc</t>
  </si>
  <si>
    <t>03940C100</t>
  </si>
  <si>
    <t>BPCJ1Q2</t>
  </si>
  <si>
    <t>EHAB US Equity</t>
  </si>
  <si>
    <t>Enhabit Inc</t>
  </si>
  <si>
    <t>29332G102</t>
  </si>
  <si>
    <t>BQFMQ93</t>
  </si>
  <si>
    <t>LSDIF US Equity</t>
  </si>
  <si>
    <t>Lucy Scientific Discovery Inc</t>
  </si>
  <si>
    <t>54960E203</t>
  </si>
  <si>
    <t>BSNSDC9</t>
  </si>
  <si>
    <t>AKAN US Equity</t>
  </si>
  <si>
    <t>Akanda Corp</t>
  </si>
  <si>
    <t>ZIMV US Equity</t>
  </si>
  <si>
    <t>Zimvie Inc</t>
  </si>
  <si>
    <t>98888T107</t>
  </si>
  <si>
    <t>BNBV0S0</t>
  </si>
  <si>
    <t>CDT US Equity</t>
  </si>
  <si>
    <t>Conduit Pharmaceuticals Inc</t>
  </si>
  <si>
    <t>ACUT US Equity</t>
  </si>
  <si>
    <t>Accustem Sciences Inc</t>
  </si>
  <si>
    <t>00444A101</t>
  </si>
  <si>
    <t>BPVG722</t>
  </si>
  <si>
    <t>OKYO US Equity</t>
  </si>
  <si>
    <t>OKYO Pharma Ltd</t>
  </si>
  <si>
    <t>BMFG5F6</t>
  </si>
  <si>
    <t>ANTX US Equity</t>
  </si>
  <si>
    <t>AN2 Therapeutics Inc</t>
  </si>
  <si>
    <t>037326105</t>
  </si>
  <si>
    <t>BMFDKL8</t>
  </si>
  <si>
    <t>DRTS US Equity</t>
  </si>
  <si>
    <t>Alpha Tau Medical Ltd</t>
  </si>
  <si>
    <t>BNBRFD8</t>
  </si>
  <si>
    <t>KLTO US Equity</t>
  </si>
  <si>
    <t>Klotho Neurosciences Inc</t>
  </si>
  <si>
    <t>49876K103</t>
  </si>
  <si>
    <t>BMZL9X7</t>
  </si>
  <si>
    <t>DHAI US Equity</t>
  </si>
  <si>
    <t>DIH Holdings US Inc</t>
  </si>
  <si>
    <t>23290B106</t>
  </si>
  <si>
    <t>BSF1S32</t>
  </si>
  <si>
    <t>EMBC US Equity</t>
  </si>
  <si>
    <t>Embecta Corp</t>
  </si>
  <si>
    <t>29082K105</t>
  </si>
  <si>
    <t>BMXWYR1</t>
  </si>
  <si>
    <t>VRAX US Equity</t>
  </si>
  <si>
    <t>Virax Biolabs Group Ltd</t>
  </si>
  <si>
    <t>BM9HFH7</t>
  </si>
  <si>
    <t>BLTE US Equity</t>
  </si>
  <si>
    <t>Belite Bio Inc</t>
  </si>
  <si>
    <t>07782B104</t>
  </si>
  <si>
    <t>BM9JFL7</t>
  </si>
  <si>
    <t>HLVX US Equity</t>
  </si>
  <si>
    <t>HilleVax Inc</t>
  </si>
  <si>
    <t>43157M102</t>
  </si>
  <si>
    <t>BN7SBS2</t>
  </si>
  <si>
    <t>STSS US Equity</t>
  </si>
  <si>
    <t>Sharps Technology Inc</t>
  </si>
  <si>
    <t>TNON US Equity</t>
  </si>
  <si>
    <t>Tenon Medical Inc</t>
  </si>
  <si>
    <t>88066N303</t>
  </si>
  <si>
    <t>BP4YDR0</t>
  </si>
  <si>
    <t>BGXX US Equity</t>
  </si>
  <si>
    <t>Bright Green Corp</t>
  </si>
  <si>
    <t>10920G100</t>
  </si>
  <si>
    <t>BPX2X64</t>
  </si>
  <si>
    <t>MAIA US Equity</t>
  </si>
  <si>
    <t>MAIA Biotechnology Inc</t>
  </si>
  <si>
    <t>552641102</t>
  </si>
  <si>
    <t>BMF1MR2</t>
  </si>
  <si>
    <t>PEPG US Equity</t>
  </si>
  <si>
    <t>PepGen Inc</t>
  </si>
  <si>
    <t>713317105</t>
  </si>
  <si>
    <t>BMTX3D7</t>
  </si>
  <si>
    <t>BHVN US Equity</t>
  </si>
  <si>
    <t>Biohaven Ltd</t>
  </si>
  <si>
    <t>BPLZ7S5</t>
  </si>
  <si>
    <t>BIAF US Equity</t>
  </si>
  <si>
    <t>bioAffinity Technologies Inc</t>
  </si>
  <si>
    <t>09076W109</t>
  </si>
  <si>
    <t>BN95KT5</t>
  </si>
  <si>
    <t>CMRA US Equity</t>
  </si>
  <si>
    <t>Comera Life Sciences Holdings</t>
  </si>
  <si>
    <t>20037C108</t>
  </si>
  <si>
    <t>BMCH7Z6</t>
  </si>
  <si>
    <t>QDEL US Equity</t>
  </si>
  <si>
    <t>QuidelOrtho Corp</t>
  </si>
  <si>
    <t>219798105</t>
  </si>
  <si>
    <t>BM9VY27</t>
  </si>
  <si>
    <t>SHPH US Equity</t>
  </si>
  <si>
    <t>Shuttle Pharmaceuticals Holdin</t>
  </si>
  <si>
    <t>825693302</t>
  </si>
  <si>
    <t>BQ0N743</t>
  </si>
  <si>
    <t>ALVO US Equity</t>
  </si>
  <si>
    <t>Alvotech SA</t>
  </si>
  <si>
    <t>BPNTJ34</t>
  </si>
  <si>
    <t>HSCS US Equity</t>
  </si>
  <si>
    <t>42254E302</t>
  </si>
  <si>
    <t>BPZRN90</t>
  </si>
  <si>
    <t>PBLA US Equity</t>
  </si>
  <si>
    <t>Panbela Therapeutics Inc</t>
  </si>
  <si>
    <t>69833W404</t>
  </si>
  <si>
    <t>BQWR2H1</t>
  </si>
  <si>
    <t>GNLX US Equity</t>
  </si>
  <si>
    <t>Genelux Corp</t>
  </si>
  <si>
    <t>36870H103</t>
  </si>
  <si>
    <t>BPTH5D4</t>
  </si>
  <si>
    <t>THRD US Equity</t>
  </si>
  <si>
    <t>Third Harmonic Bio Inc</t>
  </si>
  <si>
    <t>88427A107</t>
  </si>
  <si>
    <t>BNNPQY8</t>
  </si>
  <si>
    <t>CVKD US Equity</t>
  </si>
  <si>
    <t>Cadrenal Therapeutics Inc</t>
  </si>
  <si>
    <t>127636207</t>
  </si>
  <si>
    <t>BMW5SW4</t>
  </si>
  <si>
    <t>SBC US Equity</t>
  </si>
  <si>
    <t>SBC Medical Group Holdings Inc</t>
  </si>
  <si>
    <t>73245B107</t>
  </si>
  <si>
    <t>BQKMW89</t>
  </si>
  <si>
    <t>ZYME US Equity</t>
  </si>
  <si>
    <t>Zymeworks Inc</t>
  </si>
  <si>
    <t>98985Y108</t>
  </si>
  <si>
    <t>BPCQZY9</t>
  </si>
  <si>
    <t>PRME US Equity</t>
  </si>
  <si>
    <t>Prime Medicine Inc</t>
  </si>
  <si>
    <t>74168J101</t>
  </si>
  <si>
    <t>BPBJFM7</t>
  </si>
  <si>
    <t>ACRV US Equity</t>
  </si>
  <si>
    <t>Acrivon Therapeutics Inc</t>
  </si>
  <si>
    <t>004890109</t>
  </si>
  <si>
    <t>BP2TPK4</t>
  </si>
  <si>
    <t>ALRTF US Equity</t>
  </si>
  <si>
    <t>ALR Technologies SG Ltd</t>
  </si>
  <si>
    <t>BQ3QPJ0</t>
  </si>
  <si>
    <t>GDTC US Equity</t>
  </si>
  <si>
    <t>Cytomed Therapeutics Ltd</t>
  </si>
  <si>
    <t>BNQNF75</t>
  </si>
  <si>
    <t>NAMS US Equity</t>
  </si>
  <si>
    <t>Newamsterdam Pharma Co NV</t>
  </si>
  <si>
    <t>BP8JSP4</t>
  </si>
  <si>
    <t>COYA US Equity</t>
  </si>
  <si>
    <t>Coya Therapeutics Inc</t>
  </si>
  <si>
    <t>22407B108</t>
  </si>
  <si>
    <t>BMFZ3K4</t>
  </si>
  <si>
    <t>BFRG US Equity</t>
  </si>
  <si>
    <t>Bullfrog AI Holdings Inc</t>
  </si>
  <si>
    <t>12021E109</t>
  </si>
  <si>
    <t>BQT6F38</t>
  </si>
  <si>
    <t>APLM US Equity</t>
  </si>
  <si>
    <t>Apollomics Inc</t>
  </si>
  <si>
    <t>GEHC US Equity</t>
  </si>
  <si>
    <t>GE HealthCare Technologies Inc</t>
  </si>
  <si>
    <t>36266G107</t>
  </si>
  <si>
    <t>BL6JPG8</t>
  </si>
  <si>
    <t>LIPO US Equity</t>
  </si>
  <si>
    <t>Lipella Pharmaceuticals Inc</t>
  </si>
  <si>
    <t>NRXS US Equity</t>
  </si>
  <si>
    <t>Neuraxis Inc</t>
  </si>
  <si>
    <t>64134X201</t>
  </si>
  <si>
    <t>BP9N3W7</t>
  </si>
  <si>
    <t>CHRO US Equity</t>
  </si>
  <si>
    <t>171126105</t>
  </si>
  <si>
    <t>BP6BWV6</t>
  </si>
  <si>
    <t>GPCR US Equity</t>
  </si>
  <si>
    <t>Structure Therapeutics Inc</t>
  </si>
  <si>
    <t>86366E106</t>
  </si>
  <si>
    <t>BQS9486</t>
  </si>
  <si>
    <t>OCS US Equity</t>
  </si>
  <si>
    <t>Oculis Holding AG</t>
  </si>
  <si>
    <t>BN2SK24</t>
  </si>
  <si>
    <t>MLYS US Equity</t>
  </si>
  <si>
    <t>Mineralys Therapeutics Inc</t>
  </si>
  <si>
    <t>603170101</t>
  </si>
  <si>
    <t>BP9N0G0</t>
  </si>
  <si>
    <t>ETAOF US Equity</t>
  </si>
  <si>
    <t>Etao International Co Ltd</t>
  </si>
  <si>
    <t>BQXHTY6</t>
  </si>
  <si>
    <t>CASI US Equity</t>
  </si>
  <si>
    <t>CASI Pharmaceuticals Holdings</t>
  </si>
  <si>
    <t>BQ1P339</t>
  </si>
  <si>
    <t>OSTX US Equity</t>
  </si>
  <si>
    <t>OS Therapies Inc</t>
  </si>
  <si>
    <t>68764Y207</t>
  </si>
  <si>
    <t>BM8Z9M5</t>
  </si>
  <si>
    <t>SLRN US Equity</t>
  </si>
  <si>
    <t>ACELYRIN Inc</t>
  </si>
  <si>
    <t>00445A100</t>
  </si>
  <si>
    <t>BQPF874</t>
  </si>
  <si>
    <t>WOK US Equity</t>
  </si>
  <si>
    <t>WORK Medical Technology Group</t>
  </si>
  <si>
    <t>BRJQFG8</t>
  </si>
  <si>
    <t>AZTR US Equity</t>
  </si>
  <si>
    <t>Azitra Inc</t>
  </si>
  <si>
    <t>05479L203</t>
  </si>
  <si>
    <t>BS86LN5</t>
  </si>
  <si>
    <t>MGRM US Equity</t>
  </si>
  <si>
    <t>Monogram Technologies Inc</t>
  </si>
  <si>
    <t>609786108</t>
  </si>
  <si>
    <t>BP487R0</t>
  </si>
  <si>
    <t>SXTP US Equity</t>
  </si>
  <si>
    <t>60 Degrees Pharmaceuticals Inc</t>
  </si>
  <si>
    <t>83006G203</t>
  </si>
  <si>
    <t>BP80ZD4</t>
  </si>
  <si>
    <t>TSBX US Equity</t>
  </si>
  <si>
    <t>Turnstone Biologics Corp</t>
  </si>
  <si>
    <t>90042W100</t>
  </si>
  <si>
    <t>BR1W854</t>
  </si>
  <si>
    <t>FTRE US Equity</t>
  </si>
  <si>
    <t>Fortrea Holdings Inc</t>
  </si>
  <si>
    <t>34965K107</t>
  </si>
  <si>
    <t>BRXYZ57</t>
  </si>
  <si>
    <t>APGE US Equity</t>
  </si>
  <si>
    <t>Apogee Therapeutics Inc</t>
  </si>
  <si>
    <t>03770N101</t>
  </si>
  <si>
    <t>BM9HHL5</t>
  </si>
  <si>
    <t>NIVF US Equity</t>
  </si>
  <si>
    <t>NewGenIvf Group Ltd</t>
  </si>
  <si>
    <t>MIRA US Equity</t>
  </si>
  <si>
    <t>Mira Pharmaceuticals Inc</t>
  </si>
  <si>
    <t>60458C104</t>
  </si>
  <si>
    <t>BRSFQJ6</t>
  </si>
  <si>
    <t>ANL US Equity</t>
  </si>
  <si>
    <t>Adlai Nortye Ltd</t>
  </si>
  <si>
    <t>00704R109</t>
  </si>
  <si>
    <t>BRBHRP2</t>
  </si>
  <si>
    <t>IVP US Equity</t>
  </si>
  <si>
    <t>Inspire Veterinary Partners In</t>
  </si>
  <si>
    <t>NMRA US Equity</t>
  </si>
  <si>
    <t>Neumora Therapeutics Inc</t>
  </si>
  <si>
    <t>640979100</t>
  </si>
  <si>
    <t>BN4JN37</t>
  </si>
  <si>
    <t>ICCT US Equity</t>
  </si>
  <si>
    <t>iCoreConnect Inc</t>
  </si>
  <si>
    <t>ENGN US Equity</t>
  </si>
  <si>
    <t>Engene Holdings Inc</t>
  </si>
  <si>
    <t>29286M105</t>
  </si>
  <si>
    <t>BRBRJZ6</t>
  </si>
  <si>
    <t>KDLY US Equity</t>
  </si>
  <si>
    <t>Kindly MD Inc</t>
  </si>
  <si>
    <t>49457M106</t>
  </si>
  <si>
    <t>BQZ9PF3</t>
  </si>
  <si>
    <t>BDMD US Equity</t>
  </si>
  <si>
    <t>Baird Medical Investment Holdi</t>
  </si>
  <si>
    <t>BRXF680</t>
  </si>
  <si>
    <t>SYRA US Equity</t>
  </si>
  <si>
    <t>Syra Health Corp</t>
  </si>
  <si>
    <t>87168W203</t>
  </si>
  <si>
    <t>BQ2LQM6</t>
  </si>
  <si>
    <t>LXEO US Equity</t>
  </si>
  <si>
    <t>Lexeo Therapeutics Inc</t>
  </si>
  <si>
    <t>52886X107</t>
  </si>
  <si>
    <t>BQ6C357</t>
  </si>
  <si>
    <t>KAPA US Equity</t>
  </si>
  <si>
    <t>Kairos Pharma Ltd</t>
  </si>
  <si>
    <t>48301N104</t>
  </si>
  <si>
    <t>BSLSK86</t>
  </si>
  <si>
    <t>PTHL US Equity</t>
  </si>
  <si>
    <t>Pheton Holdings Ltd</t>
  </si>
  <si>
    <t>BR2QC42</t>
  </si>
  <si>
    <t>WAY US Equity</t>
  </si>
  <si>
    <t>Waystar Holding Corp</t>
  </si>
  <si>
    <t>946784105</t>
  </si>
  <si>
    <t>BSWYNW8</t>
  </si>
  <si>
    <t>CRGX US Equity</t>
  </si>
  <si>
    <t>Cargo Therapeutics Inc</t>
  </si>
  <si>
    <t>14179K101</t>
  </si>
  <si>
    <t>BQHN2F2</t>
  </si>
  <si>
    <t>MURA US Equity</t>
  </si>
  <si>
    <t>Mural Oncology PLC</t>
  </si>
  <si>
    <t>BRJQ8L4</t>
  </si>
  <si>
    <t>TANAF US Equity</t>
  </si>
  <si>
    <t>Tian'an Technology Group Ltd</t>
  </si>
  <si>
    <t>BMG36Z3</t>
  </si>
  <si>
    <t>TELO US Equity</t>
  </si>
  <si>
    <t>Telomir Pharmaceuticals Inc</t>
  </si>
  <si>
    <t>87975F104</t>
  </si>
  <si>
    <t>BPX4WX0</t>
  </si>
  <si>
    <t>FBLG US Equity</t>
  </si>
  <si>
    <t>Fibrobiologics Inc</t>
  </si>
  <si>
    <t>31573L105</t>
  </si>
  <si>
    <t>BPDYYX4</t>
  </si>
  <si>
    <t>IXHL US Equity</t>
  </si>
  <si>
    <t>Incannex Healthcare Inc</t>
  </si>
  <si>
    <t>45333F109</t>
  </si>
  <si>
    <t>BMG9HB4</t>
  </si>
  <si>
    <t>CGON US Equity</t>
  </si>
  <si>
    <t>CG oncology Inc</t>
  </si>
  <si>
    <t>156944100</t>
  </si>
  <si>
    <t>BRBCSP4</t>
  </si>
  <si>
    <t>AVBP US Equity</t>
  </si>
  <si>
    <t>ArriVent Biopharma Inc</t>
  </si>
  <si>
    <t>04272N102</t>
  </si>
  <si>
    <t>BMGTLY5</t>
  </si>
  <si>
    <t>AUNA US Equity</t>
  </si>
  <si>
    <t>Auna SA</t>
  </si>
  <si>
    <t>BPVG1X1</t>
  </si>
  <si>
    <t>PBM US Equity</t>
  </si>
  <si>
    <t>Psyence Biomedical Ltd</t>
  </si>
  <si>
    <t>AMIX US Equity</t>
  </si>
  <si>
    <t>Autonomix Medical Inc</t>
  </si>
  <si>
    <t>ANRO US Equity</t>
  </si>
  <si>
    <t>Alto Neuroscience Inc</t>
  </si>
  <si>
    <t>02157Q109</t>
  </si>
  <si>
    <t>BQWNKK8</t>
  </si>
  <si>
    <t>GUTS US Equity</t>
  </si>
  <si>
    <t>Fractyl Health Inc</t>
  </si>
  <si>
    <t>35168W103</t>
  </si>
  <si>
    <t>BRF2YT6</t>
  </si>
  <si>
    <t>KYTX US Equity</t>
  </si>
  <si>
    <t>Kyverna Therapeutics Inc</t>
  </si>
  <si>
    <t>501976104</t>
  </si>
  <si>
    <t>BSMLR16</t>
  </si>
  <si>
    <t>MGX US Equity</t>
  </si>
  <si>
    <t>Metagenomi Inc</t>
  </si>
  <si>
    <t>59102M104</t>
  </si>
  <si>
    <t>BPSQP43</t>
  </si>
  <si>
    <t>MNDR US Equity</t>
  </si>
  <si>
    <t>Mobile-Health Network Solution</t>
  </si>
  <si>
    <t>BSHSNR0</t>
  </si>
  <si>
    <t>BOLD US Equity</t>
  </si>
  <si>
    <t>Boundless Bio Inc</t>
  </si>
  <si>
    <t>10170A100</t>
  </si>
  <si>
    <t>BRBJGJ5</t>
  </si>
  <si>
    <t>SOLV US Equity</t>
  </si>
  <si>
    <t>Solventum Corp</t>
  </si>
  <si>
    <t>83444M101</t>
  </si>
  <si>
    <t>BMTQB43</t>
  </si>
  <si>
    <t>PACS US Equity</t>
  </si>
  <si>
    <t>PACS Group Inc</t>
  </si>
  <si>
    <t>69380Q107</t>
  </si>
  <si>
    <t>BPW6WD7</t>
  </si>
  <si>
    <t>CTNM US Equity</t>
  </si>
  <si>
    <t>Contineum Therapeutics Inc</t>
  </si>
  <si>
    <t>21217B100</t>
  </si>
  <si>
    <t>BPRBTY7</t>
  </si>
  <si>
    <t>LH US Equity</t>
  </si>
  <si>
    <t>Labcorp Holdings Inc</t>
  </si>
  <si>
    <t>504922105</t>
  </si>
  <si>
    <t>BSBK800</t>
  </si>
  <si>
    <t>INBX US Equity</t>
  </si>
  <si>
    <t>Inhibrx Biosciences Inc</t>
  </si>
  <si>
    <t>45720N103</t>
  </si>
  <si>
    <t>BNSP8K3</t>
  </si>
  <si>
    <t>RAPP US Equity</t>
  </si>
  <si>
    <t>Rapport Therapeutics Inc</t>
  </si>
  <si>
    <t>75383L102</t>
  </si>
  <si>
    <t>BR3T9B6</t>
  </si>
  <si>
    <t>TEM US Equity</t>
  </si>
  <si>
    <t>Tempus AI Inc</t>
  </si>
  <si>
    <t>88023B103</t>
  </si>
  <si>
    <t>BSLSJJ0</t>
  </si>
  <si>
    <t>GRAL US Equity</t>
  </si>
  <si>
    <t>GRAIL Inc</t>
  </si>
  <si>
    <t>384747101</t>
  </si>
  <si>
    <t>BSLSSX7</t>
  </si>
  <si>
    <t>ALMS US Equity</t>
  </si>
  <si>
    <t>Alumis Inc</t>
  </si>
  <si>
    <t>022307102</t>
  </si>
  <si>
    <t>BPLQG36</t>
  </si>
  <si>
    <t>CON US Equity</t>
  </si>
  <si>
    <t>Concentra Group Holdings Paren</t>
  </si>
  <si>
    <t>20603L102</t>
  </si>
  <si>
    <t>BSWW195</t>
  </si>
  <si>
    <t>ACTU US Equity</t>
  </si>
  <si>
    <t>Actuate Therapeutics Inc</t>
  </si>
  <si>
    <t>005083100</t>
  </si>
  <si>
    <t>BPLQD35</t>
  </si>
  <si>
    <t>ADGM US Equity</t>
  </si>
  <si>
    <t>Adagio Medical Holdings Inc</t>
  </si>
  <si>
    <t>00534B100</t>
  </si>
  <si>
    <t>BRJGQT8</t>
  </si>
  <si>
    <t>SLXN US Equity</t>
  </si>
  <si>
    <t>Silexion Therapeutics Corp</t>
  </si>
  <si>
    <t>ZBIO US Equity</t>
  </si>
  <si>
    <t>Zenas Biopharma Inc</t>
  </si>
  <si>
    <t>98937L105</t>
  </si>
  <si>
    <t>BQB42H3</t>
  </si>
  <si>
    <t>MBX US Equity</t>
  </si>
  <si>
    <t>MBX Biosciences Inc</t>
  </si>
  <si>
    <t>55287L101</t>
  </si>
  <si>
    <t>BQXJKH2</t>
  </si>
  <si>
    <t>BCAX US Equity</t>
  </si>
  <si>
    <t>Bicara Therapeutics Inc</t>
  </si>
  <si>
    <t>055477103</t>
  </si>
  <si>
    <t>BQB42F1</t>
  </si>
  <si>
    <t>BIOA US Equity</t>
  </si>
  <si>
    <t>BioAge Labs Inc</t>
  </si>
  <si>
    <t>09077V100</t>
  </si>
  <si>
    <t>BT9K6D8</t>
  </si>
  <si>
    <t>THC CN Equity</t>
  </si>
  <si>
    <t>THC Biomed INTL. Ltd</t>
  </si>
  <si>
    <t>CAD</t>
  </si>
  <si>
    <t>87243W103</t>
  </si>
  <si>
    <t>BVGH584</t>
  </si>
  <si>
    <t>XLY CN Equity</t>
  </si>
  <si>
    <t>Auxly Cannabis Group Inc</t>
  </si>
  <si>
    <t>05335P109</t>
  </si>
  <si>
    <t>BDGMQB3</t>
  </si>
  <si>
    <t>HLS CN Equity</t>
  </si>
  <si>
    <t>HLS Therapeutics Inc</t>
  </si>
  <si>
    <t>40390B109</t>
  </si>
  <si>
    <t>BFMDF39</t>
  </si>
  <si>
    <t>DB CN Equity</t>
  </si>
  <si>
    <t>Decibel Cannabis Co Inc</t>
  </si>
  <si>
    <t>243437100</t>
  </si>
  <si>
    <t>BLG58N4</t>
  </si>
  <si>
    <t>RTI/H CN Equity</t>
  </si>
  <si>
    <t>Radient Technologies Inc</t>
  </si>
  <si>
    <t>75034P106</t>
  </si>
  <si>
    <t>BN60D49</t>
  </si>
  <si>
    <t>XCX CN Equity</t>
  </si>
  <si>
    <t>Greenrise Global Brands Inc</t>
  </si>
  <si>
    <t>39540L108</t>
  </si>
  <si>
    <t>BKP3CQ3</t>
  </si>
  <si>
    <t>CPH CN Equity</t>
  </si>
  <si>
    <t>Cipher Pharmaceuticals Inc</t>
  </si>
  <si>
    <t>17253X105</t>
  </si>
  <si>
    <t>2417567</t>
  </si>
  <si>
    <t>FRX CN Equity</t>
  </si>
  <si>
    <t>Fennec Pharmaceuticals Inc</t>
  </si>
  <si>
    <t>31447P100</t>
  </si>
  <si>
    <t>BQQLKZ3</t>
  </si>
  <si>
    <t>MBX CN Equity</t>
  </si>
  <si>
    <t>Microbix Biosystems Inc</t>
  </si>
  <si>
    <t>59501P104</t>
  </si>
  <si>
    <t>2587738</t>
  </si>
  <si>
    <t>HBP CN Equity</t>
  </si>
  <si>
    <t>Helix BioPharma Corp</t>
  </si>
  <si>
    <t>422910208</t>
  </si>
  <si>
    <t>BSLSL94</t>
  </si>
  <si>
    <t>ZYUS CN Equity</t>
  </si>
  <si>
    <t>ZYUS Life Sciences Corp</t>
  </si>
  <si>
    <t>989960109</t>
  </si>
  <si>
    <t>BQ80GG1</t>
  </si>
  <si>
    <t>APC/H CN Equity</t>
  </si>
  <si>
    <t>Advanced Proteome Therapeutics</t>
  </si>
  <si>
    <t>007628209</t>
  </si>
  <si>
    <t>BJXM0M7</t>
  </si>
  <si>
    <t>TLT CN Equity</t>
  </si>
  <si>
    <t>Theralase Technologies Inc</t>
  </si>
  <si>
    <t>88337V100</t>
  </si>
  <si>
    <t>2447973</t>
  </si>
  <si>
    <t>IDL CN Equity</t>
  </si>
  <si>
    <t>Imaging Dynamics Co Ltd</t>
  </si>
  <si>
    <t>451920508</t>
  </si>
  <si>
    <t>BPBPKK8</t>
  </si>
  <si>
    <t>RX CN Equity</t>
  </si>
  <si>
    <t>BioSyent Inc</t>
  </si>
  <si>
    <t>090690108</t>
  </si>
  <si>
    <t>2418247</t>
  </si>
  <si>
    <t>MPH CN Equity</t>
  </si>
  <si>
    <t>Medicure Inc</t>
  </si>
  <si>
    <t>58469E408</t>
  </si>
  <si>
    <t>B84GTN5</t>
  </si>
  <si>
    <t>MLCL CN Equity</t>
  </si>
  <si>
    <t>Molecule Holdings Inc</t>
  </si>
  <si>
    <t>60855E109</t>
  </si>
  <si>
    <t>BMT6SB9</t>
  </si>
  <si>
    <t>ZMD/H CN Equity</t>
  </si>
  <si>
    <t>ZoomMed Inc</t>
  </si>
  <si>
    <t>98977R103</t>
  </si>
  <si>
    <t>B09KWD7</t>
  </si>
  <si>
    <t>MGW CN Equity</t>
  </si>
  <si>
    <t>Maple Leaf Green World Inc</t>
  </si>
  <si>
    <t>565297306</t>
  </si>
  <si>
    <t>BPH0557</t>
  </si>
  <si>
    <t>WLLW CN Equity</t>
  </si>
  <si>
    <t>Willow Biosciences Inc</t>
  </si>
  <si>
    <t>97111B404</t>
  </si>
  <si>
    <t>BFZ9D18</t>
  </si>
  <si>
    <t>PINK CN Equity</t>
  </si>
  <si>
    <t>Perimeter Medical Imaging AI I</t>
  </si>
  <si>
    <t>71385D107</t>
  </si>
  <si>
    <t>BMTC732</t>
  </si>
  <si>
    <t>MSCL CN Equity</t>
  </si>
  <si>
    <t>Satellos Bioscience Inc</t>
  </si>
  <si>
    <t>80401L308</t>
  </si>
  <si>
    <t>BMD34Y1</t>
  </si>
  <si>
    <t>VREO CN Equity</t>
  </si>
  <si>
    <t>Vireo Growth Inc</t>
  </si>
  <si>
    <t>92767B105</t>
  </si>
  <si>
    <t>BMZCF43</t>
  </si>
  <si>
    <t>MBI/H CN Equity</t>
  </si>
  <si>
    <t>Many Bright Ideas Technologies</t>
  </si>
  <si>
    <t>565085107</t>
  </si>
  <si>
    <t>BP6CKT3</t>
  </si>
  <si>
    <t>SCYB CN Equity</t>
  </si>
  <si>
    <t>Scryb Inc</t>
  </si>
  <si>
    <t>81111V107</t>
  </si>
  <si>
    <t>BLDBDS5</t>
  </si>
  <si>
    <t>CPTR CN Equity</t>
  </si>
  <si>
    <t>Captor Capital Corp</t>
  </si>
  <si>
    <t>14075H301</t>
  </si>
  <si>
    <t>BSF1R91</t>
  </si>
  <si>
    <t>FFNT CN Equity</t>
  </si>
  <si>
    <t>4Front Ventures Corp</t>
  </si>
  <si>
    <t>35086B207</t>
  </si>
  <si>
    <t>BKFGXB4</t>
  </si>
  <si>
    <t>NSHS CN Equity</t>
  </si>
  <si>
    <t>NanoSphere Health Sciences Inc</t>
  </si>
  <si>
    <t>63010P209</t>
  </si>
  <si>
    <t>BNYFRQ6</t>
  </si>
  <si>
    <t>HERB CN Equity</t>
  </si>
  <si>
    <t>Herbal Dispatch Inc</t>
  </si>
  <si>
    <t>42704B205</t>
  </si>
  <si>
    <t>BLD6ZH3</t>
  </si>
  <si>
    <t>MTLC CN Equity</t>
  </si>
  <si>
    <t>MTL Cannabis Corp</t>
  </si>
  <si>
    <t>553926106</t>
  </si>
  <si>
    <t>BQC4SC9</t>
  </si>
  <si>
    <t>KNE CN Equity</t>
  </si>
  <si>
    <t>Kane Biotech Inc</t>
  </si>
  <si>
    <t>483809208</t>
  </si>
  <si>
    <t>BYQJP25</t>
  </si>
  <si>
    <t>ADK CN Equity</t>
  </si>
  <si>
    <t>DIAGNOS Inc/Canada</t>
  </si>
  <si>
    <t>252442306</t>
  </si>
  <si>
    <t>BJHG3F9</t>
  </si>
  <si>
    <t>QIPT CN Equity</t>
  </si>
  <si>
    <t>Quipt Home Medical Corp</t>
  </si>
  <si>
    <t>74880P104</t>
  </si>
  <si>
    <t>BKVKJX4</t>
  </si>
  <si>
    <t>RVX CN Equity</t>
  </si>
  <si>
    <t>Resverlogix Corp</t>
  </si>
  <si>
    <t>76128M108</t>
  </si>
  <si>
    <t>2805173</t>
  </si>
  <si>
    <t>ACB CN Equity</t>
  </si>
  <si>
    <t>Aurora Cannabis Inc</t>
  </si>
  <si>
    <t>05156X850</t>
  </si>
  <si>
    <t>BSNWSY8</t>
  </si>
  <si>
    <t>CURE/X CN Equity</t>
  </si>
  <si>
    <t>Biocure Technology Inc</t>
  </si>
  <si>
    <t>OKAI CN Equity</t>
  </si>
  <si>
    <t>EvokAI Creative Labs Inc</t>
  </si>
  <si>
    <t>COOL CN Equity</t>
  </si>
  <si>
    <t>Core One Labs Inc</t>
  </si>
  <si>
    <t>21872J307</t>
  </si>
  <si>
    <t>BNW0008</t>
  </si>
  <si>
    <t>VER/H CN Equity</t>
  </si>
  <si>
    <t>Verisante Technology Inc</t>
  </si>
  <si>
    <t>92346G203</t>
  </si>
  <si>
    <t>BP4C716</t>
  </si>
  <si>
    <t>WEED CN Equity</t>
  </si>
  <si>
    <t>Canopy Growth Corp</t>
  </si>
  <si>
    <t>138035704</t>
  </si>
  <si>
    <t>BR1G4F8</t>
  </si>
  <si>
    <t>SBM CN Equity</t>
  </si>
  <si>
    <t>Sirona Biochem Corp</t>
  </si>
  <si>
    <t>82967M100</t>
  </si>
  <si>
    <t>B235TT7</t>
  </si>
  <si>
    <t>LOWL CN Equity</t>
  </si>
  <si>
    <t>Lowell Farms Inc</t>
  </si>
  <si>
    <t>547572206</t>
  </si>
  <si>
    <t>BR85395</t>
  </si>
  <si>
    <t>SONA CN Equity</t>
  </si>
  <si>
    <t>Sona Nanotech Inc</t>
  </si>
  <si>
    <t>83541C105</t>
  </si>
  <si>
    <t>BF39VM7</t>
  </si>
  <si>
    <t>CXXI CN Equity</t>
  </si>
  <si>
    <t>C21 Investments Inc</t>
  </si>
  <si>
    <t>12675Q101</t>
  </si>
  <si>
    <t>BF6MQ62</t>
  </si>
  <si>
    <t>NDVA/H CN Equity</t>
  </si>
  <si>
    <t>Indiva Ltd</t>
  </si>
  <si>
    <t>45580J101</t>
  </si>
  <si>
    <t>BF29797</t>
  </si>
  <si>
    <t>THRM CN Equity</t>
  </si>
  <si>
    <t>Therma Bright Inc</t>
  </si>
  <si>
    <t>883426108</t>
  </si>
  <si>
    <t>BFWZ892</t>
  </si>
  <si>
    <t>MDX CN Equity</t>
  </si>
  <si>
    <t>MedX Health Corp</t>
  </si>
  <si>
    <t>585090103</t>
  </si>
  <si>
    <t>B29VZW4</t>
  </si>
  <si>
    <t>EXE CN Equity</t>
  </si>
  <si>
    <t>Extendicare Inc</t>
  </si>
  <si>
    <t>30224T863</t>
  </si>
  <si>
    <t>B86RZZ0</t>
  </si>
  <si>
    <t>CVGR CN Equity</t>
  </si>
  <si>
    <t>City View Green Holdings Inc</t>
  </si>
  <si>
    <t>178718102</t>
  </si>
  <si>
    <t>BJ5HZN6</t>
  </si>
  <si>
    <t>GTII CN Equity</t>
  </si>
  <si>
    <t>Green Thumb Industries Inc</t>
  </si>
  <si>
    <t>39342L108</t>
  </si>
  <si>
    <t>BGDQBQ9</t>
  </si>
  <si>
    <t>NUMI CN Equity</t>
  </si>
  <si>
    <t>Numinus Wellness Inc</t>
  </si>
  <si>
    <t>67054W103</t>
  </si>
  <si>
    <t>BM95935</t>
  </si>
  <si>
    <t>EKG CN Equity</t>
  </si>
  <si>
    <t>CardioComm Solutions Inc</t>
  </si>
  <si>
    <t>14159N208</t>
  </si>
  <si>
    <t>2320654</t>
  </si>
  <si>
    <t>ARC CN Equity</t>
  </si>
  <si>
    <t>ARCpoint Inc</t>
  </si>
  <si>
    <t>03966D107</t>
  </si>
  <si>
    <t>BQGFB85</t>
  </si>
  <si>
    <t>QPT CN Equity</t>
  </si>
  <si>
    <t>Quest PharmaTech Inc</t>
  </si>
  <si>
    <t>74836M106</t>
  </si>
  <si>
    <t>2086332</t>
  </si>
  <si>
    <t>SVA CN Equity</t>
  </si>
  <si>
    <t>TGIF CN Equity</t>
  </si>
  <si>
    <t>1933 Industries Inc</t>
  </si>
  <si>
    <t>65442F105</t>
  </si>
  <si>
    <t>BFYKKQ6</t>
  </si>
  <si>
    <t>MDP CN Equity</t>
  </si>
  <si>
    <t>Medexus Pharmaceuticals Inc</t>
  </si>
  <si>
    <t>58410Q203</t>
  </si>
  <si>
    <t>BHPRBZ6</t>
  </si>
  <si>
    <t>AVCR CN Equity</t>
  </si>
  <si>
    <t>Avricore Health Inc</t>
  </si>
  <si>
    <t>054521109</t>
  </si>
  <si>
    <t>BGMDFZ8</t>
  </si>
  <si>
    <t>APS CN Equity</t>
  </si>
  <si>
    <t>Aptose Biosciences Inc</t>
  </si>
  <si>
    <t>03835T309</t>
  </si>
  <si>
    <t>BQB9ZP7</t>
  </si>
  <si>
    <t>MIR CN Equity</t>
  </si>
  <si>
    <t>MedMira Inc</t>
  </si>
  <si>
    <t>58501R102</t>
  </si>
  <si>
    <t>2526399</t>
  </si>
  <si>
    <t>TH CN Equity</t>
  </si>
  <si>
    <t>Theratechnologies Inc</t>
  </si>
  <si>
    <t>88338H704</t>
  </si>
  <si>
    <t>BNXJJK7</t>
  </si>
  <si>
    <t>SZLS CN Equity</t>
  </si>
  <si>
    <t>StageZero Life Sciences Ltd</t>
  </si>
  <si>
    <t>852540301</t>
  </si>
  <si>
    <t>BMC5385</t>
  </si>
  <si>
    <t>SIA CN Equity</t>
  </si>
  <si>
    <t>Sienna Senior Living Inc</t>
  </si>
  <si>
    <t>82621K102</t>
  </si>
  <si>
    <t>BWTYXH4</t>
  </si>
  <si>
    <t>CSH-U CN Equity</t>
  </si>
  <si>
    <t>Chartwell Retirement Residence</t>
  </si>
  <si>
    <t>16141A103</t>
  </si>
  <si>
    <t>B8S8C94</t>
  </si>
  <si>
    <t>DR CN Equity</t>
  </si>
  <si>
    <t>Medical Facilities Corp</t>
  </si>
  <si>
    <t>58457V503</t>
  </si>
  <si>
    <t>B4NPRQ4</t>
  </si>
  <si>
    <t>BLAB CN Equity</t>
  </si>
  <si>
    <t>Britannia Life Sciences Inc</t>
  </si>
  <si>
    <t>11042D108</t>
  </si>
  <si>
    <t>BN472X4</t>
  </si>
  <si>
    <t>IOT CN Equity</t>
  </si>
  <si>
    <t>Innovotech Inc</t>
  </si>
  <si>
    <t>45772U104</t>
  </si>
  <si>
    <t>2699666</t>
  </si>
  <si>
    <t>COV CN Equity</t>
  </si>
  <si>
    <t>Covalon Technologies Ltd</t>
  </si>
  <si>
    <t>22282D302</t>
  </si>
  <si>
    <t>BCCWFN5</t>
  </si>
  <si>
    <t>ZEN CN Equity</t>
  </si>
  <si>
    <t>Zentek Ltd</t>
  </si>
  <si>
    <t>98942X102</t>
  </si>
  <si>
    <t>BNTXQV3</t>
  </si>
  <si>
    <t>VPT CN Equity</t>
  </si>
  <si>
    <t>VentriPoint Diagnostics Ltd</t>
  </si>
  <si>
    <t>92281P200</t>
  </si>
  <si>
    <t>BYWCCV6</t>
  </si>
  <si>
    <t>ONC CN Equity</t>
  </si>
  <si>
    <t>Oncolytics Biotech Inc</t>
  </si>
  <si>
    <t>682310875</t>
  </si>
  <si>
    <t>BG4R989</t>
  </si>
  <si>
    <t>KDA CN Equity</t>
  </si>
  <si>
    <t>KDA Group Inc</t>
  </si>
  <si>
    <t>48669F107</t>
  </si>
  <si>
    <t>BD7Y5Z5</t>
  </si>
  <si>
    <t>IME CN Equity</t>
  </si>
  <si>
    <t>Imagin Medical Inc</t>
  </si>
  <si>
    <t>45250L204</t>
  </si>
  <si>
    <t>BLNBS13</t>
  </si>
  <si>
    <t>VXL CN Equity</t>
  </si>
  <si>
    <t>Vaxil Bio Ltd</t>
  </si>
  <si>
    <t>92243L107</t>
  </si>
  <si>
    <t>BDCN2F6</t>
  </si>
  <si>
    <t>BHC CN Equity</t>
  </si>
  <si>
    <t>Bausch Health Cos Inc</t>
  </si>
  <si>
    <t>071734107</t>
  </si>
  <si>
    <t>BFFY852</t>
  </si>
  <si>
    <t>CSCI CN Equity</t>
  </si>
  <si>
    <t>COSCIENS Biopharma Inc</t>
  </si>
  <si>
    <t>22112H101</t>
  </si>
  <si>
    <t>BT3NFS1</t>
  </si>
  <si>
    <t>WIB CN Equity</t>
  </si>
  <si>
    <t>West Island Brands Inc</t>
  </si>
  <si>
    <t>953400108</t>
  </si>
  <si>
    <t>BMD1TD9</t>
  </si>
  <si>
    <t>JUSH CN Equity</t>
  </si>
  <si>
    <t>Jushi Holdings Inc</t>
  </si>
  <si>
    <t>48213Y107</t>
  </si>
  <si>
    <t>BKDJWP2</t>
  </si>
  <si>
    <t>EPIC CN Equity</t>
  </si>
  <si>
    <t>1CM Inc</t>
  </si>
  <si>
    <t>68237A109</t>
  </si>
  <si>
    <t>BP7MV88</t>
  </si>
  <si>
    <t>ARCH CN Equity</t>
  </si>
  <si>
    <t>Arch Biopartners Inc</t>
  </si>
  <si>
    <t>03938C104</t>
  </si>
  <si>
    <t>2187912</t>
  </si>
  <si>
    <t>BCT CN Equity</t>
  </si>
  <si>
    <t>BriaCell Therapeutics Corp</t>
  </si>
  <si>
    <t>EDT CN Equity</t>
  </si>
  <si>
    <t>Spectral Medical Inc</t>
  </si>
  <si>
    <t>847577103</t>
  </si>
  <si>
    <t>BTZJ6C8</t>
  </si>
  <si>
    <t>OGI CN Equity</t>
  </si>
  <si>
    <t>Organigram Holdings Inc</t>
  </si>
  <si>
    <t>68620P705</t>
  </si>
  <si>
    <t>BRBP325</t>
  </si>
  <si>
    <t>DHB CN Equity</t>
  </si>
  <si>
    <t>Delivra Health Brands Inc</t>
  </si>
  <si>
    <t>24703H102</t>
  </si>
  <si>
    <t>BMD4WH3</t>
  </si>
  <si>
    <t>TELO CN Equity</t>
  </si>
  <si>
    <t>Telo Genomics Corp</t>
  </si>
  <si>
    <t>87975M208</t>
  </si>
  <si>
    <t>BJP58Q4</t>
  </si>
  <si>
    <t>VIBE CN Equity</t>
  </si>
  <si>
    <t>Vibe Growth Corp</t>
  </si>
  <si>
    <t>92556L405</t>
  </si>
  <si>
    <t>BNNRM24</t>
  </si>
  <si>
    <t>VISN/H CN Equity</t>
  </si>
  <si>
    <t>Binovi Technologies Corp</t>
  </si>
  <si>
    <t>09076N208</t>
  </si>
  <si>
    <t>BMV6Y19</t>
  </si>
  <si>
    <t>WELL CN Equity</t>
  </si>
  <si>
    <t>Well Health Technologies Corp</t>
  </si>
  <si>
    <t>94947L102</t>
  </si>
  <si>
    <t>BF1H8W2</t>
  </si>
  <si>
    <t>SOL CN Equity</t>
  </si>
  <si>
    <t>SOL Global Investments Corp</t>
  </si>
  <si>
    <t>78471G100</t>
  </si>
  <si>
    <t>BGY45X7</t>
  </si>
  <si>
    <t>KHRN/H CN Equity</t>
  </si>
  <si>
    <t>Khiron Life Sciences Corp</t>
  </si>
  <si>
    <t>49374L306</t>
  </si>
  <si>
    <t>BDGH0L6</t>
  </si>
  <si>
    <t>HEM CN Equity</t>
  </si>
  <si>
    <t>Hemostemix Inc</t>
  </si>
  <si>
    <t>423694306</t>
  </si>
  <si>
    <t>BLGZQH4</t>
  </si>
  <si>
    <t>RP CN Equity</t>
  </si>
  <si>
    <t>RepliCel Life Sciences Inc</t>
  </si>
  <si>
    <t>76027P400</t>
  </si>
  <si>
    <t>BD381M0</t>
  </si>
  <si>
    <t>AVNT CN Equity</t>
  </si>
  <si>
    <t>Avant Brands Inc</t>
  </si>
  <si>
    <t>05353D202</t>
  </si>
  <si>
    <t>BSY4X37</t>
  </si>
  <si>
    <t>CALI/X CN Equity</t>
  </si>
  <si>
    <t>FinCanna Capital Corp</t>
  </si>
  <si>
    <t>31773B501</t>
  </si>
  <si>
    <t>BMH43Y3</t>
  </si>
  <si>
    <t>NLTA/H CN Equity</t>
  </si>
  <si>
    <t>Enlighta Inc</t>
  </si>
  <si>
    <t>BK6S8P8</t>
  </si>
  <si>
    <t>MJRX CN Equity</t>
  </si>
  <si>
    <t>Global Health Clinics Ltd</t>
  </si>
  <si>
    <t>37958W301</t>
  </si>
  <si>
    <t>BP6RPS2</t>
  </si>
  <si>
    <t>RVV CN Equity</t>
  </si>
  <si>
    <t>Revive Therapeutics Ltd</t>
  </si>
  <si>
    <t>761516103</t>
  </si>
  <si>
    <t>BHZLVZ8</t>
  </si>
  <si>
    <t>ASG CN Equity</t>
  </si>
  <si>
    <t>Aurora Spine Corp</t>
  </si>
  <si>
    <t>05206X108</t>
  </si>
  <si>
    <t>BDS5449</t>
  </si>
  <si>
    <t>EVMT CN Equity</t>
  </si>
  <si>
    <t>Evome Medical Technologies Inc</t>
  </si>
  <si>
    <t>30053H105</t>
  </si>
  <si>
    <t>BRBCTH3</t>
  </si>
  <si>
    <t>GUD CN Equity</t>
  </si>
  <si>
    <t>Knight Therapeutics Inc</t>
  </si>
  <si>
    <t>499053106</t>
  </si>
  <si>
    <t>BK6WN77</t>
  </si>
  <si>
    <t>KSI CN Equity</t>
  </si>
  <si>
    <t>kneat.com inc</t>
  </si>
  <si>
    <t>498824101</t>
  </si>
  <si>
    <t>BD07CM7</t>
  </si>
  <si>
    <t>EBM CN Equity</t>
  </si>
  <si>
    <t>Eastwood Bio-Medical Canada In</t>
  </si>
  <si>
    <t>27783W105</t>
  </si>
  <si>
    <t>BQR7XL7</t>
  </si>
  <si>
    <t>BBM CN Equity</t>
  </si>
  <si>
    <t>Blueberries Medical Corp</t>
  </si>
  <si>
    <t>09609Y101</t>
  </si>
  <si>
    <t>BJHN0L5</t>
  </si>
  <si>
    <t>GSD CN Equity</t>
  </si>
  <si>
    <t>Devonian Health Group Inc</t>
  </si>
  <si>
    <t>CRON CN Equity</t>
  </si>
  <si>
    <t>Cronos Group Inc</t>
  </si>
  <si>
    <t>22717L101</t>
  </si>
  <si>
    <t>BF01YS3</t>
  </si>
  <si>
    <t>BIO CN Equity</t>
  </si>
  <si>
    <t>Biome Grow Inc</t>
  </si>
  <si>
    <t>09075M102</t>
  </si>
  <si>
    <t>BF2L696</t>
  </si>
  <si>
    <t>MYCO CN Equity</t>
  </si>
  <si>
    <t>Mydecine Innovations Group Inc</t>
  </si>
  <si>
    <t>62849F200</t>
  </si>
  <si>
    <t>BP94VK4</t>
  </si>
  <si>
    <t>ENTG CN Equity</t>
  </si>
  <si>
    <t>Entourage Health Corp</t>
  </si>
  <si>
    <t>293861100</t>
  </si>
  <si>
    <t>BNTZ8B3</t>
  </si>
  <si>
    <t>PRN CN Equity</t>
  </si>
  <si>
    <t>Profound Medical Corp</t>
  </si>
  <si>
    <t>74319B502</t>
  </si>
  <si>
    <t>BJ9MFX7</t>
  </si>
  <si>
    <t>MJ CN Equity</t>
  </si>
  <si>
    <t>Maven Brands Inc</t>
  </si>
  <si>
    <t>57768L105</t>
  </si>
  <si>
    <t>BP94TW2</t>
  </si>
  <si>
    <t>AQS CN Equity</t>
  </si>
  <si>
    <t>Aequus Pharmaceuticals Inc</t>
  </si>
  <si>
    <t>007636103</t>
  </si>
  <si>
    <t>BWDBWZ2</t>
  </si>
  <si>
    <t>VHI CN Equity</t>
  </si>
  <si>
    <t>Vitalhub Corp</t>
  </si>
  <si>
    <t>92847V501</t>
  </si>
  <si>
    <t>BL5M4N8</t>
  </si>
  <si>
    <t>CTX CN Equity</t>
  </si>
  <si>
    <t>Crescita Therapeutics Inc</t>
  </si>
  <si>
    <t>225847102</t>
  </si>
  <si>
    <t>BYT2BW3</t>
  </si>
  <si>
    <t>MDNA CN Equity</t>
  </si>
  <si>
    <t>Medicenna Therapeutics Corp</t>
  </si>
  <si>
    <t>58490H107</t>
  </si>
  <si>
    <t>BF08224</t>
  </si>
  <si>
    <t>XRTX CN Equity</t>
  </si>
  <si>
    <t>XORTX Therapeutics Inc</t>
  </si>
  <si>
    <t>98420Q306</t>
  </si>
  <si>
    <t>BMG3880</t>
  </si>
  <si>
    <t>CURA CN Equity</t>
  </si>
  <si>
    <t>Curaleaf Holdings Inc</t>
  </si>
  <si>
    <t>23126M102</t>
  </si>
  <si>
    <t>BGY45Y8</t>
  </si>
  <si>
    <t>SPR CN Equity</t>
  </si>
  <si>
    <t>Sproutly Canada Inc</t>
  </si>
  <si>
    <t>85209J108</t>
  </si>
  <si>
    <t>BDVLRX4</t>
  </si>
  <si>
    <t>NLH CN Equity</t>
  </si>
  <si>
    <t>Nova Leap Health Corp</t>
  </si>
  <si>
    <t>66980G109</t>
  </si>
  <si>
    <t>BDHC4J6</t>
  </si>
  <si>
    <t>IAN CN Equity</t>
  </si>
  <si>
    <t>iAnthus Capital Holdings Inc</t>
  </si>
  <si>
    <t>45074T102</t>
  </si>
  <si>
    <t>BD1R602</t>
  </si>
  <si>
    <t>CANB CN Equity</t>
  </si>
  <si>
    <t>CanadaBis Capital Inc</t>
  </si>
  <si>
    <t>13530Q104</t>
  </si>
  <si>
    <t>BZ1J9H0</t>
  </si>
  <si>
    <t>NSCI CN Equity</t>
  </si>
  <si>
    <t>Nanalysis Scientific Corp</t>
  </si>
  <si>
    <t>63000Y103</t>
  </si>
  <si>
    <t>BJFY9C4</t>
  </si>
  <si>
    <t>TSND CN Equity</t>
  </si>
  <si>
    <t>TerrAscend Corp</t>
  </si>
  <si>
    <t>88105E108</t>
  </si>
  <si>
    <t>BDG1S25</t>
  </si>
  <si>
    <t>OILS CN Equity</t>
  </si>
  <si>
    <t>Nextleaf Solutions Ltd</t>
  </si>
  <si>
    <t>65347A102</t>
  </si>
  <si>
    <t>BJ2CHP0</t>
  </si>
  <si>
    <t>JNH CN Equity</t>
  </si>
  <si>
    <t>Jack Nathan Medical Corp</t>
  </si>
  <si>
    <t>466377108</t>
  </si>
  <si>
    <t>BMQBP94</t>
  </si>
  <si>
    <t>CYBN CN Equity</t>
  </si>
  <si>
    <t>Cybin Inc</t>
  </si>
  <si>
    <t>23256X407</t>
  </si>
  <si>
    <t>BP6SP07</t>
  </si>
  <si>
    <t>PHA CN Equity</t>
  </si>
  <si>
    <t>Premier Health of America Inc</t>
  </si>
  <si>
    <t>74052G106</t>
  </si>
  <si>
    <t>BKBPWZ2</t>
  </si>
  <si>
    <t>WAVE CN Equity</t>
  </si>
  <si>
    <t>Waverley Pharma Inc</t>
  </si>
  <si>
    <t>94357L105</t>
  </si>
  <si>
    <t>BD6JB97</t>
  </si>
  <si>
    <t>PCLO CN Equity</t>
  </si>
  <si>
    <t>PharmaCielo Ltd</t>
  </si>
  <si>
    <t>71716K101</t>
  </si>
  <si>
    <t>BH4KPJ8</t>
  </si>
  <si>
    <t>BETR CN Equity</t>
  </si>
  <si>
    <t>BetterLife Pharma Inc</t>
  </si>
  <si>
    <t>08772P202</t>
  </si>
  <si>
    <t>BM9G983</t>
  </si>
  <si>
    <t>AYR/A CN Equity</t>
  </si>
  <si>
    <t>Ayr Wellness Inc</t>
  </si>
  <si>
    <t>05475P109</t>
  </si>
  <si>
    <t>BNNQQ29</t>
  </si>
  <si>
    <t>LABS CN Equity</t>
  </si>
  <si>
    <t>MediPharm Labs Corp</t>
  </si>
  <si>
    <t>58504D100</t>
  </si>
  <si>
    <t>BG87WT7</t>
  </si>
  <si>
    <t>STHZ CN Equity</t>
  </si>
  <si>
    <t>StateHouse Holdings Inc</t>
  </si>
  <si>
    <t>85754G301</t>
  </si>
  <si>
    <t>BLBM4V0</t>
  </si>
  <si>
    <t>OTC CN Equity</t>
  </si>
  <si>
    <t>Ocumetics Technology Corp</t>
  </si>
  <si>
    <t>67577H104</t>
  </si>
  <si>
    <t>BLH1068</t>
  </si>
  <si>
    <t>QNTM CN Equity</t>
  </si>
  <si>
    <t>Quantum BioPharma Ltd</t>
  </si>
  <si>
    <t>74764Y205</t>
  </si>
  <si>
    <t>BRXCYT8</t>
  </si>
  <si>
    <t>PLTH CN Equity</t>
  </si>
  <si>
    <t>Planet 13 Holdings Inc</t>
  </si>
  <si>
    <t>72707C108</t>
  </si>
  <si>
    <t>BR53N92</t>
  </si>
  <si>
    <t>AUSA CN Equity</t>
  </si>
  <si>
    <t>Australis Capital Inc</t>
  </si>
  <si>
    <t>05259R107</t>
  </si>
  <si>
    <t>BDDR912</t>
  </si>
  <si>
    <t>CWEB CN Equity</t>
  </si>
  <si>
    <t>Charlottes Web Holdings Inc</t>
  </si>
  <si>
    <t>16106R109</t>
  </si>
  <si>
    <t>BGHY2B1</t>
  </si>
  <si>
    <t>SBBC CN Equity</t>
  </si>
  <si>
    <t>Simply Better Brands Corp</t>
  </si>
  <si>
    <t>82888R105</t>
  </si>
  <si>
    <t>BMY0HJ7</t>
  </si>
  <si>
    <t>CHS CN Equity</t>
  </si>
  <si>
    <t>Comprehensive Healthcare Syste</t>
  </si>
  <si>
    <t>204663108</t>
  </si>
  <si>
    <t>BLDB965</t>
  </si>
  <si>
    <t>CRDL CN Equity</t>
  </si>
  <si>
    <t>Cardiol Therapeutics Inc</t>
  </si>
  <si>
    <t>14161Y200</t>
  </si>
  <si>
    <t>BHZT969</t>
  </si>
  <si>
    <t>TRUL CN Equity</t>
  </si>
  <si>
    <t>Trulieve Cannabis Corp</t>
  </si>
  <si>
    <t>89788C104</t>
  </si>
  <si>
    <t>BFZ0292</t>
  </si>
  <si>
    <t>ROMJ CN Equity</t>
  </si>
  <si>
    <t>Rubicon Organics Inc</t>
  </si>
  <si>
    <t>78112W100</t>
  </si>
  <si>
    <t>BGPF6G9</t>
  </si>
  <si>
    <t>HITI CN Equity</t>
  </si>
  <si>
    <t>High Tide Inc</t>
  </si>
  <si>
    <t>42981E401</t>
  </si>
  <si>
    <t>BMCPKP1</t>
  </si>
  <si>
    <t>NGEN CN Equity</t>
  </si>
  <si>
    <t>NervGen Pharma Corp</t>
  </si>
  <si>
    <t>64082X203</t>
  </si>
  <si>
    <t>BJ1G689</t>
  </si>
  <si>
    <t>CL CN Equity</t>
  </si>
  <si>
    <t>Cresco Labs Inc</t>
  </si>
  <si>
    <t>22587M106</t>
  </si>
  <si>
    <t>BGPVCY7</t>
  </si>
  <si>
    <t>TILT CN Equity</t>
  </si>
  <si>
    <t>TILT Holdings Inc</t>
  </si>
  <si>
    <t>88688R104</t>
  </si>
  <si>
    <t>BG4TSZ5</t>
  </si>
  <si>
    <t>TCAN CN Equity</t>
  </si>
  <si>
    <t>TransCanna Holdings Inc</t>
  </si>
  <si>
    <t>89356V104</t>
  </si>
  <si>
    <t>BH42K77</t>
  </si>
  <si>
    <t>AVCN CN Equity</t>
  </si>
  <si>
    <t>Avicanna Inc</t>
  </si>
  <si>
    <t>05368K100</t>
  </si>
  <si>
    <t>BK9WD30</t>
  </si>
  <si>
    <t>CBST CN Equity</t>
  </si>
  <si>
    <t>Cannabist Co Holdings Inc/The</t>
  </si>
  <si>
    <t>13765Y103</t>
  </si>
  <si>
    <t>BMCMR28</t>
  </si>
  <si>
    <t>VEXT CN Equity</t>
  </si>
  <si>
    <t>Vext Science Inc</t>
  </si>
  <si>
    <t>925540106</t>
  </si>
  <si>
    <t>BKF9807</t>
  </si>
  <si>
    <t>INNO CN Equity</t>
  </si>
  <si>
    <t>InnoCan Pharma Corp</t>
  </si>
  <si>
    <t>45783P102</t>
  </si>
  <si>
    <t>BKRT2N6</t>
  </si>
  <si>
    <t>APLI CN Equity</t>
  </si>
  <si>
    <t>Appili Therapeutics Inc</t>
  </si>
  <si>
    <t>03783R107</t>
  </si>
  <si>
    <t>BKDK965</t>
  </si>
  <si>
    <t>BNXT CN Equity</t>
  </si>
  <si>
    <t>BioNxt Solutions Inc</t>
  </si>
  <si>
    <t>090974106</t>
  </si>
  <si>
    <t>BM9B9C2</t>
  </si>
  <si>
    <t>IMCC CN Equity</t>
  </si>
  <si>
    <t>IM Cannabis Corp</t>
  </si>
  <si>
    <t>44969Q406</t>
  </si>
  <si>
    <t>BSF1QM7</t>
  </si>
  <si>
    <t>RAMM CN Equity</t>
  </si>
  <si>
    <t>Ramm Pharma Corp</t>
  </si>
  <si>
    <t>75150G104</t>
  </si>
  <si>
    <t>BK72J23</t>
  </si>
  <si>
    <t>AND CN Equity</t>
  </si>
  <si>
    <t>Andlauer Healthcare Group Inc</t>
  </si>
  <si>
    <t>034223107</t>
  </si>
  <si>
    <t>BJP26N8</t>
  </si>
  <si>
    <t>NPTH CN Equity</t>
  </si>
  <si>
    <t>NeuPath Health Inc</t>
  </si>
  <si>
    <t>64133P100</t>
  </si>
  <si>
    <t>BMTC721</t>
  </si>
  <si>
    <t>NEWU CN Equity</t>
  </si>
  <si>
    <t>Newtopia Inc</t>
  </si>
  <si>
    <t>653226100</t>
  </si>
  <si>
    <t>BKY6M30</t>
  </si>
  <si>
    <t>CRBK CN Equity</t>
  </si>
  <si>
    <t>Carebook Technologies Inc</t>
  </si>
  <si>
    <t>14168C102</t>
  </si>
  <si>
    <t>BMQBP38</t>
  </si>
  <si>
    <t>AIDX CN Equity</t>
  </si>
  <si>
    <t>HealWELL AI Inc</t>
  </si>
  <si>
    <t>42249X100</t>
  </si>
  <si>
    <t>BQ2LQJ3</t>
  </si>
  <si>
    <t>PSYG CN Equity</t>
  </si>
  <si>
    <t>Psyence Group Inc</t>
  </si>
  <si>
    <t>74449Q106</t>
  </si>
  <si>
    <t>BMFJJB9</t>
  </si>
  <si>
    <t>DRUG CN Equity</t>
  </si>
  <si>
    <t>Bright Minds Biosciences Inc</t>
  </si>
  <si>
    <t>10919W405</t>
  </si>
  <si>
    <t>BMV2FC5</t>
  </si>
  <si>
    <t>EPRX CN Equity</t>
  </si>
  <si>
    <t>Eupraxia Pharmaceuticals Inc</t>
  </si>
  <si>
    <t>29842P105</t>
  </si>
  <si>
    <t>BLR6SR0</t>
  </si>
  <si>
    <t>VRNO CN Equity</t>
  </si>
  <si>
    <t>Verano Holdings Corp</t>
  </si>
  <si>
    <t>92338D101</t>
  </si>
  <si>
    <t>BMCJKX1</t>
  </si>
  <si>
    <t>TRUE CN Equity</t>
  </si>
  <si>
    <t>Treatment.com AI Inc</t>
  </si>
  <si>
    <t>894942101</t>
  </si>
  <si>
    <t>BLDB7L6</t>
  </si>
  <si>
    <t>DNTL CN Equity</t>
  </si>
  <si>
    <t>dentalcorp Holdings Ltd</t>
  </si>
  <si>
    <t>24874B108</t>
  </si>
  <si>
    <t>BMGHLS3</t>
  </si>
  <si>
    <t>DTC CN Equity</t>
  </si>
  <si>
    <t>Defence Therapeutics Inc</t>
  </si>
  <si>
    <t>24463V101</t>
  </si>
  <si>
    <t>BNZFRX2</t>
  </si>
  <si>
    <t>AIAI CN Equity</t>
  </si>
  <si>
    <t>NetraMark Holdings Inc</t>
  </si>
  <si>
    <t>64119M105</t>
  </si>
  <si>
    <t>BQB3QS9</t>
  </si>
  <si>
    <t>AWKN CN Equity</t>
  </si>
  <si>
    <t>AWAKN Life Sciences Corp</t>
  </si>
  <si>
    <t>05455W108</t>
  </si>
  <si>
    <t>BP0PMB4</t>
  </si>
  <si>
    <t>BMND CN Equity</t>
  </si>
  <si>
    <t>Biomind Labs Inc</t>
  </si>
  <si>
    <t>090702101</t>
  </si>
  <si>
    <t>BMHJZY2</t>
  </si>
  <si>
    <t>BLCO CN Equity</t>
  </si>
  <si>
    <t>Bausch + Lomb Corp</t>
  </si>
  <si>
    <t>071705107</t>
  </si>
  <si>
    <t>BPLQ625</t>
  </si>
  <si>
    <t>MDCX CN Equity</t>
  </si>
  <si>
    <t>Medicus Pharma Ltd</t>
  </si>
  <si>
    <t>CCOI UW Equity</t>
  </si>
  <si>
    <t>Cogent Communications Holdings</t>
  </si>
  <si>
    <t>Communication Services</t>
  </si>
  <si>
    <t>Diversified Telecommunication Services</t>
  </si>
  <si>
    <t>19239V302</t>
  </si>
  <si>
    <t>B06RWD1</t>
  </si>
  <si>
    <t>Information Technology</t>
  </si>
  <si>
    <t>Software</t>
  </si>
  <si>
    <t>MLYS UW Equity</t>
  </si>
  <si>
    <t>BTU UN Equity</t>
  </si>
  <si>
    <t>Peabody Energy Corp</t>
  </si>
  <si>
    <t>Energy</t>
  </si>
  <si>
    <t>Oil, Gas &amp; Consumable Fuels</t>
  </si>
  <si>
    <t>704551100</t>
  </si>
  <si>
    <t>BDVPZV0</t>
  </si>
  <si>
    <t>EQBK UN Equity</t>
  </si>
  <si>
    <t>Equity Bancshares Inc</t>
  </si>
  <si>
    <t>Financials</t>
  </si>
  <si>
    <t>Banks</t>
  </si>
  <si>
    <t>29460X109</t>
  </si>
  <si>
    <t>BYZG9Q9</t>
  </si>
  <si>
    <t>TechTarget Inc</t>
  </si>
  <si>
    <t>Media</t>
  </si>
  <si>
    <t>IRWD UW Equity</t>
  </si>
  <si>
    <t>PLSE UR Equity</t>
  </si>
  <si>
    <t>CPRX UR Equity</t>
  </si>
  <si>
    <t>FLWS UW Equity</t>
  </si>
  <si>
    <t>1-800-Flowers.com Inc</t>
  </si>
  <si>
    <t>Consumer Discretionary</t>
  </si>
  <si>
    <t>Specialty Retail</t>
  </si>
  <si>
    <t>68243Q106</t>
  </si>
  <si>
    <t>2444123</t>
  </si>
  <si>
    <t>LXEO UQ Equity</t>
  </si>
  <si>
    <t>PL UN Equity</t>
  </si>
  <si>
    <t>Planet Labs PBC</t>
  </si>
  <si>
    <t>Industrials</t>
  </si>
  <si>
    <t>Professional Services</t>
  </si>
  <si>
    <t>72703X106</t>
  </si>
  <si>
    <t>BM8JV32</t>
  </si>
  <si>
    <t>IIIN UN Equity</t>
  </si>
  <si>
    <t>Insteel Industries Inc</t>
  </si>
  <si>
    <t>Building Products</t>
  </si>
  <si>
    <t>45774W108</t>
  </si>
  <si>
    <t>2325875</t>
  </si>
  <si>
    <t>CORT UR Equity</t>
  </si>
  <si>
    <t>PHAT UW Equity</t>
  </si>
  <si>
    <t>CABA UW Equity</t>
  </si>
  <si>
    <t>RIOT UR Equity</t>
  </si>
  <si>
    <t>Riot Platforms Inc</t>
  </si>
  <si>
    <t>767292105</t>
  </si>
  <si>
    <t>BD9F675</t>
  </si>
  <si>
    <t>Materials</t>
  </si>
  <si>
    <t>Metals &amp; Mining</t>
  </si>
  <si>
    <t>TGTX UR Equity</t>
  </si>
  <si>
    <t>GCMG UQ Equity</t>
  </si>
  <si>
    <t>GCM Grosvenor Inc</t>
  </si>
  <si>
    <t>Capital Markets</t>
  </si>
  <si>
    <t>36831E108</t>
  </si>
  <si>
    <t>BNDQ9Y2</t>
  </si>
  <si>
    <t>Leisure Products</t>
  </si>
  <si>
    <t>QBTS UN Equity</t>
  </si>
  <si>
    <t>D-Wave Quantum Inc</t>
  </si>
  <si>
    <t>26740W109</t>
  </si>
  <si>
    <t>BMCCXH5</t>
  </si>
  <si>
    <t>QNST UW Equity</t>
  </si>
  <si>
    <t>QuinStreet Inc</t>
  </si>
  <si>
    <t>Interactive Media &amp; Services</t>
  </si>
  <si>
    <t>74874Q100</t>
  </si>
  <si>
    <t>B3PGPB9</t>
  </si>
  <si>
    <t>PKBK UR Equity</t>
  </si>
  <si>
    <t>Parke Bancorp Inc</t>
  </si>
  <si>
    <t>700885106</t>
  </si>
  <si>
    <t>2095145</t>
  </si>
  <si>
    <t>CRMD UQ Equity</t>
  </si>
  <si>
    <t>NGS UN Equity</t>
  </si>
  <si>
    <t>Natural Gas Services Group Inc</t>
  </si>
  <si>
    <t>Energy Equipment &amp; Services</t>
  </si>
  <si>
    <t>63886Q109</t>
  </si>
  <si>
    <t>2986153</t>
  </si>
  <si>
    <t>MNKD UQ Equity</t>
  </si>
  <si>
    <t>KIND UN Equity</t>
  </si>
  <si>
    <t>Nextdoor Holdings Inc</t>
  </si>
  <si>
    <t>65345M108</t>
  </si>
  <si>
    <t>BMFPWT6</t>
  </si>
  <si>
    <t>LUMN UN Equity</t>
  </si>
  <si>
    <t>Lumen Technologies Inc</t>
  </si>
  <si>
    <t>550241103</t>
  </si>
  <si>
    <t>BMDH249</t>
  </si>
  <si>
    <t>AMPX UN Equity</t>
  </si>
  <si>
    <t>Amprius Technologies Inc</t>
  </si>
  <si>
    <t>Electrical Equipment</t>
  </si>
  <si>
    <t>03214Q108</t>
  </si>
  <si>
    <t>BPSKN52</t>
  </si>
  <si>
    <t>SMID UR Equity</t>
  </si>
  <si>
    <t>Smith-Midland Corp</t>
  </si>
  <si>
    <t>Construction Materials</t>
  </si>
  <si>
    <t>832156103</t>
  </si>
  <si>
    <t>2480707</t>
  </si>
  <si>
    <t>ABUS UW Equity</t>
  </si>
  <si>
    <t>ATNM UA Equity</t>
  </si>
  <si>
    <t>CYRX UR Equity</t>
  </si>
  <si>
    <t>BCBP UQ Equity</t>
  </si>
  <si>
    <t>BCB Bancorp Inc</t>
  </si>
  <si>
    <t>055298103</t>
  </si>
  <si>
    <t>2848253</t>
  </si>
  <si>
    <t>YOU UN Equity</t>
  </si>
  <si>
    <t>Clear Secure Inc</t>
  </si>
  <si>
    <t>18467V109</t>
  </si>
  <si>
    <t>BLD30T1</t>
  </si>
  <si>
    <t>SBRA UW Equity</t>
  </si>
  <si>
    <t>Sabra Health Care REIT Inc</t>
  </si>
  <si>
    <t>Real Estate</t>
  </si>
  <si>
    <t>Health Care REITs</t>
  </si>
  <si>
    <t>78573L106</t>
  </si>
  <si>
    <t>B5NLBP6</t>
  </si>
  <si>
    <t>STRW UA Equity</t>
  </si>
  <si>
    <t>Strawberry Fields REIT Inc</t>
  </si>
  <si>
    <t>863182101</t>
  </si>
  <si>
    <t>BPLV664</t>
  </si>
  <si>
    <t>CDXS UW Equity</t>
  </si>
  <si>
    <t>STHO UQ Equity</t>
  </si>
  <si>
    <t>Star Holdings</t>
  </si>
  <si>
    <t>Real Estate Management &amp; Development</t>
  </si>
  <si>
    <t>85512G106</t>
  </si>
  <si>
    <t>BNLZ6B7</t>
  </si>
  <si>
    <t>NMIH UQ Equity</t>
  </si>
  <si>
    <t>NMI Holdings Inc</t>
  </si>
  <si>
    <t>Financial Services</t>
  </si>
  <si>
    <t>629209305</t>
  </si>
  <si>
    <t>BGDW5G5</t>
  </si>
  <si>
    <t>HROW UQ Equity</t>
  </si>
  <si>
    <t>CYTK UW Equity</t>
  </si>
  <si>
    <t>NNI UN Equity</t>
  </si>
  <si>
    <t>Nelnet Inc</t>
  </si>
  <si>
    <t>Consumer Finance</t>
  </si>
  <si>
    <t>64031N108</t>
  </si>
  <si>
    <t>2196190</t>
  </si>
  <si>
    <t>PRIM UN Equity</t>
  </si>
  <si>
    <t>Primoris Services Corp</t>
  </si>
  <si>
    <t>Construction &amp; Engineering</t>
  </si>
  <si>
    <t>74164F103</t>
  </si>
  <si>
    <t>B1GC200</t>
  </si>
  <si>
    <t>SMBK UN Equity</t>
  </si>
  <si>
    <t>SmartFinancial Inc</t>
  </si>
  <si>
    <t>83190L208</t>
  </si>
  <si>
    <t>BYVYKX1</t>
  </si>
  <si>
    <t>EEX UN Equity</t>
  </si>
  <si>
    <t>Emerald Holding Inc</t>
  </si>
  <si>
    <t>29103W104</t>
  </si>
  <si>
    <t>BKT61V6</t>
  </si>
  <si>
    <t>ESGR UW Equity</t>
  </si>
  <si>
    <t>Enstar Group Ltd</t>
  </si>
  <si>
    <t>Insurance</t>
  </si>
  <si>
    <t>B1Q76J2</t>
  </si>
  <si>
    <t>GENC UA Equity</t>
  </si>
  <si>
    <t>Gencor Industries Inc</t>
  </si>
  <si>
    <t>Machinery</t>
  </si>
  <si>
    <t>368678108</t>
  </si>
  <si>
    <t>2575045</t>
  </si>
  <si>
    <t>ACTG UW Equity</t>
  </si>
  <si>
    <t>Acacia Research Corp</t>
  </si>
  <si>
    <t>003881307</t>
  </si>
  <si>
    <t>2169589</t>
  </si>
  <si>
    <t>TGNA UN Equity</t>
  </si>
  <si>
    <t>TEGNA Inc</t>
  </si>
  <si>
    <t>87901J105</t>
  </si>
  <si>
    <t>BZ0P3Z5</t>
  </si>
  <si>
    <t>SMR UN Equity</t>
  </si>
  <si>
    <t>NuScale Power Corp</t>
  </si>
  <si>
    <t>67079K100</t>
  </si>
  <si>
    <t>BNXK803</t>
  </si>
  <si>
    <t>RM UN Equity</t>
  </si>
  <si>
    <t>Regional Management Corp</t>
  </si>
  <si>
    <t>75902K106</t>
  </si>
  <si>
    <t>B719DK5</t>
  </si>
  <si>
    <t>DCGO UR Equity</t>
  </si>
  <si>
    <t>EB UN Equity</t>
  </si>
  <si>
    <t>Eventbrite Inc</t>
  </si>
  <si>
    <t>Entertainment</t>
  </si>
  <si>
    <t>29975E109</t>
  </si>
  <si>
    <t>BF5L3R0</t>
  </si>
  <si>
    <t>ENFN UN Equity</t>
  </si>
  <si>
    <t>Enfusion Inc</t>
  </si>
  <si>
    <t>292812104</t>
  </si>
  <si>
    <t>BLB56Z7</t>
  </si>
  <si>
    <t>LMAT UQ Equity</t>
  </si>
  <si>
    <t>GOOD UW Equity</t>
  </si>
  <si>
    <t>Gladstone Commercial Corp</t>
  </si>
  <si>
    <t>Diversified REITs</t>
  </si>
  <si>
    <t>376536108</t>
  </si>
  <si>
    <t>2918479</t>
  </si>
  <si>
    <t>MODV UW Equity</t>
  </si>
  <si>
    <t>HP UN Equity</t>
  </si>
  <si>
    <t>Helmerich &amp; Payne Inc</t>
  </si>
  <si>
    <t>423452101</t>
  </si>
  <si>
    <t>2420101</t>
  </si>
  <si>
    <t>FNKO UW Equity</t>
  </si>
  <si>
    <t>Funko Inc</t>
  </si>
  <si>
    <t>361008105</t>
  </si>
  <si>
    <t>BF329J9</t>
  </si>
  <si>
    <t>SMRT UN Equity</t>
  </si>
  <si>
    <t>SmartRent Inc</t>
  </si>
  <si>
    <t>Electronic Equipment, Instruments &amp; Components</t>
  </si>
  <si>
    <t>83193G107</t>
  </si>
  <si>
    <t>BPCHD26</t>
  </si>
  <si>
    <t>GWRS UQ Equity</t>
  </si>
  <si>
    <t>Global Water Resources Inc</t>
  </si>
  <si>
    <t>Utilities</t>
  </si>
  <si>
    <t>Water Utilities</t>
  </si>
  <si>
    <t>379463102</t>
  </si>
  <si>
    <t>BD2ZJQ2</t>
  </si>
  <si>
    <t>SAVA UR Equity</t>
  </si>
  <si>
    <t>EVH UN Equity</t>
  </si>
  <si>
    <t>BE UN Equity</t>
  </si>
  <si>
    <t>Bloom Energy Corp</t>
  </si>
  <si>
    <t>093712107</t>
  </si>
  <si>
    <t>BDD1BB8</t>
  </si>
  <si>
    <t>BSVN UW Equity</t>
  </si>
  <si>
    <t>Bank7 Corp</t>
  </si>
  <si>
    <t>06652N107</t>
  </si>
  <si>
    <t>BFMN421</t>
  </si>
  <si>
    <t>UNFI UN Equity</t>
  </si>
  <si>
    <t>United Natural Foods Inc</t>
  </si>
  <si>
    <t>Consumer Staples</t>
  </si>
  <si>
    <t>Consumer Staples Distribution &amp; Retail</t>
  </si>
  <si>
    <t>911163103</t>
  </si>
  <si>
    <t>2895163</t>
  </si>
  <si>
    <t>AQST UQ Equity</t>
  </si>
  <si>
    <t>EDIT UW Equity</t>
  </si>
  <si>
    <t>TOWN UW Equity</t>
  </si>
  <si>
    <t>Towne Bank/Portsmouth VA</t>
  </si>
  <si>
    <t>89214P109</t>
  </si>
  <si>
    <t>B018PR4</t>
  </si>
  <si>
    <t>SMPL UR Equity</t>
  </si>
  <si>
    <t>Simply Good Foods Co/The</t>
  </si>
  <si>
    <t>Food Products</t>
  </si>
  <si>
    <t>82900L102</t>
  </si>
  <si>
    <t>BF27XF9</t>
  </si>
  <si>
    <t>CLB UN Equity</t>
  </si>
  <si>
    <t>Core Laboratories Inc</t>
  </si>
  <si>
    <t>21867A105</t>
  </si>
  <si>
    <t>BNKT9M2</t>
  </si>
  <si>
    <t>CLBK UW Equity</t>
  </si>
  <si>
    <t>Columbia Financial Inc</t>
  </si>
  <si>
    <t>197641103</t>
  </si>
  <si>
    <t>BFMB9P3</t>
  </si>
  <si>
    <t>PRLB UN Equity</t>
  </si>
  <si>
    <t>Proto Labs Inc</t>
  </si>
  <si>
    <t>743713109</t>
  </si>
  <si>
    <t>B6T6J81</t>
  </si>
  <si>
    <t>KRO UN Equity</t>
  </si>
  <si>
    <t>Kronos Worldwide Inc</t>
  </si>
  <si>
    <t>Chemicals</t>
  </si>
  <si>
    <t>50105F105</t>
  </si>
  <si>
    <t>2166397</t>
  </si>
  <si>
    <t>FRME UW Equity</t>
  </si>
  <si>
    <t>First Merchants Corp</t>
  </si>
  <si>
    <t>320817109</t>
  </si>
  <si>
    <t>2342410</t>
  </si>
  <si>
    <t>MUR UN Equity</t>
  </si>
  <si>
    <t>Murphy Oil Corp</t>
  </si>
  <si>
    <t>626717102</t>
  </si>
  <si>
    <t>2611206</t>
  </si>
  <si>
    <t>HTH UN Equity</t>
  </si>
  <si>
    <t>Hilltop Holdings Inc</t>
  </si>
  <si>
    <t>432748101</t>
  </si>
  <si>
    <t>2365428</t>
  </si>
  <si>
    <t>RCKT UQ Equity</t>
  </si>
  <si>
    <t>INGN UW Equity</t>
  </si>
  <si>
    <t>LIF UW Equity</t>
  </si>
  <si>
    <t>Life360 Inc</t>
  </si>
  <si>
    <t>532206109</t>
  </si>
  <si>
    <t>BSLSTH8</t>
  </si>
  <si>
    <t>BPMC UW Equity</t>
  </si>
  <si>
    <t>PRCT UQ Equity</t>
  </si>
  <si>
    <t>DH UW Equity</t>
  </si>
  <si>
    <t>TERN UW Equity</t>
  </si>
  <si>
    <t>IT Services</t>
  </si>
  <si>
    <t>TYRA UW Equity</t>
  </si>
  <si>
    <t>IE UA Equity</t>
  </si>
  <si>
    <t>Ivanhoe Electric Inc / US</t>
  </si>
  <si>
    <t>46578C108</t>
  </si>
  <si>
    <t>BPF0KH6</t>
  </si>
  <si>
    <t>CCS UN Equity</t>
  </si>
  <si>
    <t>Century Communities Inc</t>
  </si>
  <si>
    <t>Household Durables</t>
  </si>
  <si>
    <t>156504300</t>
  </si>
  <si>
    <t>BN7ZZ47</t>
  </si>
  <si>
    <t>PBI UN Equity</t>
  </si>
  <si>
    <t>Pitney Bowes Inc</t>
  </si>
  <si>
    <t>Commercial Services &amp; Supplies</t>
  </si>
  <si>
    <t>724479100</t>
  </si>
  <si>
    <t>2690506</t>
  </si>
  <si>
    <t>UCTT UW Equity</t>
  </si>
  <si>
    <t>Ultra Clean Holdings Inc</t>
  </si>
  <si>
    <t>Semiconductors &amp; Semiconductor Equipment</t>
  </si>
  <si>
    <t>90385V107</t>
  </si>
  <si>
    <t>B00G0F2</t>
  </si>
  <si>
    <t>LPG UN Equity</t>
  </si>
  <si>
    <t>Dorian LPG Ltd</t>
  </si>
  <si>
    <t>BM4QJF5</t>
  </si>
  <si>
    <t>ACLX UW Equity</t>
  </si>
  <si>
    <t>Passenger Airlines</t>
  </si>
  <si>
    <t>GMRE UN Equity</t>
  </si>
  <si>
    <t>Global Medical REIT Inc</t>
  </si>
  <si>
    <t>37954A204</t>
  </si>
  <si>
    <t>BSNMBW7</t>
  </si>
  <si>
    <t>VITL UQ Equity</t>
  </si>
  <si>
    <t>Vital Farms Inc</t>
  </si>
  <si>
    <t>92847W103</t>
  </si>
  <si>
    <t>BL6JSP8</t>
  </si>
  <si>
    <t>VCSA UW Equity</t>
  </si>
  <si>
    <t>Vacasa Inc</t>
  </si>
  <si>
    <t>Hotels, Restaurants &amp; Leisure</t>
  </si>
  <si>
    <t>91854V206</t>
  </si>
  <si>
    <t>BRRF6G4</t>
  </si>
  <si>
    <t>SWKH UQ Equity</t>
  </si>
  <si>
    <t>SWK Holdings Corp</t>
  </si>
  <si>
    <t>78501P203</t>
  </si>
  <si>
    <t>BYQQ1Q2</t>
  </si>
  <si>
    <t>AMRC UN Equity</t>
  </si>
  <si>
    <t>Ameresco Inc</t>
  </si>
  <si>
    <t>02361E108</t>
  </si>
  <si>
    <t>B3SWPT2</t>
  </si>
  <si>
    <t>LRN UN Equity</t>
  </si>
  <si>
    <t>Stride Inc</t>
  </si>
  <si>
    <t>Diversified Consumer Services</t>
  </si>
  <si>
    <t>86333M108</t>
  </si>
  <si>
    <t>BLD5321</t>
  </si>
  <si>
    <t>SPCE UN Equity</t>
  </si>
  <si>
    <t>Virgin Galactic Holdings Inc</t>
  </si>
  <si>
    <t>Aerospace &amp; Defense</t>
  </si>
  <si>
    <t>92766K403</t>
  </si>
  <si>
    <t>BSNTQK1</t>
  </si>
  <si>
    <t>ECVT UN Equity</t>
  </si>
  <si>
    <t>Ecovyst Inc</t>
  </si>
  <si>
    <t>27923Q109</t>
  </si>
  <si>
    <t>BM8NHT2</t>
  </si>
  <si>
    <t>REZI UN Equity</t>
  </si>
  <si>
    <t>Resideo Technologies Inc</t>
  </si>
  <si>
    <t>76118Y104</t>
  </si>
  <si>
    <t>BFD1TJ6</t>
  </si>
  <si>
    <t>AMRK UW Equity</t>
  </si>
  <si>
    <t>A-Mark Precious Metals Inc</t>
  </si>
  <si>
    <t>Distributors</t>
  </si>
  <si>
    <t>00181T107</t>
  </si>
  <si>
    <t>BK6MJ46</t>
  </si>
  <si>
    <t>CRVO UR Equity</t>
  </si>
  <si>
    <t>GHC UN Equity</t>
  </si>
  <si>
    <t>Graham Holdings Co</t>
  </si>
  <si>
    <t>384637104</t>
  </si>
  <si>
    <t>BGM1B98</t>
  </si>
  <si>
    <t>PGRE UN Equity</t>
  </si>
  <si>
    <t>Paramount Group Inc</t>
  </si>
  <si>
    <t>Office REITs</t>
  </si>
  <si>
    <t>69924R108</t>
  </si>
  <si>
    <t>BSL7HC6</t>
  </si>
  <si>
    <t>ALTI UR Equity</t>
  </si>
  <si>
    <t>AlTi Global Inc</t>
  </si>
  <si>
    <t>02157E106</t>
  </si>
  <si>
    <t>BN0WQK8</t>
  </si>
  <si>
    <t>BCC UN Equity</t>
  </si>
  <si>
    <t>Boise Cascade Co</t>
  </si>
  <si>
    <t>Trading Companies &amp; Distributors</t>
  </si>
  <si>
    <t>09739D100</t>
  </si>
  <si>
    <t>B9BP4R1</t>
  </si>
  <si>
    <t>STXS UA Equity</t>
  </si>
  <si>
    <t>MOD UN Equity</t>
  </si>
  <si>
    <t>Modine Manufacturing Co</t>
  </si>
  <si>
    <t>Automobile Components</t>
  </si>
  <si>
    <t>607828100</t>
  </si>
  <si>
    <t>2598354</t>
  </si>
  <si>
    <t>LE UR Equity</t>
  </si>
  <si>
    <t>Lands' End Inc</t>
  </si>
  <si>
    <t>51509F105</t>
  </si>
  <si>
    <t>BKWQKM7</t>
  </si>
  <si>
    <t>CWK UN Equity</t>
  </si>
  <si>
    <t>Cushman &amp; Wakefield PLC</t>
  </si>
  <si>
    <t>BFZ4N46</t>
  </si>
  <si>
    <t>PBYI UW Equity</t>
  </si>
  <si>
    <t>VBTX UQ Equity</t>
  </si>
  <si>
    <t>Veritex Holdings Inc</t>
  </si>
  <si>
    <t>923451108</t>
  </si>
  <si>
    <t>BRCYYB7</t>
  </si>
  <si>
    <t>AMRX UW Equity</t>
  </si>
  <si>
    <t>ZWS UN Equity</t>
  </si>
  <si>
    <t>Zurn Elkay Water Solutions Cor</t>
  </si>
  <si>
    <t>98983L108</t>
  </si>
  <si>
    <t>BMV1ZD3</t>
  </si>
  <si>
    <t>ITRI UW Equity</t>
  </si>
  <si>
    <t>Itron Inc</t>
  </si>
  <si>
    <t>465741106</t>
  </si>
  <si>
    <t>2471949</t>
  </si>
  <si>
    <t>UHG UQ Equity</t>
  </si>
  <si>
    <t>United Homes Group Inc</t>
  </si>
  <si>
    <t>91060H108</t>
  </si>
  <si>
    <t>BK95L13</t>
  </si>
  <si>
    <t>CADE UN Equity</t>
  </si>
  <si>
    <t>Cadence Bank</t>
  </si>
  <si>
    <t>12740C103</t>
  </si>
  <si>
    <t>BMCS168</t>
  </si>
  <si>
    <t>NOTE UN Equity</t>
  </si>
  <si>
    <t>FiscalNote Holdings Inc</t>
  </si>
  <si>
    <t>337655104</t>
  </si>
  <si>
    <t>BPXX914</t>
  </si>
  <si>
    <t>VABK UR Equity</t>
  </si>
  <si>
    <t>Virginia National Bankshares C</t>
  </si>
  <si>
    <t>928031103</t>
  </si>
  <si>
    <t>BHBFXS1</t>
  </si>
  <si>
    <t>TRMK UW Equity</t>
  </si>
  <si>
    <t>Trustmark Corp</t>
  </si>
  <si>
    <t>898402102</t>
  </si>
  <si>
    <t>2340210</t>
  </si>
  <si>
    <t>UMBF UW Equity</t>
  </si>
  <si>
    <t>UMB Financial Corp</t>
  </si>
  <si>
    <t>902788108</t>
  </si>
  <si>
    <t>2918510</t>
  </si>
  <si>
    <t>ATGE UN Equity</t>
  </si>
  <si>
    <t>Adtalem Global Education Inc</t>
  </si>
  <si>
    <t>00737L103</t>
  </si>
  <si>
    <t>BZ12TX5</t>
  </si>
  <si>
    <t>WABC UW Equity</t>
  </si>
  <si>
    <t>Westamerica BanCorp</t>
  </si>
  <si>
    <t>957090103</t>
  </si>
  <si>
    <t>2950374</t>
  </si>
  <si>
    <t>TCBI UW Equity</t>
  </si>
  <si>
    <t>Texas Capital Bancshares Inc</t>
  </si>
  <si>
    <t>88224Q107</t>
  </si>
  <si>
    <t>2977209</t>
  </si>
  <si>
    <t>ALKT UW Equity</t>
  </si>
  <si>
    <t>Alkami Technology Inc</t>
  </si>
  <si>
    <t>01644J108</t>
  </si>
  <si>
    <t>BMHR7L7</t>
  </si>
  <si>
    <t>CNOB UW Equity</t>
  </si>
  <si>
    <t>ConnectOne Bancorp Inc</t>
  </si>
  <si>
    <t>20786W107</t>
  </si>
  <si>
    <t>BNQ4YF9</t>
  </si>
  <si>
    <t>10948W103</t>
  </si>
  <si>
    <t>BJBLBN4</t>
  </si>
  <si>
    <t>FMBH UQ Equity</t>
  </si>
  <si>
    <t>First Mid Bancshares Inc</t>
  </si>
  <si>
    <t>320866106</t>
  </si>
  <si>
    <t>B016HX8</t>
  </si>
  <si>
    <t>MXCT UW Equity</t>
  </si>
  <si>
    <t>MaxCyte Inc</t>
  </si>
  <si>
    <t>57777K106</t>
  </si>
  <si>
    <t>BKMQF66</t>
  </si>
  <si>
    <t>DOLE UN Equity</t>
  </si>
  <si>
    <t>Dole PLC</t>
  </si>
  <si>
    <t>BMCLHR0</t>
  </si>
  <si>
    <t>RXST UQ Equity</t>
  </si>
  <si>
    <t>NBR UN Equity</t>
  </si>
  <si>
    <t>Nabors Industries Ltd</t>
  </si>
  <si>
    <t>BK953M8</t>
  </si>
  <si>
    <t>TNYA UW Equity</t>
  </si>
  <si>
    <t>PDCO UW Equity</t>
  </si>
  <si>
    <t>LAB UW Equity</t>
  </si>
  <si>
    <t>CWH UN Equity</t>
  </si>
  <si>
    <t>Camping World Holdings Inc</t>
  </si>
  <si>
    <t>13462K109</t>
  </si>
  <si>
    <t>BDCBXH9</t>
  </si>
  <si>
    <t>GTLS UN Equity</t>
  </si>
  <si>
    <t>Chart Industries Inc</t>
  </si>
  <si>
    <t>16115Q308</t>
  </si>
  <si>
    <t>B19HNF4</t>
  </si>
  <si>
    <t>CNO UN Equity</t>
  </si>
  <si>
    <t>CNO Financial Group Inc</t>
  </si>
  <si>
    <t>12621E103</t>
  </si>
  <si>
    <t>2657750</t>
  </si>
  <si>
    <t>SITM UQ Equity</t>
  </si>
  <si>
    <t>SiTime Corp</t>
  </si>
  <si>
    <t>82982T106</t>
  </si>
  <si>
    <t>BKS48R6</t>
  </si>
  <si>
    <t>AMC UN Equity</t>
  </si>
  <si>
    <t>AMC Entertainment Holdings Inc</t>
  </si>
  <si>
    <t>00165C302</t>
  </si>
  <si>
    <t>BN4G703</t>
  </si>
  <si>
    <t>IVVD UQ Equity</t>
  </si>
  <si>
    <t>BLFS UR Equity</t>
  </si>
  <si>
    <t>FHTX UQ Equity</t>
  </si>
  <si>
    <t>COOP UR Equity</t>
  </si>
  <si>
    <t>Mr Cooper Group Inc</t>
  </si>
  <si>
    <t>62482R107</t>
  </si>
  <si>
    <t>BGHKHS1</t>
  </si>
  <si>
    <t>MTAL UN Equity</t>
  </si>
  <si>
    <t>BQBC846</t>
  </si>
  <si>
    <t>FUN UN Equity</t>
  </si>
  <si>
    <t>Six Flags Entertainment Corp</t>
  </si>
  <si>
    <t>83001C108</t>
  </si>
  <si>
    <t>BPBPD09</t>
  </si>
  <si>
    <t>RUN UW Equity</t>
  </si>
  <si>
    <t>Sunrun Inc</t>
  </si>
  <si>
    <t>86771W105</t>
  </si>
  <si>
    <t>BYXB1Y8</t>
  </si>
  <si>
    <t>BCAL UR Equity</t>
  </si>
  <si>
    <t>California BanCorp</t>
  </si>
  <si>
    <t>84252A106</t>
  </si>
  <si>
    <t>BLBCWZ0</t>
  </si>
  <si>
    <t>RKLB UR Equity</t>
  </si>
  <si>
    <t>Rocket Lab USA Inc</t>
  </si>
  <si>
    <t>773122106</t>
  </si>
  <si>
    <t>BM8Z538</t>
  </si>
  <si>
    <t>IBEX UQ Equity</t>
  </si>
  <si>
    <t>IBEX Holdings Ltd</t>
  </si>
  <si>
    <t>BLF81K2</t>
  </si>
  <si>
    <t>AXGN UR Equity</t>
  </si>
  <si>
    <t>BWB UR Equity</t>
  </si>
  <si>
    <t>Bridgewater Bancshares Inc</t>
  </si>
  <si>
    <t>108621103</t>
  </si>
  <si>
    <t>BFMZC67</t>
  </si>
  <si>
    <t>ETD UN Equity</t>
  </si>
  <si>
    <t>Ethan Allen Interiors Inc</t>
  </si>
  <si>
    <t>297602104</t>
  </si>
  <si>
    <t>2320825</t>
  </si>
  <si>
    <t>JBGS UN Equity</t>
  </si>
  <si>
    <t>JBG SMITH Properties</t>
  </si>
  <si>
    <t>46590V100</t>
  </si>
  <si>
    <t>BD3BX01</t>
  </si>
  <si>
    <t>DAWN UW Equity</t>
  </si>
  <si>
    <t>SGHT UW Equity</t>
  </si>
  <si>
    <t>FIGS UN Equity</t>
  </si>
  <si>
    <t>Figs Inc</t>
  </si>
  <si>
    <t>Textiles, Apparel &amp; Luxury Goods</t>
  </si>
  <si>
    <t>30260D103</t>
  </si>
  <si>
    <t>BMXXBD9</t>
  </si>
  <si>
    <t>LOB UN Equity</t>
  </si>
  <si>
    <t>Live Oak Bancshares Inc</t>
  </si>
  <si>
    <t>53803X105</t>
  </si>
  <si>
    <t>BYN5Z59</t>
  </si>
  <si>
    <t>PECO UW Equity</t>
  </si>
  <si>
    <t>Phillips Edison &amp; Co Inc</t>
  </si>
  <si>
    <t>Retail REITs</t>
  </si>
  <si>
    <t>71844V201</t>
  </si>
  <si>
    <t>BN48ZR2</t>
  </si>
  <si>
    <t>VIAV UW Equity</t>
  </si>
  <si>
    <t>Viavi Solutions Inc</t>
  </si>
  <si>
    <t>Communications Equipment</t>
  </si>
  <si>
    <t>925550105</t>
  </si>
  <si>
    <t>BYXB201</t>
  </si>
  <si>
    <t>HURN UW Equity</t>
  </si>
  <si>
    <t>Huron Consulting Group Inc</t>
  </si>
  <si>
    <t>447462102</t>
  </si>
  <si>
    <t>B018V76</t>
  </si>
  <si>
    <t>URBN UW Equity</t>
  </si>
  <si>
    <t>Urban Outfitters Inc</t>
  </si>
  <si>
    <t>917047102</t>
  </si>
  <si>
    <t>2933438</t>
  </si>
  <si>
    <t>EAT UN Equity</t>
  </si>
  <si>
    <t>Brinker International Inc</t>
  </si>
  <si>
    <t>109641100</t>
  </si>
  <si>
    <t>2193544</t>
  </si>
  <si>
    <t>SERA UQ Equity</t>
  </si>
  <si>
    <t>FSLY UN Equity</t>
  </si>
  <si>
    <t>Fastly Inc</t>
  </si>
  <si>
    <t>31188V100</t>
  </si>
  <si>
    <t>BJN4MY9</t>
  </si>
  <si>
    <t>CRS UN Equity</t>
  </si>
  <si>
    <t>Carpenter Technology Corp</t>
  </si>
  <si>
    <t>144285103</t>
  </si>
  <si>
    <t>2177504</t>
  </si>
  <si>
    <t>CORZ UW Equity</t>
  </si>
  <si>
    <t>Core Scientific Inc</t>
  </si>
  <si>
    <t>21874A106</t>
  </si>
  <si>
    <t>BN70TG2</t>
  </si>
  <si>
    <t>JOE UN Equity</t>
  </si>
  <si>
    <t>St Joe Co/The</t>
  </si>
  <si>
    <t>790148100</t>
  </si>
  <si>
    <t>2768663</t>
  </si>
  <si>
    <t>MAMA UR Equity</t>
  </si>
  <si>
    <t>Mama's Creations Inc</t>
  </si>
  <si>
    <t>56146T103</t>
  </si>
  <si>
    <t>B8X64T7</t>
  </si>
  <si>
    <t>AIV UN Equity</t>
  </si>
  <si>
    <t>Apartment Investment and Manag</t>
  </si>
  <si>
    <t>Residential REITs</t>
  </si>
  <si>
    <t>03748R747</t>
  </si>
  <si>
    <t>BN2W9T6</t>
  </si>
  <si>
    <t>SMHI UN Equity</t>
  </si>
  <si>
    <t>SEACOR Marine Holdings Inc</t>
  </si>
  <si>
    <t>78413P101</t>
  </si>
  <si>
    <t>BDR7T18</t>
  </si>
  <si>
    <t>PRGS UW Equity</t>
  </si>
  <si>
    <t>Progress Software Corp</t>
  </si>
  <si>
    <t>743312100</t>
  </si>
  <si>
    <t>2705198</t>
  </si>
  <si>
    <t>QIPT UR Equity</t>
  </si>
  <si>
    <t>BKVKK08</t>
  </si>
  <si>
    <t>NODK UR Equity</t>
  </si>
  <si>
    <t>NI Holdings Inc</t>
  </si>
  <si>
    <t>65342T106</t>
  </si>
  <si>
    <t>BF2CWX5</t>
  </si>
  <si>
    <t>HRTG UN Equity</t>
  </si>
  <si>
    <t>Heritage Insurance Holdings In</t>
  </si>
  <si>
    <t>42727J102</t>
  </si>
  <si>
    <t>BMN9870</t>
  </si>
  <si>
    <t>SMMT UQ Equity</t>
  </si>
  <si>
    <t>PTEN UW Equity</t>
  </si>
  <si>
    <t>Patterson-UTI Energy Inc</t>
  </si>
  <si>
    <t>703481101</t>
  </si>
  <si>
    <t>2672537</t>
  </si>
  <si>
    <t>RDUS UW Equity</t>
  </si>
  <si>
    <t>Radius Recycling Inc</t>
  </si>
  <si>
    <t>806882106</t>
  </si>
  <si>
    <t>2821298</t>
  </si>
  <si>
    <t>COMP UN Equity</t>
  </si>
  <si>
    <t>Compass Inc</t>
  </si>
  <si>
    <t>20464U100</t>
  </si>
  <si>
    <t>BN770G0</t>
  </si>
  <si>
    <t>Aeva Technologies Inc</t>
  </si>
  <si>
    <t>00835Q202</t>
  </si>
  <si>
    <t>BSB8D21</t>
  </si>
  <si>
    <t>XFOR UR Equity</t>
  </si>
  <si>
    <t>ULCC UW Equity</t>
  </si>
  <si>
    <t>Frontier Group Holdings Inc</t>
  </si>
  <si>
    <t>35909R108</t>
  </si>
  <si>
    <t>BFMKYK0</t>
  </si>
  <si>
    <t>TNET UN Equity</t>
  </si>
  <si>
    <t>TriNet Group Inc</t>
  </si>
  <si>
    <t>896288107</t>
  </si>
  <si>
    <t>2693914</t>
  </si>
  <si>
    <t>ANF UN Equity</t>
  </si>
  <si>
    <t>Abercrombie &amp; Fitch Co</t>
  </si>
  <si>
    <t>002896207</t>
  </si>
  <si>
    <t>2004185</t>
  </si>
  <si>
    <t>ORA UN Equity</t>
  </si>
  <si>
    <t>Ormat Technologies Inc</t>
  </si>
  <si>
    <t>Independent Power and Renewable Electricity Producers</t>
  </si>
  <si>
    <t>686688102</t>
  </si>
  <si>
    <t>B03L311</t>
  </si>
  <si>
    <t>NRDY UN Equity</t>
  </si>
  <si>
    <t>Nerdy Inc</t>
  </si>
  <si>
    <t>64081V109</t>
  </si>
  <si>
    <t>BNZJTJ4</t>
  </si>
  <si>
    <t>TDW UN Equity</t>
  </si>
  <si>
    <t>Tidewater Inc</t>
  </si>
  <si>
    <t>88642R109</t>
  </si>
  <si>
    <t>BDFGDQ0</t>
  </si>
  <si>
    <t>HLLY UN Equity</t>
  </si>
  <si>
    <t>Holley Inc</t>
  </si>
  <si>
    <t>43538H103</t>
  </si>
  <si>
    <t>BNT8W10</t>
  </si>
  <si>
    <t>Southside Bancshares Inc</t>
  </si>
  <si>
    <t>84470P109</t>
  </si>
  <si>
    <t>2485876</t>
  </si>
  <si>
    <t>JAMF UW Equity</t>
  </si>
  <si>
    <t>Jamf Holding Corp</t>
  </si>
  <si>
    <t>47074L105</t>
  </si>
  <si>
    <t>BL9X5X4</t>
  </si>
  <si>
    <t>KNTK UN Equity</t>
  </si>
  <si>
    <t>Kinetik Holdings Inc</t>
  </si>
  <si>
    <t>02215L209</t>
  </si>
  <si>
    <t>BLPNQJ1</t>
  </si>
  <si>
    <t>LASR UW Equity</t>
  </si>
  <si>
    <t>nLight Inc</t>
  </si>
  <si>
    <t>65487K100</t>
  </si>
  <si>
    <t>BFZP4R9</t>
  </si>
  <si>
    <t>ARIS UN Equity</t>
  </si>
  <si>
    <t>Aris Water Solutions Inc</t>
  </si>
  <si>
    <t>04041L106</t>
  </si>
  <si>
    <t>BNV0RQ4</t>
  </si>
  <si>
    <t>BLKB UW Equity</t>
  </si>
  <si>
    <t>Blackbaud Inc</t>
  </si>
  <si>
    <t>09227Q100</t>
  </si>
  <si>
    <t>2458878</t>
  </si>
  <si>
    <t>OIS UN Equity</t>
  </si>
  <si>
    <t>Oil States International Inc</t>
  </si>
  <si>
    <t>678026105</t>
  </si>
  <si>
    <t>2724472</t>
  </si>
  <si>
    <t>JRVR UW Equity</t>
  </si>
  <si>
    <t>James River Group Holdings Ltd</t>
  </si>
  <si>
    <t>BT8RWQ5</t>
  </si>
  <si>
    <t>CNX UN Equity</t>
  </si>
  <si>
    <t>CNX Resources Corp</t>
  </si>
  <si>
    <t>12653C108</t>
  </si>
  <si>
    <t>BF3FTF4</t>
  </si>
  <si>
    <t>SST UN Equity</t>
  </si>
  <si>
    <t>System1 Inc</t>
  </si>
  <si>
    <t>87200P109</t>
  </si>
  <si>
    <t>BNZJ5X0</t>
  </si>
  <si>
    <t>WRBY UN Equity</t>
  </si>
  <si>
    <t>Warby Parker Inc</t>
  </si>
  <si>
    <t>93403J106</t>
  </si>
  <si>
    <t>BLGZN51</t>
  </si>
  <si>
    <t>SXC UN Equity</t>
  </si>
  <si>
    <t>SunCoke Energy Inc</t>
  </si>
  <si>
    <t>86722A103</t>
  </si>
  <si>
    <t>B3R0638</t>
  </si>
  <si>
    <t>AGX UN Equity</t>
  </si>
  <si>
    <t>Argan Inc</t>
  </si>
  <si>
    <t>04010E109</t>
  </si>
  <si>
    <t>2804501</t>
  </si>
  <si>
    <t>PLAY UW Equity</t>
  </si>
  <si>
    <t>Dave &amp; Buster's Entertainment</t>
  </si>
  <si>
    <t>238337109</t>
  </si>
  <si>
    <t>B8SW166</t>
  </si>
  <si>
    <t>MRAM UQ Equity</t>
  </si>
  <si>
    <t>Everspin Technologies Inc</t>
  </si>
  <si>
    <t>30041T104</t>
  </si>
  <si>
    <t>BDBBW73</t>
  </si>
  <si>
    <t>BIPC UN Equity</t>
  </si>
  <si>
    <t>Gas Utilities</t>
  </si>
  <si>
    <t>TXNM UN Equity</t>
  </si>
  <si>
    <t>TXNM Energy Inc</t>
  </si>
  <si>
    <t>Electric Utilities</t>
  </si>
  <si>
    <t>69349H107</t>
  </si>
  <si>
    <t>2707826</t>
  </si>
  <si>
    <t>STI UQ Equity</t>
  </si>
  <si>
    <t>Solidion Technology Inc</t>
  </si>
  <si>
    <t>834212102</t>
  </si>
  <si>
    <t>BMCGNP5</t>
  </si>
  <si>
    <t>CSR UN Equity</t>
  </si>
  <si>
    <t>Centerspace</t>
  </si>
  <si>
    <t>15202L107</t>
  </si>
  <si>
    <t>BN47P80</t>
  </si>
  <si>
    <t>BTMD UQ Equity</t>
  </si>
  <si>
    <t>FOXF UW Equity</t>
  </si>
  <si>
    <t>Fox Factory Holding Corp</t>
  </si>
  <si>
    <t>35138V102</t>
  </si>
  <si>
    <t>BCRY5K3</t>
  </si>
  <si>
    <t>EVC UN Equity</t>
  </si>
  <si>
    <t>Entravision Communications Cor</t>
  </si>
  <si>
    <t>29382R107</t>
  </si>
  <si>
    <t>2615112</t>
  </si>
  <si>
    <t>MAPS UW Equity</t>
  </si>
  <si>
    <t>WM Technology Inc</t>
  </si>
  <si>
    <t>92971A109</t>
  </si>
  <si>
    <t>BNM4710</t>
  </si>
  <si>
    <t>AMBC UN Equity</t>
  </si>
  <si>
    <t>Ambac Financial Group Inc</t>
  </si>
  <si>
    <t>023139884</t>
  </si>
  <si>
    <t>B7ZKH46</t>
  </si>
  <si>
    <t>REAX UR Equity</t>
  </si>
  <si>
    <t>Real Brokerage Inc/The</t>
  </si>
  <si>
    <t>75585H206</t>
  </si>
  <si>
    <t>BM9W3L2</t>
  </si>
  <si>
    <t>BELFA UW Equity</t>
  </si>
  <si>
    <t>Bel Fuse Inc</t>
  </si>
  <si>
    <t>077347201</t>
  </si>
  <si>
    <t>2279886</t>
  </si>
  <si>
    <t>ARHS UW Equity</t>
  </si>
  <si>
    <t>Arhaus Inc</t>
  </si>
  <si>
    <t>04035M102</t>
  </si>
  <si>
    <t>BNV08M7</t>
  </si>
  <si>
    <t>SMTI UR Equity</t>
  </si>
  <si>
    <t>HUT UW Equity</t>
  </si>
  <si>
    <t>Hut 8 Corp</t>
  </si>
  <si>
    <t>44812J104</t>
  </si>
  <si>
    <t>BQQ8816</t>
  </si>
  <si>
    <t>NRDS UQ Equity</t>
  </si>
  <si>
    <t>NerdWallet Inc</t>
  </si>
  <si>
    <t>64082B102</t>
  </si>
  <si>
    <t>BMTW8S4</t>
  </si>
  <si>
    <t>FLR UN Equity</t>
  </si>
  <si>
    <t>Fluor Corp</t>
  </si>
  <si>
    <t>343412102</t>
  </si>
  <si>
    <t>2696838</t>
  </si>
  <si>
    <t>EBC UW Equity</t>
  </si>
  <si>
    <t>Eastern Bankshares Inc</t>
  </si>
  <si>
    <t>27627N105</t>
  </si>
  <si>
    <t>BMXL9H3</t>
  </si>
  <si>
    <t>CVGI UW Equity</t>
  </si>
  <si>
    <t>Commercial Vehicle Group Inc</t>
  </si>
  <si>
    <t>202608105</t>
  </si>
  <si>
    <t>B02GMS7</t>
  </si>
  <si>
    <t>BATRK UW Equity</t>
  </si>
  <si>
    <t>Atlanta Braves Holdings Inc</t>
  </si>
  <si>
    <t>047726302</t>
  </si>
  <si>
    <t>BRF2GD4</t>
  </si>
  <si>
    <t>FMAO UR Equity</t>
  </si>
  <si>
    <t>Farmers &amp; Merchants Bancorp In</t>
  </si>
  <si>
    <t>30779N105</t>
  </si>
  <si>
    <t>2120865</t>
  </si>
  <si>
    <t>BATRA UW Equity</t>
  </si>
  <si>
    <t>047726104</t>
  </si>
  <si>
    <t>BRF2GC3</t>
  </si>
  <si>
    <t>EBF UN Equity</t>
  </si>
  <si>
    <t>Ennis Inc</t>
  </si>
  <si>
    <t>293389102</t>
  </si>
  <si>
    <t>2316103</t>
  </si>
  <si>
    <t>TPC UN Equity</t>
  </si>
  <si>
    <t>Tutor Perini Corp</t>
  </si>
  <si>
    <t>901109108</t>
  </si>
  <si>
    <t>2681760</t>
  </si>
  <si>
    <t>WS UN Equity</t>
  </si>
  <si>
    <t>Worthington Steel Inc</t>
  </si>
  <si>
    <t>982104101</t>
  </si>
  <si>
    <t>BS70KN1</t>
  </si>
  <si>
    <t>OII UN Equity</t>
  </si>
  <si>
    <t>Oceaneering International Inc</t>
  </si>
  <si>
    <t>675232102</t>
  </si>
  <si>
    <t>2655583</t>
  </si>
  <si>
    <t>CNMD UN Equity</t>
  </si>
  <si>
    <t>HALO UW Equity</t>
  </si>
  <si>
    <t>VHI UN Equity</t>
  </si>
  <si>
    <t>Valhi Inc</t>
  </si>
  <si>
    <t>918905209</t>
  </si>
  <si>
    <t>BMG4NS8</t>
  </si>
  <si>
    <t>EPRT UN Equity</t>
  </si>
  <si>
    <t>Essential Properties Realty Tr</t>
  </si>
  <si>
    <t>29670E107</t>
  </si>
  <si>
    <t>BFFK0X2</t>
  </si>
  <si>
    <t>FCFS UW Equity</t>
  </si>
  <si>
    <t>FirstCash Holdings Inc</t>
  </si>
  <si>
    <t>33768G107</t>
  </si>
  <si>
    <t>BMF5Q83</t>
  </si>
  <si>
    <t>RSI UN Equity</t>
  </si>
  <si>
    <t>Rush Street Interactive Inc</t>
  </si>
  <si>
    <t>782011100</t>
  </si>
  <si>
    <t>BN6R7F9</t>
  </si>
  <si>
    <t>VSH UN Equity</t>
  </si>
  <si>
    <t>Vishay Intertechnology Inc</t>
  </si>
  <si>
    <t>928298108</t>
  </si>
  <si>
    <t>2930149</t>
  </si>
  <si>
    <t>BECN UW Equity</t>
  </si>
  <si>
    <t>Beacon Roofing Supply Inc</t>
  </si>
  <si>
    <t>073685109</t>
  </si>
  <si>
    <t>B02TS99</t>
  </si>
  <si>
    <t>GNW UN Equity</t>
  </si>
  <si>
    <t>Genworth Financial Inc</t>
  </si>
  <si>
    <t>37247D106</t>
  </si>
  <si>
    <t>B011WL6</t>
  </si>
  <si>
    <t>THRY UR Equity</t>
  </si>
  <si>
    <t>Thryv Holdings Inc</t>
  </si>
  <si>
    <t>886029206</t>
  </si>
  <si>
    <t>BMCMWY5</t>
  </si>
  <si>
    <t>LGTY UW Equity</t>
  </si>
  <si>
    <t>Logility Supply Chain Solution</t>
  </si>
  <si>
    <t>029683109</t>
  </si>
  <si>
    <t>2029575</t>
  </si>
  <si>
    <t>LUNG UW Equity</t>
  </si>
  <si>
    <t>KROS UQ Equity</t>
  </si>
  <si>
    <t>AVO UW Equity</t>
  </si>
  <si>
    <t>Mission Produce Inc</t>
  </si>
  <si>
    <t>60510V108</t>
  </si>
  <si>
    <t>BLNPMM4</t>
  </si>
  <si>
    <t>VPG UN Equity</t>
  </si>
  <si>
    <t>Vishay Precision Group Inc</t>
  </si>
  <si>
    <t>92835K103</t>
  </si>
  <si>
    <t>B603LG3</t>
  </si>
  <si>
    <t>CTLP UW Equity</t>
  </si>
  <si>
    <t>Cantaloupe Inc</t>
  </si>
  <si>
    <t>138103106</t>
  </si>
  <si>
    <t>BMH10B0</t>
  </si>
  <si>
    <t>TALO UN Equity</t>
  </si>
  <si>
    <t>Talos Energy Inc</t>
  </si>
  <si>
    <t>87484T108</t>
  </si>
  <si>
    <t>BDT56V9</t>
  </si>
  <si>
    <t>EU UR Equity</t>
  </si>
  <si>
    <t>Encore Energy Corp</t>
  </si>
  <si>
    <t>29259W700</t>
  </si>
  <si>
    <t>BN48970</t>
  </si>
  <si>
    <t>XOMA UQ Equity</t>
  </si>
  <si>
    <t>SYRE UW Equity</t>
  </si>
  <si>
    <t>LZ UW Equity</t>
  </si>
  <si>
    <t>Legalzoom.com Inc</t>
  </si>
  <si>
    <t>52466B103</t>
  </si>
  <si>
    <t>B82GC49</t>
  </si>
  <si>
    <t>CSTL UQ Equity</t>
  </si>
  <si>
    <t>HCAT UW Equity</t>
  </si>
  <si>
    <t>PROK UR Equity</t>
  </si>
  <si>
    <t>XMTR UW Equity</t>
  </si>
  <si>
    <t>Xometry Inc</t>
  </si>
  <si>
    <t>98423F109</t>
  </si>
  <si>
    <t>BP7L5C7</t>
  </si>
  <si>
    <t>AVTE UQ Equity</t>
  </si>
  <si>
    <t>IAS UW Equity</t>
  </si>
  <si>
    <t>Integral Ad Science Holding Co</t>
  </si>
  <si>
    <t>45828L108</t>
  </si>
  <si>
    <t>BP7L3L2</t>
  </si>
  <si>
    <t>INTA UW Equity</t>
  </si>
  <si>
    <t>Intapp Inc</t>
  </si>
  <si>
    <t>45827U109</t>
  </si>
  <si>
    <t>BP7L594</t>
  </si>
  <si>
    <t>CVRX UW Equity</t>
  </si>
  <si>
    <t>MGTX UW Equity</t>
  </si>
  <si>
    <t>JOUT UW Equity</t>
  </si>
  <si>
    <t>Johnson Outdoors Inc</t>
  </si>
  <si>
    <t>479167108</t>
  </si>
  <si>
    <t>2476847</t>
  </si>
  <si>
    <t>UMH UN Equity</t>
  </si>
  <si>
    <t>UMH Properties Inc</t>
  </si>
  <si>
    <t>903002103</t>
  </si>
  <si>
    <t>2908191</t>
  </si>
  <si>
    <t>SPIR UN Equity</t>
  </si>
  <si>
    <t>Spire Global Inc</t>
  </si>
  <si>
    <t>848560306</t>
  </si>
  <si>
    <t>BRC45W5</t>
  </si>
  <si>
    <t>FATE UQ Equity</t>
  </si>
  <si>
    <t>AFRI UR Equity</t>
  </si>
  <si>
    <t>Forafric Global PLC</t>
  </si>
  <si>
    <t>BMY3785</t>
  </si>
  <si>
    <t>NOVA UN Equity</t>
  </si>
  <si>
    <t>Sunnova Energy International I</t>
  </si>
  <si>
    <t>86745K104</t>
  </si>
  <si>
    <t>BJ9N563</t>
  </si>
  <si>
    <t>SHO UN Equity</t>
  </si>
  <si>
    <t>Sunstone Hotel Investors Inc</t>
  </si>
  <si>
    <t>Hotel &amp; Resort REITs</t>
  </si>
  <si>
    <t>867892101</t>
  </si>
  <si>
    <t>B034LG1</t>
  </si>
  <si>
    <t>SONO UW Equity</t>
  </si>
  <si>
    <t>Sonos Inc</t>
  </si>
  <si>
    <t>83570H108</t>
  </si>
  <si>
    <t>BYWPZW7</t>
  </si>
  <si>
    <t>FFWM UN Equity</t>
  </si>
  <si>
    <t>First Foundation Inc</t>
  </si>
  <si>
    <t>32026V104</t>
  </si>
  <si>
    <t>BMMVY68</t>
  </si>
  <si>
    <t>APLT UQ Equity</t>
  </si>
  <si>
    <t>HY UN Equity</t>
  </si>
  <si>
    <t>Hyster-Yale Inc</t>
  </si>
  <si>
    <t>449172105</t>
  </si>
  <si>
    <t>B7LG306</t>
  </si>
  <si>
    <t>FBMS UN Equity</t>
  </si>
  <si>
    <t>First Bancshares Inc/The</t>
  </si>
  <si>
    <t>318916103</t>
  </si>
  <si>
    <t>2184300</t>
  </si>
  <si>
    <t>STR UN Equity</t>
  </si>
  <si>
    <t>Sitio Royalties Corp</t>
  </si>
  <si>
    <t>82983N108</t>
  </si>
  <si>
    <t>BMF9G85</t>
  </si>
  <si>
    <t>ROAD UW Equity</t>
  </si>
  <si>
    <t>Construction Partners Inc</t>
  </si>
  <si>
    <t>21044C107</t>
  </si>
  <si>
    <t>BDT5M66</t>
  </si>
  <si>
    <t>RGLS UR Equity</t>
  </si>
  <si>
    <t>HFFG UR Equity</t>
  </si>
  <si>
    <t>HF Foods Group Inc</t>
  </si>
  <si>
    <t>40417F109</t>
  </si>
  <si>
    <t>BYZLWZ4</t>
  </si>
  <si>
    <t>IIPR UN Equity</t>
  </si>
  <si>
    <t>Innovative Industrial Properti</t>
  </si>
  <si>
    <t>Industrial REITs</t>
  </si>
  <si>
    <t>45781V101</t>
  </si>
  <si>
    <t>BD0NN55</t>
  </si>
  <si>
    <t>GRWG UR Equity</t>
  </si>
  <si>
    <t>GrowGeneration Corp</t>
  </si>
  <si>
    <t>39986L109</t>
  </si>
  <si>
    <t>BZ159N4</t>
  </si>
  <si>
    <t>GNTY UN Equity</t>
  </si>
  <si>
    <t>Guaranty Bancshares Inc/TX</t>
  </si>
  <si>
    <t>400764106</t>
  </si>
  <si>
    <t>2503035</t>
  </si>
  <si>
    <t>AMPH UW Equity</t>
  </si>
  <si>
    <t>REX UN Equity</t>
  </si>
  <si>
    <t>REX American Resources Corp</t>
  </si>
  <si>
    <t>761624105</t>
  </si>
  <si>
    <t>2063670</t>
  </si>
  <si>
    <t>BRY UW Equity</t>
  </si>
  <si>
    <t>Berry Corp</t>
  </si>
  <si>
    <t>08579X101</t>
  </si>
  <si>
    <t>BF01Q65</t>
  </si>
  <si>
    <t>BRT UN Equity</t>
  </si>
  <si>
    <t>BRT Apartments Corp</t>
  </si>
  <si>
    <t>055645303</t>
  </si>
  <si>
    <t>2068512</t>
  </si>
  <si>
    <t>TENB UW Equity</t>
  </si>
  <si>
    <t>Tenable Holdings Inc</t>
  </si>
  <si>
    <t>88025T102</t>
  </si>
  <si>
    <t>BF7J7N6</t>
  </si>
  <si>
    <t>RELY UW Equity</t>
  </si>
  <si>
    <t>Remitly Global Inc</t>
  </si>
  <si>
    <t>75960P104</t>
  </si>
  <si>
    <t>BNZJHH8</t>
  </si>
  <si>
    <t>CDE UN Equity</t>
  </si>
  <si>
    <t>Coeur Mining Inc</t>
  </si>
  <si>
    <t>192108504</t>
  </si>
  <si>
    <t>2208136</t>
  </si>
  <si>
    <t>XPRO UN Equity</t>
  </si>
  <si>
    <t>Expro Group Holdings NV</t>
  </si>
  <si>
    <t>BCRY5H0</t>
  </si>
  <si>
    <t>FUBO UN Equity</t>
  </si>
  <si>
    <t>fuboTV Inc</t>
  </si>
  <si>
    <t>35953D104</t>
  </si>
  <si>
    <t>BMW4TN9</t>
  </si>
  <si>
    <t>BV UN Equity</t>
  </si>
  <si>
    <t>BrightView Holdings Inc</t>
  </si>
  <si>
    <t>10948C107</t>
  </si>
  <si>
    <t>BG0ZML1</t>
  </si>
  <si>
    <t>KRT UW Equity</t>
  </si>
  <si>
    <t>Karat Packaging Inc</t>
  </si>
  <si>
    <t>48563L101</t>
  </si>
  <si>
    <t>BKDZ6W5</t>
  </si>
  <si>
    <t>TBBK UW Equity</t>
  </si>
  <si>
    <t>Bancorp Inc/The</t>
  </si>
  <si>
    <t>05969A105</t>
  </si>
  <si>
    <t>B05BRL7</t>
  </si>
  <si>
    <t>VTYX UW Equity</t>
  </si>
  <si>
    <t>COCO UW Equity</t>
  </si>
  <si>
    <t>Vita Coco Co Inc/The</t>
  </si>
  <si>
    <t>Beverages</t>
  </si>
  <si>
    <t>92846Q107</t>
  </si>
  <si>
    <t>BMHRMK1</t>
  </si>
  <si>
    <t>PTLO UW Equity</t>
  </si>
  <si>
    <t>Portillo's Inc</t>
  </si>
  <si>
    <t>73642K106</t>
  </si>
  <si>
    <t>BNV0RN1</t>
  </si>
  <si>
    <t>HL UN Equity</t>
  </si>
  <si>
    <t>Hecla Mining Co</t>
  </si>
  <si>
    <t>422704106</t>
  </si>
  <si>
    <t>2418601</t>
  </si>
  <si>
    <t>FVCB UR Equity</t>
  </si>
  <si>
    <t>FVCBankcorp Inc</t>
  </si>
  <si>
    <t>36120Q101</t>
  </si>
  <si>
    <t>BY7RH33</t>
  </si>
  <si>
    <t>SVC UW Equity</t>
  </si>
  <si>
    <t>Service Properties Trust</t>
  </si>
  <si>
    <t>81761L102</t>
  </si>
  <si>
    <t>BKRT1C8</t>
  </si>
  <si>
    <t>DHC UW Equity</t>
  </si>
  <si>
    <t>Diversified Healthcare Trust</t>
  </si>
  <si>
    <t>25525P107</t>
  </si>
  <si>
    <t>BKRN595</t>
  </si>
  <si>
    <t>HRI UN Equity</t>
  </si>
  <si>
    <t>Herc Holdings Inc</t>
  </si>
  <si>
    <t>42704L104</t>
  </si>
  <si>
    <t>BZBZ020</t>
  </si>
  <si>
    <t>NHI UN Equity</t>
  </si>
  <si>
    <t>National Health Investors Inc</t>
  </si>
  <si>
    <t>63633D104</t>
  </si>
  <si>
    <t>2626125</t>
  </si>
  <si>
    <t>PAR UN Equity</t>
  </si>
  <si>
    <t>PAR Technology Corp</t>
  </si>
  <si>
    <t>698884103</t>
  </si>
  <si>
    <t>2670036</t>
  </si>
  <si>
    <t>OUT UN Equity</t>
  </si>
  <si>
    <t>Outfront Media Inc</t>
  </si>
  <si>
    <t>Specialized REITs</t>
  </si>
  <si>
    <t>RES UN Equity</t>
  </si>
  <si>
    <t>RPC Inc</t>
  </si>
  <si>
    <t>749660106</t>
  </si>
  <si>
    <t>2719456</t>
  </si>
  <si>
    <t>AMWD UW Equity</t>
  </si>
  <si>
    <t>American Woodmark Corp</t>
  </si>
  <si>
    <t>030506109</t>
  </si>
  <si>
    <t>2030674</t>
  </si>
  <si>
    <t>LWLG UR Equity</t>
  </si>
  <si>
    <t>Lightwave Logic Inc</t>
  </si>
  <si>
    <t>532275104</t>
  </si>
  <si>
    <t>B01Y8Q2</t>
  </si>
  <si>
    <t>TCI UN Equity</t>
  </si>
  <si>
    <t>Transcontinental Realty Invest</t>
  </si>
  <si>
    <t>893617209</t>
  </si>
  <si>
    <t>2901480</t>
  </si>
  <si>
    <t>LUNR UQ Equity</t>
  </si>
  <si>
    <t>Intuitive Machines Inc</t>
  </si>
  <si>
    <t>46125A100</t>
  </si>
  <si>
    <t>BNHTR54</t>
  </si>
  <si>
    <t>TWIN UW Equity</t>
  </si>
  <si>
    <t>Twin Disc Inc</t>
  </si>
  <si>
    <t>901476101</t>
  </si>
  <si>
    <t>2908685</t>
  </si>
  <si>
    <t>AGL UN Equity</t>
  </si>
  <si>
    <t>WMK UN Equity</t>
  </si>
  <si>
    <t>Weis Markets Inc</t>
  </si>
  <si>
    <t>948849104</t>
  </si>
  <si>
    <t>2946845</t>
  </si>
  <si>
    <t>VMD UR Equity</t>
  </si>
  <si>
    <t>GOCO UR Equity</t>
  </si>
  <si>
    <t>GoHealth Inc</t>
  </si>
  <si>
    <t>38046W204</t>
  </si>
  <si>
    <t>BP5JF56</t>
  </si>
  <si>
    <t>ALKS UW Equity</t>
  </si>
  <si>
    <t>AMSC UW Equity</t>
  </si>
  <si>
    <t>American Superconductor Corp</t>
  </si>
  <si>
    <t>030111207</t>
  </si>
  <si>
    <t>BWH64F7</t>
  </si>
  <si>
    <t>SKWD UW Equity</t>
  </si>
  <si>
    <t>Skyward Specialty Insurance Gr</t>
  </si>
  <si>
    <t>830940102</t>
  </si>
  <si>
    <t>BNNMQS3</t>
  </si>
  <si>
    <t>TVGN UQ Equity</t>
  </si>
  <si>
    <t>RBB UW Equity</t>
  </si>
  <si>
    <t>RBB Bancorp</t>
  </si>
  <si>
    <t>74930B105</t>
  </si>
  <si>
    <t>B8BBRW8</t>
  </si>
  <si>
    <t>UPWK UW Equity</t>
  </si>
  <si>
    <t>Upwork Inc</t>
  </si>
  <si>
    <t>91688F104</t>
  </si>
  <si>
    <t>BGRFWV4</t>
  </si>
  <si>
    <t>ARLO UN Equity</t>
  </si>
  <si>
    <t>Arlo Technologies Inc</t>
  </si>
  <si>
    <t>04206A101</t>
  </si>
  <si>
    <t>BYWPZY9</t>
  </si>
  <si>
    <t>COGT UW Equity</t>
  </si>
  <si>
    <t>MAC UN Equity</t>
  </si>
  <si>
    <t>Macerich Co/The</t>
  </si>
  <si>
    <t>554382101</t>
  </si>
  <si>
    <t>2543967</t>
  </si>
  <si>
    <t>649445400</t>
  </si>
  <si>
    <t>BT6MM39</t>
  </si>
  <si>
    <t>LILA UW Equity</t>
  </si>
  <si>
    <t>Liberty Latin America Ltd</t>
  </si>
  <si>
    <t>BD9Q3P5</t>
  </si>
  <si>
    <t>LILAK UW Equity</t>
  </si>
  <si>
    <t>BD9Q3Q6</t>
  </si>
  <si>
    <t>ESRT UN Equity</t>
  </si>
  <si>
    <t>Empire State Realty Trust Inc</t>
  </si>
  <si>
    <t>292104106</t>
  </si>
  <si>
    <t>BF321D7</t>
  </si>
  <si>
    <t>BOOM UW Equity</t>
  </si>
  <si>
    <t>DMC Global Inc</t>
  </si>
  <si>
    <t>23291C103</t>
  </si>
  <si>
    <t>BYN8NH6</t>
  </si>
  <si>
    <t>BXC UN Equity</t>
  </si>
  <si>
    <t>BlueLinx Holdings Inc</t>
  </si>
  <si>
    <t>09624H208</t>
  </si>
  <si>
    <t>BYQLZ65</t>
  </si>
  <si>
    <t>RMAX UN Equity</t>
  </si>
  <si>
    <t>RE/MAX Holdings Inc</t>
  </si>
  <si>
    <t>75524W108</t>
  </si>
  <si>
    <t>BF23JJ3</t>
  </si>
  <si>
    <t>TPIC UQ Equity</t>
  </si>
  <si>
    <t>TPI Composites Inc</t>
  </si>
  <si>
    <t>87266J104</t>
  </si>
  <si>
    <t>BYYGK12</t>
  </si>
  <si>
    <t>SVV UN Equity</t>
  </si>
  <si>
    <t>Savers Value Village Inc</t>
  </si>
  <si>
    <t>Broadline Retail</t>
  </si>
  <si>
    <t>80517M109</t>
  </si>
  <si>
    <t>BQLSDL6</t>
  </si>
  <si>
    <t>FIHL UN Equity</t>
  </si>
  <si>
    <t>Fidelis Insurance Holdings Ltd</t>
  </si>
  <si>
    <t>BQLSDH2</t>
  </si>
  <si>
    <t>YMAB UW Equity</t>
  </si>
  <si>
    <t>KGS UN Equity</t>
  </si>
  <si>
    <t>Kodiak Gas Services Inc</t>
  </si>
  <si>
    <t>50012A108</t>
  </si>
  <si>
    <t>BQLSDK5</t>
  </si>
  <si>
    <t>STEM UN Equity</t>
  </si>
  <si>
    <t>Stem Inc</t>
  </si>
  <si>
    <t>85859N102</t>
  </si>
  <si>
    <t>BNHTRL0</t>
  </si>
  <si>
    <t>LCTX UA Equity</t>
  </si>
  <si>
    <t>CHGG UN Equity</t>
  </si>
  <si>
    <t>Chegg Inc</t>
  </si>
  <si>
    <t>163092109</t>
  </si>
  <si>
    <t>BG6N6K6</t>
  </si>
  <si>
    <t>LQDA UR Equity</t>
  </si>
  <si>
    <t>RDNT UQ Equity</t>
  </si>
  <si>
    <t>YELP UN Equity</t>
  </si>
  <si>
    <t>Yelp Inc</t>
  </si>
  <si>
    <t>985817105</t>
  </si>
  <si>
    <t>B7KCD72</t>
  </si>
  <si>
    <t>HSHP UN Equity</t>
  </si>
  <si>
    <t>Himalaya Shipping Ltd</t>
  </si>
  <si>
    <t>Marine Transportation</t>
  </si>
  <si>
    <t>BMW64P2</t>
  </si>
  <si>
    <t>VTSI UR Equity</t>
  </si>
  <si>
    <t>VirTra Inc</t>
  </si>
  <si>
    <t>92827K301</t>
  </si>
  <si>
    <t>BFYNPH1</t>
  </si>
  <si>
    <t>CPK UN Equity</t>
  </si>
  <si>
    <t>Chesapeake Utilities Corp</t>
  </si>
  <si>
    <t>165303108</t>
  </si>
  <si>
    <t>2190750</t>
  </si>
  <si>
    <t>CDZI UQ Equity</t>
  </si>
  <si>
    <t>Cadiz Inc</t>
  </si>
  <si>
    <t>127537207</t>
  </si>
  <si>
    <t>2238661</t>
  </si>
  <si>
    <t>STOK UW Equity</t>
  </si>
  <si>
    <t>REI UA Equity</t>
  </si>
  <si>
    <t>Ring Energy Inc</t>
  </si>
  <si>
    <t>76680V108</t>
  </si>
  <si>
    <t>B1TGYD6</t>
  </si>
  <si>
    <t>EMBC UW Equity</t>
  </si>
  <si>
    <t>CATX UA Equity</t>
  </si>
  <si>
    <t>PRG UN Equity</t>
  </si>
  <si>
    <t>PROG Holdings Inc</t>
  </si>
  <si>
    <t>74319R101</t>
  </si>
  <si>
    <t>BLFGN66</t>
  </si>
  <si>
    <t>CTV UN Equity</t>
  </si>
  <si>
    <t>Innovid Corp</t>
  </si>
  <si>
    <t>457679108</t>
  </si>
  <si>
    <t>BNR5C13</t>
  </si>
  <si>
    <t>IIIV UW Equity</t>
  </si>
  <si>
    <t>I3 Verticals Inc</t>
  </si>
  <si>
    <t>46571Y107</t>
  </si>
  <si>
    <t>BF2G4D1</t>
  </si>
  <si>
    <t>NEWT UQ Equity</t>
  </si>
  <si>
    <t>NewtekOne Inc</t>
  </si>
  <si>
    <t>652526203</t>
  </si>
  <si>
    <t>BRWZXQ8</t>
  </si>
  <si>
    <t>NPWR UN Equity</t>
  </si>
  <si>
    <t>Net Power Inc</t>
  </si>
  <si>
    <t>64107A105</t>
  </si>
  <si>
    <t>BRDV332</t>
  </si>
  <si>
    <t>UPST UW Equity</t>
  </si>
  <si>
    <t>Upstart Holdings Inc</t>
  </si>
  <si>
    <t>91680M107</t>
  </si>
  <si>
    <t>BL53QN5</t>
  </si>
  <si>
    <t>SLVM UN Equity</t>
  </si>
  <si>
    <t>Sylvamo Corp</t>
  </si>
  <si>
    <t>Paper &amp; Forest Products</t>
  </si>
  <si>
    <t>871332102</t>
  </si>
  <si>
    <t>BMW72C8</t>
  </si>
  <si>
    <t>SWTX UW Equity</t>
  </si>
  <si>
    <t>ALRS UR Equity</t>
  </si>
  <si>
    <t>Alerus Financial Corp</t>
  </si>
  <si>
    <t>01446U103</t>
  </si>
  <si>
    <t>2679141</t>
  </si>
  <si>
    <t>ZUO UN Equity</t>
  </si>
  <si>
    <t>Zuora Inc</t>
  </si>
  <si>
    <t>98983V106</t>
  </si>
  <si>
    <t>BFXZB14</t>
  </si>
  <si>
    <t>ICFI UW Equity</t>
  </si>
  <si>
    <t>ICF International Inc</t>
  </si>
  <si>
    <t>44925C103</t>
  </si>
  <si>
    <t>B1FP363</t>
  </si>
  <si>
    <t>SEM UN Equity</t>
  </si>
  <si>
    <t>LMND UN Equity</t>
  </si>
  <si>
    <t>Lemonade Inc</t>
  </si>
  <si>
    <t>52567D107</t>
  </si>
  <si>
    <t>BMGNTQ5</t>
  </si>
  <si>
    <t>SFBS UN Equity</t>
  </si>
  <si>
    <t>ServisFirst Bancshares Inc</t>
  </si>
  <si>
    <t>81768T108</t>
  </si>
  <si>
    <t>BMH0MP5</t>
  </si>
  <si>
    <t>OBK UN Equity</t>
  </si>
  <si>
    <t>Origin Bancorp Inc</t>
  </si>
  <si>
    <t>68621T102</t>
  </si>
  <si>
    <t>BDFFBM9</t>
  </si>
  <si>
    <t>ARQ UQ Equity</t>
  </si>
  <si>
    <t>Arq Inc</t>
  </si>
  <si>
    <t>00770C101</t>
  </si>
  <si>
    <t>BBXZ194</t>
  </si>
  <si>
    <t>BFH UN Equity</t>
  </si>
  <si>
    <t>Bread Financial Holdings Inc</t>
  </si>
  <si>
    <t>018581108</t>
  </si>
  <si>
    <t>2762030</t>
  </si>
  <si>
    <t>VLY UW Equity</t>
  </si>
  <si>
    <t>Valley National Bancorp</t>
  </si>
  <si>
    <t>919794107</t>
  </si>
  <si>
    <t>2935326</t>
  </si>
  <si>
    <t>ACDC UW Equity</t>
  </si>
  <si>
    <t>ProFrac Holding Corp</t>
  </si>
  <si>
    <t>74319N100</t>
  </si>
  <si>
    <t>BPCJW03</t>
  </si>
  <si>
    <t>EPC UN Equity</t>
  </si>
  <si>
    <t>Edgewell Personal Care Co</t>
  </si>
  <si>
    <t>Personal Care Products</t>
  </si>
  <si>
    <t>28035Q102</t>
  </si>
  <si>
    <t>BX8ZSB4</t>
  </si>
  <si>
    <t>NAVI UW Equity</t>
  </si>
  <si>
    <t>Navient Corp</t>
  </si>
  <si>
    <t>63938C108</t>
  </si>
  <si>
    <t>BLP5GX1</t>
  </si>
  <si>
    <t>CSWI UW Equity</t>
  </si>
  <si>
    <t>CSW Industrials Inc</t>
  </si>
  <si>
    <t>126402106</t>
  </si>
  <si>
    <t>BYQD1J6</t>
  </si>
  <si>
    <t>TRDA UQ Equity</t>
  </si>
  <si>
    <t>PJT UN Equity</t>
  </si>
  <si>
    <t>PJT Partners Inc</t>
  </si>
  <si>
    <t>69343T107</t>
  </si>
  <si>
    <t>BYNWB63</t>
  </si>
  <si>
    <t>MDXG UR Equity</t>
  </si>
  <si>
    <t>AURA UQ Equity</t>
  </si>
  <si>
    <t>AIRS UQ Equity</t>
  </si>
  <si>
    <t>CCO UN Equity</t>
  </si>
  <si>
    <t>Clear Channel Outdoor Holdings</t>
  </si>
  <si>
    <t>18453H106</t>
  </si>
  <si>
    <t>BJHVCH9</t>
  </si>
  <si>
    <t>WTTR UN Equity</t>
  </si>
  <si>
    <t>Select Water Solutions Inc</t>
  </si>
  <si>
    <t>81617J301</t>
  </si>
  <si>
    <t>BDHSLL5</t>
  </si>
  <si>
    <t>UDMY UW Equity</t>
  </si>
  <si>
    <t>Udemy Inc</t>
  </si>
  <si>
    <t>902685106</t>
  </si>
  <si>
    <t>BPBLNG3</t>
  </si>
  <si>
    <t>HLF UN Equity</t>
  </si>
  <si>
    <t>Herbalife Ltd</t>
  </si>
  <si>
    <t>B0539H3</t>
  </si>
  <si>
    <t>QLYS UW Equity</t>
  </si>
  <si>
    <t>Qualys Inc</t>
  </si>
  <si>
    <t>74758T303</t>
  </si>
  <si>
    <t>B7XJTN8</t>
  </si>
  <si>
    <t>ULH UW Equity</t>
  </si>
  <si>
    <t>Universal Logistics Holdings I</t>
  </si>
  <si>
    <t>Ground Transportation</t>
  </si>
  <si>
    <t>91388P105</t>
  </si>
  <si>
    <t>B066PX9</t>
  </si>
  <si>
    <t>ESQ UR Equity</t>
  </si>
  <si>
    <t>Esquire Financial Holdings Inc</t>
  </si>
  <si>
    <t>29667J101</t>
  </si>
  <si>
    <t>BD5G1Z5</t>
  </si>
  <si>
    <t>QTTB UQ Equity</t>
  </si>
  <si>
    <t>PUMP UN Equity</t>
  </si>
  <si>
    <t>ProPetro Holding Corp</t>
  </si>
  <si>
    <t>74347M108</t>
  </si>
  <si>
    <t>BYXR9C0</t>
  </si>
  <si>
    <t>RAPP UQ Equity</t>
  </si>
  <si>
    <t>WAY UW Equity</t>
  </si>
  <si>
    <t>AMTB UN Equity</t>
  </si>
  <si>
    <t>Amerant Bancorp Inc</t>
  </si>
  <si>
    <t>023576101</t>
  </si>
  <si>
    <t>BKDSMB5</t>
  </si>
  <si>
    <t>EXLS UW Equity</t>
  </si>
  <si>
    <t>ExlService Holdings Inc</t>
  </si>
  <si>
    <t>302081104</t>
  </si>
  <si>
    <t>B07LST0</t>
  </si>
  <si>
    <t>BWMN UQ Equity</t>
  </si>
  <si>
    <t>Bowman Consulting Group Ltd</t>
  </si>
  <si>
    <t>103002101</t>
  </si>
  <si>
    <t>BNYKJK9</t>
  </si>
  <si>
    <t>BAER UQ Equity</t>
  </si>
  <si>
    <t>Bridger Aerospace Group Holdin</t>
  </si>
  <si>
    <t>96812F102</t>
  </si>
  <si>
    <t>BP9N0F9</t>
  </si>
  <si>
    <t>CVBF UW Equity</t>
  </si>
  <si>
    <t>CVB Financial Corp</t>
  </si>
  <si>
    <t>126600105</t>
  </si>
  <si>
    <t>2160645</t>
  </si>
  <si>
    <t>RVMD UW Equity</t>
  </si>
  <si>
    <t>USPH UN Equity</t>
  </si>
  <si>
    <t>HQI UR Equity</t>
  </si>
  <si>
    <t>HireQuest Inc</t>
  </si>
  <si>
    <t>433535101</t>
  </si>
  <si>
    <t>BKV2L01</t>
  </si>
  <si>
    <t>PI UW Equity</t>
  </si>
  <si>
    <t>Impinj Inc</t>
  </si>
  <si>
    <t>453204109</t>
  </si>
  <si>
    <t>BYYGJZ9</t>
  </si>
  <si>
    <t>CVCO UW Equity</t>
  </si>
  <si>
    <t>Cavco Industries Inc</t>
  </si>
  <si>
    <t>149568107</t>
  </si>
  <si>
    <t>2787022</t>
  </si>
  <si>
    <t>ARWR UW Equity</t>
  </si>
  <si>
    <t>FIP UW Equity</t>
  </si>
  <si>
    <t>FTAI Infrastructure Inc</t>
  </si>
  <si>
    <t>35953C106</t>
  </si>
  <si>
    <t>BPSJQ05</t>
  </si>
  <si>
    <t>VRRM UR Equity</t>
  </si>
  <si>
    <t>Verra Mobility Corp</t>
  </si>
  <si>
    <t>92511U102</t>
  </si>
  <si>
    <t>BFXX5X8</t>
  </si>
  <si>
    <t>ARAY UW Equity</t>
  </si>
  <si>
    <t>GLDD UW Equity</t>
  </si>
  <si>
    <t>Great Lakes Dredge &amp; Dock Corp</t>
  </si>
  <si>
    <t>390607109</t>
  </si>
  <si>
    <t>B1LDZK9</t>
  </si>
  <si>
    <t>ADMA UQ Equity</t>
  </si>
  <si>
    <t>NBN UQ Equity</t>
  </si>
  <si>
    <t>Northeast Bank</t>
  </si>
  <si>
    <t>66405S100</t>
  </si>
  <si>
    <t>BJXSDM6</t>
  </si>
  <si>
    <t>TRVI UQ Equity</t>
  </si>
  <si>
    <t>TTSH UR Equity</t>
  </si>
  <si>
    <t>Tile Shop Holdings Inc</t>
  </si>
  <si>
    <t>88677Q109</t>
  </si>
  <si>
    <t>B8394K7</t>
  </si>
  <si>
    <t>ACT UW Equity</t>
  </si>
  <si>
    <t>Enact Holdings Inc</t>
  </si>
  <si>
    <t>29249E109</t>
  </si>
  <si>
    <t>BNZFTG9</t>
  </si>
  <si>
    <t>CWT UN Equity</t>
  </si>
  <si>
    <t>California Water Service Group</t>
  </si>
  <si>
    <t>130788102</t>
  </si>
  <si>
    <t>2165383</t>
  </si>
  <si>
    <t>OFLX UQ Equity</t>
  </si>
  <si>
    <t>Omega Flex Inc</t>
  </si>
  <si>
    <t>682095104</t>
  </si>
  <si>
    <t>B0FPH75</t>
  </si>
  <si>
    <t>DOMO UQ Equity</t>
  </si>
  <si>
    <t>Domo Inc</t>
  </si>
  <si>
    <t>257554105</t>
  </si>
  <si>
    <t>BFZNZC5</t>
  </si>
  <si>
    <t>TDS UN Equity</t>
  </si>
  <si>
    <t>Telephone and Data Systems Inc</t>
  </si>
  <si>
    <t>Wireless Telecommunication Services</t>
  </si>
  <si>
    <t>879433829</t>
  </si>
  <si>
    <t>B6YR5K3</t>
  </si>
  <si>
    <t>CTRN UW Equity</t>
  </si>
  <si>
    <t>Citi Trends Inc</t>
  </si>
  <si>
    <t>17306X102</t>
  </si>
  <si>
    <t>B06FLD8</t>
  </si>
  <si>
    <t>AEO UN Equity</t>
  </si>
  <si>
    <t>American Eagle Outfitters Inc</t>
  </si>
  <si>
    <t>02553E106</t>
  </si>
  <si>
    <t>2048592</t>
  </si>
  <si>
    <t>DBI UN Equity</t>
  </si>
  <si>
    <t>Designer Brands Inc</t>
  </si>
  <si>
    <t>250565108</t>
  </si>
  <si>
    <t>BJ9J282</t>
  </si>
  <si>
    <t>NVRI UN Equity</t>
  </si>
  <si>
    <t>Enviri Corp</t>
  </si>
  <si>
    <t>415864107</t>
  </si>
  <si>
    <t>2412700</t>
  </si>
  <si>
    <t>EXPI UQ Equity</t>
  </si>
  <si>
    <t>eXp World Holdings Inc</t>
  </si>
  <si>
    <t>30212W100</t>
  </si>
  <si>
    <t>BDH2902</t>
  </si>
  <si>
    <t>JBSS UW Equity</t>
  </si>
  <si>
    <t>John B Sanfilippo &amp; Son Inc</t>
  </si>
  <si>
    <t>800422107</t>
  </si>
  <si>
    <t>2772998</t>
  </si>
  <si>
    <t>DCO UN Equity</t>
  </si>
  <si>
    <t>Ducommun Inc</t>
  </si>
  <si>
    <t>264147109</t>
  </si>
  <si>
    <t>2283229</t>
  </si>
  <si>
    <t>PDFS UW Equity</t>
  </si>
  <si>
    <t>PDF Solutions Inc</t>
  </si>
  <si>
    <t>693282105</t>
  </si>
  <si>
    <t>2782425</t>
  </si>
  <si>
    <t>MYGN UW Equity</t>
  </si>
  <si>
    <t>SAMG UQ Equity</t>
  </si>
  <si>
    <t>Silvercrest Asset Management G</t>
  </si>
  <si>
    <t>828359109</t>
  </si>
  <si>
    <t>B8XBPS8</t>
  </si>
  <si>
    <t>IRT UN Equity</t>
  </si>
  <si>
    <t>Independence Realty Trust Inc</t>
  </si>
  <si>
    <t>45378A106</t>
  </si>
  <si>
    <t>BCRYTK1</t>
  </si>
  <si>
    <t>UVE UN Equity</t>
  </si>
  <si>
    <t>Universal Insurance Holdings I</t>
  </si>
  <si>
    <t>91359V107</t>
  </si>
  <si>
    <t>2912374</t>
  </si>
  <si>
    <t>DGICA UW Equity</t>
  </si>
  <si>
    <t>Donegal Group Inc</t>
  </si>
  <si>
    <t>257701201</t>
  </si>
  <si>
    <t>2752730</t>
  </si>
  <si>
    <t>PRVA UW Equity</t>
  </si>
  <si>
    <t>ARRY UQ Equity</t>
  </si>
  <si>
    <t>Array Technologies Inc</t>
  </si>
  <si>
    <t>04271T100</t>
  </si>
  <si>
    <t>BLBLMD5</t>
  </si>
  <si>
    <t>TNDM UQ Equity</t>
  </si>
  <si>
    <t>RXRX UW Equity</t>
  </si>
  <si>
    <t>AVAH UW Equity</t>
  </si>
  <si>
    <t>AKYA UW Equity</t>
  </si>
  <si>
    <t>DLHC UR Equity</t>
  </si>
  <si>
    <t>DLH Holdings Corp</t>
  </si>
  <si>
    <t>23335Q100</t>
  </si>
  <si>
    <t>B43T7G6</t>
  </si>
  <si>
    <t>BMEA UW Equity</t>
  </si>
  <si>
    <t>PCB UW Equity</t>
  </si>
  <si>
    <t>PCB Bancorp</t>
  </si>
  <si>
    <t>69320M109</t>
  </si>
  <si>
    <t>BKLTT20</t>
  </si>
  <si>
    <t>EVLV UR Equity</t>
  </si>
  <si>
    <t>Evolv Technologies Holdings In</t>
  </si>
  <si>
    <t>30049H102</t>
  </si>
  <si>
    <t>BP48CK8</t>
  </si>
  <si>
    <t>CURV UN Equity</t>
  </si>
  <si>
    <t>Torrid Holdings Inc</t>
  </si>
  <si>
    <t>89142B107</t>
  </si>
  <si>
    <t>BMBR9W8</t>
  </si>
  <si>
    <t>PAYS UR Equity</t>
  </si>
  <si>
    <t>Paysign Inc</t>
  </si>
  <si>
    <t>70451A104</t>
  </si>
  <si>
    <t>BJRFDF6</t>
  </si>
  <si>
    <t>LXFR UN Equity</t>
  </si>
  <si>
    <t>Luxfer Holdings PLC</t>
  </si>
  <si>
    <t>BF5GRT5</t>
  </si>
  <si>
    <t>GPRO UW Equity</t>
  </si>
  <si>
    <t>GoPro Inc</t>
  </si>
  <si>
    <t>38268T103</t>
  </si>
  <si>
    <t>BMNQC35</t>
  </si>
  <si>
    <t>DJCO UR Equity</t>
  </si>
  <si>
    <t>Daily Journal Corp</t>
  </si>
  <si>
    <t>233912104</t>
  </si>
  <si>
    <t>2251583</t>
  </si>
  <si>
    <t>KRYS UW Equity</t>
  </si>
  <si>
    <t>SD UN Equity</t>
  </si>
  <si>
    <t>SandRidge Energy Inc</t>
  </si>
  <si>
    <t>80007P869</t>
  </si>
  <si>
    <t>BD1XH30</t>
  </si>
  <si>
    <t>STEL UN Equity</t>
  </si>
  <si>
    <t>Stellar Bancorp Inc</t>
  </si>
  <si>
    <t>858927106</t>
  </si>
  <si>
    <t>BQBCZY5</t>
  </si>
  <si>
    <t>CCSI UW Equity</t>
  </si>
  <si>
    <t>Consensus Cloud Solutions Inc</t>
  </si>
  <si>
    <t>20848V105</t>
  </si>
  <si>
    <t>BMXZF55</t>
  </si>
  <si>
    <t>BGC UW Equity</t>
  </si>
  <si>
    <t>BGC Group Inc</t>
  </si>
  <si>
    <t>088929104</t>
  </si>
  <si>
    <t>BRJTVC5</t>
  </si>
  <si>
    <t>SLG UN Equity</t>
  </si>
  <si>
    <t>SL Green Realty Corp</t>
  </si>
  <si>
    <t>78440X887</t>
  </si>
  <si>
    <t>BPGKM57</t>
  </si>
  <si>
    <t>HTZ UW Equity</t>
  </si>
  <si>
    <t>Hertz Global Holdings Inc</t>
  </si>
  <si>
    <t>42806J700</t>
  </si>
  <si>
    <t>BNM5672</t>
  </si>
  <si>
    <t>LMB UR Equity</t>
  </si>
  <si>
    <t>Limbach Holdings Inc</t>
  </si>
  <si>
    <t>53263P105</t>
  </si>
  <si>
    <t>BDCD1P9</t>
  </si>
  <si>
    <t>AMR UN Equity</t>
  </si>
  <si>
    <t>Alpha Metallurgical Resources</t>
  </si>
  <si>
    <t>020764106</t>
  </si>
  <si>
    <t>BMFND53</t>
  </si>
  <si>
    <t>CADL UQ Equity</t>
  </si>
  <si>
    <t>EBTC UW Equity</t>
  </si>
  <si>
    <t>Enterprise Bancorp Inc/MA</t>
  </si>
  <si>
    <t>293668109</t>
  </si>
  <si>
    <t>B00K2L4</t>
  </si>
  <si>
    <t>PGEN UW Equity</t>
  </si>
  <si>
    <t>HBCP UW Equity</t>
  </si>
  <si>
    <t>Home Bancorp Inc</t>
  </si>
  <si>
    <t>43689E107</t>
  </si>
  <si>
    <t>B39XGV3</t>
  </si>
  <si>
    <t>AROC UN Equity</t>
  </si>
  <si>
    <t>Archrock Inc</t>
  </si>
  <si>
    <t>03957W106</t>
  </si>
  <si>
    <t>BYRGSX7</t>
  </si>
  <si>
    <t>ATEX UR Equity</t>
  </si>
  <si>
    <t>Anterix Inc</t>
  </si>
  <si>
    <t>03676C100</t>
  </si>
  <si>
    <t>BJVNMJ3</t>
  </si>
  <si>
    <t>HTBI UW Equity</t>
  </si>
  <si>
    <t>HomeTrust Bancshares Inc</t>
  </si>
  <si>
    <t>437872104</t>
  </si>
  <si>
    <t>B84T2F7</t>
  </si>
  <si>
    <t>PCRX UW Equity</t>
  </si>
  <si>
    <t>NARI UW Equity</t>
  </si>
  <si>
    <t>SAFE UN Equity</t>
  </si>
  <si>
    <t>Safehold Inc</t>
  </si>
  <si>
    <t>78646V107</t>
  </si>
  <si>
    <t>BMDBB99</t>
  </si>
  <si>
    <t>CDNA UQ Equity</t>
  </si>
  <si>
    <t>MKTW UQ Equity</t>
  </si>
  <si>
    <t>MarketWise Inc</t>
  </si>
  <si>
    <t>57064P107</t>
  </si>
  <si>
    <t>BNBPGK6</t>
  </si>
  <si>
    <t>ATRC UQ Equity</t>
  </si>
  <si>
    <t>SPSC UW Equity</t>
  </si>
  <si>
    <t>SPS Commerce Inc</t>
  </si>
  <si>
    <t>78463M107</t>
  </si>
  <si>
    <t>B57VWJ3</t>
  </si>
  <si>
    <t>ABCB UN Equity</t>
  </si>
  <si>
    <t>Ameris Bancorp</t>
  </si>
  <si>
    <t>03076K108</t>
  </si>
  <si>
    <t>2038849</t>
  </si>
  <si>
    <t>NVRO UN Equity</t>
  </si>
  <si>
    <t>KLTR UW Equity</t>
  </si>
  <si>
    <t>Kaltura Inc</t>
  </si>
  <si>
    <t>483467106</t>
  </si>
  <si>
    <t>BKY5HD2</t>
  </si>
  <si>
    <t>LAW UN Equity</t>
  </si>
  <si>
    <t>CS Disco Inc</t>
  </si>
  <si>
    <t>126327105</t>
  </si>
  <si>
    <t>BNLYJ93</t>
  </si>
  <si>
    <t>HMST UW Equity</t>
  </si>
  <si>
    <t>HomeStreet Inc</t>
  </si>
  <si>
    <t>43785V102</t>
  </si>
  <si>
    <t>B4WHS46</t>
  </si>
  <si>
    <t>PRAX UW Equity</t>
  </si>
  <si>
    <t>PANL UR Equity</t>
  </si>
  <si>
    <t>Pangaea Logistics Solutions Lt</t>
  </si>
  <si>
    <t>BRGCNJ8</t>
  </si>
  <si>
    <t>ACCD UW Equity</t>
  </si>
  <si>
    <t>PRDO UW Equity</t>
  </si>
  <si>
    <t>Perdoceo Education Corp</t>
  </si>
  <si>
    <t>71363P106</t>
  </si>
  <si>
    <t>BKRQQR9</t>
  </si>
  <si>
    <t>AKBA UR Equity</t>
  </si>
  <si>
    <t>FTAI UW Equity</t>
  </si>
  <si>
    <t>FTAI Aviation Ltd</t>
  </si>
  <si>
    <t>BLKFTK4</t>
  </si>
  <si>
    <t>RMNI UQ Equity</t>
  </si>
  <si>
    <t>Rimini Street Inc</t>
  </si>
  <si>
    <t>76674Q107</t>
  </si>
  <si>
    <t>BDD0HG2</t>
  </si>
  <si>
    <t>HBI UN Equity</t>
  </si>
  <si>
    <t>Hanesbrands Inc</t>
  </si>
  <si>
    <t>410345102</t>
  </si>
  <si>
    <t>B1BJSL9</t>
  </si>
  <si>
    <t>PUBM UQ Equity</t>
  </si>
  <si>
    <t>PubMatic Inc</t>
  </si>
  <si>
    <t>74467Q103</t>
  </si>
  <si>
    <t>BNHP503</t>
  </si>
  <si>
    <t>TMHC UN Equity</t>
  </si>
  <si>
    <t>Taylor Morrison Home Corp</t>
  </si>
  <si>
    <t>87724P106</t>
  </si>
  <si>
    <t>B832462</t>
  </si>
  <si>
    <t>EHAB UN Equity</t>
  </si>
  <si>
    <t>RDN UN Equity</t>
  </si>
  <si>
    <t>Radian Group Inc</t>
  </si>
  <si>
    <t>750236101</t>
  </si>
  <si>
    <t>2173911</t>
  </si>
  <si>
    <t>PBPB UW Equity</t>
  </si>
  <si>
    <t>Potbelly Corp</t>
  </si>
  <si>
    <t>73754Y100</t>
  </si>
  <si>
    <t>BF49P79</t>
  </si>
  <si>
    <t>OPK UW Equity</t>
  </si>
  <si>
    <t>CYH UN Equity</t>
  </si>
  <si>
    <t>WHD UN Equity</t>
  </si>
  <si>
    <t>Cactus Inc</t>
  </si>
  <si>
    <t>127203107</t>
  </si>
  <si>
    <t>BF1GM16</t>
  </si>
  <si>
    <t>GLUE UW Equity</t>
  </si>
  <si>
    <t>ANAB UW Equity</t>
  </si>
  <si>
    <t>AUPH UQ Equity</t>
  </si>
  <si>
    <t>OLMA UW Equity</t>
  </si>
  <si>
    <t>GPRE UW Equity</t>
  </si>
  <si>
    <t>Green Plains Inc</t>
  </si>
  <si>
    <t>393222104</t>
  </si>
  <si>
    <t>B11FJD6</t>
  </si>
  <si>
    <t>RYAM UN Equity</t>
  </si>
  <si>
    <t>Rayonier Advanced Materials In</t>
  </si>
  <si>
    <t>75508B104</t>
  </si>
  <si>
    <t>BN458W9</t>
  </si>
  <si>
    <t>AMBA UW Equity</t>
  </si>
  <si>
    <t>Ambarella Inc</t>
  </si>
  <si>
    <t>B7KH3G6</t>
  </si>
  <si>
    <t>AVPT UW Equity</t>
  </si>
  <si>
    <t>AvePoint Inc</t>
  </si>
  <si>
    <t>053604104</t>
  </si>
  <si>
    <t>BP2Q7W1</t>
  </si>
  <si>
    <t>TLS UQ Equity</t>
  </si>
  <si>
    <t>Telos Corp</t>
  </si>
  <si>
    <t>87969B101</t>
  </si>
  <si>
    <t>BLDDYL1</t>
  </si>
  <si>
    <t>EPAC UN Equity</t>
  </si>
  <si>
    <t>Enerpac Tool Group Corp</t>
  </si>
  <si>
    <t>292765104</t>
  </si>
  <si>
    <t>BH3T5K7</t>
  </si>
  <si>
    <t>ASPN UN Equity</t>
  </si>
  <si>
    <t>Aspen Aerogels Inc</t>
  </si>
  <si>
    <t>04523Y105</t>
  </si>
  <si>
    <t>BN65SM7</t>
  </si>
  <si>
    <t>EVGO UW Equity</t>
  </si>
  <si>
    <t>EVgo Inc</t>
  </si>
  <si>
    <t>30052F100</t>
  </si>
  <si>
    <t>BP2Q7L0</t>
  </si>
  <si>
    <t>EML UQ Equity</t>
  </si>
  <si>
    <t>Eastern Co/The</t>
  </si>
  <si>
    <t>276317104</t>
  </si>
  <si>
    <t>2300087</t>
  </si>
  <si>
    <t>EVCM UW Equity</t>
  </si>
  <si>
    <t>EverCommerce Inc</t>
  </si>
  <si>
    <t>29977X105</t>
  </si>
  <si>
    <t>BLD30Q8</t>
  </si>
  <si>
    <t>SPNS UW Equity</t>
  </si>
  <si>
    <t>Sapiens International Corp NV</t>
  </si>
  <si>
    <t>BFYZGX0</t>
  </si>
  <si>
    <t>DNUT UW Equity</t>
  </si>
  <si>
    <t>Krispy Kreme Inc</t>
  </si>
  <si>
    <t>50101L106</t>
  </si>
  <si>
    <t>BL97B49</t>
  </si>
  <si>
    <t>ABOS UW Equity</t>
  </si>
  <si>
    <t>NKTX UW Equity</t>
  </si>
  <si>
    <t>AESI UN Equity</t>
  </si>
  <si>
    <t>Atlas Energy Solutions Inc</t>
  </si>
  <si>
    <t>642045108</t>
  </si>
  <si>
    <t>BL6JGD2</t>
  </si>
  <si>
    <t>INSW UN Equity</t>
  </si>
  <si>
    <t>International Seaways Inc</t>
  </si>
  <si>
    <t>BYX60M4</t>
  </si>
  <si>
    <t>VNDA UQ Equity</t>
  </si>
  <si>
    <t>ACRE UN Equity</t>
  </si>
  <si>
    <t>Ares Commercial Real Estate Co</t>
  </si>
  <si>
    <t>Mortgage Real Estate Investment Trusts (REITs)</t>
  </si>
  <si>
    <t>04013V108</t>
  </si>
  <si>
    <t>B77PWP5</t>
  </si>
  <si>
    <t>OSUR UW Equity</t>
  </si>
  <si>
    <t>MLNK UN Equity</t>
  </si>
  <si>
    <t>Meridianlink Inc</t>
  </si>
  <si>
    <t>58985J105</t>
  </si>
  <si>
    <t>BMV7CG3</t>
  </si>
  <si>
    <t>JBI UN Equity</t>
  </si>
  <si>
    <t>Janus International Group Inc</t>
  </si>
  <si>
    <t>47103N106</t>
  </si>
  <si>
    <t>BKPG0T1</t>
  </si>
  <si>
    <t>DOCN UN Equity</t>
  </si>
  <si>
    <t>DigitalOcean Holdings Inc</t>
  </si>
  <si>
    <t>25402D102</t>
  </si>
  <si>
    <t>BNC23Q1</t>
  </si>
  <si>
    <t>MPX UN Equity</t>
  </si>
  <si>
    <t>Marine Products Corp</t>
  </si>
  <si>
    <t>568427108</t>
  </si>
  <si>
    <t>2737102</t>
  </si>
  <si>
    <t>FCEL UQ Equity</t>
  </si>
  <si>
    <t>FuelCell Energy Inc</t>
  </si>
  <si>
    <t>ACVA UW Equity</t>
  </si>
  <si>
    <t>ACV Auctions Inc</t>
  </si>
  <si>
    <t>00091G104</t>
  </si>
  <si>
    <t>BMFPJK6</t>
  </si>
  <si>
    <t>TARS UW Equity</t>
  </si>
  <si>
    <t>CNDT UW Equity</t>
  </si>
  <si>
    <t>Conduent Inc</t>
  </si>
  <si>
    <t>206787103</t>
  </si>
  <si>
    <t>BYWLRV8</t>
  </si>
  <si>
    <t>DENN UR Equity</t>
  </si>
  <si>
    <t>Denny's Corp</t>
  </si>
  <si>
    <t>24869P104</t>
  </si>
  <si>
    <t>2250580</t>
  </si>
  <si>
    <t>ESCA UQ Equity</t>
  </si>
  <si>
    <t>Escalade Inc</t>
  </si>
  <si>
    <t>296056104</t>
  </si>
  <si>
    <t>2321561</t>
  </si>
  <si>
    <t>FRGE UN Equity</t>
  </si>
  <si>
    <t>Forge Global Holdings Inc</t>
  </si>
  <si>
    <t>34629L103</t>
  </si>
  <si>
    <t>BNHSZQ8</t>
  </si>
  <si>
    <t>DAVE UQ Equity</t>
  </si>
  <si>
    <t>Dave Inc</t>
  </si>
  <si>
    <t>23834J201</t>
  </si>
  <si>
    <t>BPXYZZ3</t>
  </si>
  <si>
    <t>AMPS UN Equity</t>
  </si>
  <si>
    <t>Altus Power Inc</t>
  </si>
  <si>
    <t>02217A102</t>
  </si>
  <si>
    <t>BPNXP05</t>
  </si>
  <si>
    <t>RGNX UW Equity</t>
  </si>
  <si>
    <t>NMRA UW Equity</t>
  </si>
  <si>
    <t>SAGE UQ Equity</t>
  </si>
  <si>
    <t>WSBF UW Equity</t>
  </si>
  <si>
    <t>Waterstone Financial Inc</t>
  </si>
  <si>
    <t>94188P101</t>
  </si>
  <si>
    <t>BJ7BVV6</t>
  </si>
  <si>
    <t>BLBD UQ Equity</t>
  </si>
  <si>
    <t>Blue Bird Corp</t>
  </si>
  <si>
    <t>095306106</t>
  </si>
  <si>
    <t>BW0FQV1</t>
  </si>
  <si>
    <t>MEG UN Equity</t>
  </si>
  <si>
    <t>Montrose Environmental Group I</t>
  </si>
  <si>
    <t>615111101</t>
  </si>
  <si>
    <t>BLCB610</t>
  </si>
  <si>
    <t>SUNS UR Equity</t>
  </si>
  <si>
    <t>Sunrise Realty Trust Inc</t>
  </si>
  <si>
    <t>867981102</t>
  </si>
  <si>
    <t>BMCCS58</t>
  </si>
  <si>
    <t>AGM UN Equity</t>
  </si>
  <si>
    <t>Federal Agricultural Mortgage</t>
  </si>
  <si>
    <t>313148306</t>
  </si>
  <si>
    <t>2363381</t>
  </si>
  <si>
    <t>BOC UN Equity</t>
  </si>
  <si>
    <t>Boston Omaha Corp</t>
  </si>
  <si>
    <t>101044105</t>
  </si>
  <si>
    <t>BZB2L51</t>
  </si>
  <si>
    <t>FBNC UW Equity</t>
  </si>
  <si>
    <t>First Bancorp/Southern Pines N</t>
  </si>
  <si>
    <t>318910106</t>
  </si>
  <si>
    <t>2351494</t>
  </si>
  <si>
    <t>BUR UN Equity</t>
  </si>
  <si>
    <t>Burford Capital Ltd</t>
  </si>
  <si>
    <t>BMHLZ26</t>
  </si>
  <si>
    <t>MRSN UW Equity</t>
  </si>
  <si>
    <t>AMTX UQ Equity</t>
  </si>
  <si>
    <t>Aemetis Inc</t>
  </si>
  <si>
    <t>00770K202</t>
  </si>
  <si>
    <t>B9KR326</t>
  </si>
  <si>
    <t>ARCT UQ Equity</t>
  </si>
  <si>
    <t>COMM UW Equity</t>
  </si>
  <si>
    <t>CommScope Holding Co Inc</t>
  </si>
  <si>
    <t>20337X109</t>
  </si>
  <si>
    <t>BFRBX34</t>
  </si>
  <si>
    <t>CIVB UR Equity</t>
  </si>
  <si>
    <t>Civista Bancshares Inc</t>
  </si>
  <si>
    <t>178867107</t>
  </si>
  <si>
    <t>BWT3JH3</t>
  </si>
  <si>
    <t>IMXI UR Equity</t>
  </si>
  <si>
    <t>International Money Express In</t>
  </si>
  <si>
    <t>46005L101</t>
  </si>
  <si>
    <t>BG216W6</t>
  </si>
  <si>
    <t>CHRS UQ Equity</t>
  </si>
  <si>
    <t>FN UN Equity</t>
  </si>
  <si>
    <t>Fabrinet</t>
  </si>
  <si>
    <t>B4JSZL8</t>
  </si>
  <si>
    <t>JSPR UR Equity</t>
  </si>
  <si>
    <t>RLAY UQ Equity</t>
  </si>
  <si>
    <t>ANRO UN Equity</t>
  </si>
  <si>
    <t>FLIC UR Equity</t>
  </si>
  <si>
    <t>First of Long Island Corp/The</t>
  </si>
  <si>
    <t>320734106</t>
  </si>
  <si>
    <t>2355913</t>
  </si>
  <si>
    <t>VREX UW Equity</t>
  </si>
  <si>
    <t>AOMR UN Equity</t>
  </si>
  <si>
    <t>Angel Oak Mortgage REIT Inc</t>
  </si>
  <si>
    <t>03464Y108</t>
  </si>
  <si>
    <t>BMFZKV4</t>
  </si>
  <si>
    <t>VERV UW Equity</t>
  </si>
  <si>
    <t>LYEL UW Equity</t>
  </si>
  <si>
    <t>HGV UN Equity</t>
  </si>
  <si>
    <t>Hilton Grand Vacations Inc</t>
  </si>
  <si>
    <t>43283X105</t>
  </si>
  <si>
    <t>BYSLHX4</t>
  </si>
  <si>
    <t>STRS UW Equity</t>
  </si>
  <si>
    <t>Stratus Properties Inc</t>
  </si>
  <si>
    <t>863167201</t>
  </si>
  <si>
    <t>2761424</t>
  </si>
  <si>
    <t>STKL UW Equity</t>
  </si>
  <si>
    <t>SunOpta Inc</t>
  </si>
  <si>
    <t>8676EP108</t>
  </si>
  <si>
    <t>2836634</t>
  </si>
  <si>
    <t>REVG UN Equity</t>
  </si>
  <si>
    <t>REV Group Inc</t>
  </si>
  <si>
    <t>749527107</t>
  </si>
  <si>
    <t>BDRW1P1</t>
  </si>
  <si>
    <t>Qurate Retail Inc</t>
  </si>
  <si>
    <t>74915M209</t>
  </si>
  <si>
    <t>BZ19HF4</t>
  </si>
  <si>
    <t>ACCO UN Equity</t>
  </si>
  <si>
    <t>ACCO Brands Corp</t>
  </si>
  <si>
    <t>00081T108</t>
  </si>
  <si>
    <t>B0G7SZ5</t>
  </si>
  <si>
    <t>FRPH UW Equity</t>
  </si>
  <si>
    <t>FRP Holdings Inc</t>
  </si>
  <si>
    <t>30292L107</t>
  </si>
  <si>
    <t>BTCB1W2</t>
  </si>
  <si>
    <t>PINE UN Equity</t>
  </si>
  <si>
    <t>Alpine Income Property Trust I</t>
  </si>
  <si>
    <t>02083X103</t>
  </si>
  <si>
    <t>BKMQX40</t>
  </si>
  <si>
    <t>FSTR UW Equity</t>
  </si>
  <si>
    <t>L B Foster Co</t>
  </si>
  <si>
    <t>350060109</t>
  </si>
  <si>
    <t>2348225</t>
  </si>
  <si>
    <t>BKD UN Equity</t>
  </si>
  <si>
    <t>KYTX UW Equity</t>
  </si>
  <si>
    <t>FF UN Equity</t>
  </si>
  <si>
    <t>FutureFuel Corp</t>
  </si>
  <si>
    <t>36116M106</t>
  </si>
  <si>
    <t>B3BBRD4</t>
  </si>
  <si>
    <t>RYTM UQ Equity</t>
  </si>
  <si>
    <t>GTN UN Equity</t>
  </si>
  <si>
    <t>389375106</t>
  </si>
  <si>
    <t>2390817</t>
  </si>
  <si>
    <t>SLRN UW Equity</t>
  </si>
  <si>
    <t>RPAY UR Equity</t>
  </si>
  <si>
    <t>Repay Holdings Corp</t>
  </si>
  <si>
    <t>76029L100</t>
  </si>
  <si>
    <t>BK5TLP3</t>
  </si>
  <si>
    <t>FRST UQ Equity</t>
  </si>
  <si>
    <t>Primis Financial Corp</t>
  </si>
  <si>
    <t>74167B109</t>
  </si>
  <si>
    <t>BMTRDW8</t>
  </si>
  <si>
    <t>BWFG UQ Equity</t>
  </si>
  <si>
    <t>Bankwell Financial Group Inc</t>
  </si>
  <si>
    <t>06654A103</t>
  </si>
  <si>
    <t>BCRXSS9</t>
  </si>
  <si>
    <t>ABM UN Equity</t>
  </si>
  <si>
    <t>ABM Industries Inc</t>
  </si>
  <si>
    <t>000957100</t>
  </si>
  <si>
    <t>2024901</t>
  </si>
  <si>
    <t>VSTM UR Equity</t>
  </si>
  <si>
    <t>GIII UW Equity</t>
  </si>
  <si>
    <t>G-III Apparel Group Ltd</t>
  </si>
  <si>
    <t>36237H101</t>
  </si>
  <si>
    <t>2369721</t>
  </si>
  <si>
    <t>HEES UW Equity</t>
  </si>
  <si>
    <t>H&amp;E Equipment Services Inc</t>
  </si>
  <si>
    <t>404030108</t>
  </si>
  <si>
    <t>B0WR848</t>
  </si>
  <si>
    <t>INVA UW Equity</t>
  </si>
  <si>
    <t>INFN UW Equity</t>
  </si>
  <si>
    <t>Infinera Corp</t>
  </si>
  <si>
    <t>45667G103</t>
  </si>
  <si>
    <t>B1YB5Y4</t>
  </si>
  <si>
    <t>GSBC UW Equity</t>
  </si>
  <si>
    <t>Great Southern Bancorp Inc</t>
  </si>
  <si>
    <t>390905107</t>
  </si>
  <si>
    <t>2387002</t>
  </si>
  <si>
    <t>DNTH UR Equity</t>
  </si>
  <si>
    <t>BKSY UN Equity</t>
  </si>
  <si>
    <t>BlackSky Technology Inc</t>
  </si>
  <si>
    <t>09263B207</t>
  </si>
  <si>
    <t>BSQNQM2</t>
  </si>
  <si>
    <t>TGLS UN Equity</t>
  </si>
  <si>
    <t>Tecnoglass Inc</t>
  </si>
  <si>
    <t>BHCVTN5</t>
  </si>
  <si>
    <t>GCTS UN Equity</t>
  </si>
  <si>
    <t>GCT Semiconductor Holding Inc</t>
  </si>
  <si>
    <t>36170N107</t>
  </si>
  <si>
    <t>BQV11G6</t>
  </si>
  <si>
    <t>POWW UR Equity</t>
  </si>
  <si>
    <t>AMMO Inc</t>
  </si>
  <si>
    <t>00175J107</t>
  </si>
  <si>
    <t>BD8GP05</t>
  </si>
  <si>
    <t>ASPI UR Equity</t>
  </si>
  <si>
    <t>ASP Isotopes Inc</t>
  </si>
  <si>
    <t>00218A105</t>
  </si>
  <si>
    <t>BPBJFJ4</t>
  </si>
  <si>
    <t>MODG UN Equity</t>
  </si>
  <si>
    <t>Topgolf Callaway Brands Corp</t>
  </si>
  <si>
    <t>131193104</t>
  </si>
  <si>
    <t>2173933</t>
  </si>
  <si>
    <t>PLRX UW Equity</t>
  </si>
  <si>
    <t>ALNT UQ Equity</t>
  </si>
  <si>
    <t>Allient Inc</t>
  </si>
  <si>
    <t>019330109</t>
  </si>
  <si>
    <t>2414717</t>
  </si>
  <si>
    <t>INFU UA Equity</t>
  </si>
  <si>
    <t>HQY UW Equity</t>
  </si>
  <si>
    <t>SCWO UR Equity</t>
  </si>
  <si>
    <t>374Water Inc</t>
  </si>
  <si>
    <t>88583P104</t>
  </si>
  <si>
    <t>BL669V2</t>
  </si>
  <si>
    <t>INMD UW Equity</t>
  </si>
  <si>
    <t>OPAD UN Equity</t>
  </si>
  <si>
    <t>Offerpad Solutions Inc</t>
  </si>
  <si>
    <t>67623L307</t>
  </si>
  <si>
    <t>BPYS3X8</t>
  </si>
  <si>
    <t>ITOS UQ Equity</t>
  </si>
  <si>
    <t>INZY UW Equity</t>
  </si>
  <si>
    <t>NRIX UQ Equity</t>
  </si>
  <si>
    <t>EP UA Equity</t>
  </si>
  <si>
    <t>Empire Petroleum Corp</t>
  </si>
  <si>
    <t>292034303</t>
  </si>
  <si>
    <t>BPJPN12</t>
  </si>
  <si>
    <t>AKRO UW Equity</t>
  </si>
  <si>
    <t>ANNX UW Equity</t>
  </si>
  <si>
    <t>DC UA Equity</t>
  </si>
  <si>
    <t>Dakota Gold Corp</t>
  </si>
  <si>
    <t>46655E100</t>
  </si>
  <si>
    <t>BMFTC10</t>
  </si>
  <si>
    <t>MXL UW Equity</t>
  </si>
  <si>
    <t>MaxLinear Inc</t>
  </si>
  <si>
    <t>57776J100</t>
  </si>
  <si>
    <t>B3RDWC8</t>
  </si>
  <si>
    <t>CARE UW Equity</t>
  </si>
  <si>
    <t>Carter Bankshares Inc</t>
  </si>
  <si>
    <t>146103106</t>
  </si>
  <si>
    <t>BMWKK45</t>
  </si>
  <si>
    <t>TROX UN Equity</t>
  </si>
  <si>
    <t>Tronox Holdings PLC</t>
  </si>
  <si>
    <t>BJT16S6</t>
  </si>
  <si>
    <t>UEC UA Equity</t>
  </si>
  <si>
    <t>Uranium Energy Corp</t>
  </si>
  <si>
    <t>916896103</t>
  </si>
  <si>
    <t>B0VLLY2</t>
  </si>
  <si>
    <t>OCGN UR Equity</t>
  </si>
  <si>
    <t>HIFS UQ Equity</t>
  </si>
  <si>
    <t>Hingham Institution For Saving</t>
  </si>
  <si>
    <t>433323102</t>
  </si>
  <si>
    <t>2428439</t>
  </si>
  <si>
    <t>CDLX UQ Equity</t>
  </si>
  <si>
    <t>Cardlytics Inc</t>
  </si>
  <si>
    <t>14161W105</t>
  </si>
  <si>
    <t>BF1GM49</t>
  </si>
  <si>
    <t>HNRG UR Equity</t>
  </si>
  <si>
    <t>Hallador Energy Co</t>
  </si>
  <si>
    <t>40609P105</t>
  </si>
  <si>
    <t>2404978</t>
  </si>
  <si>
    <t>ACEL UN Equity</t>
  </si>
  <si>
    <t>Accel Entertainment Inc</t>
  </si>
  <si>
    <t>00436Q106</t>
  </si>
  <si>
    <t>BK7FYL6</t>
  </si>
  <si>
    <t>GBCI UN Equity</t>
  </si>
  <si>
    <t>Glacier Bancorp Inc</t>
  </si>
  <si>
    <t>37637Q105</t>
  </si>
  <si>
    <t>2370585</t>
  </si>
  <si>
    <t>PAHC UQ Equity</t>
  </si>
  <si>
    <t>LSEA UR Equity</t>
  </si>
  <si>
    <t>Landsea Homes Corp</t>
  </si>
  <si>
    <t>51509P103</t>
  </si>
  <si>
    <t>BKPS5B4</t>
  </si>
  <si>
    <t>DBRG UN Equity</t>
  </si>
  <si>
    <t>DigitalBridge Group Inc</t>
  </si>
  <si>
    <t>25401T603</t>
  </si>
  <si>
    <t>BPW6ZP0</t>
  </si>
  <si>
    <t>MTUS UN Equity</t>
  </si>
  <si>
    <t>Metallus Inc</t>
  </si>
  <si>
    <t>887399103</t>
  </si>
  <si>
    <t>BNBPMX1</t>
  </si>
  <si>
    <t>STRL UW Equity</t>
  </si>
  <si>
    <t>Sterling Infrastructure Inc</t>
  </si>
  <si>
    <t>859241101</t>
  </si>
  <si>
    <t>2632876</t>
  </si>
  <si>
    <t>TNGX UQ Equity</t>
  </si>
  <si>
    <t>MBC UN Equity</t>
  </si>
  <si>
    <t>Masterbrand Inc</t>
  </si>
  <si>
    <t>57638P104</t>
  </si>
  <si>
    <t>BPDJN76</t>
  </si>
  <si>
    <t>CTOS UN Equity</t>
  </si>
  <si>
    <t>Custom Truck One Source Inc</t>
  </si>
  <si>
    <t>23204X103</t>
  </si>
  <si>
    <t>BL66YS4</t>
  </si>
  <si>
    <t>KURA UW Equity</t>
  </si>
  <si>
    <t>IDCC UW Equity</t>
  </si>
  <si>
    <t>InterDigital Inc</t>
  </si>
  <si>
    <t>45867G101</t>
  </si>
  <si>
    <t>2465737</t>
  </si>
  <si>
    <t>CMPR UW Equity</t>
  </si>
  <si>
    <t>Cimpress PLC</t>
  </si>
  <si>
    <t>BKYC3F7</t>
  </si>
  <si>
    <t>ASO UW Equity</t>
  </si>
  <si>
    <t>Academy Sports &amp; Outdoors Inc</t>
  </si>
  <si>
    <t>00402L107</t>
  </si>
  <si>
    <t>BN7K304</t>
  </si>
  <si>
    <t>TFIN UW Equity</t>
  </si>
  <si>
    <t>Triumph Financial Inc</t>
  </si>
  <si>
    <t>89679E300</t>
  </si>
  <si>
    <t>BS7T2S7</t>
  </si>
  <si>
    <t>CCCC UW Equity</t>
  </si>
  <si>
    <t>HRMY UQ Equity</t>
  </si>
  <si>
    <t>MWA UN Equity</t>
  </si>
  <si>
    <t>Mueller Water Products Inc</t>
  </si>
  <si>
    <t>624758108</t>
  </si>
  <si>
    <t>B15RZR4</t>
  </si>
  <si>
    <t>BTBT UR Equity</t>
  </si>
  <si>
    <t>Bit Digital Inc</t>
  </si>
  <si>
    <t>BMH6DN8</t>
  </si>
  <si>
    <t>IMKTA UW Equity</t>
  </si>
  <si>
    <t>Ingles Markets Inc</t>
  </si>
  <si>
    <t>457030104</t>
  </si>
  <si>
    <t>2460550</t>
  </si>
  <si>
    <t>STGW UW Equity</t>
  </si>
  <si>
    <t>Stagwell Inc</t>
  </si>
  <si>
    <t>85256A109</t>
  </si>
  <si>
    <t>BM8BPB4</t>
  </si>
  <si>
    <t>STNE UW Equity</t>
  </si>
  <si>
    <t>StoneCo Ltd</t>
  </si>
  <si>
    <t>BGKG6M3</t>
  </si>
  <si>
    <t>ALIT UN Equity</t>
  </si>
  <si>
    <t>Alight Inc</t>
  </si>
  <si>
    <t>01626W101</t>
  </si>
  <si>
    <t>BNG7BZ7</t>
  </si>
  <si>
    <t>FRBA UQ Equity</t>
  </si>
  <si>
    <t>First Bank/Hamilton NJ</t>
  </si>
  <si>
    <t>31931U102</t>
  </si>
  <si>
    <t>B1VQ1H7</t>
  </si>
  <si>
    <t>BLUE UW Equity</t>
  </si>
  <si>
    <t>LAZR UW Equity</t>
  </si>
  <si>
    <t>Luminar Technologies Inc</t>
  </si>
  <si>
    <t>CNS UN Equity</t>
  </si>
  <si>
    <t>Cohen &amp; Steers Inc</t>
  </si>
  <si>
    <t>19247A100</t>
  </si>
  <si>
    <t>B02H882</t>
  </si>
  <si>
    <t>GNK UN Equity</t>
  </si>
  <si>
    <t>Genco Shipping &amp; Trading Ltd</t>
  </si>
  <si>
    <t>BD08758</t>
  </si>
  <si>
    <t>BY UN Equity</t>
  </si>
  <si>
    <t>Byline Bancorp Inc</t>
  </si>
  <si>
    <t>124411109</t>
  </si>
  <si>
    <t>BD5G2C9</t>
  </si>
  <si>
    <t>RC UN Equity</t>
  </si>
  <si>
    <t>Ready Capital Corp</t>
  </si>
  <si>
    <t>75574U101</t>
  </si>
  <si>
    <t>BDFS3G6</t>
  </si>
  <si>
    <t>Sky Harbour Group Corp</t>
  </si>
  <si>
    <t>Transportation Infrastructure</t>
  </si>
  <si>
    <t>83085C107</t>
  </si>
  <si>
    <t>BPNXSS4</t>
  </si>
  <si>
    <t>PRPL UW Equity</t>
  </si>
  <si>
    <t>Purple Innovation Inc</t>
  </si>
  <si>
    <t>74640Y106</t>
  </si>
  <si>
    <t>BYWFGP7</t>
  </si>
  <si>
    <t>LCUT UW Equity</t>
  </si>
  <si>
    <t>Lifetime Brands Inc</t>
  </si>
  <si>
    <t>53222Q103</t>
  </si>
  <si>
    <t>2515773</t>
  </si>
  <si>
    <t>CRC UN Equity</t>
  </si>
  <si>
    <t>California Resources Corp</t>
  </si>
  <si>
    <t>13057Q305</t>
  </si>
  <si>
    <t>BMBK002</t>
  </si>
  <si>
    <t>BDN UN Equity</t>
  </si>
  <si>
    <t>Brandywine Realty Trust</t>
  </si>
  <si>
    <t>105368203</t>
  </si>
  <si>
    <t>2518954</t>
  </si>
  <si>
    <t>IESC UQ Equity</t>
  </si>
  <si>
    <t>IES Holdings Inc</t>
  </si>
  <si>
    <t>44951W106</t>
  </si>
  <si>
    <t>BD978B9</t>
  </si>
  <si>
    <t>TCBX UW Equity</t>
  </si>
  <si>
    <t>Third Coast Bancshares Inc</t>
  </si>
  <si>
    <t>88422P109</t>
  </si>
  <si>
    <t>BL55Q42</t>
  </si>
  <si>
    <t>LWAY UQ Equity</t>
  </si>
  <si>
    <t>Lifeway Foods Inc</t>
  </si>
  <si>
    <t>531914109</t>
  </si>
  <si>
    <t>2545305</t>
  </si>
  <si>
    <t>CHPT UN Equity</t>
  </si>
  <si>
    <t>ChargePoint Holdings Inc</t>
  </si>
  <si>
    <t>15961R105</t>
  </si>
  <si>
    <t>BMC9RZ2</t>
  </si>
  <si>
    <t>LYTS UW Equity</t>
  </si>
  <si>
    <t>LSI Industries Inc</t>
  </si>
  <si>
    <t>50216C108</t>
  </si>
  <si>
    <t>2499026</t>
  </si>
  <si>
    <t>FOLD UQ Equity</t>
  </si>
  <si>
    <t>VCEL UQ Equity</t>
  </si>
  <si>
    <t>AHCO UR Equity</t>
  </si>
  <si>
    <t>WTBA UW Equity</t>
  </si>
  <si>
    <t>West BanCorp Inc</t>
  </si>
  <si>
    <t>95123P106</t>
  </si>
  <si>
    <t>2408840</t>
  </si>
  <si>
    <t>NLOP UN Equity</t>
  </si>
  <si>
    <t>NET Lease Office Properties</t>
  </si>
  <si>
    <t>64110Y108</t>
  </si>
  <si>
    <t>BS44H79</t>
  </si>
  <si>
    <t>XNCR UQ Equity</t>
  </si>
  <si>
    <t>TH UR Equity</t>
  </si>
  <si>
    <t>Target Hospitality Corp</t>
  </si>
  <si>
    <t>87615L107</t>
  </si>
  <si>
    <t>BJMYWL7</t>
  </si>
  <si>
    <t>MGEE UW Equity</t>
  </si>
  <si>
    <t>MGE Energy Inc</t>
  </si>
  <si>
    <t>55277P104</t>
  </si>
  <si>
    <t>2554163</t>
  </si>
  <si>
    <t>OPRX UR Equity</t>
  </si>
  <si>
    <t>WNS UN Equity</t>
  </si>
  <si>
    <t>WNS Holdings Ltd</t>
  </si>
  <si>
    <t>BQC4YW1</t>
  </si>
  <si>
    <t>DRS UW Equity</t>
  </si>
  <si>
    <t>Leonardo DRS Inc</t>
  </si>
  <si>
    <t>52661A108</t>
  </si>
  <si>
    <t>BNSNZQ2</t>
  </si>
  <si>
    <t>DEI UN Equity</t>
  </si>
  <si>
    <t>Douglas Emmett Inc</t>
  </si>
  <si>
    <t>25960P109</t>
  </si>
  <si>
    <t>B1G3M58</t>
  </si>
  <si>
    <t>VAL UN Equity</t>
  </si>
  <si>
    <t>Valaris Ltd</t>
  </si>
  <si>
    <t>BMY0YX0</t>
  </si>
  <si>
    <t>KBH UN Equity</t>
  </si>
  <si>
    <t>KB Home</t>
  </si>
  <si>
    <t>48666K109</t>
  </si>
  <si>
    <t>2485070</t>
  </si>
  <si>
    <t>MBI UN Equity</t>
  </si>
  <si>
    <t>MBIA Inc</t>
  </si>
  <si>
    <t>55262C100</t>
  </si>
  <si>
    <t>2547044</t>
  </si>
  <si>
    <t>KRG UN Equity</t>
  </si>
  <si>
    <t>Kite Realty Group Trust</t>
  </si>
  <si>
    <t>49803T300</t>
  </si>
  <si>
    <t>BPBSZJ1</t>
  </si>
  <si>
    <t>STTK UW Equity</t>
  </si>
  <si>
    <t>MGRC UW Equity</t>
  </si>
  <si>
    <t>McGrath RentCorp</t>
  </si>
  <si>
    <t>580589109</t>
  </si>
  <si>
    <t>2551551</t>
  </si>
  <si>
    <t>MITK UR Equity</t>
  </si>
  <si>
    <t>Mitek Systems Inc</t>
  </si>
  <si>
    <t>606710200</t>
  </si>
  <si>
    <t>2597072</t>
  </si>
  <si>
    <t>CMCL UA Equity</t>
  </si>
  <si>
    <t>Caledonia Mining Corp PLC</t>
  </si>
  <si>
    <t>BF0XVC2</t>
  </si>
  <si>
    <t>OSCR UN Equity</t>
  </si>
  <si>
    <t>Oscar Health Inc</t>
  </si>
  <si>
    <t>687793109</t>
  </si>
  <si>
    <t>BKY83Q6</t>
  </si>
  <si>
    <t>WLDN UQ Equity</t>
  </si>
  <si>
    <t>Willdan Group Inc</t>
  </si>
  <si>
    <t>96924N100</t>
  </si>
  <si>
    <t>B1HP598</t>
  </si>
  <si>
    <t>IRMD UQ Equity</t>
  </si>
  <si>
    <t>ATKR UN Equity</t>
  </si>
  <si>
    <t>Atkore Inc</t>
  </si>
  <si>
    <t>047649108</t>
  </si>
  <si>
    <t>BDHF495</t>
  </si>
  <si>
    <t>MTW UN Equity</t>
  </si>
  <si>
    <t>Manitowoc Co Inc/The</t>
  </si>
  <si>
    <t>563571405</t>
  </si>
  <si>
    <t>BDFCGV4</t>
  </si>
  <si>
    <t>III UQ Equity</t>
  </si>
  <si>
    <t>Information Services Group Inc</t>
  </si>
  <si>
    <t>45675Y104</t>
  </si>
  <si>
    <t>B1R0CV4</t>
  </si>
  <si>
    <t>MRTN UW Equity</t>
  </si>
  <si>
    <t>Marten Transport Ltd</t>
  </si>
  <si>
    <t>573075108</t>
  </si>
  <si>
    <t>2568357</t>
  </si>
  <si>
    <t>MSEX UW Equity</t>
  </si>
  <si>
    <t>Middlesex Water Co</t>
  </si>
  <si>
    <t>596680108</t>
  </si>
  <si>
    <t>2589466</t>
  </si>
  <si>
    <t>BRCC UN Equity</t>
  </si>
  <si>
    <t>BRC Inc</t>
  </si>
  <si>
    <t>05601U105</t>
  </si>
  <si>
    <t>BNBV240</t>
  </si>
  <si>
    <t>EVTC UN Equity</t>
  </si>
  <si>
    <t>EVERTEC Inc</t>
  </si>
  <si>
    <t>30040P103</t>
  </si>
  <si>
    <t>B7KY3Z6</t>
  </si>
  <si>
    <t>SITC UN Equity</t>
  </si>
  <si>
    <t>SITE Centers Corp</t>
  </si>
  <si>
    <t>82981J851</t>
  </si>
  <si>
    <t>BSWVTJ8</t>
  </si>
  <si>
    <t>CLNE UW Equity</t>
  </si>
  <si>
    <t>Clean Energy Fuels Corp</t>
  </si>
  <si>
    <t>184499101</t>
  </si>
  <si>
    <t>B1Y1PC2</t>
  </si>
  <si>
    <t>EVI UA Equity</t>
  </si>
  <si>
    <t>EVI Industries Inc</t>
  </si>
  <si>
    <t>26929N102</t>
  </si>
  <si>
    <t>BGSPSG0</t>
  </si>
  <si>
    <t>OMER UQ Equity</t>
  </si>
  <si>
    <t>MGPI UW Equity</t>
  </si>
  <si>
    <t>MGP Ingredients Inc</t>
  </si>
  <si>
    <t>55303J106</t>
  </si>
  <si>
    <t>B6ZJTH3</t>
  </si>
  <si>
    <t>NATR UR Equity</t>
  </si>
  <si>
    <t>Nature's Sunshine Products Inc</t>
  </si>
  <si>
    <t>639027101</t>
  </si>
  <si>
    <t>2627816</t>
  </si>
  <si>
    <t>ATMU UN Equity</t>
  </si>
  <si>
    <t>Atmus Filtration Technologies</t>
  </si>
  <si>
    <t>04956D107</t>
  </si>
  <si>
    <t>BNRR1B2</t>
  </si>
  <si>
    <t>RIG UN Equity</t>
  </si>
  <si>
    <t>Transocean Ltd</t>
  </si>
  <si>
    <t>B3KFWW1</t>
  </si>
  <si>
    <t>NTIC UQ Equity</t>
  </si>
  <si>
    <t>Northern Technologies Internat</t>
  </si>
  <si>
    <t>665809109</t>
  </si>
  <si>
    <t>2482026</t>
  </si>
  <si>
    <t>NCMI UW Equity</t>
  </si>
  <si>
    <t>National CineMedia Inc</t>
  </si>
  <si>
    <t>635309206</t>
  </si>
  <si>
    <t>BPSK9J8</t>
  </si>
  <si>
    <t>651718504</t>
  </si>
  <si>
    <t>2636878</t>
  </si>
  <si>
    <t>FPI UN Equity</t>
  </si>
  <si>
    <t>Farmland Partners Inc</t>
  </si>
  <si>
    <t>31154R109</t>
  </si>
  <si>
    <t>BKZH191</t>
  </si>
  <si>
    <t>NRIM UW Equity</t>
  </si>
  <si>
    <t>Northrim BanCorp Inc</t>
  </si>
  <si>
    <t>666762109</t>
  </si>
  <si>
    <t>2640277</t>
  </si>
  <si>
    <t>NSSC UW Equity</t>
  </si>
  <si>
    <t>Napco Security Technologies In</t>
  </si>
  <si>
    <t>630402105</t>
  </si>
  <si>
    <t>2622253</t>
  </si>
  <si>
    <t>CAC UW Equity</t>
  </si>
  <si>
    <t>Camden National Corp</t>
  </si>
  <si>
    <t>133034108</t>
  </si>
  <si>
    <t>2116659</t>
  </si>
  <si>
    <t>UIS UN Equity</t>
  </si>
  <si>
    <t>Unisys Corp</t>
  </si>
  <si>
    <t>909214306</t>
  </si>
  <si>
    <t>2931595</t>
  </si>
  <si>
    <t>SOC UN Equity</t>
  </si>
  <si>
    <t>Sable Offshore Corp</t>
  </si>
  <si>
    <t>78574H104</t>
  </si>
  <si>
    <t>BNM6GH5</t>
  </si>
  <si>
    <t>IBRX UW Equity</t>
  </si>
  <si>
    <t>NN UR Equity</t>
  </si>
  <si>
    <t>NextNav Inc</t>
  </si>
  <si>
    <t>65345N106</t>
  </si>
  <si>
    <t>BNTCBL5</t>
  </si>
  <si>
    <t>TEX UN Equity</t>
  </si>
  <si>
    <t>Terex Corp</t>
  </si>
  <si>
    <t>880779103</t>
  </si>
  <si>
    <t>2884224</t>
  </si>
  <si>
    <t>LTH UN Equity</t>
  </si>
  <si>
    <t>Life Time Group Holdings Inc</t>
  </si>
  <si>
    <t>53190C102</t>
  </si>
  <si>
    <t>BPH0546</t>
  </si>
  <si>
    <t>REPX UA Equity</t>
  </si>
  <si>
    <t>Riley Exploration Permian Inc</t>
  </si>
  <si>
    <t>76665T102</t>
  </si>
  <si>
    <t>BNW2543</t>
  </si>
  <si>
    <t>CRGY UN Equity</t>
  </si>
  <si>
    <t>Crescent Energy Co</t>
  </si>
  <si>
    <t>44952J104</t>
  </si>
  <si>
    <t>BNR4QY1</t>
  </si>
  <si>
    <t>OFG UN Equity</t>
  </si>
  <si>
    <t>OFG Bancorp</t>
  </si>
  <si>
    <t>67103X102</t>
  </si>
  <si>
    <t>B87LKR8</t>
  </si>
  <si>
    <t>OFIX UW Equity</t>
  </si>
  <si>
    <t>NNE UR Equity</t>
  </si>
  <si>
    <t>NANO Nuclear Energy Inc</t>
  </si>
  <si>
    <t>63010H108</t>
  </si>
  <si>
    <t>BPDH477</t>
  </si>
  <si>
    <t>ODC UN Equity</t>
  </si>
  <si>
    <t>Oil-Dri Corp of America</t>
  </si>
  <si>
    <t>Household Products</t>
  </si>
  <si>
    <t>677864100</t>
  </si>
  <si>
    <t>2657794</t>
  </si>
  <si>
    <t>OLP UN Equity</t>
  </si>
  <si>
    <t>One Liberty Properties Inc</t>
  </si>
  <si>
    <t>682406103</t>
  </si>
  <si>
    <t>2659615</t>
  </si>
  <si>
    <t>OTTR UW Equity</t>
  </si>
  <si>
    <t>Otter Tail Corp</t>
  </si>
  <si>
    <t>689648103</t>
  </si>
  <si>
    <t>2664103</t>
  </si>
  <si>
    <t>IPSC UW Equity</t>
  </si>
  <si>
    <t>RXO UN Equity</t>
  </si>
  <si>
    <t>RXO Inc</t>
  </si>
  <si>
    <t>74982T103</t>
  </si>
  <si>
    <t>BN6QSL9</t>
  </si>
  <si>
    <t>FOR UN Equity</t>
  </si>
  <si>
    <t>Forestar Group Inc</t>
  </si>
  <si>
    <t>346232101</t>
  </si>
  <si>
    <t>BF16ZX9</t>
  </si>
  <si>
    <t>VIR UW Equity</t>
  </si>
  <si>
    <t>PRK UA Equity</t>
  </si>
  <si>
    <t>Park National Corp</t>
  </si>
  <si>
    <t>700658107</t>
  </si>
  <si>
    <t>2673251</t>
  </si>
  <si>
    <t>HBT UW Equity</t>
  </si>
  <si>
    <t>HBT Financial Inc</t>
  </si>
  <si>
    <t>404111106</t>
  </si>
  <si>
    <t>BJBZRJ4</t>
  </si>
  <si>
    <t>CRCT UW Equity</t>
  </si>
  <si>
    <t>Cricut Inc</t>
  </si>
  <si>
    <t>22658D100</t>
  </si>
  <si>
    <t>BMXDS27</t>
  </si>
  <si>
    <t>PEBK UQ Equity</t>
  </si>
  <si>
    <t>Peoples Bancorp of North Carol</t>
  </si>
  <si>
    <t>710577107</t>
  </si>
  <si>
    <t>2620503</t>
  </si>
  <si>
    <t>CRNX UW Equity</t>
  </si>
  <si>
    <t>CCB UW Equity</t>
  </si>
  <si>
    <t>Coastal Financial Corp/WA</t>
  </si>
  <si>
    <t>19046P209</t>
  </si>
  <si>
    <t>BF7J9X0</t>
  </si>
  <si>
    <t>SEMR UN Equity</t>
  </si>
  <si>
    <t>SEMrush Holdings Inc</t>
  </si>
  <si>
    <t>81686C104</t>
  </si>
  <si>
    <t>BMFPJH3</t>
  </si>
  <si>
    <t>NG UA Equity</t>
  </si>
  <si>
    <t>Novagold Resources Inc</t>
  </si>
  <si>
    <t>66987E206</t>
  </si>
  <si>
    <t>2206903</t>
  </si>
  <si>
    <t>CRBP UR Equity</t>
  </si>
  <si>
    <t>RBBN UW Equity</t>
  </si>
  <si>
    <t>Ribbon Communications Inc</t>
  </si>
  <si>
    <t>762544104</t>
  </si>
  <si>
    <t>BD2BLX1</t>
  </si>
  <si>
    <t>PKOH UW Equity</t>
  </si>
  <si>
    <t>Park-Ohio Holdings Corp</t>
  </si>
  <si>
    <t>700666100</t>
  </si>
  <si>
    <t>2671363</t>
  </si>
  <si>
    <t>CTBI UW Equity</t>
  </si>
  <si>
    <t>Community Trust Bancorp Inc</t>
  </si>
  <si>
    <t>204149108</t>
  </si>
  <si>
    <t>2706470</t>
  </si>
  <si>
    <t>MRVI UW Equity</t>
  </si>
  <si>
    <t>SNEX UW Equity</t>
  </si>
  <si>
    <t>StoneX Group Inc</t>
  </si>
  <si>
    <t>861896108</t>
  </si>
  <si>
    <t>BMQ8XV3</t>
  </si>
  <si>
    <t>LPRO UQ Equity</t>
  </si>
  <si>
    <t>Open Lending Corp</t>
  </si>
  <si>
    <t>68373J104</t>
  </si>
  <si>
    <t>BMTD3M6</t>
  </si>
  <si>
    <t>PTCT UW Equity</t>
  </si>
  <si>
    <t>PNRG UR Equity</t>
  </si>
  <si>
    <t>PrimeEnergy Resources Corp</t>
  </si>
  <si>
    <t>74158E104</t>
  </si>
  <si>
    <t>2480365</t>
  </si>
  <si>
    <t>PRM UN Equity</t>
  </si>
  <si>
    <t>FIZZ UW Equity</t>
  </si>
  <si>
    <t>National Beverage Corp</t>
  </si>
  <si>
    <t>635017106</t>
  </si>
  <si>
    <t>2638625</t>
  </si>
  <si>
    <t>RDZN UQ Equity</t>
  </si>
  <si>
    <t>Roadzen Inc</t>
  </si>
  <si>
    <t>BMX7K89</t>
  </si>
  <si>
    <t>GHM UN Equity</t>
  </si>
  <si>
    <t>Graham Corp</t>
  </si>
  <si>
    <t>384556106</t>
  </si>
  <si>
    <t>2380904</t>
  </si>
  <si>
    <t>WEST UQ Equity</t>
  </si>
  <si>
    <t>Westrock Coffee Co</t>
  </si>
  <si>
    <t>96145W103</t>
  </si>
  <si>
    <t>BN4Q5D2</t>
  </si>
  <si>
    <t>693149106</t>
  </si>
  <si>
    <t>2669090</t>
  </si>
  <si>
    <t>BANC UN Equity</t>
  </si>
  <si>
    <t>Banc of California Inc</t>
  </si>
  <si>
    <t>05990K106</t>
  </si>
  <si>
    <t>BCD47X4</t>
  </si>
  <si>
    <t>ALXO UW Equity</t>
  </si>
  <si>
    <t>VYX UN Equity</t>
  </si>
  <si>
    <t>NCR Voyix Corp</t>
  </si>
  <si>
    <t>62886E108</t>
  </si>
  <si>
    <t>2632650</t>
  </si>
  <si>
    <t>DORM UW Equity</t>
  </si>
  <si>
    <t>Dorman Products Inc</t>
  </si>
  <si>
    <t>258278100</t>
  </si>
  <si>
    <t>2718594</t>
  </si>
  <si>
    <t>BRZE UW Equity</t>
  </si>
  <si>
    <t>Braze Inc</t>
  </si>
  <si>
    <t>10576N102</t>
  </si>
  <si>
    <t>BPLQR66</t>
  </si>
  <si>
    <t>RELL UW Equity</t>
  </si>
  <si>
    <t>Richardson Electronics Ltd/Uni</t>
  </si>
  <si>
    <t>763165107</t>
  </si>
  <si>
    <t>2736109</t>
  </si>
  <si>
    <t>MGNX UW Equity</t>
  </si>
  <si>
    <t>CHX UW Equity</t>
  </si>
  <si>
    <t>ChampionX Corp</t>
  </si>
  <si>
    <t>15872M104</t>
  </si>
  <si>
    <t>BMW7N69</t>
  </si>
  <si>
    <t>SANM UW Equity</t>
  </si>
  <si>
    <t>Sanmina Corp</t>
  </si>
  <si>
    <t>801056102</t>
  </si>
  <si>
    <t>B92RRW2</t>
  </si>
  <si>
    <t>CMT UA Equity</t>
  </si>
  <si>
    <t>Core Molding Technologies Inc</t>
  </si>
  <si>
    <t>218683100</t>
  </si>
  <si>
    <t>2761123</t>
  </si>
  <si>
    <t>APLE UN Equity</t>
  </si>
  <si>
    <t>Apple Hospitality REIT Inc</t>
  </si>
  <si>
    <t>03784Y200</t>
  </si>
  <si>
    <t>BXRTX56</t>
  </si>
  <si>
    <t>RDFN UW Equity</t>
  </si>
  <si>
    <t>Redfin Corp</t>
  </si>
  <si>
    <t>75737F108</t>
  </si>
  <si>
    <t>BF1BDQ3</t>
  </si>
  <si>
    <t>TIPT UR Equity</t>
  </si>
  <si>
    <t>Tiptree Inc</t>
  </si>
  <si>
    <t>88822Q103</t>
  </si>
  <si>
    <t>BC30V41</t>
  </si>
  <si>
    <t>SBH UN Equity</t>
  </si>
  <si>
    <t>Sally Beauty Holdings Inc</t>
  </si>
  <si>
    <t>79546E104</t>
  </si>
  <si>
    <t>B1GZ005</t>
  </si>
  <si>
    <t>KRNY UW Equity</t>
  </si>
  <si>
    <t>Kearny Financial Corp/MD</t>
  </si>
  <si>
    <t>48716P108</t>
  </si>
  <si>
    <t>BY3H7G0</t>
  </si>
  <si>
    <t>TRN UN Equity</t>
  </si>
  <si>
    <t>Trinity Industries Inc</t>
  </si>
  <si>
    <t>896522109</t>
  </si>
  <si>
    <t>2904627</t>
  </si>
  <si>
    <t>SBCF UW Equity</t>
  </si>
  <si>
    <t>Seacoast Banking Corp of Flori</t>
  </si>
  <si>
    <t>811707801</t>
  </si>
  <si>
    <t>BH65L93</t>
  </si>
  <si>
    <t>UCB UN Equity</t>
  </si>
  <si>
    <t>United Community Banks Inc/GA</t>
  </si>
  <si>
    <t>90984P303</t>
  </si>
  <si>
    <t>2862156</t>
  </si>
  <si>
    <t>PACB UW Equity</t>
  </si>
  <si>
    <t>SGC UQ Equity</t>
  </si>
  <si>
    <t>Superior Group of Cos Inc</t>
  </si>
  <si>
    <t>868358102</t>
  </si>
  <si>
    <t>2864301</t>
  </si>
  <si>
    <t>BBAI UN Equity</t>
  </si>
  <si>
    <t>BigBear.ai Holdings Inc</t>
  </si>
  <si>
    <t>08975B109</t>
  </si>
  <si>
    <t>BM92RJ8</t>
  </si>
  <si>
    <t>DK UN Equity</t>
  </si>
  <si>
    <t>Delek US Holdings Inc</t>
  </si>
  <si>
    <t>24665A103</t>
  </si>
  <si>
    <t>BF5P189</t>
  </si>
  <si>
    <t>SJW Group</t>
  </si>
  <si>
    <t>784305104</t>
  </si>
  <si>
    <t>2811932</t>
  </si>
  <si>
    <t>GLRE UW Equity</t>
  </si>
  <si>
    <t>Greenlight Capital Re Ltd</t>
  </si>
  <si>
    <t>B1XRCZ3</t>
  </si>
  <si>
    <t>Ouster Inc</t>
  </si>
  <si>
    <t>68989M202</t>
  </si>
  <si>
    <t>BMHVMY7</t>
  </si>
  <si>
    <t>CRMT UW Equity</t>
  </si>
  <si>
    <t>America's Car-Mart Inc/TX</t>
  </si>
  <si>
    <t>03062T105</t>
  </si>
  <si>
    <t>2813961</t>
  </si>
  <si>
    <t>AVNW UW Equity</t>
  </si>
  <si>
    <t>Aviat Networks Inc</t>
  </si>
  <si>
    <t>05366Y201</t>
  </si>
  <si>
    <t>BZ9NWS6</t>
  </si>
  <si>
    <t>HOWL UW Equity</t>
  </si>
  <si>
    <t>OPFI UN Equity</t>
  </si>
  <si>
    <t>OppFi Inc</t>
  </si>
  <si>
    <t>68386H103</t>
  </si>
  <si>
    <t>BP6GZG7</t>
  </si>
  <si>
    <t>PROP UR Equity</t>
  </si>
  <si>
    <t>Prairie Operating Co</t>
  </si>
  <si>
    <t>739650109</t>
  </si>
  <si>
    <t>BRBR2C4</t>
  </si>
  <si>
    <t>NBBK UR Equity</t>
  </si>
  <si>
    <t>NB Bancorp Inc</t>
  </si>
  <si>
    <t>63945M107</t>
  </si>
  <si>
    <t>BQT2053</t>
  </si>
  <si>
    <t>CNK UN Equity</t>
  </si>
  <si>
    <t>Cinemark Holdings Inc</t>
  </si>
  <si>
    <t>17243V102</t>
  </si>
  <si>
    <t>B1W7RQ0</t>
  </si>
  <si>
    <t>PAYO UQ Equity</t>
  </si>
  <si>
    <t>Payoneer Global Inc</t>
  </si>
  <si>
    <t>70451X104</t>
  </si>
  <si>
    <t>BLSPX60</t>
  </si>
  <si>
    <t>MBIN UR Equity</t>
  </si>
  <si>
    <t>Merchants Bancorp/IN</t>
  </si>
  <si>
    <t>58844R108</t>
  </si>
  <si>
    <t>BYZ1PQ6</t>
  </si>
  <si>
    <t>TUSK UW Equity</t>
  </si>
  <si>
    <t>Mammoth Energy Services Inc</t>
  </si>
  <si>
    <t>56155L108</t>
  </si>
  <si>
    <t>BDBFK59</t>
  </si>
  <si>
    <t>SRCE UW Equity</t>
  </si>
  <si>
    <t>1st Source Corp</t>
  </si>
  <si>
    <t>336901103</t>
  </si>
  <si>
    <t>2341848</t>
  </si>
  <si>
    <t>STAA UQ Equity</t>
  </si>
  <si>
    <t>ELEV UW Equity</t>
  </si>
  <si>
    <t>CMPO UQ Equity</t>
  </si>
  <si>
    <t>CompoSecure Inc</t>
  </si>
  <si>
    <t>Technology Hardware, Storage &amp; Peripherals</t>
  </si>
  <si>
    <t>20459V105</t>
  </si>
  <si>
    <t>BMYS5T7</t>
  </si>
  <si>
    <t>LADR UN Equity</t>
  </si>
  <si>
    <t>Ladder Capital Corp</t>
  </si>
  <si>
    <t>505743104</t>
  </si>
  <si>
    <t>BJ367P1</t>
  </si>
  <si>
    <t>STEP UW Equity</t>
  </si>
  <si>
    <t>StepStone Group Inc</t>
  </si>
  <si>
    <t>85914M107</t>
  </si>
  <si>
    <t>BLFDXF6</t>
  </si>
  <si>
    <t>WSFS UW Equity</t>
  </si>
  <si>
    <t>WSFS Financial Corp</t>
  </si>
  <si>
    <t>929328102</t>
  </si>
  <si>
    <t>2940375</t>
  </si>
  <si>
    <t>Mister Car Wash Inc</t>
  </si>
  <si>
    <t>60646V105</t>
  </si>
  <si>
    <t>BNRRP65</t>
  </si>
  <si>
    <t>SYBT UW Equity</t>
  </si>
  <si>
    <t>Stock Yards Bancorp Inc</t>
  </si>
  <si>
    <t>861025104</t>
  </si>
  <si>
    <t>BLY2FB4</t>
  </si>
  <si>
    <t>SLND UA Equity</t>
  </si>
  <si>
    <t>Southland Holdings Inc</t>
  </si>
  <si>
    <t>84445C100</t>
  </si>
  <si>
    <t>BMTY4G0</t>
  </si>
  <si>
    <t>ORIC UW Equity</t>
  </si>
  <si>
    <t>VRCA UQ Equity</t>
  </si>
  <si>
    <t>LENZ UN Equity</t>
  </si>
  <si>
    <t>TAYD UR Equity</t>
  </si>
  <si>
    <t>Taylor Devices Inc</t>
  </si>
  <si>
    <t>877163105</t>
  </si>
  <si>
    <t>2877127</t>
  </si>
  <si>
    <t>ESSA UW Equity</t>
  </si>
  <si>
    <t>ESSA Bancorp Inc</t>
  </si>
  <si>
    <t>29667D104</t>
  </si>
  <si>
    <t>B1VXG40</t>
  </si>
  <si>
    <t>THFF UW Equity</t>
  </si>
  <si>
    <t>First Financial Corp/IN</t>
  </si>
  <si>
    <t>320218100</t>
  </si>
  <si>
    <t>2362515</t>
  </si>
  <si>
    <t>PRO UN Equity</t>
  </si>
  <si>
    <t>PROS Holdings Inc</t>
  </si>
  <si>
    <t>74346Y103</t>
  </si>
  <si>
    <t>B1YWQK0</t>
  </si>
  <si>
    <t>CLFD UQ Equity</t>
  </si>
  <si>
    <t>Clearfield Inc</t>
  </si>
  <si>
    <t>18482P103</t>
  </si>
  <si>
    <t>2002059</t>
  </si>
  <si>
    <t>KAR UN Equity</t>
  </si>
  <si>
    <t>OPENLANE Inc</t>
  </si>
  <si>
    <t>48238T109</t>
  </si>
  <si>
    <t>B4Y1MH7</t>
  </si>
  <si>
    <t>KTB UN Equity</t>
  </si>
  <si>
    <t>Kontoor Brands Inc</t>
  </si>
  <si>
    <t>50050N103</t>
  </si>
  <si>
    <t>BJTJGC4</t>
  </si>
  <si>
    <t>TRC UN Equity</t>
  </si>
  <si>
    <t>Tejon Ranch Co</t>
  </si>
  <si>
    <t>879080109</t>
  </si>
  <si>
    <t>2880448</t>
  </si>
  <si>
    <t>UE UN Equity</t>
  </si>
  <si>
    <t>Urban Edge Properties</t>
  </si>
  <si>
    <t>91704F104</t>
  </si>
  <si>
    <t>BTPSGQ9</t>
  </si>
  <si>
    <t>SEI UN Equity</t>
  </si>
  <si>
    <t>Solaris Energy Infrastructure</t>
  </si>
  <si>
    <t>83418M103</t>
  </si>
  <si>
    <t>BD93QN5</t>
  </si>
  <si>
    <t>TRNS UQ Equity</t>
  </si>
  <si>
    <t>Transcat Inc</t>
  </si>
  <si>
    <t>893529107</t>
  </si>
  <si>
    <t>2901714</t>
  </si>
  <si>
    <t>SUPN UQ Equity</t>
  </si>
  <si>
    <t>WOOF UW Equity</t>
  </si>
  <si>
    <t>Petco Health &amp; Wellness Co Inc</t>
  </si>
  <si>
    <t>71601V105</t>
  </si>
  <si>
    <t>BNRQM83</t>
  </si>
  <si>
    <t>CRSR UW Equity</t>
  </si>
  <si>
    <t>Corsair Gaming Inc</t>
  </si>
  <si>
    <t>22041X102</t>
  </si>
  <si>
    <t>BMGWSJ8</t>
  </si>
  <si>
    <t>VCTR UW Equity</t>
  </si>
  <si>
    <t>Victory Capital Holdings Inc</t>
  </si>
  <si>
    <t>92645B103</t>
  </si>
  <si>
    <t>BFYVKR0</t>
  </si>
  <si>
    <t>CVI UN Equity</t>
  </si>
  <si>
    <t>CVR Energy Inc</t>
  </si>
  <si>
    <t>12662P108</t>
  </si>
  <si>
    <t>B23PS12</t>
  </si>
  <si>
    <t>SEZL UR Equity</t>
  </si>
  <si>
    <t>Sezzle Inc</t>
  </si>
  <si>
    <t>78435P105</t>
  </si>
  <si>
    <t>BQC4R22</t>
  </si>
  <si>
    <t>LCNB UR Equity</t>
  </si>
  <si>
    <t>LCNB Corp</t>
  </si>
  <si>
    <t>50181P100</t>
  </si>
  <si>
    <t>2283917</t>
  </si>
  <si>
    <t>WGS UW Equity</t>
  </si>
  <si>
    <t>UUUU UA Equity</t>
  </si>
  <si>
    <t>Energy Fuels Inc/Canada</t>
  </si>
  <si>
    <t>292671708</t>
  </si>
  <si>
    <t>BFV4XW8</t>
  </si>
  <si>
    <t>CGON UW Equity</t>
  </si>
  <si>
    <t>JILL UN Equity</t>
  </si>
  <si>
    <t>J Jill Inc</t>
  </si>
  <si>
    <t>46620W201</t>
  </si>
  <si>
    <t>BN941G6</t>
  </si>
  <si>
    <t>UTL UN Equity</t>
  </si>
  <si>
    <t>Unitil Corp</t>
  </si>
  <si>
    <t>Multi-Utilities</t>
  </si>
  <si>
    <t>913259107</t>
  </si>
  <si>
    <t>2925037</t>
  </si>
  <si>
    <t>BASE UW Equity</t>
  </si>
  <si>
    <t>Couchbase Inc</t>
  </si>
  <si>
    <t>22207T101</t>
  </si>
  <si>
    <t>BNLYJ71</t>
  </si>
  <si>
    <t>PRCH UR Equity</t>
  </si>
  <si>
    <t>Porch Group Inc</t>
  </si>
  <si>
    <t>733245104</t>
  </si>
  <si>
    <t>BNGJQZ8</t>
  </si>
  <si>
    <t>ABSI UW Equity</t>
  </si>
  <si>
    <t>DEC UN Equity</t>
  </si>
  <si>
    <t>Diversified Energy Co PLC</t>
  </si>
  <si>
    <t>BS4CRR3</t>
  </si>
  <si>
    <t>ROIC UW Equity</t>
  </si>
  <si>
    <t>Retail Opportunity Investments</t>
  </si>
  <si>
    <t>76131N101</t>
  </si>
  <si>
    <t>B28YD08</t>
  </si>
  <si>
    <t>VIRC UQ Equity</t>
  </si>
  <si>
    <t>Virco Mfg. Corp</t>
  </si>
  <si>
    <t>927651109</t>
  </si>
  <si>
    <t>2929705</t>
  </si>
  <si>
    <t>MTTR UQ Equity</t>
  </si>
  <si>
    <t>Matterport Inc</t>
  </si>
  <si>
    <t>577096100</t>
  </si>
  <si>
    <t>BN75T01</t>
  </si>
  <si>
    <t>FTDR UW Equity</t>
  </si>
  <si>
    <t>Frontdoor Inc</t>
  </si>
  <si>
    <t>35905A109</t>
  </si>
  <si>
    <t>BFYF094</t>
  </si>
  <si>
    <t>VLGEA UW Equity</t>
  </si>
  <si>
    <t>Village Super Market Inc</t>
  </si>
  <si>
    <t>927107409</t>
  </si>
  <si>
    <t>2929211</t>
  </si>
  <si>
    <t>ADVM UR Equity</t>
  </si>
  <si>
    <t>ADV UW Equity</t>
  </si>
  <si>
    <t>Advantage Solutions Inc</t>
  </si>
  <si>
    <t>00791N102</t>
  </si>
  <si>
    <t>BNC2MS6</t>
  </si>
  <si>
    <t>TRS UW Equity</t>
  </si>
  <si>
    <t>TriMas Corp</t>
  </si>
  <si>
    <t>Containers &amp; Packaging</t>
  </si>
  <si>
    <t>896215209</t>
  </si>
  <si>
    <t>B1XHRL4</t>
  </si>
  <si>
    <t>APAM UN Equity</t>
  </si>
  <si>
    <t>Artisan Partners Asset Managem</t>
  </si>
  <si>
    <t>04316A108</t>
  </si>
  <si>
    <t>B8FW545</t>
  </si>
  <si>
    <t>VSEC UW Equity</t>
  </si>
  <si>
    <t>VSE Corp</t>
  </si>
  <si>
    <t>918284100</t>
  </si>
  <si>
    <t>2926773</t>
  </si>
  <si>
    <t>CBL UN Equity</t>
  </si>
  <si>
    <t>CBL &amp; Associates Properties In</t>
  </si>
  <si>
    <t>124830878</t>
  </si>
  <si>
    <t>BNTC8Y7</t>
  </si>
  <si>
    <t>BAND UW Equity</t>
  </si>
  <si>
    <t>Bandwidth Inc</t>
  </si>
  <si>
    <t>05988J103</t>
  </si>
  <si>
    <t>BD3FZ18</t>
  </si>
  <si>
    <t>ASUR UR Equity</t>
  </si>
  <si>
    <t>Asure Software Inc</t>
  </si>
  <si>
    <t>04649U102</t>
  </si>
  <si>
    <t>2932037</t>
  </si>
  <si>
    <t>WASH UW Equity</t>
  </si>
  <si>
    <t>Washington Trust Bancorp Inc</t>
  </si>
  <si>
    <t>940610108</t>
  </si>
  <si>
    <t>2942025</t>
  </si>
  <si>
    <t>WEYS UW Equity</t>
  </si>
  <si>
    <t>Weyco Group Inc</t>
  </si>
  <si>
    <t>962149100</t>
  </si>
  <si>
    <t>2947774</t>
  </si>
  <si>
    <t>KW UN Equity</t>
  </si>
  <si>
    <t>Kennedy-Wilson Holdings Inc</t>
  </si>
  <si>
    <t>489398107</t>
  </si>
  <si>
    <t>B298495</t>
  </si>
  <si>
    <t>MASS UQ Equity</t>
  </si>
  <si>
    <t>908 Devices Inc</t>
  </si>
  <si>
    <t>65443P102</t>
  </si>
  <si>
    <t>BM8GQP0</t>
  </si>
  <si>
    <t>CIO UN Equity</t>
  </si>
  <si>
    <t>City Office REIT Inc</t>
  </si>
  <si>
    <t>178587101</t>
  </si>
  <si>
    <t>BL25F37</t>
  </si>
  <si>
    <t>VERU UR Equity</t>
  </si>
  <si>
    <t>Veru Inc</t>
  </si>
  <si>
    <t>92536C103</t>
  </si>
  <si>
    <t>BDFBQ66</t>
  </si>
  <si>
    <t>ELME UN Equity</t>
  </si>
  <si>
    <t>Elme Communities</t>
  </si>
  <si>
    <t>939653101</t>
  </si>
  <si>
    <t>2942304</t>
  </si>
  <si>
    <t>WSBC UW Equity</t>
  </si>
  <si>
    <t>WesBanco Inc</t>
  </si>
  <si>
    <t>950810101</t>
  </si>
  <si>
    <t>2953782</t>
  </si>
  <si>
    <t>FMNB UR Equity</t>
  </si>
  <si>
    <t>Farmers National Banc Corp</t>
  </si>
  <si>
    <t>309627107</t>
  </si>
  <si>
    <t>B019BK2</t>
  </si>
  <si>
    <t>CMPX UR Equity</t>
  </si>
  <si>
    <t>DDD UN Equity</t>
  </si>
  <si>
    <t>3D Systems Corp</t>
  </si>
  <si>
    <t>88554D205</t>
  </si>
  <si>
    <t>2889768</t>
  </si>
  <si>
    <t>LIVN UW Equity</t>
  </si>
  <si>
    <t>ANIP UQ Equity</t>
  </si>
  <si>
    <t>CTGO UA Equity</t>
  </si>
  <si>
    <t>Contango ORE Inc</t>
  </si>
  <si>
    <t>21077F100</t>
  </si>
  <si>
    <t>B3ZY290</t>
  </si>
  <si>
    <t>GUTS UQ Equity</t>
  </si>
  <si>
    <t>EGY UN Equity</t>
  </si>
  <si>
    <t>VAALCO Energy Inc</t>
  </si>
  <si>
    <t>91851C201</t>
  </si>
  <si>
    <t>2933353</t>
  </si>
  <si>
    <t>TITN UW Equity</t>
  </si>
  <si>
    <t>Titan Machinery Inc</t>
  </si>
  <si>
    <t>88830R101</t>
  </si>
  <si>
    <t>B29H3T5</t>
  </si>
  <si>
    <t>GSHD UW Equity</t>
  </si>
  <si>
    <t>Goosehead Insurance Inc</t>
  </si>
  <si>
    <t>38267D109</t>
  </si>
  <si>
    <t>BZ2YT30</t>
  </si>
  <si>
    <t>EYPT UQ Equity</t>
  </si>
  <si>
    <t>VERA UQ Equity</t>
  </si>
  <si>
    <t>BEAM UW Equity</t>
  </si>
  <si>
    <t>SDGR UW Equity</t>
  </si>
  <si>
    <t>BHR UN Equity</t>
  </si>
  <si>
    <t>Braemar Hotels &amp; Resorts Inc</t>
  </si>
  <si>
    <t>10482B101</t>
  </si>
  <si>
    <t>BD8ZZ24</t>
  </si>
  <si>
    <t>SKYT UR Equity</t>
  </si>
  <si>
    <t>SkyWater Technology Inc</t>
  </si>
  <si>
    <t>83089J108</t>
  </si>
  <si>
    <t>BMDXB06</t>
  </si>
  <si>
    <t>DLX UN Equity</t>
  </si>
  <si>
    <t>Deluxe Corp</t>
  </si>
  <si>
    <t>248019101</t>
  </si>
  <si>
    <t>2260363</t>
  </si>
  <si>
    <t>ADPT UW Equity</t>
  </si>
  <si>
    <t>WOR UN Equity</t>
  </si>
  <si>
    <t>Worthington Enterprises Inc</t>
  </si>
  <si>
    <t>981811102</t>
  </si>
  <si>
    <t>2981932</t>
  </si>
  <si>
    <t>KAI UN Equity</t>
  </si>
  <si>
    <t>Kadant Inc</t>
  </si>
  <si>
    <t>48282T104</t>
  </si>
  <si>
    <t>2769978</t>
  </si>
  <si>
    <t>INMB UR Equity</t>
  </si>
  <si>
    <t>BBIO UW Equity</t>
  </si>
  <si>
    <t>OLPX UW Equity</t>
  </si>
  <si>
    <t>Olaplex Holdings Inc</t>
  </si>
  <si>
    <t>679369108</t>
  </si>
  <si>
    <t>BNKJ933</t>
  </si>
  <si>
    <t>Automobiles</t>
  </si>
  <si>
    <t>EOLS UQ Equity</t>
  </si>
  <si>
    <t>OPEN UW Equity</t>
  </si>
  <si>
    <t>Opendoor Technologies Inc</t>
  </si>
  <si>
    <t>683712103</t>
  </si>
  <si>
    <t>BL96T19</t>
  </si>
  <si>
    <t>PHIN UN Equity</t>
  </si>
  <si>
    <t>Phinia Inc</t>
  </si>
  <si>
    <t>71880K101</t>
  </si>
  <si>
    <t>BPW7PC0</t>
  </si>
  <si>
    <t>VEL UN Equity</t>
  </si>
  <si>
    <t>Velocity Financial Inc</t>
  </si>
  <si>
    <t>92262D101</t>
  </si>
  <si>
    <t>BKFVZS0</t>
  </si>
  <si>
    <t>FFNW UW Equity</t>
  </si>
  <si>
    <t>First Financial Northwest Inc</t>
  </si>
  <si>
    <t>32022K102</t>
  </si>
  <si>
    <t>B28FZ94</t>
  </si>
  <si>
    <t>PLL UR Equity</t>
  </si>
  <si>
    <t>Piedmont Lithium Inc</t>
  </si>
  <si>
    <t>72016P105</t>
  </si>
  <si>
    <t>BMGHM13</t>
  </si>
  <si>
    <t>CRDF UR Equity</t>
  </si>
  <si>
    <t>MCB UN Equity</t>
  </si>
  <si>
    <t>Metropolitan Bank Holding Corp</t>
  </si>
  <si>
    <t>591774104</t>
  </si>
  <si>
    <t>BDBRDR8</t>
  </si>
  <si>
    <t>ALLO UW Equity</t>
  </si>
  <si>
    <t>GOGO UW Equity</t>
  </si>
  <si>
    <t>Gogo Inc</t>
  </si>
  <si>
    <t>38046C109</t>
  </si>
  <si>
    <t>BB2C2R1</t>
  </si>
  <si>
    <t>RAMP UN Equity</t>
  </si>
  <si>
    <t>LiveRamp Holdings Inc</t>
  </si>
  <si>
    <t>53815P108</t>
  </si>
  <si>
    <t>BGLN838</t>
  </si>
  <si>
    <t>CPSS UQ Equity</t>
  </si>
  <si>
    <t>Consumer Portfolio Services In</t>
  </si>
  <si>
    <t>210502100</t>
  </si>
  <si>
    <t>2223872</t>
  </si>
  <si>
    <t>SPNT UN Equity</t>
  </si>
  <si>
    <t>SiriusPoint Ltd</t>
  </si>
  <si>
    <t>BMCQX44</t>
  </si>
  <si>
    <t>NFBK UW Equity</t>
  </si>
  <si>
    <t>Northfield Bancorp Inc</t>
  </si>
  <si>
    <t>66611T108</t>
  </si>
  <si>
    <t>B8NB2R6</t>
  </si>
  <si>
    <t>BYPBTG4</t>
  </si>
  <si>
    <t>GRND UN Equity</t>
  </si>
  <si>
    <t>Grindr Inc</t>
  </si>
  <si>
    <t>39854F101</t>
  </si>
  <si>
    <t>BP4XXM2</t>
  </si>
  <si>
    <t>ZURA UR Equity</t>
  </si>
  <si>
    <t>RDW UN Equity</t>
  </si>
  <si>
    <t>Redwire Corp</t>
  </si>
  <si>
    <t>75776W103</t>
  </si>
  <si>
    <t>BL5FDV8</t>
  </si>
  <si>
    <t>RLGT UA Equity</t>
  </si>
  <si>
    <t>Radiant Logistics Inc</t>
  </si>
  <si>
    <t>Air Freight &amp; Logistics</t>
  </si>
  <si>
    <t>75025X100</t>
  </si>
  <si>
    <t>B065G33</t>
  </si>
  <si>
    <t>WSR UN Equity</t>
  </si>
  <si>
    <t>Whitestone REIT</t>
  </si>
  <si>
    <t>966084204</t>
  </si>
  <si>
    <t>B6452T5</t>
  </si>
  <si>
    <t>DAN UN Equity</t>
  </si>
  <si>
    <t>Dana Inc</t>
  </si>
  <si>
    <t>235825205</t>
  </si>
  <si>
    <t>B2PFJR3</t>
  </si>
  <si>
    <t>BORR UN Equity</t>
  </si>
  <si>
    <t>Borr Drilling Ltd</t>
  </si>
  <si>
    <t>BPK3M63</t>
  </si>
  <si>
    <t>MMS UN Equity</t>
  </si>
  <si>
    <t>Maximus Inc</t>
  </si>
  <si>
    <t>577933104</t>
  </si>
  <si>
    <t>2018669</t>
  </si>
  <si>
    <t>MDGL UW Equity</t>
  </si>
  <si>
    <t>LGND UQ Equity</t>
  </si>
  <si>
    <t>SATS UW Equity</t>
  </si>
  <si>
    <t>EchoStar Corp</t>
  </si>
  <si>
    <t>278768106</t>
  </si>
  <si>
    <t>B2NC471</t>
  </si>
  <si>
    <t>ZIMV UW Equity</t>
  </si>
  <si>
    <t>MLP UN Equity</t>
  </si>
  <si>
    <t>Maui Land &amp; Pineapple Co Inc</t>
  </si>
  <si>
    <t>577345101</t>
  </si>
  <si>
    <t>2572604</t>
  </si>
  <si>
    <t>WGO UN Equity</t>
  </si>
  <si>
    <t>Winnebago Industries Inc</t>
  </si>
  <si>
    <t>974637100</t>
  </si>
  <si>
    <t>2972721</t>
  </si>
  <si>
    <t>PESI UR Equity</t>
  </si>
  <si>
    <t>Perma-Fix Environmental Servic</t>
  </si>
  <si>
    <t>714157203</t>
  </si>
  <si>
    <t>BF5S9H3</t>
  </si>
  <si>
    <t>GCT UQ Equity</t>
  </si>
  <si>
    <t>GigaCloud Technology Inc</t>
  </si>
  <si>
    <t>BP0WTV4</t>
  </si>
  <si>
    <t>VCYT UQ Equity</t>
  </si>
  <si>
    <t>WINA UQ Equity</t>
  </si>
  <si>
    <t>Winmark Corp</t>
  </si>
  <si>
    <t>974250102</t>
  </si>
  <si>
    <t>2391092</t>
  </si>
  <si>
    <t>IMNM UR Equity</t>
  </si>
  <si>
    <t>CNNE UN Equity</t>
  </si>
  <si>
    <t>Cannae Holdings Inc</t>
  </si>
  <si>
    <t>13765N107</t>
  </si>
  <si>
    <t>BFMQPR2</t>
  </si>
  <si>
    <t>MVBF UR Equity</t>
  </si>
  <si>
    <t>MVB Financial Corp</t>
  </si>
  <si>
    <t>553810102</t>
  </si>
  <si>
    <t>B00BYZ5</t>
  </si>
  <si>
    <t>QTRX UQ Equity</t>
  </si>
  <si>
    <t>ULBI UQ Equity</t>
  </si>
  <si>
    <t>Ultralife Corp</t>
  </si>
  <si>
    <t>903899102</t>
  </si>
  <si>
    <t>2909064</t>
  </si>
  <si>
    <t>SFIX UW Equity</t>
  </si>
  <si>
    <t>Stitch Fix Inc</t>
  </si>
  <si>
    <t>860897107</t>
  </si>
  <si>
    <t>BF3FPW3</t>
  </si>
  <si>
    <t>AVXL UW Equity</t>
  </si>
  <si>
    <t>CWAN UN Equity</t>
  </si>
  <si>
    <t>Clearwater Analytics Holdings</t>
  </si>
  <si>
    <t>185123106</t>
  </si>
  <si>
    <t>BNZJHY5</t>
  </si>
  <si>
    <t>ANGO UW Equity</t>
  </si>
  <si>
    <t>RCKY UW Equity</t>
  </si>
  <si>
    <t>Rocky Brands Inc</t>
  </si>
  <si>
    <t>774515100</t>
  </si>
  <si>
    <t>2746915</t>
  </si>
  <si>
    <t>TCRX UQ Equity</t>
  </si>
  <si>
    <t>ERII UW Equity</t>
  </si>
  <si>
    <t>Energy Recovery Inc</t>
  </si>
  <si>
    <t>29270J100</t>
  </si>
  <si>
    <t>B3B5J07</t>
  </si>
  <si>
    <t>ERAS UW Equity</t>
  </si>
  <si>
    <t>MG UN Equity</t>
  </si>
  <si>
    <t>Mistras Group Inc</t>
  </si>
  <si>
    <t>60649T107</t>
  </si>
  <si>
    <t>B4WCCG1</t>
  </si>
  <si>
    <t>TCX UR Equity</t>
  </si>
  <si>
    <t>Tucows Inc</t>
  </si>
  <si>
    <t>898697206</t>
  </si>
  <si>
    <t>BHCQVP6</t>
  </si>
  <si>
    <t>BLND UN Equity</t>
  </si>
  <si>
    <t>Blend Labs Inc</t>
  </si>
  <si>
    <t>09352U108</t>
  </si>
  <si>
    <t>BP8K987</t>
  </si>
  <si>
    <t>BBCP UR Equity</t>
  </si>
  <si>
    <t>Concrete Pumping Holdings Inc</t>
  </si>
  <si>
    <t>206704108</t>
  </si>
  <si>
    <t>BH3N8W2</t>
  </si>
  <si>
    <t>DBD UN Equity</t>
  </si>
  <si>
    <t>Diebold Nixdorf Inc</t>
  </si>
  <si>
    <t>253651202</t>
  </si>
  <si>
    <t>BPLJQW4</t>
  </si>
  <si>
    <t>PAGS UN Equity</t>
  </si>
  <si>
    <t>Pagseguro Digital Ltd</t>
  </si>
  <si>
    <t>BFWK4R7</t>
  </si>
  <si>
    <t>NGVC UN Equity</t>
  </si>
  <si>
    <t>Natural Grocers by Vitamin Cot</t>
  </si>
  <si>
    <t>63888U108</t>
  </si>
  <si>
    <t>B82C9Z7</t>
  </si>
  <si>
    <t>SCVL UW Equity</t>
  </si>
  <si>
    <t>Shoe Carnival Inc</t>
  </si>
  <si>
    <t>824889109</t>
  </si>
  <si>
    <t>2805474</t>
  </si>
  <si>
    <t>CLYM UQ Equity</t>
  </si>
  <si>
    <t>GH UW Equity</t>
  </si>
  <si>
    <t>VTOL UN Equity</t>
  </si>
  <si>
    <t>Bristow Group Inc</t>
  </si>
  <si>
    <t>11040G103</t>
  </si>
  <si>
    <t>BMBT0Z4</t>
  </si>
  <si>
    <t>ALG UN Equity</t>
  </si>
  <si>
    <t>Alamo Group Inc</t>
  </si>
  <si>
    <t>011311107</t>
  </si>
  <si>
    <t>2021634</t>
  </si>
  <si>
    <t>USCB UQ Equity</t>
  </si>
  <si>
    <t>USCB Financial Holdings Inc</t>
  </si>
  <si>
    <t>90355N101</t>
  </si>
  <si>
    <t>BPCK3Z8</t>
  </si>
  <si>
    <t>NC UN Equity</t>
  </si>
  <si>
    <t>NACCO Industries Inc</t>
  </si>
  <si>
    <t>629579103</t>
  </si>
  <si>
    <t>2616977</t>
  </si>
  <si>
    <t>KOD UQ Equity</t>
  </si>
  <si>
    <t>FREY UN Equity</t>
  </si>
  <si>
    <t>Freyr Battery Inc</t>
  </si>
  <si>
    <t>35834F104</t>
  </si>
  <si>
    <t>BSKPBK7</t>
  </si>
  <si>
    <t>APOG UW Equity</t>
  </si>
  <si>
    <t>Apogee Enterprises Inc</t>
  </si>
  <si>
    <t>037598109</t>
  </si>
  <si>
    <t>2046176</t>
  </si>
  <si>
    <t>MTX UN Equity</t>
  </si>
  <si>
    <t>Minerals Technologies Inc</t>
  </si>
  <si>
    <t>603158106</t>
  </si>
  <si>
    <t>2595612</t>
  </si>
  <si>
    <t>AIN UN Equity</t>
  </si>
  <si>
    <t>Albany International Corp</t>
  </si>
  <si>
    <t>012348108</t>
  </si>
  <si>
    <t>2012757</t>
  </si>
  <si>
    <t>BDTX UW Equity</t>
  </si>
  <si>
    <t>FCPT UN Equity</t>
  </si>
  <si>
    <t>Four Corners Property Trust In</t>
  </si>
  <si>
    <t>35086T109</t>
  </si>
  <si>
    <t>BZ16HK0</t>
  </si>
  <si>
    <t>BOH UN Equity</t>
  </si>
  <si>
    <t>Bank of Hawaii Corp</t>
  </si>
  <si>
    <t>062540109</t>
  </si>
  <si>
    <t>2074070</t>
  </si>
  <si>
    <t>BKU UN Equity</t>
  </si>
  <si>
    <t>BankUnited Inc</t>
  </si>
  <si>
    <t>06652K103</t>
  </si>
  <si>
    <t>B3NNTZ4</t>
  </si>
  <si>
    <t>BKH UN Equity</t>
  </si>
  <si>
    <t>Black Hills Corp</t>
  </si>
  <si>
    <t>092113109</t>
  </si>
  <si>
    <t>2101741</t>
  </si>
  <si>
    <t>ORGO UR Equity</t>
  </si>
  <si>
    <t>MTRN UN Equity</t>
  </si>
  <si>
    <t>Materion Corp</t>
  </si>
  <si>
    <t>576690101</t>
  </si>
  <si>
    <t>2149622</t>
  </si>
  <si>
    <t>CBT UN Equity</t>
  </si>
  <si>
    <t>Cabot Corp</t>
  </si>
  <si>
    <t>127055101</t>
  </si>
  <si>
    <t>2162500</t>
  </si>
  <si>
    <t>DTC UN Equity</t>
  </si>
  <si>
    <t>Solo Brands Inc</t>
  </si>
  <si>
    <t>83425V104</t>
  </si>
  <si>
    <t>BP907S2</t>
  </si>
  <si>
    <t>ACHR UN Equity</t>
  </si>
  <si>
    <t>Archer Aviation Inc</t>
  </si>
  <si>
    <t>03945R102</t>
  </si>
  <si>
    <t>BMHVDS8</t>
  </si>
  <si>
    <t>PEB UN Equity</t>
  </si>
  <si>
    <t>Pebblebrook Hotel Trust</t>
  </si>
  <si>
    <t>70509V100</t>
  </si>
  <si>
    <t>B4XBDV9</t>
  </si>
  <si>
    <t>BARK UN Equity</t>
  </si>
  <si>
    <t>BARK Inc</t>
  </si>
  <si>
    <t>68622E104</t>
  </si>
  <si>
    <t>BNVVLD2</t>
  </si>
  <si>
    <t>CMC UN Equity</t>
  </si>
  <si>
    <t>Commercial Metals Co</t>
  </si>
  <si>
    <t>201723103</t>
  </si>
  <si>
    <t>2213260</t>
  </si>
  <si>
    <t>CLDT UN Equity</t>
  </si>
  <si>
    <t>Chatham Lodging Trust</t>
  </si>
  <si>
    <t>16208T102</t>
  </si>
  <si>
    <t>B5LYMC1</t>
  </si>
  <si>
    <t>CTS UN Equity</t>
  </si>
  <si>
    <t>CTS Corp</t>
  </si>
  <si>
    <t>126501105</t>
  </si>
  <si>
    <t>2239244</t>
  </si>
  <si>
    <t>OBIO UQ Equity</t>
  </si>
  <si>
    <t>TRNO UN Equity</t>
  </si>
  <si>
    <t>Terreno Realty Corp</t>
  </si>
  <si>
    <t>88146M101</t>
  </si>
  <si>
    <t>B3N4753</t>
  </si>
  <si>
    <t>WOW UN Equity</t>
  </si>
  <si>
    <t>WideOpenWest Inc</t>
  </si>
  <si>
    <t>96758W101</t>
  </si>
  <si>
    <t>BYQN8D9</t>
  </si>
  <si>
    <t>DY UN Equity</t>
  </si>
  <si>
    <t>Dycom Industries Inc</t>
  </si>
  <si>
    <t>267475101</t>
  </si>
  <si>
    <t>2289841</t>
  </si>
  <si>
    <t>CALX UN Equity</t>
  </si>
  <si>
    <t>Calix Inc</t>
  </si>
  <si>
    <t>13100M509</t>
  </si>
  <si>
    <t>B3S4L67</t>
  </si>
  <si>
    <t>ALEX UN Equity</t>
  </si>
  <si>
    <t>Alexander &amp; Baldwin Inc</t>
  </si>
  <si>
    <t>014491104</t>
  </si>
  <si>
    <t>B827VB2</t>
  </si>
  <si>
    <t>ESE UN Equity</t>
  </si>
  <si>
    <t>ESCO Technologies Inc</t>
  </si>
  <si>
    <t>296315104</t>
  </si>
  <si>
    <t>2321583</t>
  </si>
  <si>
    <t>TLYS UN Equity</t>
  </si>
  <si>
    <t>Tilly's Inc</t>
  </si>
  <si>
    <t>886885102</t>
  </si>
  <si>
    <t>B7TN3D2</t>
  </si>
  <si>
    <t>FSS UN Equity</t>
  </si>
  <si>
    <t>Federal Signal Corp</t>
  </si>
  <si>
    <t>313855108</t>
  </si>
  <si>
    <t>2333986</t>
  </si>
  <si>
    <t>FCF UN Equity</t>
  </si>
  <si>
    <t>First Commonwealth Financial C</t>
  </si>
  <si>
    <t>319829107</t>
  </si>
  <si>
    <t>2351546</t>
  </si>
  <si>
    <t>JACK UW Equity</t>
  </si>
  <si>
    <t>Jack in the Box Inc</t>
  </si>
  <si>
    <t>466367109</t>
  </si>
  <si>
    <t>2344922</t>
  </si>
  <si>
    <t>GATX UN Equity</t>
  </si>
  <si>
    <t>GATX Corp</t>
  </si>
  <si>
    <t>361448103</t>
  </si>
  <si>
    <t>2362128</t>
  </si>
  <si>
    <t>HONE UW Equity</t>
  </si>
  <si>
    <t>HarborOne Bancorp Inc</t>
  </si>
  <si>
    <t>41165Y100</t>
  </si>
  <si>
    <t>BK1KX10</t>
  </si>
  <si>
    <t>XPOF UN Equity</t>
  </si>
  <si>
    <t>Xponential Fitness Inc</t>
  </si>
  <si>
    <t>98422X101</t>
  </si>
  <si>
    <t>BP0TJN7</t>
  </si>
  <si>
    <t>OB UW Equity</t>
  </si>
  <si>
    <t>Outbrain Inc</t>
  </si>
  <si>
    <t>69002R103</t>
  </si>
  <si>
    <t>BNXL732</t>
  </si>
  <si>
    <t>SHLS UQ Equity</t>
  </si>
  <si>
    <t>Shoals Technologies Group Inc</t>
  </si>
  <si>
    <t>82489W107</t>
  </si>
  <si>
    <t>BMDJ085</t>
  </si>
  <si>
    <t>HAE UN Equity</t>
  </si>
  <si>
    <t>CRBU UW Equity</t>
  </si>
  <si>
    <t>TVTX UQ Equity</t>
  </si>
  <si>
    <t>SMLR UR Equity</t>
  </si>
  <si>
    <t>AVNT UN Equity</t>
  </si>
  <si>
    <t>Avient Corp</t>
  </si>
  <si>
    <t>05368V106</t>
  </si>
  <si>
    <t>BMHWY55</t>
  </si>
  <si>
    <t>HE UN Equity</t>
  </si>
  <si>
    <t>Hawaiian Electric Industries I</t>
  </si>
  <si>
    <t>419870100</t>
  </si>
  <si>
    <t>2415204</t>
  </si>
  <si>
    <t>CTKB UW Equity</t>
  </si>
  <si>
    <t>MTH UN Equity</t>
  </si>
  <si>
    <t>Meritage Homes Corp</t>
  </si>
  <si>
    <t>59001A102</t>
  </si>
  <si>
    <t>2601326</t>
  </si>
  <si>
    <t>HMN UN Equity</t>
  </si>
  <si>
    <t>Horace Mann Educators Corp</t>
  </si>
  <si>
    <t>440327104</t>
  </si>
  <si>
    <t>2437112</t>
  </si>
  <si>
    <t>PACS UN Equity</t>
  </si>
  <si>
    <t>ZYME UW Equity</t>
  </si>
  <si>
    <t>WKC UN Equity</t>
  </si>
  <si>
    <t>World Kinect Corp</t>
  </si>
  <si>
    <t>981475106</t>
  </si>
  <si>
    <t>2469450</t>
  </si>
  <si>
    <t>PLOW UN Equity</t>
  </si>
  <si>
    <t>Douglas Dynamics Inc</t>
  </si>
  <si>
    <t>25960R105</t>
  </si>
  <si>
    <t>B3N5WD9</t>
  </si>
  <si>
    <t>IRTC UW Equity</t>
  </si>
  <si>
    <t>HPP UN Equity</t>
  </si>
  <si>
    <t>Hudson Pacific Properties Inc</t>
  </si>
  <si>
    <t>444097109</t>
  </si>
  <si>
    <t>B64B9P8</t>
  </si>
  <si>
    <t>FL UN Equity</t>
  </si>
  <si>
    <t>Foot Locker Inc</t>
  </si>
  <si>
    <t>344849104</t>
  </si>
  <si>
    <t>2980906</t>
  </si>
  <si>
    <t>KMT UN Equity</t>
  </si>
  <si>
    <t>Kennametal Inc</t>
  </si>
  <si>
    <t>489170100</t>
  </si>
  <si>
    <t>2488121</t>
  </si>
  <si>
    <t>GDOT UN Equity</t>
  </si>
  <si>
    <t>Green Dot Corp</t>
  </si>
  <si>
    <t>39304D102</t>
  </si>
  <si>
    <t>B3WNNP3</t>
  </si>
  <si>
    <t>SGRY UW Equity</t>
  </si>
  <si>
    <t>LZB UN Equity</t>
  </si>
  <si>
    <t>La-Z-Boy Inc</t>
  </si>
  <si>
    <t>505336107</t>
  </si>
  <si>
    <t>2508405</t>
  </si>
  <si>
    <t>SR UN Equity</t>
  </si>
  <si>
    <t>Spire Inc</t>
  </si>
  <si>
    <t>84857L101</t>
  </si>
  <si>
    <t>BYXJQG9</t>
  </si>
  <si>
    <t>GNL UN Equity</t>
  </si>
  <si>
    <t>Global Net Lease Inc</t>
  </si>
  <si>
    <t>379378201</t>
  </si>
  <si>
    <t>BZCFW78</t>
  </si>
  <si>
    <t>ALE UN Equity</t>
  </si>
  <si>
    <t>ALLETE Inc</t>
  </si>
  <si>
    <t>018522300</t>
  </si>
  <si>
    <t>B02R1L6</t>
  </si>
  <si>
    <t>BHRB UR Equity</t>
  </si>
  <si>
    <t>Burke &amp; Herbert Financial Serv</t>
  </si>
  <si>
    <t>12135Y108</t>
  </si>
  <si>
    <t>BQ1PC32</t>
  </si>
  <si>
    <t>MLI UN Equity</t>
  </si>
  <si>
    <t>Mueller Industries Inc</t>
  </si>
  <si>
    <t>624756102</t>
  </si>
  <si>
    <t>2609717</t>
  </si>
  <si>
    <t>TCBK UW Equity</t>
  </si>
  <si>
    <t>TriCo Bancshares</t>
  </si>
  <si>
    <t>896095106</t>
  </si>
  <si>
    <t>2904133</t>
  </si>
  <si>
    <t>NPK UN Equity</t>
  </si>
  <si>
    <t>National Presto Industries Inc</t>
  </si>
  <si>
    <t>637215104</t>
  </si>
  <si>
    <t>2626802</t>
  </si>
  <si>
    <t>NJR UN Equity</t>
  </si>
  <si>
    <t>New Jersey Resources Corp</t>
  </si>
  <si>
    <t>646025106</t>
  </si>
  <si>
    <t>2630513</t>
  </si>
  <si>
    <t>SPHR UN Equity</t>
  </si>
  <si>
    <t>Sphere Entertainment Co</t>
  </si>
  <si>
    <t>55826T102</t>
  </si>
  <si>
    <t>BM8MM05</t>
  </si>
  <si>
    <t>THR UN Equity</t>
  </si>
  <si>
    <t>Thermon Group Holdings Inc</t>
  </si>
  <si>
    <t>88362T103</t>
  </si>
  <si>
    <t>B3N6F00</t>
  </si>
  <si>
    <t>OMI UN Equity</t>
  </si>
  <si>
    <t>OXM UN Equity</t>
  </si>
  <si>
    <t>Oxford Industries Inc</t>
  </si>
  <si>
    <t>691497309</t>
  </si>
  <si>
    <t>2665300</t>
  </si>
  <si>
    <t>BANF UW Equity</t>
  </si>
  <si>
    <t>BancFirst Corp</t>
  </si>
  <si>
    <t>05945F103</t>
  </si>
  <si>
    <t>2078782</t>
  </si>
  <si>
    <t>PKE UN Equity</t>
  </si>
  <si>
    <t>Park Aerospace Corp</t>
  </si>
  <si>
    <t>70014A104</t>
  </si>
  <si>
    <t>BK9TGC1</t>
  </si>
  <si>
    <t>PHR UN Equity</t>
  </si>
  <si>
    <t>PCH UW Equity</t>
  </si>
  <si>
    <t>PotlatchDeltic Corp</t>
  </si>
  <si>
    <t>737630103</t>
  </si>
  <si>
    <t>B0XXJN1</t>
  </si>
  <si>
    <t>SWX UN Equity</t>
  </si>
  <si>
    <t>Southwest Gas Holdings Inc</t>
  </si>
  <si>
    <t>844895102</t>
  </si>
  <si>
    <t>2831888</t>
  </si>
  <si>
    <t>SMP UN Equity</t>
  </si>
  <si>
    <t>Standard Motor Products Inc</t>
  </si>
  <si>
    <t>853666105</t>
  </si>
  <si>
    <t>2838306</t>
  </si>
  <si>
    <t>BBSI UW Equity</t>
  </si>
  <si>
    <t>Barrett Business Services Inc</t>
  </si>
  <si>
    <t>068463108</t>
  </si>
  <si>
    <t>2082675</t>
  </si>
  <si>
    <t>BFST UW Equity</t>
  </si>
  <si>
    <t>Business First Bancshares Inc</t>
  </si>
  <si>
    <t>12326C105</t>
  </si>
  <si>
    <t>BF5HDJ0</t>
  </si>
  <si>
    <t>SXI UN Equity</t>
  </si>
  <si>
    <t>Standex International Corp</t>
  </si>
  <si>
    <t>854231107</t>
  </si>
  <si>
    <t>2840174</t>
  </si>
  <si>
    <t>CBNK UW Equity</t>
  </si>
  <si>
    <t>Capital Bancorp Inc</t>
  </si>
  <si>
    <t>139737100</t>
  </si>
  <si>
    <t>BGQT8S6</t>
  </si>
  <si>
    <t>FDBC UQ Equity</t>
  </si>
  <si>
    <t>Fidelity D&amp;D Bancorp Inc</t>
  </si>
  <si>
    <t>31609R100</t>
  </si>
  <si>
    <t>2610913</t>
  </si>
  <si>
    <t>MAX UN Equity</t>
  </si>
  <si>
    <t>MediaAlpha Inc</t>
  </si>
  <si>
    <t>58450V104</t>
  </si>
  <si>
    <t>BLR8XV5</t>
  </si>
  <si>
    <t>ROOT UW Equity</t>
  </si>
  <si>
    <t>Root Inc/OH</t>
  </si>
  <si>
    <t>77664L207</t>
  </si>
  <si>
    <t>BNV0HC0</t>
  </si>
  <si>
    <t>RDVT UR Equity</t>
  </si>
  <si>
    <t>Red Violet Inc</t>
  </si>
  <si>
    <t>75704L104</t>
  </si>
  <si>
    <t>BFXSFB1</t>
  </si>
  <si>
    <t>RGR UN Equity</t>
  </si>
  <si>
    <t>Sturm Ruger &amp; Co Inc</t>
  </si>
  <si>
    <t>864159108</t>
  </si>
  <si>
    <t>2856289</t>
  </si>
  <si>
    <t>IOVA UQ Equity</t>
  </si>
  <si>
    <t>MPB UQ Equity</t>
  </si>
  <si>
    <t>Mid Penn Bancorp Inc</t>
  </si>
  <si>
    <t>59540G107</t>
  </si>
  <si>
    <t>2618348</t>
  </si>
  <si>
    <t>ESNT UN Equity</t>
  </si>
  <si>
    <t>Essent Group Ltd</t>
  </si>
  <si>
    <t>BFWGXR8</t>
  </si>
  <si>
    <t>VRA UW Equity</t>
  </si>
  <si>
    <t>Vera Bradley Inc</t>
  </si>
  <si>
    <t>92335C106</t>
  </si>
  <si>
    <t>B4626P4</t>
  </si>
  <si>
    <t>TG UN Equity</t>
  </si>
  <si>
    <t>Tredegar Corp</t>
  </si>
  <si>
    <t>894650100</t>
  </si>
  <si>
    <t>2903345</t>
  </si>
  <si>
    <t>MIR UN Equity</t>
  </si>
  <si>
    <t>Mirion Technologies Inc</t>
  </si>
  <si>
    <t>60471A101</t>
  </si>
  <si>
    <t>BMG3PQ7</t>
  </si>
  <si>
    <t>GABC UW Equity</t>
  </si>
  <si>
    <t>German American Bancorp Inc</t>
  </si>
  <si>
    <t>373865104</t>
  </si>
  <si>
    <t>2502151</t>
  </si>
  <si>
    <t>UNF UN Equity</t>
  </si>
  <si>
    <t>UniFirst Corp/MA</t>
  </si>
  <si>
    <t>904708104</t>
  </si>
  <si>
    <t>2466428</t>
  </si>
  <si>
    <t>AVDX UW Equity</t>
  </si>
  <si>
    <t>AvidXchange Holdings Inc</t>
  </si>
  <si>
    <t>05368X102</t>
  </si>
  <si>
    <t>BLNMFN7</t>
  </si>
  <si>
    <t>SXT UN Equity</t>
  </si>
  <si>
    <t>Sensient Technologies Corp</t>
  </si>
  <si>
    <t>81725T100</t>
  </si>
  <si>
    <t>2923741</t>
  </si>
  <si>
    <t>UHT UN Equity</t>
  </si>
  <si>
    <t>Universal Health Realty Income</t>
  </si>
  <si>
    <t>91359E105</t>
  </si>
  <si>
    <t>2927497</t>
  </si>
  <si>
    <t>UVV UN Equity</t>
  </si>
  <si>
    <t>Universal Corp/VA</t>
  </si>
  <si>
    <t>Tobacco</t>
  </si>
  <si>
    <t>913456109</t>
  </si>
  <si>
    <t>2923804</t>
  </si>
  <si>
    <t>ASC UN Equity</t>
  </si>
  <si>
    <t>Ardmore Shipping Corp</t>
  </si>
  <si>
    <t>BCGCR57</t>
  </si>
  <si>
    <t>SFM UW Equity</t>
  </si>
  <si>
    <t>Sprouts Farmers Market Inc</t>
  </si>
  <si>
    <t>85208M102</t>
  </si>
  <si>
    <t>BCGCR79</t>
  </si>
  <si>
    <t>AVA UN Equity</t>
  </si>
  <si>
    <t>Avista Corp</t>
  </si>
  <si>
    <t>05379B107</t>
  </si>
  <si>
    <t>2942605</t>
  </si>
  <si>
    <t>HIMS UN Equity</t>
  </si>
  <si>
    <t>WWW UN Equity</t>
  </si>
  <si>
    <t>Wolverine World Wide Inc</t>
  </si>
  <si>
    <t>978097103</t>
  </si>
  <si>
    <t>2977500</t>
  </si>
  <si>
    <t>THRM UW Equity</t>
  </si>
  <si>
    <t>Gentherm Inc</t>
  </si>
  <si>
    <t>37253A103</t>
  </si>
  <si>
    <t>B8JFD24</t>
  </si>
  <si>
    <t>CBRL UW Equity</t>
  </si>
  <si>
    <t>Cracker Barrel Old Country Sto</t>
  </si>
  <si>
    <t>22410J106</t>
  </si>
  <si>
    <t>2231091</t>
  </si>
  <si>
    <t>BBUC UN Equity</t>
  </si>
  <si>
    <t>Brookfield Business Corp</t>
  </si>
  <si>
    <t>Industrial Conglomerates</t>
  </si>
  <si>
    <t>11259V106</t>
  </si>
  <si>
    <t>BL5DCB5</t>
  </si>
  <si>
    <t>HNI UN Equity</t>
  </si>
  <si>
    <t>HNI Corp</t>
  </si>
  <si>
    <t>404251100</t>
  </si>
  <si>
    <t>2435246</t>
  </si>
  <si>
    <t>KELYA UW Equity</t>
  </si>
  <si>
    <t>Kelly Services Inc</t>
  </si>
  <si>
    <t>488152208</t>
  </si>
  <si>
    <t>2487117</t>
  </si>
  <si>
    <t>MLKN UW Equity</t>
  </si>
  <si>
    <t>MillerKnoll Inc</t>
  </si>
  <si>
    <t>600544100</t>
  </si>
  <si>
    <t>2594222</t>
  </si>
  <si>
    <t>ENTA UW Equity</t>
  </si>
  <si>
    <t>ARCB UW Equity</t>
  </si>
  <si>
    <t>ArcBest Corp</t>
  </si>
  <si>
    <t>03937C105</t>
  </si>
  <si>
    <t>BLTFST7</t>
  </si>
  <si>
    <t>SMXT UQ Equity</t>
  </si>
  <si>
    <t>SolarMax Technology Inc</t>
  </si>
  <si>
    <t>83419H103</t>
  </si>
  <si>
    <t>BKSLPG5</t>
  </si>
  <si>
    <t>AVD UN Equity</t>
  </si>
  <si>
    <t>American Vanguard Corp</t>
  </si>
  <si>
    <t>030371108</t>
  </si>
  <si>
    <t>2025711</t>
  </si>
  <si>
    <t>MGX UW Equity</t>
  </si>
  <si>
    <t>NRC UW Equity</t>
  </si>
  <si>
    <t>TELO UR Equity</t>
  </si>
  <si>
    <t>JYNT UR Equity</t>
  </si>
  <si>
    <t>ISTR UQ Equity</t>
  </si>
  <si>
    <t>Investar Holding Corp</t>
  </si>
  <si>
    <t>46134L105</t>
  </si>
  <si>
    <t>BNGY4R1</t>
  </si>
  <si>
    <t>CURB UN Equity</t>
  </si>
  <si>
    <t>Curbline Properties Corp</t>
  </si>
  <si>
    <t>23128Q101</t>
  </si>
  <si>
    <t>BSNR2T6</t>
  </si>
  <si>
    <t>ATNI UW Equity</t>
  </si>
  <si>
    <t>ATN International Inc</t>
  </si>
  <si>
    <t>00215F107</t>
  </si>
  <si>
    <t>BDC84D3</t>
  </si>
  <si>
    <t>AZZ UN Equity</t>
  </si>
  <si>
    <t>AZZ Inc</t>
  </si>
  <si>
    <t>002474104</t>
  </si>
  <si>
    <t>2067672</t>
  </si>
  <si>
    <t>BELFB UW Equity</t>
  </si>
  <si>
    <t>077347300</t>
  </si>
  <si>
    <t>2279897</t>
  </si>
  <si>
    <t>VRNT UW Equity</t>
  </si>
  <si>
    <t>Verint Systems Inc</t>
  </si>
  <si>
    <t>92343X100</t>
  </si>
  <si>
    <t>2849193</t>
  </si>
  <si>
    <t>INN UN Equity</t>
  </si>
  <si>
    <t>Summit Hotel Properties Inc</t>
  </si>
  <si>
    <t>866082100</t>
  </si>
  <si>
    <t>B3M7R64</t>
  </si>
  <si>
    <t>BHE UN Equity</t>
  </si>
  <si>
    <t>Benchmark Electronics Inc</t>
  </si>
  <si>
    <t>08160H101</t>
  </si>
  <si>
    <t>2090816</t>
  </si>
  <si>
    <t>BKE UN Equity</t>
  </si>
  <si>
    <t>Buckle Inc/The</t>
  </si>
  <si>
    <t>118440106</t>
  </si>
  <si>
    <t>2149934</t>
  </si>
  <si>
    <t>MMI UN Equity</t>
  </si>
  <si>
    <t>Marcus &amp; Millichap Inc</t>
  </si>
  <si>
    <t>566324109</t>
  </si>
  <si>
    <t>BFWGXV2</t>
  </si>
  <si>
    <t>FLL UR Equity</t>
  </si>
  <si>
    <t>Full House Resorts Inc</t>
  </si>
  <si>
    <t>359678109</t>
  </si>
  <si>
    <t>2357566</t>
  </si>
  <si>
    <t>BMI UN Equity</t>
  </si>
  <si>
    <t>Badger Meter Inc</t>
  </si>
  <si>
    <t>056525108</t>
  </si>
  <si>
    <t>2069128</t>
  </si>
  <si>
    <t>AAT UN Equity</t>
  </si>
  <si>
    <t>American Assets Trust Inc</t>
  </si>
  <si>
    <t>024013104</t>
  </si>
  <si>
    <t>B3NTLD4</t>
  </si>
  <si>
    <t>CHEF UW Equity</t>
  </si>
  <si>
    <t>Chefs' Warehouse Inc/The</t>
  </si>
  <si>
    <t>163086101</t>
  </si>
  <si>
    <t>B63RTD5</t>
  </si>
  <si>
    <t>92552R406</t>
  </si>
  <si>
    <t>B01KGF5</t>
  </si>
  <si>
    <t>CAKE UW Equity</t>
  </si>
  <si>
    <t>Cheesecake Factory Inc/The</t>
  </si>
  <si>
    <t>163072101</t>
  </si>
  <si>
    <t>2192392</t>
  </si>
  <si>
    <t>PFC UW Equity</t>
  </si>
  <si>
    <t>Premier Financial Corp</t>
  </si>
  <si>
    <t>74052F108</t>
  </si>
  <si>
    <t>BLFBX72</t>
  </si>
  <si>
    <t>CAL UN Equity</t>
  </si>
  <si>
    <t>Caleres Inc</t>
  </si>
  <si>
    <t>129500104</t>
  </si>
  <si>
    <t>BWX4MD9</t>
  </si>
  <si>
    <t>NREF UN Equity</t>
  </si>
  <si>
    <t>Nexpoint Real Estate Finance I</t>
  </si>
  <si>
    <t>65342V101</t>
  </si>
  <si>
    <t>BL1J6B5</t>
  </si>
  <si>
    <t>CATY UW Equity</t>
  </si>
  <si>
    <t>Cathay General Bancorp</t>
  </si>
  <si>
    <t>149150104</t>
  </si>
  <si>
    <t>2264235</t>
  </si>
  <si>
    <t>CBU UN Equity</t>
  </si>
  <si>
    <t>Community Financial System Inc</t>
  </si>
  <si>
    <t>203607106</t>
  </si>
  <si>
    <t>2222062</t>
  </si>
  <si>
    <t>RLJ UN Equity</t>
  </si>
  <si>
    <t>RLJ Lodging Trust</t>
  </si>
  <si>
    <t>74965L101</t>
  </si>
  <si>
    <t>B3PY1N7</t>
  </si>
  <si>
    <t>IBTA UN Equity</t>
  </si>
  <si>
    <t>Ibotta Inc</t>
  </si>
  <si>
    <t>451051106</t>
  </si>
  <si>
    <t>BNZD2W0</t>
  </si>
  <si>
    <t>HUMA UW Equity</t>
  </si>
  <si>
    <t>INOD UQ Equity</t>
  </si>
  <si>
    <t>Innodata Inc</t>
  </si>
  <si>
    <t>457642205</t>
  </si>
  <si>
    <t>2226741</t>
  </si>
  <si>
    <t>CENTA UW Equity</t>
  </si>
  <si>
    <t>Central Garden &amp; Pet Co</t>
  </si>
  <si>
    <t>153527205</t>
  </si>
  <si>
    <t>B1P36Y6</t>
  </si>
  <si>
    <t>CTRI UN Equity</t>
  </si>
  <si>
    <t>Centuri Holdings Inc</t>
  </si>
  <si>
    <t>155923105</t>
  </si>
  <si>
    <t>BMDPVF7</t>
  </si>
  <si>
    <t>APPN UQ Equity</t>
  </si>
  <si>
    <t>Appian Corp</t>
  </si>
  <si>
    <t>03782L101</t>
  </si>
  <si>
    <t>BYPBTB9</t>
  </si>
  <si>
    <t>MYRG UW Equity</t>
  </si>
  <si>
    <t>MYR Group Inc</t>
  </si>
  <si>
    <t>55405W104</t>
  </si>
  <si>
    <t>B3CLS18</t>
  </si>
  <si>
    <t>CHCO UW Equity</t>
  </si>
  <si>
    <t>City Holding Co</t>
  </si>
  <si>
    <t>177835105</t>
  </si>
  <si>
    <t>2161778</t>
  </si>
  <si>
    <t>PLMR UW Equity</t>
  </si>
  <si>
    <t>Palomar Holdings Inc</t>
  </si>
  <si>
    <t>69753M105</t>
  </si>
  <si>
    <t>BJYLZK6</t>
  </si>
  <si>
    <t>UNIT UW Equity</t>
  </si>
  <si>
    <t>Uniti Group Inc</t>
  </si>
  <si>
    <t>91325V108</t>
  </si>
  <si>
    <t>BD6VBR1</t>
  </si>
  <si>
    <t>CRK UN Equity</t>
  </si>
  <si>
    <t>Comstock Resources Inc</t>
  </si>
  <si>
    <t>205768302</t>
  </si>
  <si>
    <t>BD82PS1</t>
  </si>
  <si>
    <t>GNE UN Equity</t>
  </si>
  <si>
    <t>Genie Energy Ltd</t>
  </si>
  <si>
    <t>372284208</t>
  </si>
  <si>
    <t>B725NJ1</t>
  </si>
  <si>
    <t>BCO UN Equity</t>
  </si>
  <si>
    <t>Brink's Co/The</t>
  </si>
  <si>
    <t>109696104</t>
  </si>
  <si>
    <t>2691305</t>
  </si>
  <si>
    <t>GPOR UN Equity</t>
  </si>
  <si>
    <t>Gulfport Energy Corp</t>
  </si>
  <si>
    <t>402635502</t>
  </si>
  <si>
    <t>BND7X43</t>
  </si>
  <si>
    <t>COHU UW Equity</t>
  </si>
  <si>
    <t>Cohu Inc</t>
  </si>
  <si>
    <t>192576106</t>
  </si>
  <si>
    <t>2208426</t>
  </si>
  <si>
    <t>BH UN Equity</t>
  </si>
  <si>
    <t>Biglari Holdings Inc</t>
  </si>
  <si>
    <t>08986R309</t>
  </si>
  <si>
    <t>BDT5ZH8</t>
  </si>
  <si>
    <t>CRVL UW Equity</t>
  </si>
  <si>
    <t>SEAT UW Equity</t>
  </si>
  <si>
    <t>Vivid Seats Inc</t>
  </si>
  <si>
    <t>92854T100</t>
  </si>
  <si>
    <t>BL6C9P4</t>
  </si>
  <si>
    <t>TSQ UN Equity</t>
  </si>
  <si>
    <t>Townsquare Media Inc</t>
  </si>
  <si>
    <t>892231101</t>
  </si>
  <si>
    <t>BP84RX0</t>
  </si>
  <si>
    <t>DGII UW Equity</t>
  </si>
  <si>
    <t>Digi International Inc</t>
  </si>
  <si>
    <t>253798102</t>
  </si>
  <si>
    <t>2269661</t>
  </si>
  <si>
    <t>DIOD UW Equity</t>
  </si>
  <si>
    <t>Diodes Inc</t>
  </si>
  <si>
    <t>254543101</t>
  </si>
  <si>
    <t>2270500</t>
  </si>
  <si>
    <t>GPI UN Equity</t>
  </si>
  <si>
    <t>Group 1 Automotive Inc</t>
  </si>
  <si>
    <t>398905109</t>
  </si>
  <si>
    <t>2121352</t>
  </si>
  <si>
    <t>SKY UN Equity</t>
  </si>
  <si>
    <t>Champion Homes Inc</t>
  </si>
  <si>
    <t>830830105</t>
  </si>
  <si>
    <t>2814005</t>
  </si>
  <si>
    <t>LCII UN Equity</t>
  </si>
  <si>
    <t>LCI Industries</t>
  </si>
  <si>
    <t>50189K103</t>
  </si>
  <si>
    <t>BYQ44Y5</t>
  </si>
  <si>
    <t>QRHC UR Equity</t>
  </si>
  <si>
    <t>Quest Resource Holding Corp</t>
  </si>
  <si>
    <t>74836W203</t>
  </si>
  <si>
    <t>BD3BXS9</t>
  </si>
  <si>
    <t>SPXC UN Equity</t>
  </si>
  <si>
    <t>SPX Technologies Inc</t>
  </si>
  <si>
    <t>78473E103</t>
  </si>
  <si>
    <t>BQ1L7V3</t>
  </si>
  <si>
    <t>SBT UR Equity</t>
  </si>
  <si>
    <t>Sterling Bancorp Inc/MI</t>
  </si>
  <si>
    <t>85917W102</t>
  </si>
  <si>
    <t>BFN2QS7</t>
  </si>
  <si>
    <t>EXPO UW Equity</t>
  </si>
  <si>
    <t>Exponent Inc</t>
  </si>
  <si>
    <t>30214U102</t>
  </si>
  <si>
    <t>2330318</t>
  </si>
  <si>
    <t>SCPH UW Equity</t>
  </si>
  <si>
    <t>AVNS UN Equity</t>
  </si>
  <si>
    <t>KE UW Equity</t>
  </si>
  <si>
    <t>Kimball Electronics Inc</t>
  </si>
  <si>
    <t>49428J109</t>
  </si>
  <si>
    <t>BRKFN59</t>
  </si>
  <si>
    <t>FELE UW Equity</t>
  </si>
  <si>
    <t>Franklin Electric Co Inc</t>
  </si>
  <si>
    <t>353514102</t>
  </si>
  <si>
    <t>2350383</t>
  </si>
  <si>
    <t>FFBC UW Equity</t>
  </si>
  <si>
    <t>First Financial Bancorp</t>
  </si>
  <si>
    <t>320209109</t>
  </si>
  <si>
    <t>2352806</t>
  </si>
  <si>
    <t>FBP UN Equity</t>
  </si>
  <si>
    <t>First BanCorp/Puerto Rico</t>
  </si>
  <si>
    <t>318672706</t>
  </si>
  <si>
    <t>2296926</t>
  </si>
  <si>
    <t>ONB UW Equity</t>
  </si>
  <si>
    <t>Old National Bancorp/IN</t>
  </si>
  <si>
    <t>680033107</t>
  </si>
  <si>
    <t>2658441</t>
  </si>
  <si>
    <t>IGT UN Equity</t>
  </si>
  <si>
    <t>International Game Technology</t>
  </si>
  <si>
    <t>BVG7F06</t>
  </si>
  <si>
    <t>BOOT UN Equity</t>
  </si>
  <si>
    <t>Boot Barn Holdings Inc</t>
  </si>
  <si>
    <t>099406100</t>
  </si>
  <si>
    <t>BRS6600</t>
  </si>
  <si>
    <t>REPL UW Equity</t>
  </si>
  <si>
    <t>FUL UN Equity</t>
  </si>
  <si>
    <t>HB Fuller Co</t>
  </si>
  <si>
    <t>359694106</t>
  </si>
  <si>
    <t>2354664</t>
  </si>
  <si>
    <t>FULT UW Equity</t>
  </si>
  <si>
    <t>Fulton Financial Corp</t>
  </si>
  <si>
    <t>360271100</t>
  </si>
  <si>
    <t>2356585</t>
  </si>
  <si>
    <t>EVER UQ Equity</t>
  </si>
  <si>
    <t>EverQuote Inc</t>
  </si>
  <si>
    <t>30041R108</t>
  </si>
  <si>
    <t>BG88WS9</t>
  </si>
  <si>
    <t>ZVRA UW Equity</t>
  </si>
  <si>
    <t>GVA UN Equity</t>
  </si>
  <si>
    <t>Granite Construction Inc</t>
  </si>
  <si>
    <t>387328107</t>
  </si>
  <si>
    <t>2381189</t>
  </si>
  <si>
    <t>GCO UN Equity</t>
  </si>
  <si>
    <t>Genesco Inc</t>
  </si>
  <si>
    <t>371532102</t>
  </si>
  <si>
    <t>2367101</t>
  </si>
  <si>
    <t>AIP UQ Equity</t>
  </si>
  <si>
    <t>Arteris Inc</t>
  </si>
  <si>
    <t>04302A104</t>
  </si>
  <si>
    <t>BMG97J2</t>
  </si>
  <si>
    <t>DSP UW Equity</t>
  </si>
  <si>
    <t>Viant Technology Inc</t>
  </si>
  <si>
    <t>92557A101</t>
  </si>
  <si>
    <t>BMDJ0D0</t>
  </si>
  <si>
    <t>ALEC UW Equity</t>
  </si>
  <si>
    <t>HVT UN Equity</t>
  </si>
  <si>
    <t>Haverty Furniture Cos Inc</t>
  </si>
  <si>
    <t>419596101</t>
  </si>
  <si>
    <t>2414245</t>
  </si>
  <si>
    <t>HWC UW Equity</t>
  </si>
  <si>
    <t>Hancock Whitney Corp</t>
  </si>
  <si>
    <t>410120109</t>
  </si>
  <si>
    <t>2415497</t>
  </si>
  <si>
    <t>NPCE UQ Equity</t>
  </si>
  <si>
    <t>HCSG UW Equity</t>
  </si>
  <si>
    <t>Healthcare Services Group Inc</t>
  </si>
  <si>
    <t>421906108</t>
  </si>
  <si>
    <t>2417619</t>
  </si>
  <si>
    <t>HELE UW Equity</t>
  </si>
  <si>
    <t>Helen of Troy Ltd</t>
  </si>
  <si>
    <t>2419530</t>
  </si>
  <si>
    <t>HTLD UW Equity</t>
  </si>
  <si>
    <t>Heartland Express Inc</t>
  </si>
  <si>
    <t>422347104</t>
  </si>
  <si>
    <t>2414018</t>
  </si>
  <si>
    <t>TPH UN Equity</t>
  </si>
  <si>
    <t>Tri Pointe Homes Inc</t>
  </si>
  <si>
    <t>87265H109</t>
  </si>
  <si>
    <t>B92CQF3</t>
  </si>
  <si>
    <t>HWKN UW Equity</t>
  </si>
  <si>
    <t>Hawkins Inc</t>
  </si>
  <si>
    <t>420261109</t>
  </si>
  <si>
    <t>2415594</t>
  </si>
  <si>
    <t>NL UN Equity</t>
  </si>
  <si>
    <t>NL Industries Inc</t>
  </si>
  <si>
    <t>629156407</t>
  </si>
  <si>
    <t>2618069</t>
  </si>
  <si>
    <t>ICUI UW Equity</t>
  </si>
  <si>
    <t>TILE UW Equity</t>
  </si>
  <si>
    <t>Interface Inc</t>
  </si>
  <si>
    <t>458665304</t>
  </si>
  <si>
    <t>B86V808</t>
  </si>
  <si>
    <t>DIN UN Equity</t>
  </si>
  <si>
    <t>Dine Brands Global Inc</t>
  </si>
  <si>
    <t>254423106</t>
  </si>
  <si>
    <t>2456957</t>
  </si>
  <si>
    <t>INDB UW Equity</t>
  </si>
  <si>
    <t>Independent Bank Corp</t>
  </si>
  <si>
    <t>453836108</t>
  </si>
  <si>
    <t>2447821</t>
  </si>
  <si>
    <t>QCRH UQ Equity</t>
  </si>
  <si>
    <t>QCR Holdings Inc</t>
  </si>
  <si>
    <t>74727A104</t>
  </si>
  <si>
    <t>2714257</t>
  </si>
  <si>
    <t>LAUR UW Equity</t>
  </si>
  <si>
    <t>Laureate Education Inc</t>
  </si>
  <si>
    <t>518613203</t>
  </si>
  <si>
    <t>BYMYT66</t>
  </si>
  <si>
    <t>IGMS UW Equity</t>
  </si>
  <si>
    <t>GFF UN Equity</t>
  </si>
  <si>
    <t>Griffon Corp</t>
  </si>
  <si>
    <t>398433102</t>
  </si>
  <si>
    <t>2463344</t>
  </si>
  <si>
    <t>IPAR UW Equity</t>
  </si>
  <si>
    <t>458334109</t>
  </si>
  <si>
    <t>2473150</t>
  </si>
  <si>
    <t>JJSF UW Equity</t>
  </si>
  <si>
    <t>J &amp; J Snack Foods Corp</t>
  </si>
  <si>
    <t>466032109</t>
  </si>
  <si>
    <t>2469171</t>
  </si>
  <si>
    <t>PAL UW Equity</t>
  </si>
  <si>
    <t>Proficient Auto Logistics Inc</t>
  </si>
  <si>
    <t>74317M104</t>
  </si>
  <si>
    <t>BQSB4S2</t>
  </si>
  <si>
    <t>SVCO UW Equity</t>
  </si>
  <si>
    <t>Silvaco Group Inc</t>
  </si>
  <si>
    <t>82728C102</t>
  </si>
  <si>
    <t>BQMQ1G0</t>
  </si>
  <si>
    <t>FENC UR Equity</t>
  </si>
  <si>
    <t>BQQLLW7</t>
  </si>
  <si>
    <t>SLP UW Equity</t>
  </si>
  <si>
    <t>PYXS UW Equity</t>
  </si>
  <si>
    <t>CLPR UN Equity</t>
  </si>
  <si>
    <t>Clipper Realty Inc</t>
  </si>
  <si>
    <t>18885T306</t>
  </si>
  <si>
    <t>BYPD5H3</t>
  </si>
  <si>
    <t>KLIC UW Equity</t>
  </si>
  <si>
    <t>Kulicke &amp; Soffa Industries Inc</t>
  </si>
  <si>
    <t>501242101</t>
  </si>
  <si>
    <t>2498001</t>
  </si>
  <si>
    <t>SG UN Equity</t>
  </si>
  <si>
    <t>Sweetgreen Inc</t>
  </si>
  <si>
    <t>87043Q108</t>
  </si>
  <si>
    <t>BMQ89L5</t>
  </si>
  <si>
    <t>LANC UW Equity</t>
  </si>
  <si>
    <t>Lancaster Colony Corp</t>
  </si>
  <si>
    <t>513847103</t>
  </si>
  <si>
    <t>2503206</t>
  </si>
  <si>
    <t>DSGR UW Equity</t>
  </si>
  <si>
    <t>Distribution Solutions Group I</t>
  </si>
  <si>
    <t>520776105</t>
  </si>
  <si>
    <t>2508126</t>
  </si>
  <si>
    <t>BLFY UW Equity</t>
  </si>
  <si>
    <t>Blue Foundry Bancorp</t>
  </si>
  <si>
    <t>09549B104</t>
  </si>
  <si>
    <t>BNNTGD9</t>
  </si>
  <si>
    <t>LNN UN Equity</t>
  </si>
  <si>
    <t>Lindsay Corp</t>
  </si>
  <si>
    <t>535555106</t>
  </si>
  <si>
    <t>2516613</t>
  </si>
  <si>
    <t>LXU UN Equity</t>
  </si>
  <si>
    <t>LSB Industries Inc</t>
  </si>
  <si>
    <t>502160104</t>
  </si>
  <si>
    <t>2536882</t>
  </si>
  <si>
    <t>PRA UN Equity</t>
  </si>
  <si>
    <t>ProAssurance Corp</t>
  </si>
  <si>
    <t>74267C106</t>
  </si>
  <si>
    <t>2612737</t>
  </si>
  <si>
    <t>MYFW UW Equity</t>
  </si>
  <si>
    <t>First Western Financial Inc</t>
  </si>
  <si>
    <t>33751L105</t>
  </si>
  <si>
    <t>BDD1B52</t>
  </si>
  <si>
    <t>MSGE UN Equity</t>
  </si>
  <si>
    <t>Madison Square Garden Entertai</t>
  </si>
  <si>
    <t>558256103</t>
  </si>
  <si>
    <t>BN71J76</t>
  </si>
  <si>
    <t>MEI UN Equity</t>
  </si>
  <si>
    <t>Methode Electronics Inc</t>
  </si>
  <si>
    <t>591520200</t>
  </si>
  <si>
    <t>2583297</t>
  </si>
  <si>
    <t>MMSI UW Equity</t>
  </si>
  <si>
    <t>CRNC UW Equity</t>
  </si>
  <si>
    <t>Cerence Inc</t>
  </si>
  <si>
    <t>156727109</t>
  </si>
  <si>
    <t>BJNPYY6</t>
  </si>
  <si>
    <t>MNRO UW Equity</t>
  </si>
  <si>
    <t>Monro Inc</t>
  </si>
  <si>
    <t>610236101</t>
  </si>
  <si>
    <t>2600088</t>
  </si>
  <si>
    <t>ALHC UW Equity</t>
  </si>
  <si>
    <t>MOG/A UN Equity</t>
  </si>
  <si>
    <t>Moog Inc</t>
  </si>
  <si>
    <t>615394202</t>
  </si>
  <si>
    <t>2601218</t>
  </si>
  <si>
    <t>TDUP UW Equity</t>
  </si>
  <si>
    <t>ThredUp Inc</t>
  </si>
  <si>
    <t>88556E102</t>
  </si>
  <si>
    <t>BMFPHK2</t>
  </si>
  <si>
    <t>MCS UN Equity</t>
  </si>
  <si>
    <t>Marcus Corp/The</t>
  </si>
  <si>
    <t>566330106</t>
  </si>
  <si>
    <t>2564827</t>
  </si>
  <si>
    <t>EWTX UW Equity</t>
  </si>
  <si>
    <t>MCY UN Equity</t>
  </si>
  <si>
    <t>Mercury General Corp</t>
  </si>
  <si>
    <t>589400100</t>
  </si>
  <si>
    <t>2578464</t>
  </si>
  <si>
    <t>DSGN UW Equity</t>
  </si>
  <si>
    <t>MTRX UW Equity</t>
  </si>
  <si>
    <t>Matrix Service Co</t>
  </si>
  <si>
    <t>576853105</t>
  </si>
  <si>
    <t>2572068</t>
  </si>
  <si>
    <t>XRX UW Equity</t>
  </si>
  <si>
    <t>Xerox Holdings Corp</t>
  </si>
  <si>
    <t>98421M106</t>
  </si>
  <si>
    <t>BJJD5G3</t>
  </si>
  <si>
    <t>REAL UW Equity</t>
  </si>
  <si>
    <t>RealReal Inc/The</t>
  </si>
  <si>
    <t>88339P101</t>
  </si>
  <si>
    <t>BKBDP79</t>
  </si>
  <si>
    <t>PPTA UR Equity</t>
  </si>
  <si>
    <t>Perpetua Resources Corp</t>
  </si>
  <si>
    <t>714266103</t>
  </si>
  <si>
    <t>BNNNK51</t>
  </si>
  <si>
    <t>MYE UN Equity</t>
  </si>
  <si>
    <t>Myers Industries Inc</t>
  </si>
  <si>
    <t>628464109</t>
  </si>
  <si>
    <t>2613086</t>
  </si>
  <si>
    <t>ALTG UN Equity</t>
  </si>
  <si>
    <t>Alta Equipment Group Inc</t>
  </si>
  <si>
    <t>02128L106</t>
  </si>
  <si>
    <t>BLLCYB0</t>
  </si>
  <si>
    <t>GTY UN Equity</t>
  </si>
  <si>
    <t>Getty Realty Corp</t>
  </si>
  <si>
    <t>374297109</t>
  </si>
  <si>
    <t>2698146</t>
  </si>
  <si>
    <t>NBTB UW Equity</t>
  </si>
  <si>
    <t>NBT Bancorp Inc</t>
  </si>
  <si>
    <t>628778102</t>
  </si>
  <si>
    <t>2626459</t>
  </si>
  <si>
    <t>NEOG UW Equity</t>
  </si>
  <si>
    <t>ZYXI UW Equity</t>
  </si>
  <si>
    <t>NWN UN Equity</t>
  </si>
  <si>
    <t>Northwest Natural Holding Co</t>
  </si>
  <si>
    <t>66765N105</t>
  </si>
  <si>
    <t>BFNR303</t>
  </si>
  <si>
    <t>ACAD UW Equity</t>
  </si>
  <si>
    <t>NATH UW Equity</t>
  </si>
  <si>
    <t>Nathan's Famous Inc</t>
  </si>
  <si>
    <t>632347100</t>
  </si>
  <si>
    <t>2622747</t>
  </si>
  <si>
    <t>CECO UW Equity</t>
  </si>
  <si>
    <t>CECO Environmental Corp</t>
  </si>
  <si>
    <t>125141101</t>
  </si>
  <si>
    <t>2011970</t>
  </si>
  <si>
    <t>AGYS UW Equity</t>
  </si>
  <si>
    <t>Agilysys Inc</t>
  </si>
  <si>
    <t>00847J105</t>
  </si>
  <si>
    <t>2689162</t>
  </si>
  <si>
    <t>OI UN Equity</t>
  </si>
  <si>
    <t>O-I Glass Inc</t>
  </si>
  <si>
    <t>67098H104</t>
  </si>
  <si>
    <t>BKLKXD2</t>
  </si>
  <si>
    <t>CHMG UW Equity</t>
  </si>
  <si>
    <t>Chemung Financial Corp</t>
  </si>
  <si>
    <t>164024101</t>
  </si>
  <si>
    <t>2190921</t>
  </si>
  <si>
    <t>PLXS UW Equity</t>
  </si>
  <si>
    <t>Plexus Corp</t>
  </si>
  <si>
    <t>729132100</t>
  </si>
  <si>
    <t>2692160</t>
  </si>
  <si>
    <t>CASH UW Equity</t>
  </si>
  <si>
    <t>Pathward Financial Inc</t>
  </si>
  <si>
    <t>59100U108</t>
  </si>
  <si>
    <t>2420316</t>
  </si>
  <si>
    <t>POWL UW Equity</t>
  </si>
  <si>
    <t>Powell Industries Inc</t>
  </si>
  <si>
    <t>739128106</t>
  </si>
  <si>
    <t>2697422</t>
  </si>
  <si>
    <t>ITIC UW Equity</t>
  </si>
  <si>
    <t>Investors Title Co</t>
  </si>
  <si>
    <t>461804106</t>
  </si>
  <si>
    <t>2469892</t>
  </si>
  <si>
    <t>MLAB UW Equity</t>
  </si>
  <si>
    <t>RRBI UW Equity</t>
  </si>
  <si>
    <t>Red River Bancshares Inc</t>
  </si>
  <si>
    <t>75686R202</t>
  </si>
  <si>
    <t>BJRFD78</t>
  </si>
  <si>
    <t>MQ UW Equity</t>
  </si>
  <si>
    <t>Marqeta Inc</t>
  </si>
  <si>
    <t>57142B104</t>
  </si>
  <si>
    <t>BN0TQD2</t>
  </si>
  <si>
    <t>KWR UN Equity</t>
  </si>
  <si>
    <t>Quaker Chemical Corp</t>
  </si>
  <si>
    <t>747316107</t>
  </si>
  <si>
    <t>2715186</t>
  </si>
  <si>
    <t>NAUT UW Equity</t>
  </si>
  <si>
    <t>INBX UW Equity</t>
  </si>
  <si>
    <t>OTLK UR Equity</t>
  </si>
  <si>
    <t>RXT UW Equity</t>
  </si>
  <si>
    <t>Rackspace Technology Inc</t>
  </si>
  <si>
    <t>750102105</t>
  </si>
  <si>
    <t>BN4RCJ0</t>
  </si>
  <si>
    <t>BIGC UQ Equity</t>
  </si>
  <si>
    <t>BigCommerce Holdings Inc</t>
  </si>
  <si>
    <t>08975P108</t>
  </si>
  <si>
    <t>BMDCDP2</t>
  </si>
  <si>
    <t>DMRC UW Equity</t>
  </si>
  <si>
    <t>Digimarc Corp</t>
  </si>
  <si>
    <t>25381B101</t>
  </si>
  <si>
    <t>B3F05P5</t>
  </si>
  <si>
    <t>SKYE UQ Equity</t>
  </si>
  <si>
    <t>ARVN UW Equity</t>
  </si>
  <si>
    <t>CDP UN Equity</t>
  </si>
  <si>
    <t>COPT Defense Properties</t>
  </si>
  <si>
    <t>22002T108</t>
  </si>
  <si>
    <t>2756152</t>
  </si>
  <si>
    <t>BXMT UN Equity</t>
  </si>
  <si>
    <t>Blackstone Mortgage Trust Inc</t>
  </si>
  <si>
    <t>09257W100</t>
  </si>
  <si>
    <t>B94QHZ0</t>
  </si>
  <si>
    <t>ZNTL UQ Equity</t>
  </si>
  <si>
    <t>UTMD UW Equity</t>
  </si>
  <si>
    <t>OSBC UW Equity</t>
  </si>
  <si>
    <t>Old Second Bancorp Inc</t>
  </si>
  <si>
    <t>680277100</t>
  </si>
  <si>
    <t>2658429</t>
  </si>
  <si>
    <t>SLAB UW Equity</t>
  </si>
  <si>
    <t>Silicon Laboratories Inc</t>
  </si>
  <si>
    <t>826919102</t>
  </si>
  <si>
    <t>2568131</t>
  </si>
  <si>
    <t>ADUS UW Equity</t>
  </si>
  <si>
    <t>CRD/A UN Equity</t>
  </si>
  <si>
    <t>Crawford &amp; Co</t>
  </si>
  <si>
    <t>224633206</t>
  </si>
  <si>
    <t>2232094</t>
  </si>
  <si>
    <t>TREE UW Equity</t>
  </si>
  <si>
    <t>LendingTree Inc</t>
  </si>
  <si>
    <t>52603B107</t>
  </si>
  <si>
    <t>BV8TD84</t>
  </si>
  <si>
    <t>ROG UN Equity</t>
  </si>
  <si>
    <t>Rogers Corp</t>
  </si>
  <si>
    <t>775133101</t>
  </si>
  <si>
    <t>2746700</t>
  </si>
  <si>
    <t>ALTR UW Equity</t>
  </si>
  <si>
    <t>Altair Engineering Inc</t>
  </si>
  <si>
    <t>021369103</t>
  </si>
  <si>
    <t>BD6D4Y5</t>
  </si>
  <si>
    <t>GAMB UQ Equity</t>
  </si>
  <si>
    <t>Gambling.com Group Ltd</t>
  </si>
  <si>
    <t>BL970N1</t>
  </si>
  <si>
    <t>PRTA UW Equity</t>
  </si>
  <si>
    <t>SCHL UW Equity</t>
  </si>
  <si>
    <t>Scholastic Corp</t>
  </si>
  <si>
    <t>807066105</t>
  </si>
  <si>
    <t>2779234</t>
  </si>
  <si>
    <t>SCL UN Equity</t>
  </si>
  <si>
    <t>Stepan Co</t>
  </si>
  <si>
    <t>858586100</t>
  </si>
  <si>
    <t>2845005</t>
  </si>
  <si>
    <t>SENEA UW Equity</t>
  </si>
  <si>
    <t>Seneca Foods Corp</t>
  </si>
  <si>
    <t>817070501</t>
  </si>
  <si>
    <t>2781626</t>
  </si>
  <si>
    <t>SFNC UW Equity</t>
  </si>
  <si>
    <t>Simmons First National Corp</t>
  </si>
  <si>
    <t>828730200</t>
  </si>
  <si>
    <t>2810133</t>
  </si>
  <si>
    <t>KNSA UW Equity</t>
  </si>
  <si>
    <t>LMNR UW Equity</t>
  </si>
  <si>
    <t>Limoneira Co</t>
  </si>
  <si>
    <t>532746104</t>
  </si>
  <si>
    <t>2101763</t>
  </si>
  <si>
    <t>FBIZ UW Equity</t>
  </si>
  <si>
    <t>First Business Financial Servi</t>
  </si>
  <si>
    <t>319390100</t>
  </si>
  <si>
    <t>B0M02F6</t>
  </si>
  <si>
    <t>SIGI UW Equity</t>
  </si>
  <si>
    <t>Selective Insurance Group Inc</t>
  </si>
  <si>
    <t>816300107</t>
  </si>
  <si>
    <t>2766173</t>
  </si>
  <si>
    <t>SRI UN Equity</t>
  </si>
  <si>
    <t>Stoneridge Inc</t>
  </si>
  <si>
    <t>86183P102</t>
  </si>
  <si>
    <t>2111977</t>
  </si>
  <si>
    <t>SRRK UW Equity</t>
  </si>
  <si>
    <t>STC UN Equity</t>
  </si>
  <si>
    <t>Stewart Information Services C</t>
  </si>
  <si>
    <t>860372101</t>
  </si>
  <si>
    <t>2848736</t>
  </si>
  <si>
    <t>SMTC UW Equity</t>
  </si>
  <si>
    <t>Semtech Corp</t>
  </si>
  <si>
    <t>816850101</t>
  </si>
  <si>
    <t>2795542</t>
  </si>
  <si>
    <t>GMS UN Equity</t>
  </si>
  <si>
    <t>GMS Inc</t>
  </si>
  <si>
    <t>36251C103</t>
  </si>
  <si>
    <t>BYY9FS3</t>
  </si>
  <si>
    <t>WALD UR Equity</t>
  </si>
  <si>
    <t>Waldencast plc</t>
  </si>
  <si>
    <t>BPG9931</t>
  </si>
  <si>
    <t>AI UN Equity</t>
  </si>
  <si>
    <t>C3.ai Inc</t>
  </si>
  <si>
    <t>12468P104</t>
  </si>
  <si>
    <t>BMGNBJ2</t>
  </si>
  <si>
    <t>SHYF UW Equity</t>
  </si>
  <si>
    <t>Shyft Group Inc/The</t>
  </si>
  <si>
    <t>825698103</t>
  </si>
  <si>
    <t>BMYGGG5</t>
  </si>
  <si>
    <t>STBA UW Equity</t>
  </si>
  <si>
    <t>S&amp;T Bancorp Inc</t>
  </si>
  <si>
    <t>783859101</t>
  </si>
  <si>
    <t>2781109</t>
  </si>
  <si>
    <t>BLX UN Equity</t>
  </si>
  <si>
    <t>Banco Latinoamericano de Comer</t>
  </si>
  <si>
    <t>2069485</t>
  </si>
  <si>
    <t>AWR UN Equity</t>
  </si>
  <si>
    <t>American States Water Co</t>
  </si>
  <si>
    <t>029899101</t>
  </si>
  <si>
    <t>2267171</t>
  </si>
  <si>
    <t>GRC UN Equity</t>
  </si>
  <si>
    <t>Gorman-Rupp Co/The</t>
  </si>
  <si>
    <t>383082104</t>
  </si>
  <si>
    <t>2379281</t>
  </si>
  <si>
    <t>CSTM UN Equity</t>
  </si>
  <si>
    <t>Constellium SE</t>
  </si>
  <si>
    <t>BKPR6S5</t>
  </si>
  <si>
    <t>TNC UN Equity</t>
  </si>
  <si>
    <t>Tennant Co</t>
  </si>
  <si>
    <t>880345103</t>
  </si>
  <si>
    <t>2883641</t>
  </si>
  <si>
    <t>NVCR UW Equity</t>
  </si>
  <si>
    <t>TMP UA Equity</t>
  </si>
  <si>
    <t>Tompkins Financial Corp</t>
  </si>
  <si>
    <t>890110109</t>
  </si>
  <si>
    <t>2888613</t>
  </si>
  <si>
    <t>DX UN Equity</t>
  </si>
  <si>
    <t>Dynex Capital Inc</t>
  </si>
  <si>
    <t>26817Q886</t>
  </si>
  <si>
    <t>BJN4K01</t>
  </si>
  <si>
    <t>IDYA UW Equity</t>
  </si>
  <si>
    <t>PBFS UR Equity</t>
  </si>
  <si>
    <t>Pioneer Bancorp Inc/NY</t>
  </si>
  <si>
    <t>723561106</t>
  </si>
  <si>
    <t>BK8QFH1</t>
  </si>
  <si>
    <t>FULC UQ Equity</t>
  </si>
  <si>
    <t>MIRM UQ Equity</t>
  </si>
  <si>
    <t>IHRT UW Equity</t>
  </si>
  <si>
    <t>iHeartMedia Inc</t>
  </si>
  <si>
    <t>45174J509</t>
  </si>
  <si>
    <t>BJVR9Y9</t>
  </si>
  <si>
    <t>TRST UW Equity</t>
  </si>
  <si>
    <t>TrustCo Bank Corp NY</t>
  </si>
  <si>
    <t>898349204</t>
  </si>
  <si>
    <t>BN0ZBP7</t>
  </si>
  <si>
    <t>TTI UN Equity</t>
  </si>
  <si>
    <t>TETRA Technologies Inc</t>
  </si>
  <si>
    <t>88162F105</t>
  </si>
  <si>
    <t>2884280</t>
  </si>
  <si>
    <t>UBSI UW Equity</t>
  </si>
  <si>
    <t>United Bankshares Inc/WV</t>
  </si>
  <si>
    <t>909907107</t>
  </si>
  <si>
    <t>2905794</t>
  </si>
  <si>
    <t>UFCS UW Equity</t>
  </si>
  <si>
    <t>United Fire Group Inc</t>
  </si>
  <si>
    <t>910340108</t>
  </si>
  <si>
    <t>B4WXG84</t>
  </si>
  <si>
    <t>VICR UW Equity</t>
  </si>
  <si>
    <t>Vicor Corp</t>
  </si>
  <si>
    <t>925815102</t>
  </si>
  <si>
    <t>2930774</t>
  </si>
  <si>
    <t>LNZA UR Equity</t>
  </si>
  <si>
    <t>LanzaTech Global Inc</t>
  </si>
  <si>
    <t>51655R101</t>
  </si>
  <si>
    <t>BMZMG73</t>
  </si>
  <si>
    <t>IAUX UA Equity</t>
  </si>
  <si>
    <t>i-80 Gold Corp</t>
  </si>
  <si>
    <t>44955L106</t>
  </si>
  <si>
    <t>BLGXBS4</t>
  </si>
  <si>
    <t>WTS UN Equity</t>
  </si>
  <si>
    <t>Watts Water Technologies Inc</t>
  </si>
  <si>
    <t>942749102</t>
  </si>
  <si>
    <t>2943620</t>
  </si>
  <si>
    <t>WDFC UW Equity</t>
  </si>
  <si>
    <t>WD-40 Co</t>
  </si>
  <si>
    <t>929236107</t>
  </si>
  <si>
    <t>2944742</t>
  </si>
  <si>
    <t>WERN UW Equity</t>
  </si>
  <si>
    <t>Werner Enterprises Inc</t>
  </si>
  <si>
    <t>950755108</t>
  </si>
  <si>
    <t>2948852</t>
  </si>
  <si>
    <t>UFPT UR Equity</t>
  </si>
  <si>
    <t>WAFD UW Equity</t>
  </si>
  <si>
    <t>WaFd Inc</t>
  </si>
  <si>
    <t>938824109</t>
  </si>
  <si>
    <t>2941981</t>
  </si>
  <si>
    <t>WLY UN Equity</t>
  </si>
  <si>
    <t>John Wiley &amp; Sons Inc</t>
  </si>
  <si>
    <t>968223206</t>
  </si>
  <si>
    <t>2965668</t>
  </si>
  <si>
    <t>WRLD UW Equity</t>
  </si>
  <si>
    <t>World Acceptance Corp</t>
  </si>
  <si>
    <t>981419104</t>
  </si>
  <si>
    <t>2981181</t>
  </si>
  <si>
    <t>BRSP UN Equity</t>
  </si>
  <si>
    <t>BrightSpire Capital Inc</t>
  </si>
  <si>
    <t>10949T109</t>
  </si>
  <si>
    <t>BN7VBP8</t>
  </si>
  <si>
    <t>SKT UN Equity</t>
  </si>
  <si>
    <t>Tanger Inc</t>
  </si>
  <si>
    <t>875465106</t>
  </si>
  <si>
    <t>2874582</t>
  </si>
  <si>
    <t>HCC UN Equity</t>
  </si>
  <si>
    <t>Warrior Met Coal Inc</t>
  </si>
  <si>
    <t>93627C101</t>
  </si>
  <si>
    <t>BF2X272</t>
  </si>
  <si>
    <t>SIG UN Equity</t>
  </si>
  <si>
    <t>Signet Jewelers Ltd</t>
  </si>
  <si>
    <t>B3CTNK6</t>
  </si>
  <si>
    <t>REKR UR Equity</t>
  </si>
  <si>
    <t>Rekor Systems Inc</t>
  </si>
  <si>
    <t>759419104</t>
  </si>
  <si>
    <t>BJRFDJ0</t>
  </si>
  <si>
    <t>LTC UN Equity</t>
  </si>
  <si>
    <t>LTC Properties Inc</t>
  </si>
  <si>
    <t>502175102</t>
  </si>
  <si>
    <t>2498788</t>
  </si>
  <si>
    <t>CGEM UW Equity</t>
  </si>
  <si>
    <t>SM UN Equity</t>
  </si>
  <si>
    <t>SM Energy Co</t>
  </si>
  <si>
    <t>78454L100</t>
  </si>
  <si>
    <t>2764188</t>
  </si>
  <si>
    <t>BCRX UW Equity</t>
  </si>
  <si>
    <t>AORT UN Equity</t>
  </si>
  <si>
    <t>AKR UN Equity</t>
  </si>
  <si>
    <t>Acadia Realty Trust</t>
  </si>
  <si>
    <t>004239109</t>
  </si>
  <si>
    <t>2566522</t>
  </si>
  <si>
    <t>ASTS UW Equity</t>
  </si>
  <si>
    <t>AST SpaceMobile Inc</t>
  </si>
  <si>
    <t>00217D100</t>
  </si>
  <si>
    <t>BNLZ3X8</t>
  </si>
  <si>
    <t>PZZA UW Equity</t>
  </si>
  <si>
    <t>Papa John's International Inc</t>
  </si>
  <si>
    <t>698813102</t>
  </si>
  <si>
    <t>2696117</t>
  </si>
  <si>
    <t>GEF UN Equity</t>
  </si>
  <si>
    <t>Greif Inc</t>
  </si>
  <si>
    <t>397624107</t>
  </si>
  <si>
    <t>2388016</t>
  </si>
  <si>
    <t>UP UN Equity</t>
  </si>
  <si>
    <t>Wheels Up Experience Inc</t>
  </si>
  <si>
    <t>96328L205</t>
  </si>
  <si>
    <t>BQB9YW7</t>
  </si>
  <si>
    <t>MCRI UW Equity</t>
  </si>
  <si>
    <t>Monarch Casino &amp; Resort Inc</t>
  </si>
  <si>
    <t>609027107</t>
  </si>
  <si>
    <t>2599197</t>
  </si>
  <si>
    <t>MOV UN Equity</t>
  </si>
  <si>
    <t>Movado Group Inc</t>
  </si>
  <si>
    <t>624580106</t>
  </si>
  <si>
    <t>2643168</t>
  </si>
  <si>
    <t>ARDT UN Equity</t>
  </si>
  <si>
    <t>BFS UN Equity</t>
  </si>
  <si>
    <t>Saul Centers Inc</t>
  </si>
  <si>
    <t>804395101</t>
  </si>
  <si>
    <t>2777777</t>
  </si>
  <si>
    <t>MHO UN Equity</t>
  </si>
  <si>
    <t>M/I Homes Inc</t>
  </si>
  <si>
    <t>55305B101</t>
  </si>
  <si>
    <t>2549385</t>
  </si>
  <si>
    <t>ROCK UW Equity</t>
  </si>
  <si>
    <t>Gibraltar Industries Inc</t>
  </si>
  <si>
    <t>374689107</t>
  </si>
  <si>
    <t>2369226</t>
  </si>
  <si>
    <t>ISPR UR Equity</t>
  </si>
  <si>
    <t>Ispire Technology Inc</t>
  </si>
  <si>
    <t>46501C100</t>
  </si>
  <si>
    <t>BN45Q70</t>
  </si>
  <si>
    <t>UFPI UW Equity</t>
  </si>
  <si>
    <t>UFP Industries Inc</t>
  </si>
  <si>
    <t>90278Q108</t>
  </si>
  <si>
    <t>BMQ60Q1</t>
  </si>
  <si>
    <t>LXP UN Equity</t>
  </si>
  <si>
    <t>LXP Industrial Trust</t>
  </si>
  <si>
    <t>529043101</t>
  </si>
  <si>
    <t>2139151</t>
  </si>
  <si>
    <t>FFIN UW Equity</t>
  </si>
  <si>
    <t>First Financial Bankshares Inc</t>
  </si>
  <si>
    <t>32020R109</t>
  </si>
  <si>
    <t>2266026</t>
  </si>
  <si>
    <t>OABI UQ Equity</t>
  </si>
  <si>
    <t>FDMT UW Equity</t>
  </si>
  <si>
    <t>FWRD UW Equity</t>
  </si>
  <si>
    <t>Forward Air Corp</t>
  </si>
  <si>
    <t>349853101</t>
  </si>
  <si>
    <t>2510790</t>
  </si>
  <si>
    <t>HAIN UW Equity</t>
  </si>
  <si>
    <t>Hain Celestial Group Inc/The</t>
  </si>
  <si>
    <t>405217100</t>
  </si>
  <si>
    <t>2492337</t>
  </si>
  <si>
    <t>SHOO UW Equity</t>
  </si>
  <si>
    <t>Steven Madden Ltd</t>
  </si>
  <si>
    <t>556269108</t>
  </si>
  <si>
    <t>2553911</t>
  </si>
  <si>
    <t>TRUE UW Equity</t>
  </si>
  <si>
    <t>TrueCar Inc</t>
  </si>
  <si>
    <t>89785L107</t>
  </si>
  <si>
    <t>BMH0MS8</t>
  </si>
  <si>
    <t>OOMA UN Equity</t>
  </si>
  <si>
    <t>Ooma Inc</t>
  </si>
  <si>
    <t>683416101</t>
  </si>
  <si>
    <t>BY7R2L6</t>
  </si>
  <si>
    <t>RGCO UQ Equity</t>
  </si>
  <si>
    <t>RGC Resources Inc</t>
  </si>
  <si>
    <t>74955L103</t>
  </si>
  <si>
    <t>2434016</t>
  </si>
  <si>
    <t>GEF/B UN Equity</t>
  </si>
  <si>
    <t>397624206</t>
  </si>
  <si>
    <t>2394080</t>
  </si>
  <si>
    <t>MED UN Equity</t>
  </si>
  <si>
    <t>Medifast Inc</t>
  </si>
  <si>
    <t>58470H101</t>
  </si>
  <si>
    <t>2934033</t>
  </si>
  <si>
    <t>GBTG UN Equity</t>
  </si>
  <si>
    <t>Global Business Travel Group I</t>
  </si>
  <si>
    <t>37890B100</t>
  </si>
  <si>
    <t>BPY03W3</t>
  </si>
  <si>
    <t>MARA UR Equity</t>
  </si>
  <si>
    <t>MARA Holdings Inc</t>
  </si>
  <si>
    <t>565788106</t>
  </si>
  <si>
    <t>BLR7B52</t>
  </si>
  <si>
    <t>DAKT UW Equity</t>
  </si>
  <si>
    <t>Daktronics Inc</t>
  </si>
  <si>
    <t>234264109</t>
  </si>
  <si>
    <t>2254010</t>
  </si>
  <si>
    <t>TBI UN Equity</t>
  </si>
  <si>
    <t>TrueBlue Inc</t>
  </si>
  <si>
    <t>89785X101</t>
  </si>
  <si>
    <t>2519849</t>
  </si>
  <si>
    <t>OGS UN Equity</t>
  </si>
  <si>
    <t>ONE Gas Inc</t>
  </si>
  <si>
    <t>68235P108</t>
  </si>
  <si>
    <t>BJ0KXV4</t>
  </si>
  <si>
    <t>PD UN Equity</t>
  </si>
  <si>
    <t>PagerDuty Inc</t>
  </si>
  <si>
    <t>69553P100</t>
  </si>
  <si>
    <t>BJ7JPH4</t>
  </si>
  <si>
    <t>AMAL UQ Equity</t>
  </si>
  <si>
    <t>Amalgamated Financial Corp</t>
  </si>
  <si>
    <t>022671101</t>
  </si>
  <si>
    <t>BLR7B41</t>
  </si>
  <si>
    <t>SCSC UW Equity</t>
  </si>
  <si>
    <t>ScanSource Inc</t>
  </si>
  <si>
    <t>806037107</t>
  </si>
  <si>
    <t>2767756</t>
  </si>
  <si>
    <t>INSM UW Equity</t>
  </si>
  <si>
    <t>TWST UW Equity</t>
  </si>
  <si>
    <t>TK UN Equity</t>
  </si>
  <si>
    <t>Teekay Corp Ltd</t>
  </si>
  <si>
    <t>BL54JF1</t>
  </si>
  <si>
    <t>MBUU UQ Equity</t>
  </si>
  <si>
    <t>Malibu Boats Inc</t>
  </si>
  <si>
    <t>56117J100</t>
  </si>
  <si>
    <t>BJ38KJ2</t>
  </si>
  <si>
    <t>IMAX UN Equity</t>
  </si>
  <si>
    <t>IMAX Corp</t>
  </si>
  <si>
    <t>45245E109</t>
  </si>
  <si>
    <t>2473859</t>
  </si>
  <si>
    <t>CALM UW Equity</t>
  </si>
  <si>
    <t>Cal-Maine Foods Inc</t>
  </si>
  <si>
    <t>128030202</t>
  </si>
  <si>
    <t>2158781</t>
  </si>
  <si>
    <t>SVRA UW Equity</t>
  </si>
  <si>
    <t>SLQT UN Equity</t>
  </si>
  <si>
    <t>Selectquote Inc</t>
  </si>
  <si>
    <t>816307300</t>
  </si>
  <si>
    <t>BMFYH21</t>
  </si>
  <si>
    <t>PEBO UW Equity</t>
  </si>
  <si>
    <t>Peoples Bancorp Inc/OH</t>
  </si>
  <si>
    <t>709789101</t>
  </si>
  <si>
    <t>2679419</t>
  </si>
  <si>
    <t>NTLA UQ Equity</t>
  </si>
  <si>
    <t>ATOS UR Equity</t>
  </si>
  <si>
    <t>GEO UN Equity</t>
  </si>
  <si>
    <t>GEO Group Inc/The</t>
  </si>
  <si>
    <t>36162J106</t>
  </si>
  <si>
    <t>BNLYWQ1</t>
  </si>
  <si>
    <t>MC UN Equity</t>
  </si>
  <si>
    <t>Moelis &amp; Co</t>
  </si>
  <si>
    <t>60786M105</t>
  </si>
  <si>
    <t>BLG38Q1</t>
  </si>
  <si>
    <t>NABL UN Equity</t>
  </si>
  <si>
    <t>N-able Inc/US</t>
  </si>
  <si>
    <t>62878D100</t>
  </si>
  <si>
    <t>BMBR683</t>
  </si>
  <si>
    <t>MATW UW Equity</t>
  </si>
  <si>
    <t>Matthews International Corp</t>
  </si>
  <si>
    <t>577128101</t>
  </si>
  <si>
    <t>2568090</t>
  </si>
  <si>
    <t>VRE UN Equity</t>
  </si>
  <si>
    <t>Veris Residential Inc</t>
  </si>
  <si>
    <t>554489104</t>
  </si>
  <si>
    <t>2192314</t>
  </si>
  <si>
    <t>MYPS UQ Equity</t>
  </si>
  <si>
    <t>Playstudios Inc</t>
  </si>
  <si>
    <t>72815G108</t>
  </si>
  <si>
    <t>BP2BRR1</t>
  </si>
  <si>
    <t>LGF/A UN Equity</t>
  </si>
  <si>
    <t>Lions Gate Entertainment Corp</t>
  </si>
  <si>
    <t>535919401</t>
  </si>
  <si>
    <t>BD8NBC0</t>
  </si>
  <si>
    <t>LRMR UQ Equity</t>
  </si>
  <si>
    <t>FWRG UW Equity</t>
  </si>
  <si>
    <t>First Watch Restaurant Group I</t>
  </si>
  <si>
    <t>33748L101</t>
  </si>
  <si>
    <t>BMDTR28</t>
  </si>
  <si>
    <t>NSIT UW Equity</t>
  </si>
  <si>
    <t>Insight Enterprises Inc</t>
  </si>
  <si>
    <t>45765U103</t>
  </si>
  <si>
    <t>2475060</t>
  </si>
  <si>
    <t>PFIS UW Equity</t>
  </si>
  <si>
    <t>Peoples Financial Services Cor</t>
  </si>
  <si>
    <t>711040105</t>
  </si>
  <si>
    <t>2956907</t>
  </si>
  <si>
    <t>NWBI UW Equity</t>
  </si>
  <si>
    <t>Northwest Bancshares Inc</t>
  </si>
  <si>
    <t>667340103</t>
  </si>
  <si>
    <t>B523Z73</t>
  </si>
  <si>
    <t>RWT UN Equity</t>
  </si>
  <si>
    <t>Redwood Trust Inc</t>
  </si>
  <si>
    <t>758075402</t>
  </si>
  <si>
    <t>2730877</t>
  </si>
  <si>
    <t>WVE UQ Equity</t>
  </si>
  <si>
    <t>SNCY UW Equity</t>
  </si>
  <si>
    <t>Sun Country Airlines Holdings</t>
  </si>
  <si>
    <t>866683105</t>
  </si>
  <si>
    <t>BM8TFC9</t>
  </si>
  <si>
    <t>VECO UW Equity</t>
  </si>
  <si>
    <t>Veeco Instruments Inc</t>
  </si>
  <si>
    <t>922417100</t>
  </si>
  <si>
    <t>2938422</t>
  </si>
  <si>
    <t>NAT UN Equity</t>
  </si>
  <si>
    <t>Nordic American Tankers Ltd</t>
  </si>
  <si>
    <t>2113876</t>
  </si>
  <si>
    <t>OLO UN Equity</t>
  </si>
  <si>
    <t>Olo Inc</t>
  </si>
  <si>
    <t>68134L109</t>
  </si>
  <si>
    <t>BMFNRG2</t>
  </si>
  <si>
    <t>ANDE UW Equity</t>
  </si>
  <si>
    <t>Andersons Inc/The</t>
  </si>
  <si>
    <t>034164103</t>
  </si>
  <si>
    <t>2274922</t>
  </si>
  <si>
    <t>WEAV UN Equity</t>
  </si>
  <si>
    <t>Weave Communications Inc</t>
  </si>
  <si>
    <t>94724R108</t>
  </si>
  <si>
    <t>BMDW0R3</t>
  </si>
  <si>
    <t>LVO UR Equity</t>
  </si>
  <si>
    <t>LiveOne Inc</t>
  </si>
  <si>
    <t>53814X102</t>
  </si>
  <si>
    <t>BMHP6Q9</t>
  </si>
  <si>
    <t>PACK UN Equity</t>
  </si>
  <si>
    <t>Ranpak Holdings Corp</t>
  </si>
  <si>
    <t>75321W103</t>
  </si>
  <si>
    <t>BKBQD30</t>
  </si>
  <si>
    <t>ONTF UN Equity</t>
  </si>
  <si>
    <t>ON24 Inc</t>
  </si>
  <si>
    <t>68339B104</t>
  </si>
  <si>
    <t>BMBKL65</t>
  </si>
  <si>
    <t>INNV UW Equity</t>
  </si>
  <si>
    <t>ACIW UW Equity</t>
  </si>
  <si>
    <t>ACI Worldwide Inc</t>
  </si>
  <si>
    <t>004498101</t>
  </si>
  <si>
    <t>2889155</t>
  </si>
  <si>
    <t>PCT UR Equity</t>
  </si>
  <si>
    <t>PureCycle Technologies Inc</t>
  </si>
  <si>
    <t>74623V103</t>
  </si>
  <si>
    <t>BLNB073</t>
  </si>
  <si>
    <t>UPBD UW Equity</t>
  </si>
  <si>
    <t>Upbound Group Inc</t>
  </si>
  <si>
    <t>76009N100</t>
  </si>
  <si>
    <t>2733092</t>
  </si>
  <si>
    <t>ZETA UN Equity</t>
  </si>
  <si>
    <t>Zeta Global Holdings Corp</t>
  </si>
  <si>
    <t>98956A105</t>
  </si>
  <si>
    <t>BN0TQF4</t>
  </si>
  <si>
    <t>CZFS UR Equity</t>
  </si>
  <si>
    <t>Citizens Financial Services In</t>
  </si>
  <si>
    <t>174615104</t>
  </si>
  <si>
    <t>2651592</t>
  </si>
  <si>
    <t>KFS UN Equity</t>
  </si>
  <si>
    <t>Kingsway Financial Services In</t>
  </si>
  <si>
    <t>496904202</t>
  </si>
  <si>
    <t>BGNQ6J7</t>
  </si>
  <si>
    <t>IART UW Equity</t>
  </si>
  <si>
    <t>IBOC UW Equity</t>
  </si>
  <si>
    <t>International Bancshares Corp</t>
  </si>
  <si>
    <t>459044103</t>
  </si>
  <si>
    <t>2243911</t>
  </si>
  <si>
    <t>HLIT UW Equity</t>
  </si>
  <si>
    <t>Harmonic Inc</t>
  </si>
  <si>
    <t>413160102</t>
  </si>
  <si>
    <t>2510659</t>
  </si>
  <si>
    <t>BNL UN Equity</t>
  </si>
  <si>
    <t>Broadstone Net Lease Inc</t>
  </si>
  <si>
    <t>11135E203</t>
  </si>
  <si>
    <t>BN93088</t>
  </si>
  <si>
    <t>MD UN Equity</t>
  </si>
  <si>
    <t>CENX UW Equity</t>
  </si>
  <si>
    <t>Century Aluminum Co</t>
  </si>
  <si>
    <t>156431108</t>
  </si>
  <si>
    <t>2186254</t>
  </si>
  <si>
    <t>PTVE UW Equity</t>
  </si>
  <si>
    <t>Pactiv Evergreen Inc</t>
  </si>
  <si>
    <t>69526K105</t>
  </si>
  <si>
    <t>BN78784</t>
  </si>
  <si>
    <t>AEIS UW Equity</t>
  </si>
  <si>
    <t>Advanced Energy Industries Inc</t>
  </si>
  <si>
    <t>007973100</t>
  </si>
  <si>
    <t>2049175</t>
  </si>
  <si>
    <t>COFS UR Equity</t>
  </si>
  <si>
    <t>ChoiceOne Financial Services I</t>
  </si>
  <si>
    <t>170386106</t>
  </si>
  <si>
    <t>2713395</t>
  </si>
  <si>
    <t>DYN UW Equity</t>
  </si>
  <si>
    <t>PCYO UR Equity</t>
  </si>
  <si>
    <t>Pure Cycle Corp</t>
  </si>
  <si>
    <t>746228303</t>
  </si>
  <si>
    <t>B00YZY0</t>
  </si>
  <si>
    <t>ONEW UQ Equity</t>
  </si>
  <si>
    <t>OneWater Marine Inc</t>
  </si>
  <si>
    <t>68280L101</t>
  </si>
  <si>
    <t>BJCYG26</t>
  </si>
  <si>
    <t>CSGS UW Equity</t>
  </si>
  <si>
    <t>CSG Systems International Inc</t>
  </si>
  <si>
    <t>126349109</t>
  </si>
  <si>
    <t>2210885</t>
  </si>
  <si>
    <t>BLZE UQ Equity</t>
  </si>
  <si>
    <t>Backblaze Inc</t>
  </si>
  <si>
    <t>05637B105</t>
  </si>
  <si>
    <t>BMDW0L7</t>
  </si>
  <si>
    <t>SIBN UQ Equity</t>
  </si>
  <si>
    <t>NNBR UW Equity</t>
  </si>
  <si>
    <t>NN Inc</t>
  </si>
  <si>
    <t>629337106</t>
  </si>
  <si>
    <t>2620558</t>
  </si>
  <si>
    <t>TTEC UW Equity</t>
  </si>
  <si>
    <t>TTEC Holdings Inc</t>
  </si>
  <si>
    <t>89854H102</t>
  </si>
  <si>
    <t>BF950B1</t>
  </si>
  <si>
    <t>ATLO UR Equity</t>
  </si>
  <si>
    <t>Ames National Corp</t>
  </si>
  <si>
    <t>031001100</t>
  </si>
  <si>
    <t>B00MZ00</t>
  </si>
  <si>
    <t>GEOS UW Equity</t>
  </si>
  <si>
    <t>Geospace Technologies Corp</t>
  </si>
  <si>
    <t>37364X109</t>
  </si>
  <si>
    <t>B89MJ94</t>
  </si>
  <si>
    <t>RPD UQ Equity</t>
  </si>
  <si>
    <t>Rapid7 Inc</t>
  </si>
  <si>
    <t>753422104</t>
  </si>
  <si>
    <t>BZ22CY6</t>
  </si>
  <si>
    <t>CCNE UW Equity</t>
  </si>
  <si>
    <t>CNB Financial Corp/PA</t>
  </si>
  <si>
    <t>126128107</t>
  </si>
  <si>
    <t>2619705</t>
  </si>
  <si>
    <t>KODK UN Equity</t>
  </si>
  <si>
    <t>Eastman Kodak Co</t>
  </si>
  <si>
    <t>277461406</t>
  </si>
  <si>
    <t>BDZDSJ9</t>
  </si>
  <si>
    <t>MATV UN Equity</t>
  </si>
  <si>
    <t>Mativ Holdings Inc</t>
  </si>
  <si>
    <t>808541106</t>
  </si>
  <si>
    <t>2782038</t>
  </si>
  <si>
    <t>LKFN UW Equity</t>
  </si>
  <si>
    <t>Lakeland Financial Corp</t>
  </si>
  <si>
    <t>511656100</t>
  </si>
  <si>
    <t>2537528</t>
  </si>
  <si>
    <t>MFA UN Equity</t>
  </si>
  <si>
    <t>MFA Financial Inc</t>
  </si>
  <si>
    <t>55272X607</t>
  </si>
  <si>
    <t>BMZM2X1</t>
  </si>
  <si>
    <t>PAX UW Equity</t>
  </si>
  <si>
    <t>Patria Investments Ltd</t>
  </si>
  <si>
    <t>BMXYHQ7</t>
  </si>
  <si>
    <t>HOPE UW Equity</t>
  </si>
  <si>
    <t>Hope Bancorp Inc</t>
  </si>
  <si>
    <t>43940T109</t>
  </si>
  <si>
    <t>BYN87K7</t>
  </si>
  <si>
    <t>FCBC UW Equity</t>
  </si>
  <si>
    <t>First Community Bankshares Inc</t>
  </si>
  <si>
    <t>31983A103</t>
  </si>
  <si>
    <t>2648710</t>
  </si>
  <si>
    <t>HAFC UW Equity</t>
  </si>
  <si>
    <t>Hanmi Financial Corp</t>
  </si>
  <si>
    <t>410495204</t>
  </si>
  <si>
    <t>B6TPXR5</t>
  </si>
  <si>
    <t>CHCT UN Equity</t>
  </si>
  <si>
    <t>Community Healthcare Trust Inc</t>
  </si>
  <si>
    <t>20369C106</t>
  </si>
  <si>
    <t>BXC87C3</t>
  </si>
  <si>
    <t>HUBG UW Equity</t>
  </si>
  <si>
    <t>Hub Group Inc</t>
  </si>
  <si>
    <t>443320106</t>
  </si>
  <si>
    <t>2407632</t>
  </si>
  <si>
    <t>JAKK UW Equity</t>
  </si>
  <si>
    <t>JAKKS Pacific Inc</t>
  </si>
  <si>
    <t>47012E403</t>
  </si>
  <si>
    <t>BN2R7Z3</t>
  </si>
  <si>
    <t>NXRT UN Equity</t>
  </si>
  <si>
    <t>NexPoint Residential Trust Inc</t>
  </si>
  <si>
    <t>65341D102</t>
  </si>
  <si>
    <t>BWC6PW6</t>
  </si>
  <si>
    <t>PLBC UR Equity</t>
  </si>
  <si>
    <t>Plumas Bancorp</t>
  </si>
  <si>
    <t>729273102</t>
  </si>
  <si>
    <t>2025056</t>
  </si>
  <si>
    <t>STRA UW Equity</t>
  </si>
  <si>
    <t>Strategic Education Inc</t>
  </si>
  <si>
    <t>86272C103</t>
  </si>
  <si>
    <t>BGGJFV8</t>
  </si>
  <si>
    <t>NKSH UR Equity</t>
  </si>
  <si>
    <t>National Bankshares Inc</t>
  </si>
  <si>
    <t>634865109</t>
  </si>
  <si>
    <t>2532556</t>
  </si>
  <si>
    <t>PWP UW Equity</t>
  </si>
  <si>
    <t>Perella Weinberg Partners</t>
  </si>
  <si>
    <t>71367G102</t>
  </si>
  <si>
    <t>BLFB3Y9</t>
  </si>
  <si>
    <t>SHEN UW Equity</t>
  </si>
  <si>
    <t>Shenandoah Telecommunications</t>
  </si>
  <si>
    <t>82312B106</t>
  </si>
  <si>
    <t>2676692</t>
  </si>
  <si>
    <t>AMSF UW Equity</t>
  </si>
  <si>
    <t>AMERISAFE Inc</t>
  </si>
  <si>
    <t>03071H100</t>
  </si>
  <si>
    <t>B0PPHS6</t>
  </si>
  <si>
    <t>TGI UN Equity</t>
  </si>
  <si>
    <t>Triumph Group Inc</t>
  </si>
  <si>
    <t>896818101</t>
  </si>
  <si>
    <t>2893071</t>
  </si>
  <si>
    <t>AHH UN Equity</t>
  </si>
  <si>
    <t>Armada Hoffler Properties Inc</t>
  </si>
  <si>
    <t>04208T108</t>
  </si>
  <si>
    <t>B96FTB5</t>
  </si>
  <si>
    <t>HLX UN Equity</t>
  </si>
  <si>
    <t>Helix Energy Solutions Group I</t>
  </si>
  <si>
    <t>42330P107</t>
  </si>
  <si>
    <t>2037062</t>
  </si>
  <si>
    <t>RAPT UQ Equity</t>
  </si>
  <si>
    <t>DTI UR Equity</t>
  </si>
  <si>
    <t>Drilling Tools International C</t>
  </si>
  <si>
    <t>26205E107</t>
  </si>
  <si>
    <t>BQLSC31</t>
  </si>
  <si>
    <t>FORR UW Equity</t>
  </si>
  <si>
    <t>Forrester Research Inc</t>
  </si>
  <si>
    <t>346563109</t>
  </si>
  <si>
    <t>2398855</t>
  </si>
  <si>
    <t>VSAT UW Equity</t>
  </si>
  <si>
    <t>Viasat Inc</t>
  </si>
  <si>
    <t>92552V100</t>
  </si>
  <si>
    <t>2946243</t>
  </si>
  <si>
    <t>BJRI UW Equity</t>
  </si>
  <si>
    <t>BJ's Restaurants Inc</t>
  </si>
  <si>
    <t>09180C106</t>
  </si>
  <si>
    <t>2200552</t>
  </si>
  <si>
    <t>NSP UN Equity</t>
  </si>
  <si>
    <t>Insperity Inc</t>
  </si>
  <si>
    <t>45778Q107</t>
  </si>
  <si>
    <t>2007281</t>
  </si>
  <si>
    <t>DCOM UW Equity</t>
  </si>
  <si>
    <t>Dime Community Bancshares Inc</t>
  </si>
  <si>
    <t>25432X102</t>
  </si>
  <si>
    <t>BMFZ702</t>
  </si>
  <si>
    <t>RNAC UQ Equity</t>
  </si>
  <si>
    <t>BLNK UR Equity</t>
  </si>
  <si>
    <t>Blink Charging Co</t>
  </si>
  <si>
    <t>09354A100</t>
  </si>
  <si>
    <t>BYWLZL4</t>
  </si>
  <si>
    <t>LFMD UQ Equity</t>
  </si>
  <si>
    <t>CCBG UW Equity</t>
  </si>
  <si>
    <t>Capital City Bank Group Inc</t>
  </si>
  <si>
    <t>139674105</t>
  </si>
  <si>
    <t>2186759</t>
  </si>
  <si>
    <t>SPTN UW Equity</t>
  </si>
  <si>
    <t>SpartanNash Co</t>
  </si>
  <si>
    <t>847215100</t>
  </si>
  <si>
    <t>BN40158</t>
  </si>
  <si>
    <t>SKYW UW Equity</t>
  </si>
  <si>
    <t>SkyWest Inc</t>
  </si>
  <si>
    <t>830879102</t>
  </si>
  <si>
    <t>2814210</t>
  </si>
  <si>
    <t>SFL UN Equity</t>
  </si>
  <si>
    <t>SFL Corp Ltd</t>
  </si>
  <si>
    <t>BJXT857</t>
  </si>
  <si>
    <t>ACA UN Equity</t>
  </si>
  <si>
    <t>Arcosa Inc</t>
  </si>
  <si>
    <t>039653100</t>
  </si>
  <si>
    <t>BGPZ5W8</t>
  </si>
  <si>
    <t>ABR UN Equity</t>
  </si>
  <si>
    <t>Arbor Realty Trust Inc</t>
  </si>
  <si>
    <t>038923108</t>
  </si>
  <si>
    <t>B00N2S0</t>
  </si>
  <si>
    <t>CXW UN Equity</t>
  </si>
  <si>
    <t>CoreCivic Inc</t>
  </si>
  <si>
    <t>21871N101</t>
  </si>
  <si>
    <t>BZ8VC58</t>
  </si>
  <si>
    <t>KOS UN Equity</t>
  </si>
  <si>
    <t>Kosmos Energy Ltd</t>
  </si>
  <si>
    <t>500688106</t>
  </si>
  <si>
    <t>BHK15K6</t>
  </si>
  <si>
    <t>OSIS UW Equity</t>
  </si>
  <si>
    <t>OSI Systems Inc</t>
  </si>
  <si>
    <t>671044105</t>
  </si>
  <si>
    <t>2111579</t>
  </si>
  <si>
    <t>PGY UR Equity</t>
  </si>
  <si>
    <t>Pagaya Technologies Ltd</t>
  </si>
  <si>
    <t>BQ5J6B6</t>
  </si>
  <si>
    <t>PFSI UN Equity</t>
  </si>
  <si>
    <t>PennyMac Financial Services In</t>
  </si>
  <si>
    <t>70932M107</t>
  </si>
  <si>
    <t>BGYTGH3</t>
  </si>
  <si>
    <t>STRO UQ Equity</t>
  </si>
  <si>
    <t>GBIO UW Equity</t>
  </si>
  <si>
    <t>FARO UW Equity</t>
  </si>
  <si>
    <t>FARO Technologies Inc</t>
  </si>
  <si>
    <t>311642102</t>
  </si>
  <si>
    <t>2106661</t>
  </si>
  <si>
    <t>ELVN UW Equity</t>
  </si>
  <si>
    <t>RNA UQ Equity</t>
  </si>
  <si>
    <t>NGNE UQ Equity</t>
  </si>
  <si>
    <t>PCVX UW Equity</t>
  </si>
  <si>
    <t>AMCX UW Equity</t>
  </si>
  <si>
    <t>AMC Networks Inc</t>
  </si>
  <si>
    <t>00164V103</t>
  </si>
  <si>
    <t>B4MG4Z6</t>
  </si>
  <si>
    <t>POWI UW Equity</t>
  </si>
  <si>
    <t>Power Integrations Inc</t>
  </si>
  <si>
    <t>739276103</t>
  </si>
  <si>
    <t>2133045</t>
  </si>
  <si>
    <t>DHT UN Equity</t>
  </si>
  <si>
    <t>DHT Holdings Inc</t>
  </si>
  <si>
    <t>B7JB336</t>
  </si>
  <si>
    <t>JBLU UW Equity</t>
  </si>
  <si>
    <t>JetBlue Airways Corp</t>
  </si>
  <si>
    <t>477143101</t>
  </si>
  <si>
    <t>2852760</t>
  </si>
  <si>
    <t>HI UN Equity</t>
  </si>
  <si>
    <t>Hillenbrand Inc</t>
  </si>
  <si>
    <t>431571108</t>
  </si>
  <si>
    <t>B2QGDP1</t>
  </si>
  <si>
    <t>INVX UN Equity</t>
  </si>
  <si>
    <t>Innovex International Inc</t>
  </si>
  <si>
    <t>457651107</t>
  </si>
  <si>
    <t>BSPRSL8</t>
  </si>
  <si>
    <t>LEGH UW Equity</t>
  </si>
  <si>
    <t>Legacy Housing Corp</t>
  </si>
  <si>
    <t>52472M101</t>
  </si>
  <si>
    <t>BG5HXX1</t>
  </si>
  <si>
    <t>CON UN Equity</t>
  </si>
  <si>
    <t>BMRC UR Equity</t>
  </si>
  <si>
    <t>Bank of Marin Bancorp</t>
  </si>
  <si>
    <t>063425102</t>
  </si>
  <si>
    <t>2647375</t>
  </si>
  <si>
    <t>SRDX UW Equity</t>
  </si>
  <si>
    <t>BRKL UW Equity</t>
  </si>
  <si>
    <t>Brookline Bancorp Inc</t>
  </si>
  <si>
    <t>11373M107</t>
  </si>
  <si>
    <t>2967675</t>
  </si>
  <si>
    <t>PRTH UR Equity</t>
  </si>
  <si>
    <t>Priority Technology Holdings I</t>
  </si>
  <si>
    <t>74275G107</t>
  </si>
  <si>
    <t>BZ9NRB4</t>
  </si>
  <si>
    <t>LAND UQ Equity</t>
  </si>
  <si>
    <t>Gladstone Land Corp</t>
  </si>
  <si>
    <t>376549101</t>
  </si>
  <si>
    <t>B83TNY4</t>
  </si>
  <si>
    <t>SMBC UQ Equity</t>
  </si>
  <si>
    <t>Southern Missouri Bancorp Inc</t>
  </si>
  <si>
    <t>843380106</t>
  </si>
  <si>
    <t>2570501</t>
  </si>
  <si>
    <t>HPK UQ Equity</t>
  </si>
  <si>
    <t>HighPeak Energy Inc</t>
  </si>
  <si>
    <t>43114Q105</t>
  </si>
  <si>
    <t>BN0VNB5</t>
  </si>
  <si>
    <t>MRCY UW Equity</t>
  </si>
  <si>
    <t>Mercury Systems Inc</t>
  </si>
  <si>
    <t>589378108</t>
  </si>
  <si>
    <t>2144047</t>
  </si>
  <si>
    <t>ARQT UW Equity</t>
  </si>
  <si>
    <t>VYGR UW Equity</t>
  </si>
  <si>
    <t>BCML UW Equity</t>
  </si>
  <si>
    <t>BayCom Corp</t>
  </si>
  <si>
    <t>07272M107</t>
  </si>
  <si>
    <t>BYSTY59</t>
  </si>
  <si>
    <t>HSII UW Equity</t>
  </si>
  <si>
    <t>Heidrick &amp; Struggles Internati</t>
  </si>
  <si>
    <t>422819102</t>
  </si>
  <si>
    <t>2413071</t>
  </si>
  <si>
    <t>HZO UN Equity</t>
  </si>
  <si>
    <t>MarineMax Inc</t>
  </si>
  <si>
    <t>567908108</t>
  </si>
  <si>
    <t>2250353</t>
  </si>
  <si>
    <t>TMCI UW Equity</t>
  </si>
  <si>
    <t>PTON UW Equity</t>
  </si>
  <si>
    <t>Peloton Interactive Inc</t>
  </si>
  <si>
    <t>70614W100</t>
  </si>
  <si>
    <t>BJ7WJS2</t>
  </si>
  <si>
    <t>SWIM UW Equity</t>
  </si>
  <si>
    <t>Latham Group Inc</t>
  </si>
  <si>
    <t>51819L107</t>
  </si>
  <si>
    <t>BNC0LQ1</t>
  </si>
  <si>
    <t>ARR UN Equity</t>
  </si>
  <si>
    <t>ARMOUR Residential REIT Inc</t>
  </si>
  <si>
    <t>042315705</t>
  </si>
  <si>
    <t>BRJ8H91</t>
  </si>
  <si>
    <t>CIFR UW Equity</t>
  </si>
  <si>
    <t>Cipher Mining Inc</t>
  </si>
  <si>
    <t>17253J106</t>
  </si>
  <si>
    <t>BMZ8604</t>
  </si>
  <si>
    <t>WULF UR Equity</t>
  </si>
  <si>
    <t>Terawulf Inc</t>
  </si>
  <si>
    <t>88080T104</t>
  </si>
  <si>
    <t>BNBRMS2</t>
  </si>
  <si>
    <t>CIM UN Equity</t>
  </si>
  <si>
    <t>Chimera Investment Corp</t>
  </si>
  <si>
    <t>16934Q802</t>
  </si>
  <si>
    <t>BN13RW9</t>
  </si>
  <si>
    <t>KFY UN Equity</t>
  </si>
  <si>
    <t>Korn Ferry</t>
  </si>
  <si>
    <t>500643200</t>
  </si>
  <si>
    <t>2386849</t>
  </si>
  <si>
    <t>SNBR UW Equity</t>
  </si>
  <si>
    <t>Sleep Number Corp</t>
  </si>
  <si>
    <t>83125X103</t>
  </si>
  <si>
    <t>BF4HN46</t>
  </si>
  <si>
    <t>DNOW UN Equity</t>
  </si>
  <si>
    <t>DNOW Inc</t>
  </si>
  <si>
    <t>67011P100</t>
  </si>
  <si>
    <t>BMH0MV1</t>
  </si>
  <si>
    <t>JMSB UR Equity</t>
  </si>
  <si>
    <t>John Marshall Bancorp Inc</t>
  </si>
  <si>
    <t>47805L101</t>
  </si>
  <si>
    <t>BF04JD2</t>
  </si>
  <si>
    <t>TNK UN Equity</t>
  </si>
  <si>
    <t>Teekay Tankers Ltd</t>
  </si>
  <si>
    <t>BL54JK6</t>
  </si>
  <si>
    <t>SB UN Equity</t>
  </si>
  <si>
    <t>Safe Bulkers Inc</t>
  </si>
  <si>
    <t>B39GTS0</t>
  </si>
  <si>
    <t>VTLE UN Equity</t>
  </si>
  <si>
    <t>Vital Energy Inc</t>
  </si>
  <si>
    <t>516806205</t>
  </si>
  <si>
    <t>BLBCYD2</t>
  </si>
  <si>
    <t>IVR UN Equity</t>
  </si>
  <si>
    <t>Invesco Mortgage Capital Inc</t>
  </si>
  <si>
    <t>46131B704</t>
  </si>
  <si>
    <t>BNBV530</t>
  </si>
  <si>
    <t>ZD UW Equity</t>
  </si>
  <si>
    <t>Ziff Davis Inc</t>
  </si>
  <si>
    <t>48123V102</t>
  </si>
  <si>
    <t>B75DGJ3</t>
  </si>
  <si>
    <t>ETWO UN Equity</t>
  </si>
  <si>
    <t>E2open Parent Holdings Inc</t>
  </si>
  <si>
    <t>29788T103</t>
  </si>
  <si>
    <t>BM9NG38</t>
  </si>
  <si>
    <t>LESL UW Equity</t>
  </si>
  <si>
    <t>Leslie's Inc</t>
  </si>
  <si>
    <t>527064109</t>
  </si>
  <si>
    <t>BNG3RZ7</t>
  </si>
  <si>
    <t>PMT UN Equity</t>
  </si>
  <si>
    <t>PennyMac Mortgage Investment T</t>
  </si>
  <si>
    <t>70931T103</t>
  </si>
  <si>
    <t>B3V8JL7</t>
  </si>
  <si>
    <t>ECPG UW Equity</t>
  </si>
  <si>
    <t>Encore Capital Group Inc</t>
  </si>
  <si>
    <t>292554102</t>
  </si>
  <si>
    <t>2443078</t>
  </si>
  <si>
    <t>TCMD UQ Equity</t>
  </si>
  <si>
    <t>QUIK UR Equity</t>
  </si>
  <si>
    <t>QuickLogic Corp</t>
  </si>
  <si>
    <t>74837P405</t>
  </si>
  <si>
    <t>BJCWJK9</t>
  </si>
  <si>
    <t>TWO UN Equity</t>
  </si>
  <si>
    <t>Two Harbors Investment Corp</t>
  </si>
  <si>
    <t>90187B804</t>
  </si>
  <si>
    <t>BP9S504</t>
  </si>
  <si>
    <t>ARI UN Equity</t>
  </si>
  <si>
    <t>Apollo Commercial Real Estate</t>
  </si>
  <si>
    <t>03762U105</t>
  </si>
  <si>
    <t>B4JTYX6</t>
  </si>
  <si>
    <t>RGP UW Equity</t>
  </si>
  <si>
    <t>Resources Connection Inc</t>
  </si>
  <si>
    <t>76122Q105</t>
  </si>
  <si>
    <t>2697853</t>
  </si>
  <si>
    <t>WBTN UW Equity</t>
  </si>
  <si>
    <t>Webtoon Entertainment Inc</t>
  </si>
  <si>
    <t>94845U105</t>
  </si>
  <si>
    <t>BR3YVK4</t>
  </si>
  <si>
    <t>CVLT UW Equity</t>
  </si>
  <si>
    <t>204166102</t>
  </si>
  <si>
    <t>B142B38</t>
  </si>
  <si>
    <t>KYMR UQ Equity</t>
  </si>
  <si>
    <t>NNOX UQ Equity</t>
  </si>
  <si>
    <t>NECB UR Equity</t>
  </si>
  <si>
    <t>Northeast Community Bancorp In</t>
  </si>
  <si>
    <t>664121100</t>
  </si>
  <si>
    <t>BL97CD5</t>
  </si>
  <si>
    <t>STNG UN Equity</t>
  </si>
  <si>
    <t>Scorpio Tankers Inc</t>
  </si>
  <si>
    <t>BHXD297</t>
  </si>
  <si>
    <t>AVAV UW Equity</t>
  </si>
  <si>
    <t>AeroVironment Inc</t>
  </si>
  <si>
    <t>008073108</t>
  </si>
  <si>
    <t>B1P5YY8</t>
  </si>
  <si>
    <t>LNTH UQ Equity</t>
  </si>
  <si>
    <t>TRML UW Equity</t>
  </si>
  <si>
    <t>ATXS UQ Equity</t>
  </si>
  <si>
    <t>XHR UN Equity</t>
  </si>
  <si>
    <t>Xenia Hotels &amp; Resorts Inc</t>
  </si>
  <si>
    <t>984017103</t>
  </si>
  <si>
    <t>BVV6CY1</t>
  </si>
  <si>
    <t>NTCT UW Equity</t>
  </si>
  <si>
    <t>NetScout Systems Inc</t>
  </si>
  <si>
    <t>64115T104</t>
  </si>
  <si>
    <t>2447285</t>
  </si>
  <si>
    <t>RCEL UR Equity</t>
  </si>
  <si>
    <t>CMRE UN Equity</t>
  </si>
  <si>
    <t>Costamare Inc</t>
  </si>
  <si>
    <t>B566T98</t>
  </si>
  <si>
    <t>IRON UQ Equity</t>
  </si>
  <si>
    <t>NWE UW Equity</t>
  </si>
  <si>
    <t>Northwestern Energy Group Inc</t>
  </si>
  <si>
    <t>668074305</t>
  </si>
  <si>
    <t>B03PGL4</t>
  </si>
  <si>
    <t>SYNA UW Equity</t>
  </si>
  <si>
    <t>Synaptics Inc</t>
  </si>
  <si>
    <t>87157D109</t>
  </si>
  <si>
    <t>2839268</t>
  </si>
  <si>
    <t>RMR UR Equity</t>
  </si>
  <si>
    <t>RMR Group Inc/The</t>
  </si>
  <si>
    <t>74967R106</t>
  </si>
  <si>
    <t>BZ1N455</t>
  </si>
  <si>
    <t>CTNM UW Equity</t>
  </si>
  <si>
    <t>TRTX UN Equity</t>
  </si>
  <si>
    <t>TPG RE Finance Trust Inc</t>
  </si>
  <si>
    <t>87266M107</t>
  </si>
  <si>
    <t>BF2F1Q0</t>
  </si>
  <si>
    <t>MITT UN Equity</t>
  </si>
  <si>
    <t>AG Mortgage Investment Trust I</t>
  </si>
  <si>
    <t>001228501</t>
  </si>
  <si>
    <t>BN46844</t>
  </si>
  <si>
    <t>Hyliion Holdings Corp</t>
  </si>
  <si>
    <t>449109107</t>
  </si>
  <si>
    <t>BLF8447</t>
  </si>
  <si>
    <t>CLSK UR Equity</t>
  </si>
  <si>
    <t>Cleanspark Inc</t>
  </si>
  <si>
    <t>18452B209</t>
  </si>
  <si>
    <t>BJDRX78</t>
  </si>
  <si>
    <t>GBX UN Equity</t>
  </si>
  <si>
    <t>Greenbrier Cos Inc/The</t>
  </si>
  <si>
    <t>393657101</t>
  </si>
  <si>
    <t>2387530</t>
  </si>
  <si>
    <t>MBCN UR Equity</t>
  </si>
  <si>
    <t>Middlefield Banc Corp</t>
  </si>
  <si>
    <t>596304204</t>
  </si>
  <si>
    <t>2381543</t>
  </si>
  <si>
    <t>OMCL UW Equity</t>
  </si>
  <si>
    <t>ITGR UN Equity</t>
  </si>
  <si>
    <t>DNLI UW Equity</t>
  </si>
  <si>
    <t>MLR UN Equity</t>
  </si>
  <si>
    <t>Miller Industries Inc/TN</t>
  </si>
  <si>
    <t>600551204</t>
  </si>
  <si>
    <t>2801193</t>
  </si>
  <si>
    <t>TTMI UW Equity</t>
  </si>
  <si>
    <t>TTM Technologies Inc</t>
  </si>
  <si>
    <t>87305R109</t>
  </si>
  <si>
    <t>2635659</t>
  </si>
  <si>
    <t>CODI UN Equity</t>
  </si>
  <si>
    <t>Compass Diversified Holdings</t>
  </si>
  <si>
    <t>20451Q104</t>
  </si>
  <si>
    <t>B14TC70</t>
  </si>
  <si>
    <t>MCFT UQ Equity</t>
  </si>
  <si>
    <t>MasterCraft Boat Holdings Inc</t>
  </si>
  <si>
    <t>57637H103</t>
  </si>
  <si>
    <t>BDTYR13</t>
  </si>
  <si>
    <t>NTGR UW Equity</t>
  </si>
  <si>
    <t>NETGEAR Inc</t>
  </si>
  <si>
    <t>64111Q104</t>
  </si>
  <si>
    <t>2688363</t>
  </si>
  <si>
    <t>UTI UN Equity</t>
  </si>
  <si>
    <t>Universal Technical Institute</t>
  </si>
  <si>
    <t>913915104</t>
  </si>
  <si>
    <t>2002543</t>
  </si>
  <si>
    <t>CVGW UW Equity</t>
  </si>
  <si>
    <t>Calavo Growers Inc</t>
  </si>
  <si>
    <t>128246105</t>
  </si>
  <si>
    <t>2859200</t>
  </si>
  <si>
    <t>FSP UA Equity</t>
  </si>
  <si>
    <t>Franklin Street Properties Cor</t>
  </si>
  <si>
    <t>35471R106</t>
  </si>
  <si>
    <t>B02T2D1</t>
  </si>
  <si>
    <t>HOMB UN Equity</t>
  </si>
  <si>
    <t>Home BancShares Inc/AR</t>
  </si>
  <si>
    <t>436893200</t>
  </si>
  <si>
    <t>B17MTL9</t>
  </si>
  <si>
    <t>IMVT UW Equity</t>
  </si>
  <si>
    <t>CCRN UW Equity</t>
  </si>
  <si>
    <t>PGC UW Equity</t>
  </si>
  <si>
    <t>Peapack-Gladstone Financial Co</t>
  </si>
  <si>
    <t>704699107</t>
  </si>
  <si>
    <t>2307732</t>
  </si>
  <si>
    <t>CTRE UN Equity</t>
  </si>
  <si>
    <t>CareTrust REIT Inc</t>
  </si>
  <si>
    <t>14174T107</t>
  </si>
  <si>
    <t>BMP8TL6</t>
  </si>
  <si>
    <t>KFRC UN Equity</t>
  </si>
  <si>
    <t>Kforce Inc</t>
  </si>
  <si>
    <t>493732101</t>
  </si>
  <si>
    <t>2746982</t>
  </si>
  <si>
    <t>AMN UN Equity</t>
  </si>
  <si>
    <t>FSBC UW Equity</t>
  </si>
  <si>
    <t>Five Star Bancorp</t>
  </si>
  <si>
    <t>33830T103</t>
  </si>
  <si>
    <t>BP2C8W6</t>
  </si>
  <si>
    <t>BYRN UR Equity</t>
  </si>
  <si>
    <t>Byrna Technologies Inc</t>
  </si>
  <si>
    <t>12448X201</t>
  </si>
  <si>
    <t>BNKSW31</t>
  </si>
  <si>
    <t>LINC UW Equity</t>
  </si>
  <si>
    <t>Lincoln Educational Services C</t>
  </si>
  <si>
    <t>533535100</t>
  </si>
  <si>
    <t>B0BV2Y9</t>
  </si>
  <si>
    <t>PEPG UW Equity</t>
  </si>
  <si>
    <t>HNST UW Equity</t>
  </si>
  <si>
    <t>Honest Co Inc/The</t>
  </si>
  <si>
    <t>438333106</t>
  </si>
  <si>
    <t>BMF1LH5</t>
  </si>
  <si>
    <t>VALU UR Equity</t>
  </si>
  <si>
    <t>Value Line Inc</t>
  </si>
  <si>
    <t>920437100</t>
  </si>
  <si>
    <t>2926751</t>
  </si>
  <si>
    <t>ENVA UN Equity</t>
  </si>
  <si>
    <t>Enova International Inc</t>
  </si>
  <si>
    <t>29357K103</t>
  </si>
  <si>
    <t>BRYQ4L1</t>
  </si>
  <si>
    <t>CMP UN Equity</t>
  </si>
  <si>
    <t>Compass Minerals International</t>
  </si>
  <si>
    <t>20451N101</t>
  </si>
  <si>
    <t>2202763</t>
  </si>
  <si>
    <t>ENS UN Equity</t>
  </si>
  <si>
    <t>EnerSys</t>
  </si>
  <si>
    <t>29275Y102</t>
  </si>
  <si>
    <t>B020GQ5</t>
  </si>
  <si>
    <t>ACMR UQ Equity</t>
  </si>
  <si>
    <t>ACM Research Inc</t>
  </si>
  <si>
    <t>00108J109</t>
  </si>
  <si>
    <t>BF5C2N2</t>
  </si>
  <si>
    <t>CEVA UW Equity</t>
  </si>
  <si>
    <t>CEVA Inc</t>
  </si>
  <si>
    <t>157210105</t>
  </si>
  <si>
    <t>2986937</t>
  </si>
  <si>
    <t>RNGR UN Equity</t>
  </si>
  <si>
    <t>Ranger Energy Services Inc</t>
  </si>
  <si>
    <t>75282U104</t>
  </si>
  <si>
    <t>BF8G134</t>
  </si>
  <si>
    <t>SABR UW Equity</t>
  </si>
  <si>
    <t>Sabre Corp</t>
  </si>
  <si>
    <t>78573M104</t>
  </si>
  <si>
    <t>BLLHH27</t>
  </si>
  <si>
    <t>SAFT UW Equity</t>
  </si>
  <si>
    <t>Safety Insurance Group Inc</t>
  </si>
  <si>
    <t>78648T100</t>
  </si>
  <si>
    <t>2958538</t>
  </si>
  <si>
    <t>NPO UN Equity</t>
  </si>
  <si>
    <t>Enpro Inc</t>
  </si>
  <si>
    <t>29355X107</t>
  </si>
  <si>
    <t>2951292</t>
  </si>
  <si>
    <t>SPOK UW Equity</t>
  </si>
  <si>
    <t>Spok Holdings Inc</t>
  </si>
  <si>
    <t>84863T106</t>
  </si>
  <si>
    <t>BNZB473</t>
  </si>
  <si>
    <t>DXPE UW Equity</t>
  </si>
  <si>
    <t>DXP Enterprises Inc/TX</t>
  </si>
  <si>
    <t>233377407</t>
  </si>
  <si>
    <t>2276627</t>
  </si>
  <si>
    <t>YEXT UN Equity</t>
  </si>
  <si>
    <t>Yext Inc</t>
  </si>
  <si>
    <t>98585N106</t>
  </si>
  <si>
    <t>BD8ZJW2</t>
  </si>
  <si>
    <t>ZEUS UW Equity</t>
  </si>
  <si>
    <t>Olympic Steel Inc</t>
  </si>
  <si>
    <t>68162K106</t>
  </si>
  <si>
    <t>2659013</t>
  </si>
  <si>
    <t>PFS UN Equity</t>
  </si>
  <si>
    <t>Provident Financial Services I</t>
  </si>
  <si>
    <t>74386T105</t>
  </si>
  <si>
    <t>2171603</t>
  </si>
  <si>
    <t>PRAA UW Equity</t>
  </si>
  <si>
    <t>PRA Group Inc</t>
  </si>
  <si>
    <t>69354N106</t>
  </si>
  <si>
    <t>BSHZ3P9</t>
  </si>
  <si>
    <t>BOW UN Equity</t>
  </si>
  <si>
    <t>Bowhead Specialty Holdings Inc</t>
  </si>
  <si>
    <t>10240L102</t>
  </si>
  <si>
    <t>BNRR231</t>
  </si>
  <si>
    <t>CLDX UR Equity</t>
  </si>
  <si>
    <t>PIPR UN Equity</t>
  </si>
  <si>
    <t>Piper Sandler Cos</t>
  </si>
  <si>
    <t>724078100</t>
  </si>
  <si>
    <t>2227089</t>
  </si>
  <si>
    <t>BGS UN Equity</t>
  </si>
  <si>
    <t>B&amp;G Foods Inc</t>
  </si>
  <si>
    <t>05508R106</t>
  </si>
  <si>
    <t>B034L49</t>
  </si>
  <si>
    <t>ASB UN Equity</t>
  </si>
  <si>
    <t>Associated Banc-Corp</t>
  </si>
  <si>
    <t>045487105</t>
  </si>
  <si>
    <t>2055718</t>
  </si>
  <si>
    <t>Globalstar Inc</t>
  </si>
  <si>
    <t>EGHT UW Equity</t>
  </si>
  <si>
    <t>8x8 Inc</t>
  </si>
  <si>
    <t>282914100</t>
  </si>
  <si>
    <t>2037170</t>
  </si>
  <si>
    <t>TDOC UN Equity</t>
  </si>
  <si>
    <t>FLXS UW Equity</t>
  </si>
  <si>
    <t>Flexsteel Industries Inc</t>
  </si>
  <si>
    <t>339382103</t>
  </si>
  <si>
    <t>2342926</t>
  </si>
  <si>
    <t>NKTR UR Equity</t>
  </si>
  <si>
    <t>BWIN UW Equity</t>
  </si>
  <si>
    <t>Baldwin Insurance Group Inc/Th</t>
  </si>
  <si>
    <t>05589G102</t>
  </si>
  <si>
    <t>BKTPCS7</t>
  </si>
  <si>
    <t>PLPC UW Equity</t>
  </si>
  <si>
    <t>Preformed Line Products Co</t>
  </si>
  <si>
    <t>740444104</t>
  </si>
  <si>
    <t>2798466</t>
  </si>
  <si>
    <t>KRRO UR Equity</t>
  </si>
  <si>
    <t>HBNC UW Equity</t>
  </si>
  <si>
    <t>Horizon Bancorp Inc/IN</t>
  </si>
  <si>
    <t>440407104</t>
  </si>
  <si>
    <t>2949316</t>
  </si>
  <si>
    <t>ALDX UR Equity</t>
  </si>
  <si>
    <t>IVT UN Equity</t>
  </si>
  <si>
    <t>InvenTrust Properties Corp</t>
  </si>
  <si>
    <t>46124J201</t>
  </si>
  <si>
    <t>BKP4ZK1</t>
  </si>
  <si>
    <t>DRH UN Equity</t>
  </si>
  <si>
    <t>DiamondRock Hospitality Co</t>
  </si>
  <si>
    <t>252784301</t>
  </si>
  <si>
    <t>B090B96</t>
  </si>
  <si>
    <t>ONL UN Equity</t>
  </si>
  <si>
    <t>Orion Office REIT Inc</t>
  </si>
  <si>
    <t>68629Y103</t>
  </si>
  <si>
    <t>BLCY4W6</t>
  </si>
  <si>
    <t>HDSN UR Equity</t>
  </si>
  <si>
    <t>Hudson Technologies Inc</t>
  </si>
  <si>
    <t>444144109</t>
  </si>
  <si>
    <t>2730532</t>
  </si>
  <si>
    <t>BDC UN Equity</t>
  </si>
  <si>
    <t>Belden Inc</t>
  </si>
  <si>
    <t>077454106</t>
  </si>
  <si>
    <t>B01WL78</t>
  </si>
  <si>
    <t>SASR UW Equity</t>
  </si>
  <si>
    <t>Sandy Spring Bancorp Inc</t>
  </si>
  <si>
    <t>800363103</t>
  </si>
  <si>
    <t>2148254</t>
  </si>
  <si>
    <t>HOUS UN Equity</t>
  </si>
  <si>
    <t>Anywhere Real Estate Inc</t>
  </si>
  <si>
    <t>75605Y106</t>
  </si>
  <si>
    <t>B5T0CW1</t>
  </si>
  <si>
    <t>LQDT UW Equity</t>
  </si>
  <si>
    <t>Liquidity Services Inc</t>
  </si>
  <si>
    <t>53635B107</t>
  </si>
  <si>
    <t>B0ZN8Z4</t>
  </si>
  <si>
    <t>PATK UW Equity</t>
  </si>
  <si>
    <t>Patrick Industries Inc</t>
  </si>
  <si>
    <t>703343103</t>
  </si>
  <si>
    <t>2673154</t>
  </si>
  <si>
    <t>PPBI UW Equity</t>
  </si>
  <si>
    <t>Pacific Premier Bancorp Inc</t>
  </si>
  <si>
    <t>69478X105</t>
  </si>
  <si>
    <t>2767217</t>
  </si>
  <si>
    <t>NE UN Equity</t>
  </si>
  <si>
    <t>Noble Corp PLC</t>
  </si>
  <si>
    <t>BN2QTL0</t>
  </si>
  <si>
    <t>PBH UN Equity</t>
  </si>
  <si>
    <t>KOP UN Equity</t>
  </si>
  <si>
    <t>Koppers Holdings Inc</t>
  </si>
  <si>
    <t>50060P106</t>
  </si>
  <si>
    <t>B0X46B1</t>
  </si>
  <si>
    <t>XBIT UW Equity</t>
  </si>
  <si>
    <t>ZUMZ UW Equity</t>
  </si>
  <si>
    <t>Zumiez Inc</t>
  </si>
  <si>
    <t>989817101</t>
  </si>
  <si>
    <t>B081QB7</t>
  </si>
  <si>
    <t>BHB UA Equity</t>
  </si>
  <si>
    <t>Bar Harbor Bankshares</t>
  </si>
  <si>
    <t>066849100</t>
  </si>
  <si>
    <t>2618111</t>
  </si>
  <si>
    <t>TSHA UW Equity</t>
  </si>
  <si>
    <t>SPT UR Equity</t>
  </si>
  <si>
    <t>Sprout Social Inc</t>
  </si>
  <si>
    <t>85209W109</t>
  </si>
  <si>
    <t>BKTNTS0</t>
  </si>
  <si>
    <t>NVEC UR Equity</t>
  </si>
  <si>
    <t>NVE Corp</t>
  </si>
  <si>
    <t>629445206</t>
  </si>
  <si>
    <t>2072126</t>
  </si>
  <si>
    <t>ETNB UQ Equity</t>
  </si>
  <si>
    <t>THS UN Equity</t>
  </si>
  <si>
    <t>TreeHouse Foods Inc</t>
  </si>
  <si>
    <t>89469A104</t>
  </si>
  <si>
    <t>B095X84</t>
  </si>
  <si>
    <t>XPEL UR Equity</t>
  </si>
  <si>
    <t>XPEL Inc</t>
  </si>
  <si>
    <t>98379L100</t>
  </si>
  <si>
    <t>BJV2ZZ7</t>
  </si>
  <si>
    <t>UNTY UQ Equity</t>
  </si>
  <si>
    <t>Unity Bancorp Inc</t>
  </si>
  <si>
    <t>913290102</t>
  </si>
  <si>
    <t>2083968</t>
  </si>
  <si>
    <t>IRBT UW Equity</t>
  </si>
  <si>
    <t>iRobot Corp</t>
  </si>
  <si>
    <t>462726100</t>
  </si>
  <si>
    <t>B0J2NS5</t>
  </si>
  <si>
    <t>CBZ UN Equity</t>
  </si>
  <si>
    <t>CBIZ Inc</t>
  </si>
  <si>
    <t>124805102</t>
  </si>
  <si>
    <t>2730781</t>
  </si>
  <si>
    <t>GIC UN Equity</t>
  </si>
  <si>
    <t>Global Industrial Co</t>
  </si>
  <si>
    <t>37892E102</t>
  </si>
  <si>
    <t>BNBY595</t>
  </si>
  <si>
    <t>ACNB UR Equity</t>
  </si>
  <si>
    <t>ACNB Corp</t>
  </si>
  <si>
    <t>000868109</t>
  </si>
  <si>
    <t>2412012</t>
  </si>
  <si>
    <t>ALGT UW Equity</t>
  </si>
  <si>
    <t>Allegiant Travel Co</t>
  </si>
  <si>
    <t>01748X102</t>
  </si>
  <si>
    <t>B15M2C3</t>
  </si>
  <si>
    <t>KALU UW Equity</t>
  </si>
  <si>
    <t>Kaiser Aluminum Corp</t>
  </si>
  <si>
    <t>483007704</t>
  </si>
  <si>
    <t>B15CJ33</t>
  </si>
  <si>
    <t>LIND UR Equity</t>
  </si>
  <si>
    <t>Lindblad Expeditions Holdings</t>
  </si>
  <si>
    <t>535219109</t>
  </si>
  <si>
    <t>BYMBW46</t>
  </si>
  <si>
    <t>EIG UN Equity</t>
  </si>
  <si>
    <t>Employers Holdings Inc</t>
  </si>
  <si>
    <t>292218104</t>
  </si>
  <si>
    <t>B1Q1RR9</t>
  </si>
  <si>
    <t>KRUS UQ Equity</t>
  </si>
  <si>
    <t>Kura Sushi USA Inc</t>
  </si>
  <si>
    <t>501270102</t>
  </si>
  <si>
    <t>BKDV6G7</t>
  </si>
  <si>
    <t>BANR UW Equity</t>
  </si>
  <si>
    <t>Banner Corp</t>
  </si>
  <si>
    <t>06652V208</t>
  </si>
  <si>
    <t>2346003</t>
  </si>
  <si>
    <t>CDXC UR Equity</t>
  </si>
  <si>
    <t>AMPY UN Equity</t>
  </si>
  <si>
    <t>Amplify Energy Corp</t>
  </si>
  <si>
    <t>03212B103</t>
  </si>
  <si>
    <t>BK598S5</t>
  </si>
  <si>
    <t>ORN UN Equity</t>
  </si>
  <si>
    <t>Orion Group Holdings Inc</t>
  </si>
  <si>
    <t>68628V308</t>
  </si>
  <si>
    <t>B1WTHL1</t>
  </si>
  <si>
    <t>ENSG UW Equity</t>
  </si>
  <si>
    <t>NUVB UN Equity</t>
  </si>
  <si>
    <t>ACHV UR Equity</t>
  </si>
  <si>
    <t>DXLG UQ Equity</t>
  </si>
  <si>
    <t>Destination XL Group Inc</t>
  </si>
  <si>
    <t>25065K104</t>
  </si>
  <si>
    <t>B86P8R7</t>
  </si>
  <si>
    <t>AIR UN Equity</t>
  </si>
  <si>
    <t>AAR Corp</t>
  </si>
  <si>
    <t>000361105</t>
  </si>
  <si>
    <t>2001119</t>
  </si>
  <si>
    <t>GRNT UN Equity</t>
  </si>
  <si>
    <t>Granite Ridge Resources Inc</t>
  </si>
  <si>
    <t>387432107</t>
  </si>
  <si>
    <t>BPJKCW1</t>
  </si>
  <si>
    <t>RICK UQ Equity</t>
  </si>
  <si>
    <t>RCI Hospitality Holdings Inc</t>
  </si>
  <si>
    <t>74934Q108</t>
  </si>
  <si>
    <t>BQ0QT80</t>
  </si>
  <si>
    <t>APEI UW Equity</t>
  </si>
  <si>
    <t>American Public Education Inc</t>
  </si>
  <si>
    <t>02913V103</t>
  </si>
  <si>
    <t>B292GM4</t>
  </si>
  <si>
    <t>NWPX UW Equity</t>
  </si>
  <si>
    <t>Northwest Pipe Co</t>
  </si>
  <si>
    <t>667746101</t>
  </si>
  <si>
    <t>2035925</t>
  </si>
  <si>
    <t>477839104</t>
  </si>
  <si>
    <t>B3BRJZ8</t>
  </si>
  <si>
    <t>POR UN Equity</t>
  </si>
  <si>
    <t>Portland General Electric Co</t>
  </si>
  <si>
    <t>736508847</t>
  </si>
  <si>
    <t>B125XQ6</t>
  </si>
  <si>
    <t>TRUP UQ Equity</t>
  </si>
  <si>
    <t>Trupanion Inc</t>
  </si>
  <si>
    <t>898202106</t>
  </si>
  <si>
    <t>BP3YM85</t>
  </si>
  <si>
    <t>YORW UW Equity</t>
  </si>
  <si>
    <t>York Water Co/The</t>
  </si>
  <si>
    <t>987184108</t>
  </si>
  <si>
    <t>2425292</t>
  </si>
  <si>
    <t>NX UN Equity</t>
  </si>
  <si>
    <t>Quanex Building Products Corp</t>
  </si>
  <si>
    <t>747619104</t>
  </si>
  <si>
    <t>B2QXCJ9</t>
  </si>
  <si>
    <t>NRGV UN Equity</t>
  </si>
  <si>
    <t>Energy Vault Holdings Inc</t>
  </si>
  <si>
    <t>29280W109</t>
  </si>
  <si>
    <t>BNYF0L2</t>
  </si>
  <si>
    <t>AUR UW Equity</t>
  </si>
  <si>
    <t>Aurora Innovation Inc</t>
  </si>
  <si>
    <t>051774107</t>
  </si>
  <si>
    <t>BMF0P92</t>
  </si>
  <si>
    <t>IPI UN Equity</t>
  </si>
  <si>
    <t>Intrepid Potash Inc</t>
  </si>
  <si>
    <t>46121Y201</t>
  </si>
  <si>
    <t>BMDNMT2</t>
  </si>
  <si>
    <t>CMCO UW Equity</t>
  </si>
  <si>
    <t>Columbus McKinnon Corp/NY</t>
  </si>
  <si>
    <t>199333105</t>
  </si>
  <si>
    <t>2211071</t>
  </si>
  <si>
    <t>LFCR UW Equity</t>
  </si>
  <si>
    <t>IDT UN Equity</t>
  </si>
  <si>
    <t>IDT Corp</t>
  </si>
  <si>
    <t>448947507</t>
  </si>
  <si>
    <t>2757304</t>
  </si>
  <si>
    <t>CASS UW Equity</t>
  </si>
  <si>
    <t>Cass Information Systems Inc</t>
  </si>
  <si>
    <t>14808P109</t>
  </si>
  <si>
    <t>2086558</t>
  </si>
  <si>
    <t>CLW UN Equity</t>
  </si>
  <si>
    <t>Clearwater Paper Corp</t>
  </si>
  <si>
    <t>18538R103</t>
  </si>
  <si>
    <t>B3K9Z35</t>
  </si>
  <si>
    <t>ODP UW Equity</t>
  </si>
  <si>
    <t>ODP Corp/The</t>
  </si>
  <si>
    <t>88337F105</t>
  </si>
  <si>
    <t>BLPHWK6</t>
  </si>
  <si>
    <t>ADCT UN Equity</t>
  </si>
  <si>
    <t>BYND UW Equity</t>
  </si>
  <si>
    <t>Beyond Meat Inc</t>
  </si>
  <si>
    <t>08862E109</t>
  </si>
  <si>
    <t>BJ1FDK7</t>
  </si>
  <si>
    <t>EE UN Equity</t>
  </si>
  <si>
    <t>Excelerate Energy Inc</t>
  </si>
  <si>
    <t>30069T101</t>
  </si>
  <si>
    <t>BN2QTD2</t>
  </si>
  <si>
    <t>VERX UQ Equity</t>
  </si>
  <si>
    <t>Vertex Inc</t>
  </si>
  <si>
    <t>92538J106</t>
  </si>
  <si>
    <t>BMX6DM1</t>
  </si>
  <si>
    <t>RUSHA UW Equity</t>
  </si>
  <si>
    <t>Rush Enterprises Inc</t>
  </si>
  <si>
    <t>781846209</t>
  </si>
  <si>
    <t>2966876</t>
  </si>
  <si>
    <t>LFST UW Equity</t>
  </si>
  <si>
    <t>CBUS UR Equity</t>
  </si>
  <si>
    <t>NGVT UN Equity</t>
  </si>
  <si>
    <t>Ingevity Corp</t>
  </si>
  <si>
    <t>45688C107</t>
  </si>
  <si>
    <t>BD4LHG4</t>
  </si>
  <si>
    <t>DIBS UQ Equity</t>
  </si>
  <si>
    <t>1stdibs.com Inc</t>
  </si>
  <si>
    <t>320551104</t>
  </si>
  <si>
    <t>BNNTVV2</t>
  </si>
  <si>
    <t>GKOS UN Equity</t>
  </si>
  <si>
    <t>QSI UQ Equity</t>
  </si>
  <si>
    <t>BTSG UW Equity</t>
  </si>
  <si>
    <t>MFIN UW Equity</t>
  </si>
  <si>
    <t>Medallion Financial Corp</t>
  </si>
  <si>
    <t>583928106</t>
  </si>
  <si>
    <t>2580447</t>
  </si>
  <si>
    <t>AVBP UQ Equity</t>
  </si>
  <si>
    <t>SKIN UR Equity</t>
  </si>
  <si>
    <t>Beauty Health Co/The</t>
  </si>
  <si>
    <t>88331L108</t>
  </si>
  <si>
    <t>BNQQ6C6</t>
  </si>
  <si>
    <t>OCFC UW Equity</t>
  </si>
  <si>
    <t>OceanFirst Financial Corp</t>
  </si>
  <si>
    <t>675234108</t>
  </si>
  <si>
    <t>2125901</t>
  </si>
  <si>
    <t>AGIO UW Equity</t>
  </si>
  <si>
    <t>SSTK UN Equity</t>
  </si>
  <si>
    <t>Shutterstock Inc</t>
  </si>
  <si>
    <t>825690100</t>
  </si>
  <si>
    <t>B7ZR219</t>
  </si>
  <si>
    <t>CZNC UR Equity</t>
  </si>
  <si>
    <t>Citizens &amp; Northern Corp</t>
  </si>
  <si>
    <t>172922106</t>
  </si>
  <si>
    <t>2420662</t>
  </si>
  <si>
    <t>CVLG UN Equity</t>
  </si>
  <si>
    <t>Covenant Logistics Group Inc</t>
  </si>
  <si>
    <t>22284P105</t>
  </si>
  <si>
    <t>2200853</t>
  </si>
  <si>
    <t>AUB UN Equity</t>
  </si>
  <si>
    <t>Atlantic Union Bankshares Corp</t>
  </si>
  <si>
    <t>04911A107</t>
  </si>
  <si>
    <t>BFZ9DB8</t>
  </si>
  <si>
    <t>FET UN Equity</t>
  </si>
  <si>
    <t>Forum Energy Technologies Inc</t>
  </si>
  <si>
    <t>34984V209</t>
  </si>
  <si>
    <t>BMCKSV8</t>
  </si>
  <si>
    <t>SSTI UR Equity</t>
  </si>
  <si>
    <t>SoundThinking Inc</t>
  </si>
  <si>
    <t>82536T107</t>
  </si>
  <si>
    <t>BF1STB1</t>
  </si>
  <si>
    <t>INO UR Equity</t>
  </si>
  <si>
    <t>NBHC UN Equity</t>
  </si>
  <si>
    <t>National Bank Holdings Corp</t>
  </si>
  <si>
    <t>633707104</t>
  </si>
  <si>
    <t>B888DV3</t>
  </si>
  <si>
    <t>MRC UN Equity</t>
  </si>
  <si>
    <t>MRC Global Inc</t>
  </si>
  <si>
    <t>55345K103</t>
  </si>
  <si>
    <t>B7M66F1</t>
  </si>
  <si>
    <t>DHIL UW Equity</t>
  </si>
  <si>
    <t>Diamond Hill Investment Group</t>
  </si>
  <si>
    <t>25264R207</t>
  </si>
  <si>
    <t>2801137</t>
  </si>
  <si>
    <t>INDI UR Equity</t>
  </si>
  <si>
    <t>indie Semiconductor Inc</t>
  </si>
  <si>
    <t>45569U101</t>
  </si>
  <si>
    <t>BP4W0C8</t>
  </si>
  <si>
    <t>NEO UR Equity</t>
  </si>
  <si>
    <t>LGF/B UN Equity</t>
  </si>
  <si>
    <t>535919500</t>
  </si>
  <si>
    <t>BD8NB53</t>
  </si>
  <si>
    <t>MSBI UW Equity</t>
  </si>
  <si>
    <t>Midland States Bancorp Inc</t>
  </si>
  <si>
    <t>597742105</t>
  </si>
  <si>
    <t>B6VRG58</t>
  </si>
  <si>
    <t>CMTG UN Equity</t>
  </si>
  <si>
    <t>Claros Mortgage Trust Inc</t>
  </si>
  <si>
    <t>18270D106</t>
  </si>
  <si>
    <t>BNTW041</t>
  </si>
  <si>
    <t>METCB UW Equity</t>
  </si>
  <si>
    <t>Ramaco Resources Inc</t>
  </si>
  <si>
    <t>75134P501</t>
  </si>
  <si>
    <t>BRXYZ79</t>
  </si>
  <si>
    <t>ADEA UW Equity</t>
  </si>
  <si>
    <t>Adeia Inc</t>
  </si>
  <si>
    <t>00676P107</t>
  </si>
  <si>
    <t>BPMQ8J5</t>
  </si>
  <si>
    <t>BPRN UW Equity</t>
  </si>
  <si>
    <t>Princeton Bancorp Inc</t>
  </si>
  <si>
    <t>74179A107</t>
  </si>
  <si>
    <t>BQD00T7</t>
  </si>
  <si>
    <t>AIT UN Equity</t>
  </si>
  <si>
    <t>Applied Industrial Technologie</t>
  </si>
  <si>
    <t>03820C105</t>
  </si>
  <si>
    <t>2086309</t>
  </si>
  <si>
    <t>AX UN Equity</t>
  </si>
  <si>
    <t>Axos Financial Inc</t>
  </si>
  <si>
    <t>05465C100</t>
  </si>
  <si>
    <t>BGK38H3</t>
  </si>
  <si>
    <t>NOVT UW Equity</t>
  </si>
  <si>
    <t>Novanta Inc</t>
  </si>
  <si>
    <t>67000B104</t>
  </si>
  <si>
    <t>BD8S5H8</t>
  </si>
  <si>
    <t>APPS UR Equity</t>
  </si>
  <si>
    <t>Digital Turbine Inc</t>
  </si>
  <si>
    <t>25400W102</t>
  </si>
  <si>
    <t>BVFNZL6</t>
  </si>
  <si>
    <t>PX UN Equity</t>
  </si>
  <si>
    <t>P10 Inc</t>
  </si>
  <si>
    <t>69376K106</t>
  </si>
  <si>
    <t>BLB56T1</t>
  </si>
  <si>
    <t>PARR UN Equity</t>
  </si>
  <si>
    <t>Par Pacific Holdings Inc</t>
  </si>
  <si>
    <t>69888T207</t>
  </si>
  <si>
    <t>BJH08C3</t>
  </si>
  <si>
    <t>NVTS UQ Equity</t>
  </si>
  <si>
    <t>Navitas Semiconductor Corp</t>
  </si>
  <si>
    <t>63942X106</t>
  </si>
  <si>
    <t>BMGMH68</t>
  </si>
  <si>
    <t>NYMT UW Equity</t>
  </si>
  <si>
    <t>New York Mortgage Trust Inc</t>
  </si>
  <si>
    <t>649604840</t>
  </si>
  <si>
    <t>BR4NQJ4</t>
  </si>
  <si>
    <t>METC UW Equity</t>
  </si>
  <si>
    <t>75134P600</t>
  </si>
  <si>
    <t>BRXYZ91</t>
  </si>
  <si>
    <t>RNST UN Equity</t>
  </si>
  <si>
    <t>Renasant Corp</t>
  </si>
  <si>
    <t>75970E107</t>
  </si>
  <si>
    <t>2670809</t>
  </si>
  <si>
    <t>TMDX UQ Equity</t>
  </si>
  <si>
    <t>PSFE UN Equity</t>
  </si>
  <si>
    <t>Paysafe Ltd</t>
  </si>
  <si>
    <t>BPCPXY2</t>
  </si>
  <si>
    <t>AIOT UQ Equity</t>
  </si>
  <si>
    <t>Powerfleet Inc NJ</t>
  </si>
  <si>
    <t>73931J109</t>
  </si>
  <si>
    <t>BKLX9J9</t>
  </si>
  <si>
    <t>USNA UN Equity</t>
  </si>
  <si>
    <t>USANA Health Sciences Inc</t>
  </si>
  <si>
    <t>90328M107</t>
  </si>
  <si>
    <t>2267698</t>
  </si>
  <si>
    <t>SSB UN Equity</t>
  </si>
  <si>
    <t>SouthState Corp</t>
  </si>
  <si>
    <t>840441109</t>
  </si>
  <si>
    <t>BNFX071</t>
  </si>
  <si>
    <t>BVS UW Equity</t>
  </si>
  <si>
    <t>ARKO UR Equity</t>
  </si>
  <si>
    <t>Arko Corp</t>
  </si>
  <si>
    <t>041242108</t>
  </si>
  <si>
    <t>BMH73N1</t>
  </si>
  <si>
    <t>ASLE UR Equity</t>
  </si>
  <si>
    <t>AerSale Corp</t>
  </si>
  <si>
    <t>00810F106</t>
  </si>
  <si>
    <t>BN2RY85</t>
  </si>
  <si>
    <t>BMBL UW Equity</t>
  </si>
  <si>
    <t>Bumble Inc</t>
  </si>
  <si>
    <t>12047B105</t>
  </si>
  <si>
    <t>BMZ2WT7</t>
  </si>
  <si>
    <t>ESPR UQ Equity</t>
  </si>
  <si>
    <t>SLNO UR Equity</t>
  </si>
  <si>
    <t>GOLF UN Equity</t>
  </si>
  <si>
    <t>Acushnet Holdings Corp</t>
  </si>
  <si>
    <t>005098108</t>
  </si>
  <si>
    <t>BD3WG50</t>
  </si>
  <si>
    <t>CPF UN Equity</t>
  </si>
  <si>
    <t>Central Pacific Financial Corp</t>
  </si>
  <si>
    <t>154760409</t>
  </si>
  <si>
    <t>2230946</t>
  </si>
  <si>
    <t>IBCP UW Equity</t>
  </si>
  <si>
    <t>Independent Bank Corp/MI</t>
  </si>
  <si>
    <t>453838609</t>
  </si>
  <si>
    <t>2492133</t>
  </si>
  <si>
    <t>ADTN UW Equity</t>
  </si>
  <si>
    <t>ADTRAN Holdings Inc</t>
  </si>
  <si>
    <t>00486H105</t>
  </si>
  <si>
    <t>BPLJ828</t>
  </si>
  <si>
    <t>DRVN UW Equity</t>
  </si>
  <si>
    <t>Driven Brands Holdings Inc</t>
  </si>
  <si>
    <t>26210V102</t>
  </si>
  <si>
    <t>BL0P090</t>
  </si>
  <si>
    <t>QTWO UN Equity</t>
  </si>
  <si>
    <t>Q2 Holdings Inc</t>
  </si>
  <si>
    <t>74736L109</t>
  </si>
  <si>
    <t>BKM4KV0</t>
  </si>
  <si>
    <t>WNC UN Equity</t>
  </si>
  <si>
    <t>Wabash National Corp</t>
  </si>
  <si>
    <t>929566107</t>
  </si>
  <si>
    <t>2932048</t>
  </si>
  <si>
    <t>UVSP UW Equity</t>
  </si>
  <si>
    <t>Univest Financial Corp</t>
  </si>
  <si>
    <t>915271100</t>
  </si>
  <si>
    <t>2690636</t>
  </si>
  <si>
    <t>EAF UN Equity</t>
  </si>
  <si>
    <t>GrafTech International Ltd</t>
  </si>
  <si>
    <t>384313508</t>
  </si>
  <si>
    <t>BFZP4T1</t>
  </si>
  <si>
    <t>HOV UN Equity</t>
  </si>
  <si>
    <t>Hovnanian Enterprises Inc</t>
  </si>
  <si>
    <t>442487401</t>
  </si>
  <si>
    <t>BJ5KPZ7</t>
  </si>
  <si>
    <t>ACLS UW Equity</t>
  </si>
  <si>
    <t>Axcelis Technologies Inc</t>
  </si>
  <si>
    <t>054540208</t>
  </si>
  <si>
    <t>BD420Q8</t>
  </si>
  <si>
    <t>FLNC UW Equity</t>
  </si>
  <si>
    <t>Fluence Energy Inc</t>
  </si>
  <si>
    <t>34379V103</t>
  </si>
  <si>
    <t>BMXC0N9</t>
  </si>
  <si>
    <t>AROW UW Equity</t>
  </si>
  <si>
    <t>Arrow Financial Corp</t>
  </si>
  <si>
    <t>042744102</t>
  </si>
  <si>
    <t>2051374</t>
  </si>
  <si>
    <t>FBK UN Equity</t>
  </si>
  <si>
    <t>FB Financial Corp</t>
  </si>
  <si>
    <t>30257X104</t>
  </si>
  <si>
    <t>BYY5Z69</t>
  </si>
  <si>
    <t>NTB UN Equity</t>
  </si>
  <si>
    <t>Bank of NT Butterfield &amp; Son L</t>
  </si>
  <si>
    <t>BD8FF02</t>
  </si>
  <si>
    <t>TBPH UQ Equity</t>
  </si>
  <si>
    <t>FFIC UW Equity</t>
  </si>
  <si>
    <t>Flushing Financial Corp</t>
  </si>
  <si>
    <t>343873105</t>
  </si>
  <si>
    <t>2360111</t>
  </si>
  <si>
    <t>BHLB UN Equity</t>
  </si>
  <si>
    <t>Berkshire Hills Bancorp Inc</t>
  </si>
  <si>
    <t>084680107</t>
  </si>
  <si>
    <t>2606570</t>
  </si>
  <si>
    <t>AMBP UN Equity</t>
  </si>
  <si>
    <t>Ardagh Metal Packaging SA</t>
  </si>
  <si>
    <t>BMWT6B1</t>
  </si>
  <si>
    <t>TSVT UW Equity</t>
  </si>
  <si>
    <t>FSBW UR Equity</t>
  </si>
  <si>
    <t>FS Bancorp Inc</t>
  </si>
  <si>
    <t>30263Y104</t>
  </si>
  <si>
    <t>B4Z5FD5</t>
  </si>
  <si>
    <t>PGNY UW Equity</t>
  </si>
  <si>
    <t>ALRM UW Equity</t>
  </si>
  <si>
    <t>Alarm.com Holdings Inc</t>
  </si>
  <si>
    <t>011642105</t>
  </si>
  <si>
    <t>BYN7H26</t>
  </si>
  <si>
    <t>SPRY UQ Equity</t>
  </si>
  <si>
    <t>CIX UA Equity</t>
  </si>
  <si>
    <t>CompX International Inc</t>
  </si>
  <si>
    <t>20563P101</t>
  </si>
  <si>
    <t>2201908</t>
  </si>
  <si>
    <t>PLAB UW Equity</t>
  </si>
  <si>
    <t>Photronics Inc</t>
  </si>
  <si>
    <t>719405102</t>
  </si>
  <si>
    <t>2687315</t>
  </si>
  <si>
    <t>CDRE UN Equity</t>
  </si>
  <si>
    <t>Cadre Holdings Inc</t>
  </si>
  <si>
    <t>12763L105</t>
  </si>
  <si>
    <t>BKVKB49</t>
  </si>
  <si>
    <t>ALTM UN Equity</t>
  </si>
  <si>
    <t>Arcadium Lithium PLC</t>
  </si>
  <si>
    <t>BM9HZ11</t>
  </si>
  <si>
    <t>BOLD UW Equity</t>
  </si>
  <si>
    <t>LNKB UR Equity</t>
  </si>
  <si>
    <t>LINKBANCORP Inc</t>
  </si>
  <si>
    <t>53578P105</t>
  </si>
  <si>
    <t>BKY65J7</t>
  </si>
  <si>
    <t>CRML UQ Equity</t>
  </si>
  <si>
    <t>Critical Metals Corp</t>
  </si>
  <si>
    <t>BSNX0D4</t>
  </si>
  <si>
    <t>SNDX UW Equity</t>
  </si>
  <si>
    <t>ALCO UW Equity</t>
  </si>
  <si>
    <t>Alico Inc</t>
  </si>
  <si>
    <t>016230104</t>
  </si>
  <si>
    <t>2016425</t>
  </si>
  <si>
    <t>UTZ UN Equity</t>
  </si>
  <si>
    <t>Utz Brands Inc</t>
  </si>
  <si>
    <t>918090101</t>
  </si>
  <si>
    <t>BL989M6</t>
  </si>
  <si>
    <t>OVLY UR Equity</t>
  </si>
  <si>
    <t>Oak Valley Bancorp</t>
  </si>
  <si>
    <t>671807105</t>
  </si>
  <si>
    <t>B019FQ6</t>
  </si>
  <si>
    <t>CWCO UW Equity</t>
  </si>
  <si>
    <t>Consolidated Water Co Ltd</t>
  </si>
  <si>
    <t>2099095</t>
  </si>
  <si>
    <t>BUSE UW Equity</t>
  </si>
  <si>
    <t>First Busey Corp</t>
  </si>
  <si>
    <t>319383204</t>
  </si>
  <si>
    <t>BZ1LBM5</t>
  </si>
  <si>
    <t>GOGL UW Equity</t>
  </si>
  <si>
    <t>Golden Ocean Group Ltd</t>
  </si>
  <si>
    <t>BYN8774</t>
  </si>
  <si>
    <t>MDWD UQ Equity</t>
  </si>
  <si>
    <t>MATX UN Equity</t>
  </si>
  <si>
    <t>Matson Inc</t>
  </si>
  <si>
    <t>57686G105</t>
  </si>
  <si>
    <t>B8GNC91</t>
  </si>
  <si>
    <t>FLNG UN Equity</t>
  </si>
  <si>
    <t>FLEX LNG Ltd</t>
  </si>
  <si>
    <t>BH3T3L4</t>
  </si>
  <si>
    <t>IOSP UW Equity</t>
  </si>
  <si>
    <t>Innospec Inc</t>
  </si>
  <si>
    <t>45768S105</t>
  </si>
  <si>
    <t>2245597</t>
  </si>
  <si>
    <t>SBGI UW Equity</t>
  </si>
  <si>
    <t>Sinclair Inc</t>
  </si>
  <si>
    <t>829242106</t>
  </si>
  <si>
    <t>BRJX4J5</t>
  </si>
  <si>
    <t>OSW UR Equity</t>
  </si>
  <si>
    <t>OneSpaWorld Holdings Ltd</t>
  </si>
  <si>
    <t>BJY21L2</t>
  </si>
  <si>
    <t>KNF UN Equity</t>
  </si>
  <si>
    <t>Knife River Corp</t>
  </si>
  <si>
    <t>498894104</t>
  </si>
  <si>
    <t>BPLL4V5</t>
  </si>
  <si>
    <t>GLNG UW Equity</t>
  </si>
  <si>
    <t>Golar LNG Ltd</t>
  </si>
  <si>
    <t>2367963</t>
  </si>
  <si>
    <t>SEVN UR Equity</t>
  </si>
  <si>
    <t>Seven Hills Realty Trust</t>
  </si>
  <si>
    <t>81784E101</t>
  </si>
  <si>
    <t>BMWDGS0</t>
  </si>
  <si>
    <t>URG UA Equity</t>
  </si>
  <si>
    <t>Ur-Energy Inc</t>
  </si>
  <si>
    <t>91688R108</t>
  </si>
  <si>
    <t>B0WW4L2</t>
  </si>
  <si>
    <t>HASI UN Equity</t>
  </si>
  <si>
    <t>HA Sustainable Infrastructure</t>
  </si>
  <si>
    <t>41068X100</t>
  </si>
  <si>
    <t>B9HHD96</t>
  </si>
  <si>
    <t>JXN UN Equity</t>
  </si>
  <si>
    <t>Jackson Financial Inc</t>
  </si>
  <si>
    <t>46817M107</t>
  </si>
  <si>
    <t>BMFX6P4</t>
  </si>
  <si>
    <t>LZM UN Equity</t>
  </si>
  <si>
    <t>Lifezone Metals Ltd</t>
  </si>
  <si>
    <t>BLCY1J2</t>
  </si>
  <si>
    <t>AOSL UW Equity</t>
  </si>
  <si>
    <t>Alpha &amp; Omega Semiconductor Lt</t>
  </si>
  <si>
    <t>B5Q3KZ2</t>
  </si>
  <si>
    <t>GRPN UW Equity</t>
  </si>
  <si>
    <t>Groupon Inc</t>
  </si>
  <si>
    <t>399473206</t>
  </si>
  <si>
    <t>BMTD360</t>
  </si>
  <si>
    <t>APLD UW Equity</t>
  </si>
  <si>
    <t>Applied Digital Corp</t>
  </si>
  <si>
    <t>038169207</t>
  </si>
  <si>
    <t>BMCNFN8</t>
  </si>
  <si>
    <t>ALT UQ Equity</t>
  </si>
  <si>
    <t>GCI UN Equity</t>
  </si>
  <si>
    <t>Gannett Co Inc</t>
  </si>
  <si>
    <t>36472T109</t>
  </si>
  <si>
    <t>BKPH157</t>
  </si>
  <si>
    <t>SOUN UQ Equity</t>
  </si>
  <si>
    <t>SoundHound AI Inc</t>
  </si>
  <si>
    <t>836100107</t>
  </si>
  <si>
    <t>BLDBS68</t>
  </si>
  <si>
    <t>CPS UN Equity</t>
  </si>
  <si>
    <t>Cooper-Standard Holdings Inc</t>
  </si>
  <si>
    <t>21676P103</t>
  </si>
  <si>
    <t>B51JS17</t>
  </si>
  <si>
    <t>ACIC UR Equity</t>
  </si>
  <si>
    <t>American Coastal Insurance Cor</t>
  </si>
  <si>
    <t>910710102</t>
  </si>
  <si>
    <t>B292PW7</t>
  </si>
  <si>
    <t>MNTK UR Equity</t>
  </si>
  <si>
    <t>Montauk Renewables Inc</t>
  </si>
  <si>
    <t>61218C103</t>
  </si>
  <si>
    <t>BN6HHQ0</t>
  </si>
  <si>
    <t>EPM UA Equity</t>
  </si>
  <si>
    <t>Evolution Petroleum Corp</t>
  </si>
  <si>
    <t>30049A107</t>
  </si>
  <si>
    <t>2367781</t>
  </si>
  <si>
    <t>CAPR UR Equity</t>
  </si>
  <si>
    <t>NXT UW Equity</t>
  </si>
  <si>
    <t>NEXTracker Inc</t>
  </si>
  <si>
    <t>65290E101</t>
  </si>
  <si>
    <t>BR1GTS6</t>
  </si>
  <si>
    <t>SSP UW Equity</t>
  </si>
  <si>
    <t>EW Scripps Co/The</t>
  </si>
  <si>
    <t>811054402</t>
  </si>
  <si>
    <t>2862532</t>
  </si>
  <si>
    <t>AVIR UW Equity</t>
  </si>
  <si>
    <t>OPCH UW Equity</t>
  </si>
  <si>
    <t>HCI UN Equity</t>
  </si>
  <si>
    <t>HCI Group Inc</t>
  </si>
  <si>
    <t>40416E103</t>
  </si>
  <si>
    <t>BBN23F5</t>
  </si>
  <si>
    <t>COOK UN Equity</t>
  </si>
  <si>
    <t>Traeger Inc</t>
  </si>
  <si>
    <t>89269P103</t>
  </si>
  <si>
    <t>BN72WR0</t>
  </si>
  <si>
    <t>SLDP UW Equity</t>
  </si>
  <si>
    <t>Solid Power Inc</t>
  </si>
  <si>
    <t>83422N105</t>
  </si>
  <si>
    <t>BMG79C3</t>
  </si>
  <si>
    <t>GERN UW Equity</t>
  </si>
  <si>
    <t>NUVL UW Equity</t>
  </si>
  <si>
    <t>ATEN UN Equity</t>
  </si>
  <si>
    <t>A10 Networks Inc</t>
  </si>
  <si>
    <t>002121101</t>
  </si>
  <si>
    <t>BKQVBN6</t>
  </si>
  <si>
    <t>FNLC UW Equity</t>
  </si>
  <si>
    <t>First Bancorp Inc/The</t>
  </si>
  <si>
    <t>31866P102</t>
  </si>
  <si>
    <t>2353047</t>
  </si>
  <si>
    <t>BZH UN Equity</t>
  </si>
  <si>
    <t>Beazer Homes USA Inc</t>
  </si>
  <si>
    <t>07556Q881</t>
  </si>
  <si>
    <t>B8KHZT0</t>
  </si>
  <si>
    <t>LBRT UN Equity</t>
  </si>
  <si>
    <t>Liberty Energy Inc</t>
  </si>
  <si>
    <t>53115L104</t>
  </si>
  <si>
    <t>BDCWFT8</t>
  </si>
  <si>
    <t>Turtle Beach Corp</t>
  </si>
  <si>
    <t>900450206</t>
  </si>
  <si>
    <t>BF5HDT0</t>
  </si>
  <si>
    <t>FDP UN Equity</t>
  </si>
  <si>
    <t>Fresh Del Monte Produce Inc</t>
  </si>
  <si>
    <t>2118707</t>
  </si>
  <si>
    <t>FA UW Equity</t>
  </si>
  <si>
    <t>First Advantage Corp</t>
  </si>
  <si>
    <t>31846B108</t>
  </si>
  <si>
    <t>BNKGY06</t>
  </si>
  <si>
    <t>HRTX UR Equity</t>
  </si>
  <si>
    <t>CXM UN Equity</t>
  </si>
  <si>
    <t>Sprinklr Inc</t>
  </si>
  <si>
    <t>85208T107</t>
  </si>
  <si>
    <t>BNKCPP6</t>
  </si>
  <si>
    <t>IBP UN Equity</t>
  </si>
  <si>
    <t>Installed Building Products In</t>
  </si>
  <si>
    <t>45780R101</t>
  </si>
  <si>
    <t>BJSP4C9</t>
  </si>
  <si>
    <t>WLFC UQ Equity</t>
  </si>
  <si>
    <t>Willis Lease Finance Corp</t>
  </si>
  <si>
    <t>970646105</t>
  </si>
  <si>
    <t>2036779</t>
  </si>
  <si>
    <t>CSV UN Equity</t>
  </si>
  <si>
    <t>Carriage Services Inc</t>
  </si>
  <si>
    <t>143905107</t>
  </si>
  <si>
    <t>2177786</t>
  </si>
  <si>
    <t>SSBK UW Equity</t>
  </si>
  <si>
    <t>Southern States Bancshares Inc</t>
  </si>
  <si>
    <t>843878307</t>
  </si>
  <si>
    <t>BP8Z9F9</t>
  </si>
  <si>
    <t>MVIS UQ Equity</t>
  </si>
  <si>
    <t>MicroVision Inc</t>
  </si>
  <si>
    <t>594960304</t>
  </si>
  <si>
    <t>B7N96Q0</t>
  </si>
  <si>
    <t>ILPT UW Equity</t>
  </si>
  <si>
    <t>Industrial Logistics Propertie</t>
  </si>
  <si>
    <t>456237106</t>
  </si>
  <si>
    <t>BFFK7S6</t>
  </si>
  <si>
    <t>GRBK UN Equity</t>
  </si>
  <si>
    <t>Green Brick Partners Inc</t>
  </si>
  <si>
    <t>392709101</t>
  </si>
  <si>
    <t>BS7T2R6</t>
  </si>
  <si>
    <t>RSVR UQ Equity</t>
  </si>
  <si>
    <t>Reservoir Media Inc</t>
  </si>
  <si>
    <t>76119X105</t>
  </si>
  <si>
    <t>BP0B9H7</t>
  </si>
  <si>
    <t>CERS UQ Equity</t>
  </si>
  <si>
    <t>HG UN Equity</t>
  </si>
  <si>
    <t>Hamilton Insurance Group Ltd</t>
  </si>
  <si>
    <t>BRWKTM1</t>
  </si>
  <si>
    <t>URGN UQ Equity</t>
  </si>
  <si>
    <t>PLUS UW Equity</t>
  </si>
  <si>
    <t>ePlus Inc</t>
  </si>
  <si>
    <t>294268107</t>
  </si>
  <si>
    <t>2597748</t>
  </si>
  <si>
    <t>EVEX UN Equity</t>
  </si>
  <si>
    <t>Eve Holding Inc</t>
  </si>
  <si>
    <t>29970N104</t>
  </si>
  <si>
    <t>BNDBK99</t>
  </si>
  <si>
    <t>ONIT UN Equity</t>
  </si>
  <si>
    <t>Onity Group Inc</t>
  </si>
  <si>
    <t>675746606</t>
  </si>
  <si>
    <t>BMDNMR0</t>
  </si>
  <si>
    <t>NUS UN Equity</t>
  </si>
  <si>
    <t>Nu Skin Enterprises Inc</t>
  </si>
  <si>
    <t>67018T105</t>
  </si>
  <si>
    <t>2616870</t>
  </si>
  <si>
    <t>BFC UR Equity</t>
  </si>
  <si>
    <t>Bank First Corp</t>
  </si>
  <si>
    <t>06211J100</t>
  </si>
  <si>
    <t>BNZLBS3</t>
  </si>
  <si>
    <t>NVAX UW Equity</t>
  </si>
  <si>
    <t>Colony Bankcorp Inc</t>
  </si>
  <si>
    <t>19623P101</t>
  </si>
  <si>
    <t>2492917</t>
  </si>
  <si>
    <t>NWFL UQ Equity</t>
  </si>
  <si>
    <t>Norwood Financial Corp</t>
  </si>
  <si>
    <t>669549107</t>
  </si>
  <si>
    <t>2549233</t>
  </si>
  <si>
    <t>GDYN UR Equity</t>
  </si>
  <si>
    <t>Grid Dynamics Holdings Inc</t>
  </si>
  <si>
    <t>39813G109</t>
  </si>
  <si>
    <t>BLCHF11</t>
  </si>
  <si>
    <t>GPMT UN Equity</t>
  </si>
  <si>
    <t>Granite Point Mortgage Trust I</t>
  </si>
  <si>
    <t>38741L107</t>
  </si>
  <si>
    <t>BF11FD4</t>
  </si>
  <si>
    <t>INBK UW Equity</t>
  </si>
  <si>
    <t>First Internet Bancorp</t>
  </si>
  <si>
    <t>320557101</t>
  </si>
  <si>
    <t>B0406N0</t>
  </si>
  <si>
    <t>ASTE UW Equity</t>
  </si>
  <si>
    <t>Astec Industries Inc</t>
  </si>
  <si>
    <t>046224101</t>
  </si>
  <si>
    <t>2060370</t>
  </si>
  <si>
    <t>LOVE UQ Equity</t>
  </si>
  <si>
    <t>Lovesac Co/The</t>
  </si>
  <si>
    <t>54738L109</t>
  </si>
  <si>
    <t>BG88WJ0</t>
  </si>
  <si>
    <t>ANIK UW Equity</t>
  </si>
  <si>
    <t>CWBC UR Equity</t>
  </si>
  <si>
    <t>Community West Bancshares</t>
  </si>
  <si>
    <t>203937107</t>
  </si>
  <si>
    <t>BNK9G76</t>
  </si>
  <si>
    <t>CENT UW Equity</t>
  </si>
  <si>
    <t>153527106</t>
  </si>
  <si>
    <t>2183868</t>
  </si>
  <si>
    <t>NXDT UN Equity</t>
  </si>
  <si>
    <t>NexPoint Diversified Real Esta</t>
  </si>
  <si>
    <t>65340G205</t>
  </si>
  <si>
    <t>BYMG199</t>
  </si>
  <si>
    <t>RVLV UN Equity</t>
  </si>
  <si>
    <t>Revolve Group Inc</t>
  </si>
  <si>
    <t>76156B107</t>
  </si>
  <si>
    <t>BJ1FD74</t>
  </si>
  <si>
    <t>FIBK UW Equity</t>
  </si>
  <si>
    <t>First Interstate BancSystem In</t>
  </si>
  <si>
    <t>32055Y201</t>
  </si>
  <si>
    <t>B4RGHN0</t>
  </si>
  <si>
    <t>BSRR UW Equity</t>
  </si>
  <si>
    <t>Sierra Bancorp</t>
  </si>
  <si>
    <t>82620P102</t>
  </si>
  <si>
    <t>2586315</t>
  </si>
  <si>
    <t>LC UN Equity</t>
  </si>
  <si>
    <t>LendingClub Corp</t>
  </si>
  <si>
    <t>52603A208</t>
  </si>
  <si>
    <t>BK95GR4</t>
  </si>
  <si>
    <t>JANX UQ Equity</t>
  </si>
  <si>
    <t>CARS UN Equity</t>
  </si>
  <si>
    <t>Cars.com Inc</t>
  </si>
  <si>
    <t>14575E105</t>
  </si>
  <si>
    <t>BYXHTC0</t>
  </si>
  <si>
    <t>IONQ UN Equity</t>
  </si>
  <si>
    <t>IonQ Inc</t>
  </si>
  <si>
    <t>46222L108</t>
  </si>
  <si>
    <t>BP484B3</t>
  </si>
  <si>
    <t>MHLD UR Equity</t>
  </si>
  <si>
    <t>Maiden Holdings Ltd</t>
  </si>
  <si>
    <t>B2RB076</t>
  </si>
  <si>
    <t>SWBI UW Equity</t>
  </si>
  <si>
    <t>Smith &amp; Wesson Brands Inc</t>
  </si>
  <si>
    <t>831754106</t>
  </si>
  <si>
    <t>BMYGG87</t>
  </si>
  <si>
    <t>VRTS UN Equity</t>
  </si>
  <si>
    <t>Virtus Investment Partners Inc</t>
  </si>
  <si>
    <t>92828Q109</t>
  </si>
  <si>
    <t>B3KKGQ8</t>
  </si>
  <si>
    <t>REFI UQ Equity</t>
  </si>
  <si>
    <t>Chicago Atlantic Real Estate F</t>
  </si>
  <si>
    <t>167239102</t>
  </si>
  <si>
    <t>BMZQY71</t>
  </si>
  <si>
    <t>ICHR UW Equity</t>
  </si>
  <si>
    <t>Ichor Holdings Ltd</t>
  </si>
  <si>
    <t>BD2B5Y0</t>
  </si>
  <si>
    <t>FLGT UQ Equity</t>
  </si>
  <si>
    <t>NOG UN Equity</t>
  </si>
  <si>
    <t>Northern Oil &amp; Gas Inc</t>
  </si>
  <si>
    <t>665531307</t>
  </si>
  <si>
    <t>BN6RJM0</t>
  </si>
  <si>
    <t>CFB UW Equity</t>
  </si>
  <si>
    <t>CrossFirst Bankshares Inc</t>
  </si>
  <si>
    <t>22766M109</t>
  </si>
  <si>
    <t>BK0XBX8</t>
  </si>
  <si>
    <t>PTGX UQ Equity</t>
  </si>
  <si>
    <t>CSTE UW Equity</t>
  </si>
  <si>
    <t>Caesarstone Ltd</t>
  </si>
  <si>
    <t>B796245</t>
  </si>
  <si>
    <t>FBLG UQ Equity</t>
  </si>
  <si>
    <t>ORRF UR Equity</t>
  </si>
  <si>
    <t>Orrstown Financial Services In</t>
  </si>
  <si>
    <t>687380105</t>
  </si>
  <si>
    <t>B019FW2</t>
  </si>
  <si>
    <t>RMBS UW Equity</t>
  </si>
  <si>
    <t>Rambus Inc</t>
  </si>
  <si>
    <t>750917106</t>
  </si>
  <si>
    <t>2721967</t>
  </si>
  <si>
    <t>HOFT UW Equity</t>
  </si>
  <si>
    <t>Hooker Furnishings Corp</t>
  </si>
  <si>
    <t>439038100</t>
  </si>
  <si>
    <t>2748911</t>
  </si>
  <si>
    <t>SHBI UW Equity</t>
  </si>
  <si>
    <t>Shore Bancshares Inc</t>
  </si>
  <si>
    <t>825107105</t>
  </si>
  <si>
    <t>2748869</t>
  </si>
  <si>
    <t>HCKT UW Equity</t>
  </si>
  <si>
    <t>Hackett Group Inc/The</t>
  </si>
  <si>
    <t>404609109</t>
  </si>
  <si>
    <t>2249254</t>
  </si>
  <si>
    <t>AEHR UR Equity</t>
  </si>
  <si>
    <t>Aehr Test Systems</t>
  </si>
  <si>
    <t>00760J108</t>
  </si>
  <si>
    <t>2096977</t>
  </si>
  <si>
    <t>HBB UN Equity</t>
  </si>
  <si>
    <t>Hamilton Beach Brands Holding</t>
  </si>
  <si>
    <t>40701T104</t>
  </si>
  <si>
    <t>BF22688</t>
  </si>
  <si>
    <t>RRR UW Equity</t>
  </si>
  <si>
    <t>Red Rock Resorts Inc</t>
  </si>
  <si>
    <t>75700L108</t>
  </si>
  <si>
    <t>BYY9947</t>
  </si>
  <si>
    <t>CLMB UQ Equity</t>
  </si>
  <si>
    <t>Climb Global Solutions Inc</t>
  </si>
  <si>
    <t>946760105</t>
  </si>
  <si>
    <t>2690476</t>
  </si>
  <si>
    <t>PRLD UW Equity</t>
  </si>
  <si>
    <t>BHVN UN Equity</t>
  </si>
  <si>
    <t>PDM UN Equity</t>
  </si>
  <si>
    <t>Piedmont Office Realty Trust I</t>
  </si>
  <si>
    <t>720190206</t>
  </si>
  <si>
    <t>B3M3278</t>
  </si>
  <si>
    <t>OEC UN Equity</t>
  </si>
  <si>
    <t>Orion SA</t>
  </si>
  <si>
    <t>BP8FKJ0</t>
  </si>
  <si>
    <t>TSBK UQ Equity</t>
  </si>
  <si>
    <t>Timberland Bancorp Inc/WA</t>
  </si>
  <si>
    <t>887098101</t>
  </si>
  <si>
    <t>2147734</t>
  </si>
  <si>
    <t>VGAS UR Equity</t>
  </si>
  <si>
    <t>Verde Clean Fuels Inc</t>
  </si>
  <si>
    <t>923372106</t>
  </si>
  <si>
    <t>BMTY448</t>
  </si>
  <si>
    <t>HLIO UN Equity</t>
  </si>
  <si>
    <t>Helios Technologies Inc</t>
  </si>
  <si>
    <t>42328H109</t>
  </si>
  <si>
    <t>BK8MDM0</t>
  </si>
  <si>
    <t>SNDA UN Equity</t>
  </si>
  <si>
    <t>HLNE UW Equity</t>
  </si>
  <si>
    <t>Hamilton Lane Inc</t>
  </si>
  <si>
    <t>407497106</t>
  </si>
  <si>
    <t>BF0SR29</t>
  </si>
  <si>
    <t>CWST UW Equity</t>
  </si>
  <si>
    <t>Casella Waste Systems Inc</t>
  </si>
  <si>
    <t>147448104</t>
  </si>
  <si>
    <t>2120490</t>
  </si>
  <si>
    <t>NTST UN Equity</t>
  </si>
  <si>
    <t>NETSTREIT Corp</t>
  </si>
  <si>
    <t>64119V303</t>
  </si>
  <si>
    <t>BMFLYL0</t>
  </si>
  <si>
    <t>PRKS UN Equity</t>
  </si>
  <si>
    <t>United Parks &amp; Resorts Inc</t>
  </si>
  <si>
    <t>81282V100</t>
  </si>
  <si>
    <t>B84KWJ4</t>
  </si>
  <si>
    <t>PSMT UW Equity</t>
  </si>
  <si>
    <t>PriceSmart Inc</t>
  </si>
  <si>
    <t>741511109</t>
  </si>
  <si>
    <t>2092942</t>
  </si>
  <si>
    <t>MBWM UW Equity</t>
  </si>
  <si>
    <t>Mercantile Bank Corp</t>
  </si>
  <si>
    <t>587376104</t>
  </si>
  <si>
    <t>2620257</t>
  </si>
  <si>
    <t>AGS UN Equity</t>
  </si>
  <si>
    <t>PlayAGS Inc</t>
  </si>
  <si>
    <t>72814N104</t>
  </si>
  <si>
    <t>BFNJ8L5</t>
  </si>
  <si>
    <t>COLL UW Equity</t>
  </si>
  <si>
    <t>SIGA UQ Equity</t>
  </si>
  <si>
    <t>SLDB UW Equity</t>
  </si>
  <si>
    <t>CTO UN Equity</t>
  </si>
  <si>
    <t>CTO Realty Growth Inc</t>
  </si>
  <si>
    <t>22948Q101</t>
  </si>
  <si>
    <t>BN7JWR1</t>
  </si>
  <si>
    <t>RHP UN Equity</t>
  </si>
  <si>
    <t>Ryman Hospitality Properties I</t>
  </si>
  <si>
    <t>78377T107</t>
  </si>
  <si>
    <t>B8QV5C9</t>
  </si>
  <si>
    <t>RENB UR Equity</t>
  </si>
  <si>
    <t>TRAK UN Equity</t>
  </si>
  <si>
    <t>ReposiTrak Inc</t>
  </si>
  <si>
    <t>700215304</t>
  </si>
  <si>
    <t>B1BQMW9</t>
  </si>
  <si>
    <t>GMGI UR Equity</t>
  </si>
  <si>
    <t>Golden Matrix Group Inc</t>
  </si>
  <si>
    <t>381098300</t>
  </si>
  <si>
    <t>BMG71Z0</t>
  </si>
  <si>
    <t>FNA UN Equity</t>
  </si>
  <si>
    <t>ATEC UW Equity</t>
  </si>
  <si>
    <t>ATSG UW Equity</t>
  </si>
  <si>
    <t>Air Transport Services Group I</t>
  </si>
  <si>
    <t>00922R105</t>
  </si>
  <si>
    <t>2938002</t>
  </si>
  <si>
    <t>FG UN Equity</t>
  </si>
  <si>
    <t>F&amp;G Annuities &amp; Life Inc</t>
  </si>
  <si>
    <t>30190A104</t>
  </si>
  <si>
    <t>BM9XCN0</t>
  </si>
  <si>
    <t>SAH UN Equity</t>
  </si>
  <si>
    <t>Sonic Automotive Inc</t>
  </si>
  <si>
    <t>83545G102</t>
  </si>
  <si>
    <t>2125246</t>
  </si>
  <si>
    <t>CNXN UW Equity</t>
  </si>
  <si>
    <t>PC Connection Inc</t>
  </si>
  <si>
    <t>69318J100</t>
  </si>
  <si>
    <t>2157175</t>
  </si>
  <si>
    <t>PNTG UW Equity</t>
  </si>
  <si>
    <t>NEXT UR Equity</t>
  </si>
  <si>
    <t>NextDecade Corp</t>
  </si>
  <si>
    <t>65342K105</t>
  </si>
  <si>
    <t>BYX38K9</t>
  </si>
  <si>
    <t>SCS UN Equity</t>
  </si>
  <si>
    <t>Steelcase Inc</t>
  </si>
  <si>
    <t>858155203</t>
  </si>
  <si>
    <t>2150420</t>
  </si>
  <si>
    <t>BYON UN Equity</t>
  </si>
  <si>
    <t>Beyond Inc</t>
  </si>
  <si>
    <t>690370101</t>
  </si>
  <si>
    <t>2855930</t>
  </si>
  <si>
    <t>EYE UW Equity</t>
  </si>
  <si>
    <t>National Vision Holdings Inc</t>
  </si>
  <si>
    <t>63845R107</t>
  </si>
  <si>
    <t>BYP71H7</t>
  </si>
  <si>
    <t>ASGN UN Equity</t>
  </si>
  <si>
    <t>ASGN Inc</t>
  </si>
  <si>
    <t>00191U102</t>
  </si>
  <si>
    <t>BFY8W20</t>
  </si>
  <si>
    <t>NHC UA Equity</t>
  </si>
  <si>
    <t>HFWA UW Equity</t>
  </si>
  <si>
    <t>Heritage Financial Corp/WA</t>
  </si>
  <si>
    <t>42722X106</t>
  </si>
  <si>
    <t>2619880</t>
  </si>
  <si>
    <t>HIPO UN Equity</t>
  </si>
  <si>
    <t>Hippo Holdings Inc</t>
  </si>
  <si>
    <t>433539202</t>
  </si>
  <si>
    <t>BMHG0X7</t>
  </si>
  <si>
    <t>INSE UR Equity</t>
  </si>
  <si>
    <t>Inspired Entertainment Inc</t>
  </si>
  <si>
    <t>45782N108</t>
  </si>
  <si>
    <t>BDCWQ73</t>
  </si>
  <si>
    <t>CLAR UW Equity</t>
  </si>
  <si>
    <t>Clarus Corp</t>
  </si>
  <si>
    <t>18270P109</t>
  </si>
  <si>
    <t>BF5QHG2</t>
  </si>
  <si>
    <t>CRAI UW Equity</t>
  </si>
  <si>
    <t>CRA International Inc</t>
  </si>
  <si>
    <t>12618T105</t>
  </si>
  <si>
    <t>2240622</t>
  </si>
  <si>
    <t>PRME UQ Equity</t>
  </si>
  <si>
    <t>OSPN UR Equity</t>
  </si>
  <si>
    <t>OneSpan Inc</t>
  </si>
  <si>
    <t>68287N100</t>
  </si>
  <si>
    <t>BFNSSD4</t>
  </si>
  <si>
    <t>FLYW UW Equity</t>
  </si>
  <si>
    <t>Flywire Corp</t>
  </si>
  <si>
    <t>302492103</t>
  </si>
  <si>
    <t>BMBP1Q0</t>
  </si>
  <si>
    <t>PFBC UW Equity</t>
  </si>
  <si>
    <t>Preferred Bank/Los Angeles CA</t>
  </si>
  <si>
    <t>740367404</t>
  </si>
  <si>
    <t>2763602</t>
  </si>
  <si>
    <t>ZIP UN Equity</t>
  </si>
  <si>
    <t>ZipRecruiter Inc</t>
  </si>
  <si>
    <t>98980B103</t>
  </si>
  <si>
    <t>BMGH6N3</t>
  </si>
  <si>
    <t>CARG UW Equity</t>
  </si>
  <si>
    <t>Cargurus Inc</t>
  </si>
  <si>
    <t>141788109</t>
  </si>
  <si>
    <t>BF5D6S8</t>
  </si>
  <si>
    <t>PKST UN Equity</t>
  </si>
  <si>
    <t>Peakstone Realty Trust</t>
  </si>
  <si>
    <t>39818P799</t>
  </si>
  <si>
    <t>BMW6894</t>
  </si>
  <si>
    <t>KIDS UQ Equity</t>
  </si>
  <si>
    <t>MCBS UW Equity</t>
  </si>
  <si>
    <t>Metrocity Bankshares Inc</t>
  </si>
  <si>
    <t>59165J105</t>
  </si>
  <si>
    <t>BD9MTK0</t>
  </si>
  <si>
    <t>PLYM UN Equity</t>
  </si>
  <si>
    <t>Plymouth Industrial REIT Inc</t>
  </si>
  <si>
    <t>729640102</t>
  </si>
  <si>
    <t>BF43645</t>
  </si>
  <si>
    <t>MEC UN Equity</t>
  </si>
  <si>
    <t>Mayville Engineering Co Inc</t>
  </si>
  <si>
    <t>578605107</t>
  </si>
  <si>
    <t>BJLD0Y4</t>
  </si>
  <si>
    <t>GCBC UR Equity</t>
  </si>
  <si>
    <t>Greene County Bancorp Inc</t>
  </si>
  <si>
    <t>394357107</t>
  </si>
  <si>
    <t>2647751</t>
  </si>
  <si>
    <t>ACRV UQ Equity</t>
  </si>
  <si>
    <t>SPFI UW Equity</t>
  </si>
  <si>
    <t>South Plains Financial Inc</t>
  </si>
  <si>
    <t>83946P107</t>
  </si>
  <si>
    <t>BGV1W52</t>
  </si>
  <si>
    <t>ENVX UW Equity</t>
  </si>
  <si>
    <t>Enovix Corp</t>
  </si>
  <si>
    <t>293594107</t>
  </si>
  <si>
    <t>BNNTCT7</t>
  </si>
  <si>
    <t>HLMN UQ Equity</t>
  </si>
  <si>
    <t>Hillman Solutions Corp</t>
  </si>
  <si>
    <t>431636109</t>
  </si>
  <si>
    <t>BNT8W21</t>
  </si>
  <si>
    <t>COUR UN Equity</t>
  </si>
  <si>
    <t>Coursera Inc</t>
  </si>
  <si>
    <t>22266M104</t>
  </si>
  <si>
    <t>BNSNZL7</t>
  </si>
  <si>
    <t>AXL UN Equity</t>
  </si>
  <si>
    <t>American Axle &amp; Manufacturing</t>
  </si>
  <si>
    <t>024061103</t>
  </si>
  <si>
    <t>2382416</t>
  </si>
  <si>
    <t>KREF UN Equity</t>
  </si>
  <si>
    <t>KKR Real Estate Finance Trust</t>
  </si>
  <si>
    <t>48251K100</t>
  </si>
  <si>
    <t>BF0YMC2</t>
  </si>
  <si>
    <t>EGBN UR Equity</t>
  </si>
  <si>
    <t>Eagle Bancorp Inc</t>
  </si>
  <si>
    <t>268948106</t>
  </si>
  <si>
    <t>2648055</t>
  </si>
  <si>
    <t>GALT UR Equity</t>
  </si>
  <si>
    <t>PBF UN Equity</t>
  </si>
  <si>
    <t>PBF Energy Inc</t>
  </si>
  <si>
    <t>69318G106</t>
  </si>
  <si>
    <t>B7F4TJ7</t>
  </si>
  <si>
    <t>HTBK UW Equity</t>
  </si>
  <si>
    <t>Heritage Commerce Corp</t>
  </si>
  <si>
    <t>426927109</t>
  </si>
  <si>
    <t>2503916</t>
  </si>
  <si>
    <t>RBCAA UW Equity</t>
  </si>
  <si>
    <t>Republic Bancorp Inc/KY</t>
  </si>
  <si>
    <t>760281204</t>
  </si>
  <si>
    <t>2277114</t>
  </si>
  <si>
    <t>VRDN UR Equity</t>
  </si>
  <si>
    <t>VMEO UW Equity</t>
  </si>
  <si>
    <t>Vimeo Inc</t>
  </si>
  <si>
    <t>92719V100</t>
  </si>
  <si>
    <t>BNDYF15</t>
  </si>
  <si>
    <t>TWI UN Equity</t>
  </si>
  <si>
    <t>Titan International Inc</t>
  </si>
  <si>
    <t>88830M102</t>
  </si>
  <si>
    <t>2890265</t>
  </si>
  <si>
    <t>ALMS UW Equity</t>
  </si>
  <si>
    <t>FBRT UN Equity</t>
  </si>
  <si>
    <t>Franklin BSP Realty Trust Inc</t>
  </si>
  <si>
    <t>35243J101</t>
  </si>
  <si>
    <t>BN14T59</t>
  </si>
  <si>
    <t>ATLC UW Equity</t>
  </si>
  <si>
    <t>Atlanticus Holdings Corp</t>
  </si>
  <si>
    <t>04914Y102</t>
  </si>
  <si>
    <t>B9B9F36</t>
  </si>
  <si>
    <t>ALX UN Equity</t>
  </si>
  <si>
    <t>Alexander's Inc</t>
  </si>
  <si>
    <t>014752109</t>
  </si>
  <si>
    <t>2014021</t>
  </si>
  <si>
    <t>NATL UN Equity</t>
  </si>
  <si>
    <t>NCR Atleos Corp</t>
  </si>
  <si>
    <t>63001N106</t>
  </si>
  <si>
    <t>BRRD6G8</t>
  </si>
  <si>
    <t>SHAK UN Equity</t>
  </si>
  <si>
    <t>Shake Shack Inc</t>
  </si>
  <si>
    <t>819047101</t>
  </si>
  <si>
    <t>BV0LCR0</t>
  </si>
  <si>
    <t>WK UN Equity</t>
  </si>
  <si>
    <t>Workiva Inc</t>
  </si>
  <si>
    <t>98139A105</t>
  </si>
  <si>
    <t>BSS6HY8</t>
  </si>
  <si>
    <t>RCUS UN Equity</t>
  </si>
  <si>
    <t>SES UN Equity</t>
  </si>
  <si>
    <t>SES AI Corp</t>
  </si>
  <si>
    <t>78397Q109</t>
  </si>
  <si>
    <t>BPW6T70</t>
  </si>
  <si>
    <t>ENR UN Equity</t>
  </si>
  <si>
    <t>Energizer Holdings Inc</t>
  </si>
  <si>
    <t>29272W109</t>
  </si>
  <si>
    <t>BYZFPN5</t>
  </si>
  <si>
    <t>AMPL UR Equity</t>
  </si>
  <si>
    <t>Amplitude Inc</t>
  </si>
  <si>
    <t>03213A104</t>
  </si>
  <si>
    <t>BMV1Z44</t>
  </si>
  <si>
    <t>CABO UN Equity</t>
  </si>
  <si>
    <t>Cable One Inc</t>
  </si>
  <si>
    <t>12685J105</t>
  </si>
  <si>
    <t>BZ07DS4</t>
  </si>
  <si>
    <t>JOBY UN Equity</t>
  </si>
  <si>
    <t>Joby Aviation Inc</t>
  </si>
  <si>
    <t>BMCRLL0</t>
  </si>
  <si>
    <t>PVBC UR Equity</t>
  </si>
  <si>
    <t>Provident Bancorp Inc</t>
  </si>
  <si>
    <t>74383L105</t>
  </si>
  <si>
    <t>BJM0H98</t>
  </si>
  <si>
    <t>BBW UN Equity</t>
  </si>
  <si>
    <t>Build-A-Bear Workshop Inc</t>
  </si>
  <si>
    <t>120076104</t>
  </si>
  <si>
    <t>B034L50</t>
  </si>
  <si>
    <t>VC UW Equity</t>
  </si>
  <si>
    <t>Visteon Corp</t>
  </si>
  <si>
    <t>92839U206</t>
  </si>
  <si>
    <t>B4N0JJ6</t>
  </si>
  <si>
    <t>QUAD UN Equity</t>
  </si>
  <si>
    <t>Quad/Graphics Inc</t>
  </si>
  <si>
    <t>747301109</t>
  </si>
  <si>
    <t>B3YM983</t>
  </si>
  <si>
    <t>GLSI UR Equity</t>
  </si>
  <si>
    <t>DFH UN Equity</t>
  </si>
  <si>
    <t>Dream Finders Homes Inc</t>
  </si>
  <si>
    <t>26154D100</t>
  </si>
  <si>
    <t>BMFZ3F9</t>
  </si>
  <si>
    <t>PDLB UQ Equity</t>
  </si>
  <si>
    <t>Ponce Financial Group Inc</t>
  </si>
  <si>
    <t>732344106</t>
  </si>
  <si>
    <t>BMF8HX4</t>
  </si>
  <si>
    <t>GDEN UQ Equity</t>
  </si>
  <si>
    <t>Golden Entertainment Inc</t>
  </si>
  <si>
    <t>381013101</t>
  </si>
  <si>
    <t>BYNH8R8</t>
  </si>
  <si>
    <t>CFFN UW Equity</t>
  </si>
  <si>
    <t>Capitol Federal Financial Inc</t>
  </si>
  <si>
    <t>14057J101</t>
  </si>
  <si>
    <t>B3KWJV0</t>
  </si>
  <si>
    <t>NVEE UW Equity</t>
  </si>
  <si>
    <t>NV5 Global Inc</t>
  </si>
  <si>
    <t>62945V109</t>
  </si>
  <si>
    <t>BF5ZVB2</t>
  </si>
  <si>
    <t>EXTR UW Equity</t>
  </si>
  <si>
    <t>Extreme Networks Inc</t>
  </si>
  <si>
    <t>30226D106</t>
  </si>
  <si>
    <t>2407052</t>
  </si>
  <si>
    <t>ADNT UN Equity</t>
  </si>
  <si>
    <t>Adient PLC</t>
  </si>
  <si>
    <t>BD845X2</t>
  </si>
  <si>
    <t>ATRO UW Equity</t>
  </si>
  <si>
    <t>Astronics Corp</t>
  </si>
  <si>
    <t>046433108</t>
  </si>
  <si>
    <t>2060518</t>
  </si>
  <si>
    <t>AISP UQ Equity</t>
  </si>
  <si>
    <t>Airship AI Holdings Inc</t>
  </si>
  <si>
    <t>008940108</t>
  </si>
  <si>
    <t>BSKPBC9</t>
  </si>
  <si>
    <t>VSCO UN Equity</t>
  </si>
  <si>
    <t>Victoria's Secret &amp; Co</t>
  </si>
  <si>
    <t>926400102</t>
  </si>
  <si>
    <t>BNNTGH3</t>
  </si>
  <si>
    <t>KALV UQ Equity</t>
  </si>
  <si>
    <t>KN UN Equity</t>
  </si>
  <si>
    <t>Knowles Corp</t>
  </si>
  <si>
    <t>49926D109</t>
  </si>
  <si>
    <t>BJTD9L6</t>
  </si>
  <si>
    <t>SSRM UW Equity</t>
  </si>
  <si>
    <t>SSR Mining Inc</t>
  </si>
  <si>
    <t>784730103</t>
  </si>
  <si>
    <t>BF7MQ72</t>
  </si>
  <si>
    <t>EVRI UN Equity</t>
  </si>
  <si>
    <t>Everi Holdings Inc</t>
  </si>
  <si>
    <t>30034T103</t>
  </si>
  <si>
    <t>BYV34V4</t>
  </si>
  <si>
    <t>LEU UA Equity</t>
  </si>
  <si>
    <t>Centrus Energy Corp</t>
  </si>
  <si>
    <t>15643U104</t>
  </si>
  <si>
    <t>BQXKDH6</t>
  </si>
  <si>
    <t>MNMD UW Equity</t>
  </si>
  <si>
    <t>FRSH UW Equity</t>
  </si>
  <si>
    <t>Freshworks Inc</t>
  </si>
  <si>
    <t>358054104</t>
  </si>
  <si>
    <t>BPF0BB7</t>
  </si>
  <si>
    <t>ORC UN Equity</t>
  </si>
  <si>
    <t>Orchid Island Capital Inc</t>
  </si>
  <si>
    <t>68571X301</t>
  </si>
  <si>
    <t>BMYSHK2</t>
  </si>
  <si>
    <t>CDT UQ Equity</t>
  </si>
  <si>
    <t>ARTV UQ Equity</t>
  </si>
  <si>
    <t>ARDX UQ Equity</t>
  </si>
  <si>
    <t>VRNS UW Equity</t>
  </si>
  <si>
    <t>Varonis Systems Inc</t>
  </si>
  <si>
    <t>922280102</t>
  </si>
  <si>
    <t>BJZ2ZR5</t>
  </si>
  <si>
    <t>BL UW Equity</t>
  </si>
  <si>
    <t>BlackLine Inc</t>
  </si>
  <si>
    <t>09239B109</t>
  </si>
  <si>
    <t>BD3WZS6</t>
  </si>
  <si>
    <t>FISI UW Equity</t>
  </si>
  <si>
    <t>Financial Institutions Inc</t>
  </si>
  <si>
    <t>317585404</t>
  </si>
  <si>
    <t>2596949</t>
  </si>
  <si>
    <t>RGTI UR Equity</t>
  </si>
  <si>
    <t>Rigetti Computing Inc</t>
  </si>
  <si>
    <t>76655K103</t>
  </si>
  <si>
    <t>BN45WL6</t>
  </si>
  <si>
    <t>XPER UN Equity</t>
  </si>
  <si>
    <t>Xperi Inc</t>
  </si>
  <si>
    <t>98423J101</t>
  </si>
  <si>
    <t>BQV3RS6</t>
  </si>
  <si>
    <t>SFST UQ Equity</t>
  </si>
  <si>
    <t>Southern First Bancshares Inc</t>
  </si>
  <si>
    <t>842873101</t>
  </si>
  <si>
    <t>2508030</t>
  </si>
  <si>
    <t>EFC UN Equity</t>
  </si>
  <si>
    <t>Ellington Financial Inc</t>
  </si>
  <si>
    <t>28852N109</t>
  </si>
  <si>
    <t>BJ7MB31</t>
  </si>
  <si>
    <t>ASIX UN Equity</t>
  </si>
  <si>
    <t>AdvanSix Inc</t>
  </si>
  <si>
    <t>00773T101</t>
  </si>
  <si>
    <t>BYMMZL7</t>
  </si>
  <si>
    <t>DFIN UN Equity</t>
  </si>
  <si>
    <t>Donnelley Financial Solutions</t>
  </si>
  <si>
    <t>25787G100</t>
  </si>
  <si>
    <t>BYND5T7</t>
  </si>
  <si>
    <t>IMMR UW Equity</t>
  </si>
  <si>
    <t>Immersion Corp</t>
  </si>
  <si>
    <t>452521107</t>
  </si>
  <si>
    <t>2517854</t>
  </si>
  <si>
    <t>GT UW Equity</t>
  </si>
  <si>
    <t>Goodyear Tire &amp; Rubber Co/The</t>
  </si>
  <si>
    <t>382550101</t>
  </si>
  <si>
    <t>2378200</t>
  </si>
  <si>
    <t>JELD UN Equity</t>
  </si>
  <si>
    <t>JELD-WEN Holding Inc</t>
  </si>
  <si>
    <t>47580P103</t>
  </si>
  <si>
    <t>BYM4WL2</t>
  </si>
  <si>
    <t>MOFG UW Equity</t>
  </si>
  <si>
    <t>MidWestOne Financial Group Inc</t>
  </si>
  <si>
    <t>598511103</t>
  </si>
  <si>
    <t>2987178</t>
  </si>
  <si>
    <t>HSTM UW Equity</t>
  </si>
  <si>
    <t>KTOS UW Equity</t>
  </si>
  <si>
    <t>Kratos Defense &amp; Security Solu</t>
  </si>
  <si>
    <t>50077B207</t>
  </si>
  <si>
    <t>2512149</t>
  </si>
  <si>
    <t>PLUG UR Equity</t>
  </si>
  <si>
    <t>Plug Power Inc</t>
  </si>
  <si>
    <t>72919P202</t>
  </si>
  <si>
    <t>2508386</t>
  </si>
  <si>
    <t>CUBI UN Equity</t>
  </si>
  <si>
    <t>Customers Bancorp Inc</t>
  </si>
  <si>
    <t>23204G100</t>
  </si>
  <si>
    <t>B6XHXY4</t>
  </si>
  <si>
    <t>NIC UN Equity</t>
  </si>
  <si>
    <t>Nicolet Bankshares Inc</t>
  </si>
  <si>
    <t>65406E102</t>
  </si>
  <si>
    <t>2012865</t>
  </si>
  <si>
    <t>ASTH UR Equity</t>
  </si>
  <si>
    <t>AKA UN Equity</t>
  </si>
  <si>
    <t>aka Brands Holding Corp</t>
  </si>
  <si>
    <t>00152K200</t>
  </si>
  <si>
    <t>BKPJGF8</t>
  </si>
  <si>
    <t>SGHC UN Equity</t>
  </si>
  <si>
    <t>Super Group SGHC Ltd</t>
  </si>
  <si>
    <t>BMG42V4</t>
  </si>
  <si>
    <t>MGNI UW Equity</t>
  </si>
  <si>
    <t>Magnite Inc</t>
  </si>
  <si>
    <t>55955D100</t>
  </si>
  <si>
    <t>BLPNRR6</t>
  </si>
  <si>
    <t>BLDE UR Equity</t>
  </si>
  <si>
    <t>Blade Air Mobility Inc</t>
  </si>
  <si>
    <t>092667104</t>
  </si>
  <si>
    <t>BL9ZHM3</t>
  </si>
  <si>
    <t>CRDO UW Equity</t>
  </si>
  <si>
    <t>Credo Technology Group Holding</t>
  </si>
  <si>
    <t>BLD13F2</t>
  </si>
  <si>
    <t>PSTL UN Equity</t>
  </si>
  <si>
    <t>Postal Realty Trust Inc</t>
  </si>
  <si>
    <t>73757R102</t>
  </si>
  <si>
    <t>BKBS530</t>
  </si>
  <si>
    <t>AGEN UR Equity</t>
  </si>
  <si>
    <t>SANA UW Equity</t>
  </si>
  <si>
    <t>WTI UN Equity</t>
  </si>
  <si>
    <t>W&amp;T Offshore Inc</t>
  </si>
  <si>
    <t>92922P106</t>
  </si>
  <si>
    <t>B01Z7M4</t>
  </si>
  <si>
    <t>ABG UN Equity</t>
  </si>
  <si>
    <t>Asbury Automotive Group Inc</t>
  </si>
  <si>
    <t>043436104</t>
  </si>
  <si>
    <t>2855855</t>
  </si>
  <si>
    <t>XERS UW Equity</t>
  </si>
  <si>
    <t>APGE UQ Equity</t>
  </si>
  <si>
    <t>LGIH UW Equity</t>
  </si>
  <si>
    <t>LGI Homes Inc</t>
  </si>
  <si>
    <t>50187T106</t>
  </si>
  <si>
    <t>BG3G1B4</t>
  </si>
  <si>
    <t>DEA UN Equity</t>
  </si>
  <si>
    <t>Easterly Government Properties</t>
  </si>
  <si>
    <t>27616P103</t>
  </si>
  <si>
    <t>BVSS693</t>
  </si>
  <si>
    <t>THRD UQ Equity</t>
  </si>
  <si>
    <t>AHR UN Equity</t>
  </si>
  <si>
    <t>American Healthcare REIT Inc</t>
  </si>
  <si>
    <t>398182303</t>
  </si>
  <si>
    <t>BQWNKQ4</t>
  </si>
  <si>
    <t>EWCZ UW Equity</t>
  </si>
  <si>
    <t>European Wax Center Inc</t>
  </si>
  <si>
    <t>29882P106</t>
  </si>
  <si>
    <t>BKVK9N4</t>
  </si>
  <si>
    <t>EGAN UR Equity</t>
  </si>
  <si>
    <t>eGain Corp</t>
  </si>
  <si>
    <t>28225C806</t>
  </si>
  <si>
    <t>2260523</t>
  </si>
  <si>
    <t>STKS UR Equity</t>
  </si>
  <si>
    <t>ONE Group Hospitality Inc/The</t>
  </si>
  <si>
    <t>88338K103</t>
  </si>
  <si>
    <t>BNKH4B0</t>
  </si>
  <si>
    <t>FORM UW Equity</t>
  </si>
  <si>
    <t>FormFactor Inc</t>
  </si>
  <si>
    <t>346375108</t>
  </si>
  <si>
    <t>2891826</t>
  </si>
  <si>
    <t>AXSM UQ Equity</t>
  </si>
  <si>
    <t>USLM UW Equity</t>
  </si>
  <si>
    <t>United States Lime &amp; Minerals</t>
  </si>
  <si>
    <t>911922102</t>
  </si>
  <si>
    <t>2724115</t>
  </si>
  <si>
    <t>AFCG UQ Equity</t>
  </si>
  <si>
    <t>00109K105</t>
  </si>
  <si>
    <t>BMPRJ46</t>
  </si>
  <si>
    <t>RILY UQ Equity</t>
  </si>
  <si>
    <t>B Riley Financial Inc</t>
  </si>
  <si>
    <t>05580M108</t>
  </si>
  <si>
    <t>BSKS2D6</t>
  </si>
  <si>
    <t>KLG UN Equity</t>
  </si>
  <si>
    <t>WK Kellogg Co</t>
  </si>
  <si>
    <t>92942W107</t>
  </si>
  <si>
    <t>BNNJC42</t>
  </si>
  <si>
    <t>WD UN Equity</t>
  </si>
  <si>
    <t>Walker &amp; Dunlop Inc</t>
  </si>
  <si>
    <t>93148P102</t>
  </si>
  <si>
    <t>B4TZV44</t>
  </si>
  <si>
    <t>BCPC UW Equity</t>
  </si>
  <si>
    <t>Balchem Corp</t>
  </si>
  <si>
    <t>057665200</t>
  </si>
  <si>
    <t>2072074</t>
  </si>
  <si>
    <t>AAOI UQ Equity</t>
  </si>
  <si>
    <t>Applied Optoelectronics Inc</t>
  </si>
  <si>
    <t>03823U102</t>
  </si>
  <si>
    <t>BDW0D09</t>
  </si>
  <si>
    <t>AEYE UR Equity</t>
  </si>
  <si>
    <t>AudioEye Inc</t>
  </si>
  <si>
    <t>050734201</t>
  </si>
  <si>
    <t>BD6JFC8</t>
  </si>
  <si>
    <t>VTS UN Equity</t>
  </si>
  <si>
    <t>Vitesse Energy Inc</t>
  </si>
  <si>
    <t>92852X103</t>
  </si>
  <si>
    <t>BMBX3P7</t>
  </si>
  <si>
    <t>HLVX UW Equity</t>
  </si>
  <si>
    <t>EFSC UW Equity</t>
  </si>
  <si>
    <t>Enterprise Financial Services</t>
  </si>
  <si>
    <t>293712105</t>
  </si>
  <si>
    <t>2768889</t>
  </si>
  <si>
    <t>TPB UN Equity</t>
  </si>
  <si>
    <t>Turning Point Brands Inc</t>
  </si>
  <si>
    <t>90041L105</t>
  </si>
  <si>
    <t>BYQ7X92</t>
  </si>
  <si>
    <t>NMRK UW Equity</t>
  </si>
  <si>
    <t>Newmark Group Inc</t>
  </si>
  <si>
    <t>65158N102</t>
  </si>
  <si>
    <t>BF1Q6P8</t>
  </si>
  <si>
    <t>OBT UR Equity</t>
  </si>
  <si>
    <t>Orange County Bancorp Inc</t>
  </si>
  <si>
    <t>68417L107</t>
  </si>
  <si>
    <t>B02VKG6</t>
  </si>
  <si>
    <t>MGY UN Equity</t>
  </si>
  <si>
    <t>Magnolia Oil &amp; Gas Corp</t>
  </si>
  <si>
    <t>559663109</t>
  </si>
  <si>
    <t>BF2GC59</t>
  </si>
  <si>
    <t>WT UN Equity</t>
  </si>
  <si>
    <t>WisdomTree Inc</t>
  </si>
  <si>
    <t>97717P104</t>
  </si>
  <si>
    <t>2476513</t>
  </si>
  <si>
    <t>VVX UN Equity</t>
  </si>
  <si>
    <t>V2X Inc</t>
  </si>
  <si>
    <t>92242T101</t>
  </si>
  <si>
    <t>BQS2V17</t>
  </si>
  <si>
    <t>CRGX UW Equity</t>
  </si>
  <si>
    <t>ARL UN Equity</t>
  </si>
  <si>
    <t>American Realty Investors Inc</t>
  </si>
  <si>
    <t>029174109</t>
  </si>
  <si>
    <t>2615974</t>
  </si>
  <si>
    <t>ASAN UN Equity</t>
  </si>
  <si>
    <t>Asana Inc</t>
  </si>
  <si>
    <t>04342Y104</t>
  </si>
  <si>
    <t>BLFDQC4</t>
  </si>
  <si>
    <t>SWI UN Equity</t>
  </si>
  <si>
    <t>SolarWinds Corp</t>
  </si>
  <si>
    <t>83417Q204</t>
  </si>
  <si>
    <t>BMX7WP0</t>
  </si>
  <si>
    <t>DESP UN Equity</t>
  </si>
  <si>
    <t>Despegar.com Corp</t>
  </si>
  <si>
    <t>BDFS4G3</t>
  </si>
  <si>
    <t>SDRL UN Equity</t>
  </si>
  <si>
    <t>Seadrill Ltd</t>
  </si>
  <si>
    <t>BNTBRX6</t>
  </si>
  <si>
    <t>RIGL UW Equity</t>
  </si>
  <si>
    <t>AVDL UQ Equity</t>
  </si>
  <si>
    <t>GETY UN Equity</t>
  </si>
  <si>
    <t>Getty Images Holdings Inc</t>
  </si>
  <si>
    <t>374275105</t>
  </si>
  <si>
    <t>BQ3R1Y0</t>
  </si>
  <si>
    <t>LXRX UW Equity</t>
  </si>
  <si>
    <t>CELC UR Equity</t>
  </si>
  <si>
    <t>GYRE UR Equity</t>
  </si>
  <si>
    <t>OVID UW Equity</t>
  </si>
  <si>
    <t>RUSHB UW Equity</t>
  </si>
  <si>
    <t>781846308</t>
  </si>
  <si>
    <t>2966865</t>
  </si>
  <si>
    <t>OCUL UQ Equity</t>
  </si>
  <si>
    <t>LOCO UW Equity</t>
  </si>
  <si>
    <t>El Pollo Loco Holdings Inc</t>
  </si>
  <si>
    <t>268603107</t>
  </si>
  <si>
    <t>BP857F5</t>
  </si>
  <si>
    <t>LVWR UN Equity</t>
  </si>
  <si>
    <t>Livewire Group Inc</t>
  </si>
  <si>
    <t>53838J105</t>
  </si>
  <si>
    <t>BP2QPJ4</t>
  </si>
  <si>
    <t>TALK UR Equity</t>
  </si>
  <si>
    <t>BLMN UW Equity</t>
  </si>
  <si>
    <t>Bloomin' Brands Inc</t>
  </si>
  <si>
    <t>094235108</t>
  </si>
  <si>
    <t>B847RJ0</t>
  </si>
  <si>
    <t>FC UN Equity</t>
  </si>
  <si>
    <t>Franklin Covey Co</t>
  </si>
  <si>
    <t>353469109</t>
  </si>
  <si>
    <t>2352839</t>
  </si>
  <si>
    <t>BOX UN Equity</t>
  </si>
  <si>
    <t>Box Inc</t>
  </si>
  <si>
    <t>10316T104</t>
  </si>
  <si>
    <t>BVB3BV2</t>
  </si>
  <si>
    <t>PMTS UQ Equity</t>
  </si>
  <si>
    <t>CPI Card Group Inc</t>
  </si>
  <si>
    <t>12634H200</t>
  </si>
  <si>
    <t>BD9GDZ5</t>
  </si>
  <si>
    <t>ML UN Equity</t>
  </si>
  <si>
    <t>Moneylion Inc</t>
  </si>
  <si>
    <t>60938K304</t>
  </si>
  <si>
    <t>BP5HQH9</t>
  </si>
  <si>
    <t>RMBL UR Equity</t>
  </si>
  <si>
    <t>RumbleON Inc</t>
  </si>
  <si>
    <t>781386305</t>
  </si>
  <si>
    <t>BMZN2Y5</t>
  </si>
  <si>
    <t>DVAX UW Equity</t>
  </si>
  <si>
    <t>HBIO UQ Equity</t>
  </si>
  <si>
    <t>RYI UN Equity</t>
  </si>
  <si>
    <t>Ryerson Holding Corp</t>
  </si>
  <si>
    <t>783754104</t>
  </si>
  <si>
    <t>B3TPPZ6</t>
  </si>
  <si>
    <t>CBLL US Equity</t>
  </si>
  <si>
    <t>Ceribell Inc</t>
  </si>
  <si>
    <t>15678C102</t>
  </si>
  <si>
    <t>BQFN254</t>
  </si>
  <si>
    <t>251834800</t>
  </si>
  <si>
    <t>BT25MP4</t>
  </si>
  <si>
    <t>PENG UW Equity</t>
  </si>
  <si>
    <t>Penguin Solutions Inc</t>
  </si>
  <si>
    <t>Conavi Medical Corp</t>
  </si>
  <si>
    <t>90138Q306</t>
  </si>
  <si>
    <t>BRK1ZT5</t>
  </si>
  <si>
    <t>82003F200</t>
  </si>
  <si>
    <t>BRK1ZX9</t>
  </si>
  <si>
    <t>CNVI CN Equity</t>
  </si>
  <si>
    <t>205953102</t>
  </si>
  <si>
    <t>BM9XQH2</t>
  </si>
  <si>
    <t>TuHURA Biosciences Inc</t>
  </si>
  <si>
    <t>Interparfums Inc</t>
  </si>
  <si>
    <t>80303D305</t>
  </si>
  <si>
    <t>BN6LX97</t>
  </si>
  <si>
    <t>HURA US Equity</t>
  </si>
  <si>
    <t>898920103</t>
  </si>
  <si>
    <t>BSF04R5</t>
  </si>
  <si>
    <t>NAYA Biosciences Inc</t>
  </si>
  <si>
    <t>NAYA US Equity</t>
  </si>
  <si>
    <t>44984F401</t>
  </si>
  <si>
    <t>BNXJFK9</t>
  </si>
  <si>
    <t>Opus Genetics Inc</t>
  </si>
  <si>
    <t>NTBLQ US Equity</t>
  </si>
  <si>
    <t>GRTSQ US Equity</t>
  </si>
  <si>
    <t>39868T105</t>
  </si>
  <si>
    <t>BF12XF5</t>
  </si>
  <si>
    <t>HeartSciences Inc</t>
  </si>
  <si>
    <t>Advanced Flower Capital Inc</t>
  </si>
  <si>
    <t>58471K202</t>
  </si>
  <si>
    <t>BT9NBS7</t>
  </si>
  <si>
    <t>CSDX US Equity</t>
  </si>
  <si>
    <t>33852L202</t>
  </si>
  <si>
    <t>BRYQ994</t>
  </si>
  <si>
    <t>IRD US Equity</t>
  </si>
  <si>
    <t>67577R102</t>
  </si>
  <si>
    <t>BKPSQY4</t>
  </si>
  <si>
    <t>05330T205</t>
  </si>
  <si>
    <t>BSY6HQ4</t>
  </si>
  <si>
    <t>UPB US Equity</t>
  </si>
  <si>
    <t>Upstream Bio Inc</t>
  </si>
  <si>
    <t>91678A107</t>
  </si>
  <si>
    <t>BRCFFK6</t>
  </si>
  <si>
    <t>CAMP US Equity</t>
  </si>
  <si>
    <t>CAMP4 Therapeutics Corp</t>
  </si>
  <si>
    <t>13463J101</t>
  </si>
  <si>
    <t>BQFN1T1</t>
  </si>
  <si>
    <t>09075T206</t>
  </si>
  <si>
    <t>BSZ7NP7</t>
  </si>
  <si>
    <t>Grace Therapeutics Inc</t>
  </si>
  <si>
    <t>FLG UN Equity</t>
  </si>
  <si>
    <t>Flagstar Financial Inc</t>
  </si>
  <si>
    <t>GRCE US Equity</t>
  </si>
  <si>
    <t>00439U104</t>
  </si>
  <si>
    <t>BQFN0K5</t>
  </si>
  <si>
    <t>49372L209</t>
  </si>
  <si>
    <t>BRBFLQ5</t>
  </si>
  <si>
    <t>BGM Group Ltd</t>
  </si>
  <si>
    <t>AIFF US Equity</t>
  </si>
  <si>
    <t>Firefly Neuroscience Inc</t>
  </si>
  <si>
    <t>317970101</t>
  </si>
  <si>
    <t>BQ0N710</t>
  </si>
  <si>
    <t>PLRZ US Equity</t>
  </si>
  <si>
    <t>Polyrizon Ltd</t>
  </si>
  <si>
    <t>BRBFML7</t>
  </si>
  <si>
    <t>GELS US Equity</t>
  </si>
  <si>
    <t>Gelteq Ltd</t>
  </si>
  <si>
    <t>BS9C6L5</t>
  </si>
  <si>
    <t>Commvault Systems Inc</t>
  </si>
  <si>
    <t>74754R301</t>
  </si>
  <si>
    <t>BSDZD19</t>
  </si>
  <si>
    <t>Stimcell Energetics Inc</t>
  </si>
  <si>
    <t>29273B500</t>
  </si>
  <si>
    <t>BP2SJH6</t>
  </si>
  <si>
    <t>Restart Life Sciences Corp</t>
  </si>
  <si>
    <t>53630L209</t>
  </si>
  <si>
    <t>BPK4W33</t>
  </si>
  <si>
    <t>SEPN US Equity</t>
  </si>
  <si>
    <t>Septerna Inc</t>
  </si>
  <si>
    <t>81734D104</t>
  </si>
  <si>
    <t>BQNKXX2</t>
  </si>
  <si>
    <t>35952H700</t>
  </si>
  <si>
    <t>BSPS0J3</t>
  </si>
  <si>
    <t>SJW UW Equity</t>
  </si>
  <si>
    <t>PRMB UN Equity</t>
  </si>
  <si>
    <t>Primo Brands Corp</t>
  </si>
  <si>
    <t>741623102</t>
  </si>
  <si>
    <t>BNDXX18</t>
  </si>
  <si>
    <t>HYLN UA Equity</t>
  </si>
  <si>
    <t>PAMT UQ Equity</t>
  </si>
  <si>
    <t>PAMT CORP</t>
  </si>
  <si>
    <t>457637700</t>
  </si>
  <si>
    <t>BT6M4Z5</t>
  </si>
  <si>
    <t>00971M403</t>
  </si>
  <si>
    <t>BT6M4T9</t>
  </si>
  <si>
    <t>SNWV US Equity</t>
  </si>
  <si>
    <t>HSTOQ US Equity</t>
  </si>
  <si>
    <t>IZTC US Equity</t>
  </si>
  <si>
    <t>SBSI UN Equity</t>
  </si>
  <si>
    <t>67091J602</t>
  </si>
  <si>
    <t>BS1JCT4</t>
  </si>
  <si>
    <t>553745308</t>
  </si>
  <si>
    <t>BS1HRJ3</t>
  </si>
  <si>
    <t>BM9XKK3</t>
  </si>
  <si>
    <t>Channel Therapeutics Corp</t>
  </si>
  <si>
    <t>CBAN UN Equity</t>
  </si>
  <si>
    <t>SEELQ US Equity</t>
  </si>
  <si>
    <t>81577F406</t>
  </si>
  <si>
    <t>BL549Y0</t>
  </si>
  <si>
    <t>Perimeter Solutions Inc</t>
  </si>
  <si>
    <t>71385M107</t>
  </si>
  <si>
    <t>BL9XML1</t>
  </si>
  <si>
    <t>550424303</t>
  </si>
  <si>
    <t>BS88BX1</t>
  </si>
  <si>
    <t>PREDQ US Equity</t>
  </si>
  <si>
    <t>74039H102</t>
  </si>
  <si>
    <t>BYQF620</t>
  </si>
  <si>
    <t>BR4XY90</t>
  </si>
  <si>
    <t>17322U306</t>
  </si>
  <si>
    <t>BS0CHF5</t>
  </si>
  <si>
    <t>74449F209</t>
  </si>
  <si>
    <t>BS0CH88</t>
  </si>
  <si>
    <t>MetaVia Inc</t>
  </si>
  <si>
    <t>BTDNCJ1</t>
  </si>
  <si>
    <t>id_cins().value</t>
  </si>
  <si>
    <t>G6674U108</t>
  </si>
  <si>
    <t>G7S53R104</t>
  </si>
  <si>
    <t>G8807B106</t>
  </si>
  <si>
    <t>M96088105</t>
  </si>
  <si>
    <t>G52694109</t>
  </si>
  <si>
    <t>H0036K147</t>
  </si>
  <si>
    <t>G1110E107</t>
  </si>
  <si>
    <t>G59665102</t>
  </si>
  <si>
    <t>Y95308105</t>
  </si>
  <si>
    <t>G72800108</t>
  </si>
  <si>
    <t>G9TY5A101</t>
  </si>
  <si>
    <t>G4705A100</t>
  </si>
  <si>
    <t>G5960L103</t>
  </si>
  <si>
    <t>P73398102</t>
  </si>
  <si>
    <t>G97822103</t>
  </si>
  <si>
    <t>M2014L125</t>
  </si>
  <si>
    <t>G50871105</t>
  </si>
  <si>
    <t>P8696W104</t>
  </si>
  <si>
    <t>Y7687L101</t>
  </si>
  <si>
    <t>G29687103</t>
  </si>
  <si>
    <t>G88615102</t>
  </si>
  <si>
    <t>M82183209</t>
  </si>
  <si>
    <t>G39342103</t>
  </si>
  <si>
    <t>Y7682J101</t>
  </si>
  <si>
    <t>G7185A136</t>
  </si>
  <si>
    <t>M25722105</t>
  </si>
  <si>
    <t>M6146W115</t>
  </si>
  <si>
    <t>Y7695W115</t>
  </si>
  <si>
    <t>G01767105</t>
  </si>
  <si>
    <t>B5950S113</t>
  </si>
  <si>
    <t>T9224W109</t>
  </si>
  <si>
    <t>M2559R107</t>
  </si>
  <si>
    <t>M53071136</t>
  </si>
  <si>
    <t>N90064101</t>
  </si>
  <si>
    <t>M47238148</t>
  </si>
  <si>
    <t>M4130Y106</t>
  </si>
  <si>
    <t>M68830112</t>
  </si>
  <si>
    <t>G55598109</t>
  </si>
  <si>
    <t>Q73622104</t>
  </si>
  <si>
    <t>M7517R107</t>
  </si>
  <si>
    <t>N01045207</t>
  </si>
  <si>
    <t>M8216Q119</t>
  </si>
  <si>
    <t>N71542109</t>
  </si>
  <si>
    <t>M8001Q126</t>
  </si>
  <si>
    <t>G4836Q115</t>
  </si>
  <si>
    <t>M2R51X116</t>
  </si>
  <si>
    <t>M2361E179</t>
  </si>
  <si>
    <t>G5509L101</t>
  </si>
  <si>
    <t>N5749R100</t>
  </si>
  <si>
    <t>MTVA US Equity</t>
  </si>
  <si>
    <t>64132R404</t>
  </si>
  <si>
    <t>BRDZ594</t>
  </si>
  <si>
    <t>H00263105</t>
  </si>
  <si>
    <t>H17182108</t>
  </si>
  <si>
    <t>G10830100</t>
  </si>
  <si>
    <t>G63637139</t>
  </si>
  <si>
    <t>M8694L103</t>
  </si>
  <si>
    <t>G39462141</t>
  </si>
  <si>
    <t>N44821101</t>
  </si>
  <si>
    <t>M40527109</t>
  </si>
  <si>
    <t>G2161P140</t>
  </si>
  <si>
    <t>G6333L200</t>
  </si>
  <si>
    <t>G31249108</t>
  </si>
  <si>
    <t>G6096M122</t>
  </si>
  <si>
    <t>G6S41R101</t>
  </si>
  <si>
    <t>G8473T100</t>
  </si>
  <si>
    <t>M5425M103</t>
  </si>
  <si>
    <t>N1976T109</t>
  </si>
  <si>
    <t>G7307E123</t>
  </si>
  <si>
    <t>H57830137</t>
  </si>
  <si>
    <t>G7709Q104</t>
  </si>
  <si>
    <t>M77798144</t>
  </si>
  <si>
    <t>N44445109</t>
  </si>
  <si>
    <t>N2451R105</t>
  </si>
  <si>
    <t>M70700105</t>
  </si>
  <si>
    <t>G9442G120</t>
  </si>
  <si>
    <t>N69605108</t>
  </si>
  <si>
    <t>N51517105</t>
  </si>
  <si>
    <t>M53637100</t>
  </si>
  <si>
    <t>G9845F208</t>
  </si>
  <si>
    <t>G7487R100</t>
  </si>
  <si>
    <t>N0731H103</t>
  </si>
  <si>
    <t>G3855L106</t>
  </si>
  <si>
    <t>G3142E105</t>
  </si>
  <si>
    <t>H82027105</t>
  </si>
  <si>
    <t>G5966G108</t>
  </si>
  <si>
    <t>M82618113</t>
  </si>
  <si>
    <t>G5140V112</t>
  </si>
  <si>
    <t>G76279101</t>
  </si>
  <si>
    <t>G07031209</t>
  </si>
  <si>
    <t>G88912103</t>
  </si>
  <si>
    <t>M74240108</t>
  </si>
  <si>
    <t>G72245122</t>
  </si>
  <si>
    <t>M53051104</t>
  </si>
  <si>
    <t>G6724L116</t>
  </si>
  <si>
    <t>M0740A108</t>
  </si>
  <si>
    <t>G9495L125</t>
  </si>
  <si>
    <t>L01800108</t>
  </si>
  <si>
    <t>M79549107</t>
  </si>
  <si>
    <t>Q3978B109</t>
  </si>
  <si>
    <t>Y1001J108</t>
  </si>
  <si>
    <t>Y1R80M106</t>
  </si>
  <si>
    <t>N62509109</t>
  </si>
  <si>
    <t>G0411D123</t>
  </si>
  <si>
    <t>H5870P102</t>
  </si>
  <si>
    <t>G31363115</t>
  </si>
  <si>
    <t>G1933S101</t>
  </si>
  <si>
    <t>G9767H109</t>
  </si>
  <si>
    <t>G0705H103</t>
  </si>
  <si>
    <t>G71399102</t>
  </si>
  <si>
    <t>G63365103</t>
  </si>
  <si>
    <t>G88724102</t>
  </si>
  <si>
    <t>L0415A103</t>
  </si>
  <si>
    <t>G62264109</t>
  </si>
  <si>
    <t>G1281K122</t>
  </si>
  <si>
    <t>G3066B111</t>
  </si>
  <si>
    <t>G3075P101</t>
  </si>
  <si>
    <t>Y2106R110</t>
  </si>
  <si>
    <t>G2717B108</t>
  </si>
  <si>
    <t>G27907107</t>
  </si>
  <si>
    <t>G6359F137</t>
  </si>
  <si>
    <t>G60409110</t>
  </si>
  <si>
    <t>G4690M101</t>
  </si>
  <si>
    <t>G5005R107</t>
  </si>
  <si>
    <t>X3R81D102</t>
  </si>
  <si>
    <t>N3144W105</t>
  </si>
  <si>
    <t>G9001E102</t>
  </si>
  <si>
    <t>G9001E128</t>
  </si>
  <si>
    <t>G3398L118</t>
  </si>
  <si>
    <t>G4660A103</t>
  </si>
  <si>
    <t>G4412G101</t>
  </si>
  <si>
    <t>G5698W116</t>
  </si>
  <si>
    <t>G6891L105</t>
  </si>
  <si>
    <t>G3730V105</t>
  </si>
  <si>
    <t>G037AX101</t>
  </si>
  <si>
    <t>G7T16G103</t>
  </si>
  <si>
    <t>Y41053102</t>
  </si>
  <si>
    <t>G17977110</t>
  </si>
  <si>
    <t>G3323L100</t>
  </si>
  <si>
    <t>G87264100</t>
  </si>
  <si>
    <t>G9087Q102</t>
  </si>
  <si>
    <t>G2143T103</t>
  </si>
  <si>
    <t>G1144A105</t>
  </si>
  <si>
    <t>G85158106</t>
  </si>
  <si>
    <t>Y2685T131</t>
  </si>
  <si>
    <t>G98196101</t>
  </si>
  <si>
    <t>G9460G101</t>
  </si>
  <si>
    <t>G1757E113</t>
  </si>
  <si>
    <t>H8817H100</t>
  </si>
  <si>
    <t>G7606H108</t>
  </si>
  <si>
    <t>G4095J109</t>
  </si>
  <si>
    <t>G2891G204</t>
  </si>
  <si>
    <t>G8192H106</t>
  </si>
  <si>
    <t>G8232Y101</t>
  </si>
  <si>
    <t>G1466R173</t>
  </si>
  <si>
    <t>G38644103</t>
  </si>
  <si>
    <t>G68707101</t>
  </si>
  <si>
    <t>G3198U102</t>
  </si>
  <si>
    <t>Y0207T100</t>
  </si>
  <si>
    <t>QRTEB UR Equity</t>
  </si>
  <si>
    <t>G4863A108</t>
  </si>
  <si>
    <t>G4388N106</t>
  </si>
  <si>
    <t>G3R239101</t>
  </si>
  <si>
    <t>G9503X103</t>
  </si>
  <si>
    <t>P16994132</t>
  </si>
  <si>
    <t>F21107101</t>
  </si>
  <si>
    <t>G81276100</t>
  </si>
  <si>
    <t>G8726T105</t>
  </si>
  <si>
    <t>G65773106</t>
  </si>
  <si>
    <t>G69451105</t>
  </si>
  <si>
    <t>G7738W106</t>
  </si>
  <si>
    <t>M7S64L123</t>
  </si>
  <si>
    <t>Y2065G121</t>
  </si>
  <si>
    <t>G8726X106</t>
  </si>
  <si>
    <t>Y7388L103</t>
  </si>
  <si>
    <t>Y7542C130</t>
  </si>
  <si>
    <t>Y1771G102</t>
  </si>
  <si>
    <t>G65431127</t>
  </si>
  <si>
    <t>G6964L206</t>
  </si>
  <si>
    <t>G0772R208</t>
  </si>
  <si>
    <t>L02235106</t>
  </si>
  <si>
    <t>G0508H110</t>
  </si>
  <si>
    <t>G2662B103</t>
  </si>
  <si>
    <t>G23773107</t>
  </si>
  <si>
    <t>G39637205</t>
  </si>
  <si>
    <t>G35947202</t>
  </si>
  <si>
    <t>P73684113</t>
  </si>
  <si>
    <t>G9456A100</t>
  </si>
  <si>
    <t>G5568L109</t>
  </si>
  <si>
    <t>G6331P104</t>
  </si>
  <si>
    <t>G36738105</t>
  </si>
  <si>
    <t>G42706104</t>
  </si>
  <si>
    <t>G5753U112</t>
  </si>
  <si>
    <t>G4740B105</t>
  </si>
  <si>
    <t>M20598104</t>
  </si>
  <si>
    <t>L72967109</t>
  </si>
  <si>
    <t>G65163100</t>
  </si>
  <si>
    <t>G0084W101</t>
  </si>
  <si>
    <t>G8588X103</t>
  </si>
  <si>
    <t>G25457105</t>
  </si>
  <si>
    <t>G27358103</t>
  </si>
  <si>
    <t>G7997W102</t>
  </si>
  <si>
    <t>N5436L119</t>
  </si>
  <si>
    <t>MAC Copper Ltd</t>
  </si>
  <si>
    <t>87874R308</t>
  </si>
  <si>
    <t>BPG4DP6</t>
  </si>
  <si>
    <t>03835L405</t>
  </si>
  <si>
    <t>BPG4F05</t>
  </si>
  <si>
    <t>89357L402</t>
  </si>
  <si>
    <t>BPG4F27</t>
  </si>
  <si>
    <t>293602504</t>
  </si>
  <si>
    <t>BQT5CX4</t>
  </si>
  <si>
    <t>ESSI US Equity</t>
  </si>
  <si>
    <t>Eco Science Solutions Inc</t>
  </si>
  <si>
    <t>27888G104</t>
  </si>
  <si>
    <t>BK1Q2W2</t>
  </si>
  <si>
    <t>STME US Equity</t>
  </si>
  <si>
    <t>15115X206</t>
  </si>
  <si>
    <t>BNDXW11</t>
  </si>
  <si>
    <t>MSPR US Equity</t>
  </si>
  <si>
    <t>SONX US Equity</t>
  </si>
  <si>
    <t>835431206</t>
  </si>
  <si>
    <t>BSPS0Q0</t>
  </si>
  <si>
    <t>TTGT UW Equity</t>
  </si>
  <si>
    <t>YTENQ US Equity</t>
  </si>
  <si>
    <t>98585K854</t>
  </si>
  <si>
    <t>BSMR253</t>
  </si>
  <si>
    <t>Performant Healthcare Inc</t>
  </si>
  <si>
    <t>09609G209</t>
  </si>
  <si>
    <t>BRBYKP4</t>
  </si>
  <si>
    <t>JUNS US Equity</t>
  </si>
  <si>
    <t>Jupiter Neurosciences Inc</t>
  </si>
  <si>
    <t>48208B203</t>
  </si>
  <si>
    <t>BN6RDR3</t>
  </si>
  <si>
    <t>ABP US Equity</t>
  </si>
  <si>
    <t>Abpro Holdings Inc</t>
  </si>
  <si>
    <t>000847103</t>
  </si>
  <si>
    <t>BT6M4R7</t>
  </si>
  <si>
    <t>PMDI US Equity</t>
  </si>
  <si>
    <t>744375304</t>
  </si>
  <si>
    <t>BPG4F38</t>
  </si>
  <si>
    <t>Palvella Therapeutics Inc</t>
  </si>
  <si>
    <t>697947109</t>
  </si>
  <si>
    <t>BTCG280</t>
  </si>
  <si>
    <t>AVR US Equity</t>
  </si>
  <si>
    <t>Anteris Technologies Global Co</t>
  </si>
  <si>
    <t>03675P102</t>
  </si>
  <si>
    <t>BTLT1F0</t>
  </si>
  <si>
    <t>PVLA US Equity</t>
  </si>
  <si>
    <t>PHLT UW Equity</t>
  </si>
  <si>
    <t>HEAL CN Equity</t>
  </si>
  <si>
    <t>PHLT US Equity</t>
  </si>
  <si>
    <t>NPKI UN Equity</t>
  </si>
  <si>
    <t>NPK International Inc</t>
  </si>
  <si>
    <t>CYTOF US Equity</t>
  </si>
  <si>
    <t>BP0R1S0</t>
  </si>
  <si>
    <t>G0360L134</t>
  </si>
  <si>
    <t>450958301</t>
  </si>
  <si>
    <t>BT225X4</t>
  </si>
  <si>
    <t>CAMP UQ Equity</t>
  </si>
  <si>
    <t>UPB UW Equity</t>
  </si>
  <si>
    <t>SEPN UQ Equity</t>
  </si>
  <si>
    <t>BIOA UW Equity</t>
  </si>
  <si>
    <t>BCAX UQ Equity</t>
  </si>
  <si>
    <t>MBX UW Equity</t>
  </si>
  <si>
    <t>ZBIO UW Equity</t>
  </si>
  <si>
    <t>KLC UN Equity</t>
  </si>
  <si>
    <t>KinderCare Learning Cos Inc</t>
  </si>
  <si>
    <t>49456W105</t>
  </si>
  <si>
    <t>BM8J3J2</t>
  </si>
  <si>
    <t>FVR UN Equity</t>
  </si>
  <si>
    <t>FrontView REIT Inc</t>
  </si>
  <si>
    <t>35922N100</t>
  </si>
  <si>
    <t>BRC3PL1</t>
  </si>
  <si>
    <t>OUST UW Equity</t>
  </si>
  <si>
    <t>BKV UN Equity</t>
  </si>
  <si>
    <t>BKV Corp</t>
  </si>
  <si>
    <t>05603J108</t>
  </si>
  <si>
    <t>BSRK6R7</t>
  </si>
  <si>
    <t>GRDN UN Equity</t>
  </si>
  <si>
    <t>Guardian Pharmacy Services Inc</t>
  </si>
  <si>
    <t>40145W101</t>
  </si>
  <si>
    <t>BS3D8K7</t>
  </si>
  <si>
    <t>CBLL UW Equity</t>
  </si>
  <si>
    <t>NEUP US Equity</t>
  </si>
  <si>
    <t>Neuphoria Therapeutics Inc</t>
  </si>
  <si>
    <t>64136E102</t>
  </si>
  <si>
    <t>BPLNH23</t>
  </si>
  <si>
    <t>Brookfield Infrastructure Corp</t>
  </si>
  <si>
    <t>11276H106</t>
  </si>
  <si>
    <t>BSPS5M1</t>
  </si>
  <si>
    <t>140755208</t>
  </si>
  <si>
    <t>BMCF437</t>
  </si>
  <si>
    <t>68404V209</t>
  </si>
  <si>
    <t>BMCF459</t>
  </si>
  <si>
    <t>19207A207</t>
  </si>
  <si>
    <t>BMCF448</t>
  </si>
  <si>
    <t>BIORQ US Equity</t>
  </si>
  <si>
    <t>74319F404</t>
  </si>
  <si>
    <t>BSF04Q4</t>
  </si>
  <si>
    <t>AAMI UN Equity</t>
  </si>
  <si>
    <t>Acadian Asset Management Inc</t>
  </si>
  <si>
    <t>PRSU UN Equity</t>
  </si>
  <si>
    <t>Pursuit Attractions and Hospit</t>
  </si>
  <si>
    <t>ONC US Equity</t>
  </si>
  <si>
    <t>07725L102</t>
  </si>
  <si>
    <t>BYYWPW6</t>
  </si>
  <si>
    <t>JBTM UN Equity</t>
  </si>
  <si>
    <t>JBT Marel Corp</t>
  </si>
  <si>
    <t>MCW UW Equity</t>
  </si>
  <si>
    <t>TBCH UQ Equity</t>
  </si>
  <si>
    <t>71902K303</t>
  </si>
  <si>
    <t>BR1FFP2</t>
  </si>
  <si>
    <t>Revolution Medicines Inc</t>
  </si>
  <si>
    <t>ZYBT US Equity</t>
  </si>
  <si>
    <t>Zhengye Biotechnology Holding</t>
  </si>
  <si>
    <t>BMHDBN5</t>
  </si>
  <si>
    <t>G989MS101</t>
  </si>
  <si>
    <t>Gray Media Inc</t>
  </si>
  <si>
    <t>HASH CN Equity</t>
  </si>
  <si>
    <t>Simply Solventless Concentrate</t>
  </si>
  <si>
    <t>82888A102</t>
  </si>
  <si>
    <t>BR1G492</t>
  </si>
  <si>
    <t>Rein Therapeutics Inc</t>
  </si>
  <si>
    <t>RNTX US Equity</t>
  </si>
  <si>
    <t>00887A204</t>
  </si>
  <si>
    <t>BLKFRQ6</t>
  </si>
  <si>
    <t>29970R303</t>
  </si>
  <si>
    <t>BPCXG70</t>
  </si>
  <si>
    <t>CNR UN Equity</t>
  </si>
  <si>
    <t>Core Natural Resources Inc</t>
  </si>
  <si>
    <t>218937100</t>
  </si>
  <si>
    <t>BR1Z682</t>
  </si>
  <si>
    <t>62818Q302</t>
  </si>
  <si>
    <t>BTGTN60</t>
  </si>
  <si>
    <t>ODTCD US Equity</t>
  </si>
  <si>
    <t>676079403</t>
  </si>
  <si>
    <t>BTGTNJ3</t>
  </si>
  <si>
    <t>019818202</t>
  </si>
  <si>
    <t>BTGTN71</t>
  </si>
  <si>
    <t>FREHY US Equity</t>
  </si>
  <si>
    <t>Fresh2 Group Ltd</t>
  </si>
  <si>
    <t>03635R305</t>
  </si>
  <si>
    <t>BS6VHS9</t>
  </si>
  <si>
    <t>69007J304</t>
  </si>
  <si>
    <t>BTFK8V4</t>
  </si>
  <si>
    <t>ACOG US Equity</t>
  </si>
  <si>
    <t>Alpha Cognition Inc</t>
  </si>
  <si>
    <t>02074J501</t>
  </si>
  <si>
    <t>BSDZFJ1</t>
  </si>
  <si>
    <t>76134J206</t>
  </si>
  <si>
    <t>BSPRTY8</t>
  </si>
  <si>
    <t>20678X205</t>
  </si>
  <si>
    <t>BLD94V9</t>
  </si>
  <si>
    <t>42237K508</t>
  </si>
  <si>
    <t>BRC1634</t>
  </si>
  <si>
    <t>09075F404</t>
  </si>
  <si>
    <t>BLD94R5</t>
  </si>
  <si>
    <t>45784E304</t>
  </si>
  <si>
    <t>BLD94M0</t>
  </si>
  <si>
    <t>92731L304</t>
  </si>
  <si>
    <t>BNTGHL9</t>
  </si>
  <si>
    <t>76135L606</t>
  </si>
  <si>
    <t>BNTGHK8</t>
  </si>
  <si>
    <t>603693201</t>
  </si>
  <si>
    <t>BNTGH75</t>
  </si>
  <si>
    <t>107930208</t>
  </si>
  <si>
    <t>BNTGRF3</t>
  </si>
  <si>
    <t>29405E406</t>
  </si>
  <si>
    <t>BSRJB57</t>
  </si>
  <si>
    <t>QTIH US Equity</t>
  </si>
  <si>
    <t>746962109</t>
  </si>
  <si>
    <t>BM8K6W9</t>
  </si>
  <si>
    <t>SKYH UN Equity</t>
  </si>
  <si>
    <t>AEVA UW Equity</t>
  </si>
  <si>
    <t>PPCBD US Equity</t>
  </si>
  <si>
    <t>74346N701</t>
  </si>
  <si>
    <t>BSSGHN7</t>
  </si>
  <si>
    <t>655187300</t>
  </si>
  <si>
    <t>BSRJB80</t>
  </si>
  <si>
    <t>KNWN US Equity</t>
  </si>
  <si>
    <t>499238103</t>
  </si>
  <si>
    <t>BF50RP3</t>
  </si>
  <si>
    <t>Aibotics Inc</t>
  </si>
  <si>
    <t>30234E203</t>
  </si>
  <si>
    <t>BT9MX88</t>
  </si>
  <si>
    <t>MTSR US Equity</t>
  </si>
  <si>
    <t>Metsera Inc</t>
  </si>
  <si>
    <t>59267L107</t>
  </si>
  <si>
    <t>BSRKCK2</t>
  </si>
  <si>
    <t>LYRA UR Equity</t>
  </si>
  <si>
    <t>AIBT US Equity</t>
  </si>
  <si>
    <t>62846W107</t>
  </si>
  <si>
    <t>BMDJHT5</t>
  </si>
  <si>
    <t>45824Q705</t>
  </si>
  <si>
    <t>BPH25G4</t>
  </si>
  <si>
    <t>30053J200</t>
  </si>
  <si>
    <t>BQKXDR8</t>
  </si>
  <si>
    <t>890260839</t>
  </si>
  <si>
    <t>BQKX9X6</t>
  </si>
  <si>
    <t>PROCF US Equity</t>
  </si>
  <si>
    <t>BM9MG24</t>
  </si>
  <si>
    <t>L7756P102</t>
  </si>
  <si>
    <t>RHEP US Equity</t>
  </si>
  <si>
    <t>75903M309</t>
  </si>
  <si>
    <t>BG861L9</t>
  </si>
  <si>
    <t>Sernova Biotherapeutics Inc</t>
  </si>
  <si>
    <t>81752F106</t>
  </si>
  <si>
    <t>BRJMT20</t>
  </si>
  <si>
    <t>09075P204</t>
  </si>
  <si>
    <t>BNGH1R9</t>
  </si>
  <si>
    <t>Fluent Corp</t>
  </si>
  <si>
    <t>BSNQ1V8</t>
  </si>
  <si>
    <t>87807D608</t>
  </si>
  <si>
    <t>BLD9549</t>
  </si>
  <si>
    <t>BPJGZX1</t>
  </si>
  <si>
    <t>G0544E204</t>
  </si>
  <si>
    <t>BBNX US Equity</t>
  </si>
  <si>
    <t>Beta Bionics Inc</t>
  </si>
  <si>
    <t>08659B102</t>
  </si>
  <si>
    <t>BSPRWL6</t>
  </si>
  <si>
    <t>GSAT UW Equity</t>
  </si>
  <si>
    <t>378973507</t>
  </si>
  <si>
    <t>BRJMM32</t>
  </si>
  <si>
    <t>FNT/U CN Equity</t>
  </si>
  <si>
    <t>34380L102</t>
  </si>
  <si>
    <t>eXoZymes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</si>
</sst>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49" fontId="1" fillId="0" borderId="1" xfId="0" applyNumberFormat="1" applyFont="1" applyBorder="1" applyAlignment="1">
      <alignment horizontal="left" indent="1"/>
    </xf>
    <xf numFmtId="49" fontId="0" fillId="0" borderId="0" xfId="0" applyNumberFormat="1" applyAlignment="1">
      <alignment horizontal="left" indent="1"/>
    </xf>
    <xf numFmtId="0" fontId="1" fillId="0" borderId="1" xfId="0" applyFont="1" applyBorder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BQL|12682401206313401010</stp>
        <tr r="A1" s="6"/>
      </tp>
      <tp t="e">
        <v>#N/A</v>
        <stp/>
        <stp>BQL|17635177018835503798</stp>
        <tr r="A1" s="3"/>
      </tp>
      <tp t="e">
        <v>#N/A</v>
        <stp/>
        <stp>BQL|12851367402218069896</stp>
        <tr r="A1" s="4"/>
      </tp>
    </main>
    <main first="bofaddin.rtdserver">
      <tp t="e">
        <v>#N/A</v>
        <stp/>
        <stp>BQL|7660868627100077508</stp>
        <tr r="A1" s="2"/>
      </tp>
      <tp t="e">
        <v>#N/A</v>
        <stp/>
        <stp>BQL|8852526965428849269</stp>
        <tr r="A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C4DF-6697-48A6-BFE3-F54CC7434038}">
  <sheetPr codeName="Sheet1"/>
  <dimension ref="A1:P1562"/>
  <sheetViews>
    <sheetView showGridLines="0" zoomScale="91" zoomScaleNormal="91" workbookViewId="0">
      <selection activeCell="A2" sqref="A2"/>
    </sheetView>
  </sheetViews>
  <sheetFormatPr defaultRowHeight="14.5" x14ac:dyDescent="0.35"/>
  <cols>
    <col min="1" max="1" width="20.26953125" bestFit="1" customWidth="1"/>
    <col min="2" max="2" width="31.1796875" bestFit="1" customWidth="1"/>
    <col min="3" max="3" width="17.26953125" customWidth="1"/>
    <col min="4" max="11" width="22.1796875" style="6" customWidth="1"/>
    <col min="12" max="13" width="31.1796875" bestFit="1" customWidth="1"/>
    <col min="14" max="16" width="31.1796875" style="4" bestFit="1" customWidth="1"/>
  </cols>
  <sheetData>
    <row r="1" spans="1:16" x14ac:dyDescent="0.35">
      <c r="A1" s="2" t="str">
        <f>_xll.BQL("filter(equitiesUniv(['Active', 'Primary']), gics_sector_name == 'Health Care' and crncy == 'USD')", "name().value, crncy().value, cur_mkt_cap().value, curr_entp_val().value, px_last().value, px_open().value, pe_ratio().value, ann_total_return().value, sales_rev_turn().value, eps_growth().value, gics_sector_name().value, gics_industry_name().value, " &amp; "id_cusip().value, id_sedol1().value, id_cins().value","cols=16;rows=1546")</f>
        <v>ID</v>
      </c>
      <c r="B1" s="1" t="s">
        <v>0</v>
      </c>
      <c r="C1" s="1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1" t="s">
        <v>10</v>
      </c>
      <c r="M1" s="1" t="s">
        <v>11</v>
      </c>
      <c r="N1" s="3" t="s">
        <v>12</v>
      </c>
      <c r="O1" s="3" t="s">
        <v>13</v>
      </c>
      <c r="P1" s="3" t="s">
        <v>13080</v>
      </c>
    </row>
    <row r="2" spans="1:16" x14ac:dyDescent="0.35">
      <c r="A2" t="s">
        <v>14</v>
      </c>
      <c r="B2" t="s">
        <v>15</v>
      </c>
      <c r="C2" t="s">
        <v>16</v>
      </c>
      <c r="D2" s="6" t="e">
        <v>#N/A</v>
      </c>
      <c r="E2" s="6" t="e">
        <v>#N/A</v>
      </c>
      <c r="F2" s="6" t="e">
        <v>#N/A</v>
      </c>
      <c r="G2" s="6" t="e">
        <v>#N/A</v>
      </c>
      <c r="H2" s="6" t="e">
        <v>#N/A</v>
      </c>
      <c r="I2" s="6">
        <v>-0.9981553346015859</v>
      </c>
      <c r="J2" s="6">
        <v>0</v>
      </c>
      <c r="K2" s="6">
        <v>30.612246248435071</v>
      </c>
      <c r="L2" t="s">
        <v>17</v>
      </c>
      <c r="M2" t="s">
        <v>18</v>
      </c>
      <c r="N2" s="4" t="s">
        <v>19</v>
      </c>
      <c r="O2" s="4" t="s">
        <v>20</v>
      </c>
      <c r="P2" s="4" t="s">
        <v>233</v>
      </c>
    </row>
    <row r="3" spans="1:16" x14ac:dyDescent="0.35">
      <c r="A3" t="s">
        <v>21</v>
      </c>
      <c r="B3" t="s">
        <v>22</v>
      </c>
      <c r="C3" t="s">
        <v>16</v>
      </c>
      <c r="D3" s="6">
        <v>31223108.859999996</v>
      </c>
      <c r="E3" s="6">
        <v>31254302.859999996</v>
      </c>
      <c r="F3" s="6">
        <v>0.73</v>
      </c>
      <c r="G3" s="6">
        <v>0.73</v>
      </c>
      <c r="H3" s="6" t="e">
        <v>#N/A</v>
      </c>
      <c r="I3" s="6">
        <v>0.45820032720300774</v>
      </c>
      <c r="J3" s="6">
        <v>0</v>
      </c>
      <c r="K3" s="6">
        <v>53.727855667862187</v>
      </c>
      <c r="L3" t="s">
        <v>17</v>
      </c>
      <c r="M3" t="s">
        <v>18</v>
      </c>
      <c r="N3" s="4" t="s">
        <v>23</v>
      </c>
      <c r="O3" s="4" t="s">
        <v>24</v>
      </c>
      <c r="P3" s="4" t="s">
        <v>233</v>
      </c>
    </row>
    <row r="4" spans="1:16" x14ac:dyDescent="0.35">
      <c r="A4" t="s">
        <v>25</v>
      </c>
      <c r="B4" t="s">
        <v>26</v>
      </c>
      <c r="C4" t="s">
        <v>16</v>
      </c>
      <c r="D4" s="6">
        <v>205328677.90512085</v>
      </c>
      <c r="E4" s="6">
        <v>122634677.90512085</v>
      </c>
      <c r="F4" s="6">
        <v>60.540000915527344</v>
      </c>
      <c r="G4" s="6">
        <v>60.900001525878906</v>
      </c>
      <c r="H4" s="6">
        <v>15.284019418209377</v>
      </c>
      <c r="I4" s="6">
        <v>-0.17759242561746835</v>
      </c>
      <c r="J4" s="6">
        <v>40903000</v>
      </c>
      <c r="K4" s="6">
        <v>-13.515283842794764</v>
      </c>
      <c r="L4" t="s">
        <v>17</v>
      </c>
      <c r="M4" t="s">
        <v>27</v>
      </c>
      <c r="N4" s="4" t="s">
        <v>28</v>
      </c>
      <c r="O4" s="4" t="s">
        <v>29</v>
      </c>
      <c r="P4" s="4" t="s">
        <v>233</v>
      </c>
    </row>
    <row r="5" spans="1:16" x14ac:dyDescent="0.35">
      <c r="A5" t="s">
        <v>30</v>
      </c>
      <c r="B5" t="s">
        <v>31</v>
      </c>
      <c r="C5" t="s">
        <v>16</v>
      </c>
      <c r="D5" s="6">
        <v>93686305.140683651</v>
      </c>
      <c r="E5" s="6">
        <v>75308305.140683651</v>
      </c>
      <c r="F5" s="6">
        <v>3.5299999713897705</v>
      </c>
      <c r="G5" s="6">
        <v>3.4100000858306885</v>
      </c>
      <c r="H5" s="6" t="e">
        <v>#N/A</v>
      </c>
      <c r="I5" s="6">
        <v>1.4202489323324263</v>
      </c>
      <c r="J5" s="6">
        <v>18941000</v>
      </c>
      <c r="K5" s="6">
        <v>44.736842105263158</v>
      </c>
      <c r="L5" t="s">
        <v>17</v>
      </c>
      <c r="M5" t="s">
        <v>32</v>
      </c>
      <c r="N5" s="4" t="s">
        <v>33</v>
      </c>
      <c r="O5" s="4" t="s">
        <v>34</v>
      </c>
      <c r="P5" s="4" t="s">
        <v>233</v>
      </c>
    </row>
    <row r="6" spans="1:16" x14ac:dyDescent="0.35">
      <c r="A6" t="s">
        <v>35</v>
      </c>
      <c r="B6" t="s">
        <v>36</v>
      </c>
      <c r="C6" t="s">
        <v>16</v>
      </c>
      <c r="D6" s="6">
        <v>39348.230499999998</v>
      </c>
      <c r="E6" s="6">
        <v>2895906.2305000001</v>
      </c>
      <c r="F6" s="6" t="e">
        <v>#N/A</v>
      </c>
      <c r="G6" s="6" t="e">
        <v>#N/A</v>
      </c>
      <c r="H6" s="6" t="e">
        <v>#N/A</v>
      </c>
      <c r="I6" s="6">
        <v>-0.88069113825622924</v>
      </c>
      <c r="J6" s="6">
        <v>0</v>
      </c>
      <c r="K6" s="6">
        <v>3.9603960396039626</v>
      </c>
      <c r="L6" t="s">
        <v>17</v>
      </c>
      <c r="M6" t="s">
        <v>27</v>
      </c>
      <c r="N6" s="4" t="s">
        <v>37</v>
      </c>
      <c r="O6" s="4" t="s">
        <v>38</v>
      </c>
      <c r="P6" s="4" t="s">
        <v>233</v>
      </c>
    </row>
    <row r="7" spans="1:16" x14ac:dyDescent="0.35">
      <c r="A7" t="s">
        <v>13319</v>
      </c>
      <c r="B7" t="s">
        <v>39</v>
      </c>
      <c r="C7" t="s">
        <v>16</v>
      </c>
      <c r="D7" s="6">
        <v>12378368.1</v>
      </c>
      <c r="E7" s="6">
        <v>12134368.1</v>
      </c>
      <c r="F7" s="6">
        <v>2.1</v>
      </c>
      <c r="G7" s="6">
        <v>2.23</v>
      </c>
      <c r="H7" s="6" t="e">
        <v>#N/A</v>
      </c>
      <c r="I7" s="6">
        <v>-0.28747424847832759</v>
      </c>
      <c r="J7" s="6">
        <v>20258000</v>
      </c>
      <c r="K7" s="6">
        <v>24.593676470588246</v>
      </c>
      <c r="L7" t="s">
        <v>17</v>
      </c>
      <c r="M7" t="s">
        <v>40</v>
      </c>
      <c r="N7" s="4" t="s">
        <v>13320</v>
      </c>
      <c r="O7" s="4" t="s">
        <v>13321</v>
      </c>
      <c r="P7" s="4" t="s">
        <v>233</v>
      </c>
    </row>
    <row r="8" spans="1:16" x14ac:dyDescent="0.35">
      <c r="A8" t="s">
        <v>41</v>
      </c>
      <c r="B8" t="s">
        <v>42</v>
      </c>
      <c r="C8" t="s">
        <v>16</v>
      </c>
      <c r="D8" s="6">
        <v>570150000.00000012</v>
      </c>
      <c r="E8" s="6">
        <v>557228000.00000012</v>
      </c>
      <c r="F8" s="6">
        <v>15.75</v>
      </c>
      <c r="G8" s="6">
        <v>15.600000381469727</v>
      </c>
      <c r="H8" s="6" t="e">
        <v>#N/A</v>
      </c>
      <c r="I8" s="6">
        <v>2.2842617589454712</v>
      </c>
      <c r="J8" s="6">
        <v>22644000</v>
      </c>
      <c r="K8" s="6">
        <v>59.70149253731342</v>
      </c>
      <c r="L8" t="s">
        <v>17</v>
      </c>
      <c r="M8" t="s">
        <v>27</v>
      </c>
      <c r="N8" s="4" t="s">
        <v>43</v>
      </c>
      <c r="O8" s="4" t="s">
        <v>44</v>
      </c>
      <c r="P8" s="4" t="s">
        <v>233</v>
      </c>
    </row>
    <row r="9" spans="1:16" x14ac:dyDescent="0.35">
      <c r="A9" t="s">
        <v>45</v>
      </c>
      <c r="B9" t="s">
        <v>46</v>
      </c>
      <c r="C9" t="s">
        <v>16</v>
      </c>
      <c r="D9" s="6">
        <v>11918782.00037384</v>
      </c>
      <c r="E9" s="6">
        <v>5501782.0003738403</v>
      </c>
      <c r="F9" s="6">
        <v>2.130000114440918</v>
      </c>
      <c r="G9" s="6">
        <v>2.1549999713897705</v>
      </c>
      <c r="H9" s="6" t="e">
        <v>#N/A</v>
      </c>
      <c r="I9" s="6">
        <v>-0.50712866997012185</v>
      </c>
      <c r="J9" s="6">
        <v>0</v>
      </c>
      <c r="K9" s="6">
        <v>30.334647217084889</v>
      </c>
      <c r="L9" t="s">
        <v>17</v>
      </c>
      <c r="M9" t="s">
        <v>18</v>
      </c>
      <c r="N9" s="4" t="s">
        <v>47</v>
      </c>
      <c r="O9" s="4" t="s">
        <v>48</v>
      </c>
      <c r="P9" s="4" t="s">
        <v>233</v>
      </c>
    </row>
    <row r="10" spans="1:16" x14ac:dyDescent="0.35">
      <c r="A10" t="s">
        <v>49</v>
      </c>
      <c r="B10" t="s">
        <v>50</v>
      </c>
      <c r="C10" t="s">
        <v>16</v>
      </c>
      <c r="D10" s="6">
        <v>446077.34100000001</v>
      </c>
      <c r="E10" s="6">
        <v>6141077.3409999991</v>
      </c>
      <c r="F10" s="6">
        <v>1.35E-2</v>
      </c>
      <c r="G10" s="6">
        <v>1.35E-2</v>
      </c>
      <c r="H10" s="6" t="e">
        <v>#N/A</v>
      </c>
      <c r="I10" s="6">
        <v>3.5087967970886496</v>
      </c>
      <c r="J10" s="6">
        <v>8291000</v>
      </c>
      <c r="K10" s="6">
        <v>-33.333333333333343</v>
      </c>
      <c r="L10" t="s">
        <v>17</v>
      </c>
      <c r="M10" t="s">
        <v>27</v>
      </c>
      <c r="N10" s="4" t="s">
        <v>51</v>
      </c>
      <c r="O10" s="4" t="s">
        <v>52</v>
      </c>
      <c r="P10" s="4" t="s">
        <v>233</v>
      </c>
    </row>
    <row r="11" spans="1:16" x14ac:dyDescent="0.35">
      <c r="A11" t="s">
        <v>53</v>
      </c>
      <c r="B11" t="s">
        <v>54</v>
      </c>
      <c r="C11" t="s">
        <v>16</v>
      </c>
      <c r="D11" s="6">
        <v>213143467.97138596</v>
      </c>
      <c r="E11" s="6">
        <v>208581830.97138596</v>
      </c>
      <c r="F11" s="6">
        <v>4.6500000953674316</v>
      </c>
      <c r="G11" s="6">
        <v>4.5999999046325684</v>
      </c>
      <c r="H11" s="6" t="e">
        <v>#N/A</v>
      </c>
      <c r="I11" s="6">
        <v>1.1482725378503469</v>
      </c>
      <c r="J11" s="6">
        <v>31993796</v>
      </c>
      <c r="K11" s="6">
        <v>-47.058823529411754</v>
      </c>
      <c r="L11" t="s">
        <v>17</v>
      </c>
      <c r="M11" t="s">
        <v>27</v>
      </c>
      <c r="N11" s="4" t="s">
        <v>55</v>
      </c>
      <c r="O11" s="4" t="s">
        <v>56</v>
      </c>
      <c r="P11" s="4" t="s">
        <v>233</v>
      </c>
    </row>
    <row r="12" spans="1:16" x14ac:dyDescent="0.35">
      <c r="A12" t="s">
        <v>57</v>
      </c>
      <c r="B12" t="s">
        <v>58</v>
      </c>
      <c r="C12" t="s">
        <v>16</v>
      </c>
      <c r="D12" s="6" t="e">
        <v>#N/A</v>
      </c>
      <c r="E12" s="6" t="e">
        <v>#N/A</v>
      </c>
      <c r="F12" s="6">
        <v>9.9999999747524271E-7</v>
      </c>
      <c r="G12" s="6">
        <v>9.9999999747524271E-7</v>
      </c>
      <c r="H12" s="6" t="e">
        <v>#N/A</v>
      </c>
      <c r="I12" s="6">
        <v>0</v>
      </c>
      <c r="J12" s="6">
        <v>0</v>
      </c>
      <c r="K12" s="6">
        <v>100</v>
      </c>
      <c r="L12" t="s">
        <v>17</v>
      </c>
      <c r="M12" t="s">
        <v>18</v>
      </c>
      <c r="N12" s="4" t="s">
        <v>59</v>
      </c>
      <c r="O12" s="4" t="s">
        <v>60</v>
      </c>
      <c r="P12" s="4" t="s">
        <v>233</v>
      </c>
    </row>
    <row r="13" spans="1:16" x14ac:dyDescent="0.35">
      <c r="A13" t="s">
        <v>61</v>
      </c>
      <c r="B13" t="s">
        <v>62</v>
      </c>
      <c r="C13" t="s">
        <v>16</v>
      </c>
      <c r="D13" s="6">
        <v>812066397.44329453</v>
      </c>
      <c r="E13" s="6">
        <v>620315397.44329453</v>
      </c>
      <c r="F13" s="6">
        <v>16.479999542236328</v>
      </c>
      <c r="G13" s="6">
        <v>14.5</v>
      </c>
      <c r="H13" s="6" t="e">
        <v>#N/A</v>
      </c>
      <c r="I13" s="6">
        <v>-0.47323017937250389</v>
      </c>
      <c r="J13" s="6">
        <v>313901000</v>
      </c>
      <c r="K13" s="6" t="e">
        <v>#N/A</v>
      </c>
      <c r="L13" t="s">
        <v>17</v>
      </c>
      <c r="M13" t="s">
        <v>27</v>
      </c>
      <c r="N13" s="4" t="s">
        <v>63</v>
      </c>
      <c r="O13" s="4" t="s">
        <v>64</v>
      </c>
      <c r="P13" s="4" t="s">
        <v>233</v>
      </c>
    </row>
    <row r="14" spans="1:16" x14ac:dyDescent="0.35">
      <c r="A14" t="s">
        <v>65</v>
      </c>
      <c r="B14" t="s">
        <v>66</v>
      </c>
      <c r="C14" t="s">
        <v>16</v>
      </c>
      <c r="D14" s="6">
        <v>4869552355.173214</v>
      </c>
      <c r="E14" s="6">
        <v>3832930355.173214</v>
      </c>
      <c r="F14" s="6">
        <v>30.840000152587891</v>
      </c>
      <c r="G14" s="6">
        <v>31.170000076293945</v>
      </c>
      <c r="H14" s="6" t="e">
        <v>#N/A</v>
      </c>
      <c r="I14" s="6">
        <v>-0.3870309192969088</v>
      </c>
      <c r="J14" s="6">
        <v>803561000</v>
      </c>
      <c r="K14" s="6">
        <v>14.982578397212547</v>
      </c>
      <c r="L14" t="s">
        <v>17</v>
      </c>
      <c r="M14" t="s">
        <v>18</v>
      </c>
      <c r="N14" s="4" t="s">
        <v>67</v>
      </c>
      <c r="O14" s="4" t="s">
        <v>68</v>
      </c>
      <c r="P14" s="4" t="s">
        <v>233</v>
      </c>
    </row>
    <row r="15" spans="1:16" x14ac:dyDescent="0.35">
      <c r="A15" t="s">
        <v>69</v>
      </c>
      <c r="B15" t="s">
        <v>70</v>
      </c>
      <c r="C15" t="s">
        <v>16</v>
      </c>
      <c r="D15" s="6">
        <v>74700626.713491425</v>
      </c>
      <c r="E15" s="6">
        <v>70456626.713491425</v>
      </c>
      <c r="F15" s="6">
        <v>2.1500000953674316</v>
      </c>
      <c r="G15" s="6">
        <v>2.0099999904632568</v>
      </c>
      <c r="H15" s="6" t="e">
        <v>#N/A</v>
      </c>
      <c r="I15" s="6">
        <v>0.7312657711068431</v>
      </c>
      <c r="J15" s="6">
        <v>0</v>
      </c>
      <c r="K15" s="6">
        <v>33.348696807762387</v>
      </c>
      <c r="L15" t="s">
        <v>17</v>
      </c>
      <c r="M15" t="s">
        <v>27</v>
      </c>
      <c r="N15" s="4" t="s">
        <v>71</v>
      </c>
      <c r="O15" s="4" t="s">
        <v>72</v>
      </c>
      <c r="P15" s="4" t="s">
        <v>233</v>
      </c>
    </row>
    <row r="16" spans="1:16" x14ac:dyDescent="0.35">
      <c r="A16" t="s">
        <v>73</v>
      </c>
      <c r="B16" t="s">
        <v>74</v>
      </c>
      <c r="C16" t="s">
        <v>16</v>
      </c>
      <c r="D16" s="6" t="e">
        <v>#N/A</v>
      </c>
      <c r="E16" s="6" t="e">
        <v>#N/A</v>
      </c>
      <c r="F16" s="6" t="e">
        <v>#N/A</v>
      </c>
      <c r="G16" s="6" t="e">
        <v>#N/A</v>
      </c>
      <c r="H16" s="6" t="e">
        <v>#N/A</v>
      </c>
      <c r="I16" s="6">
        <v>0</v>
      </c>
      <c r="J16" s="6">
        <v>589000</v>
      </c>
      <c r="K16" s="6" t="e">
        <v>#N/A</v>
      </c>
      <c r="L16" t="s">
        <v>17</v>
      </c>
      <c r="M16" t="s">
        <v>18</v>
      </c>
      <c r="N16" s="4" t="s">
        <v>75</v>
      </c>
      <c r="O16" s="4" t="s">
        <v>76</v>
      </c>
      <c r="P16" s="4" t="s">
        <v>233</v>
      </c>
    </row>
    <row r="17" spans="1:16" x14ac:dyDescent="0.35">
      <c r="A17" t="s">
        <v>77</v>
      </c>
      <c r="B17" t="s">
        <v>78</v>
      </c>
      <c r="C17" t="s">
        <v>16</v>
      </c>
      <c r="D17" s="6">
        <v>5170.7594093756279</v>
      </c>
      <c r="E17" s="6">
        <v>3189537.759409376</v>
      </c>
      <c r="F17" s="6">
        <v>9.9999999747524271E-7</v>
      </c>
      <c r="G17" s="6">
        <v>9.9999999747524271E-7</v>
      </c>
      <c r="H17" s="6" t="e">
        <v>#N/A</v>
      </c>
      <c r="I17" s="6">
        <v>4.4408920985006262E-16</v>
      </c>
      <c r="J17" s="6" t="e">
        <v>#N/A</v>
      </c>
      <c r="K17" s="6" t="e">
        <v>#N/A</v>
      </c>
      <c r="L17" t="s">
        <v>17</v>
      </c>
      <c r="M17" t="s">
        <v>40</v>
      </c>
      <c r="N17" s="4" t="s">
        <v>79</v>
      </c>
      <c r="O17" s="4" t="s">
        <v>80</v>
      </c>
      <c r="P17" s="4" t="s">
        <v>233</v>
      </c>
    </row>
    <row r="18" spans="1:16" x14ac:dyDescent="0.35">
      <c r="A18" t="s">
        <v>81</v>
      </c>
      <c r="B18" t="s">
        <v>82</v>
      </c>
      <c r="C18" t="s">
        <v>16</v>
      </c>
      <c r="D18" s="6" t="e">
        <v>#N/A</v>
      </c>
      <c r="E18" s="6" t="e">
        <v>#N/A</v>
      </c>
      <c r="F18" s="6" t="e">
        <v>#N/A</v>
      </c>
      <c r="G18" s="6" t="e">
        <v>#N/A</v>
      </c>
      <c r="H18" s="6" t="e">
        <v>#N/A</v>
      </c>
      <c r="I18" s="6">
        <v>-0.4936752381983659</v>
      </c>
      <c r="J18" s="6" t="e">
        <v>#N/A</v>
      </c>
      <c r="K18" s="6" t="e">
        <v>#N/A</v>
      </c>
      <c r="L18" t="s">
        <v>17</v>
      </c>
      <c r="M18" t="s">
        <v>40</v>
      </c>
      <c r="N18" s="4" t="s">
        <v>83</v>
      </c>
      <c r="O18" s="4" t="s">
        <v>84</v>
      </c>
      <c r="P18" s="4" t="s">
        <v>233</v>
      </c>
    </row>
    <row r="19" spans="1:16" x14ac:dyDescent="0.35">
      <c r="A19" t="s">
        <v>85</v>
      </c>
      <c r="B19" t="s">
        <v>86</v>
      </c>
      <c r="C19" t="s">
        <v>16</v>
      </c>
      <c r="D19" s="6">
        <v>1527801.685011033</v>
      </c>
      <c r="E19" s="6">
        <v>8469826.6850110348</v>
      </c>
      <c r="F19" s="6">
        <v>3.6749999970197678E-2</v>
      </c>
      <c r="G19" s="6">
        <v>3.7489999085664749E-2</v>
      </c>
      <c r="H19" s="6" t="e">
        <v>#N/A</v>
      </c>
      <c r="I19" s="6">
        <v>-9.9007384778428187E-2</v>
      </c>
      <c r="J19" s="6">
        <v>64931</v>
      </c>
      <c r="K19" s="6" t="e">
        <v>#N/A</v>
      </c>
      <c r="L19" t="s">
        <v>17</v>
      </c>
      <c r="M19" t="s">
        <v>87</v>
      </c>
      <c r="N19" s="4" t="s">
        <v>88</v>
      </c>
      <c r="O19" s="4" t="s">
        <v>89</v>
      </c>
      <c r="P19" s="4" t="s">
        <v>233</v>
      </c>
    </row>
    <row r="20" spans="1:16" x14ac:dyDescent="0.35">
      <c r="A20" t="s">
        <v>90</v>
      </c>
      <c r="B20" t="s">
        <v>91</v>
      </c>
      <c r="C20" t="s">
        <v>16</v>
      </c>
      <c r="D20" s="6">
        <v>3035028661.530426</v>
      </c>
      <c r="E20" s="6">
        <v>3309923661.530426</v>
      </c>
      <c r="F20" s="6">
        <v>92.660003662109375</v>
      </c>
      <c r="G20" s="6">
        <v>92.760002136230469</v>
      </c>
      <c r="H20" s="6">
        <v>21.475287697717462</v>
      </c>
      <c r="I20" s="6">
        <v>-1.453026168140048E-2</v>
      </c>
      <c r="J20" s="6">
        <v>2321060000</v>
      </c>
      <c r="K20" s="6">
        <v>2439.9999999999977</v>
      </c>
      <c r="L20" t="s">
        <v>17</v>
      </c>
      <c r="M20" t="s">
        <v>40</v>
      </c>
      <c r="N20" s="4" t="s">
        <v>92</v>
      </c>
      <c r="O20" s="4" t="s">
        <v>93</v>
      </c>
      <c r="P20" s="4" t="s">
        <v>233</v>
      </c>
    </row>
    <row r="21" spans="1:16" x14ac:dyDescent="0.35">
      <c r="A21" t="s">
        <v>94</v>
      </c>
      <c r="B21" t="s">
        <v>95</v>
      </c>
      <c r="C21" t="s">
        <v>16</v>
      </c>
      <c r="D21" s="6">
        <v>19443330468.919682</v>
      </c>
      <c r="E21" s="6">
        <v>23698630468.919682</v>
      </c>
      <c r="F21" s="6">
        <v>133.42999267578125</v>
      </c>
      <c r="G21" s="6">
        <v>136.7550048828125</v>
      </c>
      <c r="H21" s="6">
        <v>10.762005583352778</v>
      </c>
      <c r="I21" s="6">
        <v>-0.45390485021648308</v>
      </c>
      <c r="J21" s="6">
        <v>9675900000</v>
      </c>
      <c r="K21" s="6">
        <v>39.775561097256876</v>
      </c>
      <c r="L21" t="s">
        <v>17</v>
      </c>
      <c r="M21" t="s">
        <v>18</v>
      </c>
      <c r="N21" s="4" t="s">
        <v>96</v>
      </c>
      <c r="O21" s="4" t="s">
        <v>97</v>
      </c>
      <c r="P21" s="4" t="s">
        <v>233</v>
      </c>
    </row>
    <row r="22" spans="1:16" x14ac:dyDescent="0.35">
      <c r="A22" t="s">
        <v>98</v>
      </c>
      <c r="B22" t="s">
        <v>99</v>
      </c>
      <c r="C22" t="s">
        <v>16</v>
      </c>
      <c r="D22" s="6">
        <v>13541797265.603981</v>
      </c>
      <c r="E22" s="6">
        <v>15680624265.603981</v>
      </c>
      <c r="F22" s="6">
        <v>111.26999664306641</v>
      </c>
      <c r="G22" s="6">
        <v>111.05000305175781</v>
      </c>
      <c r="H22" s="6">
        <v>40.899651448016201</v>
      </c>
      <c r="I22" s="6">
        <v>6.3330807778240183E-2</v>
      </c>
      <c r="J22" s="6">
        <v>2755026000</v>
      </c>
      <c r="K22" s="6">
        <v>60.050416666666678</v>
      </c>
      <c r="L22" t="s">
        <v>17</v>
      </c>
      <c r="M22" t="s">
        <v>100</v>
      </c>
      <c r="N22" s="4" t="s">
        <v>101</v>
      </c>
      <c r="O22" s="4" t="s">
        <v>102</v>
      </c>
      <c r="P22" s="4" t="s">
        <v>233</v>
      </c>
    </row>
    <row r="23" spans="1:16" x14ac:dyDescent="0.35">
      <c r="A23" t="s">
        <v>103</v>
      </c>
      <c r="B23" t="s">
        <v>104</v>
      </c>
      <c r="C23" t="s">
        <v>16</v>
      </c>
      <c r="D23" s="6">
        <v>266667870.97795141</v>
      </c>
      <c r="E23" s="6">
        <v>374023870.97795141</v>
      </c>
      <c r="F23" s="6">
        <v>1.6599999666213989</v>
      </c>
      <c r="G23" s="6">
        <v>1.6299999952316284</v>
      </c>
      <c r="H23" s="6" t="e">
        <v>#N/A</v>
      </c>
      <c r="I23" s="6">
        <v>-0.36802723495982836</v>
      </c>
      <c r="J23" s="6">
        <v>137737000</v>
      </c>
      <c r="K23" s="6">
        <v>81.25</v>
      </c>
      <c r="L23" t="s">
        <v>17</v>
      </c>
      <c r="M23" t="s">
        <v>18</v>
      </c>
      <c r="N23" s="4" t="s">
        <v>105</v>
      </c>
      <c r="O23" s="4" t="s">
        <v>106</v>
      </c>
      <c r="P23" s="4" t="s">
        <v>233</v>
      </c>
    </row>
    <row r="24" spans="1:16" x14ac:dyDescent="0.35">
      <c r="A24" t="s">
        <v>107</v>
      </c>
      <c r="B24" t="s">
        <v>108</v>
      </c>
      <c r="C24" t="s">
        <v>16</v>
      </c>
      <c r="D24" s="6">
        <v>216713881075.24878</v>
      </c>
      <c r="E24" s="6" t="e">
        <v>#N/A</v>
      </c>
      <c r="F24" s="6">
        <v>85.669998168945313</v>
      </c>
      <c r="G24" s="6">
        <v>86.069999694824219</v>
      </c>
      <c r="H24" s="6">
        <v>12.249208729830563</v>
      </c>
      <c r="I24" s="6">
        <v>-0.29714320446102716</v>
      </c>
      <c r="J24" s="6">
        <v>64168000000</v>
      </c>
      <c r="K24" s="6">
        <v>4714.2857142857138</v>
      </c>
      <c r="L24" t="s">
        <v>17</v>
      </c>
      <c r="M24" t="s">
        <v>87</v>
      </c>
      <c r="N24" s="4" t="s">
        <v>109</v>
      </c>
      <c r="O24" s="4" t="s">
        <v>110</v>
      </c>
      <c r="P24" s="4" t="s">
        <v>233</v>
      </c>
    </row>
    <row r="25" spans="1:16" x14ac:dyDescent="0.35">
      <c r="A25" t="s">
        <v>111</v>
      </c>
      <c r="B25" t="s">
        <v>112</v>
      </c>
      <c r="C25" t="s">
        <v>16</v>
      </c>
      <c r="D25" s="6">
        <v>37449951580.184326</v>
      </c>
      <c r="E25" s="6">
        <v>38029258580.184326</v>
      </c>
      <c r="F25" s="6">
        <v>457.35000610351563</v>
      </c>
      <c r="G25" s="6">
        <v>458.70001220703125</v>
      </c>
      <c r="H25" s="6">
        <v>42.863168332100805</v>
      </c>
      <c r="I25" s="6">
        <v>-0.19086311736180361</v>
      </c>
      <c r="J25" s="6">
        <v>3897504000</v>
      </c>
      <c r="K25" s="6">
        <v>5.8997050147492587</v>
      </c>
      <c r="L25" t="s">
        <v>17</v>
      </c>
      <c r="M25" t="s">
        <v>27</v>
      </c>
      <c r="N25" s="4" t="s">
        <v>113</v>
      </c>
      <c r="O25" s="4" t="s">
        <v>114</v>
      </c>
      <c r="P25" s="4" t="s">
        <v>233</v>
      </c>
    </row>
    <row r="26" spans="1:16" x14ac:dyDescent="0.35">
      <c r="A26" t="s">
        <v>115</v>
      </c>
      <c r="B26" t="s">
        <v>116</v>
      </c>
      <c r="C26" t="s">
        <v>16</v>
      </c>
      <c r="D26" s="6">
        <v>72576281791.084244</v>
      </c>
      <c r="E26" s="6">
        <v>57602481791.084244</v>
      </c>
      <c r="F26" s="6">
        <v>663.8599853515625</v>
      </c>
      <c r="G26" s="6">
        <v>659.96002197265625</v>
      </c>
      <c r="H26" s="6">
        <v>16.954236568520326</v>
      </c>
      <c r="I26" s="6">
        <v>-0.29834990991569221</v>
      </c>
      <c r="J26" s="6">
        <v>14202000000</v>
      </c>
      <c r="K26" s="6">
        <v>10.391363022941974</v>
      </c>
      <c r="L26" t="s">
        <v>17</v>
      </c>
      <c r="M26" t="s">
        <v>18</v>
      </c>
      <c r="N26" s="4" t="s">
        <v>117</v>
      </c>
      <c r="O26" s="4" t="s">
        <v>118</v>
      </c>
      <c r="P26" s="4" t="s">
        <v>233</v>
      </c>
    </row>
    <row r="27" spans="1:16" x14ac:dyDescent="0.35">
      <c r="A27" t="s">
        <v>119</v>
      </c>
      <c r="B27" t="s">
        <v>120</v>
      </c>
      <c r="C27" t="s">
        <v>16</v>
      </c>
      <c r="D27" s="6" t="e">
        <v>#N/A</v>
      </c>
      <c r="E27" s="6" t="e">
        <v>#N/A</v>
      </c>
      <c r="F27" s="6" t="e">
        <v>#N/A</v>
      </c>
      <c r="G27" s="6" t="e">
        <v>#N/A</v>
      </c>
      <c r="H27" s="6" t="e">
        <v>#N/A</v>
      </c>
      <c r="I27" s="6">
        <v>0</v>
      </c>
      <c r="J27" s="6">
        <v>201200.99981063977</v>
      </c>
      <c r="K27" s="6">
        <v>7.6923084990865442</v>
      </c>
      <c r="L27" t="s">
        <v>17</v>
      </c>
      <c r="M27" t="s">
        <v>18</v>
      </c>
      <c r="N27" s="4" t="s">
        <v>121</v>
      </c>
      <c r="O27" s="4" t="s">
        <v>122</v>
      </c>
      <c r="P27" s="4" t="s">
        <v>233</v>
      </c>
    </row>
    <row r="28" spans="1:16" x14ac:dyDescent="0.35">
      <c r="A28" t="s">
        <v>123</v>
      </c>
      <c r="B28" t="s">
        <v>124</v>
      </c>
      <c r="C28" t="s">
        <v>16</v>
      </c>
      <c r="D28" s="6">
        <v>34100357.422571182</v>
      </c>
      <c r="E28" s="6">
        <v>-8012623.5774288177</v>
      </c>
      <c r="F28" s="6">
        <v>7.0500001907348633</v>
      </c>
      <c r="G28" s="6">
        <v>6.929999828338623</v>
      </c>
      <c r="H28" s="6" t="e">
        <v>#N/A</v>
      </c>
      <c r="I28" s="6">
        <v>-0.18918941074633466</v>
      </c>
      <c r="J28" s="6">
        <v>1446345</v>
      </c>
      <c r="K28" s="6" t="e">
        <v>#N/A</v>
      </c>
      <c r="L28" t="s">
        <v>17</v>
      </c>
      <c r="M28" t="s">
        <v>27</v>
      </c>
      <c r="N28" s="4" t="s">
        <v>125</v>
      </c>
      <c r="O28" s="4" t="s">
        <v>126</v>
      </c>
      <c r="P28" s="4" t="s">
        <v>233</v>
      </c>
    </row>
    <row r="29" spans="1:16" x14ac:dyDescent="0.35">
      <c r="A29" t="s">
        <v>127</v>
      </c>
      <c r="B29" t="s">
        <v>128</v>
      </c>
      <c r="C29" t="s">
        <v>16</v>
      </c>
      <c r="D29" s="6" t="e">
        <v>#N/A</v>
      </c>
      <c r="E29" s="6" t="e">
        <v>#N/A</v>
      </c>
      <c r="F29" s="6">
        <v>9.9999999747524271E-7</v>
      </c>
      <c r="G29" s="6">
        <v>9.9999999747524271E-7</v>
      </c>
      <c r="H29" s="6" t="e">
        <v>#N/A</v>
      </c>
      <c r="I29" s="6">
        <v>0</v>
      </c>
      <c r="J29" s="6" t="e">
        <v>#N/A</v>
      </c>
      <c r="K29" s="6" t="e">
        <v>#N/A</v>
      </c>
      <c r="L29" t="s">
        <v>17</v>
      </c>
      <c r="M29" t="s">
        <v>87</v>
      </c>
      <c r="N29" s="4" t="s">
        <v>129</v>
      </c>
      <c r="O29" s="4" t="s">
        <v>130</v>
      </c>
      <c r="P29" s="4" t="s">
        <v>233</v>
      </c>
    </row>
    <row r="30" spans="1:16" x14ac:dyDescent="0.35">
      <c r="A30" t="s">
        <v>131</v>
      </c>
      <c r="B30" t="s">
        <v>132</v>
      </c>
      <c r="C30" t="s">
        <v>16</v>
      </c>
      <c r="D30" s="6">
        <v>1191627.4600000002</v>
      </c>
      <c r="E30" s="6">
        <v>975093.4600000002</v>
      </c>
      <c r="F30" s="6">
        <v>7.19</v>
      </c>
      <c r="G30" s="6">
        <v>7.19</v>
      </c>
      <c r="H30" s="6" t="e">
        <v>#N/A</v>
      </c>
      <c r="I30" s="6">
        <v>-0.69305092719852579</v>
      </c>
      <c r="J30" s="6">
        <v>2065915</v>
      </c>
      <c r="K30" s="6">
        <v>76.190476190476204</v>
      </c>
      <c r="L30" t="s">
        <v>17</v>
      </c>
      <c r="M30" t="s">
        <v>18</v>
      </c>
      <c r="N30" s="4" t="s">
        <v>133</v>
      </c>
      <c r="O30" s="4" t="s">
        <v>134</v>
      </c>
      <c r="P30" s="4" t="s">
        <v>233</v>
      </c>
    </row>
    <row r="31" spans="1:16" x14ac:dyDescent="0.35">
      <c r="A31" t="s">
        <v>135</v>
      </c>
      <c r="B31" t="s">
        <v>136</v>
      </c>
      <c r="C31" t="s">
        <v>16</v>
      </c>
      <c r="D31" s="6">
        <v>178972.74129561704</v>
      </c>
      <c r="E31" s="6">
        <v>20972.741295617045</v>
      </c>
      <c r="F31" s="6">
        <v>8.999999612569809E-3</v>
      </c>
      <c r="G31" s="6">
        <v>8.999999612569809E-3</v>
      </c>
      <c r="H31" s="6" t="e">
        <v>#N/A</v>
      </c>
      <c r="I31" s="6">
        <v>-0.39916202207452922</v>
      </c>
      <c r="J31" s="6">
        <v>2674000</v>
      </c>
      <c r="K31" s="6">
        <v>27.400000000000002</v>
      </c>
      <c r="L31" t="s">
        <v>17</v>
      </c>
      <c r="M31" t="s">
        <v>32</v>
      </c>
      <c r="N31" s="4" t="s">
        <v>137</v>
      </c>
      <c r="O31" s="4" t="s">
        <v>138</v>
      </c>
      <c r="P31" s="4" t="s">
        <v>233</v>
      </c>
    </row>
    <row r="32" spans="1:16" x14ac:dyDescent="0.35">
      <c r="A32" t="s">
        <v>139</v>
      </c>
      <c r="B32" t="s">
        <v>140</v>
      </c>
      <c r="C32" t="s">
        <v>16</v>
      </c>
      <c r="D32" s="6">
        <v>483919510.48603815</v>
      </c>
      <c r="E32" s="6">
        <v>486801510.48603815</v>
      </c>
      <c r="F32" s="6">
        <v>33.849998474121094</v>
      </c>
      <c r="G32" s="6">
        <v>34.150001525878906</v>
      </c>
      <c r="H32" s="6" t="e">
        <v>#N/A</v>
      </c>
      <c r="I32" s="6">
        <v>-6.7304937195722392E-3</v>
      </c>
      <c r="J32" s="6">
        <v>125448000</v>
      </c>
      <c r="K32" s="6" t="e">
        <v>#N/A</v>
      </c>
      <c r="L32" t="s">
        <v>17</v>
      </c>
      <c r="M32" t="s">
        <v>27</v>
      </c>
      <c r="N32" s="4" t="s">
        <v>141</v>
      </c>
      <c r="O32" s="4" t="s">
        <v>142</v>
      </c>
      <c r="P32" s="4" t="s">
        <v>233</v>
      </c>
    </row>
    <row r="33" spans="1:16" x14ac:dyDescent="0.35">
      <c r="A33" t="s">
        <v>143</v>
      </c>
      <c r="B33" t="s">
        <v>144</v>
      </c>
      <c r="C33" t="s">
        <v>16</v>
      </c>
      <c r="D33" s="6">
        <v>631522448.32378769</v>
      </c>
      <c r="E33" s="6">
        <v>2759085448.3237877</v>
      </c>
      <c r="F33" s="6">
        <v>8.1899995803833008</v>
      </c>
      <c r="G33" s="6">
        <v>8.2600002288818359</v>
      </c>
      <c r="H33" s="6">
        <v>9.341572601226952</v>
      </c>
      <c r="I33" s="6">
        <v>-0.61965174766598186</v>
      </c>
      <c r="J33" s="6">
        <v>10660961000</v>
      </c>
      <c r="K33" s="6">
        <v>57.792207792207797</v>
      </c>
      <c r="L33" t="s">
        <v>17</v>
      </c>
      <c r="M33" t="s">
        <v>40</v>
      </c>
      <c r="N33" s="4" t="s">
        <v>145</v>
      </c>
      <c r="O33" s="4" t="s">
        <v>146</v>
      </c>
      <c r="P33" s="4" t="s">
        <v>233</v>
      </c>
    </row>
    <row r="34" spans="1:16" x14ac:dyDescent="0.35">
      <c r="A34" t="s">
        <v>147</v>
      </c>
      <c r="B34" t="s">
        <v>148</v>
      </c>
      <c r="C34" t="s">
        <v>16</v>
      </c>
      <c r="D34" s="6">
        <v>657753.55330128851</v>
      </c>
      <c r="E34" s="6">
        <v>3775075.5533012878</v>
      </c>
      <c r="F34" s="6">
        <v>1.7999999690800905E-3</v>
      </c>
      <c r="G34" s="6">
        <v>1.9000000320374966E-3</v>
      </c>
      <c r="H34" s="6" t="e">
        <v>#N/A</v>
      </c>
      <c r="I34" s="6">
        <v>0.28483172916550736</v>
      </c>
      <c r="J34" s="6">
        <v>0</v>
      </c>
      <c r="K34" s="6">
        <v>44.312193587289933</v>
      </c>
      <c r="L34" t="s">
        <v>17</v>
      </c>
      <c r="M34" t="s">
        <v>87</v>
      </c>
      <c r="N34" s="4" t="s">
        <v>149</v>
      </c>
      <c r="O34" s="4" t="s">
        <v>150</v>
      </c>
      <c r="P34" s="4" t="s">
        <v>233</v>
      </c>
    </row>
    <row r="35" spans="1:16" x14ac:dyDescent="0.35">
      <c r="A35" t="s">
        <v>151</v>
      </c>
      <c r="B35" t="s">
        <v>152</v>
      </c>
      <c r="C35" t="s">
        <v>16</v>
      </c>
      <c r="D35" s="6">
        <v>1254248490.7988548</v>
      </c>
      <c r="E35" s="6">
        <v>578025490.79885483</v>
      </c>
      <c r="F35" s="6">
        <v>7.8299999237060547</v>
      </c>
      <c r="G35" s="6">
        <v>7.940000057220459</v>
      </c>
      <c r="H35" s="6" t="e">
        <v>#N/A</v>
      </c>
      <c r="I35" s="6">
        <v>0.88347710363936449</v>
      </c>
      <c r="J35" s="6">
        <v>885193000</v>
      </c>
      <c r="K35" s="6">
        <v>65.714285714285722</v>
      </c>
      <c r="L35" t="s">
        <v>17</v>
      </c>
      <c r="M35" t="s">
        <v>18</v>
      </c>
      <c r="N35" s="4" t="s">
        <v>153</v>
      </c>
      <c r="O35" s="4" t="s">
        <v>154</v>
      </c>
      <c r="P35" s="4" t="s">
        <v>233</v>
      </c>
    </row>
    <row r="36" spans="1:16" x14ac:dyDescent="0.35">
      <c r="A36" t="s">
        <v>155</v>
      </c>
      <c r="B36" t="s">
        <v>156</v>
      </c>
      <c r="C36" t="s">
        <v>16</v>
      </c>
      <c r="D36" s="6">
        <v>722.09000000000015</v>
      </c>
      <c r="E36" s="6">
        <v>13205868.09</v>
      </c>
      <c r="F36" s="6" t="e">
        <v>#N/A</v>
      </c>
      <c r="G36" s="6" t="e">
        <v>#N/A</v>
      </c>
      <c r="H36" s="6" t="e">
        <v>#N/A</v>
      </c>
      <c r="I36" s="6">
        <v>-0.99276004774599014</v>
      </c>
      <c r="J36" s="6">
        <v>0</v>
      </c>
      <c r="K36" s="6">
        <v>91.323499230374537</v>
      </c>
      <c r="L36" t="s">
        <v>17</v>
      </c>
      <c r="M36" t="s">
        <v>18</v>
      </c>
      <c r="N36" s="4" t="s">
        <v>157</v>
      </c>
      <c r="O36" s="4" t="s">
        <v>158</v>
      </c>
      <c r="P36" s="4" t="s">
        <v>233</v>
      </c>
    </row>
    <row r="37" spans="1:16" x14ac:dyDescent="0.35">
      <c r="A37" t="s">
        <v>159</v>
      </c>
      <c r="B37" t="s">
        <v>160</v>
      </c>
      <c r="C37" t="s">
        <v>16</v>
      </c>
      <c r="D37" s="6">
        <v>23986534.949102223</v>
      </c>
      <c r="E37" s="6">
        <v>22475814.949102223</v>
      </c>
      <c r="F37" s="6">
        <v>0.98970001935958862</v>
      </c>
      <c r="G37" s="6">
        <v>0.92519998550415039</v>
      </c>
      <c r="H37" s="6" t="e">
        <v>#N/A</v>
      </c>
      <c r="I37" s="6">
        <v>-0.75767050337597897</v>
      </c>
      <c r="J37" s="6">
        <v>2384113</v>
      </c>
      <c r="K37" s="6">
        <v>10.119534883720924</v>
      </c>
      <c r="L37" t="s">
        <v>17</v>
      </c>
      <c r="M37" t="s">
        <v>18</v>
      </c>
      <c r="N37" s="4" t="s">
        <v>161</v>
      </c>
      <c r="O37" s="4" t="s">
        <v>162</v>
      </c>
      <c r="P37" s="4" t="s">
        <v>233</v>
      </c>
    </row>
    <row r="38" spans="1:16" x14ac:dyDescent="0.35">
      <c r="A38" t="s">
        <v>163</v>
      </c>
      <c r="B38" t="s">
        <v>164</v>
      </c>
      <c r="C38" t="s">
        <v>16</v>
      </c>
      <c r="D38" s="6">
        <v>445374.0124999999</v>
      </c>
      <c r="E38" s="6">
        <v>1589601.0124999997</v>
      </c>
      <c r="F38" s="6">
        <v>9.4999999999999998E-3</v>
      </c>
      <c r="G38" s="6">
        <v>9.4999999999999998E-3</v>
      </c>
      <c r="H38" s="6" t="e">
        <v>#N/A</v>
      </c>
      <c r="I38" s="6">
        <v>-0.85529627023119692</v>
      </c>
      <c r="J38" s="6" t="e">
        <v>#N/A</v>
      </c>
      <c r="K38" s="6">
        <v>21.398899869901616</v>
      </c>
      <c r="L38" t="s">
        <v>17</v>
      </c>
      <c r="M38" t="s">
        <v>18</v>
      </c>
      <c r="N38" s="4" t="s">
        <v>165</v>
      </c>
      <c r="O38" s="4" t="s">
        <v>166</v>
      </c>
      <c r="P38" s="4" t="s">
        <v>233</v>
      </c>
    </row>
    <row r="39" spans="1:16" x14ac:dyDescent="0.35">
      <c r="A39" t="s">
        <v>167</v>
      </c>
      <c r="B39" t="s">
        <v>168</v>
      </c>
      <c r="C39" t="s">
        <v>16</v>
      </c>
      <c r="D39" s="6">
        <v>1125567407.7234993</v>
      </c>
      <c r="E39" s="6">
        <v>1124005407.7234993</v>
      </c>
      <c r="F39" s="6">
        <v>17.979999542236328</v>
      </c>
      <c r="G39" s="6">
        <v>17.920000076293945</v>
      </c>
      <c r="H39" s="6">
        <v>9.8292990431665501</v>
      </c>
      <c r="I39" s="6">
        <v>0.14407196926569732</v>
      </c>
      <c r="J39" s="6">
        <v>352745000</v>
      </c>
      <c r="K39" s="6">
        <v>25.92592592592592</v>
      </c>
      <c r="L39" t="s">
        <v>17</v>
      </c>
      <c r="M39" t="s">
        <v>87</v>
      </c>
      <c r="N39" s="4" t="s">
        <v>169</v>
      </c>
      <c r="O39" s="4" t="s">
        <v>170</v>
      </c>
      <c r="P39" s="4" t="s">
        <v>233</v>
      </c>
    </row>
    <row r="40" spans="1:16" x14ac:dyDescent="0.35">
      <c r="A40" t="s">
        <v>171</v>
      </c>
      <c r="B40" t="s">
        <v>172</v>
      </c>
      <c r="C40" t="s">
        <v>16</v>
      </c>
      <c r="D40" s="6">
        <v>294963.0048</v>
      </c>
      <c r="E40" s="6">
        <v>28528499.004799999</v>
      </c>
      <c r="F40" s="6">
        <v>7.1999999999999998E-3</v>
      </c>
      <c r="G40" s="6">
        <v>7.1999999999999998E-3</v>
      </c>
      <c r="H40" s="6" t="e">
        <v>#N/A</v>
      </c>
      <c r="I40" s="6">
        <v>-0.97402723113452216</v>
      </c>
      <c r="J40" s="6">
        <v>1496409</v>
      </c>
      <c r="K40" s="6">
        <v>48.605755057109697</v>
      </c>
      <c r="L40" t="s">
        <v>17</v>
      </c>
      <c r="M40" t="s">
        <v>100</v>
      </c>
      <c r="N40" s="4" t="s">
        <v>173</v>
      </c>
      <c r="O40" s="4" t="s">
        <v>174</v>
      </c>
      <c r="P40" s="4" t="s">
        <v>233</v>
      </c>
    </row>
    <row r="41" spans="1:16" x14ac:dyDescent="0.35">
      <c r="A41" t="s">
        <v>175</v>
      </c>
      <c r="B41" t="s">
        <v>176</v>
      </c>
      <c r="C41" t="s">
        <v>16</v>
      </c>
      <c r="D41" s="6">
        <v>43558228.355901986</v>
      </c>
      <c r="E41" s="6">
        <v>196226939.35590199</v>
      </c>
      <c r="F41" s="6">
        <v>0.10364100337028503</v>
      </c>
      <c r="G41" s="6">
        <v>0.10270000249147415</v>
      </c>
      <c r="H41" s="6" t="e">
        <v>#N/A</v>
      </c>
      <c r="I41" s="6">
        <v>-0.1942319910880107</v>
      </c>
      <c r="J41" s="6">
        <v>723918</v>
      </c>
      <c r="K41" s="6">
        <v>9.4501718213058421</v>
      </c>
      <c r="L41" t="s">
        <v>17</v>
      </c>
      <c r="M41" t="s">
        <v>87</v>
      </c>
      <c r="N41" s="4" t="s">
        <v>177</v>
      </c>
      <c r="O41" s="4" t="s">
        <v>178</v>
      </c>
      <c r="P41" s="4" t="s">
        <v>233</v>
      </c>
    </row>
    <row r="42" spans="1:16" x14ac:dyDescent="0.35">
      <c r="A42" t="s">
        <v>179</v>
      </c>
      <c r="B42" t="s">
        <v>180</v>
      </c>
      <c r="C42" t="s">
        <v>16</v>
      </c>
      <c r="D42" s="6">
        <v>11683259324.2871</v>
      </c>
      <c r="E42" s="6">
        <v>11102859324.2871</v>
      </c>
      <c r="F42" s="6">
        <v>117.18000030517578</v>
      </c>
      <c r="G42" s="6">
        <v>115.88999938964844</v>
      </c>
      <c r="H42" s="6">
        <v>24.7107745567119</v>
      </c>
      <c r="I42" s="6">
        <v>-0.10132405860384452</v>
      </c>
      <c r="J42" s="6">
        <v>2355300000</v>
      </c>
      <c r="K42" s="6">
        <v>32.812499999999993</v>
      </c>
      <c r="L42" t="s">
        <v>17</v>
      </c>
      <c r="M42" t="s">
        <v>18</v>
      </c>
      <c r="N42" s="4" t="s">
        <v>181</v>
      </c>
      <c r="O42" s="4" t="s">
        <v>182</v>
      </c>
      <c r="P42" s="4" t="s">
        <v>233</v>
      </c>
    </row>
    <row r="43" spans="1:16" x14ac:dyDescent="0.35">
      <c r="A43" t="s">
        <v>183</v>
      </c>
      <c r="B43" t="s">
        <v>184</v>
      </c>
      <c r="C43" t="s">
        <v>16</v>
      </c>
      <c r="D43" s="6">
        <v>158604403936.04422</v>
      </c>
      <c r="E43" s="6">
        <v>206730403936.04422</v>
      </c>
      <c r="F43" s="6">
        <v>295.05999755859375</v>
      </c>
      <c r="G43" s="6">
        <v>293.82000732421875</v>
      </c>
      <c r="H43" s="6">
        <v>32.117100778925554</v>
      </c>
      <c r="I43" s="6">
        <v>3.2457178820714416E-2</v>
      </c>
      <c r="J43" s="6">
        <v>33424000000</v>
      </c>
      <c r="K43" s="6">
        <v>-39.331210191082803</v>
      </c>
      <c r="L43" t="s">
        <v>17</v>
      </c>
      <c r="M43" t="s">
        <v>18</v>
      </c>
      <c r="N43" s="4" t="s">
        <v>185</v>
      </c>
      <c r="O43" s="4" t="s">
        <v>186</v>
      </c>
      <c r="P43" s="4" t="s">
        <v>233</v>
      </c>
    </row>
    <row r="44" spans="1:16" x14ac:dyDescent="0.35">
      <c r="A44" t="s">
        <v>187</v>
      </c>
      <c r="B44" t="s">
        <v>188</v>
      </c>
      <c r="C44" t="s">
        <v>16</v>
      </c>
      <c r="D44" s="6">
        <v>32447664.405405525</v>
      </c>
      <c r="E44" s="6" t="e">
        <v>#N/A</v>
      </c>
      <c r="F44" s="6">
        <v>0.66100001335144043</v>
      </c>
      <c r="G44" s="6">
        <v>0.67000001668930054</v>
      </c>
      <c r="H44" s="6" t="e">
        <v>#N/A</v>
      </c>
      <c r="I44" s="6">
        <v>-0.27299161476708778</v>
      </c>
      <c r="J44" s="6" t="e">
        <v>#N/A</v>
      </c>
      <c r="K44" s="6" t="e">
        <v>#N/A</v>
      </c>
      <c r="L44" t="s">
        <v>17</v>
      </c>
      <c r="M44" t="s">
        <v>32</v>
      </c>
      <c r="N44" s="4" t="s">
        <v>189</v>
      </c>
      <c r="O44" s="4" t="s">
        <v>190</v>
      </c>
      <c r="P44" s="4" t="s">
        <v>233</v>
      </c>
    </row>
    <row r="45" spans="1:16" x14ac:dyDescent="0.35">
      <c r="A45" t="s">
        <v>191</v>
      </c>
      <c r="B45" t="s">
        <v>192</v>
      </c>
      <c r="C45" t="s">
        <v>16</v>
      </c>
      <c r="D45" s="6">
        <v>3842560765.8160396</v>
      </c>
      <c r="E45" s="6">
        <v>5190091765.81604</v>
      </c>
      <c r="F45" s="6">
        <v>156.94000244140625</v>
      </c>
      <c r="G45" s="6">
        <v>155.25</v>
      </c>
      <c r="H45" s="6" t="e">
        <v>#N/A</v>
      </c>
      <c r="I45" s="6">
        <v>0.5070538872794661</v>
      </c>
      <c r="J45" s="6">
        <v>2340097000</v>
      </c>
      <c r="K45" s="6">
        <v>-290.59829059829065</v>
      </c>
      <c r="L45" t="s">
        <v>17</v>
      </c>
      <c r="M45" t="s">
        <v>27</v>
      </c>
      <c r="N45" s="4" t="s">
        <v>193</v>
      </c>
      <c r="O45" s="4" t="s">
        <v>194</v>
      </c>
      <c r="P45" s="4" t="s">
        <v>233</v>
      </c>
    </row>
    <row r="46" spans="1:16" x14ac:dyDescent="0.35">
      <c r="A46" t="s">
        <v>195</v>
      </c>
      <c r="B46" t="s">
        <v>196</v>
      </c>
      <c r="C46" t="s">
        <v>16</v>
      </c>
      <c r="D46" s="6">
        <v>2733.8217000000004</v>
      </c>
      <c r="E46" s="6">
        <v>249733.81189503593</v>
      </c>
      <c r="F46" s="6">
        <v>1E-4</v>
      </c>
      <c r="G46" s="6">
        <v>1E-4</v>
      </c>
      <c r="H46" s="6" t="e">
        <v>#N/A</v>
      </c>
      <c r="I46" s="6">
        <v>97.749639812260014</v>
      </c>
      <c r="J46" s="6">
        <v>93999.996781349182</v>
      </c>
      <c r="K46" s="6">
        <v>71.428571428571431</v>
      </c>
      <c r="L46" t="s">
        <v>17</v>
      </c>
      <c r="M46" t="s">
        <v>18</v>
      </c>
      <c r="N46" s="4" t="s">
        <v>197</v>
      </c>
      <c r="O46" s="4" t="s">
        <v>198</v>
      </c>
      <c r="P46" s="4" t="s">
        <v>233</v>
      </c>
    </row>
    <row r="47" spans="1:16" x14ac:dyDescent="0.35">
      <c r="A47" t="s">
        <v>199</v>
      </c>
      <c r="B47" t="s">
        <v>200</v>
      </c>
      <c r="C47" t="s">
        <v>16</v>
      </c>
      <c r="D47" s="6" t="e">
        <v>#N/A</v>
      </c>
      <c r="E47" s="6" t="e">
        <v>#N/A</v>
      </c>
      <c r="F47" s="6">
        <v>9.9999999747524271E-7</v>
      </c>
      <c r="G47" s="6">
        <v>9.9999999747524271E-7</v>
      </c>
      <c r="H47" s="6" t="e">
        <v>#N/A</v>
      </c>
      <c r="I47" s="6">
        <v>-0.9999986523020068</v>
      </c>
      <c r="J47" s="6">
        <v>0</v>
      </c>
      <c r="K47" s="6">
        <v>52.662942466325561</v>
      </c>
      <c r="L47" t="s">
        <v>17</v>
      </c>
      <c r="M47" t="s">
        <v>87</v>
      </c>
      <c r="N47" s="4" t="s">
        <v>201</v>
      </c>
      <c r="O47" s="4" t="s">
        <v>202</v>
      </c>
      <c r="P47" s="4" t="s">
        <v>233</v>
      </c>
    </row>
    <row r="48" spans="1:16" x14ac:dyDescent="0.35">
      <c r="A48" t="s">
        <v>203</v>
      </c>
      <c r="B48" t="s">
        <v>204</v>
      </c>
      <c r="C48" t="s">
        <v>16</v>
      </c>
      <c r="D48" s="6">
        <v>83352.92</v>
      </c>
      <c r="E48" s="6">
        <v>148535.92250172613</v>
      </c>
      <c r="F48" s="6">
        <v>4.5999999999999999E-3</v>
      </c>
      <c r="G48" s="6">
        <v>4.5999999999999999E-3</v>
      </c>
      <c r="H48" s="6">
        <v>0.13142857352689824</v>
      </c>
      <c r="I48" s="6">
        <v>-0.81805017391681145</v>
      </c>
      <c r="J48" s="6">
        <v>1455599.0115089417</v>
      </c>
      <c r="K48" s="6">
        <v>96.739130276228892</v>
      </c>
      <c r="L48" t="s">
        <v>17</v>
      </c>
      <c r="M48" t="s">
        <v>40</v>
      </c>
      <c r="N48" s="4" t="s">
        <v>205</v>
      </c>
      <c r="O48" s="4" t="s">
        <v>206</v>
      </c>
      <c r="P48" s="4" t="s">
        <v>233</v>
      </c>
    </row>
    <row r="49" spans="1:16" x14ac:dyDescent="0.35">
      <c r="A49" t="s">
        <v>207</v>
      </c>
      <c r="B49" t="s">
        <v>208</v>
      </c>
      <c r="C49" t="s">
        <v>16</v>
      </c>
      <c r="D49" s="6" t="e">
        <v>#N/A</v>
      </c>
      <c r="E49" s="6" t="e">
        <v>#N/A</v>
      </c>
      <c r="F49" s="6" t="e">
        <v>#N/A</v>
      </c>
      <c r="G49" s="6" t="e">
        <v>#N/A</v>
      </c>
      <c r="H49" s="6" t="e">
        <v>#N/A</v>
      </c>
      <c r="I49" s="6">
        <v>0</v>
      </c>
      <c r="J49" s="6">
        <v>0</v>
      </c>
      <c r="K49" s="6">
        <v>55.238093205319956</v>
      </c>
      <c r="L49" t="s">
        <v>17</v>
      </c>
      <c r="M49" t="s">
        <v>18</v>
      </c>
      <c r="N49" s="4" t="s">
        <v>209</v>
      </c>
      <c r="O49" s="4" t="s">
        <v>210</v>
      </c>
      <c r="P49" s="4" t="s">
        <v>233</v>
      </c>
    </row>
    <row r="50" spans="1:16" x14ac:dyDescent="0.35">
      <c r="A50" t="s">
        <v>211</v>
      </c>
      <c r="B50" t="s">
        <v>212</v>
      </c>
      <c r="C50" t="s">
        <v>16</v>
      </c>
      <c r="D50" s="6">
        <v>1252679962.4498751</v>
      </c>
      <c r="E50" s="6">
        <v>1443292962.4498751</v>
      </c>
      <c r="F50" s="6">
        <v>27.129999160766602</v>
      </c>
      <c r="G50" s="6">
        <v>27.239999771118164</v>
      </c>
      <c r="H50" s="6">
        <v>19.538169764423245</v>
      </c>
      <c r="I50" s="6">
        <v>-9.6019204651076273E-2</v>
      </c>
      <c r="J50" s="6">
        <v>694957000</v>
      </c>
      <c r="K50" s="6" t="e">
        <v>#N/A</v>
      </c>
      <c r="L50" t="s">
        <v>17</v>
      </c>
      <c r="M50" t="s">
        <v>87</v>
      </c>
      <c r="N50" s="4" t="s">
        <v>213</v>
      </c>
      <c r="O50" s="4" t="s">
        <v>214</v>
      </c>
      <c r="P50" s="4" t="s">
        <v>233</v>
      </c>
    </row>
    <row r="51" spans="1:16" x14ac:dyDescent="0.35">
      <c r="A51" t="s">
        <v>215</v>
      </c>
      <c r="B51" t="s">
        <v>216</v>
      </c>
      <c r="C51" t="s">
        <v>16</v>
      </c>
      <c r="D51" s="6" t="e">
        <v>#N/A</v>
      </c>
      <c r="E51" s="6" t="e">
        <v>#N/A</v>
      </c>
      <c r="F51" s="6" t="e">
        <v>#N/A</v>
      </c>
      <c r="G51" s="6" t="e">
        <v>#N/A</v>
      </c>
      <c r="H51" s="6" t="e">
        <v>#N/A</v>
      </c>
      <c r="I51" s="6">
        <v>4.4408920985006262E-16</v>
      </c>
      <c r="J51" s="6">
        <v>20407.000556588173</v>
      </c>
      <c r="K51" s="6">
        <v>0</v>
      </c>
      <c r="L51" t="s">
        <v>17</v>
      </c>
      <c r="M51" t="s">
        <v>18</v>
      </c>
      <c r="N51" s="4" t="s">
        <v>217</v>
      </c>
      <c r="O51" s="4" t="s">
        <v>218</v>
      </c>
      <c r="P51" s="4" t="s">
        <v>233</v>
      </c>
    </row>
    <row r="52" spans="1:16" x14ac:dyDescent="0.35">
      <c r="A52" t="s">
        <v>219</v>
      </c>
      <c r="B52" t="s">
        <v>220</v>
      </c>
      <c r="C52" t="s">
        <v>16</v>
      </c>
      <c r="D52" s="6">
        <v>464431.96500000003</v>
      </c>
      <c r="E52" s="6">
        <v>1014431.9650000001</v>
      </c>
      <c r="F52" s="6">
        <v>3.0000000000000001E-3</v>
      </c>
      <c r="G52" s="6">
        <v>3.0000000000000001E-3</v>
      </c>
      <c r="H52" s="6">
        <v>6.3559322033898313</v>
      </c>
      <c r="I52" s="6">
        <v>-0.74480963281917534</v>
      </c>
      <c r="J52" s="6">
        <v>0</v>
      </c>
      <c r="K52" s="6" t="e">
        <v>#N/A</v>
      </c>
      <c r="L52" t="s">
        <v>17</v>
      </c>
      <c r="M52" t="s">
        <v>27</v>
      </c>
      <c r="N52" s="4" t="s">
        <v>221</v>
      </c>
      <c r="O52" s="4" t="s">
        <v>222</v>
      </c>
      <c r="P52" s="4" t="s">
        <v>233</v>
      </c>
    </row>
    <row r="53" spans="1:16" x14ac:dyDescent="0.35">
      <c r="A53" t="s">
        <v>223</v>
      </c>
      <c r="B53" t="s">
        <v>224</v>
      </c>
      <c r="C53" t="s">
        <v>16</v>
      </c>
      <c r="D53" s="6">
        <v>12056670.074629782</v>
      </c>
      <c r="E53" s="6">
        <v>8171670.0746297818</v>
      </c>
      <c r="F53" s="6">
        <v>2.630000114440918</v>
      </c>
      <c r="G53" s="6">
        <v>2.4300000667572021</v>
      </c>
      <c r="H53" s="6" t="e">
        <v>#N/A</v>
      </c>
      <c r="I53" s="6">
        <v>-0.60365423492889936</v>
      </c>
      <c r="J53" s="6">
        <v>71000</v>
      </c>
      <c r="K53" s="6">
        <v>55.020057841216548</v>
      </c>
      <c r="L53" t="s">
        <v>17</v>
      </c>
      <c r="M53" t="s">
        <v>18</v>
      </c>
      <c r="N53" s="4" t="s">
        <v>225</v>
      </c>
      <c r="O53" s="4" t="s">
        <v>226</v>
      </c>
      <c r="P53" s="4" t="s">
        <v>233</v>
      </c>
    </row>
    <row r="54" spans="1:16" x14ac:dyDescent="0.35">
      <c r="A54" t="s">
        <v>227</v>
      </c>
      <c r="B54" t="s">
        <v>228</v>
      </c>
      <c r="C54" t="s">
        <v>16</v>
      </c>
      <c r="D54" s="6">
        <v>17993155.930996656</v>
      </c>
      <c r="E54" s="6">
        <v>-28663747.069003344</v>
      </c>
      <c r="F54" s="6">
        <v>2.1800000667572021</v>
      </c>
      <c r="G54" s="6">
        <v>2.0999999046325684</v>
      </c>
      <c r="H54" s="6" t="e">
        <v>#N/A</v>
      </c>
      <c r="I54" s="6">
        <v>-0.84315730064180072</v>
      </c>
      <c r="J54" s="6">
        <v>10066550</v>
      </c>
      <c r="K54" s="6">
        <v>76.800802140099037</v>
      </c>
      <c r="L54" t="s">
        <v>17</v>
      </c>
      <c r="M54" t="s">
        <v>18</v>
      </c>
      <c r="N54" s="4" t="s">
        <v>229</v>
      </c>
      <c r="O54" s="4" t="s">
        <v>230</v>
      </c>
      <c r="P54" s="4" t="s">
        <v>233</v>
      </c>
    </row>
    <row r="55" spans="1:16" x14ac:dyDescent="0.35">
      <c r="A55" t="s">
        <v>231</v>
      </c>
      <c r="B55" t="s">
        <v>232</v>
      </c>
      <c r="C55" t="s">
        <v>16</v>
      </c>
      <c r="D55" s="6">
        <v>15399798439.199524</v>
      </c>
      <c r="E55" s="6">
        <v>18282135439.199524</v>
      </c>
      <c r="F55" s="6">
        <v>186.52999877929688</v>
      </c>
      <c r="G55" s="6">
        <v>185.99000549316406</v>
      </c>
      <c r="H55" s="6">
        <v>18.451295847117748</v>
      </c>
      <c r="I55" s="6">
        <v>-0.32841731880166047</v>
      </c>
      <c r="J55" s="6">
        <v>8306823000</v>
      </c>
      <c r="K55" s="6">
        <v>44.497607655502378</v>
      </c>
      <c r="L55" t="s">
        <v>17</v>
      </c>
      <c r="M55" t="s">
        <v>100</v>
      </c>
      <c r="N55" s="4" t="s">
        <v>233</v>
      </c>
      <c r="O55" s="4" t="s">
        <v>234</v>
      </c>
      <c r="P55" s="4" t="s">
        <v>13092</v>
      </c>
    </row>
    <row r="56" spans="1:16" x14ac:dyDescent="0.35">
      <c r="A56" t="s">
        <v>235</v>
      </c>
      <c r="B56" t="s">
        <v>236</v>
      </c>
      <c r="C56" t="s">
        <v>16</v>
      </c>
      <c r="D56" s="6">
        <v>28499629635.181427</v>
      </c>
      <c r="E56" s="6">
        <v>30447629635.181427</v>
      </c>
      <c r="F56" s="6">
        <v>56.450000762939453</v>
      </c>
      <c r="G56" s="6">
        <v>57.389999389648438</v>
      </c>
      <c r="H56" s="6">
        <v>9.0111921979422007</v>
      </c>
      <c r="I56" s="6">
        <v>-0.27480789373421755</v>
      </c>
      <c r="J56" s="6">
        <v>163071000000</v>
      </c>
      <c r="K56" s="6">
        <v>27.364185110663993</v>
      </c>
      <c r="L56" t="s">
        <v>17</v>
      </c>
      <c r="M56" t="s">
        <v>40</v>
      </c>
      <c r="N56" s="4" t="s">
        <v>237</v>
      </c>
      <c r="O56" s="4" t="s">
        <v>238</v>
      </c>
      <c r="P56" s="4" t="s">
        <v>233</v>
      </c>
    </row>
    <row r="57" spans="1:16" x14ac:dyDescent="0.35">
      <c r="A57" t="s">
        <v>239</v>
      </c>
      <c r="B57" t="s">
        <v>240</v>
      </c>
      <c r="C57" t="s">
        <v>16</v>
      </c>
      <c r="D57" s="6">
        <v>47186449332.293304</v>
      </c>
      <c r="E57" s="6">
        <v>52246058332.293304</v>
      </c>
      <c r="F57" s="6">
        <v>243.58999633789063</v>
      </c>
      <c r="G57" s="6">
        <v>246.75</v>
      </c>
      <c r="H57" s="6">
        <v>20.876540133401996</v>
      </c>
      <c r="I57" s="6">
        <v>6.6115211600199064E-2</v>
      </c>
      <c r="J57" s="6">
        <v>303192826000</v>
      </c>
      <c r="K57" s="6">
        <v>-23.516720604099241</v>
      </c>
      <c r="L57" t="s">
        <v>17</v>
      </c>
      <c r="M57" t="s">
        <v>40</v>
      </c>
      <c r="N57" s="4" t="s">
        <v>241</v>
      </c>
      <c r="O57" s="4" t="s">
        <v>242</v>
      </c>
      <c r="P57" s="4" t="s">
        <v>233</v>
      </c>
    </row>
    <row r="58" spans="1:16" x14ac:dyDescent="0.35">
      <c r="A58" t="s">
        <v>243</v>
      </c>
      <c r="B58" t="s">
        <v>244</v>
      </c>
      <c r="C58" t="s">
        <v>16</v>
      </c>
      <c r="D58" s="6">
        <v>5421974346.5503836</v>
      </c>
      <c r="E58" s="6">
        <v>6160458346.5503836</v>
      </c>
      <c r="F58" s="6">
        <v>31.860000610351563</v>
      </c>
      <c r="G58" s="6">
        <v>31.409999847412109</v>
      </c>
      <c r="H58" s="6">
        <v>26.336238043175857</v>
      </c>
      <c r="I58" s="6">
        <v>-3.7651742989113113E-2</v>
      </c>
      <c r="J58" s="6">
        <v>4776174000</v>
      </c>
      <c r="K58" s="6">
        <v>-15.384615384615383</v>
      </c>
      <c r="L58" t="s">
        <v>17</v>
      </c>
      <c r="M58" t="s">
        <v>40</v>
      </c>
      <c r="N58" s="4" t="s">
        <v>245</v>
      </c>
      <c r="O58" s="4" t="s">
        <v>246</v>
      </c>
      <c r="P58" s="4" t="s">
        <v>233</v>
      </c>
    </row>
    <row r="59" spans="1:16" x14ac:dyDescent="0.35">
      <c r="A59" t="s">
        <v>247</v>
      </c>
      <c r="B59" t="s">
        <v>248</v>
      </c>
      <c r="C59" t="s">
        <v>16</v>
      </c>
      <c r="D59" s="6">
        <v>5545526.8283388019</v>
      </c>
      <c r="E59" s="6">
        <v>3544526.8283388019</v>
      </c>
      <c r="F59" s="6">
        <v>0.36090001463890076</v>
      </c>
      <c r="G59" s="6">
        <v>0.34999999403953552</v>
      </c>
      <c r="H59" s="6" t="e">
        <v>#N/A</v>
      </c>
      <c r="I59" s="6">
        <v>-0.67676924407323669</v>
      </c>
      <c r="J59" s="6">
        <v>103000</v>
      </c>
      <c r="K59" s="6">
        <v>49.967029459120035</v>
      </c>
      <c r="L59" t="s">
        <v>17</v>
      </c>
      <c r="M59" t="s">
        <v>18</v>
      </c>
      <c r="N59" s="4" t="s">
        <v>249</v>
      </c>
      <c r="O59" s="4" t="s">
        <v>250</v>
      </c>
      <c r="P59" s="4" t="s">
        <v>233</v>
      </c>
    </row>
    <row r="60" spans="1:16" x14ac:dyDescent="0.35">
      <c r="A60" t="s">
        <v>251</v>
      </c>
      <c r="B60" t="s">
        <v>252</v>
      </c>
      <c r="C60" t="s">
        <v>16</v>
      </c>
      <c r="D60" s="6" t="e">
        <v>#N/A</v>
      </c>
      <c r="E60" s="6" t="e">
        <v>#N/A</v>
      </c>
      <c r="F60" s="6" t="e">
        <v>#N/A</v>
      </c>
      <c r="G60" s="6" t="e">
        <v>#N/A</v>
      </c>
      <c r="H60" s="6" t="e">
        <v>#N/A</v>
      </c>
      <c r="I60" s="6">
        <v>0</v>
      </c>
      <c r="J60" s="6">
        <v>8133000</v>
      </c>
      <c r="K60" s="6">
        <v>27.351932345009576</v>
      </c>
      <c r="L60" t="s">
        <v>17</v>
      </c>
      <c r="M60" t="s">
        <v>27</v>
      </c>
      <c r="N60" s="4" t="s">
        <v>253</v>
      </c>
      <c r="O60" s="4" t="s">
        <v>254</v>
      </c>
      <c r="P60" s="4" t="s">
        <v>233</v>
      </c>
    </row>
    <row r="61" spans="1:16" x14ac:dyDescent="0.35">
      <c r="A61" t="s">
        <v>255</v>
      </c>
      <c r="B61" t="s">
        <v>256</v>
      </c>
      <c r="C61" t="s">
        <v>16</v>
      </c>
      <c r="D61" s="6">
        <v>1937810.1461094019</v>
      </c>
      <c r="E61" s="6">
        <v>882005.14610940195</v>
      </c>
      <c r="F61" s="6">
        <v>0.26759999990463257</v>
      </c>
      <c r="G61" s="6">
        <v>0.25999999046325684</v>
      </c>
      <c r="H61" s="6" t="e">
        <v>#N/A</v>
      </c>
      <c r="I61" s="6">
        <v>-0.72315130704879471</v>
      </c>
      <c r="J61" s="6">
        <v>0</v>
      </c>
      <c r="K61" s="6">
        <v>-39.980707381351479</v>
      </c>
      <c r="L61" t="s">
        <v>17</v>
      </c>
      <c r="M61" t="s">
        <v>18</v>
      </c>
      <c r="N61" s="4" t="s">
        <v>257</v>
      </c>
      <c r="O61" s="4" t="s">
        <v>258</v>
      </c>
      <c r="P61" s="4" t="s">
        <v>233</v>
      </c>
    </row>
    <row r="62" spans="1:16" x14ac:dyDescent="0.35">
      <c r="A62" t="s">
        <v>259</v>
      </c>
      <c r="B62" t="s">
        <v>260</v>
      </c>
      <c r="C62" t="s">
        <v>16</v>
      </c>
      <c r="D62" s="6">
        <v>1426.0574939747567</v>
      </c>
      <c r="E62" s="6">
        <v>-343184.93951604766</v>
      </c>
      <c r="F62" s="6" t="e">
        <v>#N/A</v>
      </c>
      <c r="G62" s="6" t="e">
        <v>#N/A</v>
      </c>
      <c r="H62" s="6" t="e">
        <v>#N/A</v>
      </c>
      <c r="I62" s="6">
        <v>-0.89936889779852247</v>
      </c>
      <c r="J62" s="6">
        <v>734544.00151968002</v>
      </c>
      <c r="K62" s="6">
        <v>33.333333333333336</v>
      </c>
      <c r="L62" t="s">
        <v>17</v>
      </c>
      <c r="M62" t="s">
        <v>18</v>
      </c>
      <c r="N62" s="4" t="s">
        <v>261</v>
      </c>
      <c r="O62" s="4" t="s">
        <v>262</v>
      </c>
      <c r="P62" s="4" t="s">
        <v>233</v>
      </c>
    </row>
    <row r="63" spans="1:16" x14ac:dyDescent="0.35">
      <c r="A63" t="s">
        <v>263</v>
      </c>
      <c r="B63" t="s">
        <v>264</v>
      </c>
      <c r="C63" t="s">
        <v>16</v>
      </c>
      <c r="D63" s="6">
        <v>9466010.9443792105</v>
      </c>
      <c r="E63" s="6">
        <v>7796164.9443792105</v>
      </c>
      <c r="F63" s="6">
        <v>0.67199999094009399</v>
      </c>
      <c r="G63" s="6">
        <v>0.62800002098083496</v>
      </c>
      <c r="H63" s="6" t="e">
        <v>#N/A</v>
      </c>
      <c r="I63" s="6">
        <v>-0.29054713110180541</v>
      </c>
      <c r="J63" s="6">
        <v>40633</v>
      </c>
      <c r="K63" s="6">
        <v>25.363694886462373</v>
      </c>
      <c r="L63" t="s">
        <v>17</v>
      </c>
      <c r="M63" t="s">
        <v>18</v>
      </c>
      <c r="N63" s="4" t="s">
        <v>265</v>
      </c>
      <c r="O63" s="4" t="s">
        <v>266</v>
      </c>
      <c r="P63" s="4" t="s">
        <v>233</v>
      </c>
    </row>
    <row r="64" spans="1:16" x14ac:dyDescent="0.35">
      <c r="A64" t="s">
        <v>267</v>
      </c>
      <c r="B64" t="s">
        <v>268</v>
      </c>
      <c r="C64" t="s">
        <v>16</v>
      </c>
      <c r="D64" s="6">
        <v>471952096</v>
      </c>
      <c r="E64" s="6">
        <v>279064096</v>
      </c>
      <c r="F64" s="6">
        <v>2.75</v>
      </c>
      <c r="G64" s="6">
        <v>2.690000057220459</v>
      </c>
      <c r="H64" s="6" t="e">
        <v>#N/A</v>
      </c>
      <c r="I64" s="6">
        <v>-0.44910087693506739</v>
      </c>
      <c r="J64" s="6">
        <v>0</v>
      </c>
      <c r="K64" s="6">
        <v>-38.709677419354797</v>
      </c>
      <c r="L64" t="s">
        <v>17</v>
      </c>
      <c r="M64" t="s">
        <v>18</v>
      </c>
      <c r="N64" s="4" t="s">
        <v>269</v>
      </c>
      <c r="O64" s="4" t="s">
        <v>270</v>
      </c>
      <c r="P64" s="4" t="s">
        <v>233</v>
      </c>
    </row>
    <row r="65" spans="1:16" x14ac:dyDescent="0.35">
      <c r="A65" t="s">
        <v>271</v>
      </c>
      <c r="B65" t="s">
        <v>272</v>
      </c>
      <c r="C65" t="s">
        <v>16</v>
      </c>
      <c r="D65" s="6">
        <v>466452182.54089355</v>
      </c>
      <c r="E65" s="6">
        <v>1104013182.5408936</v>
      </c>
      <c r="F65" s="6">
        <v>24.459999084472656</v>
      </c>
      <c r="G65" s="6">
        <v>24.629999160766602</v>
      </c>
      <c r="H65" s="6" t="e">
        <v>#N/A</v>
      </c>
      <c r="I65" s="6">
        <v>1.049702013611661</v>
      </c>
      <c r="J65" s="6">
        <v>278115000</v>
      </c>
      <c r="K65" s="6">
        <v>64.86486486486487</v>
      </c>
      <c r="L65" t="s">
        <v>17</v>
      </c>
      <c r="M65" t="s">
        <v>40</v>
      </c>
      <c r="N65" s="4" t="s">
        <v>273</v>
      </c>
      <c r="O65" s="4" t="s">
        <v>274</v>
      </c>
      <c r="P65" s="4" t="s">
        <v>233</v>
      </c>
    </row>
    <row r="66" spans="1:16" x14ac:dyDescent="0.35">
      <c r="A66" t="s">
        <v>13014</v>
      </c>
      <c r="B66" t="s">
        <v>13015</v>
      </c>
      <c r="C66" t="s">
        <v>16</v>
      </c>
      <c r="D66" s="6">
        <v>104687616.55532838</v>
      </c>
      <c r="E66" s="6">
        <v>103457616.55532838</v>
      </c>
      <c r="F66" s="6">
        <v>12.970000267028809</v>
      </c>
      <c r="G66" s="6">
        <v>10.729999542236328</v>
      </c>
      <c r="H66" s="6" t="e">
        <v>#N/A</v>
      </c>
      <c r="I66" s="6">
        <v>0.5756056788754611</v>
      </c>
      <c r="J66" s="6">
        <v>5681927</v>
      </c>
      <c r="K66" s="6">
        <v>88.306261429959534</v>
      </c>
      <c r="L66" t="s">
        <v>17</v>
      </c>
      <c r="M66" t="s">
        <v>32</v>
      </c>
      <c r="N66" s="4" t="s">
        <v>13016</v>
      </c>
      <c r="O66" s="4" t="s">
        <v>13017</v>
      </c>
      <c r="P66" s="4" t="s">
        <v>233</v>
      </c>
    </row>
    <row r="67" spans="1:16" x14ac:dyDescent="0.35">
      <c r="A67" t="s">
        <v>275</v>
      </c>
      <c r="B67" t="s">
        <v>276</v>
      </c>
      <c r="C67" t="s">
        <v>16</v>
      </c>
      <c r="D67" s="6">
        <v>133534889.40590213</v>
      </c>
      <c r="E67" s="6">
        <v>195419611.78988689</v>
      </c>
      <c r="F67" s="6">
        <v>0.58749997615814209</v>
      </c>
      <c r="G67" s="6">
        <v>0.5820000171661377</v>
      </c>
      <c r="H67" s="6" t="e">
        <v>#N/A</v>
      </c>
      <c r="I67" s="6">
        <v>0.30460476021703187</v>
      </c>
      <c r="J67" s="6">
        <v>37926233.025757454</v>
      </c>
      <c r="K67" s="6" t="e">
        <v>#N/A</v>
      </c>
      <c r="L67" t="s">
        <v>17</v>
      </c>
      <c r="M67" t="s">
        <v>87</v>
      </c>
      <c r="N67" s="4" t="s">
        <v>277</v>
      </c>
      <c r="O67" s="4" t="s">
        <v>278</v>
      </c>
      <c r="P67" s="4" t="s">
        <v>233</v>
      </c>
    </row>
    <row r="68" spans="1:16" x14ac:dyDescent="0.35">
      <c r="A68" t="s">
        <v>279</v>
      </c>
      <c r="B68" t="s">
        <v>280</v>
      </c>
      <c r="C68" t="s">
        <v>16</v>
      </c>
      <c r="D68" s="6">
        <v>422583.80477368832</v>
      </c>
      <c r="E68" s="6">
        <v>1487583.8047736883</v>
      </c>
      <c r="F68" s="6">
        <v>4.2249998077750206E-3</v>
      </c>
      <c r="G68" s="6">
        <v>4.2500002309679985E-3</v>
      </c>
      <c r="H68" s="6">
        <v>8.4499996155500416E-6</v>
      </c>
      <c r="I68" s="6">
        <v>-0.50918887328598905</v>
      </c>
      <c r="J68" s="6">
        <v>0</v>
      </c>
      <c r="K68" s="6">
        <v>0</v>
      </c>
      <c r="L68" t="s">
        <v>17</v>
      </c>
      <c r="M68" t="s">
        <v>40</v>
      </c>
      <c r="N68" s="4" t="s">
        <v>281</v>
      </c>
      <c r="O68" s="4" t="s">
        <v>282</v>
      </c>
      <c r="P68" s="4" t="s">
        <v>233</v>
      </c>
    </row>
    <row r="69" spans="1:16" x14ac:dyDescent="0.35">
      <c r="A69" t="s">
        <v>283</v>
      </c>
      <c r="B69" t="s">
        <v>284</v>
      </c>
      <c r="C69" t="s">
        <v>16</v>
      </c>
      <c r="D69" s="6">
        <v>2067304.2812921475</v>
      </c>
      <c r="E69" s="6">
        <v>136189304.28129217</v>
      </c>
      <c r="F69" s="6">
        <v>3.7499999161809683E-3</v>
      </c>
      <c r="G69" s="6">
        <v>1.9999999494757503E-4</v>
      </c>
      <c r="H69" s="6" t="e">
        <v>#N/A</v>
      </c>
      <c r="I69" s="6">
        <v>-0.84922047662102707</v>
      </c>
      <c r="J69" s="6">
        <v>64269000</v>
      </c>
      <c r="K69" s="6">
        <v>28.584778333607286</v>
      </c>
      <c r="L69" t="s">
        <v>17</v>
      </c>
      <c r="M69" t="s">
        <v>18</v>
      </c>
      <c r="N69" s="4" t="s">
        <v>285</v>
      </c>
      <c r="O69" s="4" t="s">
        <v>286</v>
      </c>
      <c r="P69" s="4" t="s">
        <v>233</v>
      </c>
    </row>
    <row r="70" spans="1:16" x14ac:dyDescent="0.35">
      <c r="A70" t="s">
        <v>287</v>
      </c>
      <c r="B70" t="s">
        <v>288</v>
      </c>
      <c r="C70" t="s">
        <v>16</v>
      </c>
      <c r="D70" s="6" t="e">
        <v>#N/A</v>
      </c>
      <c r="E70" s="6" t="e">
        <v>#N/A</v>
      </c>
      <c r="F70" s="6">
        <v>9.9999999747524271E-7</v>
      </c>
      <c r="G70" s="6">
        <v>9.9999999747524271E-7</v>
      </c>
      <c r="H70" s="6" t="e">
        <v>#N/A</v>
      </c>
      <c r="I70" s="6">
        <v>4.4408920985006262E-16</v>
      </c>
      <c r="J70" s="6" t="e">
        <v>#N/A</v>
      </c>
      <c r="K70" s="6" t="e">
        <v>#N/A</v>
      </c>
      <c r="L70" t="s">
        <v>17</v>
      </c>
      <c r="M70" t="s">
        <v>27</v>
      </c>
      <c r="N70" s="4" t="s">
        <v>289</v>
      </c>
      <c r="O70" s="4" t="s">
        <v>290</v>
      </c>
      <c r="P70" s="4" t="s">
        <v>233</v>
      </c>
    </row>
    <row r="71" spans="1:16" x14ac:dyDescent="0.35">
      <c r="A71" t="s">
        <v>291</v>
      </c>
      <c r="B71" t="s">
        <v>292</v>
      </c>
      <c r="C71" t="s">
        <v>16</v>
      </c>
      <c r="D71" s="6" t="e">
        <v>#N/A</v>
      </c>
      <c r="E71" s="6" t="e">
        <v>#N/A</v>
      </c>
      <c r="F71" s="6" t="e">
        <v>#N/A</v>
      </c>
      <c r="G71" s="6" t="e">
        <v>#N/A</v>
      </c>
      <c r="H71" s="6" t="e">
        <v>#N/A</v>
      </c>
      <c r="I71" s="6">
        <v>0</v>
      </c>
      <c r="J71" s="6">
        <v>0</v>
      </c>
      <c r="K71" s="6">
        <v>48.717949085334325</v>
      </c>
      <c r="L71" t="s">
        <v>17</v>
      </c>
      <c r="M71" t="s">
        <v>40</v>
      </c>
      <c r="N71" s="4" t="s">
        <v>293</v>
      </c>
      <c r="O71" s="4" t="s">
        <v>294</v>
      </c>
      <c r="P71" s="4" t="s">
        <v>233</v>
      </c>
    </row>
    <row r="72" spans="1:16" x14ac:dyDescent="0.35">
      <c r="A72" t="s">
        <v>295</v>
      </c>
      <c r="B72" t="s">
        <v>296</v>
      </c>
      <c r="C72" t="s">
        <v>16</v>
      </c>
      <c r="D72" s="6">
        <v>598563540.64901733</v>
      </c>
      <c r="E72" s="6">
        <v>538950540.64901733</v>
      </c>
      <c r="F72" s="6">
        <v>18.239999771118164</v>
      </c>
      <c r="G72" s="6">
        <v>18.219999313354492</v>
      </c>
      <c r="H72" s="6">
        <v>107.89770877744421</v>
      </c>
      <c r="I72" s="6">
        <v>-0.11341029574209061</v>
      </c>
      <c r="J72" s="6">
        <v>1448099000</v>
      </c>
      <c r="K72" s="6" t="e">
        <v>#N/A</v>
      </c>
      <c r="L72" t="s">
        <v>17</v>
      </c>
      <c r="M72" t="s">
        <v>40</v>
      </c>
      <c r="N72" s="4" t="s">
        <v>297</v>
      </c>
      <c r="O72" s="4" t="s">
        <v>298</v>
      </c>
      <c r="P72" s="4" t="s">
        <v>233</v>
      </c>
    </row>
    <row r="73" spans="1:16" x14ac:dyDescent="0.35">
      <c r="A73" t="s">
        <v>299</v>
      </c>
      <c r="B73" t="s">
        <v>300</v>
      </c>
      <c r="C73" t="s">
        <v>16</v>
      </c>
      <c r="D73" s="6">
        <v>8430.4627</v>
      </c>
      <c r="E73" s="6">
        <v>-82276.537299999982</v>
      </c>
      <c r="F73" s="6" t="e">
        <v>#N/A</v>
      </c>
      <c r="G73" s="6" t="e">
        <v>#N/A</v>
      </c>
      <c r="H73" s="6" t="e">
        <v>#N/A</v>
      </c>
      <c r="I73" s="6">
        <v>830.76377416867331</v>
      </c>
      <c r="J73" s="6">
        <v>397692</v>
      </c>
      <c r="K73" s="6" t="e">
        <v>#N/A</v>
      </c>
      <c r="L73" t="s">
        <v>17</v>
      </c>
      <c r="M73" t="s">
        <v>27</v>
      </c>
      <c r="N73" s="4" t="s">
        <v>301</v>
      </c>
      <c r="O73" s="4" t="s">
        <v>302</v>
      </c>
      <c r="P73" s="4" t="s">
        <v>233</v>
      </c>
    </row>
    <row r="74" spans="1:16" x14ac:dyDescent="0.35">
      <c r="A74" t="s">
        <v>303</v>
      </c>
      <c r="B74" t="s">
        <v>304</v>
      </c>
      <c r="C74" t="s">
        <v>16</v>
      </c>
      <c r="D74" s="6">
        <v>11073027.19899416</v>
      </c>
      <c r="E74" s="6">
        <v>11339027.19899416</v>
      </c>
      <c r="F74" s="6">
        <v>7.4699997901916504</v>
      </c>
      <c r="G74" s="6">
        <v>7.4800000190734863</v>
      </c>
      <c r="H74" s="6" t="e">
        <v>#N/A</v>
      </c>
      <c r="I74" s="6">
        <v>0.1630699084441154</v>
      </c>
      <c r="J74" s="6">
        <v>17411000</v>
      </c>
      <c r="K74" s="6">
        <v>72.369562473310893</v>
      </c>
      <c r="L74" t="s">
        <v>17</v>
      </c>
      <c r="M74" t="s">
        <v>40</v>
      </c>
      <c r="N74" s="4" t="s">
        <v>305</v>
      </c>
      <c r="O74" s="4" t="s">
        <v>306</v>
      </c>
      <c r="P74" s="4" t="s">
        <v>233</v>
      </c>
    </row>
    <row r="75" spans="1:16" x14ac:dyDescent="0.35">
      <c r="A75" t="s">
        <v>307</v>
      </c>
      <c r="B75" t="s">
        <v>308</v>
      </c>
      <c r="C75" t="s">
        <v>16</v>
      </c>
      <c r="D75" s="6">
        <v>8232942546.5</v>
      </c>
      <c r="E75" s="6">
        <v>8142397546.5</v>
      </c>
      <c r="F75" s="6">
        <v>549.5</v>
      </c>
      <c r="G75" s="6">
        <v>550.92999267578125</v>
      </c>
      <c r="H75" s="6">
        <v>27.189923172014534</v>
      </c>
      <c r="I75" s="6">
        <v>-6.4010389773406784E-2</v>
      </c>
      <c r="J75" s="6">
        <v>2377206000</v>
      </c>
      <c r="K75" s="6">
        <v>22.699386503067505</v>
      </c>
      <c r="L75" t="s">
        <v>17</v>
      </c>
      <c r="M75" t="s">
        <v>40</v>
      </c>
      <c r="N75" s="4" t="s">
        <v>309</v>
      </c>
      <c r="O75" s="4" t="s">
        <v>310</v>
      </c>
      <c r="P75" s="4" t="s">
        <v>233</v>
      </c>
    </row>
    <row r="76" spans="1:16" x14ac:dyDescent="0.35">
      <c r="A76" t="s">
        <v>311</v>
      </c>
      <c r="B76" t="s">
        <v>312</v>
      </c>
      <c r="C76" t="s">
        <v>16</v>
      </c>
      <c r="D76" s="6">
        <v>116712277371.66809</v>
      </c>
      <c r="E76" s="6">
        <v>112253577371.66809</v>
      </c>
      <c r="F76" s="6">
        <v>453.20001220703125</v>
      </c>
      <c r="G76" s="6">
        <v>451.82998657226563</v>
      </c>
      <c r="H76" s="6">
        <v>40.057694056367438</v>
      </c>
      <c r="I76" s="6">
        <v>8.2602147283281857E-2</v>
      </c>
      <c r="J76" s="6">
        <v>11020100000</v>
      </c>
      <c r="K76" s="6" t="e">
        <v>#N/A</v>
      </c>
      <c r="L76" t="s">
        <v>17</v>
      </c>
      <c r="M76" t="s">
        <v>18</v>
      </c>
      <c r="N76" s="4" t="s">
        <v>313</v>
      </c>
      <c r="O76" s="4" t="s">
        <v>314</v>
      </c>
      <c r="P76" s="4" t="s">
        <v>233</v>
      </c>
    </row>
    <row r="77" spans="1:16" x14ac:dyDescent="0.35">
      <c r="A77" t="s">
        <v>315</v>
      </c>
      <c r="B77" t="s">
        <v>316</v>
      </c>
      <c r="C77" t="s">
        <v>16</v>
      </c>
      <c r="D77" s="6">
        <v>487793.84552081005</v>
      </c>
      <c r="E77" s="6" t="e">
        <v>#N/A</v>
      </c>
      <c r="F77" s="6">
        <v>8.9999998454004526E-4</v>
      </c>
      <c r="G77" s="6">
        <v>8.9999998454004526E-4</v>
      </c>
      <c r="H77" s="6" t="e">
        <v>#N/A</v>
      </c>
      <c r="I77" s="6">
        <v>-0.27935348473374821</v>
      </c>
      <c r="J77" s="6" t="e">
        <v>#N/A</v>
      </c>
      <c r="K77" s="6" t="e">
        <v>#N/A</v>
      </c>
      <c r="L77" t="s">
        <v>17</v>
      </c>
      <c r="M77" t="s">
        <v>32</v>
      </c>
      <c r="N77" s="4" t="s">
        <v>317</v>
      </c>
      <c r="O77" s="4" t="s">
        <v>318</v>
      </c>
      <c r="P77" s="4" t="s">
        <v>233</v>
      </c>
    </row>
    <row r="78" spans="1:16" x14ac:dyDescent="0.35">
      <c r="A78" t="s">
        <v>319</v>
      </c>
      <c r="B78" t="s">
        <v>320</v>
      </c>
      <c r="C78" t="s">
        <v>16</v>
      </c>
      <c r="D78" s="6">
        <v>495405.37199999997</v>
      </c>
      <c r="E78" s="6">
        <v>39593405.779218934</v>
      </c>
      <c r="F78" s="6">
        <v>7.0000000000000001E-3</v>
      </c>
      <c r="G78" s="6">
        <v>7.0000000000000001E-3</v>
      </c>
      <c r="H78" s="6" t="e">
        <v>#N/A</v>
      </c>
      <c r="I78" s="6">
        <v>-0.65382770904633192</v>
      </c>
      <c r="J78" s="6">
        <v>153159000.39672852</v>
      </c>
      <c r="K78" s="6">
        <v>19.696146493493142</v>
      </c>
      <c r="L78" t="s">
        <v>17</v>
      </c>
      <c r="M78" t="s">
        <v>87</v>
      </c>
      <c r="N78" s="4" t="s">
        <v>321</v>
      </c>
      <c r="O78" s="4" t="s">
        <v>322</v>
      </c>
      <c r="P78" s="4" t="s">
        <v>233</v>
      </c>
    </row>
    <row r="79" spans="1:16" x14ac:dyDescent="0.35">
      <c r="A79" t="s">
        <v>323</v>
      </c>
      <c r="B79" t="s">
        <v>324</v>
      </c>
      <c r="C79" t="s">
        <v>16</v>
      </c>
      <c r="D79" s="6">
        <v>146029582717.27887</v>
      </c>
      <c r="E79" s="6">
        <v>159963582717.27887</v>
      </c>
      <c r="F79" s="6">
        <v>202.17999267578125</v>
      </c>
      <c r="G79" s="6">
        <v>199.46000671386719</v>
      </c>
      <c r="H79" s="6">
        <v>35.778845155491673</v>
      </c>
      <c r="I79" s="6">
        <v>-0.17691503416939736</v>
      </c>
      <c r="J79" s="6">
        <v>23875000000</v>
      </c>
      <c r="K79" s="6">
        <v>-6.491228070175441</v>
      </c>
      <c r="L79" t="s">
        <v>17</v>
      </c>
      <c r="M79" t="s">
        <v>100</v>
      </c>
      <c r="N79" s="4" t="s">
        <v>325</v>
      </c>
      <c r="O79" s="4" t="s">
        <v>326</v>
      </c>
      <c r="P79" s="4" t="s">
        <v>233</v>
      </c>
    </row>
    <row r="80" spans="1:16" x14ac:dyDescent="0.35">
      <c r="A80" t="s">
        <v>327</v>
      </c>
      <c r="B80" t="s">
        <v>328</v>
      </c>
      <c r="C80" t="s">
        <v>16</v>
      </c>
      <c r="D80" s="6">
        <v>774995392.94128406</v>
      </c>
      <c r="E80" s="6">
        <v>939755392.94128406</v>
      </c>
      <c r="F80" s="6">
        <v>142.6300048828125</v>
      </c>
      <c r="G80" s="6">
        <v>147.24000549316406</v>
      </c>
      <c r="H80" s="6" t="e">
        <v>#N/A</v>
      </c>
      <c r="I80" s="6">
        <v>0.50307922165153629</v>
      </c>
      <c r="J80" s="6">
        <v>237747000</v>
      </c>
      <c r="K80" s="6" t="e">
        <v>#N/A</v>
      </c>
      <c r="L80" t="s">
        <v>17</v>
      </c>
      <c r="M80" t="s">
        <v>100</v>
      </c>
      <c r="N80" s="4" t="s">
        <v>329</v>
      </c>
      <c r="O80" s="4" t="s">
        <v>330</v>
      </c>
      <c r="P80" s="4" t="s">
        <v>233</v>
      </c>
    </row>
    <row r="81" spans="1:16" x14ac:dyDescent="0.35">
      <c r="A81" t="s">
        <v>331</v>
      </c>
      <c r="B81" t="s">
        <v>332</v>
      </c>
      <c r="C81" t="s">
        <v>16</v>
      </c>
      <c r="D81" s="6">
        <v>155886728140.90903</v>
      </c>
      <c r="E81" s="6" t="e">
        <v>#N/A</v>
      </c>
      <c r="F81" s="6">
        <v>105.76999664306641</v>
      </c>
      <c r="G81" s="6">
        <v>105.23999786376953</v>
      </c>
      <c r="H81" s="6">
        <v>52.468763619737821</v>
      </c>
      <c r="I81" s="6">
        <v>0.62531686256801766</v>
      </c>
      <c r="J81" s="6">
        <v>16747000000</v>
      </c>
      <c r="K81" s="6">
        <v>16.666666666666661</v>
      </c>
      <c r="L81" t="s">
        <v>17</v>
      </c>
      <c r="M81" t="s">
        <v>27</v>
      </c>
      <c r="N81" s="4" t="s">
        <v>333</v>
      </c>
      <c r="O81" s="4" t="s">
        <v>334</v>
      </c>
      <c r="P81" s="4" t="s">
        <v>233</v>
      </c>
    </row>
    <row r="82" spans="1:16" x14ac:dyDescent="0.35">
      <c r="A82" t="s">
        <v>335</v>
      </c>
      <c r="B82" t="s">
        <v>336</v>
      </c>
      <c r="C82" t="s">
        <v>16</v>
      </c>
      <c r="D82" s="6">
        <v>1254989181.9374316</v>
      </c>
      <c r="E82" s="6">
        <v>1446629181.9374316</v>
      </c>
      <c r="F82" s="6">
        <v>59.680000305175781</v>
      </c>
      <c r="G82" s="6">
        <v>59.009998321533203</v>
      </c>
      <c r="H82" s="6">
        <v>301.30609884928032</v>
      </c>
      <c r="I82" s="6">
        <v>4.6336921855868907E-2</v>
      </c>
      <c r="J82" s="6">
        <v>555456000</v>
      </c>
      <c r="K82" s="6" t="e">
        <v>#N/A</v>
      </c>
      <c r="L82" t="s">
        <v>17</v>
      </c>
      <c r="M82" t="s">
        <v>87</v>
      </c>
      <c r="N82" s="4" t="s">
        <v>337</v>
      </c>
      <c r="O82" s="4" t="s">
        <v>338</v>
      </c>
      <c r="P82" s="4" t="s">
        <v>233</v>
      </c>
    </row>
    <row r="83" spans="1:16" x14ac:dyDescent="0.35">
      <c r="A83" t="s">
        <v>339</v>
      </c>
      <c r="B83" t="s">
        <v>340</v>
      </c>
      <c r="C83" t="s">
        <v>16</v>
      </c>
      <c r="D83" s="6">
        <v>6280189238.3382473</v>
      </c>
      <c r="E83" s="6">
        <v>6576213238.3382473</v>
      </c>
      <c r="F83" s="6">
        <v>107.76000213623047</v>
      </c>
      <c r="G83" s="6">
        <v>107.23000335693359</v>
      </c>
      <c r="H83" s="6">
        <v>46.176116345398064</v>
      </c>
      <c r="I83" s="6">
        <v>0.34640770055507608</v>
      </c>
      <c r="J83" s="6">
        <v>1325871000</v>
      </c>
      <c r="K83" s="6">
        <v>18.965517241379313</v>
      </c>
      <c r="L83" t="s">
        <v>17</v>
      </c>
      <c r="M83" t="s">
        <v>27</v>
      </c>
      <c r="N83" s="4" t="s">
        <v>341</v>
      </c>
      <c r="O83" s="4" t="s">
        <v>342</v>
      </c>
      <c r="P83" s="4" t="s">
        <v>233</v>
      </c>
    </row>
    <row r="84" spans="1:16" x14ac:dyDescent="0.35">
      <c r="A84" t="s">
        <v>343</v>
      </c>
      <c r="B84" t="s">
        <v>344</v>
      </c>
      <c r="C84" t="s">
        <v>16</v>
      </c>
      <c r="D84" s="6">
        <v>2165660895.8584213</v>
      </c>
      <c r="E84" s="6">
        <v>2060097895.8584213</v>
      </c>
      <c r="F84" s="6">
        <v>96.319999694824219</v>
      </c>
      <c r="G84" s="6">
        <v>95.589996337890625</v>
      </c>
      <c r="H84" s="6">
        <v>52.587757564990383</v>
      </c>
      <c r="I84" s="6">
        <v>0.55838951843706286</v>
      </c>
      <c r="J84" s="6">
        <v>213029000</v>
      </c>
      <c r="K84" s="6">
        <v>50.406504065040664</v>
      </c>
      <c r="L84" t="s">
        <v>17</v>
      </c>
      <c r="M84" t="s">
        <v>27</v>
      </c>
      <c r="N84" s="4" t="s">
        <v>345</v>
      </c>
      <c r="O84" s="4" t="s">
        <v>346</v>
      </c>
      <c r="P84" s="4" t="s">
        <v>233</v>
      </c>
    </row>
    <row r="85" spans="1:16" x14ac:dyDescent="0.35">
      <c r="A85" t="s">
        <v>347</v>
      </c>
      <c r="B85" t="s">
        <v>348</v>
      </c>
      <c r="C85" t="s">
        <v>16</v>
      </c>
      <c r="D85" s="6">
        <v>2371.2060999999999</v>
      </c>
      <c r="E85" s="6">
        <v>44086371.206100002</v>
      </c>
      <c r="F85" s="6">
        <v>1E-4</v>
      </c>
      <c r="G85" s="6">
        <v>1E-4</v>
      </c>
      <c r="H85" s="6" t="e">
        <v>#N/A</v>
      </c>
      <c r="I85" s="6">
        <v>-2.1427304375265521E-14</v>
      </c>
      <c r="J85" s="6">
        <v>65753966</v>
      </c>
      <c r="K85" s="6" t="e">
        <v>#N/A</v>
      </c>
      <c r="L85" t="s">
        <v>17</v>
      </c>
      <c r="M85" t="s">
        <v>87</v>
      </c>
      <c r="N85" s="4" t="s">
        <v>349</v>
      </c>
      <c r="O85" s="4" t="s">
        <v>350</v>
      </c>
      <c r="P85" s="4" t="s">
        <v>233</v>
      </c>
    </row>
    <row r="86" spans="1:16" x14ac:dyDescent="0.35">
      <c r="A86" t="s">
        <v>351</v>
      </c>
      <c r="B86" t="s">
        <v>352</v>
      </c>
      <c r="C86" t="s">
        <v>16</v>
      </c>
      <c r="D86" s="6">
        <v>225442479.55546814</v>
      </c>
      <c r="E86" s="6">
        <v>-70136520.444531798</v>
      </c>
      <c r="F86" s="6">
        <v>0.5601000189781189</v>
      </c>
      <c r="G86" s="6">
        <v>0.50999999046325684</v>
      </c>
      <c r="H86" s="6" t="e">
        <v>#N/A</v>
      </c>
      <c r="I86" s="6">
        <v>-0.53613222231315882</v>
      </c>
      <c r="J86" s="6">
        <v>241021000</v>
      </c>
      <c r="K86" s="6">
        <v>30.769230769230774</v>
      </c>
      <c r="L86" t="s">
        <v>17</v>
      </c>
      <c r="M86" t="s">
        <v>18</v>
      </c>
      <c r="N86" s="4" t="s">
        <v>353</v>
      </c>
      <c r="O86" s="4" t="s">
        <v>354</v>
      </c>
      <c r="P86" s="4" t="s">
        <v>233</v>
      </c>
    </row>
    <row r="87" spans="1:16" x14ac:dyDescent="0.35">
      <c r="A87" t="s">
        <v>355</v>
      </c>
      <c r="B87" t="s">
        <v>356</v>
      </c>
      <c r="C87" t="s">
        <v>16</v>
      </c>
      <c r="D87" s="6">
        <v>8781984343.4403057</v>
      </c>
      <c r="E87" s="6">
        <v>8548103343.4403057</v>
      </c>
      <c r="F87" s="6">
        <v>312.3599853515625</v>
      </c>
      <c r="G87" s="6">
        <v>310.70001220703125</v>
      </c>
      <c r="H87" s="6">
        <v>31.519825104272694</v>
      </c>
      <c r="I87" s="6">
        <v>-4.263652420181141E-2</v>
      </c>
      <c r="J87" s="6">
        <v>2580209000</v>
      </c>
      <c r="K87" s="6">
        <v>-376.92307692307645</v>
      </c>
      <c r="L87" t="s">
        <v>17</v>
      </c>
      <c r="M87" t="s">
        <v>100</v>
      </c>
      <c r="N87" s="4" t="s">
        <v>357</v>
      </c>
      <c r="O87" s="4" t="s">
        <v>358</v>
      </c>
      <c r="P87" s="4" t="s">
        <v>233</v>
      </c>
    </row>
    <row r="88" spans="1:16" x14ac:dyDescent="0.35">
      <c r="A88" t="s">
        <v>359</v>
      </c>
      <c r="B88" t="s">
        <v>360</v>
      </c>
      <c r="C88" t="s">
        <v>16</v>
      </c>
      <c r="D88" s="6">
        <v>117136795002.73732</v>
      </c>
      <c r="E88" s="6">
        <v>137695795002.7373</v>
      </c>
      <c r="F88" s="6">
        <v>91.349998474121094</v>
      </c>
      <c r="G88" s="6">
        <v>90.599998474121094</v>
      </c>
      <c r="H88" s="6">
        <v>21.890783434636681</v>
      </c>
      <c r="I88" s="6">
        <v>0.11012090700463339</v>
      </c>
      <c r="J88" s="6">
        <v>32996000000</v>
      </c>
      <c r="K88" s="6">
        <v>6.4935064935064988</v>
      </c>
      <c r="L88" t="s">
        <v>17</v>
      </c>
      <c r="M88" t="s">
        <v>27</v>
      </c>
      <c r="N88" s="4" t="s">
        <v>233</v>
      </c>
      <c r="O88" s="4" t="s">
        <v>361</v>
      </c>
      <c r="P88" s="4" t="s">
        <v>13093</v>
      </c>
    </row>
    <row r="89" spans="1:16" x14ac:dyDescent="0.35">
      <c r="A89" t="s">
        <v>362</v>
      </c>
      <c r="B89" t="s">
        <v>363</v>
      </c>
      <c r="C89" t="s">
        <v>16</v>
      </c>
      <c r="D89" s="6">
        <v>205785142569.99997</v>
      </c>
      <c r="E89" s="6">
        <v>231610142569.99997</v>
      </c>
      <c r="F89" s="6">
        <v>538</v>
      </c>
      <c r="G89" s="6">
        <v>539.09002685546875</v>
      </c>
      <c r="H89" s="6">
        <v>30.868893954906628</v>
      </c>
      <c r="I89" s="6">
        <v>-1.3479504624390959E-2</v>
      </c>
      <c r="J89" s="6">
        <v>42879000000</v>
      </c>
      <c r="K89" s="6">
        <v>6.8298969072164866</v>
      </c>
      <c r="L89" t="s">
        <v>17</v>
      </c>
      <c r="M89" t="s">
        <v>100</v>
      </c>
      <c r="N89" s="4" t="s">
        <v>364</v>
      </c>
      <c r="O89" s="4" t="s">
        <v>365</v>
      </c>
      <c r="P89" s="4" t="s">
        <v>233</v>
      </c>
    </row>
    <row r="90" spans="1:16" x14ac:dyDescent="0.35">
      <c r="A90" t="s">
        <v>366</v>
      </c>
      <c r="B90" t="s">
        <v>367</v>
      </c>
      <c r="C90" t="s">
        <v>16</v>
      </c>
      <c r="D90" s="6">
        <v>64849536585.385536</v>
      </c>
      <c r="E90" s="6">
        <v>82879536585.385529</v>
      </c>
      <c r="F90" s="6">
        <v>225.85000610351563</v>
      </c>
      <c r="G90" s="6">
        <v>227.5</v>
      </c>
      <c r="H90" s="6">
        <v>16.092257483488467</v>
      </c>
      <c r="I90" s="6">
        <v>-5.6307683708743062E-2</v>
      </c>
      <c r="J90" s="6">
        <v>20640000000</v>
      </c>
      <c r="K90" s="6">
        <v>35.146961451247144</v>
      </c>
      <c r="L90" t="s">
        <v>17</v>
      </c>
      <c r="M90" t="s">
        <v>27</v>
      </c>
      <c r="N90" s="4" t="s">
        <v>368</v>
      </c>
      <c r="O90" s="4" t="s">
        <v>369</v>
      </c>
      <c r="P90" s="4" t="s">
        <v>233</v>
      </c>
    </row>
    <row r="91" spans="1:16" x14ac:dyDescent="0.35">
      <c r="A91" t="s">
        <v>370</v>
      </c>
      <c r="B91" t="s">
        <v>371</v>
      </c>
      <c r="C91" t="s">
        <v>16</v>
      </c>
      <c r="D91" s="6">
        <v>15465698295.946892</v>
      </c>
      <c r="E91" s="6">
        <v>27309698295.946892</v>
      </c>
      <c r="F91" s="6">
        <v>30.290000915527344</v>
      </c>
      <c r="G91" s="6">
        <v>30.530000686645508</v>
      </c>
      <c r="H91" s="6">
        <v>23.477654308430289</v>
      </c>
      <c r="I91" s="6">
        <v>-0.22655463408800025</v>
      </c>
      <c r="J91" s="6">
        <v>13988000000</v>
      </c>
      <c r="K91" s="6">
        <v>-625.00000000000034</v>
      </c>
      <c r="L91" t="s">
        <v>17</v>
      </c>
      <c r="M91" t="s">
        <v>27</v>
      </c>
      <c r="N91" s="4" t="s">
        <v>372</v>
      </c>
      <c r="O91" s="4" t="s">
        <v>373</v>
      </c>
      <c r="P91" s="4" t="s">
        <v>233</v>
      </c>
    </row>
    <row r="92" spans="1:16" x14ac:dyDescent="0.35">
      <c r="A92" t="s">
        <v>374</v>
      </c>
      <c r="B92" t="s">
        <v>375</v>
      </c>
      <c r="C92" t="s">
        <v>16</v>
      </c>
      <c r="D92" s="6">
        <v>22676354829.782043</v>
      </c>
      <c r="E92" s="6">
        <v>23977487829.782043</v>
      </c>
      <c r="F92" s="6">
        <v>381.91000366210938</v>
      </c>
      <c r="G92" s="6">
        <v>388.33999633789063</v>
      </c>
      <c r="H92" s="6">
        <v>34.628173398743662</v>
      </c>
      <c r="I92" s="6">
        <v>0.19214911815788072</v>
      </c>
      <c r="J92" s="6">
        <v>2958387000</v>
      </c>
      <c r="K92" s="6">
        <v>-1.1039558417663222</v>
      </c>
      <c r="L92" t="s">
        <v>17</v>
      </c>
      <c r="M92" t="s">
        <v>100</v>
      </c>
      <c r="N92" s="4" t="s">
        <v>376</v>
      </c>
      <c r="O92" s="4" t="s">
        <v>377</v>
      </c>
      <c r="P92" s="4" t="s">
        <v>233</v>
      </c>
    </row>
    <row r="93" spans="1:16" x14ac:dyDescent="0.35">
      <c r="A93" t="s">
        <v>378</v>
      </c>
      <c r="B93" t="s">
        <v>379</v>
      </c>
      <c r="C93" t="s">
        <v>16</v>
      </c>
      <c r="D93" s="6" t="e">
        <v>#N/A</v>
      </c>
      <c r="E93" s="6" t="e">
        <v>#N/A</v>
      </c>
      <c r="F93" s="6" t="e">
        <v>#N/A</v>
      </c>
      <c r="G93" s="6" t="e">
        <v>#N/A</v>
      </c>
      <c r="H93" s="6" t="e">
        <v>#N/A</v>
      </c>
      <c r="I93" s="6">
        <v>108.42237739710593</v>
      </c>
      <c r="J93" s="6">
        <v>0</v>
      </c>
      <c r="K93" s="6">
        <v>71.502016926362415</v>
      </c>
      <c r="L93" t="s">
        <v>17</v>
      </c>
      <c r="M93" t="s">
        <v>18</v>
      </c>
      <c r="N93" s="4" t="s">
        <v>380</v>
      </c>
      <c r="O93" s="4" t="s">
        <v>381</v>
      </c>
      <c r="P93" s="4" t="s">
        <v>233</v>
      </c>
    </row>
    <row r="94" spans="1:16" x14ac:dyDescent="0.35">
      <c r="A94" t="s">
        <v>382</v>
      </c>
      <c r="B94" t="s">
        <v>383</v>
      </c>
      <c r="C94" t="s">
        <v>16</v>
      </c>
      <c r="D94" s="6">
        <v>4055132.2257000003</v>
      </c>
      <c r="E94" s="6">
        <v>16160958.2257</v>
      </c>
      <c r="F94" s="6">
        <v>9.9999999747524271E-7</v>
      </c>
      <c r="G94" s="6">
        <v>9.9999999747524271E-7</v>
      </c>
      <c r="H94" s="6">
        <v>1.331905527241787E-6</v>
      </c>
      <c r="I94" s="6">
        <v>2.2204460492503131E-15</v>
      </c>
      <c r="J94" s="6">
        <v>20302689</v>
      </c>
      <c r="K94" s="6">
        <v>-99.941931617552072</v>
      </c>
      <c r="L94" t="s">
        <v>17</v>
      </c>
      <c r="M94" t="s">
        <v>40</v>
      </c>
      <c r="N94" s="4" t="s">
        <v>384</v>
      </c>
      <c r="O94" s="4" t="s">
        <v>385</v>
      </c>
      <c r="P94" s="4" t="s">
        <v>233</v>
      </c>
    </row>
    <row r="95" spans="1:16" x14ac:dyDescent="0.35">
      <c r="A95" t="s">
        <v>386</v>
      </c>
      <c r="B95" t="s">
        <v>387</v>
      </c>
      <c r="C95" t="s">
        <v>16</v>
      </c>
      <c r="D95" s="6">
        <v>2495549068.2659149</v>
      </c>
      <c r="E95" s="6">
        <v>3877443068.2659149</v>
      </c>
      <c r="F95" s="6">
        <v>43.889999389648438</v>
      </c>
      <c r="G95" s="6">
        <v>43.330001831054688</v>
      </c>
      <c r="H95" s="6" t="e">
        <v>#N/A</v>
      </c>
      <c r="I95" s="6">
        <v>-0.2756998846163482</v>
      </c>
      <c r="J95" s="6">
        <v>2001668000</v>
      </c>
      <c r="K95" s="6">
        <v>-8.0611158624469628</v>
      </c>
      <c r="L95" t="s">
        <v>17</v>
      </c>
      <c r="M95" t="s">
        <v>27</v>
      </c>
      <c r="N95" s="4" t="s">
        <v>388</v>
      </c>
      <c r="O95" s="4" t="s">
        <v>389</v>
      </c>
      <c r="P95" s="4" t="s">
        <v>233</v>
      </c>
    </row>
    <row r="96" spans="1:16" x14ac:dyDescent="0.35">
      <c r="A96" t="s">
        <v>390</v>
      </c>
      <c r="B96" t="s">
        <v>391</v>
      </c>
      <c r="C96" t="s">
        <v>16</v>
      </c>
      <c r="D96" s="6">
        <v>2070924170.1748123</v>
      </c>
      <c r="E96" s="6">
        <v>1634387170.1748123</v>
      </c>
      <c r="F96" s="6">
        <v>45.319999694824219</v>
      </c>
      <c r="G96" s="6">
        <v>45.430000305175781</v>
      </c>
      <c r="H96" s="6" t="e">
        <v>#N/A</v>
      </c>
      <c r="I96" s="6">
        <v>-0.31189991320733568</v>
      </c>
      <c r="J96" s="6">
        <v>649515000</v>
      </c>
      <c r="K96" s="6">
        <v>-1833.3333333333337</v>
      </c>
      <c r="L96" t="s">
        <v>17</v>
      </c>
      <c r="M96" t="s">
        <v>100</v>
      </c>
      <c r="N96" s="4" t="s">
        <v>392</v>
      </c>
      <c r="O96" s="4" t="s">
        <v>393</v>
      </c>
      <c r="P96" s="4" t="s">
        <v>233</v>
      </c>
    </row>
    <row r="97" spans="1:16" x14ac:dyDescent="0.35">
      <c r="A97" t="s">
        <v>394</v>
      </c>
      <c r="B97" t="s">
        <v>395</v>
      </c>
      <c r="C97" t="s">
        <v>16</v>
      </c>
      <c r="D97" s="6">
        <v>13191710.017499998</v>
      </c>
      <c r="E97" s="6">
        <v>15200713.017499998</v>
      </c>
      <c r="F97" s="6">
        <v>0.47249999999999998</v>
      </c>
      <c r="G97" s="6">
        <v>0.49199999999999999</v>
      </c>
      <c r="H97" s="6" t="e">
        <v>#N/A</v>
      </c>
      <c r="I97" s="6">
        <v>-0.49639486397944876</v>
      </c>
      <c r="J97" s="6">
        <v>1772601</v>
      </c>
      <c r="K97" s="6">
        <v>-23.6261406897024</v>
      </c>
      <c r="L97" t="s">
        <v>17</v>
      </c>
      <c r="M97" t="s">
        <v>40</v>
      </c>
      <c r="N97" s="4" t="s">
        <v>396</v>
      </c>
      <c r="O97" s="4" t="s">
        <v>397</v>
      </c>
      <c r="P97" s="4" t="s">
        <v>233</v>
      </c>
    </row>
    <row r="98" spans="1:16" x14ac:dyDescent="0.35">
      <c r="A98" t="s">
        <v>398</v>
      </c>
      <c r="B98" t="s">
        <v>399</v>
      </c>
      <c r="C98" t="s">
        <v>16</v>
      </c>
      <c r="D98" s="6" t="e">
        <v>#N/A</v>
      </c>
      <c r="E98" s="6" t="e">
        <v>#N/A</v>
      </c>
      <c r="F98" s="6" t="e">
        <v>#N/A</v>
      </c>
      <c r="G98" s="6" t="e">
        <v>#N/A</v>
      </c>
      <c r="H98" s="6" t="e">
        <v>#N/A</v>
      </c>
      <c r="I98" s="6">
        <v>-0.99349250322063909</v>
      </c>
      <c r="J98" s="6">
        <v>677927.01721191406</v>
      </c>
      <c r="K98" s="6">
        <v>0</v>
      </c>
      <c r="L98" t="s">
        <v>17</v>
      </c>
      <c r="M98" t="s">
        <v>27</v>
      </c>
      <c r="N98" s="4" t="s">
        <v>400</v>
      </c>
      <c r="O98" s="4" t="s">
        <v>401</v>
      </c>
      <c r="P98" s="4" t="s">
        <v>233</v>
      </c>
    </row>
    <row r="99" spans="1:16" x14ac:dyDescent="0.35">
      <c r="A99" t="s">
        <v>402</v>
      </c>
      <c r="B99" t="s">
        <v>403</v>
      </c>
      <c r="C99" t="s">
        <v>16</v>
      </c>
      <c r="D99" s="6">
        <v>2158592927.7712126</v>
      </c>
      <c r="E99" s="6">
        <v>2910804927.7712126</v>
      </c>
      <c r="F99" s="6">
        <v>9.9499998092651367</v>
      </c>
      <c r="G99" s="6">
        <v>10.010000228881836</v>
      </c>
      <c r="H99" s="6" t="e">
        <v>#N/A</v>
      </c>
      <c r="I99" s="6">
        <v>-0.43281330571202936</v>
      </c>
      <c r="J99" s="6">
        <v>913828000</v>
      </c>
      <c r="K99" s="6" t="e">
        <v>#N/A</v>
      </c>
      <c r="L99" t="s">
        <v>17</v>
      </c>
      <c r="M99" t="s">
        <v>27</v>
      </c>
      <c r="N99" s="4" t="s">
        <v>404</v>
      </c>
      <c r="O99" s="4" t="s">
        <v>405</v>
      </c>
      <c r="P99" s="4" t="s">
        <v>233</v>
      </c>
    </row>
    <row r="100" spans="1:16" x14ac:dyDescent="0.35">
      <c r="A100" t="s">
        <v>406</v>
      </c>
      <c r="B100" t="s">
        <v>407</v>
      </c>
      <c r="C100" t="s">
        <v>16</v>
      </c>
      <c r="D100" s="6">
        <v>9326614.424326418</v>
      </c>
      <c r="E100" s="6">
        <v>4824952.424326418</v>
      </c>
      <c r="F100" s="6">
        <v>0.6679999828338623</v>
      </c>
      <c r="G100" s="6">
        <v>0.68000000715255737</v>
      </c>
      <c r="H100" s="6" t="e">
        <v>#N/A</v>
      </c>
      <c r="I100" s="6">
        <v>-0.61727996835784071</v>
      </c>
      <c r="J100" s="6">
        <v>0</v>
      </c>
      <c r="K100" s="6">
        <v>67.707991863978364</v>
      </c>
      <c r="L100" t="s">
        <v>17</v>
      </c>
      <c r="M100" t="s">
        <v>27</v>
      </c>
      <c r="N100" s="4" t="s">
        <v>408</v>
      </c>
      <c r="O100" s="4" t="s">
        <v>409</v>
      </c>
      <c r="P100" s="4" t="s">
        <v>233</v>
      </c>
    </row>
    <row r="101" spans="1:16" x14ac:dyDescent="0.35">
      <c r="A101" t="s">
        <v>410</v>
      </c>
      <c r="B101" t="s">
        <v>411</v>
      </c>
      <c r="C101" t="s">
        <v>16</v>
      </c>
      <c r="D101" s="6" t="e">
        <v>#N/A</v>
      </c>
      <c r="E101" s="6" t="e">
        <v>#N/A</v>
      </c>
      <c r="F101" s="6">
        <v>9.9999999747524271E-7</v>
      </c>
      <c r="G101" s="6">
        <v>9.9999999747524271E-7</v>
      </c>
      <c r="H101" s="6" t="e">
        <v>#N/A</v>
      </c>
      <c r="I101" s="6">
        <v>0</v>
      </c>
      <c r="J101" s="6">
        <v>17621</v>
      </c>
      <c r="K101" s="6">
        <v>-50.000003352761347</v>
      </c>
      <c r="L101" t="s">
        <v>17</v>
      </c>
      <c r="M101" t="s">
        <v>18</v>
      </c>
      <c r="N101" s="4" t="s">
        <v>412</v>
      </c>
      <c r="O101" s="4" t="s">
        <v>413</v>
      </c>
      <c r="P101" s="4" t="s">
        <v>233</v>
      </c>
    </row>
    <row r="102" spans="1:16" x14ac:dyDescent="0.35">
      <c r="A102" t="s">
        <v>414</v>
      </c>
      <c r="B102" t="s">
        <v>415</v>
      </c>
      <c r="C102" t="s">
        <v>16</v>
      </c>
      <c r="D102" s="6" t="e">
        <v>#N/A</v>
      </c>
      <c r="E102" s="6" t="e">
        <v>#N/A</v>
      </c>
      <c r="F102" s="6">
        <v>9.9999999747524271E-7</v>
      </c>
      <c r="G102" s="6">
        <v>9.9999999747524271E-7</v>
      </c>
      <c r="H102" s="6" t="e">
        <v>#N/A</v>
      </c>
      <c r="I102" s="6">
        <v>0</v>
      </c>
      <c r="J102" s="6">
        <v>81835.997556209564</v>
      </c>
      <c r="K102" s="6">
        <v>61.224489918801744</v>
      </c>
      <c r="L102" t="s">
        <v>17</v>
      </c>
      <c r="M102" t="s">
        <v>40</v>
      </c>
      <c r="N102" s="4" t="s">
        <v>416</v>
      </c>
      <c r="O102" s="4" t="s">
        <v>417</v>
      </c>
      <c r="P102" s="4" t="s">
        <v>233</v>
      </c>
    </row>
    <row r="103" spans="1:16" x14ac:dyDescent="0.35">
      <c r="A103" t="s">
        <v>418</v>
      </c>
      <c r="B103" t="s">
        <v>419</v>
      </c>
      <c r="C103" t="s">
        <v>16</v>
      </c>
      <c r="D103" s="6" t="e">
        <v>#N/A</v>
      </c>
      <c r="E103" s="6" t="e">
        <v>#N/A</v>
      </c>
      <c r="F103" s="6">
        <v>9.9999999747524271E-7</v>
      </c>
      <c r="G103" s="6">
        <v>9.9999999747524271E-7</v>
      </c>
      <c r="H103" s="6" t="e">
        <v>#N/A</v>
      </c>
      <c r="I103" s="6">
        <v>0</v>
      </c>
      <c r="J103" s="6">
        <v>1183000.0011920929</v>
      </c>
      <c r="K103" s="6">
        <v>99.750000005587935</v>
      </c>
      <c r="L103" t="s">
        <v>17</v>
      </c>
      <c r="M103" t="s">
        <v>27</v>
      </c>
      <c r="N103" s="4" t="s">
        <v>420</v>
      </c>
      <c r="O103" s="4" t="s">
        <v>421</v>
      </c>
      <c r="P103" s="4" t="s">
        <v>233</v>
      </c>
    </row>
    <row r="104" spans="1:16" x14ac:dyDescent="0.35">
      <c r="A104" t="s">
        <v>422</v>
      </c>
      <c r="B104" t="s">
        <v>423</v>
      </c>
      <c r="C104" t="s">
        <v>16</v>
      </c>
      <c r="D104" s="6">
        <v>1858097652.0328903</v>
      </c>
      <c r="E104" s="6">
        <v>2997501652.0328903</v>
      </c>
      <c r="F104" s="6">
        <v>24.079999923706055</v>
      </c>
      <c r="G104" s="6">
        <v>25.280000686645508</v>
      </c>
      <c r="H104" s="6">
        <v>19.270135550124007</v>
      </c>
      <c r="I104" s="6">
        <v>-0.4509540670978166</v>
      </c>
      <c r="J104" s="6">
        <v>1564920000</v>
      </c>
      <c r="K104" s="6" t="e">
        <v>#N/A</v>
      </c>
      <c r="L104" t="s">
        <v>17</v>
      </c>
      <c r="M104" t="s">
        <v>27</v>
      </c>
      <c r="N104" s="4" t="s">
        <v>424</v>
      </c>
      <c r="O104" s="4" t="s">
        <v>425</v>
      </c>
      <c r="P104" s="4" t="s">
        <v>233</v>
      </c>
    </row>
    <row r="105" spans="1:16" x14ac:dyDescent="0.35">
      <c r="A105" t="s">
        <v>426</v>
      </c>
      <c r="B105" t="s">
        <v>427</v>
      </c>
      <c r="C105" t="s">
        <v>16</v>
      </c>
      <c r="D105" s="6">
        <v>26754291.355765164</v>
      </c>
      <c r="E105" s="6">
        <v>25853540.355765164</v>
      </c>
      <c r="F105" s="6">
        <v>0.93000000715255737</v>
      </c>
      <c r="G105" s="6">
        <v>0.91149997711181641</v>
      </c>
      <c r="H105" s="6" t="e">
        <v>#N/A</v>
      </c>
      <c r="I105" s="6">
        <v>-0.44222235047218383</v>
      </c>
      <c r="J105" s="6">
        <v>870725</v>
      </c>
      <c r="K105" s="6">
        <v>45.777892900806521</v>
      </c>
      <c r="L105" t="s">
        <v>17</v>
      </c>
      <c r="M105" t="s">
        <v>18</v>
      </c>
      <c r="N105" s="4" t="s">
        <v>428</v>
      </c>
      <c r="O105" s="4" t="s">
        <v>429</v>
      </c>
      <c r="P105" s="4" t="s">
        <v>233</v>
      </c>
    </row>
    <row r="106" spans="1:16" x14ac:dyDescent="0.35">
      <c r="A106" t="s">
        <v>430</v>
      </c>
      <c r="B106" t="s">
        <v>431</v>
      </c>
      <c r="C106" t="s">
        <v>16</v>
      </c>
      <c r="D106" s="6">
        <v>9625395516.3028851</v>
      </c>
      <c r="E106" s="6">
        <v>13959395516.302885</v>
      </c>
      <c r="F106" s="6">
        <v>77.199996948242188</v>
      </c>
      <c r="G106" s="6">
        <v>75.769996643066406</v>
      </c>
      <c r="H106" s="6">
        <v>21.751214263906533</v>
      </c>
      <c r="I106" s="6">
        <v>1.9357479709004144E-2</v>
      </c>
      <c r="J106" s="6">
        <v>12499000000</v>
      </c>
      <c r="K106" s="6">
        <v>-27.941176470588228</v>
      </c>
      <c r="L106" t="s">
        <v>17</v>
      </c>
      <c r="M106" t="s">
        <v>40</v>
      </c>
      <c r="N106" s="4" t="s">
        <v>432</v>
      </c>
      <c r="O106" s="4" t="s">
        <v>433</v>
      </c>
      <c r="P106" s="4" t="s">
        <v>233</v>
      </c>
    </row>
    <row r="107" spans="1:16" x14ac:dyDescent="0.35">
      <c r="A107" t="s">
        <v>434</v>
      </c>
      <c r="B107" t="s">
        <v>435</v>
      </c>
      <c r="C107" t="s">
        <v>16</v>
      </c>
      <c r="D107" s="6">
        <v>9611066708.5528851</v>
      </c>
      <c r="E107" s="6">
        <v>10274066708.552885</v>
      </c>
      <c r="F107" s="6">
        <v>179.50999450683594</v>
      </c>
      <c r="G107" s="6">
        <v>173.8699951171875</v>
      </c>
      <c r="H107" s="6">
        <v>64.095215016524918</v>
      </c>
      <c r="I107" s="6">
        <v>0.31526083315897568</v>
      </c>
      <c r="J107" s="6">
        <v>2042600000</v>
      </c>
      <c r="K107" s="6">
        <v>-11.797501366244795</v>
      </c>
      <c r="L107" t="s">
        <v>17</v>
      </c>
      <c r="M107" t="s">
        <v>27</v>
      </c>
      <c r="N107" s="4" t="s">
        <v>436</v>
      </c>
      <c r="O107" s="4" t="s">
        <v>437</v>
      </c>
      <c r="P107" s="4" t="s">
        <v>233</v>
      </c>
    </row>
    <row r="108" spans="1:16" x14ac:dyDescent="0.35">
      <c r="A108" t="s">
        <v>438</v>
      </c>
      <c r="B108" t="s">
        <v>439</v>
      </c>
      <c r="C108" t="s">
        <v>16</v>
      </c>
      <c r="D108" s="6" t="e">
        <v>#N/A</v>
      </c>
      <c r="E108" s="6" t="e">
        <v>#N/A</v>
      </c>
      <c r="F108" s="6">
        <v>9.9999999747524271E-7</v>
      </c>
      <c r="G108" s="6">
        <v>9.9999999747524271E-7</v>
      </c>
      <c r="H108" s="6" t="e">
        <v>#N/A</v>
      </c>
      <c r="I108" s="6">
        <v>0</v>
      </c>
      <c r="J108" s="6">
        <v>110877</v>
      </c>
      <c r="K108" s="6" t="e">
        <v>#N/A</v>
      </c>
      <c r="L108" t="s">
        <v>17</v>
      </c>
      <c r="M108" t="s">
        <v>40</v>
      </c>
      <c r="N108" s="4" t="s">
        <v>440</v>
      </c>
      <c r="O108" s="4" t="s">
        <v>441</v>
      </c>
      <c r="P108" s="4" t="s">
        <v>233</v>
      </c>
    </row>
    <row r="109" spans="1:16" x14ac:dyDescent="0.35">
      <c r="A109" t="s">
        <v>442</v>
      </c>
      <c r="B109" t="s">
        <v>443</v>
      </c>
      <c r="C109" t="s">
        <v>16</v>
      </c>
      <c r="D109" s="6" t="e">
        <v>#N/A</v>
      </c>
      <c r="E109" s="6" t="e">
        <v>#N/A</v>
      </c>
      <c r="F109" s="6" t="e">
        <v>#N/A</v>
      </c>
      <c r="G109" s="6" t="e">
        <v>#N/A</v>
      </c>
      <c r="H109" s="6" t="e">
        <v>#N/A</v>
      </c>
      <c r="I109" s="6">
        <v>0</v>
      </c>
      <c r="J109" s="6">
        <v>1456742.0184612274</v>
      </c>
      <c r="K109" s="6">
        <v>25</v>
      </c>
      <c r="L109" t="s">
        <v>17</v>
      </c>
      <c r="M109" t="s">
        <v>27</v>
      </c>
      <c r="N109" s="4" t="s">
        <v>444</v>
      </c>
      <c r="O109" s="4" t="s">
        <v>445</v>
      </c>
      <c r="P109" s="4" t="s">
        <v>233</v>
      </c>
    </row>
    <row r="110" spans="1:16" x14ac:dyDescent="0.35">
      <c r="A110" t="s">
        <v>446</v>
      </c>
      <c r="B110" t="s">
        <v>447</v>
      </c>
      <c r="C110" t="s">
        <v>16</v>
      </c>
      <c r="D110" s="6">
        <v>1879405.6812599897</v>
      </c>
      <c r="E110" s="6">
        <v>3734405.6812599897</v>
      </c>
      <c r="F110" s="6">
        <v>0.17010000348091125</v>
      </c>
      <c r="G110" s="6">
        <v>0.21570000052452087</v>
      </c>
      <c r="H110" s="6" t="e">
        <v>#N/A</v>
      </c>
      <c r="I110" s="6">
        <v>-0.97473321913890421</v>
      </c>
      <c r="J110" s="6" t="e">
        <v>#N/A</v>
      </c>
      <c r="K110" s="6">
        <v>94.467081281681146</v>
      </c>
      <c r="L110" t="s">
        <v>17</v>
      </c>
      <c r="M110" t="s">
        <v>18</v>
      </c>
      <c r="N110" s="4" t="s">
        <v>448</v>
      </c>
      <c r="O110" s="4" t="s">
        <v>449</v>
      </c>
      <c r="P110" s="4" t="s">
        <v>233</v>
      </c>
    </row>
    <row r="111" spans="1:16" x14ac:dyDescent="0.35">
      <c r="A111" t="s">
        <v>450</v>
      </c>
      <c r="B111" t="s">
        <v>451</v>
      </c>
      <c r="C111" t="s">
        <v>16</v>
      </c>
      <c r="D111" s="6" t="e">
        <v>#N/A</v>
      </c>
      <c r="E111" s="6" t="e">
        <v>#N/A</v>
      </c>
      <c r="F111" s="6" t="e">
        <v>#N/A</v>
      </c>
      <c r="G111" s="6" t="e">
        <v>#N/A</v>
      </c>
      <c r="H111" s="6" t="e">
        <v>#N/A</v>
      </c>
      <c r="I111" s="6">
        <v>0</v>
      </c>
      <c r="J111" s="6" t="e">
        <v>#N/A</v>
      </c>
      <c r="K111" s="6" t="e">
        <v>#N/A</v>
      </c>
      <c r="L111" t="s">
        <v>17</v>
      </c>
      <c r="M111" t="s">
        <v>27</v>
      </c>
      <c r="N111" s="4" t="s">
        <v>452</v>
      </c>
      <c r="O111" s="4" t="s">
        <v>453</v>
      </c>
      <c r="P111" s="4" t="s">
        <v>233</v>
      </c>
    </row>
    <row r="112" spans="1:16" x14ac:dyDescent="0.35">
      <c r="A112" t="s">
        <v>454</v>
      </c>
      <c r="B112" t="s">
        <v>455</v>
      </c>
      <c r="C112" t="s">
        <v>16</v>
      </c>
      <c r="D112" s="6">
        <v>35696629.881150477</v>
      </c>
      <c r="E112" s="6">
        <v>37314629.881150477</v>
      </c>
      <c r="F112" s="6">
        <v>2.500499963760376</v>
      </c>
      <c r="G112" s="6">
        <v>2.809999942779541</v>
      </c>
      <c r="H112" s="6" t="e">
        <v>#N/A</v>
      </c>
      <c r="I112" s="6">
        <v>0.92002691126506431</v>
      </c>
      <c r="J112" s="6">
        <v>1237000</v>
      </c>
      <c r="K112" s="6">
        <v>91.512636740852514</v>
      </c>
      <c r="L112" t="s">
        <v>17</v>
      </c>
      <c r="M112" t="s">
        <v>27</v>
      </c>
      <c r="N112" s="4" t="s">
        <v>456</v>
      </c>
      <c r="O112" s="4" t="s">
        <v>457</v>
      </c>
      <c r="P112" s="4" t="s">
        <v>233</v>
      </c>
    </row>
    <row r="113" spans="1:16" x14ac:dyDescent="0.35">
      <c r="A113" t="s">
        <v>458</v>
      </c>
      <c r="B113" t="s">
        <v>459</v>
      </c>
      <c r="C113" t="s">
        <v>16</v>
      </c>
      <c r="D113" s="6" t="e">
        <v>#N/A</v>
      </c>
      <c r="E113" s="6" t="e">
        <v>#N/A</v>
      </c>
      <c r="F113" s="6">
        <v>9.4499999999999993</v>
      </c>
      <c r="G113" s="6">
        <v>9.4499999999999993</v>
      </c>
      <c r="H113" s="6" t="e">
        <v>#N/A</v>
      </c>
      <c r="I113" s="6">
        <v>2.7594216884455651</v>
      </c>
      <c r="J113" s="6" t="e">
        <v>#N/A</v>
      </c>
      <c r="K113" s="6" t="e">
        <v>#N/A</v>
      </c>
      <c r="L113" t="s">
        <v>17</v>
      </c>
      <c r="M113" t="s">
        <v>27</v>
      </c>
      <c r="N113" s="4" t="s">
        <v>460</v>
      </c>
      <c r="O113" s="4" t="s">
        <v>461</v>
      </c>
      <c r="P113" s="4" t="s">
        <v>233</v>
      </c>
    </row>
    <row r="114" spans="1:16" x14ac:dyDescent="0.35">
      <c r="A114" t="s">
        <v>462</v>
      </c>
      <c r="B114" t="s">
        <v>463</v>
      </c>
      <c r="C114" t="s">
        <v>16</v>
      </c>
      <c r="D114" s="6">
        <v>319311797.79475206</v>
      </c>
      <c r="E114" s="6">
        <v>285642797.79475206</v>
      </c>
      <c r="F114" s="6">
        <v>27.100000381469727</v>
      </c>
      <c r="G114" s="6">
        <v>26.579999923706055</v>
      </c>
      <c r="H114" s="6" t="e">
        <v>#N/A</v>
      </c>
      <c r="I114" s="6">
        <v>0.29573070767131893</v>
      </c>
      <c r="J114" s="6">
        <v>21606000</v>
      </c>
      <c r="K114" s="6">
        <v>-22.420071174377224</v>
      </c>
      <c r="L114" t="s">
        <v>17</v>
      </c>
      <c r="M114" t="s">
        <v>18</v>
      </c>
      <c r="N114" s="4" t="s">
        <v>464</v>
      </c>
      <c r="O114" s="4" t="s">
        <v>465</v>
      </c>
      <c r="P114" s="4" t="s">
        <v>233</v>
      </c>
    </row>
    <row r="115" spans="1:16" x14ac:dyDescent="0.35">
      <c r="A115" t="s">
        <v>466</v>
      </c>
      <c r="B115" t="s">
        <v>467</v>
      </c>
      <c r="C115" t="s">
        <v>16</v>
      </c>
      <c r="D115" s="6">
        <v>8244628.2560612261</v>
      </c>
      <c r="E115" s="6">
        <v>8174628.2560612261</v>
      </c>
      <c r="F115" s="6">
        <v>8.8140003383159637E-2</v>
      </c>
      <c r="G115" s="6">
        <v>7.9999998211860657E-2</v>
      </c>
      <c r="H115" s="6" t="e">
        <v>#N/A</v>
      </c>
      <c r="I115" s="6">
        <v>-0.82288203530032777</v>
      </c>
      <c r="J115" s="6">
        <v>0</v>
      </c>
      <c r="K115" s="6">
        <v>-42.857142857142854</v>
      </c>
      <c r="L115" t="s">
        <v>17</v>
      </c>
      <c r="M115" t="s">
        <v>18</v>
      </c>
      <c r="N115" s="4" t="s">
        <v>233</v>
      </c>
      <c r="O115" s="4" t="s">
        <v>468</v>
      </c>
      <c r="P115" s="4" t="s">
        <v>13094</v>
      </c>
    </row>
    <row r="116" spans="1:16" x14ac:dyDescent="0.35">
      <c r="A116" t="s">
        <v>469</v>
      </c>
      <c r="B116" t="s">
        <v>470</v>
      </c>
      <c r="C116" t="s">
        <v>16</v>
      </c>
      <c r="D116" s="6" t="e">
        <v>#N/A</v>
      </c>
      <c r="E116" s="6" t="e">
        <v>#N/A</v>
      </c>
      <c r="F116" s="6">
        <v>9.9999999747524271E-7</v>
      </c>
      <c r="G116" s="6">
        <v>9.9999999747524271E-7</v>
      </c>
      <c r="H116" s="6" t="e">
        <v>#N/A</v>
      </c>
      <c r="I116" s="6">
        <v>0</v>
      </c>
      <c r="J116" s="6">
        <v>2566591.0243988037</v>
      </c>
      <c r="K116" s="6">
        <v>80.000000212873729</v>
      </c>
      <c r="L116" t="s">
        <v>17</v>
      </c>
      <c r="M116" t="s">
        <v>27</v>
      </c>
      <c r="N116" s="4" t="s">
        <v>471</v>
      </c>
      <c r="O116" s="4" t="s">
        <v>472</v>
      </c>
      <c r="P116" s="4" t="s">
        <v>233</v>
      </c>
    </row>
    <row r="117" spans="1:16" x14ac:dyDescent="0.35">
      <c r="A117" t="s">
        <v>473</v>
      </c>
      <c r="B117" t="s">
        <v>474</v>
      </c>
      <c r="C117" t="s">
        <v>16</v>
      </c>
      <c r="D117" s="6">
        <v>55729.967599999996</v>
      </c>
      <c r="E117" s="6">
        <v>103352.9676</v>
      </c>
      <c r="F117" s="6">
        <v>9.9999999747524271E-7</v>
      </c>
      <c r="G117" s="6">
        <v>9.9999999747524271E-7</v>
      </c>
      <c r="H117" s="6" t="e">
        <v>#N/A</v>
      </c>
      <c r="I117" s="6">
        <v>0</v>
      </c>
      <c r="J117" s="6">
        <v>302624</v>
      </c>
      <c r="K117" s="6" t="e">
        <v>#N/A</v>
      </c>
      <c r="L117" t="s">
        <v>17</v>
      </c>
      <c r="M117" t="s">
        <v>18</v>
      </c>
      <c r="N117" s="4" t="s">
        <v>475</v>
      </c>
      <c r="O117" s="4" t="s">
        <v>476</v>
      </c>
      <c r="P117" s="4" t="s">
        <v>233</v>
      </c>
    </row>
    <row r="118" spans="1:16" x14ac:dyDescent="0.35">
      <c r="A118" t="s">
        <v>477</v>
      </c>
      <c r="B118" t="s">
        <v>478</v>
      </c>
      <c r="C118" t="s">
        <v>16</v>
      </c>
      <c r="D118" s="6">
        <v>3651580830.9824519</v>
      </c>
      <c r="E118" s="6">
        <v>5674580830.9824524</v>
      </c>
      <c r="F118" s="6">
        <v>18.370000839233398</v>
      </c>
      <c r="G118" s="6">
        <v>18.100000381469727</v>
      </c>
      <c r="H118" s="6">
        <v>19.380029855196682</v>
      </c>
      <c r="I118" s="6">
        <v>-0.4369267431479239</v>
      </c>
      <c r="J118" s="6">
        <v>3900000000</v>
      </c>
      <c r="K118" s="6">
        <v>-107.00000000000003</v>
      </c>
      <c r="L118" t="s">
        <v>17</v>
      </c>
      <c r="M118" t="s">
        <v>27</v>
      </c>
      <c r="N118" s="4" t="s">
        <v>479</v>
      </c>
      <c r="O118" s="4" t="s">
        <v>480</v>
      </c>
      <c r="P118" s="4" t="s">
        <v>233</v>
      </c>
    </row>
    <row r="119" spans="1:16" x14ac:dyDescent="0.35">
      <c r="A119" t="s">
        <v>481</v>
      </c>
      <c r="B119" t="s">
        <v>482</v>
      </c>
      <c r="C119" t="s">
        <v>16</v>
      </c>
      <c r="D119" s="6">
        <v>3315195533.1138453</v>
      </c>
      <c r="E119" s="6">
        <v>6794695533.1138458</v>
      </c>
      <c r="F119" s="6">
        <v>24.299999237060547</v>
      </c>
      <c r="G119" s="6">
        <v>24.049999237060547</v>
      </c>
      <c r="H119" s="6">
        <v>170.25032569701429</v>
      </c>
      <c r="I119" s="6">
        <v>-0.22019241278274604</v>
      </c>
      <c r="J119" s="6">
        <v>4392000000</v>
      </c>
      <c r="K119" s="6" t="e">
        <v>#N/A</v>
      </c>
      <c r="L119" t="s">
        <v>17</v>
      </c>
      <c r="M119" t="s">
        <v>87</v>
      </c>
      <c r="N119" s="4" t="s">
        <v>233</v>
      </c>
      <c r="O119" s="4" t="s">
        <v>483</v>
      </c>
      <c r="P119" s="4" t="s">
        <v>13095</v>
      </c>
    </row>
    <row r="120" spans="1:16" x14ac:dyDescent="0.35">
      <c r="A120" t="s">
        <v>484</v>
      </c>
      <c r="B120" t="s">
        <v>485</v>
      </c>
      <c r="C120" t="s">
        <v>16</v>
      </c>
      <c r="D120" s="6">
        <v>211784885.55177644</v>
      </c>
      <c r="E120" s="6">
        <v>378288885.55177641</v>
      </c>
      <c r="F120" s="6">
        <v>5.7199997901916504</v>
      </c>
      <c r="G120" s="6">
        <v>5.5900001525878906</v>
      </c>
      <c r="H120" s="6" t="e">
        <v>#N/A</v>
      </c>
      <c r="I120" s="6">
        <v>-0.31752208241732216</v>
      </c>
      <c r="J120" s="6">
        <v>130858000</v>
      </c>
      <c r="K120" s="6">
        <v>52.086731509344062</v>
      </c>
      <c r="L120" t="s">
        <v>17</v>
      </c>
      <c r="M120" t="s">
        <v>100</v>
      </c>
      <c r="N120" s="4" t="s">
        <v>486</v>
      </c>
      <c r="O120" s="4" t="s">
        <v>487</v>
      </c>
      <c r="P120" s="4" t="s">
        <v>233</v>
      </c>
    </row>
    <row r="121" spans="1:16" x14ac:dyDescent="0.35">
      <c r="A121" t="s">
        <v>488</v>
      </c>
      <c r="B121" t="s">
        <v>489</v>
      </c>
      <c r="C121" t="s">
        <v>16</v>
      </c>
      <c r="D121" s="6">
        <v>319430519.11336064</v>
      </c>
      <c r="E121" s="6">
        <v>342555519.11336064</v>
      </c>
      <c r="F121" s="6">
        <v>1.7200000286102295</v>
      </c>
      <c r="G121" s="6">
        <v>1.6499999761581421</v>
      </c>
      <c r="H121" s="6" t="e">
        <v>#N/A</v>
      </c>
      <c r="I121" s="6">
        <v>-0.27362566584991954</v>
      </c>
      <c r="J121" s="6">
        <v>197912000</v>
      </c>
      <c r="K121" s="6">
        <v>60.714285714285722</v>
      </c>
      <c r="L121" t="s">
        <v>17</v>
      </c>
      <c r="M121" t="s">
        <v>27</v>
      </c>
      <c r="N121" s="4" t="s">
        <v>490</v>
      </c>
      <c r="O121" s="4" t="s">
        <v>491</v>
      </c>
      <c r="P121" s="4" t="s">
        <v>233</v>
      </c>
    </row>
    <row r="122" spans="1:16" x14ac:dyDescent="0.35">
      <c r="A122" t="s">
        <v>492</v>
      </c>
      <c r="B122" t="s">
        <v>493</v>
      </c>
      <c r="C122" t="s">
        <v>16</v>
      </c>
      <c r="D122" s="6">
        <v>16458390.605104566</v>
      </c>
      <c r="E122" s="6">
        <v>16559318.605104566</v>
      </c>
      <c r="F122" s="6">
        <v>0.8249250054359436</v>
      </c>
      <c r="G122" s="6">
        <v>0.82200002670288086</v>
      </c>
      <c r="H122" s="6" t="e">
        <v>#N/A</v>
      </c>
      <c r="I122" s="6">
        <v>-0.65811806451350319</v>
      </c>
      <c r="J122" s="6">
        <v>0</v>
      </c>
      <c r="K122" s="6">
        <v>97.244661186927274</v>
      </c>
      <c r="L122" t="s">
        <v>17</v>
      </c>
      <c r="M122" t="s">
        <v>87</v>
      </c>
      <c r="N122" s="4" t="s">
        <v>494</v>
      </c>
      <c r="O122" s="4" t="s">
        <v>495</v>
      </c>
      <c r="P122" s="4" t="s">
        <v>233</v>
      </c>
    </row>
    <row r="123" spans="1:16" x14ac:dyDescent="0.35">
      <c r="A123" t="s">
        <v>496</v>
      </c>
      <c r="B123" t="s">
        <v>497</v>
      </c>
      <c r="C123" t="s">
        <v>16</v>
      </c>
      <c r="D123" s="6">
        <v>58820228.615188822</v>
      </c>
      <c r="E123" s="6">
        <v>54724228.615188822</v>
      </c>
      <c r="F123" s="6">
        <v>1.8200000524520874</v>
      </c>
      <c r="G123" s="6">
        <v>1.7899999618530273</v>
      </c>
      <c r="H123" s="6" t="e">
        <v>#N/A</v>
      </c>
      <c r="I123" s="6">
        <v>0.35707329825114309</v>
      </c>
      <c r="J123" s="6">
        <v>98917000</v>
      </c>
      <c r="K123" s="6">
        <v>90.909090909090907</v>
      </c>
      <c r="L123" t="s">
        <v>17</v>
      </c>
      <c r="M123" t="s">
        <v>27</v>
      </c>
      <c r="N123" s="4" t="s">
        <v>498</v>
      </c>
      <c r="O123" s="4" t="s">
        <v>499</v>
      </c>
      <c r="P123" s="4" t="s">
        <v>233</v>
      </c>
    </row>
    <row r="124" spans="1:16" x14ac:dyDescent="0.35">
      <c r="A124" t="s">
        <v>500</v>
      </c>
      <c r="B124" t="s">
        <v>501</v>
      </c>
      <c r="C124" t="s">
        <v>16</v>
      </c>
      <c r="D124" s="6" t="e">
        <v>#N/A</v>
      </c>
      <c r="E124" s="6" t="e">
        <v>#N/A</v>
      </c>
      <c r="F124" s="6">
        <v>9.9999999747524271E-7</v>
      </c>
      <c r="G124" s="6">
        <v>9.9999999747524271E-7</v>
      </c>
      <c r="H124" s="6" t="e">
        <v>#N/A</v>
      </c>
      <c r="I124" s="6">
        <v>0</v>
      </c>
      <c r="J124" s="6" t="e">
        <v>#N/A</v>
      </c>
      <c r="K124" s="6" t="e">
        <v>#N/A</v>
      </c>
      <c r="L124" t="s">
        <v>17</v>
      </c>
      <c r="M124" t="s">
        <v>18</v>
      </c>
      <c r="N124" s="4" t="s">
        <v>502</v>
      </c>
      <c r="O124" s="4" t="s">
        <v>503</v>
      </c>
      <c r="P124" s="4" t="s">
        <v>233</v>
      </c>
    </row>
    <row r="125" spans="1:16" x14ac:dyDescent="0.35">
      <c r="A125" t="s">
        <v>504</v>
      </c>
      <c r="B125" t="s">
        <v>505</v>
      </c>
      <c r="C125" t="s">
        <v>16</v>
      </c>
      <c r="D125" s="6">
        <v>2107563.8315799455</v>
      </c>
      <c r="E125" s="6">
        <v>31672563.831579946</v>
      </c>
      <c r="F125" s="6">
        <v>3.2999999821186066E-2</v>
      </c>
      <c r="G125" s="6">
        <v>3.2999999821186066E-2</v>
      </c>
      <c r="H125" s="6" t="e">
        <v>#N/A</v>
      </c>
      <c r="I125" s="6">
        <v>-0.6816955772265072</v>
      </c>
      <c r="J125" s="6">
        <v>20428000</v>
      </c>
      <c r="K125" s="6">
        <v>49.876517480331373</v>
      </c>
      <c r="L125" t="s">
        <v>17</v>
      </c>
      <c r="M125" t="s">
        <v>87</v>
      </c>
      <c r="N125" s="4" t="s">
        <v>506</v>
      </c>
      <c r="O125" s="4" t="s">
        <v>507</v>
      </c>
      <c r="P125" s="4" t="s">
        <v>233</v>
      </c>
    </row>
    <row r="126" spans="1:16" x14ac:dyDescent="0.35">
      <c r="A126" t="s">
        <v>508</v>
      </c>
      <c r="B126" t="s">
        <v>509</v>
      </c>
      <c r="C126" t="s">
        <v>16</v>
      </c>
      <c r="D126" s="6">
        <v>22514793.476559635</v>
      </c>
      <c r="E126" s="6">
        <v>23550158.476559635</v>
      </c>
      <c r="F126" s="6">
        <v>2.619999885559082</v>
      </c>
      <c r="G126" s="6">
        <v>2.619999885559082</v>
      </c>
      <c r="H126" s="6" t="e">
        <v>#N/A</v>
      </c>
      <c r="I126" s="6">
        <v>-0.85300410230825885</v>
      </c>
      <c r="J126" s="6">
        <v>0</v>
      </c>
      <c r="K126" s="6">
        <v>-4.5054545454545414</v>
      </c>
      <c r="L126" t="s">
        <v>17</v>
      </c>
      <c r="M126" t="s">
        <v>87</v>
      </c>
      <c r="N126" s="4" t="s">
        <v>13074</v>
      </c>
      <c r="O126" s="4" t="s">
        <v>13075</v>
      </c>
      <c r="P126" s="4" t="s">
        <v>233</v>
      </c>
    </row>
    <row r="127" spans="1:16" x14ac:dyDescent="0.35">
      <c r="A127" t="s">
        <v>510</v>
      </c>
      <c r="B127" t="s">
        <v>511</v>
      </c>
      <c r="C127" t="s">
        <v>16</v>
      </c>
      <c r="D127" s="6">
        <v>50006.735999999997</v>
      </c>
      <c r="E127" s="6">
        <v>813123.71597152809</v>
      </c>
      <c r="F127" s="6">
        <v>8.0000000000000002E-3</v>
      </c>
      <c r="G127" s="6">
        <v>6.2500000000000003E-3</v>
      </c>
      <c r="H127" s="6" t="e">
        <v>#N/A</v>
      </c>
      <c r="I127" s="6">
        <v>6.6478592841442641E-2</v>
      </c>
      <c r="J127" s="6" t="e">
        <v>#N/A</v>
      </c>
      <c r="K127" s="6" t="e">
        <v>#N/A</v>
      </c>
      <c r="L127" t="s">
        <v>17</v>
      </c>
      <c r="M127" t="s">
        <v>27</v>
      </c>
      <c r="N127" s="4" t="s">
        <v>512</v>
      </c>
      <c r="O127" s="4" t="s">
        <v>513</v>
      </c>
      <c r="P127" s="4" t="s">
        <v>233</v>
      </c>
    </row>
    <row r="128" spans="1:16" x14ac:dyDescent="0.35">
      <c r="A128" t="s">
        <v>514</v>
      </c>
      <c r="B128" t="s">
        <v>515</v>
      </c>
      <c r="C128" t="s">
        <v>16</v>
      </c>
      <c r="D128" s="6" t="e">
        <v>#N/A</v>
      </c>
      <c r="E128" s="6" t="e">
        <v>#N/A</v>
      </c>
      <c r="F128" s="6">
        <v>9.9999999747524271E-7</v>
      </c>
      <c r="G128" s="6">
        <v>9.9999999747524271E-7</v>
      </c>
      <c r="H128" s="6" t="e">
        <v>#N/A</v>
      </c>
      <c r="I128" s="6">
        <v>0</v>
      </c>
      <c r="J128" s="6">
        <v>167326</v>
      </c>
      <c r="K128" s="6">
        <v>-284.41000000000003</v>
      </c>
      <c r="L128" t="s">
        <v>17</v>
      </c>
      <c r="M128" t="s">
        <v>27</v>
      </c>
      <c r="N128" s="4" t="s">
        <v>516</v>
      </c>
      <c r="O128" s="4" t="s">
        <v>517</v>
      </c>
      <c r="P128" s="4" t="s">
        <v>233</v>
      </c>
    </row>
    <row r="129" spans="1:16" x14ac:dyDescent="0.35">
      <c r="A129" t="s">
        <v>518</v>
      </c>
      <c r="B129" t="s">
        <v>519</v>
      </c>
      <c r="C129" t="s">
        <v>16</v>
      </c>
      <c r="D129" s="6">
        <v>9275423.6605055034</v>
      </c>
      <c r="E129" s="6" t="e">
        <v>#N/A</v>
      </c>
      <c r="F129" s="6">
        <v>2.135000005364418E-2</v>
      </c>
      <c r="G129" s="6">
        <v>1.9799999892711639E-2</v>
      </c>
      <c r="H129" s="6" t="e">
        <v>#N/A</v>
      </c>
      <c r="I129" s="6">
        <v>-0.57200604406387467</v>
      </c>
      <c r="J129" s="6">
        <v>0</v>
      </c>
      <c r="K129" s="6">
        <v>-175.94458438287151</v>
      </c>
      <c r="L129" t="s">
        <v>17</v>
      </c>
      <c r="M129" t="s">
        <v>40</v>
      </c>
      <c r="N129" s="4" t="s">
        <v>520</v>
      </c>
      <c r="O129" s="4" t="s">
        <v>521</v>
      </c>
      <c r="P129" s="4" t="s">
        <v>233</v>
      </c>
    </row>
    <row r="130" spans="1:16" x14ac:dyDescent="0.35">
      <c r="A130" t="s">
        <v>522</v>
      </c>
      <c r="B130" t="s">
        <v>523</v>
      </c>
      <c r="C130" t="s">
        <v>16</v>
      </c>
      <c r="D130" s="6">
        <v>7874971412</v>
      </c>
      <c r="E130" s="6">
        <v>10469733412</v>
      </c>
      <c r="F130" s="6">
        <v>154</v>
      </c>
      <c r="G130" s="6">
        <v>152.38999938964844</v>
      </c>
      <c r="H130" s="6">
        <v>20.39324263284178</v>
      </c>
      <c r="I130" s="6">
        <v>-0.31720669483531627</v>
      </c>
      <c r="J130" s="6">
        <v>4060916000</v>
      </c>
      <c r="K130" s="6">
        <v>-13.347685683530663</v>
      </c>
      <c r="L130" t="s">
        <v>17</v>
      </c>
      <c r="M130" t="s">
        <v>100</v>
      </c>
      <c r="N130" s="4" t="s">
        <v>524</v>
      </c>
      <c r="O130" s="4" t="s">
        <v>525</v>
      </c>
      <c r="P130" s="4" t="s">
        <v>233</v>
      </c>
    </row>
    <row r="131" spans="1:16" x14ac:dyDescent="0.35">
      <c r="A131" t="s">
        <v>526</v>
      </c>
      <c r="B131" t="s">
        <v>527</v>
      </c>
      <c r="C131" t="s">
        <v>16</v>
      </c>
      <c r="D131" s="6">
        <v>196601672.22779658</v>
      </c>
      <c r="E131" s="6">
        <v>174876672.22779658</v>
      </c>
      <c r="F131" s="6">
        <v>2.6700000762939453</v>
      </c>
      <c r="G131" s="6">
        <v>2.5</v>
      </c>
      <c r="H131" s="6" t="e">
        <v>#N/A</v>
      </c>
      <c r="I131" s="6">
        <v>0.78909276947989215</v>
      </c>
      <c r="J131" s="6">
        <v>45667000</v>
      </c>
      <c r="K131" s="6" t="e">
        <v>#N/A</v>
      </c>
      <c r="L131" t="s">
        <v>17</v>
      </c>
      <c r="M131" t="s">
        <v>18</v>
      </c>
      <c r="N131" s="4" t="s">
        <v>528</v>
      </c>
      <c r="O131" s="4" t="s">
        <v>529</v>
      </c>
      <c r="P131" s="4" t="s">
        <v>233</v>
      </c>
    </row>
    <row r="132" spans="1:16" x14ac:dyDescent="0.35">
      <c r="A132" t="s">
        <v>530</v>
      </c>
      <c r="B132" t="s">
        <v>531</v>
      </c>
      <c r="C132" t="s">
        <v>16</v>
      </c>
      <c r="D132" s="6">
        <v>397902470.56261438</v>
      </c>
      <c r="E132" s="6">
        <v>569185470.56261444</v>
      </c>
      <c r="F132" s="6">
        <v>26.659999847412109</v>
      </c>
      <c r="G132" s="6">
        <v>27.170000076293945</v>
      </c>
      <c r="H132" s="6" t="e">
        <v>#N/A</v>
      </c>
      <c r="I132" s="6">
        <v>1.487700303452749</v>
      </c>
      <c r="J132" s="6">
        <v>337675000</v>
      </c>
      <c r="K132" s="6">
        <v>-6833.4566666666669</v>
      </c>
      <c r="L132" t="s">
        <v>17</v>
      </c>
      <c r="M132" t="s">
        <v>32</v>
      </c>
      <c r="N132" s="4" t="s">
        <v>532</v>
      </c>
      <c r="O132" s="4" t="s">
        <v>533</v>
      </c>
      <c r="P132" s="4" t="s">
        <v>233</v>
      </c>
    </row>
    <row r="133" spans="1:16" x14ac:dyDescent="0.35">
      <c r="A133" t="s">
        <v>534</v>
      </c>
      <c r="B133" t="s">
        <v>535</v>
      </c>
      <c r="C133" t="s">
        <v>16</v>
      </c>
      <c r="D133" s="6">
        <v>435568474.09032005</v>
      </c>
      <c r="E133" s="6">
        <v>337805542.09032005</v>
      </c>
      <c r="F133" s="6">
        <v>6.0999999046325684</v>
      </c>
      <c r="G133" s="6">
        <v>5.9200000762939453</v>
      </c>
      <c r="H133" s="6">
        <v>4.9849144266960712</v>
      </c>
      <c r="I133" s="6">
        <v>0.28366434485325764</v>
      </c>
      <c r="J133" s="6">
        <v>173731385</v>
      </c>
      <c r="K133" s="6" t="e">
        <v>#N/A</v>
      </c>
      <c r="L133" t="s">
        <v>17</v>
      </c>
      <c r="M133" t="s">
        <v>87</v>
      </c>
      <c r="N133" s="4" t="s">
        <v>536</v>
      </c>
      <c r="O133" s="4" t="s">
        <v>537</v>
      </c>
      <c r="P133" s="4" t="s">
        <v>233</v>
      </c>
    </row>
    <row r="134" spans="1:16" x14ac:dyDescent="0.35">
      <c r="A134" t="s">
        <v>538</v>
      </c>
      <c r="B134" t="s">
        <v>539</v>
      </c>
      <c r="C134" t="s">
        <v>16</v>
      </c>
      <c r="D134" s="6">
        <v>439435.2863111794</v>
      </c>
      <c r="E134" s="6">
        <v>1681547.2863111794</v>
      </c>
      <c r="F134" s="6">
        <v>2.4250000715255737E-3</v>
      </c>
      <c r="G134" s="6">
        <v>2.9500001110136509E-3</v>
      </c>
      <c r="H134" s="6" t="e">
        <v>#N/A</v>
      </c>
      <c r="I134" s="6">
        <v>-0.59817107110599754</v>
      </c>
      <c r="J134" s="6" t="e">
        <v>#N/A</v>
      </c>
      <c r="K134" s="6" t="e">
        <v>#N/A</v>
      </c>
      <c r="L134" t="s">
        <v>17</v>
      </c>
      <c r="M134" t="s">
        <v>27</v>
      </c>
      <c r="N134" s="4" t="s">
        <v>540</v>
      </c>
      <c r="O134" s="4" t="s">
        <v>541</v>
      </c>
      <c r="P134" s="4" t="s">
        <v>233</v>
      </c>
    </row>
    <row r="135" spans="1:16" x14ac:dyDescent="0.35">
      <c r="A135" t="s">
        <v>542</v>
      </c>
      <c r="B135" t="s">
        <v>543</v>
      </c>
      <c r="C135" t="s">
        <v>16</v>
      </c>
      <c r="D135" s="6">
        <v>4257146.8903934956</v>
      </c>
      <c r="E135" s="6">
        <v>-10412853.109606503</v>
      </c>
      <c r="F135" s="6">
        <v>1.5299999713897705</v>
      </c>
      <c r="G135" s="6">
        <v>1.4500000476837158</v>
      </c>
      <c r="H135" s="6" t="e">
        <v>#N/A</v>
      </c>
      <c r="I135" s="6">
        <v>-0.88161763549399563</v>
      </c>
      <c r="J135" s="6">
        <v>0</v>
      </c>
      <c r="K135" s="6">
        <v>11.138768619645754</v>
      </c>
      <c r="L135" t="s">
        <v>17</v>
      </c>
      <c r="M135" t="s">
        <v>18</v>
      </c>
      <c r="N135" s="4" t="s">
        <v>544</v>
      </c>
      <c r="O135" s="4" t="s">
        <v>545</v>
      </c>
      <c r="P135" s="4" t="s">
        <v>233</v>
      </c>
    </row>
    <row r="136" spans="1:16" x14ac:dyDescent="0.35">
      <c r="A136" t="s">
        <v>546</v>
      </c>
      <c r="B136" t="s">
        <v>547</v>
      </c>
      <c r="C136" t="s">
        <v>16</v>
      </c>
      <c r="D136" s="6">
        <v>10489012533.297729</v>
      </c>
      <c r="E136" s="6">
        <v>10683469533.297729</v>
      </c>
      <c r="F136" s="6">
        <v>109.80999755859375</v>
      </c>
      <c r="G136" s="6">
        <v>109</v>
      </c>
      <c r="H136" s="6">
        <v>82.241373349775429</v>
      </c>
      <c r="I136" s="6">
        <v>-0.13717879217107176</v>
      </c>
      <c r="J136" s="6">
        <v>1640348000</v>
      </c>
      <c r="K136" s="6" t="e">
        <v>#N/A</v>
      </c>
      <c r="L136" t="s">
        <v>17</v>
      </c>
      <c r="M136" t="s">
        <v>18</v>
      </c>
      <c r="N136" s="4" t="s">
        <v>548</v>
      </c>
      <c r="O136" s="4" t="s">
        <v>549</v>
      </c>
      <c r="P136" s="4" t="s">
        <v>233</v>
      </c>
    </row>
    <row r="137" spans="1:16" x14ac:dyDescent="0.35">
      <c r="A137" t="s">
        <v>550</v>
      </c>
      <c r="B137" t="s">
        <v>551</v>
      </c>
      <c r="C137" t="s">
        <v>16</v>
      </c>
      <c r="D137" s="6" t="e">
        <v>#N/A</v>
      </c>
      <c r="E137" s="6" t="e">
        <v>#N/A</v>
      </c>
      <c r="F137" s="6" t="e">
        <v>#N/A</v>
      </c>
      <c r="G137" s="6" t="e">
        <v>#N/A</v>
      </c>
      <c r="H137" s="6" t="e">
        <v>#N/A</v>
      </c>
      <c r="I137" s="6">
        <v>0</v>
      </c>
      <c r="J137" s="6" t="e">
        <v>#N/A</v>
      </c>
      <c r="K137" s="6" t="e">
        <v>#N/A</v>
      </c>
      <c r="L137" t="s">
        <v>17</v>
      </c>
      <c r="M137" t="s">
        <v>87</v>
      </c>
      <c r="N137" s="4" t="s">
        <v>552</v>
      </c>
      <c r="O137" s="4" t="s">
        <v>553</v>
      </c>
      <c r="P137" s="4" t="s">
        <v>233</v>
      </c>
    </row>
    <row r="138" spans="1:16" x14ac:dyDescent="0.35">
      <c r="A138" t="s">
        <v>554</v>
      </c>
      <c r="B138" t="s">
        <v>555</v>
      </c>
      <c r="C138" t="s">
        <v>16</v>
      </c>
      <c r="D138" s="6">
        <v>4637509.9781445824</v>
      </c>
      <c r="E138" s="6">
        <v>21823797.978144582</v>
      </c>
      <c r="F138" s="6">
        <v>7.0000002160668373E-3</v>
      </c>
      <c r="G138" s="6">
        <v>7.0000002160668373E-3</v>
      </c>
      <c r="H138" s="6" t="e">
        <v>#N/A</v>
      </c>
      <c r="I138" s="6">
        <v>2.8744851715870112</v>
      </c>
      <c r="J138" s="6">
        <v>338003</v>
      </c>
      <c r="K138" s="6" t="e">
        <v>#N/A</v>
      </c>
      <c r="L138" t="s">
        <v>17</v>
      </c>
      <c r="M138" t="s">
        <v>87</v>
      </c>
      <c r="N138" s="4" t="s">
        <v>556</v>
      </c>
      <c r="O138" s="4" t="s">
        <v>557</v>
      </c>
      <c r="P138" s="4" t="s">
        <v>233</v>
      </c>
    </row>
    <row r="139" spans="1:16" x14ac:dyDescent="0.35">
      <c r="A139" t="s">
        <v>558</v>
      </c>
      <c r="B139" t="s">
        <v>559</v>
      </c>
      <c r="C139" t="s">
        <v>16</v>
      </c>
      <c r="D139" s="6" t="e">
        <v>#N/A</v>
      </c>
      <c r="E139" s="6" t="e">
        <v>#N/A</v>
      </c>
      <c r="F139" s="6">
        <v>9.9999999747524271E-7</v>
      </c>
      <c r="G139" s="6">
        <v>9.9999999747524271E-7</v>
      </c>
      <c r="H139" s="6" t="e">
        <v>#N/A</v>
      </c>
      <c r="I139" s="6">
        <v>0</v>
      </c>
      <c r="J139" s="6">
        <v>0</v>
      </c>
      <c r="K139" s="6">
        <v>45.222568755316139</v>
      </c>
      <c r="L139" t="s">
        <v>17</v>
      </c>
      <c r="M139" t="s">
        <v>27</v>
      </c>
      <c r="N139" s="4" t="s">
        <v>560</v>
      </c>
      <c r="O139" s="4" t="s">
        <v>561</v>
      </c>
      <c r="P139" s="4" t="s">
        <v>233</v>
      </c>
    </row>
    <row r="140" spans="1:16" x14ac:dyDescent="0.35">
      <c r="A140" t="s">
        <v>562</v>
      </c>
      <c r="B140" t="s">
        <v>563</v>
      </c>
      <c r="C140" t="s">
        <v>16</v>
      </c>
      <c r="D140" s="6">
        <v>373807529407.25201</v>
      </c>
      <c r="E140" s="6" t="e">
        <v>#N/A</v>
      </c>
      <c r="F140" s="6">
        <v>155.25999450683594</v>
      </c>
      <c r="G140" s="6">
        <v>155.27000427246094</v>
      </c>
      <c r="H140" s="6">
        <v>18.52596445234521</v>
      </c>
      <c r="I140" s="6">
        <v>1.4834714273774363E-2</v>
      </c>
      <c r="J140" s="6">
        <v>88821000000</v>
      </c>
      <c r="K140" s="6">
        <v>10.076045627376432</v>
      </c>
      <c r="L140" t="s">
        <v>17</v>
      </c>
      <c r="M140" t="s">
        <v>87</v>
      </c>
      <c r="N140" s="4" t="s">
        <v>564</v>
      </c>
      <c r="O140" s="4" t="s">
        <v>565</v>
      </c>
      <c r="P140" s="4" t="s">
        <v>233</v>
      </c>
    </row>
    <row r="141" spans="1:16" x14ac:dyDescent="0.35">
      <c r="A141" t="s">
        <v>566</v>
      </c>
      <c r="B141" t="s">
        <v>567</v>
      </c>
      <c r="C141" t="s">
        <v>16</v>
      </c>
      <c r="D141" s="6">
        <v>12762547.456762077</v>
      </c>
      <c r="E141" s="6">
        <v>11016547.456762077</v>
      </c>
      <c r="F141" s="6">
        <v>0.69599997997283936</v>
      </c>
      <c r="G141" s="6">
        <v>0.75</v>
      </c>
      <c r="H141" s="6" t="e">
        <v>#N/A</v>
      </c>
      <c r="I141" s="6">
        <v>-0.26713008267314886</v>
      </c>
      <c r="J141" s="6">
        <v>5578000</v>
      </c>
      <c r="K141" s="6">
        <v>13.81601832550446</v>
      </c>
      <c r="L141" t="s">
        <v>17</v>
      </c>
      <c r="M141" t="s">
        <v>27</v>
      </c>
      <c r="N141" s="4" t="s">
        <v>568</v>
      </c>
      <c r="O141" s="4" t="s">
        <v>569</v>
      </c>
      <c r="P141" s="4" t="s">
        <v>233</v>
      </c>
    </row>
    <row r="142" spans="1:16" x14ac:dyDescent="0.35">
      <c r="A142" t="s">
        <v>570</v>
      </c>
      <c r="B142" t="s">
        <v>571</v>
      </c>
      <c r="C142" t="s">
        <v>16</v>
      </c>
      <c r="D142" s="6">
        <v>4507643.4339999994</v>
      </c>
      <c r="E142" s="6">
        <v>6475177.4339999994</v>
      </c>
      <c r="F142" s="6">
        <v>6.0999999999999999E-2</v>
      </c>
      <c r="G142" s="6">
        <v>5.16E-2</v>
      </c>
      <c r="H142" s="6">
        <v>1.722093614138106</v>
      </c>
      <c r="I142" s="6">
        <v>-0.49072605043043815</v>
      </c>
      <c r="J142" s="6">
        <v>18403823</v>
      </c>
      <c r="K142" s="6" t="e">
        <v>#N/A</v>
      </c>
      <c r="L142" t="s">
        <v>17</v>
      </c>
      <c r="M142" t="s">
        <v>40</v>
      </c>
      <c r="N142" s="4" t="s">
        <v>572</v>
      </c>
      <c r="O142" s="4" t="s">
        <v>573</v>
      </c>
      <c r="P142" s="4" t="s">
        <v>233</v>
      </c>
    </row>
    <row r="143" spans="1:16" x14ac:dyDescent="0.35">
      <c r="A143" t="s">
        <v>574</v>
      </c>
      <c r="B143" t="s">
        <v>575</v>
      </c>
      <c r="C143" t="s">
        <v>16</v>
      </c>
      <c r="D143" s="6">
        <v>326826536.16267151</v>
      </c>
      <c r="E143" s="6">
        <v>362842536.16267151</v>
      </c>
      <c r="F143" s="6">
        <v>0.25189998745918274</v>
      </c>
      <c r="G143" s="6">
        <v>0.2720000147819519</v>
      </c>
      <c r="H143" s="6" t="e">
        <v>#N/A</v>
      </c>
      <c r="I143" s="6">
        <v>-0.5503966513193046</v>
      </c>
      <c r="J143" s="6">
        <v>1596000</v>
      </c>
      <c r="K143" s="6">
        <v>-14.840518016667657</v>
      </c>
      <c r="L143" t="s">
        <v>17</v>
      </c>
      <c r="M143" t="s">
        <v>18</v>
      </c>
      <c r="N143" s="4" t="s">
        <v>576</v>
      </c>
      <c r="O143" s="4" t="s">
        <v>577</v>
      </c>
      <c r="P143" s="4" t="s">
        <v>233</v>
      </c>
    </row>
    <row r="144" spans="1:16" x14ac:dyDescent="0.35">
      <c r="A144" t="s">
        <v>578</v>
      </c>
      <c r="B144" t="s">
        <v>579</v>
      </c>
      <c r="C144" t="s">
        <v>16</v>
      </c>
      <c r="D144" s="6">
        <v>1072.3856729092583</v>
      </c>
      <c r="E144" s="6">
        <v>108072.38567290946</v>
      </c>
      <c r="F144" s="6">
        <v>9.9999997473787516E-5</v>
      </c>
      <c r="G144" s="6">
        <v>9.9999997473787516E-5</v>
      </c>
      <c r="H144" s="6" t="e">
        <v>#N/A</v>
      </c>
      <c r="I144" s="6">
        <v>-0.49905219301429538</v>
      </c>
      <c r="J144" s="6">
        <v>6826000</v>
      </c>
      <c r="K144" s="6">
        <v>53.383288308388465</v>
      </c>
      <c r="L144" t="s">
        <v>17</v>
      </c>
      <c r="M144" t="s">
        <v>27</v>
      </c>
      <c r="N144" s="4" t="s">
        <v>580</v>
      </c>
      <c r="O144" s="4" t="s">
        <v>581</v>
      </c>
      <c r="P144" s="4" t="s">
        <v>233</v>
      </c>
    </row>
    <row r="145" spans="1:16" x14ac:dyDescent="0.35">
      <c r="A145" t="s">
        <v>582</v>
      </c>
      <c r="B145" t="s">
        <v>583</v>
      </c>
      <c r="C145" t="s">
        <v>16</v>
      </c>
      <c r="D145" s="6">
        <v>5997720072.9457378</v>
      </c>
      <c r="E145" s="6">
        <v>5864317072.9457378</v>
      </c>
      <c r="F145" s="6">
        <v>116.77999877929688</v>
      </c>
      <c r="G145" s="6">
        <v>116.19000244140625</v>
      </c>
      <c r="H145" s="6">
        <v>68.583724028889691</v>
      </c>
      <c r="I145" s="6">
        <v>0.40702840080574409</v>
      </c>
      <c r="J145" s="6">
        <v>871308000</v>
      </c>
      <c r="K145" s="6">
        <v>17.351598173515988</v>
      </c>
      <c r="L145" t="s">
        <v>17</v>
      </c>
      <c r="M145" t="s">
        <v>40</v>
      </c>
      <c r="N145" s="4" t="s">
        <v>584</v>
      </c>
      <c r="O145" s="4" t="s">
        <v>585</v>
      </c>
      <c r="P145" s="4" t="s">
        <v>233</v>
      </c>
    </row>
    <row r="146" spans="1:16" x14ac:dyDescent="0.35">
      <c r="A146" t="s">
        <v>586</v>
      </c>
      <c r="B146" t="s">
        <v>587</v>
      </c>
      <c r="C146" t="s">
        <v>16</v>
      </c>
      <c r="D146" s="6" t="e">
        <v>#N/A</v>
      </c>
      <c r="E146" s="6" t="e">
        <v>#N/A</v>
      </c>
      <c r="F146" s="6" t="e">
        <v>#N/A</v>
      </c>
      <c r="G146" s="6" t="e">
        <v>#N/A</v>
      </c>
      <c r="H146" s="6" t="e">
        <v>#N/A</v>
      </c>
      <c r="I146" s="6">
        <v>-0.72803153186365122</v>
      </c>
      <c r="J146" s="6" t="e">
        <v>#N/A</v>
      </c>
      <c r="K146" s="6" t="e">
        <v>#N/A</v>
      </c>
      <c r="L146" t="s">
        <v>17</v>
      </c>
      <c r="M146" t="s">
        <v>87</v>
      </c>
      <c r="N146" s="4" t="s">
        <v>588</v>
      </c>
      <c r="O146" s="4" t="s">
        <v>589</v>
      </c>
      <c r="P146" s="4" t="s">
        <v>233</v>
      </c>
    </row>
    <row r="147" spans="1:16" x14ac:dyDescent="0.35">
      <c r="A147" t="s">
        <v>590</v>
      </c>
      <c r="B147" t="s">
        <v>591</v>
      </c>
      <c r="C147" t="s">
        <v>16</v>
      </c>
      <c r="D147" s="6" t="e">
        <v>#N/A</v>
      </c>
      <c r="E147" s="6" t="e">
        <v>#N/A</v>
      </c>
      <c r="F147" s="6">
        <v>9.9999999747524271E-7</v>
      </c>
      <c r="G147" s="6">
        <v>9.9999999747524271E-7</v>
      </c>
      <c r="H147" s="6" t="e">
        <v>#N/A</v>
      </c>
      <c r="I147" s="6">
        <v>-1.9984014443252818E-15</v>
      </c>
      <c r="J147" s="6" t="e">
        <v>#N/A</v>
      </c>
      <c r="K147" s="6" t="e">
        <v>#N/A</v>
      </c>
      <c r="L147" t="s">
        <v>17</v>
      </c>
      <c r="M147" t="s">
        <v>32</v>
      </c>
      <c r="N147" s="4" t="s">
        <v>592</v>
      </c>
      <c r="O147" s="4" t="s">
        <v>593</v>
      </c>
      <c r="P147" s="4" t="s">
        <v>233</v>
      </c>
    </row>
    <row r="148" spans="1:16" x14ac:dyDescent="0.35">
      <c r="A148" t="s">
        <v>594</v>
      </c>
      <c r="B148" t="s">
        <v>595</v>
      </c>
      <c r="C148" t="s">
        <v>16</v>
      </c>
      <c r="D148" s="6">
        <v>4593358974.3720818</v>
      </c>
      <c r="E148" s="6">
        <v>5805598974.3720818</v>
      </c>
      <c r="F148" s="6">
        <v>62.049999237060547</v>
      </c>
      <c r="G148" s="6">
        <v>60.779998779296875</v>
      </c>
      <c r="H148" s="6">
        <v>192.88336303123916</v>
      </c>
      <c r="I148" s="6">
        <v>0.602118031026184</v>
      </c>
      <c r="J148" s="6">
        <v>1772946000</v>
      </c>
      <c r="K148" s="6" t="e">
        <v>#N/A</v>
      </c>
      <c r="L148" t="s">
        <v>17</v>
      </c>
      <c r="M148" t="s">
        <v>40</v>
      </c>
      <c r="N148" s="4" t="s">
        <v>596</v>
      </c>
      <c r="O148" s="4" t="s">
        <v>597</v>
      </c>
      <c r="P148" s="4" t="s">
        <v>233</v>
      </c>
    </row>
    <row r="149" spans="1:16" x14ac:dyDescent="0.35">
      <c r="A149" t="s">
        <v>598</v>
      </c>
      <c r="B149" t="s">
        <v>599</v>
      </c>
      <c r="C149" t="s">
        <v>16</v>
      </c>
      <c r="D149" s="6">
        <v>45003526.149750702</v>
      </c>
      <c r="E149" s="6">
        <v>56727560.149750702</v>
      </c>
      <c r="F149" s="6">
        <v>5.0500001907348633</v>
      </c>
      <c r="G149" s="6">
        <v>5</v>
      </c>
      <c r="H149" s="6" t="e">
        <v>#N/A</v>
      </c>
      <c r="I149" s="6">
        <v>-9.777228979533481E-3</v>
      </c>
      <c r="J149" s="6">
        <v>23838040</v>
      </c>
      <c r="K149" s="6">
        <v>40.758223647184415</v>
      </c>
      <c r="L149" t="s">
        <v>17</v>
      </c>
      <c r="M149" t="s">
        <v>18</v>
      </c>
      <c r="N149" s="4" t="s">
        <v>600</v>
      </c>
      <c r="O149" s="4" t="s">
        <v>601</v>
      </c>
      <c r="P149" s="4" t="s">
        <v>233</v>
      </c>
    </row>
    <row r="150" spans="1:16" x14ac:dyDescent="0.35">
      <c r="A150" t="s">
        <v>602</v>
      </c>
      <c r="B150" t="s">
        <v>603</v>
      </c>
      <c r="C150" t="s">
        <v>16</v>
      </c>
      <c r="D150" s="6">
        <v>2104755586.9371796</v>
      </c>
      <c r="E150" s="6">
        <v>1892469586.9371796</v>
      </c>
      <c r="F150" s="6">
        <v>111.38999938964844</v>
      </c>
      <c r="G150" s="6">
        <v>110.80999755859375</v>
      </c>
      <c r="H150" s="6">
        <v>27.233180568444283</v>
      </c>
      <c r="I150" s="6">
        <v>0.47107700298438981</v>
      </c>
      <c r="J150" s="6">
        <v>152422000</v>
      </c>
      <c r="K150" s="6">
        <v>112.09677419354837</v>
      </c>
      <c r="L150" t="s">
        <v>17</v>
      </c>
      <c r="M150" t="s">
        <v>87</v>
      </c>
      <c r="N150" s="4" t="s">
        <v>604</v>
      </c>
      <c r="O150" s="4" t="s">
        <v>605</v>
      </c>
      <c r="P150" s="4" t="s">
        <v>233</v>
      </c>
    </row>
    <row r="151" spans="1:16" x14ac:dyDescent="0.35">
      <c r="A151" t="s">
        <v>606</v>
      </c>
      <c r="B151" t="s">
        <v>607</v>
      </c>
      <c r="C151" t="s">
        <v>16</v>
      </c>
      <c r="D151" s="6">
        <v>409143.23120000004</v>
      </c>
      <c r="E151" s="6">
        <v>1217143.2174238765</v>
      </c>
      <c r="F151" s="6">
        <v>3.2800000000000003E-2</v>
      </c>
      <c r="G151" s="6">
        <v>3.2800000000000003E-2</v>
      </c>
      <c r="H151" s="6" t="e">
        <v>#N/A</v>
      </c>
      <c r="I151" s="6">
        <v>-0.17544371746809062</v>
      </c>
      <c r="J151" s="6">
        <v>4488999.9628067017</v>
      </c>
      <c r="K151" s="6">
        <v>0</v>
      </c>
      <c r="L151" t="s">
        <v>17</v>
      </c>
      <c r="M151" t="s">
        <v>40</v>
      </c>
      <c r="N151" s="4" t="s">
        <v>608</v>
      </c>
      <c r="O151" s="4" t="s">
        <v>609</v>
      </c>
      <c r="P151" s="4" t="s">
        <v>233</v>
      </c>
    </row>
    <row r="152" spans="1:16" x14ac:dyDescent="0.35">
      <c r="A152" t="s">
        <v>610</v>
      </c>
      <c r="B152" t="s">
        <v>611</v>
      </c>
      <c r="C152" t="s">
        <v>16</v>
      </c>
      <c r="D152" s="6">
        <v>11218695.839679956</v>
      </c>
      <c r="E152" s="6">
        <v>-9621360.1603200436</v>
      </c>
      <c r="F152" s="6">
        <v>1.6100000143051147</v>
      </c>
      <c r="G152" s="6">
        <v>1.6000000238418579</v>
      </c>
      <c r="H152" s="6">
        <v>1.5116491005266501</v>
      </c>
      <c r="I152" s="6">
        <v>-0.25745917383402628</v>
      </c>
      <c r="J152" s="6">
        <v>0</v>
      </c>
      <c r="K152" s="6" t="e">
        <v>#N/A</v>
      </c>
      <c r="L152" t="s">
        <v>17</v>
      </c>
      <c r="M152" t="s">
        <v>18</v>
      </c>
      <c r="N152" s="4" t="s">
        <v>612</v>
      </c>
      <c r="O152" s="4" t="s">
        <v>613</v>
      </c>
      <c r="P152" s="4" t="s">
        <v>233</v>
      </c>
    </row>
    <row r="153" spans="1:16" x14ac:dyDescent="0.35">
      <c r="A153" t="s">
        <v>614</v>
      </c>
      <c r="B153" t="s">
        <v>615</v>
      </c>
      <c r="C153" t="s">
        <v>16</v>
      </c>
      <c r="D153" s="6">
        <v>11823683109.880123</v>
      </c>
      <c r="E153" s="6">
        <v>16905475109.880123</v>
      </c>
      <c r="F153" s="6">
        <v>179.24000549316406</v>
      </c>
      <c r="G153" s="6">
        <v>184.10000610351563</v>
      </c>
      <c r="H153" s="6">
        <v>11.905301544936938</v>
      </c>
      <c r="I153" s="6">
        <v>9.3504112074717538E-2</v>
      </c>
      <c r="J153" s="6">
        <v>15417759000</v>
      </c>
      <c r="K153" s="6">
        <v>59.043659043659041</v>
      </c>
      <c r="L153" t="s">
        <v>17</v>
      </c>
      <c r="M153" t="s">
        <v>40</v>
      </c>
      <c r="N153" s="4" t="s">
        <v>616</v>
      </c>
      <c r="O153" s="4" t="s">
        <v>617</v>
      </c>
      <c r="P153" s="4" t="s">
        <v>233</v>
      </c>
    </row>
    <row r="154" spans="1:16" x14ac:dyDescent="0.35">
      <c r="A154" t="s">
        <v>618</v>
      </c>
      <c r="B154" t="s">
        <v>619</v>
      </c>
      <c r="C154" t="s">
        <v>16</v>
      </c>
      <c r="D154" s="6">
        <v>4754.2550999999994</v>
      </c>
      <c r="E154" s="6">
        <v>4211754.2550999997</v>
      </c>
      <c r="F154" s="6">
        <v>2.9999999999999997E-4</v>
      </c>
      <c r="G154" s="6">
        <v>2.9999999999999997E-4</v>
      </c>
      <c r="H154" s="6" t="e">
        <v>#N/A</v>
      </c>
      <c r="I154" s="6">
        <v>-0.99963196867254067</v>
      </c>
      <c r="J154" s="6">
        <v>9610000</v>
      </c>
      <c r="K154" s="6">
        <v>79.078803873525587</v>
      </c>
      <c r="L154" t="s">
        <v>17</v>
      </c>
      <c r="M154" t="s">
        <v>27</v>
      </c>
      <c r="N154" s="4" t="s">
        <v>620</v>
      </c>
      <c r="O154" s="4" t="s">
        <v>621</v>
      </c>
      <c r="P154" s="4" t="s">
        <v>233</v>
      </c>
    </row>
    <row r="155" spans="1:16" x14ac:dyDescent="0.35">
      <c r="A155" t="s">
        <v>622</v>
      </c>
      <c r="B155" t="s">
        <v>623</v>
      </c>
      <c r="C155" t="s">
        <v>16</v>
      </c>
      <c r="D155" s="6">
        <v>782906967.90076435</v>
      </c>
      <c r="E155" s="6">
        <v>827238967.90076435</v>
      </c>
      <c r="F155" s="6">
        <v>17.790000915527344</v>
      </c>
      <c r="G155" s="6">
        <v>17.200000762939453</v>
      </c>
      <c r="H155" s="6" t="e">
        <v>#N/A</v>
      </c>
      <c r="I155" s="6">
        <v>0.76914509892033012</v>
      </c>
      <c r="J155" s="6">
        <v>180856000</v>
      </c>
      <c r="K155" s="6">
        <v>42.575921860298415</v>
      </c>
      <c r="L155" t="s">
        <v>17</v>
      </c>
      <c r="M155" t="s">
        <v>27</v>
      </c>
      <c r="N155" s="4" t="s">
        <v>624</v>
      </c>
      <c r="O155" s="4" t="s">
        <v>625</v>
      </c>
      <c r="P155" s="4" t="s">
        <v>233</v>
      </c>
    </row>
    <row r="156" spans="1:16" x14ac:dyDescent="0.35">
      <c r="A156" t="s">
        <v>626</v>
      </c>
      <c r="B156" t="s">
        <v>627</v>
      </c>
      <c r="C156" t="s">
        <v>16</v>
      </c>
      <c r="D156" s="6">
        <v>3175700.3335160012</v>
      </c>
      <c r="E156" s="6">
        <v>4494700.3335160008</v>
      </c>
      <c r="F156" s="6">
        <v>0.64999997615814209</v>
      </c>
      <c r="G156" s="6">
        <v>0.66299998760223389</v>
      </c>
      <c r="H156" s="6" t="e">
        <v>#N/A</v>
      </c>
      <c r="I156" s="6">
        <v>-0.8699496773648171</v>
      </c>
      <c r="J156" s="6">
        <v>11199000</v>
      </c>
      <c r="K156" s="6">
        <v>97.280802219337858</v>
      </c>
      <c r="L156" t="s">
        <v>17</v>
      </c>
      <c r="M156" t="s">
        <v>87</v>
      </c>
      <c r="N156" s="4" t="s">
        <v>628</v>
      </c>
      <c r="O156" s="4" t="s">
        <v>629</v>
      </c>
      <c r="P156" s="4" t="s">
        <v>233</v>
      </c>
    </row>
    <row r="157" spans="1:16" x14ac:dyDescent="0.35">
      <c r="A157" t="s">
        <v>630</v>
      </c>
      <c r="B157" t="s">
        <v>631</v>
      </c>
      <c r="C157" t="s">
        <v>16</v>
      </c>
      <c r="D157" s="6">
        <v>4177403.4507966489</v>
      </c>
      <c r="E157" s="6">
        <v>4168888.4507966489</v>
      </c>
      <c r="F157" s="6">
        <v>8.6999997496604919E-2</v>
      </c>
      <c r="G157" s="6">
        <v>7.9999998211860657E-2</v>
      </c>
      <c r="H157" s="6" t="e">
        <v>#N/A</v>
      </c>
      <c r="I157" s="6">
        <v>-0.6074564717921378</v>
      </c>
      <c r="J157" s="6" t="e">
        <v>#N/A</v>
      </c>
      <c r="K157" s="6" t="e">
        <v>#N/A</v>
      </c>
      <c r="L157" t="s">
        <v>17</v>
      </c>
      <c r="M157" t="s">
        <v>40</v>
      </c>
      <c r="N157" s="4" t="s">
        <v>632</v>
      </c>
      <c r="O157" s="4" t="s">
        <v>633</v>
      </c>
      <c r="P157" s="4" t="s">
        <v>233</v>
      </c>
    </row>
    <row r="158" spans="1:16" x14ac:dyDescent="0.35">
      <c r="A158" t="s">
        <v>634</v>
      </c>
      <c r="B158" t="s">
        <v>635</v>
      </c>
      <c r="C158" t="s">
        <v>16</v>
      </c>
      <c r="D158" s="6">
        <v>828724093579.19678</v>
      </c>
      <c r="E158" s="6" t="e">
        <v>#N/A</v>
      </c>
      <c r="F158" s="6">
        <v>872.969970703125</v>
      </c>
      <c r="G158" s="6">
        <v>856.92999267578125</v>
      </c>
      <c r="H158" s="6">
        <v>56.802463756805061</v>
      </c>
      <c r="I158" s="6">
        <v>0.19122461015250614</v>
      </c>
      <c r="J158" s="6">
        <v>45042700000</v>
      </c>
      <c r="K158" s="6">
        <v>101.20274914089346</v>
      </c>
      <c r="L158" t="s">
        <v>17</v>
      </c>
      <c r="M158" t="s">
        <v>87</v>
      </c>
      <c r="N158" s="4" t="s">
        <v>636</v>
      </c>
      <c r="O158" s="4" t="s">
        <v>637</v>
      </c>
      <c r="P158" s="4" t="s">
        <v>233</v>
      </c>
    </row>
    <row r="159" spans="1:16" x14ac:dyDescent="0.35">
      <c r="A159" t="s">
        <v>638</v>
      </c>
      <c r="B159" t="s">
        <v>639</v>
      </c>
      <c r="C159" t="s">
        <v>16</v>
      </c>
      <c r="D159" s="6">
        <v>16324399.549978733</v>
      </c>
      <c r="E159" s="6">
        <v>7731876.5499787331</v>
      </c>
      <c r="F159" s="6">
        <v>1.7300000190734863</v>
      </c>
      <c r="G159" s="6">
        <v>1.6000000238418579</v>
      </c>
      <c r="H159" s="6" t="e">
        <v>#N/A</v>
      </c>
      <c r="I159" s="6">
        <v>-0.34393978016172888</v>
      </c>
      <c r="J159" s="6">
        <v>3090161</v>
      </c>
      <c r="K159" s="6">
        <v>33.497532609712266</v>
      </c>
      <c r="L159" t="s">
        <v>17</v>
      </c>
      <c r="M159" t="s">
        <v>18</v>
      </c>
      <c r="N159" s="4" t="s">
        <v>640</v>
      </c>
      <c r="O159" s="4" t="s">
        <v>641</v>
      </c>
      <c r="P159" s="4" t="s">
        <v>233</v>
      </c>
    </row>
    <row r="160" spans="1:16" x14ac:dyDescent="0.35">
      <c r="A160" t="s">
        <v>642</v>
      </c>
      <c r="B160" t="s">
        <v>643</v>
      </c>
      <c r="C160" t="s">
        <v>16</v>
      </c>
      <c r="D160" s="6">
        <v>2065187742.1166227</v>
      </c>
      <c r="E160" s="6" t="e">
        <v>#N/A</v>
      </c>
      <c r="F160" s="6">
        <v>42.360000610351563</v>
      </c>
      <c r="G160" s="6">
        <v>40.669998168945313</v>
      </c>
      <c r="H160" s="6" t="e">
        <v>#N/A</v>
      </c>
      <c r="I160" s="6">
        <v>0.26291525780300873</v>
      </c>
      <c r="J160" s="6">
        <v>465307000</v>
      </c>
      <c r="K160" s="6">
        <v>-43.939393939393923</v>
      </c>
      <c r="L160" t="s">
        <v>17</v>
      </c>
      <c r="M160" t="s">
        <v>27</v>
      </c>
      <c r="N160" s="4" t="s">
        <v>644</v>
      </c>
      <c r="O160" s="4" t="s">
        <v>645</v>
      </c>
      <c r="P160" s="4" t="s">
        <v>233</v>
      </c>
    </row>
    <row r="161" spans="1:16" x14ac:dyDescent="0.35">
      <c r="A161" t="s">
        <v>646</v>
      </c>
      <c r="B161" t="s">
        <v>647</v>
      </c>
      <c r="C161" t="s">
        <v>16</v>
      </c>
      <c r="D161" s="6">
        <v>2739636854.5658112</v>
      </c>
      <c r="E161" s="6">
        <v>3394695854.5658112</v>
      </c>
      <c r="F161" s="6">
        <v>31.040000915527344</v>
      </c>
      <c r="G161" s="6">
        <v>31.030000686645508</v>
      </c>
      <c r="H161" s="6">
        <v>18.082372027041618</v>
      </c>
      <c r="I161" s="6">
        <v>0.10208967471640973</v>
      </c>
      <c r="J161" s="6">
        <v>6554872000</v>
      </c>
      <c r="K161" s="6">
        <v>-16.425120772946872</v>
      </c>
      <c r="L161" t="s">
        <v>17</v>
      </c>
      <c r="M161" t="s">
        <v>40</v>
      </c>
      <c r="N161" s="4" t="s">
        <v>648</v>
      </c>
      <c r="O161" s="4" t="s">
        <v>649</v>
      </c>
      <c r="P161" s="4" t="s">
        <v>233</v>
      </c>
    </row>
    <row r="162" spans="1:16" x14ac:dyDescent="0.35">
      <c r="A162" t="s">
        <v>650</v>
      </c>
      <c r="B162" t="s">
        <v>651</v>
      </c>
      <c r="C162" t="s">
        <v>16</v>
      </c>
      <c r="D162" s="6" t="e">
        <v>#N/A</v>
      </c>
      <c r="E162" s="6" t="e">
        <v>#N/A</v>
      </c>
      <c r="F162" s="6" t="e">
        <v>#N/A</v>
      </c>
      <c r="G162" s="6" t="e">
        <v>#N/A</v>
      </c>
      <c r="H162" s="6" t="e">
        <v>#N/A</v>
      </c>
      <c r="I162" s="6">
        <v>-0.89936889526331287</v>
      </c>
      <c r="J162" s="6">
        <v>612000</v>
      </c>
      <c r="K162" s="6">
        <v>-598.93748455646153</v>
      </c>
      <c r="L162" t="s">
        <v>17</v>
      </c>
      <c r="M162" t="s">
        <v>18</v>
      </c>
      <c r="N162" s="4" t="s">
        <v>652</v>
      </c>
      <c r="O162" s="4" t="s">
        <v>653</v>
      </c>
      <c r="P162" s="4" t="s">
        <v>233</v>
      </c>
    </row>
    <row r="163" spans="1:16" x14ac:dyDescent="0.35">
      <c r="A163" t="s">
        <v>654</v>
      </c>
      <c r="B163" t="s">
        <v>655</v>
      </c>
      <c r="C163" t="s">
        <v>16</v>
      </c>
      <c r="D163" s="6">
        <v>7823.7111716063218</v>
      </c>
      <c r="E163" s="6">
        <v>1229811.7111716063</v>
      </c>
      <c r="F163" s="6">
        <v>1.2000000569969416E-3</v>
      </c>
      <c r="G163" s="6">
        <v>1.2000000569969416E-3</v>
      </c>
      <c r="H163" s="6" t="e">
        <v>#N/A</v>
      </c>
      <c r="I163" s="6">
        <v>-0.47733259657009819</v>
      </c>
      <c r="J163" s="6" t="e">
        <v>#N/A</v>
      </c>
      <c r="K163" s="6" t="e">
        <v>#N/A</v>
      </c>
      <c r="L163" t="s">
        <v>17</v>
      </c>
      <c r="M163" t="s">
        <v>27</v>
      </c>
      <c r="N163" s="4" t="s">
        <v>656</v>
      </c>
      <c r="O163" s="4" t="s">
        <v>657</v>
      </c>
      <c r="P163" s="4" t="s">
        <v>233</v>
      </c>
    </row>
    <row r="164" spans="1:16" x14ac:dyDescent="0.35">
      <c r="A164" t="s">
        <v>658</v>
      </c>
      <c r="B164" t="s">
        <v>659</v>
      </c>
      <c r="C164" t="s">
        <v>16</v>
      </c>
      <c r="D164" s="6">
        <v>13362856958.089449</v>
      </c>
      <c r="E164" s="6">
        <v>11265101958.089449</v>
      </c>
      <c r="F164" s="6">
        <v>69.050003051757813</v>
      </c>
      <c r="G164" s="6">
        <v>66.300003051757813</v>
      </c>
      <c r="H164" s="6" t="e">
        <v>#N/A</v>
      </c>
      <c r="I164" s="6">
        <v>0.19323287932161581</v>
      </c>
      <c r="J164" s="6">
        <v>4241216999.9999995</v>
      </c>
      <c r="K164" s="6">
        <v>-94.007490636704105</v>
      </c>
      <c r="L164" t="s">
        <v>17</v>
      </c>
      <c r="M164" t="s">
        <v>18</v>
      </c>
      <c r="N164" s="4" t="s">
        <v>660</v>
      </c>
      <c r="O164" s="4" t="s">
        <v>661</v>
      </c>
      <c r="P164" s="4" t="s">
        <v>233</v>
      </c>
    </row>
    <row r="165" spans="1:16" x14ac:dyDescent="0.35">
      <c r="A165" t="s">
        <v>662</v>
      </c>
      <c r="B165" t="s">
        <v>663</v>
      </c>
      <c r="C165" t="s">
        <v>16</v>
      </c>
      <c r="D165" s="6">
        <v>1181491.2001178178</v>
      </c>
      <c r="E165" s="6">
        <v>14308288.200117817</v>
      </c>
      <c r="F165" s="6">
        <v>8.0000003799796104E-3</v>
      </c>
      <c r="G165" s="6">
        <v>8.999999612569809E-3</v>
      </c>
      <c r="H165" s="6" t="e">
        <v>#N/A</v>
      </c>
      <c r="I165" s="6">
        <v>-0.90744443657463236</v>
      </c>
      <c r="J165" s="6" t="e">
        <v>#N/A</v>
      </c>
      <c r="K165" s="6">
        <v>55.066454507795285</v>
      </c>
      <c r="L165" t="s">
        <v>17</v>
      </c>
      <c r="M165" t="s">
        <v>87</v>
      </c>
      <c r="N165" s="4" t="s">
        <v>664</v>
      </c>
      <c r="O165" s="4" t="s">
        <v>665</v>
      </c>
      <c r="P165" s="4" t="s">
        <v>233</v>
      </c>
    </row>
    <row r="166" spans="1:16" x14ac:dyDescent="0.35">
      <c r="A166" t="s">
        <v>666</v>
      </c>
      <c r="B166" t="s">
        <v>667</v>
      </c>
      <c r="C166" t="s">
        <v>16</v>
      </c>
      <c r="D166" s="6">
        <v>81623574.684703335</v>
      </c>
      <c r="E166" s="6">
        <v>94507574.684703335</v>
      </c>
      <c r="F166" s="6">
        <v>1.309999942779541</v>
      </c>
      <c r="G166" s="6">
        <v>1.2999999523162842</v>
      </c>
      <c r="H166" s="6" t="e">
        <v>#N/A</v>
      </c>
      <c r="I166" s="6">
        <v>-0.21033268323231913</v>
      </c>
      <c r="J166" s="6">
        <v>0</v>
      </c>
      <c r="K166" s="6">
        <v>-34.161624106989152</v>
      </c>
      <c r="L166" t="s">
        <v>17</v>
      </c>
      <c r="M166" t="s">
        <v>18</v>
      </c>
      <c r="N166" s="4" t="s">
        <v>668</v>
      </c>
      <c r="O166" s="4" t="s">
        <v>669</v>
      </c>
      <c r="P166" s="4" t="s">
        <v>233</v>
      </c>
    </row>
    <row r="167" spans="1:16" x14ac:dyDescent="0.35">
      <c r="A167" t="s">
        <v>670</v>
      </c>
      <c r="B167" t="s">
        <v>671</v>
      </c>
      <c r="C167" t="s">
        <v>16</v>
      </c>
      <c r="D167" s="6">
        <v>3053465.5404973025</v>
      </c>
      <c r="E167" s="6">
        <v>1864670.5404973023</v>
      </c>
      <c r="F167" s="6">
        <v>2.7974998950958252</v>
      </c>
      <c r="G167" s="6">
        <v>2.7400000095367432</v>
      </c>
      <c r="H167" s="6" t="e">
        <v>#N/A</v>
      </c>
      <c r="I167" s="6">
        <v>0.60751671424380183</v>
      </c>
      <c r="J167" s="6" t="e">
        <v>#N/A</v>
      </c>
      <c r="K167" s="6" t="e">
        <v>#N/A</v>
      </c>
      <c r="L167" t="s">
        <v>17</v>
      </c>
      <c r="M167" t="s">
        <v>32</v>
      </c>
      <c r="N167" s="4" t="s">
        <v>672</v>
      </c>
      <c r="O167" s="4" t="s">
        <v>673</v>
      </c>
      <c r="P167" s="4" t="s">
        <v>233</v>
      </c>
    </row>
    <row r="168" spans="1:16" x14ac:dyDescent="0.35">
      <c r="A168" t="s">
        <v>674</v>
      </c>
      <c r="B168" t="s">
        <v>675</v>
      </c>
      <c r="C168" t="s">
        <v>16</v>
      </c>
      <c r="D168" s="6">
        <v>1476822708.5449905</v>
      </c>
      <c r="E168" s="6">
        <v>725306708.54499042</v>
      </c>
      <c r="F168" s="6">
        <v>22.260000228881836</v>
      </c>
      <c r="G168" s="6">
        <v>21.409999847412109</v>
      </c>
      <c r="H168" s="6" t="e">
        <v>#N/A</v>
      </c>
      <c r="I168" s="6">
        <v>-0.40697288332682025</v>
      </c>
      <c r="J168" s="6">
        <v>9977000</v>
      </c>
      <c r="K168" s="6">
        <v>2.6515151515151452</v>
      </c>
      <c r="L168" t="s">
        <v>17</v>
      </c>
      <c r="M168" t="s">
        <v>18</v>
      </c>
      <c r="N168" s="4" t="s">
        <v>676</v>
      </c>
      <c r="O168" s="4" t="s">
        <v>677</v>
      </c>
      <c r="P168" s="4" t="s">
        <v>233</v>
      </c>
    </row>
    <row r="169" spans="1:16" x14ac:dyDescent="0.35">
      <c r="A169" t="s">
        <v>678</v>
      </c>
      <c r="B169" t="s">
        <v>679</v>
      </c>
      <c r="C169" t="s">
        <v>16</v>
      </c>
      <c r="D169" s="6">
        <v>329375.99182108784</v>
      </c>
      <c r="E169" s="6">
        <v>14340375.991821088</v>
      </c>
      <c r="F169" s="6">
        <v>8.999999612569809E-3</v>
      </c>
      <c r="G169" s="6">
        <v>9.9999997764825821E-3</v>
      </c>
      <c r="H169" s="6" t="e">
        <v>#N/A</v>
      </c>
      <c r="I169" s="6">
        <v>-0.97974018363843729</v>
      </c>
      <c r="J169" s="6">
        <v>46026000</v>
      </c>
      <c r="K169" s="6">
        <v>98.589598287369341</v>
      </c>
      <c r="L169" t="s">
        <v>17</v>
      </c>
      <c r="M169" t="s">
        <v>27</v>
      </c>
      <c r="N169" s="4" t="s">
        <v>680</v>
      </c>
      <c r="O169" s="4" t="s">
        <v>681</v>
      </c>
      <c r="P169" s="4" t="s">
        <v>233</v>
      </c>
    </row>
    <row r="170" spans="1:16" x14ac:dyDescent="0.35">
      <c r="A170" t="s">
        <v>682</v>
      </c>
      <c r="B170" t="s">
        <v>683</v>
      </c>
      <c r="C170" t="s">
        <v>16</v>
      </c>
      <c r="D170" s="6">
        <v>2352829554.4758797</v>
      </c>
      <c r="E170" s="6">
        <v>7115767554.4758797</v>
      </c>
      <c r="F170" s="6">
        <v>18.239999771118164</v>
      </c>
      <c r="G170" s="6">
        <v>18.770000457763672</v>
      </c>
      <c r="H170" s="6">
        <v>8.2249820173744475</v>
      </c>
      <c r="I170" s="6">
        <v>0.27954030329927781</v>
      </c>
      <c r="J170" s="6">
        <v>6968548000</v>
      </c>
      <c r="K170" s="6">
        <v>20.903954802259896</v>
      </c>
      <c r="L170" t="s">
        <v>17</v>
      </c>
      <c r="M170" t="s">
        <v>40</v>
      </c>
      <c r="N170" s="4" t="s">
        <v>684</v>
      </c>
      <c r="O170" s="4" t="s">
        <v>685</v>
      </c>
      <c r="P170" s="4" t="s">
        <v>233</v>
      </c>
    </row>
    <row r="171" spans="1:16" x14ac:dyDescent="0.35">
      <c r="A171" t="s">
        <v>686</v>
      </c>
      <c r="B171" t="s">
        <v>687</v>
      </c>
      <c r="C171" t="s">
        <v>16</v>
      </c>
      <c r="D171" s="6" t="e">
        <v>#N/A</v>
      </c>
      <c r="E171" s="6" t="e">
        <v>#N/A</v>
      </c>
      <c r="F171" s="6">
        <v>9.9999999747524271E-7</v>
      </c>
      <c r="G171" s="6">
        <v>9.9999999747524271E-7</v>
      </c>
      <c r="H171" s="6" t="e">
        <v>#N/A</v>
      </c>
      <c r="I171" s="6">
        <v>-1.273314786942592E-12</v>
      </c>
      <c r="J171" s="6">
        <v>98999.999463558197</v>
      </c>
      <c r="K171" s="6">
        <v>5.7142844978643978</v>
      </c>
      <c r="L171" t="s">
        <v>17</v>
      </c>
      <c r="M171" t="s">
        <v>18</v>
      </c>
      <c r="N171" s="4" t="s">
        <v>688</v>
      </c>
      <c r="O171" s="4" t="s">
        <v>689</v>
      </c>
      <c r="P171" s="4" t="s">
        <v>233</v>
      </c>
    </row>
    <row r="172" spans="1:16" x14ac:dyDescent="0.35">
      <c r="A172" t="s">
        <v>690</v>
      </c>
      <c r="B172" t="s">
        <v>691</v>
      </c>
      <c r="C172" t="s">
        <v>16</v>
      </c>
      <c r="D172" s="6">
        <v>260826180.00000009</v>
      </c>
      <c r="E172" s="6">
        <v>174234180.00000012</v>
      </c>
      <c r="F172" s="6">
        <v>6</v>
      </c>
      <c r="G172" s="6">
        <v>5.5799999237060547</v>
      </c>
      <c r="H172" s="6" t="e">
        <v>#N/A</v>
      </c>
      <c r="I172" s="6">
        <v>-7.3879353538667702E-2</v>
      </c>
      <c r="J172" s="6">
        <v>0</v>
      </c>
      <c r="K172" s="6">
        <v>-7.9046038625614488</v>
      </c>
      <c r="L172" t="s">
        <v>17</v>
      </c>
      <c r="M172" t="s">
        <v>18</v>
      </c>
      <c r="N172" s="4" t="s">
        <v>692</v>
      </c>
      <c r="O172" s="4" t="s">
        <v>693</v>
      </c>
      <c r="P172" s="4" t="s">
        <v>233</v>
      </c>
    </row>
    <row r="173" spans="1:16" x14ac:dyDescent="0.35">
      <c r="A173" t="s">
        <v>13070</v>
      </c>
      <c r="B173" t="s">
        <v>694</v>
      </c>
      <c r="C173" t="s">
        <v>16</v>
      </c>
      <c r="D173" s="6" t="e">
        <v>#N/A</v>
      </c>
      <c r="E173" s="6" t="e">
        <v>#N/A</v>
      </c>
      <c r="F173" s="6">
        <v>9.9999999747524271E-7</v>
      </c>
      <c r="G173" s="6">
        <v>9.9999999747524271E-7</v>
      </c>
      <c r="H173" s="6" t="e">
        <v>#N/A</v>
      </c>
      <c r="I173" s="6">
        <v>-0.99989745158301557</v>
      </c>
      <c r="J173" s="6" t="e">
        <v>#N/A</v>
      </c>
      <c r="K173" s="6" t="e">
        <v>#N/A</v>
      </c>
      <c r="L173" t="s">
        <v>17</v>
      </c>
      <c r="M173" t="s">
        <v>18</v>
      </c>
      <c r="N173" s="4" t="s">
        <v>13071</v>
      </c>
      <c r="O173" s="4" t="s">
        <v>13072</v>
      </c>
      <c r="P173" s="4" t="s">
        <v>233</v>
      </c>
    </row>
    <row r="174" spans="1:16" x14ac:dyDescent="0.35">
      <c r="A174" t="s">
        <v>695</v>
      </c>
      <c r="B174" t="s">
        <v>696</v>
      </c>
      <c r="C174" t="s">
        <v>16</v>
      </c>
      <c r="D174" s="6">
        <v>46751207.449838042</v>
      </c>
      <c r="E174" s="6">
        <v>42198615.449838042</v>
      </c>
      <c r="F174" s="6">
        <v>1.5800000429153442</v>
      </c>
      <c r="G174" s="6">
        <v>1.690000057220459</v>
      </c>
      <c r="H174" s="6" t="e">
        <v>#N/A</v>
      </c>
      <c r="I174" s="6">
        <v>0.17857385402929604</v>
      </c>
      <c r="J174" s="6">
        <v>3364548</v>
      </c>
      <c r="K174" s="6">
        <v>5.6433370184539404</v>
      </c>
      <c r="L174" t="s">
        <v>17</v>
      </c>
      <c r="M174" t="s">
        <v>18</v>
      </c>
      <c r="N174" s="4" t="s">
        <v>697</v>
      </c>
      <c r="O174" s="4" t="s">
        <v>698</v>
      </c>
      <c r="P174" s="4" t="s">
        <v>233</v>
      </c>
    </row>
    <row r="175" spans="1:16" x14ac:dyDescent="0.35">
      <c r="A175" t="s">
        <v>13456</v>
      </c>
      <c r="B175" t="s">
        <v>699</v>
      </c>
      <c r="C175" t="s">
        <v>16</v>
      </c>
      <c r="D175" s="6">
        <v>131649.86409663298</v>
      </c>
      <c r="E175" s="6" t="e">
        <v>#N/A</v>
      </c>
      <c r="F175" s="6">
        <v>10</v>
      </c>
      <c r="G175" s="6">
        <v>10</v>
      </c>
      <c r="H175" s="6" t="e">
        <v>#N/A</v>
      </c>
      <c r="I175" s="6">
        <v>-0.96262793714420603</v>
      </c>
      <c r="J175" s="6" t="e">
        <v>#N/A</v>
      </c>
      <c r="K175" s="6" t="e">
        <v>#N/A</v>
      </c>
      <c r="L175" t="s">
        <v>17</v>
      </c>
      <c r="M175" t="s">
        <v>18</v>
      </c>
      <c r="N175" s="4" t="s">
        <v>13457</v>
      </c>
      <c r="O175" s="4" t="s">
        <v>13458</v>
      </c>
      <c r="P175" s="4" t="s">
        <v>233</v>
      </c>
    </row>
    <row r="176" spans="1:16" x14ac:dyDescent="0.35">
      <c r="A176" t="s">
        <v>700</v>
      </c>
      <c r="B176" t="s">
        <v>701</v>
      </c>
      <c r="C176" t="s">
        <v>16</v>
      </c>
      <c r="D176" s="6">
        <v>6603892.9881159058</v>
      </c>
      <c r="E176" s="6">
        <v>5215892.9881159058</v>
      </c>
      <c r="F176" s="6">
        <v>1.1200000047683716</v>
      </c>
      <c r="G176" s="6">
        <v>1.2599999904632568</v>
      </c>
      <c r="H176" s="6" t="e">
        <v>#N/A</v>
      </c>
      <c r="I176" s="6">
        <v>-0.42477019308118713</v>
      </c>
      <c r="J176" s="6">
        <v>5725000</v>
      </c>
      <c r="K176" s="6">
        <v>59.19124466703768</v>
      </c>
      <c r="L176" t="s">
        <v>17</v>
      </c>
      <c r="M176" t="s">
        <v>18</v>
      </c>
      <c r="N176" s="4" t="s">
        <v>702</v>
      </c>
      <c r="O176" s="4" t="s">
        <v>703</v>
      </c>
      <c r="P176" s="4" t="s">
        <v>233</v>
      </c>
    </row>
    <row r="177" spans="1:16" x14ac:dyDescent="0.35">
      <c r="A177" t="s">
        <v>704</v>
      </c>
      <c r="B177" t="s">
        <v>705</v>
      </c>
      <c r="C177" t="s">
        <v>16</v>
      </c>
      <c r="D177" s="6">
        <v>7817873829.2610168</v>
      </c>
      <c r="E177" s="6">
        <v>9435997829.2610168</v>
      </c>
      <c r="F177" s="6">
        <v>168.33000183105469</v>
      </c>
      <c r="G177" s="6">
        <v>170</v>
      </c>
      <c r="H177" s="6">
        <v>12.030680832398652</v>
      </c>
      <c r="I177" s="6">
        <v>-0.32899740639962549</v>
      </c>
      <c r="J177" s="6">
        <v>3025824000</v>
      </c>
      <c r="K177" s="6">
        <v>-41.299303944315547</v>
      </c>
      <c r="L177" t="s">
        <v>17</v>
      </c>
      <c r="M177" t="s">
        <v>27</v>
      </c>
      <c r="N177" s="4" t="s">
        <v>706</v>
      </c>
      <c r="O177" s="4" t="s">
        <v>707</v>
      </c>
      <c r="P177" s="4" t="s">
        <v>233</v>
      </c>
    </row>
    <row r="178" spans="1:16" x14ac:dyDescent="0.35">
      <c r="A178" t="s">
        <v>708</v>
      </c>
      <c r="B178" t="s">
        <v>709</v>
      </c>
      <c r="C178" t="s">
        <v>16</v>
      </c>
      <c r="D178" s="6">
        <v>275832.408</v>
      </c>
      <c r="E178" s="6">
        <v>-934167.59199999995</v>
      </c>
      <c r="F178" s="6">
        <v>8.0000000000000002E-3</v>
      </c>
      <c r="G178" s="6">
        <v>8.0000000000000002E-3</v>
      </c>
      <c r="H178" s="6" t="e">
        <v>#N/A</v>
      </c>
      <c r="I178" s="6">
        <v>-0.19951210581765066</v>
      </c>
      <c r="J178" s="6">
        <v>0</v>
      </c>
      <c r="K178" s="6">
        <v>66.949152542372872</v>
      </c>
      <c r="L178" t="s">
        <v>17</v>
      </c>
      <c r="M178" t="s">
        <v>18</v>
      </c>
      <c r="N178" s="4" t="s">
        <v>710</v>
      </c>
      <c r="O178" s="4" t="s">
        <v>711</v>
      </c>
      <c r="P178" s="4" t="s">
        <v>233</v>
      </c>
    </row>
    <row r="179" spans="1:16" x14ac:dyDescent="0.35">
      <c r="A179" t="s">
        <v>712</v>
      </c>
      <c r="B179" t="s">
        <v>713</v>
      </c>
      <c r="C179" t="s">
        <v>16</v>
      </c>
      <c r="D179" s="6">
        <v>74569193720</v>
      </c>
      <c r="E179" s="6">
        <v>83575193720</v>
      </c>
      <c r="F179" s="6">
        <v>595</v>
      </c>
      <c r="G179" s="6">
        <v>609.59002685546875</v>
      </c>
      <c r="H179" s="6">
        <v>17.859912429997774</v>
      </c>
      <c r="I179" s="6">
        <v>0.20829777568784147</v>
      </c>
      <c r="J179" s="6">
        <v>344583000000</v>
      </c>
      <c r="K179" s="6">
        <v>-1.1701170117011772</v>
      </c>
      <c r="L179" t="s">
        <v>17</v>
      </c>
      <c r="M179" t="s">
        <v>40</v>
      </c>
      <c r="N179" s="4" t="s">
        <v>714</v>
      </c>
      <c r="O179" s="4" t="s">
        <v>715</v>
      </c>
      <c r="P179" s="4" t="s">
        <v>233</v>
      </c>
    </row>
    <row r="180" spans="1:16" x14ac:dyDescent="0.35">
      <c r="A180" t="s">
        <v>716</v>
      </c>
      <c r="B180" t="s">
        <v>717</v>
      </c>
      <c r="C180" t="s">
        <v>16</v>
      </c>
      <c r="D180" s="6">
        <v>1461669.8399999999</v>
      </c>
      <c r="E180" s="6">
        <v>1570062.8399999999</v>
      </c>
      <c r="F180" s="6">
        <v>0.18</v>
      </c>
      <c r="G180" s="6">
        <v>0.18</v>
      </c>
      <c r="H180" s="6" t="e">
        <v>#N/A</v>
      </c>
      <c r="I180" s="6">
        <v>-0.39514058092255677</v>
      </c>
      <c r="J180" s="6">
        <v>4984433</v>
      </c>
      <c r="K180" s="6">
        <v>-300</v>
      </c>
      <c r="L180" t="s">
        <v>17</v>
      </c>
      <c r="M180" t="s">
        <v>27</v>
      </c>
      <c r="N180" s="4" t="s">
        <v>718</v>
      </c>
      <c r="O180" s="4" t="s">
        <v>719</v>
      </c>
      <c r="P180" s="4" t="s">
        <v>233</v>
      </c>
    </row>
    <row r="181" spans="1:16" x14ac:dyDescent="0.35">
      <c r="A181" t="s">
        <v>720</v>
      </c>
      <c r="B181" t="s">
        <v>721</v>
      </c>
      <c r="C181" t="s">
        <v>16</v>
      </c>
      <c r="D181" s="6">
        <v>8441686.9022999983</v>
      </c>
      <c r="E181" s="6" t="e">
        <v>#N/A</v>
      </c>
      <c r="F181" s="6">
        <v>2.01E-2</v>
      </c>
      <c r="G181" s="6">
        <v>2.01E-2</v>
      </c>
      <c r="H181" s="6" t="e">
        <v>#N/A</v>
      </c>
      <c r="I181" s="6">
        <v>197.10852843496741</v>
      </c>
      <c r="J181" s="6" t="e">
        <v>#N/A</v>
      </c>
      <c r="K181" s="6" t="e">
        <v>#N/A</v>
      </c>
      <c r="L181" t="s">
        <v>17</v>
      </c>
      <c r="M181" t="s">
        <v>32</v>
      </c>
      <c r="N181" s="4" t="s">
        <v>722</v>
      </c>
      <c r="O181" s="4" t="s">
        <v>723</v>
      </c>
      <c r="P181" s="4" t="s">
        <v>233</v>
      </c>
    </row>
    <row r="182" spans="1:16" x14ac:dyDescent="0.35">
      <c r="A182" t="s">
        <v>724</v>
      </c>
      <c r="B182" t="s">
        <v>725</v>
      </c>
      <c r="C182" t="s">
        <v>16</v>
      </c>
      <c r="D182" s="6">
        <v>62881503.046337485</v>
      </c>
      <c r="E182" s="6">
        <v>84002902.046337485</v>
      </c>
      <c r="F182" s="6">
        <v>1.1499999761581421</v>
      </c>
      <c r="G182" s="6">
        <v>1.0800000429153442</v>
      </c>
      <c r="H182" s="6" t="e">
        <v>#N/A</v>
      </c>
      <c r="I182" s="6">
        <v>0.15526388775545441</v>
      </c>
      <c r="J182" s="6">
        <v>37739531</v>
      </c>
      <c r="K182" s="6">
        <v>32.040509192513539</v>
      </c>
      <c r="L182" t="s">
        <v>17</v>
      </c>
      <c r="M182" t="s">
        <v>27</v>
      </c>
      <c r="N182" s="4" t="s">
        <v>726</v>
      </c>
      <c r="O182" s="4" t="s">
        <v>727</v>
      </c>
      <c r="P182" s="4" t="s">
        <v>233</v>
      </c>
    </row>
    <row r="183" spans="1:16" x14ac:dyDescent="0.35">
      <c r="A183" t="s">
        <v>728</v>
      </c>
      <c r="B183" t="s">
        <v>729</v>
      </c>
      <c r="C183" t="s">
        <v>16</v>
      </c>
      <c r="D183" s="6" t="e">
        <v>#N/A</v>
      </c>
      <c r="E183" s="6" t="e">
        <v>#N/A</v>
      </c>
      <c r="F183" s="6" t="e">
        <v>#N/A</v>
      </c>
      <c r="G183" s="6" t="e">
        <v>#N/A</v>
      </c>
      <c r="H183" s="6" t="e">
        <v>#N/A</v>
      </c>
      <c r="I183" s="6">
        <v>-3.3306690738754696E-16</v>
      </c>
      <c r="J183" s="6">
        <v>500000</v>
      </c>
      <c r="K183" s="6">
        <v>-850</v>
      </c>
      <c r="L183" t="s">
        <v>17</v>
      </c>
      <c r="M183" t="s">
        <v>18</v>
      </c>
      <c r="N183" s="4" t="s">
        <v>730</v>
      </c>
      <c r="O183" s="4" t="s">
        <v>731</v>
      </c>
      <c r="P183" s="4" t="s">
        <v>233</v>
      </c>
    </row>
    <row r="184" spans="1:16" x14ac:dyDescent="0.35">
      <c r="A184" t="s">
        <v>732</v>
      </c>
      <c r="B184" t="s">
        <v>733</v>
      </c>
      <c r="C184" t="s">
        <v>16</v>
      </c>
      <c r="D184" s="6" t="e">
        <v>#N/A</v>
      </c>
      <c r="E184" s="6" t="e">
        <v>#N/A</v>
      </c>
      <c r="F184" s="6" t="e">
        <v>#N/A</v>
      </c>
      <c r="G184" s="6" t="e">
        <v>#N/A</v>
      </c>
      <c r="H184" s="6" t="e">
        <v>#N/A</v>
      </c>
      <c r="I184" s="6">
        <v>0</v>
      </c>
      <c r="J184" s="6">
        <v>0</v>
      </c>
      <c r="K184" s="6">
        <v>60.509553960218035</v>
      </c>
      <c r="L184" t="s">
        <v>17</v>
      </c>
      <c r="M184" t="s">
        <v>87</v>
      </c>
      <c r="N184" s="4" t="s">
        <v>734</v>
      </c>
      <c r="O184" s="4" t="s">
        <v>735</v>
      </c>
      <c r="P184" s="4" t="s">
        <v>233</v>
      </c>
    </row>
    <row r="185" spans="1:16" x14ac:dyDescent="0.35">
      <c r="A185" t="s">
        <v>736</v>
      </c>
      <c r="B185" t="s">
        <v>737</v>
      </c>
      <c r="C185" t="s">
        <v>16</v>
      </c>
      <c r="D185" s="6">
        <v>284712.04472309578</v>
      </c>
      <c r="E185" s="6">
        <v>-576184.95527690439</v>
      </c>
      <c r="F185" s="6">
        <v>3.0000001424923539E-4</v>
      </c>
      <c r="G185" s="6">
        <v>3.9999998989515007E-4</v>
      </c>
      <c r="H185" s="6">
        <v>0.25210085231028184</v>
      </c>
      <c r="I185" s="6">
        <v>-0.91370842693361287</v>
      </c>
      <c r="J185" s="6">
        <v>41176636</v>
      </c>
      <c r="K185" s="6" t="e">
        <v>#N/A</v>
      </c>
      <c r="L185" t="s">
        <v>17</v>
      </c>
      <c r="M185" t="s">
        <v>40</v>
      </c>
      <c r="N185" s="4" t="s">
        <v>738</v>
      </c>
      <c r="O185" s="4" t="s">
        <v>739</v>
      </c>
      <c r="P185" s="4" t="s">
        <v>233</v>
      </c>
    </row>
    <row r="186" spans="1:16" x14ac:dyDescent="0.35">
      <c r="A186" t="s">
        <v>740</v>
      </c>
      <c r="B186" t="s">
        <v>741</v>
      </c>
      <c r="C186" t="s">
        <v>16</v>
      </c>
      <c r="D186" s="6">
        <v>4977840679.2150879</v>
      </c>
      <c r="E186" s="6">
        <v>4755774679.2150879</v>
      </c>
      <c r="F186" s="6">
        <v>42.180000305175781</v>
      </c>
      <c r="G186" s="6">
        <v>40.650001525878906</v>
      </c>
      <c r="H186" s="6" t="e">
        <v>#N/A</v>
      </c>
      <c r="I186" s="6">
        <v>-0.46717759273973469</v>
      </c>
      <c r="J186" s="6">
        <v>3219000</v>
      </c>
      <c r="K186" s="6">
        <v>2.5362318840579809</v>
      </c>
      <c r="L186" t="s">
        <v>17</v>
      </c>
      <c r="M186" t="s">
        <v>18</v>
      </c>
      <c r="N186" s="4" t="s">
        <v>742</v>
      </c>
      <c r="O186" s="4" t="s">
        <v>743</v>
      </c>
      <c r="P186" s="4" t="s">
        <v>233</v>
      </c>
    </row>
    <row r="187" spans="1:16" x14ac:dyDescent="0.35">
      <c r="A187" t="s">
        <v>744</v>
      </c>
      <c r="B187" t="s">
        <v>745</v>
      </c>
      <c r="C187" t="s">
        <v>16</v>
      </c>
      <c r="D187" s="6">
        <v>23200776.158301294</v>
      </c>
      <c r="E187" s="6">
        <v>26564776.15830129</v>
      </c>
      <c r="F187" s="6">
        <v>0.74739998579025269</v>
      </c>
      <c r="G187" s="6">
        <v>0.75999999046325684</v>
      </c>
      <c r="H187" s="6" t="e">
        <v>#N/A</v>
      </c>
      <c r="I187" s="6">
        <v>-0.12039680446782219</v>
      </c>
      <c r="J187" s="6">
        <v>8594000</v>
      </c>
      <c r="K187" s="6">
        <v>63.573814404098137</v>
      </c>
      <c r="L187" t="s">
        <v>17</v>
      </c>
      <c r="M187" t="s">
        <v>87</v>
      </c>
      <c r="N187" s="4" t="s">
        <v>746</v>
      </c>
      <c r="O187" s="4" t="s">
        <v>747</v>
      </c>
      <c r="P187" s="4" t="s">
        <v>233</v>
      </c>
    </row>
    <row r="188" spans="1:16" x14ac:dyDescent="0.35">
      <c r="A188" t="s">
        <v>748</v>
      </c>
      <c r="B188" t="s">
        <v>749</v>
      </c>
      <c r="C188" t="s">
        <v>16</v>
      </c>
      <c r="D188" s="6">
        <v>6055.5688000000009</v>
      </c>
      <c r="E188" s="6">
        <v>475264.55762672191</v>
      </c>
      <c r="F188" s="6" t="e">
        <v>#N/A</v>
      </c>
      <c r="G188" s="6" t="e">
        <v>#N/A</v>
      </c>
      <c r="H188" s="6" t="e">
        <v>#N/A</v>
      </c>
      <c r="I188" s="6">
        <v>0</v>
      </c>
      <c r="J188" s="6" t="e">
        <v>#N/A</v>
      </c>
      <c r="K188" s="6" t="e">
        <v>#N/A</v>
      </c>
      <c r="L188" t="s">
        <v>17</v>
      </c>
      <c r="M188" t="s">
        <v>18</v>
      </c>
      <c r="N188" s="4" t="s">
        <v>750</v>
      </c>
      <c r="O188" s="4" t="s">
        <v>751</v>
      </c>
      <c r="P188" s="4" t="s">
        <v>233</v>
      </c>
    </row>
    <row r="189" spans="1:16" x14ac:dyDescent="0.35">
      <c r="A189" t="s">
        <v>752</v>
      </c>
      <c r="B189" t="s">
        <v>753</v>
      </c>
      <c r="C189" t="s">
        <v>16</v>
      </c>
      <c r="D189" s="6">
        <v>6572422.2979367217</v>
      </c>
      <c r="E189" s="6">
        <v>6571809.2979367217</v>
      </c>
      <c r="F189" s="6">
        <v>5.000000074505806E-2</v>
      </c>
      <c r="G189" s="6">
        <v>5.000000074505806E-2</v>
      </c>
      <c r="H189" s="6" t="e">
        <v>#N/A</v>
      </c>
      <c r="I189" s="6">
        <v>2.7179431018031006</v>
      </c>
      <c r="J189" s="6">
        <v>0</v>
      </c>
      <c r="K189" s="6" t="e">
        <v>#N/A</v>
      </c>
      <c r="L189" t="s">
        <v>17</v>
      </c>
      <c r="M189" t="s">
        <v>18</v>
      </c>
      <c r="N189" s="4" t="s">
        <v>754</v>
      </c>
      <c r="O189" s="4" t="s">
        <v>755</v>
      </c>
      <c r="P189" s="4" t="s">
        <v>233</v>
      </c>
    </row>
    <row r="190" spans="1:16" x14ac:dyDescent="0.35">
      <c r="A190" t="s">
        <v>756</v>
      </c>
      <c r="B190" t="s">
        <v>757</v>
      </c>
      <c r="C190" t="s">
        <v>16</v>
      </c>
      <c r="D190" s="6">
        <v>908004.3332278895</v>
      </c>
      <c r="E190" s="6" t="e">
        <v>#N/A</v>
      </c>
      <c r="F190" s="6">
        <v>3.0000001424923539E-4</v>
      </c>
      <c r="G190" s="6">
        <v>9.9999997473787516E-5</v>
      </c>
      <c r="H190" s="6" t="e">
        <v>#N/A</v>
      </c>
      <c r="I190" s="6">
        <v>1.9910086244656342</v>
      </c>
      <c r="J190" s="6" t="e">
        <v>#N/A</v>
      </c>
      <c r="K190" s="6" t="e">
        <v>#N/A</v>
      </c>
      <c r="L190" t="s">
        <v>17</v>
      </c>
      <c r="M190" t="s">
        <v>27</v>
      </c>
      <c r="N190" s="4" t="s">
        <v>758</v>
      </c>
      <c r="O190" s="4" t="s">
        <v>759</v>
      </c>
      <c r="P190" s="4" t="s">
        <v>233</v>
      </c>
    </row>
    <row r="191" spans="1:16" x14ac:dyDescent="0.35">
      <c r="A191" t="s">
        <v>760</v>
      </c>
      <c r="B191" t="s">
        <v>761</v>
      </c>
      <c r="C191" t="s">
        <v>16</v>
      </c>
      <c r="D191" s="6">
        <v>128751722644.02873</v>
      </c>
      <c r="E191" s="6" t="e">
        <v>#N/A</v>
      </c>
      <c r="F191" s="6">
        <v>103.30999755859375</v>
      </c>
      <c r="G191" s="6">
        <v>101.73500061035156</v>
      </c>
      <c r="H191" s="6">
        <v>16.960056702931698</v>
      </c>
      <c r="I191" s="6">
        <v>0.44237975116202533</v>
      </c>
      <c r="J191" s="6">
        <v>28754000000</v>
      </c>
      <c r="K191" s="6">
        <v>-91.629955947136565</v>
      </c>
      <c r="L191" t="s">
        <v>17</v>
      </c>
      <c r="M191" t="s">
        <v>18</v>
      </c>
      <c r="N191" s="4" t="s">
        <v>762</v>
      </c>
      <c r="O191" s="4" t="s">
        <v>763</v>
      </c>
      <c r="P191" s="4" t="s">
        <v>233</v>
      </c>
    </row>
    <row r="192" spans="1:16" x14ac:dyDescent="0.35">
      <c r="A192" t="s">
        <v>764</v>
      </c>
      <c r="B192" t="s">
        <v>765</v>
      </c>
      <c r="C192" t="s">
        <v>16</v>
      </c>
      <c r="D192" s="6" t="e">
        <v>#N/A</v>
      </c>
      <c r="E192" s="6" t="e">
        <v>#N/A</v>
      </c>
      <c r="F192" s="6">
        <v>0.11990000307559967</v>
      </c>
      <c r="G192" s="6">
        <v>0.10000000149011612</v>
      </c>
      <c r="H192" s="6" t="e">
        <v>#N/A</v>
      </c>
      <c r="I192" s="6">
        <v>10.908898693187764</v>
      </c>
      <c r="J192" s="6" t="e">
        <v>#N/A</v>
      </c>
      <c r="K192" s="6" t="e">
        <v>#N/A</v>
      </c>
      <c r="L192" t="s">
        <v>17</v>
      </c>
      <c r="M192" t="s">
        <v>87</v>
      </c>
      <c r="N192" s="4" t="s">
        <v>766</v>
      </c>
      <c r="O192" s="4" t="s">
        <v>767</v>
      </c>
      <c r="P192" s="4" t="s">
        <v>233</v>
      </c>
    </row>
    <row r="193" spans="1:16" x14ac:dyDescent="0.35">
      <c r="A193" t="s">
        <v>768</v>
      </c>
      <c r="B193" t="s">
        <v>769</v>
      </c>
      <c r="C193" t="s">
        <v>16</v>
      </c>
      <c r="D193" s="6" t="e">
        <v>#N/A</v>
      </c>
      <c r="E193" s="6" t="e">
        <v>#N/A</v>
      </c>
      <c r="F193" s="6" t="e">
        <v>#N/A</v>
      </c>
      <c r="G193" s="6" t="e">
        <v>#N/A</v>
      </c>
      <c r="H193" s="6" t="e">
        <v>#N/A</v>
      </c>
      <c r="I193" s="6">
        <v>901.53819199942552</v>
      </c>
      <c r="J193" s="6" t="e">
        <v>#N/A</v>
      </c>
      <c r="K193" s="6" t="e">
        <v>#N/A</v>
      </c>
      <c r="L193" t="s">
        <v>17</v>
      </c>
      <c r="M193" t="s">
        <v>40</v>
      </c>
      <c r="N193" s="4" t="s">
        <v>770</v>
      </c>
      <c r="O193" s="4" t="s">
        <v>771</v>
      </c>
      <c r="P193" s="4" t="s">
        <v>233</v>
      </c>
    </row>
    <row r="194" spans="1:16" x14ac:dyDescent="0.35">
      <c r="A194" t="s">
        <v>772</v>
      </c>
      <c r="B194" t="s">
        <v>773</v>
      </c>
      <c r="C194" t="s">
        <v>16</v>
      </c>
      <c r="D194" s="6">
        <v>559727865.06930351</v>
      </c>
      <c r="E194" s="6">
        <v>285937865.06930357</v>
      </c>
      <c r="F194" s="6">
        <v>5.1999998092651367</v>
      </c>
      <c r="G194" s="6">
        <v>5.5</v>
      </c>
      <c r="H194" s="6">
        <v>5.0379540182675608</v>
      </c>
      <c r="I194" s="6">
        <v>-0.39661620071376191</v>
      </c>
      <c r="J194" s="6">
        <v>837192000</v>
      </c>
      <c r="K194" s="6" t="e">
        <v>#N/A</v>
      </c>
      <c r="L194" t="s">
        <v>17</v>
      </c>
      <c r="M194" t="s">
        <v>32</v>
      </c>
      <c r="N194" s="4" t="s">
        <v>774</v>
      </c>
      <c r="O194" s="4" t="s">
        <v>775</v>
      </c>
      <c r="P194" s="4" t="s">
        <v>233</v>
      </c>
    </row>
    <row r="195" spans="1:16" x14ac:dyDescent="0.35">
      <c r="A195" t="s">
        <v>776</v>
      </c>
      <c r="B195" t="s">
        <v>777</v>
      </c>
      <c r="C195" t="s">
        <v>16</v>
      </c>
      <c r="D195" s="6">
        <v>615149.99190000002</v>
      </c>
      <c r="E195" s="6" t="e">
        <v>#N/A</v>
      </c>
      <c r="F195" s="6">
        <v>1E-4</v>
      </c>
      <c r="G195" s="6">
        <v>1E-4</v>
      </c>
      <c r="H195" s="6" t="e">
        <v>#N/A</v>
      </c>
      <c r="I195" s="6">
        <v>-0.90849335133819675</v>
      </c>
      <c r="J195" s="6" t="e">
        <v>#N/A</v>
      </c>
      <c r="K195" s="6" t="e">
        <v>#N/A</v>
      </c>
      <c r="L195" t="s">
        <v>17</v>
      </c>
      <c r="M195" t="s">
        <v>18</v>
      </c>
      <c r="N195" s="4" t="s">
        <v>778</v>
      </c>
      <c r="O195" s="4" t="s">
        <v>779</v>
      </c>
      <c r="P195" s="4" t="s">
        <v>233</v>
      </c>
    </row>
    <row r="196" spans="1:16" x14ac:dyDescent="0.35">
      <c r="A196" t="s">
        <v>780</v>
      </c>
      <c r="B196" t="s">
        <v>781</v>
      </c>
      <c r="C196" t="s">
        <v>16</v>
      </c>
      <c r="D196" s="6">
        <v>90245094.277095079</v>
      </c>
      <c r="E196" s="6">
        <v>48421602.277095087</v>
      </c>
      <c r="F196" s="6">
        <v>1.8400000333786011</v>
      </c>
      <c r="G196" s="6">
        <v>1.8400000333786011</v>
      </c>
      <c r="H196" s="6" t="e">
        <v>#N/A</v>
      </c>
      <c r="I196" s="6">
        <v>0.35182426267328659</v>
      </c>
      <c r="J196" s="6">
        <v>0</v>
      </c>
      <c r="K196" s="6">
        <v>-10.87150949021165</v>
      </c>
      <c r="L196" t="s">
        <v>17</v>
      </c>
      <c r="M196" t="s">
        <v>18</v>
      </c>
      <c r="N196" s="4" t="s">
        <v>782</v>
      </c>
      <c r="O196" s="4" t="s">
        <v>783</v>
      </c>
      <c r="P196" s="4" t="s">
        <v>233</v>
      </c>
    </row>
    <row r="197" spans="1:16" x14ac:dyDescent="0.35">
      <c r="A197" t="s">
        <v>784</v>
      </c>
      <c r="B197" t="s">
        <v>785</v>
      </c>
      <c r="C197" t="s">
        <v>16</v>
      </c>
      <c r="D197" s="6">
        <v>102972867.35080718</v>
      </c>
      <c r="E197" s="6">
        <v>122561867.35080718</v>
      </c>
      <c r="F197" s="6">
        <v>5.5900001525878906</v>
      </c>
      <c r="G197" s="6">
        <v>5.4699997901916504</v>
      </c>
      <c r="H197" s="6" t="e">
        <v>#N/A</v>
      </c>
      <c r="I197" s="6">
        <v>-0.63927683974538074</v>
      </c>
      <c r="J197" s="6">
        <v>88179946</v>
      </c>
      <c r="K197" s="6">
        <v>-66.833709847996559</v>
      </c>
      <c r="L197" t="s">
        <v>17</v>
      </c>
      <c r="M197" t="s">
        <v>32</v>
      </c>
      <c r="N197" s="4" t="s">
        <v>786</v>
      </c>
      <c r="O197" s="4" t="s">
        <v>787</v>
      </c>
      <c r="P197" s="4" t="s">
        <v>233</v>
      </c>
    </row>
    <row r="198" spans="1:16" x14ac:dyDescent="0.35">
      <c r="A198" t="s">
        <v>788</v>
      </c>
      <c r="B198" t="s">
        <v>789</v>
      </c>
      <c r="C198" t="s">
        <v>16</v>
      </c>
      <c r="D198" s="6">
        <v>1118230082.6972167</v>
      </c>
      <c r="E198" s="6">
        <v>857334082.69721675</v>
      </c>
      <c r="F198" s="6">
        <v>7.809999942779541</v>
      </c>
      <c r="G198" s="6">
        <v>7.5500001907348633</v>
      </c>
      <c r="H198" s="6" t="e">
        <v>#N/A</v>
      </c>
      <c r="I198" s="6">
        <v>-6.1135830033174021E-2</v>
      </c>
      <c r="J198" s="6">
        <v>220361000</v>
      </c>
      <c r="K198" s="6">
        <v>71.698113207547166</v>
      </c>
      <c r="L198" t="s">
        <v>17</v>
      </c>
      <c r="M198" t="s">
        <v>18</v>
      </c>
      <c r="N198" s="4" t="s">
        <v>790</v>
      </c>
      <c r="O198" s="4" t="s">
        <v>791</v>
      </c>
      <c r="P198" s="4" t="s">
        <v>233</v>
      </c>
    </row>
    <row r="199" spans="1:16" x14ac:dyDescent="0.35">
      <c r="A199" t="s">
        <v>792</v>
      </c>
      <c r="B199" t="s">
        <v>793</v>
      </c>
      <c r="C199" t="s">
        <v>16</v>
      </c>
      <c r="D199" s="6">
        <v>11647756.210018158</v>
      </c>
      <c r="E199" s="6">
        <v>14000756.210018158</v>
      </c>
      <c r="F199" s="6">
        <v>1.0099999904632568</v>
      </c>
      <c r="G199" s="6">
        <v>1.0099999904632568</v>
      </c>
      <c r="H199" s="6" t="e">
        <v>#N/A</v>
      </c>
      <c r="I199" s="6">
        <v>-0.55012765990713652</v>
      </c>
      <c r="J199" s="6">
        <v>1596000</v>
      </c>
      <c r="K199" s="6">
        <v>91.513225912442394</v>
      </c>
      <c r="L199" t="s">
        <v>17</v>
      </c>
      <c r="M199" t="s">
        <v>87</v>
      </c>
      <c r="N199" s="4" t="s">
        <v>794</v>
      </c>
      <c r="O199" s="4" t="s">
        <v>795</v>
      </c>
      <c r="P199" s="4" t="s">
        <v>233</v>
      </c>
    </row>
    <row r="200" spans="1:16" x14ac:dyDescent="0.35">
      <c r="A200" t="s">
        <v>796</v>
      </c>
      <c r="B200" t="s">
        <v>797</v>
      </c>
      <c r="C200" t="s">
        <v>16</v>
      </c>
      <c r="D200" s="6">
        <v>13465312.848088771</v>
      </c>
      <c r="E200" s="6">
        <v>42129312.848088771</v>
      </c>
      <c r="F200" s="6">
        <v>0.26210001111030579</v>
      </c>
      <c r="G200" s="6">
        <v>0.2800000011920929</v>
      </c>
      <c r="H200" s="6" t="e">
        <v>#N/A</v>
      </c>
      <c r="I200" s="6">
        <v>-0.84683095637519878</v>
      </c>
      <c r="J200" s="6">
        <v>598000</v>
      </c>
      <c r="K200" s="6">
        <v>-98.745334928229695</v>
      </c>
      <c r="L200" t="s">
        <v>17</v>
      </c>
      <c r="M200" t="s">
        <v>18</v>
      </c>
      <c r="N200" s="4" t="s">
        <v>798</v>
      </c>
      <c r="O200" s="4" t="s">
        <v>799</v>
      </c>
      <c r="P200" s="4" t="s">
        <v>233</v>
      </c>
    </row>
    <row r="201" spans="1:16" x14ac:dyDescent="0.35">
      <c r="A201" t="s">
        <v>800</v>
      </c>
      <c r="B201" t="s">
        <v>801</v>
      </c>
      <c r="C201" t="s">
        <v>16</v>
      </c>
      <c r="D201" s="6">
        <v>1875368321.9912522</v>
      </c>
      <c r="E201" s="6">
        <v>1878011321.9912522</v>
      </c>
      <c r="F201" s="6">
        <v>40.490001678466797</v>
      </c>
      <c r="G201" s="6">
        <v>40.549999237060547</v>
      </c>
      <c r="H201" s="6">
        <v>90.501483425124036</v>
      </c>
      <c r="I201" s="6">
        <v>0.39974787075309015</v>
      </c>
      <c r="J201" s="6">
        <v>1112238000</v>
      </c>
      <c r="K201" s="6" t="e">
        <v>#N/A</v>
      </c>
      <c r="L201" t="s">
        <v>17</v>
      </c>
      <c r="M201" t="s">
        <v>27</v>
      </c>
      <c r="N201" s="4" t="s">
        <v>802</v>
      </c>
      <c r="O201" s="4" t="s">
        <v>803</v>
      </c>
      <c r="P201" s="4" t="s">
        <v>233</v>
      </c>
    </row>
    <row r="202" spans="1:16" x14ac:dyDescent="0.35">
      <c r="A202" t="s">
        <v>804</v>
      </c>
      <c r="B202" t="s">
        <v>805</v>
      </c>
      <c r="C202" t="s">
        <v>16</v>
      </c>
      <c r="D202" s="6">
        <v>571568.94972443802</v>
      </c>
      <c r="E202" s="6">
        <v>20193114.949724436</v>
      </c>
      <c r="F202" s="6">
        <v>7.4999998323619366E-3</v>
      </c>
      <c r="G202" s="6">
        <v>1.2000000104308128E-2</v>
      </c>
      <c r="H202" s="6" t="e">
        <v>#N/A</v>
      </c>
      <c r="I202" s="6">
        <v>0.17136725530072283</v>
      </c>
      <c r="J202" s="6">
        <v>30105316</v>
      </c>
      <c r="K202" s="6" t="e">
        <v>#N/A</v>
      </c>
      <c r="L202" t="s">
        <v>17</v>
      </c>
      <c r="M202" t="s">
        <v>87</v>
      </c>
      <c r="N202" s="4" t="s">
        <v>806</v>
      </c>
      <c r="O202" s="4" t="s">
        <v>807</v>
      </c>
      <c r="P202" s="4" t="s">
        <v>233</v>
      </c>
    </row>
    <row r="203" spans="1:16" x14ac:dyDescent="0.35">
      <c r="A203" t="s">
        <v>808</v>
      </c>
      <c r="B203" t="s">
        <v>809</v>
      </c>
      <c r="C203" t="s">
        <v>16</v>
      </c>
      <c r="D203" s="6">
        <v>62239865.788491718</v>
      </c>
      <c r="E203" s="6">
        <v>71843838.788491726</v>
      </c>
      <c r="F203" s="6">
        <v>7.7199997901916504</v>
      </c>
      <c r="G203" s="6">
        <v>7.8000001907348633</v>
      </c>
      <c r="H203" s="6" t="e">
        <v>#N/A</v>
      </c>
      <c r="I203" s="6">
        <v>0.47866487588056295</v>
      </c>
      <c r="J203" s="6">
        <v>31838476</v>
      </c>
      <c r="K203" s="6" t="e">
        <v>#N/A</v>
      </c>
      <c r="L203" t="s">
        <v>17</v>
      </c>
      <c r="M203" t="s">
        <v>40</v>
      </c>
      <c r="N203" s="4" t="s">
        <v>810</v>
      </c>
      <c r="O203" s="4" t="s">
        <v>811</v>
      </c>
      <c r="P203" s="4" t="s">
        <v>233</v>
      </c>
    </row>
    <row r="204" spans="1:16" x14ac:dyDescent="0.35">
      <c r="A204" t="s">
        <v>812</v>
      </c>
      <c r="B204" t="s">
        <v>813</v>
      </c>
      <c r="C204" t="s">
        <v>16</v>
      </c>
      <c r="D204" s="6">
        <v>215876.78639999998</v>
      </c>
      <c r="E204" s="6" t="e">
        <v>#N/A</v>
      </c>
      <c r="F204" s="6">
        <v>6.5500000000000003E-3</v>
      </c>
      <c r="G204" s="6">
        <v>4.8999999999999998E-3</v>
      </c>
      <c r="H204" s="6" t="e">
        <v>#N/A</v>
      </c>
      <c r="I204" s="6">
        <v>0.92302240256091617</v>
      </c>
      <c r="J204" s="6" t="e">
        <v>#N/A</v>
      </c>
      <c r="K204" s="6" t="e">
        <v>#N/A</v>
      </c>
      <c r="L204" t="s">
        <v>17</v>
      </c>
      <c r="M204" t="s">
        <v>40</v>
      </c>
      <c r="N204" s="4" t="s">
        <v>814</v>
      </c>
      <c r="O204" s="4" t="s">
        <v>815</v>
      </c>
      <c r="P204" s="4" t="s">
        <v>233</v>
      </c>
    </row>
    <row r="205" spans="1:16" x14ac:dyDescent="0.35">
      <c r="A205" t="s">
        <v>816</v>
      </c>
      <c r="B205" t="s">
        <v>817</v>
      </c>
      <c r="C205" t="s">
        <v>16</v>
      </c>
      <c r="D205" s="6">
        <v>33470.220600000001</v>
      </c>
      <c r="E205" s="6">
        <v>3216579470.2206001</v>
      </c>
      <c r="F205" s="6">
        <v>2.0000000000000001E-4</v>
      </c>
      <c r="G205" s="6">
        <v>2.0000000000000001E-4</v>
      </c>
      <c r="H205" s="6" t="e">
        <v>#N/A</v>
      </c>
      <c r="I205" s="6">
        <v>-0.81733297345468703</v>
      </c>
      <c r="J205" s="6">
        <v>3906223000</v>
      </c>
      <c r="K205" s="6" t="e">
        <v>#N/A</v>
      </c>
      <c r="L205" t="s">
        <v>17</v>
      </c>
      <c r="M205" t="s">
        <v>40</v>
      </c>
      <c r="N205" s="4" t="s">
        <v>818</v>
      </c>
      <c r="O205" s="4" t="s">
        <v>819</v>
      </c>
      <c r="P205" s="4" t="s">
        <v>233</v>
      </c>
    </row>
    <row r="206" spans="1:16" x14ac:dyDescent="0.35">
      <c r="A206" t="s">
        <v>820</v>
      </c>
      <c r="B206" t="s">
        <v>821</v>
      </c>
      <c r="C206" t="s">
        <v>16</v>
      </c>
      <c r="D206" s="6">
        <v>538.6771</v>
      </c>
      <c r="E206" s="6" t="e">
        <v>#N/A</v>
      </c>
      <c r="F206" s="6" t="e">
        <v>#N/A</v>
      </c>
      <c r="G206" s="6" t="e">
        <v>#N/A</v>
      </c>
      <c r="H206" s="6" t="e">
        <v>#N/A</v>
      </c>
      <c r="I206" s="6">
        <v>97.74963981226027</v>
      </c>
      <c r="J206" s="6" t="e">
        <v>#N/A</v>
      </c>
      <c r="K206" s="6" t="e">
        <v>#N/A</v>
      </c>
      <c r="L206" t="s">
        <v>17</v>
      </c>
      <c r="M206" t="s">
        <v>87</v>
      </c>
      <c r="N206" s="4" t="s">
        <v>822</v>
      </c>
      <c r="O206" s="4" t="s">
        <v>823</v>
      </c>
      <c r="P206" s="4" t="s">
        <v>233</v>
      </c>
    </row>
    <row r="207" spans="1:16" x14ac:dyDescent="0.35">
      <c r="A207" t="s">
        <v>824</v>
      </c>
      <c r="B207" t="s">
        <v>825</v>
      </c>
      <c r="C207" t="s">
        <v>16</v>
      </c>
      <c r="D207" s="6">
        <v>1100533.6651999999</v>
      </c>
      <c r="E207" s="6">
        <v>-2340466.3348000003</v>
      </c>
      <c r="F207" s="6">
        <v>0.1492</v>
      </c>
      <c r="G207" s="6">
        <v>0.1492</v>
      </c>
      <c r="H207" s="6" t="e">
        <v>#N/A</v>
      </c>
      <c r="I207" s="6">
        <v>0.49185759466257051</v>
      </c>
      <c r="J207" s="6">
        <v>73000</v>
      </c>
      <c r="K207" s="6">
        <v>76.922255615708437</v>
      </c>
      <c r="L207" t="s">
        <v>17</v>
      </c>
      <c r="M207" t="s">
        <v>18</v>
      </c>
      <c r="N207" s="4" t="s">
        <v>826</v>
      </c>
      <c r="O207" s="4" t="s">
        <v>827</v>
      </c>
      <c r="P207" s="4" t="s">
        <v>233</v>
      </c>
    </row>
    <row r="208" spans="1:16" x14ac:dyDescent="0.35">
      <c r="A208" t="s">
        <v>828</v>
      </c>
      <c r="B208" t="s">
        <v>829</v>
      </c>
      <c r="C208" t="s">
        <v>16</v>
      </c>
      <c r="D208" s="6" t="e">
        <v>#N/A</v>
      </c>
      <c r="E208" s="6" t="e">
        <v>#N/A</v>
      </c>
      <c r="F208" s="6">
        <v>9.9999999747524271E-7</v>
      </c>
      <c r="G208" s="6">
        <v>9.9999999747524271E-7</v>
      </c>
      <c r="H208" s="6" t="e">
        <v>#N/A</v>
      </c>
      <c r="I208" s="6">
        <v>-5.5511151231257827E-15</v>
      </c>
      <c r="J208" s="6" t="e">
        <v>#N/A</v>
      </c>
      <c r="K208" s="6" t="e">
        <v>#N/A</v>
      </c>
      <c r="L208" t="s">
        <v>17</v>
      </c>
      <c r="M208" t="s">
        <v>87</v>
      </c>
      <c r="N208" s="4" t="s">
        <v>830</v>
      </c>
      <c r="O208" s="4" t="s">
        <v>831</v>
      </c>
      <c r="P208" s="4" t="s">
        <v>233</v>
      </c>
    </row>
    <row r="209" spans="1:16" x14ac:dyDescent="0.35">
      <c r="A209" t="s">
        <v>832</v>
      </c>
      <c r="B209" t="s">
        <v>833</v>
      </c>
      <c r="C209" t="s">
        <v>16</v>
      </c>
      <c r="D209" s="6">
        <v>1722460.7121553419</v>
      </c>
      <c r="E209" s="6">
        <v>-5958539.287844657</v>
      </c>
      <c r="F209" s="6">
        <v>1.0299999713897705</v>
      </c>
      <c r="G209" s="6">
        <v>1.1200000047683716</v>
      </c>
      <c r="H209" s="6" t="e">
        <v>#N/A</v>
      </c>
      <c r="I209" s="6">
        <v>-0.84695998691555108</v>
      </c>
      <c r="J209" s="6">
        <v>0</v>
      </c>
      <c r="K209" s="6">
        <v>19.038958218431485</v>
      </c>
      <c r="L209" t="s">
        <v>17</v>
      </c>
      <c r="M209" t="s">
        <v>18</v>
      </c>
      <c r="N209" s="4" t="s">
        <v>834</v>
      </c>
      <c r="O209" s="4" t="s">
        <v>835</v>
      </c>
      <c r="P209" s="4" t="s">
        <v>233</v>
      </c>
    </row>
    <row r="210" spans="1:16" x14ac:dyDescent="0.35">
      <c r="A210" t="s">
        <v>836</v>
      </c>
      <c r="B210" t="s">
        <v>837</v>
      </c>
      <c r="C210" t="s">
        <v>16</v>
      </c>
      <c r="D210" s="6">
        <v>238204677.20740557</v>
      </c>
      <c r="E210" s="6">
        <v>275255677.20740557</v>
      </c>
      <c r="F210" s="6">
        <v>7.4800000190734863</v>
      </c>
      <c r="G210" s="6">
        <v>7.4000000953674316</v>
      </c>
      <c r="H210" s="6">
        <v>51.932182811513158</v>
      </c>
      <c r="I210" s="6">
        <v>-0.40691104282967983</v>
      </c>
      <c r="J210" s="6">
        <v>193664000</v>
      </c>
      <c r="K210" s="6">
        <v>-65.116279069767444</v>
      </c>
      <c r="L210" t="s">
        <v>17</v>
      </c>
      <c r="M210" t="s">
        <v>27</v>
      </c>
      <c r="N210" s="4" t="s">
        <v>838</v>
      </c>
      <c r="O210" s="4" t="s">
        <v>839</v>
      </c>
      <c r="P210" s="4" t="s">
        <v>233</v>
      </c>
    </row>
    <row r="211" spans="1:16" x14ac:dyDescent="0.35">
      <c r="A211" t="s">
        <v>840</v>
      </c>
      <c r="B211" t="s">
        <v>841</v>
      </c>
      <c r="C211" t="s">
        <v>16</v>
      </c>
      <c r="D211" s="6">
        <v>9876477871.3947144</v>
      </c>
      <c r="E211" s="6">
        <v>13287077871.394714</v>
      </c>
      <c r="F211" s="6">
        <v>98.029998779296875</v>
      </c>
      <c r="G211" s="6">
        <v>98.610000610351563</v>
      </c>
      <c r="H211" s="6">
        <v>21.607983774129199</v>
      </c>
      <c r="I211" s="6">
        <v>0.34101393507386124</v>
      </c>
      <c r="J211" s="6">
        <v>5373200000</v>
      </c>
      <c r="K211" s="6">
        <v>25.619834710743795</v>
      </c>
      <c r="L211" t="s">
        <v>17</v>
      </c>
      <c r="M211" t="s">
        <v>40</v>
      </c>
      <c r="N211" s="4" t="s">
        <v>842</v>
      </c>
      <c r="O211" s="4" t="s">
        <v>843</v>
      </c>
      <c r="P211" s="4" t="s">
        <v>233</v>
      </c>
    </row>
    <row r="212" spans="1:16" x14ac:dyDescent="0.35">
      <c r="A212" t="s">
        <v>844</v>
      </c>
      <c r="B212" t="s">
        <v>845</v>
      </c>
      <c r="C212" t="s">
        <v>16</v>
      </c>
      <c r="D212" s="6">
        <v>9316740617.8604012</v>
      </c>
      <c r="E212" s="6">
        <v>11076702617.860401</v>
      </c>
      <c r="F212" s="6">
        <v>50.340000152587891</v>
      </c>
      <c r="G212" s="6">
        <v>50.380001068115234</v>
      </c>
      <c r="H212" s="6" t="e">
        <v>#N/A</v>
      </c>
      <c r="I212" s="6">
        <v>-0.18877657509573675</v>
      </c>
      <c r="J212" s="6">
        <v>2692328000</v>
      </c>
      <c r="K212" s="6">
        <v>26.211130767120437</v>
      </c>
      <c r="L212" t="s">
        <v>17</v>
      </c>
      <c r="M212" t="s">
        <v>18</v>
      </c>
      <c r="N212" s="4" t="s">
        <v>846</v>
      </c>
      <c r="O212" s="4" t="s">
        <v>847</v>
      </c>
      <c r="P212" s="4" t="s">
        <v>233</v>
      </c>
    </row>
    <row r="213" spans="1:16" x14ac:dyDescent="0.35">
      <c r="A213" t="s">
        <v>848</v>
      </c>
      <c r="B213" t="s">
        <v>849</v>
      </c>
      <c r="C213" t="s">
        <v>16</v>
      </c>
      <c r="D213" s="6" t="e">
        <v>#N/A</v>
      </c>
      <c r="E213" s="6" t="e">
        <v>#N/A</v>
      </c>
      <c r="F213" s="6" t="e">
        <v>#N/A</v>
      </c>
      <c r="G213" s="6" t="e">
        <v>#N/A</v>
      </c>
      <c r="H213" s="6" t="e">
        <v>#N/A</v>
      </c>
      <c r="I213" s="6">
        <v>0</v>
      </c>
      <c r="J213" s="6">
        <v>0</v>
      </c>
      <c r="K213" s="6">
        <v>-9.3333334299149335</v>
      </c>
      <c r="L213" t="s">
        <v>17</v>
      </c>
      <c r="M213" t="s">
        <v>87</v>
      </c>
      <c r="N213" s="4" t="s">
        <v>850</v>
      </c>
      <c r="O213" s="4" t="s">
        <v>851</v>
      </c>
      <c r="P213" s="4" t="s">
        <v>233</v>
      </c>
    </row>
    <row r="214" spans="1:16" x14ac:dyDescent="0.35">
      <c r="A214" t="s">
        <v>852</v>
      </c>
      <c r="B214" t="s">
        <v>853</v>
      </c>
      <c r="C214" t="s">
        <v>16</v>
      </c>
      <c r="D214" s="6" t="e">
        <v>#N/A</v>
      </c>
      <c r="E214" s="6" t="e">
        <v>#N/A</v>
      </c>
      <c r="F214" s="6" t="e">
        <v>#N/A</v>
      </c>
      <c r="G214" s="6" t="e">
        <v>#N/A</v>
      </c>
      <c r="H214" s="6" t="e">
        <v>#N/A</v>
      </c>
      <c r="I214" s="6">
        <v>-0.74905128203187621</v>
      </c>
      <c r="J214" s="6">
        <v>113620</v>
      </c>
      <c r="K214" s="6">
        <v>0</v>
      </c>
      <c r="L214" t="s">
        <v>17</v>
      </c>
      <c r="M214" t="s">
        <v>40</v>
      </c>
      <c r="N214" s="4" t="s">
        <v>854</v>
      </c>
      <c r="O214" s="4" t="s">
        <v>855</v>
      </c>
      <c r="P214" s="4" t="s">
        <v>233</v>
      </c>
    </row>
    <row r="215" spans="1:16" x14ac:dyDescent="0.35">
      <c r="A215" t="s">
        <v>856</v>
      </c>
      <c r="B215" t="s">
        <v>857</v>
      </c>
      <c r="C215" t="s">
        <v>16</v>
      </c>
      <c r="D215" s="6" t="e">
        <v>#N/A</v>
      </c>
      <c r="E215" s="6" t="e">
        <v>#N/A</v>
      </c>
      <c r="F215" s="6" t="e">
        <v>#N/A</v>
      </c>
      <c r="G215" s="6" t="e">
        <v>#N/A</v>
      </c>
      <c r="H215" s="6" t="e">
        <v>#N/A</v>
      </c>
      <c r="I215" s="6">
        <v>0</v>
      </c>
      <c r="J215" s="6">
        <v>0</v>
      </c>
      <c r="K215" s="6">
        <v>27.299997332279307</v>
      </c>
      <c r="L215" t="s">
        <v>17</v>
      </c>
      <c r="M215" t="s">
        <v>27</v>
      </c>
      <c r="N215" s="4" t="s">
        <v>858</v>
      </c>
      <c r="O215" s="4" t="s">
        <v>859</v>
      </c>
      <c r="P215" s="4" t="s">
        <v>233</v>
      </c>
    </row>
    <row r="216" spans="1:16" x14ac:dyDescent="0.35">
      <c r="A216" t="s">
        <v>860</v>
      </c>
      <c r="B216" t="s">
        <v>861</v>
      </c>
      <c r="C216" t="s">
        <v>16</v>
      </c>
      <c r="D216" s="6">
        <v>4939160.2572107324</v>
      </c>
      <c r="E216" s="6">
        <v>-6710943.7427892657</v>
      </c>
      <c r="F216" s="6">
        <v>2.4700000286102295</v>
      </c>
      <c r="G216" s="6">
        <v>2.4900000095367432</v>
      </c>
      <c r="H216" s="6" t="e">
        <v>#N/A</v>
      </c>
      <c r="I216" s="6">
        <v>-0.99341685615163944</v>
      </c>
      <c r="J216" s="6">
        <v>32959492</v>
      </c>
      <c r="K216" s="6">
        <v>95.441410885285038</v>
      </c>
      <c r="L216" t="s">
        <v>17</v>
      </c>
      <c r="M216" t="s">
        <v>18</v>
      </c>
      <c r="N216" s="4" t="s">
        <v>862</v>
      </c>
      <c r="O216" s="4" t="s">
        <v>863</v>
      </c>
      <c r="P216" s="4" t="s">
        <v>233</v>
      </c>
    </row>
    <row r="217" spans="1:16" x14ac:dyDescent="0.35">
      <c r="A217" t="s">
        <v>864</v>
      </c>
      <c r="B217" t="s">
        <v>865</v>
      </c>
      <c r="C217" t="s">
        <v>16</v>
      </c>
      <c r="D217" s="6">
        <v>9180111346.4673996</v>
      </c>
      <c r="E217" s="6">
        <v>8284669346.4673996</v>
      </c>
      <c r="F217" s="6">
        <v>32.799999237060547</v>
      </c>
      <c r="G217" s="6">
        <v>33.200000762939453</v>
      </c>
      <c r="H217" s="6">
        <v>16.501956959605195</v>
      </c>
      <c r="I217" s="6">
        <v>0.60654360876808955</v>
      </c>
      <c r="J217" s="6">
        <v>2168701000</v>
      </c>
      <c r="K217" s="6">
        <v>176.92307692307691</v>
      </c>
      <c r="L217" t="s">
        <v>17</v>
      </c>
      <c r="M217" t="s">
        <v>18</v>
      </c>
      <c r="N217" s="4" t="s">
        <v>866</v>
      </c>
      <c r="O217" s="4" t="s">
        <v>867</v>
      </c>
      <c r="P217" s="4" t="s">
        <v>233</v>
      </c>
    </row>
    <row r="218" spans="1:16" x14ac:dyDescent="0.35">
      <c r="A218" t="s">
        <v>868</v>
      </c>
      <c r="B218" t="s">
        <v>869</v>
      </c>
      <c r="C218" t="s">
        <v>16</v>
      </c>
      <c r="D218" s="6">
        <v>251237142.43940559</v>
      </c>
      <c r="E218" s="6">
        <v>100734142.43940556</v>
      </c>
      <c r="F218" s="6">
        <v>0.69499999284744263</v>
      </c>
      <c r="G218" s="6">
        <v>0.69679999351501465</v>
      </c>
      <c r="H218" s="6" t="e">
        <v>#N/A</v>
      </c>
      <c r="I218" s="6">
        <v>-0.76105099741658577</v>
      </c>
      <c r="J218" s="6">
        <v>5229000</v>
      </c>
      <c r="K218" s="6">
        <v>1.3157894736842117</v>
      </c>
      <c r="L218" t="s">
        <v>17</v>
      </c>
      <c r="M218" t="s">
        <v>18</v>
      </c>
      <c r="N218" s="4" t="s">
        <v>870</v>
      </c>
      <c r="O218" s="4" t="s">
        <v>871</v>
      </c>
      <c r="P218" s="4" t="s">
        <v>233</v>
      </c>
    </row>
    <row r="219" spans="1:16" x14ac:dyDescent="0.35">
      <c r="A219" t="s">
        <v>872</v>
      </c>
      <c r="B219" t="s">
        <v>873</v>
      </c>
      <c r="C219" t="s">
        <v>16</v>
      </c>
      <c r="D219" s="6">
        <v>375674.50439999998</v>
      </c>
      <c r="E219" s="6">
        <v>872508.50404123962</v>
      </c>
      <c r="F219" s="6">
        <v>1.5599999999999999E-2</v>
      </c>
      <c r="G219" s="6">
        <v>1.5599999999999999E-2</v>
      </c>
      <c r="H219" s="6" t="e">
        <v>#N/A</v>
      </c>
      <c r="I219" s="6">
        <v>-0.32365861241587901</v>
      </c>
      <c r="J219" s="6">
        <v>475517.00472831726</v>
      </c>
      <c r="K219" s="6">
        <v>33.333333333333336</v>
      </c>
      <c r="L219" t="s">
        <v>17</v>
      </c>
      <c r="M219" t="s">
        <v>40</v>
      </c>
      <c r="N219" s="4" t="s">
        <v>874</v>
      </c>
      <c r="O219" s="4" t="s">
        <v>875</v>
      </c>
      <c r="P219" s="4" t="s">
        <v>233</v>
      </c>
    </row>
    <row r="220" spans="1:16" x14ac:dyDescent="0.35">
      <c r="A220" t="s">
        <v>876</v>
      </c>
      <c r="B220" t="s">
        <v>877</v>
      </c>
      <c r="C220" t="s">
        <v>16</v>
      </c>
      <c r="D220" s="6">
        <v>188103424</v>
      </c>
      <c r="E220" s="6">
        <v>199468424</v>
      </c>
      <c r="F220" s="6">
        <v>65.5</v>
      </c>
      <c r="G220" s="6">
        <v>65.739997863769531</v>
      </c>
      <c r="H220" s="6">
        <v>10.380348652931854</v>
      </c>
      <c r="I220" s="6">
        <v>1.2598153197964068</v>
      </c>
      <c r="J220" s="6">
        <v>199637000</v>
      </c>
      <c r="K220" s="6">
        <v>169.54732510288068</v>
      </c>
      <c r="L220" t="s">
        <v>17</v>
      </c>
      <c r="M220" t="s">
        <v>27</v>
      </c>
      <c r="N220" s="4" t="s">
        <v>878</v>
      </c>
      <c r="O220" s="4" t="s">
        <v>879</v>
      </c>
      <c r="P220" s="4" t="s">
        <v>233</v>
      </c>
    </row>
    <row r="221" spans="1:16" x14ac:dyDescent="0.35">
      <c r="A221" t="s">
        <v>880</v>
      </c>
      <c r="B221" t="s">
        <v>881</v>
      </c>
      <c r="C221" t="s">
        <v>16</v>
      </c>
      <c r="D221" s="6">
        <v>1823770.4643083587</v>
      </c>
      <c r="E221" s="6">
        <v>1791649.4643083587</v>
      </c>
      <c r="F221" s="6">
        <v>8.5424996912479401E-2</v>
      </c>
      <c r="G221" s="6">
        <v>9.0000003576278687E-2</v>
      </c>
      <c r="H221" s="6" t="e">
        <v>#N/A</v>
      </c>
      <c r="I221" s="6">
        <v>1.3035115665507484</v>
      </c>
      <c r="J221" s="6">
        <v>0</v>
      </c>
      <c r="K221" s="6" t="e">
        <v>#N/A</v>
      </c>
      <c r="L221" t="s">
        <v>17</v>
      </c>
      <c r="M221" t="s">
        <v>87</v>
      </c>
      <c r="N221" s="4" t="s">
        <v>882</v>
      </c>
      <c r="O221" s="4" t="s">
        <v>883</v>
      </c>
      <c r="P221" s="4" t="s">
        <v>233</v>
      </c>
    </row>
    <row r="222" spans="1:16" x14ac:dyDescent="0.35">
      <c r="A222" t="s">
        <v>884</v>
      </c>
      <c r="B222" t="s">
        <v>885</v>
      </c>
      <c r="C222" t="s">
        <v>16</v>
      </c>
      <c r="D222" s="6">
        <v>15426161.301726105</v>
      </c>
      <c r="E222" s="6">
        <v>26934161.301726103</v>
      </c>
      <c r="F222" s="6">
        <v>3.6099998950958252</v>
      </c>
      <c r="G222" s="6">
        <v>3.5099999904632568</v>
      </c>
      <c r="H222" s="6" t="e">
        <v>#N/A</v>
      </c>
      <c r="I222" s="6">
        <v>-0.53620194248337727</v>
      </c>
      <c r="J222" s="6">
        <v>18586000</v>
      </c>
      <c r="K222" s="6">
        <v>52.745098039215691</v>
      </c>
      <c r="L222" t="s">
        <v>17</v>
      </c>
      <c r="M222" t="s">
        <v>32</v>
      </c>
      <c r="N222" s="4" t="s">
        <v>886</v>
      </c>
      <c r="O222" s="4" t="s">
        <v>887</v>
      </c>
      <c r="P222" s="4" t="s">
        <v>233</v>
      </c>
    </row>
    <row r="223" spans="1:16" x14ac:dyDescent="0.35">
      <c r="A223" t="s">
        <v>888</v>
      </c>
      <c r="B223" t="s">
        <v>889</v>
      </c>
      <c r="C223" t="s">
        <v>16</v>
      </c>
      <c r="D223" s="6">
        <v>14794635406.494141</v>
      </c>
      <c r="E223" s="6">
        <v>9031635406.4941406</v>
      </c>
      <c r="F223" s="6">
        <v>266.57000732421875</v>
      </c>
      <c r="G223" s="6">
        <v>273.67001342773438</v>
      </c>
      <c r="H223" s="6">
        <v>12.380709971216429</v>
      </c>
      <c r="I223" s="6">
        <v>-0.32034691777357793</v>
      </c>
      <c r="J223" s="6">
        <v>40650000000</v>
      </c>
      <c r="K223" s="6">
        <v>8.6201480698043369</v>
      </c>
      <c r="L223" t="s">
        <v>17</v>
      </c>
      <c r="M223" t="s">
        <v>40</v>
      </c>
      <c r="N223" s="4" t="s">
        <v>890</v>
      </c>
      <c r="O223" s="4" t="s">
        <v>891</v>
      </c>
      <c r="P223" s="4" t="s">
        <v>233</v>
      </c>
    </row>
    <row r="224" spans="1:16" x14ac:dyDescent="0.35">
      <c r="A224" t="s">
        <v>892</v>
      </c>
      <c r="B224" t="s">
        <v>893</v>
      </c>
      <c r="C224" t="s">
        <v>16</v>
      </c>
      <c r="D224" s="6">
        <v>81167895.234887108</v>
      </c>
      <c r="E224" s="6">
        <v>161954895.23488712</v>
      </c>
      <c r="F224" s="6">
        <v>3.4600000381469727</v>
      </c>
      <c r="G224" s="6">
        <v>3.1400001049041748</v>
      </c>
      <c r="H224" s="6" t="e">
        <v>#N/A</v>
      </c>
      <c r="I224" s="6">
        <v>-0.78533198427311035</v>
      </c>
      <c r="J224" s="6">
        <v>160428000</v>
      </c>
      <c r="K224" s="6">
        <v>32.091812774913379</v>
      </c>
      <c r="L224" t="s">
        <v>17</v>
      </c>
      <c r="M224" t="s">
        <v>18</v>
      </c>
      <c r="N224" s="4" t="s">
        <v>894</v>
      </c>
      <c r="O224" s="4" t="s">
        <v>895</v>
      </c>
      <c r="P224" s="4" t="s">
        <v>233</v>
      </c>
    </row>
    <row r="225" spans="1:16" x14ac:dyDescent="0.35">
      <c r="A225" t="s">
        <v>896</v>
      </c>
      <c r="B225" t="s">
        <v>897</v>
      </c>
      <c r="C225" t="s">
        <v>16</v>
      </c>
      <c r="D225" s="6">
        <v>7393161047.6531982</v>
      </c>
      <c r="E225" s="6">
        <v>8231009047.6531982</v>
      </c>
      <c r="F225" s="6">
        <v>58.110000610351563</v>
      </c>
      <c r="G225" s="6">
        <v>56.709999084472656</v>
      </c>
      <c r="H225" s="6">
        <v>19.172997652570359</v>
      </c>
      <c r="I225" s="6">
        <v>0.62602008164722367</v>
      </c>
      <c r="J225" s="6">
        <v>947355000</v>
      </c>
      <c r="K225" s="6">
        <v>61.256544502617814</v>
      </c>
      <c r="L225" t="s">
        <v>17</v>
      </c>
      <c r="M225" t="s">
        <v>18</v>
      </c>
      <c r="N225" s="4" t="s">
        <v>898</v>
      </c>
      <c r="O225" s="4" t="s">
        <v>899</v>
      </c>
      <c r="P225" s="4" t="s">
        <v>233</v>
      </c>
    </row>
    <row r="226" spans="1:16" x14ac:dyDescent="0.35">
      <c r="A226" t="s">
        <v>13305</v>
      </c>
      <c r="B226" t="s">
        <v>900</v>
      </c>
      <c r="C226" t="s">
        <v>16</v>
      </c>
      <c r="D226" s="6">
        <v>10390.244999999999</v>
      </c>
      <c r="E226" s="6">
        <v>1040390.2449999998</v>
      </c>
      <c r="F226" s="6">
        <v>1.4999999999999999E-2</v>
      </c>
      <c r="G226" s="6">
        <v>1.4999999999999999E-2</v>
      </c>
      <c r="H226" s="6" t="e">
        <v>#N/A</v>
      </c>
      <c r="I226" s="6">
        <v>-0.99747883162990181</v>
      </c>
      <c r="J226" s="6">
        <v>750000</v>
      </c>
      <c r="K226" s="6">
        <v>60.813992805755404</v>
      </c>
      <c r="L226" t="s">
        <v>17</v>
      </c>
      <c r="M226" t="s">
        <v>18</v>
      </c>
      <c r="N226" s="4" t="s">
        <v>13306</v>
      </c>
      <c r="O226" s="4" t="s">
        <v>13307</v>
      </c>
      <c r="P226" s="4" t="s">
        <v>233</v>
      </c>
    </row>
    <row r="227" spans="1:16" x14ac:dyDescent="0.35">
      <c r="A227" t="s">
        <v>901</v>
      </c>
      <c r="B227" t="s">
        <v>902</v>
      </c>
      <c r="C227" t="s">
        <v>16</v>
      </c>
      <c r="D227" s="6" t="e">
        <v>#N/A</v>
      </c>
      <c r="E227" s="6" t="e">
        <v>#N/A</v>
      </c>
      <c r="F227" s="6" t="e">
        <v>#N/A</v>
      </c>
      <c r="G227" s="6" t="e">
        <v>#N/A</v>
      </c>
      <c r="H227" s="6" t="e">
        <v>#N/A</v>
      </c>
      <c r="I227" s="6">
        <v>0</v>
      </c>
      <c r="J227" s="6">
        <v>7747325</v>
      </c>
      <c r="K227" s="6">
        <v>-43.243242839420688</v>
      </c>
      <c r="L227" t="s">
        <v>17</v>
      </c>
      <c r="M227" t="s">
        <v>32</v>
      </c>
      <c r="N227" s="4" t="s">
        <v>903</v>
      </c>
      <c r="O227" s="4" t="s">
        <v>904</v>
      </c>
      <c r="P227" s="4" t="s">
        <v>233</v>
      </c>
    </row>
    <row r="228" spans="1:16" x14ac:dyDescent="0.35">
      <c r="A228" t="s">
        <v>905</v>
      </c>
      <c r="B228" t="s">
        <v>906</v>
      </c>
      <c r="C228" t="s">
        <v>16</v>
      </c>
      <c r="D228" s="6">
        <v>758345.23450000002</v>
      </c>
      <c r="E228" s="6" t="e">
        <v>#N/A</v>
      </c>
      <c r="F228" s="6">
        <v>3.5000000000000001E-3</v>
      </c>
      <c r="G228" s="6">
        <v>3.5999999999999999E-3</v>
      </c>
      <c r="H228" s="6" t="e">
        <v>#N/A</v>
      </c>
      <c r="I228" s="6">
        <v>59.675074134443129</v>
      </c>
      <c r="J228" s="6" t="e">
        <v>#N/A</v>
      </c>
      <c r="K228" s="6" t="e">
        <v>#N/A</v>
      </c>
      <c r="L228" t="s">
        <v>17</v>
      </c>
      <c r="M228" t="s">
        <v>32</v>
      </c>
      <c r="N228" s="4" t="s">
        <v>907</v>
      </c>
      <c r="O228" s="4" t="s">
        <v>908</v>
      </c>
      <c r="P228" s="4" t="s">
        <v>233</v>
      </c>
    </row>
    <row r="229" spans="1:16" x14ac:dyDescent="0.35">
      <c r="A229" t="s">
        <v>909</v>
      </c>
      <c r="B229" t="s">
        <v>910</v>
      </c>
      <c r="C229" t="s">
        <v>16</v>
      </c>
      <c r="D229" s="6">
        <v>1158.9568707222859</v>
      </c>
      <c r="E229" s="6">
        <v>4911886.9568707226</v>
      </c>
      <c r="F229" s="6">
        <v>9.9999997473787516E-5</v>
      </c>
      <c r="G229" s="6">
        <v>9.9999997473787516E-5</v>
      </c>
      <c r="H229" s="6" t="e">
        <v>#N/A</v>
      </c>
      <c r="I229" s="6">
        <v>-0.99996327631438742</v>
      </c>
      <c r="J229" s="6" t="e">
        <v>#N/A</v>
      </c>
      <c r="K229" s="6" t="e">
        <v>#N/A</v>
      </c>
      <c r="L229" t="s">
        <v>17</v>
      </c>
      <c r="M229" t="s">
        <v>40</v>
      </c>
      <c r="N229" s="4" t="s">
        <v>911</v>
      </c>
      <c r="O229" s="4" t="s">
        <v>912</v>
      </c>
      <c r="P229" s="4" t="s">
        <v>233</v>
      </c>
    </row>
    <row r="230" spans="1:16" x14ac:dyDescent="0.35">
      <c r="A230" t="s">
        <v>913</v>
      </c>
      <c r="B230" t="s">
        <v>914</v>
      </c>
      <c r="C230" t="s">
        <v>16</v>
      </c>
      <c r="D230" s="6">
        <v>16426201951.599123</v>
      </c>
      <c r="E230" s="6">
        <v>17749201951.599121</v>
      </c>
      <c r="F230" s="6">
        <v>103.56999969482422</v>
      </c>
      <c r="G230" s="6">
        <v>99.610000610351563</v>
      </c>
      <c r="H230" s="6">
        <v>12.261549699685466</v>
      </c>
      <c r="I230" s="6">
        <v>-0.23798881553284179</v>
      </c>
      <c r="J230" s="6">
        <v>4372000000</v>
      </c>
      <c r="K230" s="6">
        <v>-4.7683923705722151</v>
      </c>
      <c r="L230" t="s">
        <v>17</v>
      </c>
      <c r="M230" t="s">
        <v>100</v>
      </c>
      <c r="N230" s="4" t="s">
        <v>915</v>
      </c>
      <c r="O230" s="4" t="s">
        <v>916</v>
      </c>
      <c r="P230" s="4" t="s">
        <v>233</v>
      </c>
    </row>
    <row r="231" spans="1:16" x14ac:dyDescent="0.35">
      <c r="A231" t="s">
        <v>917</v>
      </c>
      <c r="B231" t="s">
        <v>918</v>
      </c>
      <c r="C231" t="s">
        <v>16</v>
      </c>
      <c r="D231" s="6">
        <v>79.336399999999998</v>
      </c>
      <c r="E231" s="6">
        <v>18396.339203087235</v>
      </c>
      <c r="F231" s="6">
        <v>4.9399999999999999E-2</v>
      </c>
      <c r="G231" s="6">
        <v>4.9399999999999999E-2</v>
      </c>
      <c r="H231" s="6" t="e">
        <v>#N/A</v>
      </c>
      <c r="I231" s="6">
        <v>-0.84952424694912265</v>
      </c>
      <c r="J231" s="6" t="e">
        <v>#N/A</v>
      </c>
      <c r="K231" s="6" t="e">
        <v>#N/A</v>
      </c>
      <c r="L231" t="s">
        <v>17</v>
      </c>
      <c r="M231" t="s">
        <v>32</v>
      </c>
      <c r="N231" s="4" t="s">
        <v>919</v>
      </c>
      <c r="O231" s="4" t="s">
        <v>920</v>
      </c>
      <c r="P231" s="4" t="s">
        <v>233</v>
      </c>
    </row>
    <row r="232" spans="1:16" x14ac:dyDescent="0.35">
      <c r="A232" t="s">
        <v>921</v>
      </c>
      <c r="B232" t="s">
        <v>922</v>
      </c>
      <c r="C232" t="s">
        <v>16</v>
      </c>
      <c r="D232" s="6">
        <v>1472.4</v>
      </c>
      <c r="E232" s="6" t="e">
        <v>#N/A</v>
      </c>
      <c r="F232" s="6">
        <v>0.2</v>
      </c>
      <c r="G232" s="6">
        <v>0.2</v>
      </c>
      <c r="H232" s="6" t="e">
        <v>#N/A</v>
      </c>
      <c r="I232" s="6">
        <v>-0.51122555732242414</v>
      </c>
      <c r="J232" s="6" t="e">
        <v>#N/A</v>
      </c>
      <c r="K232" s="6" t="e">
        <v>#N/A</v>
      </c>
      <c r="L232" t="s">
        <v>17</v>
      </c>
      <c r="M232" t="s">
        <v>27</v>
      </c>
      <c r="N232" s="4" t="s">
        <v>923</v>
      </c>
      <c r="O232" s="4" t="s">
        <v>924</v>
      </c>
      <c r="P232" s="4" t="s">
        <v>233</v>
      </c>
    </row>
    <row r="233" spans="1:16" x14ac:dyDescent="0.35">
      <c r="A233" t="s">
        <v>925</v>
      </c>
      <c r="B233" t="s">
        <v>926</v>
      </c>
      <c r="C233" t="s">
        <v>16</v>
      </c>
      <c r="D233" s="6">
        <v>335276753.28704357</v>
      </c>
      <c r="E233" s="6">
        <v>281077753.28704357</v>
      </c>
      <c r="F233" s="6">
        <v>4.119999885559082</v>
      </c>
      <c r="G233" s="6">
        <v>4.0300002098083496</v>
      </c>
      <c r="H233" s="6" t="e">
        <v>#N/A</v>
      </c>
      <c r="I233" s="6">
        <v>0.3195100796331134</v>
      </c>
      <c r="J233" s="6">
        <v>64446000</v>
      </c>
      <c r="K233" s="6">
        <v>27.499999999999996</v>
      </c>
      <c r="L233" t="s">
        <v>17</v>
      </c>
      <c r="M233" t="s">
        <v>100</v>
      </c>
      <c r="N233" s="4" t="s">
        <v>927</v>
      </c>
      <c r="O233" s="4" t="s">
        <v>928</v>
      </c>
      <c r="P233" s="4" t="s">
        <v>233</v>
      </c>
    </row>
    <row r="234" spans="1:16" x14ac:dyDescent="0.35">
      <c r="A234" t="s">
        <v>929</v>
      </c>
      <c r="B234" t="s">
        <v>930</v>
      </c>
      <c r="C234" t="s">
        <v>16</v>
      </c>
      <c r="D234" s="6" t="e">
        <v>#N/A</v>
      </c>
      <c r="E234" s="6" t="e">
        <v>#N/A</v>
      </c>
      <c r="F234" s="6" t="e">
        <v>#N/A</v>
      </c>
      <c r="G234" s="6" t="e">
        <v>#N/A</v>
      </c>
      <c r="H234" s="6" t="e">
        <v>#N/A</v>
      </c>
      <c r="I234" s="6">
        <v>-5.773159728050814E-15</v>
      </c>
      <c r="J234" s="6">
        <v>771000</v>
      </c>
      <c r="K234" s="6">
        <v>14.567441860465127</v>
      </c>
      <c r="L234" t="s">
        <v>17</v>
      </c>
      <c r="M234" t="s">
        <v>87</v>
      </c>
      <c r="N234" s="4" t="s">
        <v>931</v>
      </c>
      <c r="O234" s="4" t="s">
        <v>932</v>
      </c>
      <c r="P234" s="4" t="s">
        <v>233</v>
      </c>
    </row>
    <row r="235" spans="1:16" x14ac:dyDescent="0.35">
      <c r="A235" t="s">
        <v>933</v>
      </c>
      <c r="B235" t="s">
        <v>934</v>
      </c>
      <c r="C235" t="s">
        <v>16</v>
      </c>
      <c r="D235" s="6">
        <v>39392787247.660835</v>
      </c>
      <c r="E235" s="6">
        <v>41637787247.660835</v>
      </c>
      <c r="F235" s="6">
        <v>138.08000183105469</v>
      </c>
      <c r="G235" s="6">
        <v>138.77999877929688</v>
      </c>
      <c r="H235" s="6">
        <v>28.059805473502035</v>
      </c>
      <c r="I235" s="6">
        <v>5.0743331841509365E-2</v>
      </c>
      <c r="J235" s="6">
        <v>6510000000</v>
      </c>
      <c r="K235" s="6">
        <v>5.21327014218011</v>
      </c>
      <c r="L235" t="s">
        <v>17</v>
      </c>
      <c r="M235" t="s">
        <v>100</v>
      </c>
      <c r="N235" s="4" t="s">
        <v>935</v>
      </c>
      <c r="O235" s="4" t="s">
        <v>936</v>
      </c>
      <c r="P235" s="4" t="s">
        <v>233</v>
      </c>
    </row>
    <row r="236" spans="1:16" x14ac:dyDescent="0.35">
      <c r="A236" t="s">
        <v>937</v>
      </c>
      <c r="B236" t="s">
        <v>938</v>
      </c>
      <c r="C236" t="s">
        <v>16</v>
      </c>
      <c r="D236" s="6">
        <v>4429138.8938569464</v>
      </c>
      <c r="E236" s="6">
        <v>5617628.0938569456</v>
      </c>
      <c r="F236" s="6">
        <v>3.5000000149011612E-2</v>
      </c>
      <c r="G236" s="6">
        <v>3.0124999582767487E-2</v>
      </c>
      <c r="H236" s="6" t="e">
        <v>#N/A</v>
      </c>
      <c r="I236" s="6">
        <v>0.4877415964847247</v>
      </c>
      <c r="J236" s="6">
        <v>0</v>
      </c>
      <c r="K236" s="6">
        <v>-57.739999999999988</v>
      </c>
      <c r="L236" t="s">
        <v>17</v>
      </c>
      <c r="M236" t="s">
        <v>40</v>
      </c>
      <c r="N236" s="4" t="s">
        <v>939</v>
      </c>
      <c r="O236" s="4" t="s">
        <v>940</v>
      </c>
      <c r="P236" s="4" t="s">
        <v>233</v>
      </c>
    </row>
    <row r="237" spans="1:16" x14ac:dyDescent="0.35">
      <c r="A237" t="s">
        <v>941</v>
      </c>
      <c r="B237" t="s">
        <v>942</v>
      </c>
      <c r="C237" t="s">
        <v>16</v>
      </c>
      <c r="D237" s="6" t="e">
        <v>#N/A</v>
      </c>
      <c r="E237" s="6" t="e">
        <v>#N/A</v>
      </c>
      <c r="F237" s="6" t="e">
        <v>#N/A</v>
      </c>
      <c r="G237" s="6" t="e">
        <v>#N/A</v>
      </c>
      <c r="H237" s="6" t="e">
        <v>#N/A</v>
      </c>
      <c r="I237" s="6">
        <v>0</v>
      </c>
      <c r="J237" s="6" t="e">
        <v>#N/A</v>
      </c>
      <c r="K237" s="6" t="e">
        <v>#N/A</v>
      </c>
      <c r="L237" t="s">
        <v>17</v>
      </c>
      <c r="M237" t="s">
        <v>32</v>
      </c>
      <c r="N237" s="4" t="s">
        <v>943</v>
      </c>
      <c r="O237" s="4" t="s">
        <v>944</v>
      </c>
      <c r="P237" s="4" t="s">
        <v>233</v>
      </c>
    </row>
    <row r="238" spans="1:16" x14ac:dyDescent="0.35">
      <c r="A238" t="s">
        <v>945</v>
      </c>
      <c r="B238" t="s">
        <v>946</v>
      </c>
      <c r="C238" t="s">
        <v>16</v>
      </c>
      <c r="D238" s="6">
        <v>70556982.375343084</v>
      </c>
      <c r="E238" s="6">
        <v>193741982.37534308</v>
      </c>
      <c r="F238" s="6">
        <v>1.9500000476837158</v>
      </c>
      <c r="G238" s="6">
        <v>2.0099999904632568</v>
      </c>
      <c r="H238" s="6" t="e">
        <v>#N/A</v>
      </c>
      <c r="I238" s="6">
        <v>-0.44669559918683066</v>
      </c>
      <c r="J238" s="6">
        <v>5467000</v>
      </c>
      <c r="K238" s="6">
        <v>30.909090909090899</v>
      </c>
      <c r="L238" t="s">
        <v>17</v>
      </c>
      <c r="M238" t="s">
        <v>18</v>
      </c>
      <c r="N238" s="4" t="s">
        <v>947</v>
      </c>
      <c r="O238" s="4" t="s">
        <v>948</v>
      </c>
      <c r="P238" s="4" t="s">
        <v>233</v>
      </c>
    </row>
    <row r="239" spans="1:16" x14ac:dyDescent="0.35">
      <c r="A239" t="s">
        <v>949</v>
      </c>
      <c r="B239" t="s">
        <v>950</v>
      </c>
      <c r="C239" t="s">
        <v>16</v>
      </c>
      <c r="D239" s="6">
        <v>1636609259.377032</v>
      </c>
      <c r="E239" s="6">
        <v>1127208259.377032</v>
      </c>
      <c r="F239" s="6">
        <v>12.449999809265137</v>
      </c>
      <c r="G239" s="6">
        <v>12.479999542236328</v>
      </c>
      <c r="H239" s="6">
        <v>94.573959946712975</v>
      </c>
      <c r="I239" s="6">
        <v>-2.8783459602550354E-2</v>
      </c>
      <c r="J239" s="6">
        <v>260811000</v>
      </c>
      <c r="K239" s="6">
        <v>-68.397291666666661</v>
      </c>
      <c r="L239" t="s">
        <v>17</v>
      </c>
      <c r="M239" t="s">
        <v>18</v>
      </c>
      <c r="N239" s="4" t="s">
        <v>951</v>
      </c>
      <c r="O239" s="4" t="s">
        <v>952</v>
      </c>
      <c r="P239" s="4" t="s">
        <v>233</v>
      </c>
    </row>
    <row r="240" spans="1:16" x14ac:dyDescent="0.35">
      <c r="A240" t="s">
        <v>953</v>
      </c>
      <c r="B240" t="s">
        <v>954</v>
      </c>
      <c r="C240" t="s">
        <v>16</v>
      </c>
      <c r="D240" s="6">
        <v>19963.280300000002</v>
      </c>
      <c r="E240" s="6">
        <v>-2046886.7197</v>
      </c>
      <c r="F240" s="6">
        <v>1E-4</v>
      </c>
      <c r="G240" s="6">
        <v>1E-4</v>
      </c>
      <c r="H240" s="6">
        <v>0.77519379844961245</v>
      </c>
      <c r="I240" s="6">
        <v>-0.66566460584968867</v>
      </c>
      <c r="J240" s="6">
        <v>33998060</v>
      </c>
      <c r="K240" s="6">
        <v>93.648924477940014</v>
      </c>
      <c r="L240" t="s">
        <v>17</v>
      </c>
      <c r="M240" t="s">
        <v>87</v>
      </c>
      <c r="N240" s="4" t="s">
        <v>955</v>
      </c>
      <c r="O240" s="4" t="s">
        <v>956</v>
      </c>
      <c r="P240" s="4" t="s">
        <v>233</v>
      </c>
    </row>
    <row r="241" spans="1:16" x14ac:dyDescent="0.35">
      <c r="A241" t="s">
        <v>957</v>
      </c>
      <c r="B241" t="s">
        <v>958</v>
      </c>
      <c r="C241" t="s">
        <v>16</v>
      </c>
      <c r="D241" s="6" t="e">
        <v>#N/A</v>
      </c>
      <c r="E241" s="6" t="e">
        <v>#N/A</v>
      </c>
      <c r="F241" s="6" t="e">
        <v>#N/A</v>
      </c>
      <c r="G241" s="6" t="e">
        <v>#N/A</v>
      </c>
      <c r="H241" s="6" t="e">
        <v>#N/A</v>
      </c>
      <c r="I241" s="6">
        <v>0</v>
      </c>
      <c r="J241" s="6" t="e">
        <v>#N/A</v>
      </c>
      <c r="K241" s="6">
        <v>52.500000000000007</v>
      </c>
      <c r="L241" t="s">
        <v>17</v>
      </c>
      <c r="M241" t="s">
        <v>18</v>
      </c>
      <c r="N241" s="4" t="s">
        <v>959</v>
      </c>
      <c r="O241" s="4" t="s">
        <v>960</v>
      </c>
      <c r="P241" s="4" t="s">
        <v>233</v>
      </c>
    </row>
    <row r="242" spans="1:16" x14ac:dyDescent="0.35">
      <c r="A242" t="s">
        <v>961</v>
      </c>
      <c r="B242" t="s">
        <v>962</v>
      </c>
      <c r="C242" t="s">
        <v>16</v>
      </c>
      <c r="D242" s="6">
        <v>57137771.01423692</v>
      </c>
      <c r="E242" s="6">
        <v>98259771.014236912</v>
      </c>
      <c r="F242" s="6">
        <v>1.309999942779541</v>
      </c>
      <c r="G242" s="6">
        <v>1.3400000333786011</v>
      </c>
      <c r="H242" s="6" t="e">
        <v>#N/A</v>
      </c>
      <c r="I242" s="6">
        <v>-0.72668115842913894</v>
      </c>
      <c r="J242" s="6">
        <v>97732000</v>
      </c>
      <c r="K242" s="6">
        <v>-312.49999999999989</v>
      </c>
      <c r="L242" t="s">
        <v>17</v>
      </c>
      <c r="M242" t="s">
        <v>100</v>
      </c>
      <c r="N242" s="4" t="s">
        <v>963</v>
      </c>
      <c r="O242" s="4" t="s">
        <v>964</v>
      </c>
      <c r="P242" s="4" t="s">
        <v>233</v>
      </c>
    </row>
    <row r="243" spans="1:16" x14ac:dyDescent="0.35">
      <c r="A243" t="s">
        <v>965</v>
      </c>
      <c r="B243" t="s">
        <v>966</v>
      </c>
      <c r="C243" t="s">
        <v>16</v>
      </c>
      <c r="D243" s="6" t="e">
        <v>#N/A</v>
      </c>
      <c r="E243" s="6" t="e">
        <v>#N/A</v>
      </c>
      <c r="F243" s="6" t="e">
        <v>#N/A</v>
      </c>
      <c r="G243" s="6" t="e">
        <v>#N/A</v>
      </c>
      <c r="H243" s="6" t="e">
        <v>#N/A</v>
      </c>
      <c r="I243" s="6">
        <v>0</v>
      </c>
      <c r="J243" s="6">
        <v>1382050</v>
      </c>
      <c r="K243" s="6">
        <v>73.937930630413632</v>
      </c>
      <c r="L243" t="s">
        <v>17</v>
      </c>
      <c r="M243" t="s">
        <v>32</v>
      </c>
      <c r="N243" s="4" t="s">
        <v>967</v>
      </c>
      <c r="O243" s="4" t="s">
        <v>968</v>
      </c>
      <c r="P243" s="4" t="s">
        <v>233</v>
      </c>
    </row>
    <row r="244" spans="1:16" x14ac:dyDescent="0.35">
      <c r="A244" t="s">
        <v>969</v>
      </c>
      <c r="B244" t="s">
        <v>970</v>
      </c>
      <c r="C244" t="s">
        <v>16</v>
      </c>
      <c r="D244" s="6" t="e">
        <v>#N/A</v>
      </c>
      <c r="E244" s="6" t="e">
        <v>#N/A</v>
      </c>
      <c r="F244" s="6">
        <v>9.9999999747524271E-7</v>
      </c>
      <c r="G244" s="6">
        <v>9.9999999747524271E-7</v>
      </c>
      <c r="H244" s="6">
        <v>5.000000043255568E-5</v>
      </c>
      <c r="I244" s="6">
        <v>-5.5511151231257827E-16</v>
      </c>
      <c r="J244" s="6">
        <v>1931208.0286216736</v>
      </c>
      <c r="K244" s="6" t="e">
        <v>#N/A</v>
      </c>
      <c r="L244" t="s">
        <v>17</v>
      </c>
      <c r="M244" t="s">
        <v>18</v>
      </c>
      <c r="N244" s="4" t="s">
        <v>971</v>
      </c>
      <c r="O244" s="4" t="s">
        <v>972</v>
      </c>
      <c r="P244" s="4" t="s">
        <v>233</v>
      </c>
    </row>
    <row r="245" spans="1:16" x14ac:dyDescent="0.35">
      <c r="A245" t="s">
        <v>12987</v>
      </c>
      <c r="B245" t="s">
        <v>973</v>
      </c>
      <c r="C245" t="s">
        <v>16</v>
      </c>
      <c r="D245" s="6">
        <v>74844.072697520241</v>
      </c>
      <c r="E245" s="6" t="e">
        <v>#N/A</v>
      </c>
      <c r="F245" s="6">
        <v>0.77499997615814209</v>
      </c>
      <c r="G245" s="6">
        <v>0.8499000072479248</v>
      </c>
      <c r="H245" s="6" t="e">
        <v>#N/A</v>
      </c>
      <c r="I245" s="6">
        <v>2.8606852270836107</v>
      </c>
      <c r="J245" s="6" t="e">
        <v>#N/A</v>
      </c>
      <c r="K245" s="6" t="e">
        <v>#N/A</v>
      </c>
      <c r="L245" t="s">
        <v>17</v>
      </c>
      <c r="M245" t="s">
        <v>40</v>
      </c>
      <c r="N245" s="4" t="s">
        <v>12988</v>
      </c>
      <c r="O245" s="4" t="s">
        <v>12989</v>
      </c>
      <c r="P245" s="4" t="s">
        <v>233</v>
      </c>
    </row>
    <row r="246" spans="1:16" x14ac:dyDescent="0.35">
      <c r="A246" t="s">
        <v>974</v>
      </c>
      <c r="B246" t="s">
        <v>975</v>
      </c>
      <c r="C246" t="s">
        <v>16</v>
      </c>
      <c r="D246" s="6">
        <v>44718635820.007332</v>
      </c>
      <c r="E246" s="6" t="e">
        <v>#N/A</v>
      </c>
      <c r="F246" s="6">
        <v>75.819999694824219</v>
      </c>
      <c r="G246" s="6">
        <v>74</v>
      </c>
      <c r="H246" s="6">
        <v>30.659267127387686</v>
      </c>
      <c r="I246" s="6">
        <v>-0.12937575163203296</v>
      </c>
      <c r="J246" s="6">
        <v>5439500000</v>
      </c>
      <c r="K246" s="6">
        <v>1.2987012987012903</v>
      </c>
      <c r="L246" t="s">
        <v>17</v>
      </c>
      <c r="M246" t="s">
        <v>27</v>
      </c>
      <c r="N246" s="4" t="s">
        <v>976</v>
      </c>
      <c r="O246" s="4" t="s">
        <v>977</v>
      </c>
      <c r="P246" s="4" t="s">
        <v>233</v>
      </c>
    </row>
    <row r="247" spans="1:16" x14ac:dyDescent="0.35">
      <c r="A247" t="s">
        <v>978</v>
      </c>
      <c r="B247" t="s">
        <v>979</v>
      </c>
      <c r="C247" t="s">
        <v>16</v>
      </c>
      <c r="D247" s="6">
        <v>15329259067.012331</v>
      </c>
      <c r="E247" s="6">
        <v>14373586067.012331</v>
      </c>
      <c r="F247" s="6">
        <v>205.33999633789063</v>
      </c>
      <c r="G247" s="6">
        <v>207.13999938964844</v>
      </c>
      <c r="H247" s="6">
        <v>30.885653939566552</v>
      </c>
      <c r="I247" s="6">
        <v>-0.32033674725483041</v>
      </c>
      <c r="J247" s="6">
        <v>3999012000</v>
      </c>
      <c r="K247" s="6">
        <v>-3.2646048109965702</v>
      </c>
      <c r="L247" t="s">
        <v>17</v>
      </c>
      <c r="M247" t="s">
        <v>27</v>
      </c>
      <c r="N247" s="4" t="s">
        <v>980</v>
      </c>
      <c r="O247" s="4" t="s">
        <v>981</v>
      </c>
      <c r="P247" s="4" t="s">
        <v>233</v>
      </c>
    </row>
    <row r="248" spans="1:16" x14ac:dyDescent="0.35">
      <c r="A248" t="s">
        <v>982</v>
      </c>
      <c r="B248" t="s">
        <v>983</v>
      </c>
      <c r="C248" t="s">
        <v>16</v>
      </c>
      <c r="D248" s="6">
        <v>21943288.875</v>
      </c>
      <c r="E248" s="6">
        <v>-2707711.125</v>
      </c>
      <c r="F248" s="6">
        <v>0.125</v>
      </c>
      <c r="G248" s="6">
        <v>0.12099999934434891</v>
      </c>
      <c r="H248" s="6" t="e">
        <v>#N/A</v>
      </c>
      <c r="I248" s="6">
        <v>-0.62248777289870838</v>
      </c>
      <c r="J248" s="6">
        <v>81650000</v>
      </c>
      <c r="K248" s="6" t="e">
        <v>#N/A</v>
      </c>
      <c r="L248" t="s">
        <v>17</v>
      </c>
      <c r="M248" t="s">
        <v>27</v>
      </c>
      <c r="N248" s="4" t="s">
        <v>984</v>
      </c>
      <c r="O248" s="4" t="s">
        <v>985</v>
      </c>
      <c r="P248" s="4" t="s">
        <v>233</v>
      </c>
    </row>
    <row r="249" spans="1:16" x14ac:dyDescent="0.35">
      <c r="A249" t="s">
        <v>986</v>
      </c>
      <c r="B249" t="s">
        <v>987</v>
      </c>
      <c r="C249" t="s">
        <v>16</v>
      </c>
      <c r="D249" s="6">
        <v>376210.16310000006</v>
      </c>
      <c r="E249" s="6" t="e">
        <v>#N/A</v>
      </c>
      <c r="F249" s="6">
        <v>5.7000000000000002E-3</v>
      </c>
      <c r="G249" s="6">
        <v>5.7000000000000002E-3</v>
      </c>
      <c r="H249" s="6" t="e">
        <v>#N/A</v>
      </c>
      <c r="I249" s="6">
        <v>4.6729587258623502</v>
      </c>
      <c r="J249" s="6" t="e">
        <v>#N/A</v>
      </c>
      <c r="K249" s="6" t="e">
        <v>#N/A</v>
      </c>
      <c r="L249" t="s">
        <v>17</v>
      </c>
      <c r="M249" t="s">
        <v>87</v>
      </c>
      <c r="N249" s="4" t="s">
        <v>988</v>
      </c>
      <c r="O249" s="4" t="s">
        <v>989</v>
      </c>
      <c r="P249" s="4" t="s">
        <v>233</v>
      </c>
    </row>
    <row r="250" spans="1:16" x14ac:dyDescent="0.35">
      <c r="A250" t="s">
        <v>990</v>
      </c>
      <c r="B250" t="s">
        <v>991</v>
      </c>
      <c r="C250" t="s">
        <v>16</v>
      </c>
      <c r="D250" s="6">
        <v>397442.21111647418</v>
      </c>
      <c r="E250" s="6">
        <v>-3823557.7888835259</v>
      </c>
      <c r="F250" s="6">
        <v>9.9999997764825821E-3</v>
      </c>
      <c r="G250" s="6">
        <v>9.4999996945261955E-3</v>
      </c>
      <c r="H250" s="6" t="e">
        <v>#N/A</v>
      </c>
      <c r="I250" s="6">
        <v>-0.98434282294122832</v>
      </c>
      <c r="J250" s="6">
        <v>0</v>
      </c>
      <c r="K250" s="6">
        <v>11.290322580645153</v>
      </c>
      <c r="L250" t="s">
        <v>17</v>
      </c>
      <c r="M250" t="s">
        <v>18</v>
      </c>
      <c r="N250" s="4" t="s">
        <v>992</v>
      </c>
      <c r="O250" s="4" t="s">
        <v>993</v>
      </c>
      <c r="P250" s="4" t="s">
        <v>233</v>
      </c>
    </row>
    <row r="251" spans="1:16" x14ac:dyDescent="0.35">
      <c r="A251" t="s">
        <v>994</v>
      </c>
      <c r="B251" t="s">
        <v>995</v>
      </c>
      <c r="C251" t="s">
        <v>16</v>
      </c>
      <c r="D251" s="6">
        <v>2707507088.1984096</v>
      </c>
      <c r="E251" s="6">
        <v>2268458088.1984096</v>
      </c>
      <c r="F251" s="6">
        <v>22.700000762939453</v>
      </c>
      <c r="G251" s="6">
        <v>22.399999618530273</v>
      </c>
      <c r="H251" s="6">
        <v>19.237288782152081</v>
      </c>
      <c r="I251" s="6">
        <v>0.66190845937601428</v>
      </c>
      <c r="J251" s="6">
        <v>460482000</v>
      </c>
      <c r="K251" s="6">
        <v>111.86440677966098</v>
      </c>
      <c r="L251" t="s">
        <v>17</v>
      </c>
      <c r="M251" t="s">
        <v>18</v>
      </c>
      <c r="N251" s="4" t="s">
        <v>996</v>
      </c>
      <c r="O251" s="4" t="s">
        <v>997</v>
      </c>
      <c r="P251" s="4" t="s">
        <v>233</v>
      </c>
    </row>
    <row r="252" spans="1:16" x14ac:dyDescent="0.35">
      <c r="A252" t="s">
        <v>998</v>
      </c>
      <c r="B252" t="s">
        <v>999</v>
      </c>
      <c r="C252" t="s">
        <v>16</v>
      </c>
      <c r="D252" s="6" t="e">
        <v>#N/A</v>
      </c>
      <c r="E252" s="6" t="e">
        <v>#N/A</v>
      </c>
      <c r="F252" s="6" t="e">
        <v>#N/A</v>
      </c>
      <c r="G252" s="6" t="e">
        <v>#N/A</v>
      </c>
      <c r="H252" s="6" t="e">
        <v>#N/A</v>
      </c>
      <c r="I252" s="6">
        <v>0</v>
      </c>
      <c r="J252" s="6" t="e">
        <v>#N/A</v>
      </c>
      <c r="K252" s="6" t="e">
        <v>#N/A</v>
      </c>
      <c r="L252" t="s">
        <v>17</v>
      </c>
      <c r="M252" t="s">
        <v>32</v>
      </c>
      <c r="N252" s="4" t="s">
        <v>1000</v>
      </c>
      <c r="O252" s="4" t="s">
        <v>1001</v>
      </c>
      <c r="P252" s="4" t="s">
        <v>233</v>
      </c>
    </row>
    <row r="253" spans="1:16" x14ac:dyDescent="0.35">
      <c r="A253" t="s">
        <v>1002</v>
      </c>
      <c r="B253" t="s">
        <v>1003</v>
      </c>
      <c r="C253" t="s">
        <v>16</v>
      </c>
      <c r="D253" s="6">
        <v>34303763583.188141</v>
      </c>
      <c r="E253" s="6">
        <v>32825356583.188141</v>
      </c>
      <c r="F253" s="6">
        <v>265.95999145507813</v>
      </c>
      <c r="G253" s="6">
        <v>265.92999267578125</v>
      </c>
      <c r="H253" s="6" t="e">
        <v>#N/A</v>
      </c>
      <c r="I253" s="6">
        <v>0.56863203738533397</v>
      </c>
      <c r="J253" s="6">
        <v>2094795000</v>
      </c>
      <c r="K253" s="6">
        <v>36.253041362530404</v>
      </c>
      <c r="L253" t="s">
        <v>17</v>
      </c>
      <c r="M253" t="s">
        <v>18</v>
      </c>
      <c r="N253" s="4" t="s">
        <v>1004</v>
      </c>
      <c r="O253" s="4" t="s">
        <v>1005</v>
      </c>
      <c r="P253" s="4" t="s">
        <v>233</v>
      </c>
    </row>
    <row r="254" spans="1:16" x14ac:dyDescent="0.35">
      <c r="A254" t="s">
        <v>1006</v>
      </c>
      <c r="B254" t="s">
        <v>1007</v>
      </c>
      <c r="C254" t="s">
        <v>16</v>
      </c>
      <c r="D254" s="6">
        <v>26840254.335977562</v>
      </c>
      <c r="E254" s="6">
        <v>9246254.3359775618</v>
      </c>
      <c r="F254" s="6">
        <v>3.1700000762939453</v>
      </c>
      <c r="G254" s="6">
        <v>3.1800000667572021</v>
      </c>
      <c r="H254" s="6" t="e">
        <v>#N/A</v>
      </c>
      <c r="I254" s="6">
        <v>-0.70330501007649071</v>
      </c>
      <c r="J254" s="6">
        <v>10259000</v>
      </c>
      <c r="K254" s="6">
        <v>16.29153269024653</v>
      </c>
      <c r="L254" t="s">
        <v>17</v>
      </c>
      <c r="M254" t="s">
        <v>18</v>
      </c>
      <c r="N254" s="4" t="s">
        <v>1008</v>
      </c>
      <c r="O254" s="4" t="s">
        <v>1009</v>
      </c>
      <c r="P254" s="4" t="s">
        <v>233</v>
      </c>
    </row>
    <row r="255" spans="1:16" x14ac:dyDescent="0.35">
      <c r="A255" t="s">
        <v>1010</v>
      </c>
      <c r="B255" t="s">
        <v>1011</v>
      </c>
      <c r="C255" t="s">
        <v>16</v>
      </c>
      <c r="D255" s="6">
        <v>2269.5546000000004</v>
      </c>
      <c r="E255" s="6" t="e">
        <v>#N/A</v>
      </c>
      <c r="F255" s="6">
        <v>2.0000000000000001E-4</v>
      </c>
      <c r="G255" s="6">
        <v>2.0000000000000001E-4</v>
      </c>
      <c r="H255" s="6" t="e">
        <v>#N/A</v>
      </c>
      <c r="I255" s="6">
        <v>-0.99571707925941877</v>
      </c>
      <c r="J255" s="6" t="e">
        <v>#N/A</v>
      </c>
      <c r="K255" s="6" t="e">
        <v>#N/A</v>
      </c>
      <c r="L255" t="s">
        <v>17</v>
      </c>
      <c r="M255" t="s">
        <v>32</v>
      </c>
      <c r="N255" s="4" t="s">
        <v>1012</v>
      </c>
      <c r="O255" s="4" t="s">
        <v>1013</v>
      </c>
      <c r="P255" s="4" t="s">
        <v>233</v>
      </c>
    </row>
    <row r="256" spans="1:16" x14ac:dyDescent="0.35">
      <c r="A256" t="s">
        <v>1014</v>
      </c>
      <c r="B256" t="s">
        <v>1015</v>
      </c>
      <c r="C256" t="s">
        <v>16</v>
      </c>
      <c r="D256" s="6">
        <v>394025</v>
      </c>
      <c r="E256" s="6">
        <v>2733025</v>
      </c>
      <c r="F256" s="6">
        <v>2.5</v>
      </c>
      <c r="G256" s="6">
        <v>2.5</v>
      </c>
      <c r="H256" s="6" t="e">
        <v>#N/A</v>
      </c>
      <c r="I256" s="6">
        <v>-0.59227346423082738</v>
      </c>
      <c r="J256" s="6">
        <v>0</v>
      </c>
      <c r="K256" s="6">
        <v>-354.45745813570807</v>
      </c>
      <c r="L256" t="s">
        <v>17</v>
      </c>
      <c r="M256" t="s">
        <v>18</v>
      </c>
      <c r="N256" s="4" t="s">
        <v>1016</v>
      </c>
      <c r="O256" s="4" t="s">
        <v>1017</v>
      </c>
      <c r="P256" s="4" t="s">
        <v>233</v>
      </c>
    </row>
    <row r="257" spans="1:16" x14ac:dyDescent="0.35">
      <c r="A257" t="s">
        <v>1018</v>
      </c>
      <c r="B257" t="s">
        <v>1019</v>
      </c>
      <c r="C257" t="s">
        <v>16</v>
      </c>
      <c r="D257" s="6">
        <v>16235.164971128921</v>
      </c>
      <c r="E257" s="6">
        <v>34908896.164971128</v>
      </c>
      <c r="F257" s="6">
        <v>6.0000002849847078E-4</v>
      </c>
      <c r="G257" s="6">
        <v>6.0000002849847078E-4</v>
      </c>
      <c r="H257" s="6" t="e">
        <v>#N/A</v>
      </c>
      <c r="I257" s="6">
        <v>-0.99896372257483357</v>
      </c>
      <c r="J257" s="6">
        <v>7542922</v>
      </c>
      <c r="K257" s="6">
        <v>6.1249658544886145</v>
      </c>
      <c r="L257" t="s">
        <v>17</v>
      </c>
      <c r="M257" t="s">
        <v>40</v>
      </c>
      <c r="N257" s="4" t="s">
        <v>1020</v>
      </c>
      <c r="O257" s="4" t="s">
        <v>1021</v>
      </c>
      <c r="P257" s="4" t="s">
        <v>233</v>
      </c>
    </row>
    <row r="258" spans="1:16" x14ac:dyDescent="0.35">
      <c r="A258" t="s">
        <v>1022</v>
      </c>
      <c r="B258" t="s">
        <v>1023</v>
      </c>
      <c r="C258" t="s">
        <v>16</v>
      </c>
      <c r="D258" s="6" t="e">
        <v>#N/A</v>
      </c>
      <c r="E258" s="6" t="e">
        <v>#N/A</v>
      </c>
      <c r="F258" s="6" t="e">
        <v>#N/A</v>
      </c>
      <c r="G258" s="6" t="e">
        <v>#N/A</v>
      </c>
      <c r="H258" s="6" t="e">
        <v>#N/A</v>
      </c>
      <c r="I258" s="6">
        <v>0</v>
      </c>
      <c r="J258" s="6">
        <v>2684000.0152587891</v>
      </c>
      <c r="K258" s="6">
        <v>-11.450389459495957</v>
      </c>
      <c r="L258" t="s">
        <v>17</v>
      </c>
      <c r="M258" t="s">
        <v>87</v>
      </c>
      <c r="N258" s="4" t="s">
        <v>1024</v>
      </c>
      <c r="O258" s="4" t="s">
        <v>1025</v>
      </c>
      <c r="P258" s="4" t="s">
        <v>233</v>
      </c>
    </row>
    <row r="259" spans="1:16" x14ac:dyDescent="0.35">
      <c r="A259" t="s">
        <v>1026</v>
      </c>
      <c r="B259" t="s">
        <v>1027</v>
      </c>
      <c r="C259" t="s">
        <v>16</v>
      </c>
      <c r="D259" s="6">
        <v>10404852.222360492</v>
      </c>
      <c r="E259" s="6">
        <v>10852.222360491753</v>
      </c>
      <c r="F259" s="6">
        <v>0.61100000143051147</v>
      </c>
      <c r="G259" s="6">
        <v>0.61500000953674316</v>
      </c>
      <c r="H259" s="6" t="e">
        <v>#N/A</v>
      </c>
      <c r="I259" s="6">
        <v>-0.44365241432629854</v>
      </c>
      <c r="J259" s="6">
        <v>281000</v>
      </c>
      <c r="K259" s="6">
        <v>53.507959235239611</v>
      </c>
      <c r="L259" t="s">
        <v>17</v>
      </c>
      <c r="M259" t="s">
        <v>87</v>
      </c>
      <c r="N259" s="4" t="s">
        <v>1028</v>
      </c>
      <c r="O259" s="4" t="s">
        <v>1029</v>
      </c>
      <c r="P259" s="4" t="s">
        <v>233</v>
      </c>
    </row>
    <row r="260" spans="1:16" x14ac:dyDescent="0.35">
      <c r="A260" t="s">
        <v>1030</v>
      </c>
      <c r="B260" t="s">
        <v>1031</v>
      </c>
      <c r="C260" t="s">
        <v>16</v>
      </c>
      <c r="D260" s="6">
        <v>8946978.0537672043</v>
      </c>
      <c r="E260" s="6">
        <v>-8809295.9462327994</v>
      </c>
      <c r="F260" s="6">
        <v>4.380000114440918</v>
      </c>
      <c r="G260" s="6">
        <v>4.369999885559082</v>
      </c>
      <c r="H260" s="6" t="e">
        <v>#N/A</v>
      </c>
      <c r="I260" s="6">
        <v>0.29113125723776445</v>
      </c>
      <c r="J260" s="6">
        <v>3767764</v>
      </c>
      <c r="K260" s="6">
        <v>39.246892909347835</v>
      </c>
      <c r="L260" t="s">
        <v>17</v>
      </c>
      <c r="M260" t="s">
        <v>27</v>
      </c>
      <c r="N260" s="4" t="s">
        <v>1032</v>
      </c>
      <c r="O260" s="4" t="s">
        <v>1033</v>
      </c>
      <c r="P260" s="4" t="s">
        <v>233</v>
      </c>
    </row>
    <row r="261" spans="1:16" x14ac:dyDescent="0.35">
      <c r="A261" t="s">
        <v>1034</v>
      </c>
      <c r="B261" t="s">
        <v>1035</v>
      </c>
      <c r="C261" t="s">
        <v>16</v>
      </c>
      <c r="D261" s="6">
        <v>30577500.99924089</v>
      </c>
      <c r="E261" s="6">
        <v>34698500.99924089</v>
      </c>
      <c r="F261" s="6">
        <v>4.369999885559082</v>
      </c>
      <c r="G261" s="6">
        <v>4.3000001907348633</v>
      </c>
      <c r="H261" s="6" t="e">
        <v>#N/A</v>
      </c>
      <c r="I261" s="6">
        <v>-0.31647535203454635</v>
      </c>
      <c r="J261" s="6">
        <v>678000</v>
      </c>
      <c r="K261" s="6">
        <v>-128.54972027983922</v>
      </c>
      <c r="L261" t="s">
        <v>17</v>
      </c>
      <c r="M261" t="s">
        <v>18</v>
      </c>
      <c r="N261" s="4" t="s">
        <v>1036</v>
      </c>
      <c r="O261" s="4" t="s">
        <v>1037</v>
      </c>
      <c r="P261" s="4" t="s">
        <v>233</v>
      </c>
    </row>
    <row r="262" spans="1:16" x14ac:dyDescent="0.35">
      <c r="A262" t="s">
        <v>1038</v>
      </c>
      <c r="B262" t="s">
        <v>1039</v>
      </c>
      <c r="C262" t="s">
        <v>16</v>
      </c>
      <c r="D262" s="6">
        <v>7141.6037999999999</v>
      </c>
      <c r="E262" s="6">
        <v>6980324.6037999997</v>
      </c>
      <c r="F262" s="6">
        <v>1E-4</v>
      </c>
      <c r="G262" s="6">
        <v>1E-4</v>
      </c>
      <c r="H262" s="6" t="e">
        <v>#N/A</v>
      </c>
      <c r="I262" s="6">
        <v>-0.83251541328324941</v>
      </c>
      <c r="J262" s="6">
        <v>3687656</v>
      </c>
      <c r="K262" s="6">
        <v>-130.8600877637187</v>
      </c>
      <c r="L262" t="s">
        <v>17</v>
      </c>
      <c r="M262" t="s">
        <v>18</v>
      </c>
      <c r="N262" s="4" t="s">
        <v>1040</v>
      </c>
      <c r="O262" s="4" t="s">
        <v>1041</v>
      </c>
      <c r="P262" s="4" t="s">
        <v>233</v>
      </c>
    </row>
    <row r="263" spans="1:16" x14ac:dyDescent="0.35">
      <c r="A263" t="s">
        <v>1042</v>
      </c>
      <c r="B263" t="s">
        <v>1043</v>
      </c>
      <c r="C263" t="s">
        <v>16</v>
      </c>
      <c r="D263" s="6">
        <v>9145.5104248970729</v>
      </c>
      <c r="E263" s="6" t="e">
        <v>#N/A</v>
      </c>
      <c r="F263" s="6">
        <v>1.0400000028312206E-2</v>
      </c>
      <c r="G263" s="6">
        <v>1.0400000028312206E-2</v>
      </c>
      <c r="H263" s="6" t="e">
        <v>#N/A</v>
      </c>
      <c r="I263" s="6">
        <v>1.6595299439560662</v>
      </c>
      <c r="J263" s="6">
        <v>371482</v>
      </c>
      <c r="K263" s="6">
        <v>65.081967917251674</v>
      </c>
      <c r="L263" t="s">
        <v>17</v>
      </c>
      <c r="M263" t="s">
        <v>87</v>
      </c>
      <c r="N263" s="4" t="s">
        <v>1044</v>
      </c>
      <c r="O263" s="4" t="s">
        <v>1045</v>
      </c>
      <c r="P263" s="4" t="s">
        <v>233</v>
      </c>
    </row>
    <row r="264" spans="1:16" x14ac:dyDescent="0.35">
      <c r="A264" t="s">
        <v>1046</v>
      </c>
      <c r="B264" t="s">
        <v>1047</v>
      </c>
      <c r="C264" t="s">
        <v>16</v>
      </c>
      <c r="D264" s="6">
        <v>452970667.75488806</v>
      </c>
      <c r="E264" s="6">
        <v>13101970667.754889</v>
      </c>
      <c r="F264" s="6">
        <v>3.2599999904632568</v>
      </c>
      <c r="G264" s="6">
        <v>3.4000000953674316</v>
      </c>
      <c r="H264" s="6" t="e">
        <v>#N/A</v>
      </c>
      <c r="I264" s="6">
        <v>-0.2101434264390275</v>
      </c>
      <c r="J264" s="6">
        <v>12551000000</v>
      </c>
      <c r="K264" s="6" t="e">
        <v>#N/A</v>
      </c>
      <c r="L264" t="s">
        <v>17</v>
      </c>
      <c r="M264" t="s">
        <v>40</v>
      </c>
      <c r="N264" s="4" t="s">
        <v>1048</v>
      </c>
      <c r="O264" s="4" t="s">
        <v>1049</v>
      </c>
      <c r="P264" s="4" t="s">
        <v>233</v>
      </c>
    </row>
    <row r="265" spans="1:16" x14ac:dyDescent="0.35">
      <c r="A265" t="s">
        <v>1050</v>
      </c>
      <c r="B265" t="s">
        <v>1051</v>
      </c>
      <c r="C265" t="s">
        <v>16</v>
      </c>
      <c r="D265" s="6">
        <v>3.3650999149904237</v>
      </c>
      <c r="E265" s="6">
        <v>1908918.4079771123</v>
      </c>
      <c r="F265" s="6">
        <v>9.9999997473787516E-5</v>
      </c>
      <c r="G265" s="6">
        <v>1.9999999494757503E-4</v>
      </c>
      <c r="H265" s="6">
        <v>8.6206895470279783E-10</v>
      </c>
      <c r="I265" s="6">
        <v>-0.66566461427263435</v>
      </c>
      <c r="J265" s="6">
        <v>0</v>
      </c>
      <c r="K265" s="6" t="e">
        <v>#N/A</v>
      </c>
      <c r="L265" t="s">
        <v>17</v>
      </c>
      <c r="M265" t="s">
        <v>40</v>
      </c>
      <c r="N265" s="4" t="s">
        <v>1052</v>
      </c>
      <c r="O265" s="4" t="s">
        <v>1053</v>
      </c>
      <c r="P265" s="4" t="s">
        <v>233</v>
      </c>
    </row>
    <row r="266" spans="1:16" x14ac:dyDescent="0.35">
      <c r="A266" t="s">
        <v>1054</v>
      </c>
      <c r="B266" t="s">
        <v>1055</v>
      </c>
      <c r="C266" t="s">
        <v>16</v>
      </c>
      <c r="D266" s="6" t="e">
        <v>#N/A</v>
      </c>
      <c r="E266" s="6" t="e">
        <v>#N/A</v>
      </c>
      <c r="F266" s="6" t="e">
        <v>#N/A</v>
      </c>
      <c r="G266" s="6" t="e">
        <v>#N/A</v>
      </c>
      <c r="H266" s="6" t="e">
        <v>#N/A</v>
      </c>
      <c r="I266" s="6">
        <v>0</v>
      </c>
      <c r="J266" s="6">
        <v>1186678.9869964123</v>
      </c>
      <c r="K266" s="6">
        <v>-173.00000102445486</v>
      </c>
      <c r="L266" t="s">
        <v>17</v>
      </c>
      <c r="M266" t="s">
        <v>18</v>
      </c>
      <c r="N266" s="4" t="s">
        <v>1056</v>
      </c>
      <c r="O266" s="4" t="s">
        <v>1057</v>
      </c>
      <c r="P266" s="4" t="s">
        <v>233</v>
      </c>
    </row>
    <row r="267" spans="1:16" x14ac:dyDescent="0.35">
      <c r="A267" t="s">
        <v>1058</v>
      </c>
      <c r="B267" t="s">
        <v>1059</v>
      </c>
      <c r="C267" t="s">
        <v>16</v>
      </c>
      <c r="D267" s="6">
        <v>1086719052.3773212</v>
      </c>
      <c r="E267" s="6">
        <v>1098717052.3773212</v>
      </c>
      <c r="F267" s="6">
        <v>11.619999885559082</v>
      </c>
      <c r="G267" s="6">
        <v>11.359999656677246</v>
      </c>
      <c r="H267" s="6" t="e">
        <v>#N/A</v>
      </c>
      <c r="I267" s="6">
        <v>1.8354152656732792E-2</v>
      </c>
      <c r="J267" s="6">
        <v>191335000</v>
      </c>
      <c r="K267" s="6">
        <v>97.828169170010696</v>
      </c>
      <c r="L267" t="s">
        <v>17</v>
      </c>
      <c r="M267" t="s">
        <v>18</v>
      </c>
      <c r="N267" s="4" t="s">
        <v>1060</v>
      </c>
      <c r="O267" s="4" t="s">
        <v>1061</v>
      </c>
      <c r="P267" s="4" t="s">
        <v>233</v>
      </c>
    </row>
    <row r="268" spans="1:16" x14ac:dyDescent="0.35">
      <c r="A268" t="s">
        <v>1062</v>
      </c>
      <c r="B268" t="s">
        <v>1063</v>
      </c>
      <c r="C268" t="s">
        <v>16</v>
      </c>
      <c r="D268" s="6">
        <v>3353.6766152790005</v>
      </c>
      <c r="E268" s="6">
        <v>-426690646.32338488</v>
      </c>
      <c r="F268" s="6">
        <v>9.9999997473787516E-5</v>
      </c>
      <c r="G268" s="6">
        <v>9.9999997473787516E-5</v>
      </c>
      <c r="H268" s="6" t="e">
        <v>#N/A</v>
      </c>
      <c r="I268" s="6">
        <v>-2.5193102604070816E-8</v>
      </c>
      <c r="J268" s="6" t="e">
        <v>#N/A</v>
      </c>
      <c r="K268" s="6" t="e">
        <v>#N/A</v>
      </c>
      <c r="L268" t="s">
        <v>17</v>
      </c>
      <c r="M268" t="s">
        <v>40</v>
      </c>
      <c r="N268" s="4" t="s">
        <v>1064</v>
      </c>
      <c r="O268" s="4" t="s">
        <v>1065</v>
      </c>
      <c r="P268" s="4" t="s">
        <v>233</v>
      </c>
    </row>
    <row r="269" spans="1:16" x14ac:dyDescent="0.35">
      <c r="A269" t="s">
        <v>1066</v>
      </c>
      <c r="B269" t="s">
        <v>1067</v>
      </c>
      <c r="C269" t="s">
        <v>16</v>
      </c>
      <c r="D269" s="6" t="e">
        <v>#N/A</v>
      </c>
      <c r="E269" s="6" t="e">
        <v>#N/A</v>
      </c>
      <c r="F269" s="6" t="e">
        <v>#N/A</v>
      </c>
      <c r="G269" s="6" t="e">
        <v>#N/A</v>
      </c>
      <c r="H269" s="6" t="e">
        <v>#N/A</v>
      </c>
      <c r="I269" s="6">
        <v>0</v>
      </c>
      <c r="J269" s="6" t="e">
        <v>#N/A</v>
      </c>
      <c r="K269" s="6" t="e">
        <v>#N/A</v>
      </c>
      <c r="L269" t="s">
        <v>17</v>
      </c>
      <c r="M269" t="s">
        <v>87</v>
      </c>
      <c r="N269" s="4" t="s">
        <v>1068</v>
      </c>
      <c r="O269" s="4" t="s">
        <v>1069</v>
      </c>
      <c r="P269" s="4" t="s">
        <v>233</v>
      </c>
    </row>
    <row r="270" spans="1:16" x14ac:dyDescent="0.35">
      <c r="A270" t="s">
        <v>1070</v>
      </c>
      <c r="B270" t="s">
        <v>1071</v>
      </c>
      <c r="C270" t="s">
        <v>16</v>
      </c>
      <c r="D270" s="6">
        <v>71259003.749999985</v>
      </c>
      <c r="E270" s="6">
        <v>41609318.705172159</v>
      </c>
      <c r="F270" s="6">
        <v>3.75</v>
      </c>
      <c r="G270" s="6">
        <v>3.75</v>
      </c>
      <c r="H270" s="6">
        <v>26.972506090486331</v>
      </c>
      <c r="I270" s="6">
        <v>-0.10260468588986271</v>
      </c>
      <c r="J270" s="6">
        <v>26929249.045367815</v>
      </c>
      <c r="K270" s="6" t="e">
        <v>#N/A</v>
      </c>
      <c r="L270" t="s">
        <v>17</v>
      </c>
      <c r="M270" t="s">
        <v>87</v>
      </c>
      <c r="N270" s="4" t="s">
        <v>233</v>
      </c>
      <c r="O270" s="4" t="s">
        <v>1072</v>
      </c>
      <c r="P270" s="4" t="s">
        <v>13096</v>
      </c>
    </row>
    <row r="271" spans="1:16" x14ac:dyDescent="0.35">
      <c r="A271" t="s">
        <v>1073</v>
      </c>
      <c r="B271" t="s">
        <v>1074</v>
      </c>
      <c r="C271" t="s">
        <v>16</v>
      </c>
      <c r="D271" s="6">
        <v>759685.22139999992</v>
      </c>
      <c r="E271" s="6">
        <v>10390747.2214</v>
      </c>
      <c r="F271" s="6">
        <v>1E-4</v>
      </c>
      <c r="G271" s="6">
        <v>1E-4</v>
      </c>
      <c r="H271" s="6" t="e">
        <v>#N/A</v>
      </c>
      <c r="I271" s="6">
        <v>-0.49905218039388211</v>
      </c>
      <c r="J271" s="6">
        <v>247767</v>
      </c>
      <c r="K271" s="6" t="e">
        <v>#N/A</v>
      </c>
      <c r="L271" t="s">
        <v>17</v>
      </c>
      <c r="M271" t="s">
        <v>18</v>
      </c>
      <c r="N271" s="4" t="s">
        <v>1075</v>
      </c>
      <c r="O271" s="4" t="s">
        <v>1076</v>
      </c>
      <c r="P271" s="4" t="s">
        <v>233</v>
      </c>
    </row>
    <row r="272" spans="1:16" x14ac:dyDescent="0.35">
      <c r="A272" t="s">
        <v>1077</v>
      </c>
      <c r="B272" t="s">
        <v>1078</v>
      </c>
      <c r="C272" t="s">
        <v>16</v>
      </c>
      <c r="D272" s="6">
        <v>99570811.583337545</v>
      </c>
      <c r="E272" s="6">
        <v>13589811.583337545</v>
      </c>
      <c r="F272" s="6">
        <v>2.4700000286102295</v>
      </c>
      <c r="G272" s="6">
        <v>2.6400001049041748</v>
      </c>
      <c r="H272" s="6" t="e">
        <v>#N/A</v>
      </c>
      <c r="I272" s="6">
        <v>-0.22028880836194298</v>
      </c>
      <c r="J272" s="6">
        <v>0</v>
      </c>
      <c r="K272" s="6" t="e">
        <v>#N/A</v>
      </c>
      <c r="L272" t="s">
        <v>17</v>
      </c>
      <c r="M272" t="s">
        <v>87</v>
      </c>
      <c r="N272" s="4" t="s">
        <v>1079</v>
      </c>
      <c r="O272" s="4" t="s">
        <v>1080</v>
      </c>
      <c r="P272" s="4" t="s">
        <v>233</v>
      </c>
    </row>
    <row r="273" spans="1:16" x14ac:dyDescent="0.35">
      <c r="A273" t="s">
        <v>1081</v>
      </c>
      <c r="B273" t="s">
        <v>1082</v>
      </c>
      <c r="C273" t="s">
        <v>16</v>
      </c>
      <c r="D273" s="6">
        <v>433394040.34107447</v>
      </c>
      <c r="E273" s="6">
        <v>202812040.34107447</v>
      </c>
      <c r="F273" s="6">
        <v>6.3499999046325684</v>
      </c>
      <c r="G273" s="6">
        <v>6.190000057220459</v>
      </c>
      <c r="H273" s="6" t="e">
        <v>#N/A</v>
      </c>
      <c r="I273" s="6">
        <v>-0.78536426974604989</v>
      </c>
      <c r="J273" s="6">
        <v>45713000</v>
      </c>
      <c r="K273" s="6">
        <v>24.812030075187973</v>
      </c>
      <c r="L273" t="s">
        <v>17</v>
      </c>
      <c r="M273" t="s">
        <v>87</v>
      </c>
      <c r="N273" s="4" t="s">
        <v>1083</v>
      </c>
      <c r="O273" s="4" t="s">
        <v>1084</v>
      </c>
      <c r="P273" s="4" t="s">
        <v>233</v>
      </c>
    </row>
    <row r="274" spans="1:16" x14ac:dyDescent="0.35">
      <c r="A274" t="s">
        <v>1085</v>
      </c>
      <c r="B274" t="s">
        <v>1086</v>
      </c>
      <c r="C274" t="s">
        <v>16</v>
      </c>
      <c r="D274" s="6">
        <v>423068984.50771135</v>
      </c>
      <c r="E274" s="6">
        <v>378847984.50771135</v>
      </c>
      <c r="F274" s="6">
        <v>10.454999923706055</v>
      </c>
      <c r="G274" s="6">
        <v>10.640000343322754</v>
      </c>
      <c r="H274" s="6" t="e">
        <v>#N/A</v>
      </c>
      <c r="I274" s="6">
        <v>0.67848489435421744</v>
      </c>
      <c r="J274" s="6">
        <v>286498000</v>
      </c>
      <c r="K274" s="6">
        <v>-1491.4285714285713</v>
      </c>
      <c r="L274" t="s">
        <v>17</v>
      </c>
      <c r="M274" t="s">
        <v>27</v>
      </c>
      <c r="N274" s="4" t="s">
        <v>1087</v>
      </c>
      <c r="O274" s="4" t="s">
        <v>1088</v>
      </c>
      <c r="P274" s="4" t="s">
        <v>233</v>
      </c>
    </row>
    <row r="275" spans="1:16" x14ac:dyDescent="0.35">
      <c r="A275" t="s">
        <v>1089</v>
      </c>
      <c r="B275" t="s">
        <v>1090</v>
      </c>
      <c r="C275" t="s">
        <v>16</v>
      </c>
      <c r="D275" s="6">
        <v>513124255.88873863</v>
      </c>
      <c r="E275" s="6">
        <v>1039224255.8887386</v>
      </c>
      <c r="F275" s="6">
        <v>9.4700002670288086</v>
      </c>
      <c r="G275" s="6">
        <v>9.3999996185302734</v>
      </c>
      <c r="H275" s="6" t="e">
        <v>#N/A</v>
      </c>
      <c r="I275" s="6">
        <v>4.2372985222468529</v>
      </c>
      <c r="J275" s="6">
        <v>1125500000</v>
      </c>
      <c r="K275" s="6">
        <v>74.424552429667514</v>
      </c>
      <c r="L275" t="s">
        <v>17</v>
      </c>
      <c r="M275" t="s">
        <v>18</v>
      </c>
      <c r="N275" s="4" t="s">
        <v>1091</v>
      </c>
      <c r="O275" s="4" t="s">
        <v>1092</v>
      </c>
      <c r="P275" s="4" t="s">
        <v>233</v>
      </c>
    </row>
    <row r="276" spans="1:16" x14ac:dyDescent="0.35">
      <c r="A276" t="s">
        <v>13472</v>
      </c>
      <c r="B276" t="s">
        <v>13464</v>
      </c>
      <c r="C276" t="s">
        <v>16</v>
      </c>
      <c r="D276" s="6">
        <v>203091.61262842265</v>
      </c>
      <c r="E276" s="6" t="e">
        <v>#N/A</v>
      </c>
      <c r="F276" s="6">
        <v>3.3900000154972076E-2</v>
      </c>
      <c r="G276" s="6">
        <v>1.9899999722838402E-2</v>
      </c>
      <c r="H276" s="6" t="e">
        <v>#N/A</v>
      </c>
      <c r="I276" s="6">
        <v>1.5615720322759286</v>
      </c>
      <c r="J276" s="6" t="e">
        <v>#N/A</v>
      </c>
      <c r="K276" s="6" t="e">
        <v>#N/A</v>
      </c>
      <c r="L276" t="s">
        <v>17</v>
      </c>
      <c r="M276" t="s">
        <v>40</v>
      </c>
      <c r="N276" s="4" t="s">
        <v>13473</v>
      </c>
      <c r="O276" s="4" t="s">
        <v>13474</v>
      </c>
      <c r="P276" s="4" t="s">
        <v>233</v>
      </c>
    </row>
    <row r="277" spans="1:16" x14ac:dyDescent="0.35">
      <c r="A277" t="s">
        <v>1093</v>
      </c>
      <c r="B277" t="s">
        <v>1094</v>
      </c>
      <c r="C277" t="s">
        <v>16</v>
      </c>
      <c r="D277" s="6" t="e">
        <v>#N/A</v>
      </c>
      <c r="E277" s="6" t="e">
        <v>#N/A</v>
      </c>
      <c r="F277" s="6" t="e">
        <v>#N/A</v>
      </c>
      <c r="G277" s="6" t="e">
        <v>#N/A</v>
      </c>
      <c r="H277" s="6" t="e">
        <v>#N/A</v>
      </c>
      <c r="I277" s="6">
        <v>0</v>
      </c>
      <c r="J277" s="6" t="e">
        <v>#N/A</v>
      </c>
      <c r="K277" s="6">
        <v>26.229507373373075</v>
      </c>
      <c r="L277" t="s">
        <v>17</v>
      </c>
      <c r="M277" t="s">
        <v>27</v>
      </c>
      <c r="N277" s="4" t="s">
        <v>1095</v>
      </c>
      <c r="O277" s="4" t="s">
        <v>1096</v>
      </c>
      <c r="P277" s="4" t="s">
        <v>233</v>
      </c>
    </row>
    <row r="278" spans="1:16" x14ac:dyDescent="0.35">
      <c r="A278" t="s">
        <v>1097</v>
      </c>
      <c r="B278" t="s">
        <v>1098</v>
      </c>
      <c r="C278" t="s">
        <v>16</v>
      </c>
      <c r="D278" s="6">
        <v>1217356.2667131275</v>
      </c>
      <c r="E278" s="6">
        <v>5717519.2667131275</v>
      </c>
      <c r="F278" s="6">
        <v>6.1700001358985901E-2</v>
      </c>
      <c r="G278" s="6">
        <v>5.9999998658895493E-2</v>
      </c>
      <c r="H278" s="6" t="e">
        <v>#N/A</v>
      </c>
      <c r="I278" s="6">
        <v>-0.91276166833318584</v>
      </c>
      <c r="J278" s="6">
        <v>13294357</v>
      </c>
      <c r="K278" s="6">
        <v>93.15384615384616</v>
      </c>
      <c r="L278" t="s">
        <v>17</v>
      </c>
      <c r="M278" t="s">
        <v>40</v>
      </c>
      <c r="N278" s="4" t="s">
        <v>1099</v>
      </c>
      <c r="O278" s="4" t="s">
        <v>1100</v>
      </c>
      <c r="P278" s="4" t="s">
        <v>233</v>
      </c>
    </row>
    <row r="279" spans="1:16" x14ac:dyDescent="0.35">
      <c r="A279" t="s">
        <v>1101</v>
      </c>
      <c r="B279" t="s">
        <v>1102</v>
      </c>
      <c r="C279" t="s">
        <v>16</v>
      </c>
      <c r="D279" s="6">
        <v>2516.2451000000005</v>
      </c>
      <c r="E279" s="6">
        <v>3056844.2450999999</v>
      </c>
      <c r="F279" s="6">
        <v>9.9999999747524271E-7</v>
      </c>
      <c r="G279" s="6">
        <v>9.9999999747524271E-7</v>
      </c>
      <c r="H279" s="6" t="e">
        <v>#N/A</v>
      </c>
      <c r="I279" s="6">
        <v>0</v>
      </c>
      <c r="J279" s="6">
        <v>1942189</v>
      </c>
      <c r="K279" s="6">
        <v>-10.472972972972943</v>
      </c>
      <c r="L279" t="s">
        <v>17</v>
      </c>
      <c r="M279" t="s">
        <v>32</v>
      </c>
      <c r="N279" s="4" t="s">
        <v>1103</v>
      </c>
      <c r="O279" s="4" t="s">
        <v>1104</v>
      </c>
      <c r="P279" s="4" t="s">
        <v>233</v>
      </c>
    </row>
    <row r="280" spans="1:16" x14ac:dyDescent="0.35">
      <c r="A280" t="s">
        <v>1105</v>
      </c>
      <c r="B280" t="s">
        <v>1106</v>
      </c>
      <c r="C280" t="s">
        <v>16</v>
      </c>
      <c r="D280" s="6">
        <v>20085799.657940865</v>
      </c>
      <c r="E280" s="6">
        <v>16219519.657940865</v>
      </c>
      <c r="F280" s="6">
        <v>1.3999999761581421</v>
      </c>
      <c r="G280" s="6">
        <v>1.3700000047683716</v>
      </c>
      <c r="H280" s="6" t="e">
        <v>#N/A</v>
      </c>
      <c r="I280" s="6">
        <v>0.2604616187006652</v>
      </c>
      <c r="J280" s="6">
        <v>0</v>
      </c>
      <c r="K280" s="6">
        <v>1.7432720112575701</v>
      </c>
      <c r="L280" t="s">
        <v>17</v>
      </c>
      <c r="M280" t="s">
        <v>18</v>
      </c>
      <c r="N280" s="4" t="s">
        <v>1107</v>
      </c>
      <c r="O280" s="4" t="s">
        <v>1108</v>
      </c>
      <c r="P280" s="4" t="s">
        <v>233</v>
      </c>
    </row>
    <row r="281" spans="1:16" x14ac:dyDescent="0.35">
      <c r="A281" t="s">
        <v>1109</v>
      </c>
      <c r="B281" t="s">
        <v>1110</v>
      </c>
      <c r="C281" t="s">
        <v>16</v>
      </c>
      <c r="D281" s="6" t="e">
        <v>#N/A</v>
      </c>
      <c r="E281" s="6" t="e">
        <v>#N/A</v>
      </c>
      <c r="F281" s="6">
        <v>0.499</v>
      </c>
      <c r="G281" s="6">
        <v>0.499</v>
      </c>
      <c r="H281" s="6" t="e">
        <v>#N/A</v>
      </c>
      <c r="I281" s="6">
        <v>-0.50005134134508333</v>
      </c>
      <c r="J281" s="6" t="e">
        <v>#N/A</v>
      </c>
      <c r="K281" s="6" t="e">
        <v>#N/A</v>
      </c>
      <c r="L281" t="s">
        <v>17</v>
      </c>
      <c r="M281" t="s">
        <v>87</v>
      </c>
      <c r="N281" s="4" t="s">
        <v>1111</v>
      </c>
      <c r="O281" s="4" t="s">
        <v>1112</v>
      </c>
      <c r="P281" s="4" t="s">
        <v>233</v>
      </c>
    </row>
    <row r="282" spans="1:16" x14ac:dyDescent="0.35">
      <c r="A282" t="s">
        <v>1113</v>
      </c>
      <c r="B282" t="s">
        <v>1114</v>
      </c>
      <c r="C282" t="s">
        <v>16</v>
      </c>
      <c r="D282" s="6">
        <v>18725055.427574739</v>
      </c>
      <c r="E282" s="6">
        <v>38408977.427574739</v>
      </c>
      <c r="F282" s="6">
        <v>3.2069999724626541E-2</v>
      </c>
      <c r="G282" s="6">
        <v>3.2069999724626541E-2</v>
      </c>
      <c r="H282" s="6" t="e">
        <v>#N/A</v>
      </c>
      <c r="I282" s="6">
        <v>-0.50021779527397614</v>
      </c>
      <c r="J282" s="6">
        <v>7876119</v>
      </c>
      <c r="K282" s="6">
        <v>65.309144761199562</v>
      </c>
      <c r="L282" t="s">
        <v>17</v>
      </c>
      <c r="M282" t="s">
        <v>32</v>
      </c>
      <c r="N282" s="4" t="s">
        <v>1115</v>
      </c>
      <c r="O282" s="4" t="s">
        <v>1116</v>
      </c>
      <c r="P282" s="4" t="s">
        <v>233</v>
      </c>
    </row>
    <row r="283" spans="1:16" x14ac:dyDescent="0.35">
      <c r="A283" t="s">
        <v>1117</v>
      </c>
      <c r="B283" t="s">
        <v>1118</v>
      </c>
      <c r="C283" t="s">
        <v>16</v>
      </c>
      <c r="D283" s="6">
        <v>3157.4695000000002</v>
      </c>
      <c r="E283" s="6">
        <v>158628.46950000001</v>
      </c>
      <c r="F283" s="6">
        <v>1E-4</v>
      </c>
      <c r="G283" s="6">
        <v>1E-4</v>
      </c>
      <c r="H283" s="6" t="e">
        <v>#N/A</v>
      </c>
      <c r="I283" s="6">
        <v>-0.93283823434469604</v>
      </c>
      <c r="J283" s="6">
        <v>0</v>
      </c>
      <c r="K283" s="6">
        <v>-956.82744565217388</v>
      </c>
      <c r="L283" t="s">
        <v>17</v>
      </c>
      <c r="M283" t="s">
        <v>87</v>
      </c>
      <c r="N283" s="4" t="s">
        <v>1119</v>
      </c>
      <c r="O283" s="4" t="s">
        <v>1120</v>
      </c>
      <c r="P283" s="4" t="s">
        <v>233</v>
      </c>
    </row>
    <row r="284" spans="1:16" x14ac:dyDescent="0.35">
      <c r="A284" t="s">
        <v>1121</v>
      </c>
      <c r="B284" t="s">
        <v>1122</v>
      </c>
      <c r="C284" t="s">
        <v>16</v>
      </c>
      <c r="D284" s="6">
        <v>5400</v>
      </c>
      <c r="E284" s="6">
        <v>41069064</v>
      </c>
      <c r="F284" s="6" t="e">
        <v>#N/A</v>
      </c>
      <c r="G284" s="6" t="e">
        <v>#N/A</v>
      </c>
      <c r="H284" s="6" t="e">
        <v>#N/A</v>
      </c>
      <c r="I284" s="6">
        <v>0</v>
      </c>
      <c r="J284" s="6">
        <v>40551763.394805908</v>
      </c>
      <c r="K284" s="6" t="e">
        <v>#N/A</v>
      </c>
      <c r="L284" t="s">
        <v>17</v>
      </c>
      <c r="M284" t="s">
        <v>87</v>
      </c>
      <c r="N284" s="4" t="s">
        <v>1123</v>
      </c>
      <c r="O284" s="4" t="s">
        <v>1124</v>
      </c>
      <c r="P284" s="4" t="s">
        <v>233</v>
      </c>
    </row>
    <row r="285" spans="1:16" x14ac:dyDescent="0.35">
      <c r="A285" t="s">
        <v>1125</v>
      </c>
      <c r="B285" t="s">
        <v>1126</v>
      </c>
      <c r="C285" t="s">
        <v>16</v>
      </c>
      <c r="D285" s="6">
        <v>7.0400003343820581</v>
      </c>
      <c r="E285" s="6">
        <v>2121007.0400003344</v>
      </c>
      <c r="F285" s="6">
        <v>1.0000000474974513E-3</v>
      </c>
      <c r="G285" s="6">
        <v>1.0999999940395355E-3</v>
      </c>
      <c r="H285" s="6" t="e">
        <v>#N/A</v>
      </c>
      <c r="I285" s="6">
        <v>-0.4357357533860895</v>
      </c>
      <c r="J285" s="6">
        <v>838000</v>
      </c>
      <c r="K285" s="6">
        <v>42.389006342494717</v>
      </c>
      <c r="L285" t="s">
        <v>17</v>
      </c>
      <c r="M285" t="s">
        <v>32</v>
      </c>
      <c r="N285" s="4" t="s">
        <v>1127</v>
      </c>
      <c r="O285" s="4" t="s">
        <v>1128</v>
      </c>
      <c r="P285" s="4" t="s">
        <v>233</v>
      </c>
    </row>
    <row r="286" spans="1:16" x14ac:dyDescent="0.35">
      <c r="A286" t="s">
        <v>1129</v>
      </c>
      <c r="B286" t="s">
        <v>1130</v>
      </c>
      <c r="C286" t="s">
        <v>16</v>
      </c>
      <c r="D286" s="6">
        <v>8187970088.0742188</v>
      </c>
      <c r="E286" s="6">
        <v>11771855088.074219</v>
      </c>
      <c r="F286" s="6">
        <v>135.44000244140625</v>
      </c>
      <c r="G286" s="6">
        <v>129</v>
      </c>
      <c r="H286" s="6">
        <v>13.947805964170518</v>
      </c>
      <c r="I286" s="6">
        <v>8.9891061387115334E-2</v>
      </c>
      <c r="J286" s="6">
        <v>3992712000</v>
      </c>
      <c r="K286" s="6">
        <v>505.69105691056905</v>
      </c>
      <c r="L286" t="s">
        <v>17</v>
      </c>
      <c r="M286" t="s">
        <v>87</v>
      </c>
      <c r="N286" s="4" t="s">
        <v>233</v>
      </c>
      <c r="O286" s="4" t="s">
        <v>1131</v>
      </c>
      <c r="P286" s="4" t="s">
        <v>13097</v>
      </c>
    </row>
    <row r="287" spans="1:16" x14ac:dyDescent="0.35">
      <c r="A287" t="s">
        <v>1132</v>
      </c>
      <c r="B287" t="s">
        <v>1133</v>
      </c>
      <c r="C287" t="s">
        <v>16</v>
      </c>
      <c r="D287" s="6">
        <v>76291097.105535984</v>
      </c>
      <c r="E287" s="6">
        <v>-19492902.894464016</v>
      </c>
      <c r="F287" s="6">
        <v>2.7400000095367432</v>
      </c>
      <c r="G287" s="6">
        <v>2.6099998950958252</v>
      </c>
      <c r="H287" s="6" t="e">
        <v>#N/A</v>
      </c>
      <c r="I287" s="6">
        <v>-0.46704305734649465</v>
      </c>
      <c r="J287" s="6">
        <v>875700</v>
      </c>
      <c r="K287" s="6">
        <v>72.951122661122682</v>
      </c>
      <c r="L287" t="s">
        <v>17</v>
      </c>
      <c r="M287" t="s">
        <v>18</v>
      </c>
      <c r="N287" s="4" t="s">
        <v>1134</v>
      </c>
      <c r="O287" s="4" t="s">
        <v>1135</v>
      </c>
      <c r="P287" s="4" t="s">
        <v>233</v>
      </c>
    </row>
    <row r="288" spans="1:16" x14ac:dyDescent="0.35">
      <c r="A288" t="s">
        <v>1136</v>
      </c>
      <c r="B288" t="s">
        <v>1137</v>
      </c>
      <c r="C288" t="s">
        <v>16</v>
      </c>
      <c r="D288" s="6">
        <v>47171653.842651851</v>
      </c>
      <c r="E288" s="6">
        <v>39129653.842651851</v>
      </c>
      <c r="F288" s="6">
        <v>1.1599999666213989</v>
      </c>
      <c r="G288" s="6">
        <v>1.1799999475479126</v>
      </c>
      <c r="H288" s="6" t="e">
        <v>#N/A</v>
      </c>
      <c r="I288" s="6">
        <v>-0.17100276258892333</v>
      </c>
      <c r="J288" s="6">
        <v>0</v>
      </c>
      <c r="K288" s="6">
        <v>39.0625</v>
      </c>
      <c r="L288" t="s">
        <v>17</v>
      </c>
      <c r="M288" t="s">
        <v>27</v>
      </c>
      <c r="N288" s="4" t="s">
        <v>1138</v>
      </c>
      <c r="O288" s="4" t="s">
        <v>1139</v>
      </c>
      <c r="P288" s="4" t="s">
        <v>233</v>
      </c>
    </row>
    <row r="289" spans="1:16" x14ac:dyDescent="0.35">
      <c r="A289" t="s">
        <v>1140</v>
      </c>
      <c r="B289" t="s">
        <v>1141</v>
      </c>
      <c r="C289" t="s">
        <v>16</v>
      </c>
      <c r="D289" s="6">
        <v>740058515.07529163</v>
      </c>
      <c r="E289" s="6">
        <v>619283515.07529163</v>
      </c>
      <c r="F289" s="6">
        <v>8.6999998092651367</v>
      </c>
      <c r="G289" s="6">
        <v>8.0500001907348633</v>
      </c>
      <c r="H289" s="6" t="e">
        <v>#N/A</v>
      </c>
      <c r="I289" s="6">
        <v>0.41558954023565331</v>
      </c>
      <c r="J289" s="6">
        <v>0</v>
      </c>
      <c r="K289" s="6">
        <v>-1.8518518518518534</v>
      </c>
      <c r="L289" t="s">
        <v>17</v>
      </c>
      <c r="M289" t="s">
        <v>18</v>
      </c>
      <c r="N289" s="4" t="s">
        <v>1142</v>
      </c>
      <c r="O289" s="4" t="s">
        <v>1143</v>
      </c>
      <c r="P289" s="4" t="s">
        <v>233</v>
      </c>
    </row>
    <row r="290" spans="1:16" x14ac:dyDescent="0.35">
      <c r="A290" t="s">
        <v>1144</v>
      </c>
      <c r="B290" t="s">
        <v>1145</v>
      </c>
      <c r="C290" t="s">
        <v>16</v>
      </c>
      <c r="D290" s="6" t="e">
        <v>#N/A</v>
      </c>
      <c r="E290" s="6" t="e">
        <v>#N/A</v>
      </c>
      <c r="F290" s="6" t="e">
        <v>#N/A</v>
      </c>
      <c r="G290" s="6" t="e">
        <v>#N/A</v>
      </c>
      <c r="H290" s="6" t="e">
        <v>#N/A</v>
      </c>
      <c r="I290" s="6">
        <v>0</v>
      </c>
      <c r="J290" s="6">
        <v>0</v>
      </c>
      <c r="K290" s="6">
        <v>-18.454935622317592</v>
      </c>
      <c r="L290" t="s">
        <v>17</v>
      </c>
      <c r="M290" t="s">
        <v>87</v>
      </c>
      <c r="N290" s="4" t="s">
        <v>1146</v>
      </c>
      <c r="O290" s="4" t="s">
        <v>1147</v>
      </c>
      <c r="P290" s="4" t="s">
        <v>233</v>
      </c>
    </row>
    <row r="291" spans="1:16" x14ac:dyDescent="0.35">
      <c r="A291" t="s">
        <v>1148</v>
      </c>
      <c r="B291" t="s">
        <v>1149</v>
      </c>
      <c r="C291" t="s">
        <v>16</v>
      </c>
      <c r="D291" s="6">
        <v>4030682.6667313278</v>
      </c>
      <c r="E291" s="6">
        <v>2998748.6667313278</v>
      </c>
      <c r="F291" s="6">
        <v>0.29399999976158142</v>
      </c>
      <c r="G291" s="6">
        <v>0.28999999165534973</v>
      </c>
      <c r="H291" s="6" t="e">
        <v>#N/A</v>
      </c>
      <c r="I291" s="6">
        <v>-0.92105274090416822</v>
      </c>
      <c r="J291" s="6">
        <v>0</v>
      </c>
      <c r="K291" s="6">
        <v>-85.732148067770751</v>
      </c>
      <c r="L291" t="s">
        <v>17</v>
      </c>
      <c r="M291" t="s">
        <v>18</v>
      </c>
      <c r="N291" s="4" t="s">
        <v>1150</v>
      </c>
      <c r="O291" s="4" t="s">
        <v>1151</v>
      </c>
      <c r="P291" s="4" t="s">
        <v>233</v>
      </c>
    </row>
    <row r="292" spans="1:16" x14ac:dyDescent="0.35">
      <c r="A292" t="s">
        <v>1152</v>
      </c>
      <c r="B292" t="s">
        <v>1153</v>
      </c>
      <c r="C292" t="s">
        <v>16</v>
      </c>
      <c r="D292" s="6" t="e">
        <v>#N/A</v>
      </c>
      <c r="E292" s="6" t="e">
        <v>#N/A</v>
      </c>
      <c r="F292" s="6" t="e">
        <v>#N/A</v>
      </c>
      <c r="G292" s="6" t="e">
        <v>#N/A</v>
      </c>
      <c r="H292" s="6" t="e">
        <v>#N/A</v>
      </c>
      <c r="I292" s="6">
        <v>0</v>
      </c>
      <c r="J292" s="6">
        <v>0</v>
      </c>
      <c r="K292" s="6">
        <v>-17.647058630175241</v>
      </c>
      <c r="L292" t="s">
        <v>17</v>
      </c>
      <c r="M292" t="s">
        <v>27</v>
      </c>
      <c r="N292" s="4" t="s">
        <v>1154</v>
      </c>
      <c r="O292" s="4" t="s">
        <v>1155</v>
      </c>
      <c r="P292" s="4" t="s">
        <v>233</v>
      </c>
    </row>
    <row r="293" spans="1:16" x14ac:dyDescent="0.35">
      <c r="A293" t="s">
        <v>1156</v>
      </c>
      <c r="B293" t="s">
        <v>1157</v>
      </c>
      <c r="C293" t="s">
        <v>16</v>
      </c>
      <c r="D293" s="6">
        <v>13243356.696383476</v>
      </c>
      <c r="E293" s="6">
        <v>-5509697.3036165237</v>
      </c>
      <c r="F293" s="6">
        <v>0.2874000072479248</v>
      </c>
      <c r="G293" s="6">
        <v>0.28799998760223389</v>
      </c>
      <c r="H293" s="6" t="e">
        <v>#N/A</v>
      </c>
      <c r="I293" s="6">
        <v>-0.9173229828820717</v>
      </c>
      <c r="J293" s="6">
        <v>0</v>
      </c>
      <c r="K293" s="6">
        <v>48.726330908149087</v>
      </c>
      <c r="L293" t="s">
        <v>17</v>
      </c>
      <c r="M293" t="s">
        <v>18</v>
      </c>
      <c r="N293" s="4" t="s">
        <v>1158</v>
      </c>
      <c r="O293" s="4" t="s">
        <v>1159</v>
      </c>
      <c r="P293" s="4" t="s">
        <v>233</v>
      </c>
    </row>
    <row r="294" spans="1:16" x14ac:dyDescent="0.35">
      <c r="A294" t="s">
        <v>1160</v>
      </c>
      <c r="B294" t="s">
        <v>1161</v>
      </c>
      <c r="C294" t="s">
        <v>16</v>
      </c>
      <c r="D294" s="6" t="e">
        <v>#N/A</v>
      </c>
      <c r="E294" s="6" t="e">
        <v>#N/A</v>
      </c>
      <c r="F294" s="6" t="e">
        <v>#N/A</v>
      </c>
      <c r="G294" s="6" t="e">
        <v>#N/A</v>
      </c>
      <c r="H294" s="6" t="e">
        <v>#N/A</v>
      </c>
      <c r="I294" s="6">
        <v>4.4408920985006262E-16</v>
      </c>
      <c r="J294" s="6" t="e">
        <v>#N/A</v>
      </c>
      <c r="K294" s="6" t="e">
        <v>#N/A</v>
      </c>
      <c r="L294" t="s">
        <v>17</v>
      </c>
      <c r="M294" t="s">
        <v>87</v>
      </c>
      <c r="N294" s="4" t="s">
        <v>1162</v>
      </c>
      <c r="O294" s="4" t="s">
        <v>1163</v>
      </c>
      <c r="P294" s="4" t="s">
        <v>233</v>
      </c>
    </row>
    <row r="295" spans="1:16" x14ac:dyDescent="0.35">
      <c r="A295" t="s">
        <v>1164</v>
      </c>
      <c r="B295" t="s">
        <v>1165</v>
      </c>
      <c r="C295" t="s">
        <v>16</v>
      </c>
      <c r="D295" s="6">
        <v>29819078.270044331</v>
      </c>
      <c r="E295" s="6">
        <v>17188574.270044331</v>
      </c>
      <c r="F295" s="6">
        <v>0.91219997406005859</v>
      </c>
      <c r="G295" s="6">
        <v>0.9100000262260437</v>
      </c>
      <c r="H295" s="6" t="e">
        <v>#N/A</v>
      </c>
      <c r="I295" s="6">
        <v>-0.56045353700520506</v>
      </c>
      <c r="J295" s="6" t="e">
        <v>#N/A</v>
      </c>
      <c r="K295" s="6" t="e">
        <v>#N/A</v>
      </c>
      <c r="L295" t="s">
        <v>17</v>
      </c>
      <c r="M295" t="s">
        <v>18</v>
      </c>
      <c r="N295" s="4" t="s">
        <v>1166</v>
      </c>
      <c r="O295" s="4" t="s">
        <v>1167</v>
      </c>
      <c r="P295" s="4" t="s">
        <v>233</v>
      </c>
    </row>
    <row r="296" spans="1:16" x14ac:dyDescent="0.35">
      <c r="A296" t="s">
        <v>1168</v>
      </c>
      <c r="B296" t="s">
        <v>1169</v>
      </c>
      <c r="C296" t="s">
        <v>16</v>
      </c>
      <c r="D296" s="6">
        <v>268536463.93152714</v>
      </c>
      <c r="E296" s="6">
        <v>216041463.93152714</v>
      </c>
      <c r="F296" s="6">
        <v>6.2800002098083496</v>
      </c>
      <c r="G296" s="6">
        <v>6.25</v>
      </c>
      <c r="H296" s="6" t="e">
        <v>#N/A</v>
      </c>
      <c r="I296" s="6">
        <v>0.98989605515336399</v>
      </c>
      <c r="J296" s="6" t="e">
        <v>#N/A</v>
      </c>
      <c r="K296" s="6" t="e">
        <v>#N/A</v>
      </c>
      <c r="L296" t="s">
        <v>17</v>
      </c>
      <c r="M296" t="s">
        <v>18</v>
      </c>
      <c r="N296" s="4" t="s">
        <v>1170</v>
      </c>
      <c r="O296" s="4" t="s">
        <v>1171</v>
      </c>
      <c r="P296" s="4" t="s">
        <v>233</v>
      </c>
    </row>
    <row r="297" spans="1:16" x14ac:dyDescent="0.35">
      <c r="A297" t="s">
        <v>1172</v>
      </c>
      <c r="B297" t="s">
        <v>1173</v>
      </c>
      <c r="C297" t="s">
        <v>16</v>
      </c>
      <c r="D297" s="6">
        <v>5343815.25</v>
      </c>
      <c r="E297" s="6">
        <v>6332330.25</v>
      </c>
      <c r="F297" s="6">
        <v>0.45</v>
      </c>
      <c r="G297" s="6">
        <v>0.45</v>
      </c>
      <c r="H297" s="6" t="e">
        <v>#N/A</v>
      </c>
      <c r="I297" s="6">
        <v>-2.1680382483962646E-2</v>
      </c>
      <c r="J297" s="6">
        <v>6492883</v>
      </c>
      <c r="K297" s="6">
        <v>-49.999999999999993</v>
      </c>
      <c r="L297" t="s">
        <v>17</v>
      </c>
      <c r="M297" t="s">
        <v>27</v>
      </c>
      <c r="N297" s="4" t="s">
        <v>1174</v>
      </c>
      <c r="O297" s="4" t="s">
        <v>1175</v>
      </c>
      <c r="P297" s="4" t="s">
        <v>233</v>
      </c>
    </row>
    <row r="298" spans="1:16" x14ac:dyDescent="0.35">
      <c r="A298" t="s">
        <v>1176</v>
      </c>
      <c r="B298" t="s">
        <v>1177</v>
      </c>
      <c r="C298" t="s">
        <v>16</v>
      </c>
      <c r="D298" s="6">
        <v>2071702.5801306451</v>
      </c>
      <c r="E298" s="6">
        <v>2505625.5801306451</v>
      </c>
      <c r="F298" s="6">
        <v>6.99999975040555E-4</v>
      </c>
      <c r="G298" s="6">
        <v>5.0000002374872565E-4</v>
      </c>
      <c r="H298" s="6" t="e">
        <v>#N/A</v>
      </c>
      <c r="I298" s="6">
        <v>-0.73978275213406985</v>
      </c>
      <c r="J298" s="6" t="e">
        <v>#N/A</v>
      </c>
      <c r="K298" s="6" t="e">
        <v>#N/A</v>
      </c>
      <c r="L298" t="s">
        <v>17</v>
      </c>
      <c r="M298" t="s">
        <v>40</v>
      </c>
      <c r="N298" s="4" t="s">
        <v>1178</v>
      </c>
      <c r="O298" s="4" t="s">
        <v>1179</v>
      </c>
      <c r="P298" s="4" t="s">
        <v>233</v>
      </c>
    </row>
    <row r="299" spans="1:16" x14ac:dyDescent="0.35">
      <c r="A299" t="s">
        <v>1180</v>
      </c>
      <c r="B299" t="s">
        <v>1181</v>
      </c>
      <c r="C299" t="s">
        <v>16</v>
      </c>
      <c r="D299" s="6" t="e">
        <v>#N/A</v>
      </c>
      <c r="E299" s="6" t="e">
        <v>#N/A</v>
      </c>
      <c r="F299" s="6">
        <v>9.9999999747524271E-7</v>
      </c>
      <c r="G299" s="6">
        <v>9.9999999747524271E-7</v>
      </c>
      <c r="H299" s="6" t="e">
        <v>#N/A</v>
      </c>
      <c r="I299" s="6">
        <v>0</v>
      </c>
      <c r="J299" s="6" t="e">
        <v>#N/A</v>
      </c>
      <c r="K299" s="6" t="e">
        <v>#N/A</v>
      </c>
      <c r="L299" t="s">
        <v>17</v>
      </c>
      <c r="M299" t="s">
        <v>87</v>
      </c>
      <c r="N299" s="4" t="s">
        <v>1182</v>
      </c>
      <c r="O299" s="4" t="s">
        <v>1183</v>
      </c>
      <c r="P299" s="4" t="s">
        <v>233</v>
      </c>
    </row>
    <row r="300" spans="1:16" x14ac:dyDescent="0.35">
      <c r="A300" t="s">
        <v>1184</v>
      </c>
      <c r="B300" t="s">
        <v>1185</v>
      </c>
      <c r="C300" t="s">
        <v>16</v>
      </c>
      <c r="D300" s="6" t="e">
        <v>#N/A</v>
      </c>
      <c r="E300" s="6" t="e">
        <v>#N/A</v>
      </c>
      <c r="F300" s="6" t="e">
        <v>#N/A</v>
      </c>
      <c r="G300" s="6" t="e">
        <v>#N/A</v>
      </c>
      <c r="H300" s="6" t="e">
        <v>#N/A</v>
      </c>
      <c r="I300" s="6">
        <v>0</v>
      </c>
      <c r="J300" s="6">
        <v>3237154.9606323242</v>
      </c>
      <c r="K300" s="6">
        <v>-33.333333333333336</v>
      </c>
      <c r="L300" t="s">
        <v>17</v>
      </c>
      <c r="M300" t="s">
        <v>27</v>
      </c>
      <c r="N300" s="4" t="s">
        <v>1186</v>
      </c>
      <c r="O300" s="4" t="s">
        <v>1187</v>
      </c>
      <c r="P300" s="4" t="s">
        <v>233</v>
      </c>
    </row>
    <row r="301" spans="1:16" x14ac:dyDescent="0.35">
      <c r="A301" t="s">
        <v>1188</v>
      </c>
      <c r="B301" t="s">
        <v>1189</v>
      </c>
      <c r="C301" t="s">
        <v>16</v>
      </c>
      <c r="D301" s="6">
        <v>4104043.0383634563</v>
      </c>
      <c r="E301" s="6">
        <v>-1012956.9616365437</v>
      </c>
      <c r="F301" s="6">
        <v>2.5399999618530273</v>
      </c>
      <c r="G301" s="6">
        <v>2.5527999401092529</v>
      </c>
      <c r="H301" s="6" t="e">
        <v>#N/A</v>
      </c>
      <c r="I301" s="6">
        <v>-0.23391954048959884</v>
      </c>
      <c r="J301" s="6" t="e">
        <v>#N/A</v>
      </c>
      <c r="K301" s="6" t="e">
        <v>#N/A</v>
      </c>
      <c r="L301" t="s">
        <v>17</v>
      </c>
      <c r="M301" t="s">
        <v>87</v>
      </c>
      <c r="N301" s="4" t="s">
        <v>1190</v>
      </c>
      <c r="O301" s="4" t="s">
        <v>1191</v>
      </c>
      <c r="P301" s="4" t="s">
        <v>233</v>
      </c>
    </row>
    <row r="302" spans="1:16" x14ac:dyDescent="0.35">
      <c r="A302" t="s">
        <v>1192</v>
      </c>
      <c r="B302" t="s">
        <v>1193</v>
      </c>
      <c r="C302" t="s">
        <v>16</v>
      </c>
      <c r="D302" s="6">
        <v>66361162.949999996</v>
      </c>
      <c r="E302" s="6" t="e">
        <v>#N/A</v>
      </c>
      <c r="F302" s="6">
        <v>2.0499999999999998</v>
      </c>
      <c r="G302" s="6">
        <v>2.0499999999999998</v>
      </c>
      <c r="H302" s="6" t="e">
        <v>#N/A</v>
      </c>
      <c r="I302" s="6">
        <v>-7.6375552657175327E-2</v>
      </c>
      <c r="J302" s="6" t="e">
        <v>#N/A</v>
      </c>
      <c r="K302" s="6" t="e">
        <v>#N/A</v>
      </c>
      <c r="L302" t="s">
        <v>17</v>
      </c>
      <c r="M302" t="s">
        <v>18</v>
      </c>
      <c r="N302" s="4" t="s">
        <v>1194</v>
      </c>
      <c r="O302" s="4" t="s">
        <v>1195</v>
      </c>
      <c r="P302" s="4" t="s">
        <v>233</v>
      </c>
    </row>
    <row r="303" spans="1:16" x14ac:dyDescent="0.35">
      <c r="A303" t="s">
        <v>1196</v>
      </c>
      <c r="B303" t="s">
        <v>1197</v>
      </c>
      <c r="C303" t="s">
        <v>16</v>
      </c>
      <c r="D303" s="6">
        <v>89443353682.2267</v>
      </c>
      <c r="E303" s="6">
        <v>86105353682.2267</v>
      </c>
      <c r="F303" s="6">
        <v>385.66000366210938</v>
      </c>
      <c r="G303" s="6">
        <v>391.239990234375</v>
      </c>
      <c r="H303" s="6">
        <v>12.372447153379857</v>
      </c>
      <c r="I303" s="6">
        <v>-0.22583202756131804</v>
      </c>
      <c r="J303" s="6">
        <v>177011000000</v>
      </c>
      <c r="K303" s="6">
        <v>1.1820330969267168</v>
      </c>
      <c r="L303" t="s">
        <v>17</v>
      </c>
      <c r="M303" t="s">
        <v>40</v>
      </c>
      <c r="N303" s="4" t="s">
        <v>1198</v>
      </c>
      <c r="O303" s="4" t="s">
        <v>1199</v>
      </c>
      <c r="P303" s="4" t="s">
        <v>233</v>
      </c>
    </row>
    <row r="304" spans="1:16" x14ac:dyDescent="0.35">
      <c r="A304" t="s">
        <v>1200</v>
      </c>
      <c r="B304" t="s">
        <v>1201</v>
      </c>
      <c r="C304" t="s">
        <v>16</v>
      </c>
      <c r="D304" s="6" t="e">
        <v>#N/A</v>
      </c>
      <c r="E304" s="6" t="e">
        <v>#N/A</v>
      </c>
      <c r="F304" s="6" t="e">
        <v>#N/A</v>
      </c>
      <c r="G304" s="6" t="e">
        <v>#N/A</v>
      </c>
      <c r="H304" s="6" t="e">
        <v>#N/A</v>
      </c>
      <c r="I304" s="6">
        <v>0</v>
      </c>
      <c r="J304" s="6">
        <v>16615997</v>
      </c>
      <c r="K304" s="6">
        <v>-20.000000000000018</v>
      </c>
      <c r="L304" t="s">
        <v>17</v>
      </c>
      <c r="M304" t="s">
        <v>100</v>
      </c>
      <c r="N304" s="4" t="s">
        <v>1202</v>
      </c>
      <c r="O304" s="4" t="s">
        <v>1203</v>
      </c>
      <c r="P304" s="4" t="s">
        <v>233</v>
      </c>
    </row>
    <row r="305" spans="1:16" x14ac:dyDescent="0.35">
      <c r="A305" t="s">
        <v>1204</v>
      </c>
      <c r="B305" t="s">
        <v>1205</v>
      </c>
      <c r="C305" t="s">
        <v>16</v>
      </c>
      <c r="D305" s="6">
        <v>22078597.037236869</v>
      </c>
      <c r="E305" s="6" t="e">
        <v>#N/A</v>
      </c>
      <c r="F305" s="6">
        <v>8.8284999132156372E-2</v>
      </c>
      <c r="G305" s="6">
        <v>8.150000125169754E-2</v>
      </c>
      <c r="H305" s="6" t="e">
        <v>#N/A</v>
      </c>
      <c r="I305" s="6">
        <v>-0.54881329650305288</v>
      </c>
      <c r="J305" s="6" t="e">
        <v>#N/A</v>
      </c>
      <c r="K305" s="6" t="e">
        <v>#N/A</v>
      </c>
      <c r="L305" t="s">
        <v>17</v>
      </c>
      <c r="M305" t="s">
        <v>27</v>
      </c>
      <c r="N305" s="4" t="s">
        <v>1206</v>
      </c>
      <c r="O305" s="4" t="s">
        <v>1207</v>
      </c>
      <c r="P305" s="4" t="s">
        <v>233</v>
      </c>
    </row>
    <row r="306" spans="1:16" x14ac:dyDescent="0.35">
      <c r="A306" t="s">
        <v>1208</v>
      </c>
      <c r="B306" t="s">
        <v>1209</v>
      </c>
      <c r="C306" t="s">
        <v>16</v>
      </c>
      <c r="D306" s="6">
        <v>32759236432.10228</v>
      </c>
      <c r="E306" s="6">
        <v>32858136432.10228</v>
      </c>
      <c r="F306" s="6">
        <v>83.870002746582031</v>
      </c>
      <c r="G306" s="6">
        <v>85.069999694824219</v>
      </c>
      <c r="H306" s="6">
        <v>47.005798939711319</v>
      </c>
      <c r="I306" s="6">
        <v>-0.29109026482981371</v>
      </c>
      <c r="J306" s="6">
        <v>3954000000</v>
      </c>
      <c r="K306" s="6">
        <v>78.571428571428569</v>
      </c>
      <c r="L306" t="s">
        <v>17</v>
      </c>
      <c r="M306" t="s">
        <v>27</v>
      </c>
      <c r="N306" s="4" t="s">
        <v>1210</v>
      </c>
      <c r="O306" s="4" t="s">
        <v>1211</v>
      </c>
      <c r="P306" s="4" t="s">
        <v>233</v>
      </c>
    </row>
    <row r="307" spans="1:16" x14ac:dyDescent="0.35">
      <c r="A307" t="s">
        <v>1212</v>
      </c>
      <c r="B307" t="s">
        <v>1213</v>
      </c>
      <c r="C307" t="s">
        <v>16</v>
      </c>
      <c r="D307" s="6">
        <v>254565919.90735057</v>
      </c>
      <c r="E307" s="6" t="e">
        <v>#N/A</v>
      </c>
      <c r="F307" s="6">
        <v>15.699999809265137</v>
      </c>
      <c r="G307" s="6">
        <v>15.859999656677246</v>
      </c>
      <c r="H307" s="6" t="e">
        <v>#N/A</v>
      </c>
      <c r="I307" s="6">
        <v>0.77123492814196037</v>
      </c>
      <c r="J307" s="6" t="e">
        <v>#N/A</v>
      </c>
      <c r="K307" s="6" t="e">
        <v>#N/A</v>
      </c>
      <c r="L307" t="s">
        <v>17</v>
      </c>
      <c r="M307" t="s">
        <v>87</v>
      </c>
      <c r="N307" s="4" t="s">
        <v>1214</v>
      </c>
      <c r="O307" s="4" t="s">
        <v>1215</v>
      </c>
      <c r="P307" s="4" t="s">
        <v>233</v>
      </c>
    </row>
    <row r="308" spans="1:16" x14ac:dyDescent="0.35">
      <c r="A308" t="s">
        <v>1216</v>
      </c>
      <c r="B308" t="s">
        <v>1217</v>
      </c>
      <c r="C308" t="s">
        <v>16</v>
      </c>
      <c r="D308" s="6" t="e">
        <v>#N/A</v>
      </c>
      <c r="E308" s="6" t="e">
        <v>#N/A</v>
      </c>
      <c r="F308" s="6" t="e">
        <v>#N/A</v>
      </c>
      <c r="G308" s="6" t="e">
        <v>#N/A</v>
      </c>
      <c r="H308" s="6" t="e">
        <v>#N/A</v>
      </c>
      <c r="I308" s="6">
        <v>-0.78218053035016488</v>
      </c>
      <c r="J308" s="6">
        <v>23300</v>
      </c>
      <c r="K308" s="6">
        <v>70.952380952380963</v>
      </c>
      <c r="L308" t="s">
        <v>17</v>
      </c>
      <c r="M308" t="s">
        <v>100</v>
      </c>
      <c r="N308" s="4" t="s">
        <v>1218</v>
      </c>
      <c r="O308" s="4" t="s">
        <v>1219</v>
      </c>
      <c r="P308" s="4" t="s">
        <v>233</v>
      </c>
    </row>
    <row r="309" spans="1:16" x14ac:dyDescent="0.35">
      <c r="A309" t="s">
        <v>1220</v>
      </c>
      <c r="B309" t="s">
        <v>1221</v>
      </c>
      <c r="C309" t="s">
        <v>16</v>
      </c>
      <c r="D309" s="6">
        <v>127955.69299999998</v>
      </c>
      <c r="E309" s="6">
        <v>5383445.692999999</v>
      </c>
      <c r="F309" s="6">
        <v>4.5999999999999999E-3</v>
      </c>
      <c r="G309" s="6">
        <v>4.0000000000000001E-3</v>
      </c>
      <c r="H309" s="6">
        <v>2.1904761904761906E-2</v>
      </c>
      <c r="I309" s="6">
        <v>8.2118937755354837E-2</v>
      </c>
      <c r="J309" s="6">
        <v>70793986</v>
      </c>
      <c r="K309" s="6">
        <v>-96.296296296296291</v>
      </c>
      <c r="L309" t="s">
        <v>17</v>
      </c>
      <c r="M309" t="s">
        <v>87</v>
      </c>
      <c r="N309" s="4" t="s">
        <v>1222</v>
      </c>
      <c r="O309" s="4" t="s">
        <v>1223</v>
      </c>
      <c r="P309" s="4" t="s">
        <v>233</v>
      </c>
    </row>
    <row r="310" spans="1:16" x14ac:dyDescent="0.35">
      <c r="A310" t="s">
        <v>1224</v>
      </c>
      <c r="B310" t="s">
        <v>1225</v>
      </c>
      <c r="C310" t="s">
        <v>16</v>
      </c>
      <c r="D310" s="6">
        <v>372454423.75764942</v>
      </c>
      <c r="E310" s="6">
        <v>822059423.7576493</v>
      </c>
      <c r="F310" s="6">
        <v>1.3600000143051147</v>
      </c>
      <c r="G310" s="6">
        <v>1.3300000429153442</v>
      </c>
      <c r="H310" s="6" t="e">
        <v>#N/A</v>
      </c>
      <c r="I310" s="6">
        <v>-0.79643161225644654</v>
      </c>
      <c r="J310" s="6">
        <v>173147000</v>
      </c>
      <c r="K310" s="6">
        <v>-14.960629921259837</v>
      </c>
      <c r="L310" t="s">
        <v>17</v>
      </c>
      <c r="M310" t="s">
        <v>100</v>
      </c>
      <c r="N310" s="4" t="s">
        <v>1226</v>
      </c>
      <c r="O310" s="4" t="s">
        <v>1227</v>
      </c>
      <c r="P310" s="4" t="s">
        <v>233</v>
      </c>
    </row>
    <row r="311" spans="1:16" x14ac:dyDescent="0.35">
      <c r="A311" t="s">
        <v>1228</v>
      </c>
      <c r="B311" t="s">
        <v>1229</v>
      </c>
      <c r="C311" t="s">
        <v>16</v>
      </c>
      <c r="D311" s="6">
        <v>485357980219.47931</v>
      </c>
      <c r="E311" s="6">
        <v>537471980219.47931</v>
      </c>
      <c r="F311" s="6">
        <v>527.4000244140625</v>
      </c>
      <c r="G311" s="6">
        <v>539.8499755859375</v>
      </c>
      <c r="H311" s="6">
        <v>15.801470513842062</v>
      </c>
      <c r="I311" s="6">
        <v>3.4691453598156841E-2</v>
      </c>
      <c r="J311" s="6">
        <v>400278000000</v>
      </c>
      <c r="K311" s="6">
        <v>-35.696517412935329</v>
      </c>
      <c r="L311" t="s">
        <v>17</v>
      </c>
      <c r="M311" t="s">
        <v>40</v>
      </c>
      <c r="N311" s="4" t="s">
        <v>1230</v>
      </c>
      <c r="O311" s="4" t="s">
        <v>1231</v>
      </c>
      <c r="P311" s="4" t="s">
        <v>233</v>
      </c>
    </row>
    <row r="312" spans="1:16" x14ac:dyDescent="0.35">
      <c r="A312" t="s">
        <v>1232</v>
      </c>
      <c r="B312" t="s">
        <v>1233</v>
      </c>
      <c r="C312" t="s">
        <v>16</v>
      </c>
      <c r="D312" s="6">
        <v>6249.9727999999996</v>
      </c>
      <c r="E312" s="6">
        <v>751067.97279999999</v>
      </c>
      <c r="F312" s="6" t="e">
        <v>#N/A</v>
      </c>
      <c r="G312" s="6" t="e">
        <v>#N/A</v>
      </c>
      <c r="H312" s="6" t="e">
        <v>#N/A</v>
      </c>
      <c r="I312" s="6">
        <v>4.3089959326039793</v>
      </c>
      <c r="J312" s="6">
        <v>0</v>
      </c>
      <c r="K312" s="6">
        <v>75</v>
      </c>
      <c r="L312" t="s">
        <v>17</v>
      </c>
      <c r="M312" t="s">
        <v>32</v>
      </c>
      <c r="N312" s="4" t="s">
        <v>1234</v>
      </c>
      <c r="O312" s="4" t="s">
        <v>1235</v>
      </c>
      <c r="P312" s="4" t="s">
        <v>233</v>
      </c>
    </row>
    <row r="313" spans="1:16" x14ac:dyDescent="0.35">
      <c r="A313" t="s">
        <v>1236</v>
      </c>
      <c r="B313" t="s">
        <v>1237</v>
      </c>
      <c r="C313" t="s">
        <v>16</v>
      </c>
      <c r="D313" s="6">
        <v>20731598.868627667</v>
      </c>
      <c r="E313" s="6">
        <v>39789406.974703118</v>
      </c>
      <c r="F313" s="6">
        <v>0.45300000905990601</v>
      </c>
      <c r="G313" s="6">
        <v>0.44200000166893005</v>
      </c>
      <c r="H313" s="6" t="e">
        <v>#N/A</v>
      </c>
      <c r="I313" s="6">
        <v>-0.78840389212935857</v>
      </c>
      <c r="J313" s="6">
        <v>24068000</v>
      </c>
      <c r="K313" s="6">
        <v>-61.840395522493814</v>
      </c>
      <c r="L313" t="s">
        <v>17</v>
      </c>
      <c r="M313" t="s">
        <v>100</v>
      </c>
      <c r="N313" s="4" t="s">
        <v>1238</v>
      </c>
      <c r="O313" s="4" t="s">
        <v>1239</v>
      </c>
      <c r="P313" s="4" t="s">
        <v>233</v>
      </c>
    </row>
    <row r="314" spans="1:16" x14ac:dyDescent="0.35">
      <c r="A314" t="s">
        <v>1240</v>
      </c>
      <c r="B314" t="s">
        <v>1241</v>
      </c>
      <c r="C314" t="s">
        <v>16</v>
      </c>
      <c r="D314" s="6">
        <v>418580304.6168952</v>
      </c>
      <c r="E314" s="6">
        <v>389077304.6168952</v>
      </c>
      <c r="F314" s="6">
        <v>5.4800000190734863</v>
      </c>
      <c r="G314" s="6">
        <v>5.440000057220459</v>
      </c>
      <c r="H314" s="6">
        <v>367.71120036727422</v>
      </c>
      <c r="I314" s="6">
        <v>2.5007822502959867</v>
      </c>
      <c r="J314" s="6">
        <v>91668000</v>
      </c>
      <c r="K314" s="6" t="e">
        <v>#N/A</v>
      </c>
      <c r="L314" t="s">
        <v>17</v>
      </c>
      <c r="M314" t="s">
        <v>100</v>
      </c>
      <c r="N314" s="4" t="s">
        <v>1242</v>
      </c>
      <c r="O314" s="4" t="s">
        <v>1243</v>
      </c>
      <c r="P314" s="4" t="s">
        <v>233</v>
      </c>
    </row>
    <row r="315" spans="1:16" x14ac:dyDescent="0.35">
      <c r="A315" t="s">
        <v>1244</v>
      </c>
      <c r="B315" t="s">
        <v>1245</v>
      </c>
      <c r="C315" t="s">
        <v>16</v>
      </c>
      <c r="D315" s="6">
        <v>7419246442.0543509</v>
      </c>
      <c r="E315" s="6">
        <v>6422673442.0543509</v>
      </c>
      <c r="F315" s="6">
        <v>340.17001342773438</v>
      </c>
      <c r="G315" s="6">
        <v>326.51998901367188</v>
      </c>
      <c r="H315" s="6" t="e">
        <v>#N/A</v>
      </c>
      <c r="I315" s="6">
        <v>0.57051531216740758</v>
      </c>
      <c r="J315" s="6">
        <v>76813000</v>
      </c>
      <c r="K315" s="6">
        <v>-30.353430353430333</v>
      </c>
      <c r="L315" t="s">
        <v>17</v>
      </c>
      <c r="M315" t="s">
        <v>18</v>
      </c>
      <c r="N315" s="4" t="s">
        <v>1246</v>
      </c>
      <c r="O315" s="4" t="s">
        <v>1247</v>
      </c>
      <c r="P315" s="4" t="s">
        <v>233</v>
      </c>
    </row>
    <row r="316" spans="1:16" x14ac:dyDescent="0.35">
      <c r="A316" t="s">
        <v>1248</v>
      </c>
      <c r="B316" t="s">
        <v>1249</v>
      </c>
      <c r="C316" t="s">
        <v>16</v>
      </c>
      <c r="D316" s="6">
        <v>852483.65860193048</v>
      </c>
      <c r="E316" s="6">
        <v>1199941.6586019304</v>
      </c>
      <c r="F316" s="6">
        <v>1.7000000225380063E-3</v>
      </c>
      <c r="G316" s="6">
        <v>1.7000000225380063E-3</v>
      </c>
      <c r="H316" s="6" t="e">
        <v>#N/A</v>
      </c>
      <c r="I316" s="6">
        <v>1.2616044978340377</v>
      </c>
      <c r="J316" s="6">
        <v>1560</v>
      </c>
      <c r="K316" s="6">
        <v>88.903281519861835</v>
      </c>
      <c r="L316" t="s">
        <v>17</v>
      </c>
      <c r="M316" t="s">
        <v>87</v>
      </c>
      <c r="N316" s="4" t="s">
        <v>1250</v>
      </c>
      <c r="O316" s="4" t="s">
        <v>1251</v>
      </c>
      <c r="P316" s="4" t="s">
        <v>233</v>
      </c>
    </row>
    <row r="317" spans="1:16" x14ac:dyDescent="0.35">
      <c r="A317" t="s">
        <v>1252</v>
      </c>
      <c r="B317" t="s">
        <v>1253</v>
      </c>
      <c r="C317" t="s">
        <v>16</v>
      </c>
      <c r="D317" s="6">
        <v>24857730.805299461</v>
      </c>
      <c r="E317" s="6">
        <v>-19686269.194700539</v>
      </c>
      <c r="F317" s="6">
        <v>0.47580000758171082</v>
      </c>
      <c r="G317" s="6">
        <v>0.52899998426437378</v>
      </c>
      <c r="H317" s="6" t="e">
        <v>#N/A</v>
      </c>
      <c r="I317" s="6">
        <v>-0.61550178841194603</v>
      </c>
      <c r="J317" s="6">
        <v>30314000</v>
      </c>
      <c r="K317" s="6">
        <v>62.574232591765622</v>
      </c>
      <c r="L317" t="s">
        <v>17</v>
      </c>
      <c r="M317" t="s">
        <v>40</v>
      </c>
      <c r="N317" s="4" t="s">
        <v>1254</v>
      </c>
      <c r="O317" s="4" t="s">
        <v>1255</v>
      </c>
      <c r="P317" s="4" t="s">
        <v>233</v>
      </c>
    </row>
    <row r="318" spans="1:16" x14ac:dyDescent="0.35">
      <c r="A318" t="s">
        <v>1256</v>
      </c>
      <c r="B318" t="s">
        <v>1257</v>
      </c>
      <c r="C318" t="s">
        <v>16</v>
      </c>
      <c r="D318" s="6">
        <v>107799989.07684326</v>
      </c>
      <c r="E318" s="6">
        <v>84784989.076843262</v>
      </c>
      <c r="F318" s="6">
        <v>16.200000762939453</v>
      </c>
      <c r="G318" s="6">
        <v>16.120000839233398</v>
      </c>
      <c r="H318" s="6">
        <v>11.979351712226002</v>
      </c>
      <c r="I318" s="6">
        <v>-0.20382512018609189</v>
      </c>
      <c r="J318" s="6">
        <v>102006089</v>
      </c>
      <c r="K318" s="6">
        <v>-14.234148372792246</v>
      </c>
      <c r="L318" t="s">
        <v>17</v>
      </c>
      <c r="M318" t="s">
        <v>27</v>
      </c>
      <c r="N318" s="4" t="s">
        <v>1258</v>
      </c>
      <c r="O318" s="4" t="s">
        <v>1259</v>
      </c>
      <c r="P318" s="4" t="s">
        <v>233</v>
      </c>
    </row>
    <row r="319" spans="1:16" x14ac:dyDescent="0.35">
      <c r="A319" t="s">
        <v>1260</v>
      </c>
      <c r="B319" t="s">
        <v>1261</v>
      </c>
      <c r="C319" t="s">
        <v>16</v>
      </c>
      <c r="D319" s="6">
        <v>8547622.8220325708</v>
      </c>
      <c r="E319" s="6">
        <v>4959622.8220325699</v>
      </c>
      <c r="F319" s="6">
        <v>1.3899999856948853</v>
      </c>
      <c r="G319" s="6">
        <v>1.4299999475479126</v>
      </c>
      <c r="H319" s="6" t="e">
        <v>#N/A</v>
      </c>
      <c r="I319" s="6">
        <v>-0.52462972774239758</v>
      </c>
      <c r="J319" s="6">
        <v>68764000</v>
      </c>
      <c r="K319" s="6">
        <v>71.293415841584149</v>
      </c>
      <c r="L319" t="s">
        <v>17</v>
      </c>
      <c r="M319" t="s">
        <v>87</v>
      </c>
      <c r="N319" s="4" t="s">
        <v>1262</v>
      </c>
      <c r="O319" s="4" t="s">
        <v>1263</v>
      </c>
      <c r="P319" s="4" t="s">
        <v>233</v>
      </c>
    </row>
    <row r="320" spans="1:16" x14ac:dyDescent="0.35">
      <c r="A320" t="s">
        <v>1264</v>
      </c>
      <c r="B320" t="s">
        <v>1265</v>
      </c>
      <c r="C320" t="s">
        <v>16</v>
      </c>
      <c r="D320" s="6" t="e">
        <v>#N/A</v>
      </c>
      <c r="E320" s="6" t="e">
        <v>#N/A</v>
      </c>
      <c r="F320" s="6" t="e">
        <v>#N/A</v>
      </c>
      <c r="G320" s="6" t="e">
        <v>#N/A</v>
      </c>
      <c r="H320" s="6" t="e">
        <v>#N/A</v>
      </c>
      <c r="I320" s="6">
        <v>0</v>
      </c>
      <c r="J320" s="6">
        <v>970515000</v>
      </c>
      <c r="K320" s="6">
        <v>-99.971910280669221</v>
      </c>
      <c r="L320" t="s">
        <v>17</v>
      </c>
      <c r="M320" t="s">
        <v>18</v>
      </c>
      <c r="N320" s="4" t="s">
        <v>233</v>
      </c>
      <c r="O320" s="4" t="s">
        <v>1266</v>
      </c>
      <c r="P320" s="4" t="s">
        <v>13098</v>
      </c>
    </row>
    <row r="321" spans="1:16" x14ac:dyDescent="0.35">
      <c r="A321" t="s">
        <v>1267</v>
      </c>
      <c r="B321" t="s">
        <v>1268</v>
      </c>
      <c r="C321" t="s">
        <v>16</v>
      </c>
      <c r="D321" s="6" t="e">
        <v>#N/A</v>
      </c>
      <c r="E321" s="6" t="e">
        <v>#N/A</v>
      </c>
      <c r="F321" s="6">
        <v>9.9999999747524271E-7</v>
      </c>
      <c r="G321" s="6">
        <v>9.9999999747524271E-7</v>
      </c>
      <c r="H321" s="6" t="e">
        <v>#N/A</v>
      </c>
      <c r="I321" s="6">
        <v>-0.99994197258596274</v>
      </c>
      <c r="J321" s="6">
        <v>81000</v>
      </c>
      <c r="K321" s="6">
        <v>74.303797468354446</v>
      </c>
      <c r="L321" t="s">
        <v>17</v>
      </c>
      <c r="M321" t="s">
        <v>18</v>
      </c>
      <c r="N321" s="4" t="s">
        <v>1269</v>
      </c>
      <c r="O321" s="4" t="s">
        <v>1270</v>
      </c>
      <c r="P321" s="4" t="s">
        <v>233</v>
      </c>
    </row>
    <row r="322" spans="1:16" x14ac:dyDescent="0.35">
      <c r="A322" t="s">
        <v>1271</v>
      </c>
      <c r="B322" t="s">
        <v>1272</v>
      </c>
      <c r="C322" t="s">
        <v>16</v>
      </c>
      <c r="D322" s="6">
        <v>14255471776.446899</v>
      </c>
      <c r="E322" s="6">
        <v>14823171776.446899</v>
      </c>
      <c r="F322" s="6">
        <v>63.529998779296875</v>
      </c>
      <c r="G322" s="6">
        <v>64.169998168945313</v>
      </c>
      <c r="H322" s="6">
        <v>18.375584097815171</v>
      </c>
      <c r="I322" s="6">
        <v>-0.14182250808072516</v>
      </c>
      <c r="J322" s="6">
        <v>4038900000</v>
      </c>
      <c r="K322" s="6">
        <v>49.999999999999979</v>
      </c>
      <c r="L322" t="s">
        <v>17</v>
      </c>
      <c r="M322" t="s">
        <v>27</v>
      </c>
      <c r="N322" s="4" t="s">
        <v>1273</v>
      </c>
      <c r="O322" s="4" t="s">
        <v>1274</v>
      </c>
      <c r="P322" s="4" t="s">
        <v>233</v>
      </c>
    </row>
    <row r="323" spans="1:16" x14ac:dyDescent="0.35">
      <c r="A323" t="s">
        <v>1275</v>
      </c>
      <c r="B323" t="s">
        <v>1276</v>
      </c>
      <c r="C323" t="s">
        <v>16</v>
      </c>
      <c r="D323" s="6">
        <v>3518231.8619999997</v>
      </c>
      <c r="E323" s="6">
        <v>5039456.8619999997</v>
      </c>
      <c r="F323" s="6">
        <v>2.2800000000000001E-2</v>
      </c>
      <c r="G323" s="6">
        <v>3.2099999999999997E-2</v>
      </c>
      <c r="H323" s="6" t="e">
        <v>#N/A</v>
      </c>
      <c r="I323" s="6">
        <v>-0.5996976990384415</v>
      </c>
      <c r="J323" s="6">
        <v>0</v>
      </c>
      <c r="K323" s="6">
        <v>-100.20020020019999</v>
      </c>
      <c r="L323" t="s">
        <v>17</v>
      </c>
      <c r="M323" t="s">
        <v>18</v>
      </c>
      <c r="N323" s="4" t="s">
        <v>1277</v>
      </c>
      <c r="O323" s="4" t="s">
        <v>1278</v>
      </c>
      <c r="P323" s="4" t="s">
        <v>233</v>
      </c>
    </row>
    <row r="324" spans="1:16" x14ac:dyDescent="0.35">
      <c r="A324" t="s">
        <v>1279</v>
      </c>
      <c r="B324" t="s">
        <v>1280</v>
      </c>
      <c r="C324" t="s">
        <v>16</v>
      </c>
      <c r="D324" s="6">
        <v>14240656318.616112</v>
      </c>
      <c r="E324" s="6">
        <v>13772616318.616112</v>
      </c>
      <c r="F324" s="6">
        <v>79.599998474121094</v>
      </c>
      <c r="G324" s="6">
        <v>78.569999694824219</v>
      </c>
      <c r="H324" s="6" t="e">
        <v>#N/A</v>
      </c>
      <c r="I324" s="6">
        <v>1.8550912269900368</v>
      </c>
      <c r="J324" s="6">
        <v>342958000</v>
      </c>
      <c r="K324" s="6">
        <v>-5.3130929791271218</v>
      </c>
      <c r="L324" t="s">
        <v>17</v>
      </c>
      <c r="M324" t="s">
        <v>18</v>
      </c>
      <c r="N324" s="4" t="s">
        <v>1281</v>
      </c>
      <c r="O324" s="4" t="s">
        <v>1282</v>
      </c>
      <c r="P324" s="4" t="s">
        <v>233</v>
      </c>
    </row>
    <row r="325" spans="1:16" x14ac:dyDescent="0.35">
      <c r="A325" t="s">
        <v>1283</v>
      </c>
      <c r="B325" t="s">
        <v>1284</v>
      </c>
      <c r="C325" t="s">
        <v>16</v>
      </c>
      <c r="D325" s="6">
        <v>21492835.875</v>
      </c>
      <c r="E325" s="6">
        <v>1951835.875</v>
      </c>
      <c r="F325" s="6">
        <v>11.5</v>
      </c>
      <c r="G325" s="6">
        <v>11.5</v>
      </c>
      <c r="H325" s="6" t="e">
        <v>#N/A</v>
      </c>
      <c r="I325" s="6">
        <v>-0.99016339590413782</v>
      </c>
      <c r="J325" s="6">
        <v>11291000</v>
      </c>
      <c r="K325" s="6">
        <v>85.349134103019537</v>
      </c>
      <c r="L325" t="s">
        <v>17</v>
      </c>
      <c r="M325" t="s">
        <v>18</v>
      </c>
      <c r="N325" s="4" t="s">
        <v>13479</v>
      </c>
      <c r="O325" s="4" t="s">
        <v>13480</v>
      </c>
      <c r="P325" s="4" t="s">
        <v>233</v>
      </c>
    </row>
    <row r="326" spans="1:16" x14ac:dyDescent="0.35">
      <c r="A326" t="s">
        <v>1285</v>
      </c>
      <c r="B326" t="s">
        <v>1286</v>
      </c>
      <c r="C326" t="s">
        <v>16</v>
      </c>
      <c r="D326" s="6">
        <v>56375017.145141818</v>
      </c>
      <c r="E326" s="6" t="e">
        <v>#N/A</v>
      </c>
      <c r="F326" s="6">
        <v>0.13500000536441803</v>
      </c>
      <c r="G326" s="6">
        <v>0.13950000703334808</v>
      </c>
      <c r="H326" s="6" t="e">
        <v>#N/A</v>
      </c>
      <c r="I326" s="6">
        <v>1.3103026587282876</v>
      </c>
      <c r="J326" s="6" t="e">
        <v>#N/A</v>
      </c>
      <c r="K326" s="6" t="e">
        <v>#N/A</v>
      </c>
      <c r="L326" t="s">
        <v>17</v>
      </c>
      <c r="M326" t="s">
        <v>27</v>
      </c>
      <c r="N326" s="4" t="s">
        <v>1287</v>
      </c>
      <c r="O326" s="4" t="s">
        <v>1288</v>
      </c>
      <c r="P326" s="4" t="s">
        <v>233</v>
      </c>
    </row>
    <row r="327" spans="1:16" x14ac:dyDescent="0.35">
      <c r="A327" t="s">
        <v>1289</v>
      </c>
      <c r="B327" t="s">
        <v>1290</v>
      </c>
      <c r="C327" t="s">
        <v>16</v>
      </c>
      <c r="D327" s="6">
        <v>1768812768.1039495</v>
      </c>
      <c r="E327" s="6">
        <v>1987267768.1039495</v>
      </c>
      <c r="F327" s="6">
        <v>13.779999732971191</v>
      </c>
      <c r="G327" s="6">
        <v>13.149999618530273</v>
      </c>
      <c r="H327" s="6" t="e">
        <v>#N/A</v>
      </c>
      <c r="I327" s="6">
        <v>-9.079197731565769E-2</v>
      </c>
      <c r="J327" s="6">
        <v>644118000</v>
      </c>
      <c r="K327" s="6">
        <v>20.779220779220783</v>
      </c>
      <c r="L327" t="s">
        <v>17</v>
      </c>
      <c r="M327" t="s">
        <v>40</v>
      </c>
      <c r="N327" s="4" t="s">
        <v>1291</v>
      </c>
      <c r="O327" s="4" t="s">
        <v>1292</v>
      </c>
      <c r="P327" s="4" t="s">
        <v>233</v>
      </c>
    </row>
    <row r="328" spans="1:16" x14ac:dyDescent="0.35">
      <c r="A328" t="s">
        <v>1293</v>
      </c>
      <c r="B328" t="s">
        <v>1294</v>
      </c>
      <c r="C328" t="s">
        <v>16</v>
      </c>
      <c r="D328" s="6" t="e">
        <v>#N/A</v>
      </c>
      <c r="E328" s="6" t="e">
        <v>#N/A</v>
      </c>
      <c r="F328" s="6" t="e">
        <v>#N/A</v>
      </c>
      <c r="G328" s="6" t="e">
        <v>#N/A</v>
      </c>
      <c r="H328" s="6" t="e">
        <v>#N/A</v>
      </c>
      <c r="I328" s="6">
        <v>-0.98987338078497134</v>
      </c>
      <c r="J328" s="6">
        <v>85039001.46484375</v>
      </c>
      <c r="K328" s="6" t="e">
        <v>#N/A</v>
      </c>
      <c r="L328" t="s">
        <v>17</v>
      </c>
      <c r="M328" t="s">
        <v>87</v>
      </c>
      <c r="N328" s="4" t="s">
        <v>1295</v>
      </c>
      <c r="O328" s="4" t="s">
        <v>1296</v>
      </c>
      <c r="P328" s="4" t="s">
        <v>233</v>
      </c>
    </row>
    <row r="329" spans="1:16" x14ac:dyDescent="0.35">
      <c r="A329" t="s">
        <v>1297</v>
      </c>
      <c r="B329" t="s">
        <v>1298</v>
      </c>
      <c r="C329" t="s">
        <v>16</v>
      </c>
      <c r="D329" s="6">
        <v>257908954.49896237</v>
      </c>
      <c r="E329" s="6">
        <v>223074954.49896237</v>
      </c>
      <c r="F329" s="6">
        <v>17.610000610351563</v>
      </c>
      <c r="G329" s="6">
        <v>17.520000457763672</v>
      </c>
      <c r="H329" s="6" t="e">
        <v>#N/A</v>
      </c>
      <c r="I329" s="6">
        <v>-0.26593408290662457</v>
      </c>
      <c r="J329" s="6">
        <v>164168000</v>
      </c>
      <c r="K329" s="6">
        <v>-293.49112426035492</v>
      </c>
      <c r="L329" t="s">
        <v>17</v>
      </c>
      <c r="M329" t="s">
        <v>18</v>
      </c>
      <c r="N329" s="4" t="s">
        <v>1299</v>
      </c>
      <c r="O329" s="4" t="s">
        <v>1300</v>
      </c>
      <c r="P329" s="4" t="s">
        <v>233</v>
      </c>
    </row>
    <row r="330" spans="1:16" x14ac:dyDescent="0.35">
      <c r="A330" t="s">
        <v>1301</v>
      </c>
      <c r="B330" t="s">
        <v>1302</v>
      </c>
      <c r="C330" t="s">
        <v>16</v>
      </c>
      <c r="D330" s="6">
        <v>235770962.10509422</v>
      </c>
      <c r="E330" s="6">
        <v>224296962.10509422</v>
      </c>
      <c r="F330" s="6">
        <v>1.1299999952316284</v>
      </c>
      <c r="G330" s="6">
        <v>1.1100000143051147</v>
      </c>
      <c r="H330" s="6" t="e">
        <v>#N/A</v>
      </c>
      <c r="I330" s="6">
        <v>0.40242663045755722</v>
      </c>
      <c r="J330" s="6">
        <v>52291000</v>
      </c>
      <c r="K330" s="6">
        <v>48.611111111111114</v>
      </c>
      <c r="L330" t="s">
        <v>17</v>
      </c>
      <c r="M330" t="s">
        <v>18</v>
      </c>
      <c r="N330" s="4" t="s">
        <v>1303</v>
      </c>
      <c r="O330" s="4" t="s">
        <v>1304</v>
      </c>
      <c r="P330" s="4" t="s">
        <v>233</v>
      </c>
    </row>
    <row r="331" spans="1:16" x14ac:dyDescent="0.35">
      <c r="A331" t="s">
        <v>1305</v>
      </c>
      <c r="B331" t="s">
        <v>1306</v>
      </c>
      <c r="C331" t="s">
        <v>16</v>
      </c>
      <c r="D331" s="6">
        <v>3727607.2012478113</v>
      </c>
      <c r="E331" s="6">
        <v>615924.20124781132</v>
      </c>
      <c r="F331" s="6">
        <v>1.5800000429153442</v>
      </c>
      <c r="G331" s="6">
        <v>1.6200000047683716</v>
      </c>
      <c r="H331" s="6" t="e">
        <v>#N/A</v>
      </c>
      <c r="I331" s="6">
        <v>-0.86907018266361247</v>
      </c>
      <c r="J331" s="6">
        <v>0</v>
      </c>
      <c r="K331" s="6">
        <v>79.561393453563326</v>
      </c>
      <c r="L331" t="s">
        <v>17</v>
      </c>
      <c r="M331" t="s">
        <v>87</v>
      </c>
      <c r="N331" s="4" t="s">
        <v>13449</v>
      </c>
      <c r="O331" s="4" t="s">
        <v>13450</v>
      </c>
      <c r="P331" s="4" t="s">
        <v>233</v>
      </c>
    </row>
    <row r="332" spans="1:16" x14ac:dyDescent="0.35">
      <c r="A332" t="s">
        <v>1307</v>
      </c>
      <c r="B332" t="s">
        <v>1308</v>
      </c>
      <c r="C332" t="s">
        <v>16</v>
      </c>
      <c r="D332" s="6">
        <v>19533676.3633883</v>
      </c>
      <c r="E332" s="6">
        <v>8388676.3633882999</v>
      </c>
      <c r="F332" s="6">
        <v>1.9199999570846558</v>
      </c>
      <c r="G332" s="6">
        <v>2.2883999347686768</v>
      </c>
      <c r="H332" s="6" t="e">
        <v>#N/A</v>
      </c>
      <c r="I332" s="6">
        <v>0.24600218185376588</v>
      </c>
      <c r="J332" s="6">
        <v>0</v>
      </c>
      <c r="K332" s="6">
        <v>8.1644532983599074</v>
      </c>
      <c r="L332" t="s">
        <v>17</v>
      </c>
      <c r="M332" t="s">
        <v>87</v>
      </c>
      <c r="N332" s="4" t="s">
        <v>1309</v>
      </c>
      <c r="O332" s="4" t="s">
        <v>1310</v>
      </c>
      <c r="P332" s="4" t="s">
        <v>233</v>
      </c>
    </row>
    <row r="333" spans="1:16" x14ac:dyDescent="0.35">
      <c r="A333" t="s">
        <v>1311</v>
      </c>
      <c r="B333" t="s">
        <v>1312</v>
      </c>
      <c r="C333" t="s">
        <v>16</v>
      </c>
      <c r="D333" s="6">
        <v>914200.93799999997</v>
      </c>
      <c r="E333" s="6">
        <v>15189069.937999999</v>
      </c>
      <c r="F333" s="6">
        <v>0.126</v>
      </c>
      <c r="G333" s="6">
        <v>0.126</v>
      </c>
      <c r="H333" s="6" t="e">
        <v>#N/A</v>
      </c>
      <c r="I333" s="6">
        <v>-0.73151856743626409</v>
      </c>
      <c r="J333" s="6">
        <v>30784454</v>
      </c>
      <c r="K333" s="6">
        <v>43.695652173913039</v>
      </c>
      <c r="L333" t="s">
        <v>17</v>
      </c>
      <c r="M333" t="s">
        <v>27</v>
      </c>
      <c r="N333" s="4" t="s">
        <v>1313</v>
      </c>
      <c r="O333" s="4" t="s">
        <v>1314</v>
      </c>
      <c r="P333" s="4" t="s">
        <v>233</v>
      </c>
    </row>
    <row r="334" spans="1:16" x14ac:dyDescent="0.35">
      <c r="A334" t="s">
        <v>1315</v>
      </c>
      <c r="B334" t="s">
        <v>1316</v>
      </c>
      <c r="C334" t="s">
        <v>16</v>
      </c>
      <c r="D334" s="6" t="e">
        <v>#N/A</v>
      </c>
      <c r="E334" s="6" t="e">
        <v>#N/A</v>
      </c>
      <c r="F334" s="6">
        <v>9.9999999747524271E-7</v>
      </c>
      <c r="G334" s="6">
        <v>9.9999999747524271E-7</v>
      </c>
      <c r="H334" s="6" t="e">
        <v>#N/A</v>
      </c>
      <c r="I334" s="6">
        <v>-0.99179108586197551</v>
      </c>
      <c r="J334" s="6">
        <v>81955</v>
      </c>
      <c r="K334" s="6">
        <v>13.150713607512117</v>
      </c>
      <c r="L334" t="s">
        <v>17</v>
      </c>
      <c r="M334" t="s">
        <v>32</v>
      </c>
      <c r="N334" s="4" t="s">
        <v>1317</v>
      </c>
      <c r="O334" s="4" t="s">
        <v>1318</v>
      </c>
      <c r="P334" s="4" t="s">
        <v>233</v>
      </c>
    </row>
    <row r="335" spans="1:16" x14ac:dyDescent="0.35">
      <c r="A335" t="s">
        <v>1319</v>
      </c>
      <c r="B335" t="s">
        <v>1320</v>
      </c>
      <c r="C335" t="s">
        <v>16</v>
      </c>
      <c r="D335" s="6">
        <v>5632482.4839305282</v>
      </c>
      <c r="E335" s="6">
        <v>-1009517.5160694709</v>
      </c>
      <c r="F335" s="6">
        <v>0.80000001192092896</v>
      </c>
      <c r="G335" s="6">
        <v>0.87000000476837158</v>
      </c>
      <c r="H335" s="6" t="e">
        <v>#N/A</v>
      </c>
      <c r="I335" s="6">
        <v>-0.11082499713336658</v>
      </c>
      <c r="J335" s="6">
        <v>31233000</v>
      </c>
      <c r="K335" s="6">
        <v>0.38348492812307677</v>
      </c>
      <c r="L335" t="s">
        <v>17</v>
      </c>
      <c r="M335" t="s">
        <v>40</v>
      </c>
      <c r="N335" s="4" t="s">
        <v>1321</v>
      </c>
      <c r="O335" s="4" t="s">
        <v>1322</v>
      </c>
      <c r="P335" s="4" t="s">
        <v>233</v>
      </c>
    </row>
    <row r="336" spans="1:16" x14ac:dyDescent="0.35">
      <c r="A336" t="s">
        <v>1323</v>
      </c>
      <c r="B336" t="s">
        <v>1324</v>
      </c>
      <c r="C336" t="s">
        <v>16</v>
      </c>
      <c r="D336" s="6">
        <v>60050.633852251922</v>
      </c>
      <c r="E336" s="6">
        <v>-2252476.3661477487</v>
      </c>
      <c r="F336" s="6">
        <v>6.0000002849847078E-4</v>
      </c>
      <c r="G336" s="6">
        <v>6.0000002849847078E-4</v>
      </c>
      <c r="H336" s="6" t="e">
        <v>#N/A</v>
      </c>
      <c r="I336" s="6">
        <v>-0.98241509560415141</v>
      </c>
      <c r="J336" s="6">
        <v>610</v>
      </c>
      <c r="K336" s="6">
        <v>63.157894736842096</v>
      </c>
      <c r="L336" t="s">
        <v>17</v>
      </c>
      <c r="M336" t="s">
        <v>18</v>
      </c>
      <c r="N336" s="4" t="s">
        <v>1325</v>
      </c>
      <c r="O336" s="4" t="s">
        <v>1326</v>
      </c>
      <c r="P336" s="4" t="s">
        <v>233</v>
      </c>
    </row>
    <row r="337" spans="1:16" x14ac:dyDescent="0.35">
      <c r="A337" t="s">
        <v>1327</v>
      </c>
      <c r="B337" t="s">
        <v>1328</v>
      </c>
      <c r="C337" t="s">
        <v>16</v>
      </c>
      <c r="D337" s="6">
        <v>5271668.4960000003</v>
      </c>
      <c r="E337" s="6">
        <v>7904774.4959999993</v>
      </c>
      <c r="F337" s="6">
        <v>0.41349999999999998</v>
      </c>
      <c r="G337" s="6">
        <v>0.41349999999999998</v>
      </c>
      <c r="H337" s="6" t="e">
        <v>#N/A</v>
      </c>
      <c r="I337" s="6">
        <v>-0.44776901725945384</v>
      </c>
      <c r="J337" s="6">
        <v>46238</v>
      </c>
      <c r="K337" s="6">
        <v>-6.3258973293913519</v>
      </c>
      <c r="L337" t="s">
        <v>17</v>
      </c>
      <c r="M337" t="s">
        <v>40</v>
      </c>
      <c r="N337" s="4" t="s">
        <v>1329</v>
      </c>
      <c r="O337" s="4" t="s">
        <v>1330</v>
      </c>
      <c r="P337" s="4" t="s">
        <v>233</v>
      </c>
    </row>
    <row r="338" spans="1:16" x14ac:dyDescent="0.35">
      <c r="A338" t="s">
        <v>1331</v>
      </c>
      <c r="B338" t="s">
        <v>1332</v>
      </c>
      <c r="C338" t="s">
        <v>16</v>
      </c>
      <c r="D338" s="6">
        <v>371569074.70790303</v>
      </c>
      <c r="E338" s="6">
        <v>2521432830.6946869</v>
      </c>
      <c r="F338" s="6">
        <v>0.54</v>
      </c>
      <c r="G338" s="6">
        <v>0.54400000000000004</v>
      </c>
      <c r="H338" s="6">
        <v>109.39382886089422</v>
      </c>
      <c r="I338" s="6">
        <v>0.20463630532012367</v>
      </c>
      <c r="J338" s="6">
        <v>1054880378.22</v>
      </c>
      <c r="K338" s="6">
        <v>105.95662534867826</v>
      </c>
      <c r="L338" t="s">
        <v>17</v>
      </c>
      <c r="M338" t="s">
        <v>87</v>
      </c>
      <c r="N338" s="4" t="s">
        <v>233</v>
      </c>
      <c r="O338" s="4" t="s">
        <v>1333</v>
      </c>
      <c r="P338" s="4" t="s">
        <v>13099</v>
      </c>
    </row>
    <row r="339" spans="1:16" x14ac:dyDescent="0.35">
      <c r="A339" t="s">
        <v>1334</v>
      </c>
      <c r="B339" t="s">
        <v>1335</v>
      </c>
      <c r="C339" t="s">
        <v>16</v>
      </c>
      <c r="D339" s="6" t="e">
        <v>#N/A</v>
      </c>
      <c r="E339" s="6" t="e">
        <v>#N/A</v>
      </c>
      <c r="F339" s="6" t="e">
        <v>#N/A</v>
      </c>
      <c r="G339" s="6" t="e">
        <v>#N/A</v>
      </c>
      <c r="H339" s="6" t="e">
        <v>#N/A</v>
      </c>
      <c r="I339" s="6">
        <v>0</v>
      </c>
      <c r="J339" s="6" t="e">
        <v>#N/A</v>
      </c>
      <c r="K339" s="6" t="e">
        <v>#N/A</v>
      </c>
      <c r="L339" t="s">
        <v>17</v>
      </c>
      <c r="M339" t="s">
        <v>40</v>
      </c>
      <c r="N339" s="4" t="s">
        <v>1336</v>
      </c>
      <c r="O339" s="4" t="s">
        <v>1337</v>
      </c>
      <c r="P339" s="4" t="s">
        <v>233</v>
      </c>
    </row>
    <row r="340" spans="1:16" x14ac:dyDescent="0.35">
      <c r="A340" t="s">
        <v>1338</v>
      </c>
      <c r="B340" t="s">
        <v>1339</v>
      </c>
      <c r="C340" t="s">
        <v>16</v>
      </c>
      <c r="D340" s="6">
        <v>1887.9653872333458</v>
      </c>
      <c r="E340" s="6" t="e">
        <v>#N/A</v>
      </c>
      <c r="F340" s="6">
        <v>9.9999999747524271E-7</v>
      </c>
      <c r="G340" s="6">
        <v>9.9999999747524271E-7</v>
      </c>
      <c r="H340" s="6" t="e">
        <v>#N/A</v>
      </c>
      <c r="I340" s="6">
        <v>0</v>
      </c>
      <c r="J340" s="6" t="e">
        <v>#N/A</v>
      </c>
      <c r="K340" s="6" t="e">
        <v>#N/A</v>
      </c>
      <c r="L340" t="s">
        <v>17</v>
      </c>
      <c r="M340" t="s">
        <v>87</v>
      </c>
      <c r="N340" s="4" t="s">
        <v>1340</v>
      </c>
      <c r="O340" s="4" t="s">
        <v>1341</v>
      </c>
      <c r="P340" s="4" t="s">
        <v>233</v>
      </c>
    </row>
    <row r="341" spans="1:16" x14ac:dyDescent="0.35">
      <c r="A341" t="s">
        <v>1342</v>
      </c>
      <c r="B341" t="s">
        <v>1343</v>
      </c>
      <c r="C341" t="s">
        <v>16</v>
      </c>
      <c r="D341" s="6">
        <v>18572.079600000001</v>
      </c>
      <c r="E341" s="6">
        <v>2056787.0796000003</v>
      </c>
      <c r="F341" s="6">
        <v>2.9999999999999997E-4</v>
      </c>
      <c r="G341" s="6">
        <v>2.9999999999999997E-4</v>
      </c>
      <c r="H341" s="6" t="e">
        <v>#N/A</v>
      </c>
      <c r="I341" s="6">
        <v>-0.98747950475416202</v>
      </c>
      <c r="J341" s="6">
        <v>0</v>
      </c>
      <c r="K341" s="6">
        <v>63.944694360344691</v>
      </c>
      <c r="L341" t="s">
        <v>17</v>
      </c>
      <c r="M341" t="s">
        <v>18</v>
      </c>
      <c r="N341" s="4" t="s">
        <v>1344</v>
      </c>
      <c r="O341" s="4" t="s">
        <v>1345</v>
      </c>
      <c r="P341" s="4" t="s">
        <v>233</v>
      </c>
    </row>
    <row r="342" spans="1:16" x14ac:dyDescent="0.35">
      <c r="A342" t="s">
        <v>12975</v>
      </c>
      <c r="B342" t="s">
        <v>12974</v>
      </c>
      <c r="C342" t="s">
        <v>16</v>
      </c>
      <c r="D342" s="6">
        <v>2551606.6613917351</v>
      </c>
      <c r="E342" s="6">
        <v>15059178.661391735</v>
      </c>
      <c r="F342" s="6">
        <v>0.36000001430511475</v>
      </c>
      <c r="G342" s="6">
        <v>0.37999999523162842</v>
      </c>
      <c r="H342" s="6" t="e">
        <v>#N/A</v>
      </c>
      <c r="I342" s="6">
        <v>-0.59899731889738095</v>
      </c>
      <c r="J342" s="6">
        <v>6227788</v>
      </c>
      <c r="K342" s="6">
        <v>82.962376459652972</v>
      </c>
      <c r="L342" t="s">
        <v>17</v>
      </c>
      <c r="M342" t="s">
        <v>27</v>
      </c>
      <c r="N342" s="4" t="s">
        <v>12976</v>
      </c>
      <c r="O342" s="4" t="s">
        <v>12977</v>
      </c>
      <c r="P342" s="4" t="s">
        <v>233</v>
      </c>
    </row>
    <row r="343" spans="1:16" x14ac:dyDescent="0.35">
      <c r="A343" t="s">
        <v>13062</v>
      </c>
      <c r="B343" t="s">
        <v>1346</v>
      </c>
      <c r="C343" t="s">
        <v>16</v>
      </c>
      <c r="D343" s="6">
        <v>43.595823898676827</v>
      </c>
      <c r="E343" s="6">
        <v>-246956.40417610132</v>
      </c>
      <c r="F343" s="6">
        <v>9.9999997473787516E-5</v>
      </c>
      <c r="G343" s="6">
        <v>9.9999997473787516E-5</v>
      </c>
      <c r="H343" s="6" t="e">
        <v>#N/A</v>
      </c>
      <c r="I343" s="6">
        <v>-0.99999899767454747</v>
      </c>
      <c r="J343" s="6" t="e">
        <v>#N/A</v>
      </c>
      <c r="K343" s="6" t="e">
        <v>#N/A</v>
      </c>
      <c r="L343" t="s">
        <v>17</v>
      </c>
      <c r="M343" t="s">
        <v>87</v>
      </c>
      <c r="N343" s="4" t="s">
        <v>13063</v>
      </c>
      <c r="O343" s="4" t="s">
        <v>13064</v>
      </c>
      <c r="P343" s="4" t="s">
        <v>233</v>
      </c>
    </row>
    <row r="344" spans="1:16" x14ac:dyDescent="0.35">
      <c r="A344" t="s">
        <v>1347</v>
      </c>
      <c r="B344" t="s">
        <v>1348</v>
      </c>
      <c r="C344" t="s">
        <v>16</v>
      </c>
      <c r="D344" s="6">
        <v>22324.705999999998</v>
      </c>
      <c r="E344" s="6">
        <v>-432691.2094459834</v>
      </c>
      <c r="F344" s="6" t="e">
        <v>#N/A</v>
      </c>
      <c r="G344" s="6" t="e">
        <v>#N/A</v>
      </c>
      <c r="H344" s="6" t="e">
        <v>#N/A</v>
      </c>
      <c r="I344" s="6">
        <v>0</v>
      </c>
      <c r="J344" s="6">
        <v>13451210.975646973</v>
      </c>
      <c r="K344" s="6">
        <v>-26.785713410223543</v>
      </c>
      <c r="L344" t="s">
        <v>17</v>
      </c>
      <c r="M344" t="s">
        <v>87</v>
      </c>
      <c r="N344" s="4" t="s">
        <v>1349</v>
      </c>
      <c r="O344" s="4" t="s">
        <v>1350</v>
      </c>
      <c r="P344" s="4" t="s">
        <v>233</v>
      </c>
    </row>
    <row r="345" spans="1:16" x14ac:dyDescent="0.35">
      <c r="A345" t="s">
        <v>1351</v>
      </c>
      <c r="B345" t="s">
        <v>1352</v>
      </c>
      <c r="C345" t="s">
        <v>16</v>
      </c>
      <c r="D345" s="6">
        <v>1547195166.8775942</v>
      </c>
      <c r="E345" s="6">
        <v>1408496166.8775942</v>
      </c>
      <c r="F345" s="6">
        <v>100.19999694824219</v>
      </c>
      <c r="G345" s="6">
        <v>100.5</v>
      </c>
      <c r="H345" s="6">
        <v>22.042464732218622</v>
      </c>
      <c r="I345" s="6">
        <v>9.8840991854791005E-2</v>
      </c>
      <c r="J345" s="6">
        <v>1238946000</v>
      </c>
      <c r="K345" s="6">
        <v>178.00687285223367</v>
      </c>
      <c r="L345" t="s">
        <v>17</v>
      </c>
      <c r="M345" t="s">
        <v>40</v>
      </c>
      <c r="N345" s="4" t="s">
        <v>1353</v>
      </c>
      <c r="O345" s="4" t="s">
        <v>1354</v>
      </c>
      <c r="P345" s="4" t="s">
        <v>233</v>
      </c>
    </row>
    <row r="346" spans="1:16" x14ac:dyDescent="0.35">
      <c r="A346" t="s">
        <v>1355</v>
      </c>
      <c r="B346" t="s">
        <v>1356</v>
      </c>
      <c r="C346" t="s">
        <v>16</v>
      </c>
      <c r="D346" s="6">
        <v>4171581376.8367534</v>
      </c>
      <c r="E346" s="6">
        <v>5147839376.8367538</v>
      </c>
      <c r="F346" s="6">
        <v>84.209999084472656</v>
      </c>
      <c r="G346" s="6">
        <v>85.160003662109375</v>
      </c>
      <c r="H346" s="6">
        <v>19.902014091522478</v>
      </c>
      <c r="I346" s="6">
        <v>0.23856734971294657</v>
      </c>
      <c r="J346" s="6">
        <v>1118235000</v>
      </c>
      <c r="K346" s="6" t="e">
        <v>#N/A</v>
      </c>
      <c r="L346" t="s">
        <v>17</v>
      </c>
      <c r="M346" t="s">
        <v>87</v>
      </c>
      <c r="N346" s="4" t="s">
        <v>1357</v>
      </c>
      <c r="O346" s="4" t="s">
        <v>1358</v>
      </c>
      <c r="P346" s="4" t="s">
        <v>233</v>
      </c>
    </row>
    <row r="347" spans="1:16" x14ac:dyDescent="0.35">
      <c r="A347" t="s">
        <v>1359</v>
      </c>
      <c r="B347" t="s">
        <v>1360</v>
      </c>
      <c r="C347" t="s">
        <v>16</v>
      </c>
      <c r="D347" s="6">
        <v>27061651.734259129</v>
      </c>
      <c r="E347" s="6">
        <v>28972644.734259129</v>
      </c>
      <c r="F347" s="6">
        <v>3.0099999904632568</v>
      </c>
      <c r="G347" s="6">
        <v>3.2000000476837158</v>
      </c>
      <c r="H347" s="6" t="e">
        <v>#N/A</v>
      </c>
      <c r="I347" s="6">
        <v>0.35727389460492165</v>
      </c>
      <c r="J347" s="6">
        <v>1798920</v>
      </c>
      <c r="K347" s="6">
        <v>-353.84250630292934</v>
      </c>
      <c r="L347" t="s">
        <v>17</v>
      </c>
      <c r="M347" t="s">
        <v>32</v>
      </c>
      <c r="N347" s="4" t="s">
        <v>1361</v>
      </c>
      <c r="O347" s="4" t="s">
        <v>1362</v>
      </c>
      <c r="P347" s="4" t="s">
        <v>233</v>
      </c>
    </row>
    <row r="348" spans="1:16" x14ac:dyDescent="0.35">
      <c r="A348" t="s">
        <v>1363</v>
      </c>
      <c r="B348" t="s">
        <v>1364</v>
      </c>
      <c r="C348" t="s">
        <v>16</v>
      </c>
      <c r="D348" s="6">
        <v>2158979837.4843979</v>
      </c>
      <c r="E348" s="6">
        <v>2086941837.4843979</v>
      </c>
      <c r="F348" s="6">
        <v>38.380001068115234</v>
      </c>
      <c r="G348" s="6">
        <v>37.290000915527344</v>
      </c>
      <c r="H348" s="6">
        <v>30.291933623031365</v>
      </c>
      <c r="I348" s="6">
        <v>-1.0382535642616819E-3</v>
      </c>
      <c r="J348" s="6">
        <v>1722367000</v>
      </c>
      <c r="K348" s="6">
        <v>31.000000000000007</v>
      </c>
      <c r="L348" t="s">
        <v>17</v>
      </c>
      <c r="M348" t="s">
        <v>40</v>
      </c>
      <c r="N348" s="4" t="s">
        <v>1365</v>
      </c>
      <c r="O348" s="4" t="s">
        <v>1366</v>
      </c>
      <c r="P348" s="4" t="s">
        <v>233</v>
      </c>
    </row>
    <row r="349" spans="1:16" x14ac:dyDescent="0.35">
      <c r="A349" t="s">
        <v>1367</v>
      </c>
      <c r="B349" t="s">
        <v>1368</v>
      </c>
      <c r="C349" t="s">
        <v>16</v>
      </c>
      <c r="D349" s="6">
        <v>1284432388.5505066</v>
      </c>
      <c r="E349" s="6">
        <v>1609783388.5505066</v>
      </c>
      <c r="F349" s="6">
        <v>85.089996337890625</v>
      </c>
      <c r="G349" s="6">
        <v>86.319999694824219</v>
      </c>
      <c r="H349" s="6">
        <v>27.504681788334711</v>
      </c>
      <c r="I349" s="6">
        <v>-0.10312758988587778</v>
      </c>
      <c r="J349" s="6">
        <v>645699000</v>
      </c>
      <c r="K349" s="6">
        <v>-30.84285363299924</v>
      </c>
      <c r="L349" t="s">
        <v>17</v>
      </c>
      <c r="M349" t="s">
        <v>40</v>
      </c>
      <c r="N349" s="4" t="s">
        <v>1369</v>
      </c>
      <c r="O349" s="4" t="s">
        <v>1370</v>
      </c>
      <c r="P349" s="4" t="s">
        <v>233</v>
      </c>
    </row>
    <row r="350" spans="1:16" x14ac:dyDescent="0.35">
      <c r="A350" t="s">
        <v>1371</v>
      </c>
      <c r="B350" t="s">
        <v>1372</v>
      </c>
      <c r="C350" t="s">
        <v>16</v>
      </c>
      <c r="D350" s="6" t="e">
        <v>#N/A</v>
      </c>
      <c r="E350" s="6" t="e">
        <v>#N/A</v>
      </c>
      <c r="F350" s="6">
        <v>9.9999999747524271E-7</v>
      </c>
      <c r="G350" s="6">
        <v>9.9999999747524271E-7</v>
      </c>
      <c r="H350" s="6" t="e">
        <v>#N/A</v>
      </c>
      <c r="I350" s="6">
        <v>4.4408920985006262E-16</v>
      </c>
      <c r="J350" s="6">
        <v>2569000</v>
      </c>
      <c r="K350" s="6">
        <v>12.907005782123438</v>
      </c>
      <c r="L350" t="s">
        <v>17</v>
      </c>
      <c r="M350" t="s">
        <v>18</v>
      </c>
      <c r="N350" s="4" t="s">
        <v>1373</v>
      </c>
      <c r="O350" s="4" t="s">
        <v>1374</v>
      </c>
      <c r="P350" s="4" t="s">
        <v>233</v>
      </c>
    </row>
    <row r="351" spans="1:16" x14ac:dyDescent="0.35">
      <c r="A351" t="s">
        <v>1375</v>
      </c>
      <c r="B351" t="s">
        <v>1376</v>
      </c>
      <c r="C351" t="s">
        <v>16</v>
      </c>
      <c r="D351" s="6">
        <v>77844735.691421986</v>
      </c>
      <c r="E351" s="6">
        <v>107198735.69142199</v>
      </c>
      <c r="F351" s="6">
        <v>0.56000000238418579</v>
      </c>
      <c r="G351" s="6">
        <v>0.56800001859664917</v>
      </c>
      <c r="H351" s="6" t="e">
        <v>#N/A</v>
      </c>
      <c r="I351" s="6">
        <v>-0.45540469944883255</v>
      </c>
      <c r="J351" s="6">
        <v>113862000</v>
      </c>
      <c r="K351" s="6" t="e">
        <v>#N/A</v>
      </c>
      <c r="L351" t="s">
        <v>17</v>
      </c>
      <c r="M351" t="s">
        <v>27</v>
      </c>
      <c r="N351" s="4" t="s">
        <v>1377</v>
      </c>
      <c r="O351" s="4" t="s">
        <v>1378</v>
      </c>
      <c r="P351" s="4" t="s">
        <v>233</v>
      </c>
    </row>
    <row r="352" spans="1:16" x14ac:dyDescent="0.35">
      <c r="A352" t="s">
        <v>1379</v>
      </c>
      <c r="B352" t="s">
        <v>1380</v>
      </c>
      <c r="C352" t="s">
        <v>16</v>
      </c>
      <c r="D352" s="6">
        <v>6589654.3999999994</v>
      </c>
      <c r="E352" s="6">
        <v>10025470.399999999</v>
      </c>
      <c r="F352" s="6">
        <v>0.05</v>
      </c>
      <c r="G352" s="6">
        <v>0.05</v>
      </c>
      <c r="H352" s="6" t="e">
        <v>#N/A</v>
      </c>
      <c r="I352" s="6">
        <v>-0.28505732445868637</v>
      </c>
      <c r="J352" s="6">
        <v>364952</v>
      </c>
      <c r="K352" s="6">
        <v>15.753454769266849</v>
      </c>
      <c r="L352" t="s">
        <v>17</v>
      </c>
      <c r="M352" t="s">
        <v>18</v>
      </c>
      <c r="N352" s="4" t="s">
        <v>1381</v>
      </c>
      <c r="O352" s="4" t="s">
        <v>1382</v>
      </c>
      <c r="P352" s="4" t="s">
        <v>233</v>
      </c>
    </row>
    <row r="353" spans="1:16" x14ac:dyDescent="0.35">
      <c r="A353" t="s">
        <v>1383</v>
      </c>
      <c r="B353" t="s">
        <v>1384</v>
      </c>
      <c r="C353" t="s">
        <v>16</v>
      </c>
      <c r="D353" s="6">
        <v>2071889758.6365128</v>
      </c>
      <c r="E353" s="6">
        <v>1909955758.6365128</v>
      </c>
      <c r="F353" s="6">
        <v>114.26000213623047</v>
      </c>
      <c r="G353" s="6">
        <v>113.73000335693359</v>
      </c>
      <c r="H353" s="6">
        <v>24.27540326280247</v>
      </c>
      <c r="I353" s="6">
        <v>0.19560396323956852</v>
      </c>
      <c r="J353" s="6">
        <v>1133806000</v>
      </c>
      <c r="K353" s="6">
        <v>23.676880222841227</v>
      </c>
      <c r="L353" t="s">
        <v>17</v>
      </c>
      <c r="M353" t="s">
        <v>40</v>
      </c>
      <c r="N353" s="4" t="s">
        <v>1385</v>
      </c>
      <c r="O353" s="4" t="s">
        <v>1386</v>
      </c>
      <c r="P353" s="4" t="s">
        <v>233</v>
      </c>
    </row>
    <row r="354" spans="1:16" x14ac:dyDescent="0.35">
      <c r="A354" t="s">
        <v>1387</v>
      </c>
      <c r="B354" t="s">
        <v>1388</v>
      </c>
      <c r="C354" t="s">
        <v>16</v>
      </c>
      <c r="D354" s="6">
        <v>23340274547.313812</v>
      </c>
      <c r="E354" s="6">
        <v>23154174547.313812</v>
      </c>
      <c r="F354" s="6">
        <v>322.27999877929688</v>
      </c>
      <c r="G354" s="6">
        <v>318.60000610351563</v>
      </c>
      <c r="H354" s="6">
        <v>47.690196441539612</v>
      </c>
      <c r="I354" s="6">
        <v>-0.20501003804134721</v>
      </c>
      <c r="J354" s="6">
        <v>2876400000</v>
      </c>
      <c r="K354" s="6">
        <v>-9.3209054593874736</v>
      </c>
      <c r="L354" t="s">
        <v>17</v>
      </c>
      <c r="M354" t="s">
        <v>100</v>
      </c>
      <c r="N354" s="4" t="s">
        <v>1389</v>
      </c>
      <c r="O354" s="4" t="s">
        <v>1390</v>
      </c>
      <c r="P354" s="4" t="s">
        <v>233</v>
      </c>
    </row>
    <row r="355" spans="1:16" x14ac:dyDescent="0.35">
      <c r="A355" t="s">
        <v>1391</v>
      </c>
      <c r="B355" t="s">
        <v>1392</v>
      </c>
      <c r="C355" t="s">
        <v>16</v>
      </c>
      <c r="D355" s="6" t="e">
        <v>#N/A</v>
      </c>
      <c r="E355" s="6" t="e">
        <v>#N/A</v>
      </c>
      <c r="F355" s="6" t="e">
        <v>#N/A</v>
      </c>
      <c r="G355" s="6" t="e">
        <v>#N/A</v>
      </c>
      <c r="H355" s="6" t="e">
        <v>#N/A</v>
      </c>
      <c r="I355" s="6">
        <v>-0.94321073812787948</v>
      </c>
      <c r="J355" s="6" t="e">
        <v>#N/A</v>
      </c>
      <c r="K355" s="6">
        <v>36.170213238153593</v>
      </c>
      <c r="L355" t="s">
        <v>17</v>
      </c>
      <c r="M355" t="s">
        <v>87</v>
      </c>
      <c r="N355" s="4" t="s">
        <v>1393</v>
      </c>
      <c r="O355" s="4" t="s">
        <v>1394</v>
      </c>
      <c r="P355" s="4" t="s">
        <v>233</v>
      </c>
    </row>
    <row r="356" spans="1:16" x14ac:dyDescent="0.35">
      <c r="A356" t="s">
        <v>1395</v>
      </c>
      <c r="B356" t="s">
        <v>1396</v>
      </c>
      <c r="C356" t="s">
        <v>16</v>
      </c>
      <c r="D356" s="6" t="e">
        <v>#N/A</v>
      </c>
      <c r="E356" s="6" t="e">
        <v>#N/A</v>
      </c>
      <c r="F356" s="6" t="e">
        <v>#N/A</v>
      </c>
      <c r="G356" s="6" t="e">
        <v>#N/A</v>
      </c>
      <c r="H356" s="6" t="e">
        <v>#N/A</v>
      </c>
      <c r="I356" s="6">
        <v>0</v>
      </c>
      <c r="J356" s="6" t="e">
        <v>#N/A</v>
      </c>
      <c r="K356" s="6" t="e">
        <v>#N/A</v>
      </c>
      <c r="L356" t="s">
        <v>17</v>
      </c>
      <c r="M356" t="s">
        <v>40</v>
      </c>
      <c r="N356" s="4" t="s">
        <v>1397</v>
      </c>
      <c r="O356" s="4" t="s">
        <v>1398</v>
      </c>
      <c r="P356" s="4" t="s">
        <v>233</v>
      </c>
    </row>
    <row r="357" spans="1:16" x14ac:dyDescent="0.35">
      <c r="A357" t="s">
        <v>1399</v>
      </c>
      <c r="B357" t="s">
        <v>1400</v>
      </c>
      <c r="C357" t="s">
        <v>16</v>
      </c>
      <c r="D357" s="6">
        <v>1597221.2641633679</v>
      </c>
      <c r="E357" s="6">
        <v>3016844.9741633679</v>
      </c>
      <c r="F357" s="6">
        <v>8.9999998454004526E-4</v>
      </c>
      <c r="G357" s="6">
        <v>7.9999997979030013E-4</v>
      </c>
      <c r="H357" s="6" t="e">
        <v>#N/A</v>
      </c>
      <c r="I357" s="6">
        <v>-9.974089489217175E-2</v>
      </c>
      <c r="J357" s="6">
        <v>748</v>
      </c>
      <c r="K357" s="6">
        <v>90.586956521739125</v>
      </c>
      <c r="L357" t="s">
        <v>17</v>
      </c>
      <c r="M357" t="s">
        <v>18</v>
      </c>
      <c r="N357" s="4" t="s">
        <v>1401</v>
      </c>
      <c r="O357" s="4" t="s">
        <v>1402</v>
      </c>
      <c r="P357" s="4" t="s">
        <v>233</v>
      </c>
    </row>
    <row r="358" spans="1:16" x14ac:dyDescent="0.35">
      <c r="A358" t="s">
        <v>1403</v>
      </c>
      <c r="B358" t="s">
        <v>1404</v>
      </c>
      <c r="C358" t="s">
        <v>16</v>
      </c>
      <c r="D358" s="6">
        <v>858581199.77639771</v>
      </c>
      <c r="E358" s="6">
        <v>794715199.77639771</v>
      </c>
      <c r="F358" s="6">
        <v>8.9099998474121094</v>
      </c>
      <c r="G358" s="6">
        <v>8.9099998474121094</v>
      </c>
      <c r="H358" s="6" t="e">
        <v>#N/A</v>
      </c>
      <c r="I358" s="6">
        <v>-0.39098200333148037</v>
      </c>
      <c r="J358" s="6">
        <v>138160000</v>
      </c>
      <c r="K358" s="6">
        <v>63.425925925925924</v>
      </c>
      <c r="L358" t="s">
        <v>17</v>
      </c>
      <c r="M358" t="s">
        <v>87</v>
      </c>
      <c r="N358" s="4" t="s">
        <v>233</v>
      </c>
      <c r="O358" s="4" t="s">
        <v>1405</v>
      </c>
      <c r="P358" s="4" t="s">
        <v>13100</v>
      </c>
    </row>
    <row r="359" spans="1:16" x14ac:dyDescent="0.35">
      <c r="A359" t="s">
        <v>1406</v>
      </c>
      <c r="B359" t="s">
        <v>1407</v>
      </c>
      <c r="C359" t="s">
        <v>16</v>
      </c>
      <c r="D359" s="6" t="e">
        <v>#N/A</v>
      </c>
      <c r="E359" s="6" t="e">
        <v>#N/A</v>
      </c>
      <c r="F359" s="6" t="e">
        <v>#N/A</v>
      </c>
      <c r="G359" s="6" t="e">
        <v>#N/A</v>
      </c>
      <c r="H359" s="6" t="e">
        <v>#N/A</v>
      </c>
      <c r="I359" s="6">
        <v>0</v>
      </c>
      <c r="J359" s="6" t="e">
        <v>#N/A</v>
      </c>
      <c r="K359" s="6" t="e">
        <v>#N/A</v>
      </c>
      <c r="L359" t="s">
        <v>17</v>
      </c>
      <c r="M359" t="s">
        <v>40</v>
      </c>
      <c r="N359" s="4" t="s">
        <v>1408</v>
      </c>
      <c r="O359" s="4" t="s">
        <v>1409</v>
      </c>
      <c r="P359" s="4" t="s">
        <v>233</v>
      </c>
    </row>
    <row r="360" spans="1:16" x14ac:dyDescent="0.35">
      <c r="A360" t="s">
        <v>1410</v>
      </c>
      <c r="B360" t="s">
        <v>1411</v>
      </c>
      <c r="C360" t="s">
        <v>16</v>
      </c>
      <c r="D360" s="6">
        <v>606772040</v>
      </c>
      <c r="E360" s="6">
        <v>582590421</v>
      </c>
      <c r="F360" s="6">
        <v>10</v>
      </c>
      <c r="G360" s="6">
        <v>9.9099998474121094</v>
      </c>
      <c r="H360" s="6" t="e">
        <v>#N/A</v>
      </c>
      <c r="I360" s="6">
        <v>2.0302953901752989</v>
      </c>
      <c r="J360" s="6">
        <v>12262234</v>
      </c>
      <c r="K360" s="6">
        <v>5.8139534883720971</v>
      </c>
      <c r="L360" t="s">
        <v>17</v>
      </c>
      <c r="M360" t="s">
        <v>87</v>
      </c>
      <c r="N360" s="4" t="s">
        <v>1412</v>
      </c>
      <c r="O360" s="4" t="s">
        <v>1413</v>
      </c>
      <c r="P360" s="4" t="s">
        <v>233</v>
      </c>
    </row>
    <row r="361" spans="1:16" x14ac:dyDescent="0.35">
      <c r="A361" t="s">
        <v>1414</v>
      </c>
      <c r="B361" t="s">
        <v>1415</v>
      </c>
      <c r="C361" t="s">
        <v>16</v>
      </c>
      <c r="D361" s="6">
        <v>684322124.07269657</v>
      </c>
      <c r="E361" s="6">
        <v>600942023.07269657</v>
      </c>
      <c r="F361" s="6">
        <v>15.050000190734863</v>
      </c>
      <c r="G361" s="6">
        <v>13.25</v>
      </c>
      <c r="H361" s="6" t="e">
        <v>#N/A</v>
      </c>
      <c r="I361" s="6">
        <v>2.7582727869994752</v>
      </c>
      <c r="J361" s="6">
        <v>23228046</v>
      </c>
      <c r="K361" s="6">
        <v>8.6206896551724199</v>
      </c>
      <c r="L361" t="s">
        <v>17</v>
      </c>
      <c r="M361" t="s">
        <v>18</v>
      </c>
      <c r="N361" s="4" t="s">
        <v>1416</v>
      </c>
      <c r="O361" s="4" t="s">
        <v>1417</v>
      </c>
      <c r="P361" s="4" t="s">
        <v>233</v>
      </c>
    </row>
    <row r="362" spans="1:16" x14ac:dyDescent="0.35">
      <c r="A362" t="s">
        <v>1418</v>
      </c>
      <c r="B362" t="s">
        <v>1419</v>
      </c>
      <c r="C362" t="s">
        <v>16</v>
      </c>
      <c r="D362" s="6">
        <v>5904984.299438714</v>
      </c>
      <c r="E362" s="6">
        <v>6040984.299438714</v>
      </c>
      <c r="F362" s="6">
        <v>1.3999999761581421</v>
      </c>
      <c r="G362" s="6">
        <v>1.4700000286102295</v>
      </c>
      <c r="H362" s="6" t="e">
        <v>#N/A</v>
      </c>
      <c r="I362" s="6">
        <v>-0.4793938487604269</v>
      </c>
      <c r="J362" s="6">
        <v>11239000</v>
      </c>
      <c r="K362" s="6">
        <v>91.571430578230817</v>
      </c>
      <c r="L362" t="s">
        <v>17</v>
      </c>
      <c r="M362" t="s">
        <v>40</v>
      </c>
      <c r="N362" s="4" t="s">
        <v>1420</v>
      </c>
      <c r="O362" s="4" t="s">
        <v>1421</v>
      </c>
      <c r="P362" s="4" t="s">
        <v>233</v>
      </c>
    </row>
    <row r="363" spans="1:16" x14ac:dyDescent="0.35">
      <c r="A363" t="s">
        <v>1422</v>
      </c>
      <c r="B363" t="s">
        <v>1423</v>
      </c>
      <c r="C363" t="s">
        <v>16</v>
      </c>
      <c r="D363" s="6">
        <v>504410678.39027303</v>
      </c>
      <c r="E363" s="6">
        <v>227554678.39027303</v>
      </c>
      <c r="F363" s="6">
        <v>1.3550000190734863</v>
      </c>
      <c r="G363" s="6">
        <v>1.2999999523162842</v>
      </c>
      <c r="H363" s="6" t="e">
        <v>#N/A</v>
      </c>
      <c r="I363" s="6">
        <v>-0.43217464051017318</v>
      </c>
      <c r="J363" s="6">
        <v>155902000</v>
      </c>
      <c r="K363" s="6">
        <v>26.041666666666668</v>
      </c>
      <c r="L363" t="s">
        <v>17</v>
      </c>
      <c r="M363" t="s">
        <v>100</v>
      </c>
      <c r="N363" s="4" t="s">
        <v>1424</v>
      </c>
      <c r="O363" s="4" t="s">
        <v>1425</v>
      </c>
      <c r="P363" s="4" t="s">
        <v>233</v>
      </c>
    </row>
    <row r="364" spans="1:16" x14ac:dyDescent="0.35">
      <c r="A364" t="s">
        <v>1426</v>
      </c>
      <c r="B364" t="s">
        <v>1427</v>
      </c>
      <c r="C364" t="s">
        <v>16</v>
      </c>
      <c r="D364" s="6">
        <v>837389.39</v>
      </c>
      <c r="E364" s="6">
        <v>2007732.3900000001</v>
      </c>
      <c r="F364" s="6">
        <v>0.01</v>
      </c>
      <c r="G364" s="6">
        <v>0.01</v>
      </c>
      <c r="H364" s="6" t="e">
        <v>#N/A</v>
      </c>
      <c r="I364" s="6">
        <v>-0.83279332902107484</v>
      </c>
      <c r="J364" s="6">
        <v>0</v>
      </c>
      <c r="K364" s="6">
        <v>73.648382559774959</v>
      </c>
      <c r="L364" t="s">
        <v>17</v>
      </c>
      <c r="M364" t="s">
        <v>18</v>
      </c>
      <c r="N364" s="4" t="s">
        <v>1428</v>
      </c>
      <c r="O364" s="4" t="s">
        <v>1429</v>
      </c>
      <c r="P364" s="4" t="s">
        <v>233</v>
      </c>
    </row>
    <row r="365" spans="1:16" x14ac:dyDescent="0.35">
      <c r="A365" t="s">
        <v>1430</v>
      </c>
      <c r="B365" t="s">
        <v>1431</v>
      </c>
      <c r="C365" t="s">
        <v>16</v>
      </c>
      <c r="D365" s="6" t="e">
        <v>#N/A</v>
      </c>
      <c r="E365" s="6" t="e">
        <v>#N/A</v>
      </c>
      <c r="F365" s="6">
        <v>9.9999999747524271E-7</v>
      </c>
      <c r="G365" s="6">
        <v>9.9999999747524271E-7</v>
      </c>
      <c r="H365" s="6" t="e">
        <v>#N/A</v>
      </c>
      <c r="I365" s="6">
        <v>4.4408920985006262E-16</v>
      </c>
      <c r="J365" s="6">
        <v>0</v>
      </c>
      <c r="K365" s="6" t="e">
        <v>#N/A</v>
      </c>
      <c r="L365" t="s">
        <v>17</v>
      </c>
      <c r="M365" t="s">
        <v>40</v>
      </c>
      <c r="N365" s="4" t="s">
        <v>1432</v>
      </c>
      <c r="O365" s="4" t="s">
        <v>1433</v>
      </c>
      <c r="P365" s="4" t="s">
        <v>233</v>
      </c>
    </row>
    <row r="366" spans="1:16" x14ac:dyDescent="0.35">
      <c r="A366" t="s">
        <v>1434</v>
      </c>
      <c r="B366" t="s">
        <v>1435</v>
      </c>
      <c r="C366" t="s">
        <v>16</v>
      </c>
      <c r="D366" s="6">
        <v>41980.368399999999</v>
      </c>
      <c r="E366" s="6">
        <v>148394.36840000001</v>
      </c>
      <c r="F366" s="6" t="e">
        <v>#N/A</v>
      </c>
      <c r="G366" s="6" t="e">
        <v>#N/A</v>
      </c>
      <c r="H366" s="6" t="e">
        <v>#N/A</v>
      </c>
      <c r="I366" s="6">
        <v>0</v>
      </c>
      <c r="J366" s="6">
        <v>133345</v>
      </c>
      <c r="K366" s="6" t="e">
        <v>#N/A</v>
      </c>
      <c r="L366" t="s">
        <v>17</v>
      </c>
      <c r="M366" t="s">
        <v>18</v>
      </c>
      <c r="N366" s="4" t="s">
        <v>1436</v>
      </c>
      <c r="O366" s="4" t="s">
        <v>1437</v>
      </c>
      <c r="P366" s="4" t="s">
        <v>233</v>
      </c>
    </row>
    <row r="367" spans="1:16" x14ac:dyDescent="0.35">
      <c r="A367" t="s">
        <v>1438</v>
      </c>
      <c r="B367" t="s">
        <v>1439</v>
      </c>
      <c r="C367" t="s">
        <v>16</v>
      </c>
      <c r="D367" s="6">
        <v>56820.85586458441</v>
      </c>
      <c r="E367" s="6">
        <v>7303972.8558645844</v>
      </c>
      <c r="F367" s="6">
        <v>9.9999997473787516E-5</v>
      </c>
      <c r="G367" s="6">
        <v>9.9999997473787516E-5</v>
      </c>
      <c r="H367" s="6" t="e">
        <v>#N/A</v>
      </c>
      <c r="I367" s="6">
        <v>-0.49905219301431136</v>
      </c>
      <c r="J367" s="6">
        <v>2619558</v>
      </c>
      <c r="K367" s="6">
        <v>85.15538811820764</v>
      </c>
      <c r="L367" t="s">
        <v>17</v>
      </c>
      <c r="M367" t="s">
        <v>87</v>
      </c>
      <c r="N367" s="4" t="s">
        <v>1440</v>
      </c>
      <c r="O367" s="4" t="s">
        <v>1441</v>
      </c>
      <c r="P367" s="4" t="s">
        <v>233</v>
      </c>
    </row>
    <row r="368" spans="1:16" x14ac:dyDescent="0.35">
      <c r="A368" t="s">
        <v>1442</v>
      </c>
      <c r="B368" t="s">
        <v>1443</v>
      </c>
      <c r="C368" t="s">
        <v>16</v>
      </c>
      <c r="D368" s="6">
        <v>36338808.339205749</v>
      </c>
      <c r="E368" s="6">
        <v>33320808.339205749</v>
      </c>
      <c r="F368" s="6">
        <v>3.6800000667572021</v>
      </c>
      <c r="G368" s="6">
        <v>3.1400001049041748</v>
      </c>
      <c r="H368" s="6" t="e">
        <v>#N/A</v>
      </c>
      <c r="I368" s="6">
        <v>2.0320936679013211</v>
      </c>
      <c r="J368" s="6">
        <v>375000</v>
      </c>
      <c r="K368" s="6">
        <v>88.036782909999189</v>
      </c>
      <c r="L368" t="s">
        <v>17</v>
      </c>
      <c r="M368" t="s">
        <v>18</v>
      </c>
      <c r="N368" s="4" t="s">
        <v>1444</v>
      </c>
      <c r="O368" s="4" t="s">
        <v>1445</v>
      </c>
      <c r="P368" s="4" t="s">
        <v>233</v>
      </c>
    </row>
    <row r="369" spans="1:16" x14ac:dyDescent="0.35">
      <c r="A369" t="s">
        <v>1446</v>
      </c>
      <c r="B369" t="s">
        <v>1447</v>
      </c>
      <c r="C369" t="s">
        <v>16</v>
      </c>
      <c r="D369" s="6" t="e">
        <v>#N/A</v>
      </c>
      <c r="E369" s="6" t="e">
        <v>#N/A</v>
      </c>
      <c r="F369" s="6">
        <v>9.9999999747524271E-7</v>
      </c>
      <c r="G369" s="6">
        <v>9.9999999747524271E-7</v>
      </c>
      <c r="H369" s="6" t="e">
        <v>#N/A</v>
      </c>
      <c r="I369" s="6">
        <v>0</v>
      </c>
      <c r="J369" s="6">
        <v>238582</v>
      </c>
      <c r="K369" s="6">
        <v>17.14285682537119</v>
      </c>
      <c r="L369" t="s">
        <v>17</v>
      </c>
      <c r="M369" t="s">
        <v>32</v>
      </c>
      <c r="N369" s="4" t="s">
        <v>1448</v>
      </c>
      <c r="O369" s="4" t="s">
        <v>1449</v>
      </c>
      <c r="P369" s="4" t="s">
        <v>233</v>
      </c>
    </row>
    <row r="370" spans="1:16" x14ac:dyDescent="0.35">
      <c r="A370" t="s">
        <v>1450</v>
      </c>
      <c r="B370" t="s">
        <v>1451</v>
      </c>
      <c r="C370" t="s">
        <v>16</v>
      </c>
      <c r="D370" s="6" t="e">
        <v>#N/A</v>
      </c>
      <c r="E370" s="6" t="e">
        <v>#N/A</v>
      </c>
      <c r="F370" s="6" t="e">
        <v>#N/A</v>
      </c>
      <c r="G370" s="6" t="e">
        <v>#N/A</v>
      </c>
      <c r="H370" s="6" t="e">
        <v>#N/A</v>
      </c>
      <c r="I370" s="6">
        <v>-0.99492709218424991</v>
      </c>
      <c r="J370" s="6">
        <v>0</v>
      </c>
      <c r="K370" s="6">
        <v>41.650316672501638</v>
      </c>
      <c r="L370" t="s">
        <v>17</v>
      </c>
      <c r="M370" t="s">
        <v>18</v>
      </c>
      <c r="N370" s="4" t="s">
        <v>1452</v>
      </c>
      <c r="O370" s="4" t="s">
        <v>1453</v>
      </c>
      <c r="P370" s="4" t="s">
        <v>233</v>
      </c>
    </row>
    <row r="371" spans="1:16" x14ac:dyDescent="0.35">
      <c r="A371" t="s">
        <v>1454</v>
      </c>
      <c r="B371" t="s">
        <v>1455</v>
      </c>
      <c r="C371" t="s">
        <v>16</v>
      </c>
      <c r="D371" s="6">
        <v>5292501.4468536377</v>
      </c>
      <c r="E371" s="6">
        <v>3987501.4468536377</v>
      </c>
      <c r="F371" s="6">
        <v>1.2100000381469727</v>
      </c>
      <c r="G371" s="6">
        <v>1.2100000381469727</v>
      </c>
      <c r="H371" s="6" t="e">
        <v>#N/A</v>
      </c>
      <c r="I371" s="6">
        <v>-0.92671159212506948</v>
      </c>
      <c r="J371" s="6">
        <v>8969000</v>
      </c>
      <c r="K371" s="6">
        <v>79.476836357230937</v>
      </c>
      <c r="L371" t="s">
        <v>17</v>
      </c>
      <c r="M371" t="s">
        <v>27</v>
      </c>
      <c r="N371" s="4" t="s">
        <v>1456</v>
      </c>
      <c r="O371" s="4" t="s">
        <v>1457</v>
      </c>
      <c r="P371" s="4" t="s">
        <v>233</v>
      </c>
    </row>
    <row r="372" spans="1:16" x14ac:dyDescent="0.35">
      <c r="A372" t="s">
        <v>1458</v>
      </c>
      <c r="B372" t="s">
        <v>1459</v>
      </c>
      <c r="C372" t="s">
        <v>16</v>
      </c>
      <c r="D372" s="6" t="e">
        <v>#N/A</v>
      </c>
      <c r="E372" s="6" t="e">
        <v>#N/A</v>
      </c>
      <c r="F372" s="6">
        <v>9.9999999747524271E-7</v>
      </c>
      <c r="G372" s="6">
        <v>9.9999999747524271E-7</v>
      </c>
      <c r="H372" s="6" t="e">
        <v>#N/A</v>
      </c>
      <c r="I372" s="6">
        <v>-0.99796575044551072</v>
      </c>
      <c r="J372" s="6">
        <v>19690739</v>
      </c>
      <c r="K372" s="6">
        <v>-33.908518096384995</v>
      </c>
      <c r="L372" t="s">
        <v>17</v>
      </c>
      <c r="M372" t="s">
        <v>87</v>
      </c>
      <c r="N372" s="4" t="s">
        <v>1460</v>
      </c>
      <c r="O372" s="4" t="s">
        <v>1461</v>
      </c>
      <c r="P372" s="4" t="s">
        <v>233</v>
      </c>
    </row>
    <row r="373" spans="1:16" x14ac:dyDescent="0.35">
      <c r="A373" t="s">
        <v>1462</v>
      </c>
      <c r="B373" t="s">
        <v>1463</v>
      </c>
      <c r="C373" t="s">
        <v>16</v>
      </c>
      <c r="D373" s="6">
        <v>6861217.5516986838</v>
      </c>
      <c r="E373" s="6">
        <v>-1154115.4483013162</v>
      </c>
      <c r="F373" s="6">
        <v>1.5299999713897705</v>
      </c>
      <c r="G373" s="6">
        <v>1.4800000190734863</v>
      </c>
      <c r="H373" s="6" t="e">
        <v>#N/A</v>
      </c>
      <c r="I373" s="6">
        <v>-2.5409005932332751E-2</v>
      </c>
      <c r="J373" s="6" t="e">
        <v>#N/A</v>
      </c>
      <c r="K373" s="6" t="e">
        <v>#N/A</v>
      </c>
      <c r="L373" t="s">
        <v>17</v>
      </c>
      <c r="M373" t="s">
        <v>18</v>
      </c>
      <c r="N373" s="4" t="s">
        <v>1464</v>
      </c>
      <c r="O373" s="4" t="s">
        <v>1465</v>
      </c>
      <c r="P373" s="4" t="s">
        <v>233</v>
      </c>
    </row>
    <row r="374" spans="1:16" x14ac:dyDescent="0.35">
      <c r="A374" t="s">
        <v>1466</v>
      </c>
      <c r="B374" t="s">
        <v>1467</v>
      </c>
      <c r="C374" t="s">
        <v>16</v>
      </c>
      <c r="D374" s="6">
        <v>24363.035899999999</v>
      </c>
      <c r="E374" s="6" t="e">
        <v>#N/A</v>
      </c>
      <c r="F374" s="6">
        <v>9.9999999747524271E-7</v>
      </c>
      <c r="G374" s="6">
        <v>9.9999999747524271E-7</v>
      </c>
      <c r="H374" s="6" t="e">
        <v>#N/A</v>
      </c>
      <c r="I374" s="6">
        <v>-0.99492709218424991</v>
      </c>
      <c r="J374" s="6" t="e">
        <v>#N/A</v>
      </c>
      <c r="K374" s="6" t="e">
        <v>#N/A</v>
      </c>
      <c r="L374" t="s">
        <v>17</v>
      </c>
      <c r="M374" t="s">
        <v>18</v>
      </c>
      <c r="N374" s="4" t="s">
        <v>1468</v>
      </c>
      <c r="O374" s="4" t="s">
        <v>1469</v>
      </c>
      <c r="P374" s="4" t="s">
        <v>233</v>
      </c>
    </row>
    <row r="375" spans="1:16" x14ac:dyDescent="0.35">
      <c r="A375" t="s">
        <v>1470</v>
      </c>
      <c r="B375" t="s">
        <v>1471</v>
      </c>
      <c r="C375" t="s">
        <v>16</v>
      </c>
      <c r="D375" s="6">
        <v>2674091.1052817106</v>
      </c>
      <c r="E375" s="6">
        <v>991091.10528171062</v>
      </c>
      <c r="F375" s="6">
        <v>1.6699999570846558</v>
      </c>
      <c r="G375" s="6">
        <v>1.6510000228881836</v>
      </c>
      <c r="H375" s="6" t="e">
        <v>#N/A</v>
      </c>
      <c r="I375" s="6">
        <v>-0.92104897111165285</v>
      </c>
      <c r="J375" s="6">
        <v>6000</v>
      </c>
      <c r="K375" s="6">
        <v>42.509166666666701</v>
      </c>
      <c r="L375" t="s">
        <v>17</v>
      </c>
      <c r="M375" t="s">
        <v>18</v>
      </c>
      <c r="N375" s="4" t="s">
        <v>1472</v>
      </c>
      <c r="O375" s="4" t="s">
        <v>1473</v>
      </c>
      <c r="P375" s="4" t="s">
        <v>233</v>
      </c>
    </row>
    <row r="376" spans="1:16" x14ac:dyDescent="0.35">
      <c r="A376" t="s">
        <v>1474</v>
      </c>
      <c r="B376" t="s">
        <v>1475</v>
      </c>
      <c r="C376" t="s">
        <v>16</v>
      </c>
      <c r="D376" s="6">
        <v>11637539.030882834</v>
      </c>
      <c r="E376" s="6">
        <v>22082539.030882835</v>
      </c>
      <c r="F376" s="6">
        <v>2.7899999618530273</v>
      </c>
      <c r="G376" s="6">
        <v>2.7899999618530273</v>
      </c>
      <c r="H376" s="6" t="e">
        <v>#N/A</v>
      </c>
      <c r="I376" s="6">
        <v>-0.49178572578795543</v>
      </c>
      <c r="J376" s="6">
        <v>32675000</v>
      </c>
      <c r="K376" s="6">
        <v>-27.864501876759451</v>
      </c>
      <c r="L376" t="s">
        <v>17</v>
      </c>
      <c r="M376" t="s">
        <v>27</v>
      </c>
      <c r="N376" s="4" t="s">
        <v>1476</v>
      </c>
      <c r="O376" s="4" t="s">
        <v>1477</v>
      </c>
      <c r="P376" s="4" t="s">
        <v>233</v>
      </c>
    </row>
    <row r="377" spans="1:16" x14ac:dyDescent="0.35">
      <c r="A377" t="s">
        <v>1478</v>
      </c>
      <c r="B377" t="s">
        <v>1479</v>
      </c>
      <c r="C377" t="s">
        <v>16</v>
      </c>
      <c r="D377" s="6">
        <v>21101945.618057456</v>
      </c>
      <c r="E377" s="6">
        <v>20661644.618057456</v>
      </c>
      <c r="F377" s="6">
        <v>1.3899999670684338E-2</v>
      </c>
      <c r="G377" s="6">
        <v>1.3799999840557575E-2</v>
      </c>
      <c r="H377" s="6" t="e">
        <v>#N/A</v>
      </c>
      <c r="I377" s="6">
        <v>0.48502128536537104</v>
      </c>
      <c r="J377" s="6">
        <v>107801.83737627402</v>
      </c>
      <c r="K377" s="6">
        <v>-173.20754716981133</v>
      </c>
      <c r="L377" t="s">
        <v>17</v>
      </c>
      <c r="M377" t="s">
        <v>27</v>
      </c>
      <c r="N377" s="4" t="s">
        <v>1480</v>
      </c>
      <c r="O377" s="4" t="s">
        <v>1481</v>
      </c>
      <c r="P377" s="4" t="s">
        <v>233</v>
      </c>
    </row>
    <row r="378" spans="1:16" x14ac:dyDescent="0.35">
      <c r="A378" t="s">
        <v>1482</v>
      </c>
      <c r="B378" t="s">
        <v>1483</v>
      </c>
      <c r="C378" t="s">
        <v>16</v>
      </c>
      <c r="D378" s="6">
        <v>11353.579999999998</v>
      </c>
      <c r="E378" s="6">
        <v>-3803646.4200000004</v>
      </c>
      <c r="F378" s="6">
        <v>0.01</v>
      </c>
      <c r="G378" s="6">
        <v>0.01</v>
      </c>
      <c r="H378" s="6" t="e">
        <v>#N/A</v>
      </c>
      <c r="I378" s="6">
        <v>-0.99399932069231711</v>
      </c>
      <c r="J378" s="6">
        <v>0</v>
      </c>
      <c r="K378" s="6">
        <v>50.648148148148152</v>
      </c>
      <c r="L378" t="s">
        <v>17</v>
      </c>
      <c r="M378" t="s">
        <v>87</v>
      </c>
      <c r="N378" s="4" t="s">
        <v>1484</v>
      </c>
      <c r="O378" s="4" t="s">
        <v>1485</v>
      </c>
      <c r="P378" s="4" t="s">
        <v>233</v>
      </c>
    </row>
    <row r="379" spans="1:16" x14ac:dyDescent="0.35">
      <c r="A379" t="s">
        <v>1486</v>
      </c>
      <c r="B379" t="s">
        <v>1487</v>
      </c>
      <c r="C379" t="s">
        <v>16</v>
      </c>
      <c r="D379" s="6">
        <v>101098150.05758522</v>
      </c>
      <c r="E379" s="6">
        <v>80296150.057585225</v>
      </c>
      <c r="F379" s="6">
        <v>3.1400001049041748</v>
      </c>
      <c r="G379" s="6">
        <v>3.1500000953674316</v>
      </c>
      <c r="H379" s="6" t="e">
        <v>#N/A</v>
      </c>
      <c r="I379" s="6">
        <v>-0.29528873882509454</v>
      </c>
      <c r="J379" s="6">
        <v>0</v>
      </c>
      <c r="K379" s="6">
        <v>-21.875000000000004</v>
      </c>
      <c r="L379" t="s">
        <v>17</v>
      </c>
      <c r="M379" t="s">
        <v>18</v>
      </c>
      <c r="N379" s="4" t="s">
        <v>1488</v>
      </c>
      <c r="O379" s="4" t="s">
        <v>1489</v>
      </c>
      <c r="P379" s="4" t="s">
        <v>233</v>
      </c>
    </row>
    <row r="380" spans="1:16" x14ac:dyDescent="0.35">
      <c r="A380" t="s">
        <v>1490</v>
      </c>
      <c r="B380" t="s">
        <v>1491</v>
      </c>
      <c r="C380" t="s">
        <v>16</v>
      </c>
      <c r="D380" s="6" t="e">
        <v>#N/A</v>
      </c>
      <c r="E380" s="6" t="e">
        <v>#N/A</v>
      </c>
      <c r="F380" s="6" t="e">
        <v>#N/A</v>
      </c>
      <c r="G380" s="6" t="e">
        <v>#N/A</v>
      </c>
      <c r="H380" s="6" t="e">
        <v>#N/A</v>
      </c>
      <c r="I380" s="6">
        <v>0</v>
      </c>
      <c r="J380" s="6">
        <v>237201280</v>
      </c>
      <c r="K380" s="6">
        <v>-58.666666666666664</v>
      </c>
      <c r="L380" t="s">
        <v>17</v>
      </c>
      <c r="M380" t="s">
        <v>40</v>
      </c>
      <c r="N380" s="4" t="s">
        <v>1492</v>
      </c>
      <c r="O380" s="4" t="s">
        <v>1493</v>
      </c>
      <c r="P380" s="4" t="s">
        <v>233</v>
      </c>
    </row>
    <row r="381" spans="1:16" x14ac:dyDescent="0.35">
      <c r="A381" t="s">
        <v>1494</v>
      </c>
      <c r="B381" t="s">
        <v>1495</v>
      </c>
      <c r="C381" t="s">
        <v>16</v>
      </c>
      <c r="D381" s="6">
        <v>3080059109.4506602</v>
      </c>
      <c r="E381" s="6">
        <v>3984050109.4506602</v>
      </c>
      <c r="F381" s="6">
        <v>61.310001373291016</v>
      </c>
      <c r="G381" s="6">
        <v>60.729999542236328</v>
      </c>
      <c r="H381" s="6">
        <v>18.586915846320377</v>
      </c>
      <c r="I381" s="6">
        <v>-0.17957392731179711</v>
      </c>
      <c r="J381" s="6">
        <v>1373515000</v>
      </c>
      <c r="K381" s="6">
        <v>2.8112449799196906</v>
      </c>
      <c r="L381" t="s">
        <v>17</v>
      </c>
      <c r="M381" t="s">
        <v>27</v>
      </c>
      <c r="N381" s="4" t="s">
        <v>1496</v>
      </c>
      <c r="O381" s="4" t="s">
        <v>1497</v>
      </c>
      <c r="P381" s="4" t="s">
        <v>233</v>
      </c>
    </row>
    <row r="382" spans="1:16" x14ac:dyDescent="0.35">
      <c r="A382" t="s">
        <v>1498</v>
      </c>
      <c r="B382" t="s">
        <v>1499</v>
      </c>
      <c r="C382" t="s">
        <v>16</v>
      </c>
      <c r="D382" s="6">
        <v>7221007.8400917044</v>
      </c>
      <c r="E382" s="6">
        <v>960669.84009170439</v>
      </c>
      <c r="F382" s="6">
        <v>4.130000114440918</v>
      </c>
      <c r="G382" s="6">
        <v>3.9000000953674316</v>
      </c>
      <c r="H382" s="6" t="e">
        <v>#N/A</v>
      </c>
      <c r="I382" s="6">
        <v>-2.1269340776708945E-2</v>
      </c>
      <c r="J382" s="6">
        <v>11000</v>
      </c>
      <c r="K382" s="6">
        <v>44.468269139912344</v>
      </c>
      <c r="L382" t="s">
        <v>17</v>
      </c>
      <c r="M382" t="s">
        <v>18</v>
      </c>
      <c r="N382" s="4" t="s">
        <v>1500</v>
      </c>
      <c r="O382" s="4" t="s">
        <v>1501</v>
      </c>
      <c r="P382" s="4" t="s">
        <v>233</v>
      </c>
    </row>
    <row r="383" spans="1:16" x14ac:dyDescent="0.35">
      <c r="A383" t="s">
        <v>1502</v>
      </c>
      <c r="B383" t="s">
        <v>1503</v>
      </c>
      <c r="C383" t="s">
        <v>16</v>
      </c>
      <c r="D383" s="6" t="e">
        <v>#N/A</v>
      </c>
      <c r="E383" s="6" t="e">
        <v>#N/A</v>
      </c>
      <c r="F383" s="6" t="e">
        <v>#N/A</v>
      </c>
      <c r="G383" s="6" t="e">
        <v>#N/A</v>
      </c>
      <c r="H383" s="6" t="e">
        <v>#N/A</v>
      </c>
      <c r="I383" s="6">
        <v>-0.93953700791791528</v>
      </c>
      <c r="J383" s="6" t="e">
        <v>#N/A</v>
      </c>
      <c r="K383" s="6" t="e">
        <v>#N/A</v>
      </c>
      <c r="L383" t="s">
        <v>17</v>
      </c>
      <c r="M383" t="s">
        <v>87</v>
      </c>
      <c r="N383" s="4" t="s">
        <v>1504</v>
      </c>
      <c r="O383" s="4" t="s">
        <v>1505</v>
      </c>
      <c r="P383" s="4" t="s">
        <v>233</v>
      </c>
    </row>
    <row r="384" spans="1:16" x14ac:dyDescent="0.35">
      <c r="A384" t="s">
        <v>1506</v>
      </c>
      <c r="B384" t="s">
        <v>1507</v>
      </c>
      <c r="C384" t="s">
        <v>16</v>
      </c>
      <c r="D384" s="6">
        <v>261335.34748173505</v>
      </c>
      <c r="E384" s="6">
        <v>1572228.3474817351</v>
      </c>
      <c r="F384" s="6">
        <v>8.39999970048666E-3</v>
      </c>
      <c r="G384" s="6">
        <v>9.9999997764825821E-3</v>
      </c>
      <c r="H384" s="6" t="e">
        <v>#N/A</v>
      </c>
      <c r="I384" s="6">
        <v>-0.39916201764559922</v>
      </c>
      <c r="J384" s="6">
        <v>40637</v>
      </c>
      <c r="K384" s="6">
        <v>99.05925474314806</v>
      </c>
      <c r="L384" t="s">
        <v>17</v>
      </c>
      <c r="M384" t="s">
        <v>87</v>
      </c>
      <c r="N384" s="4" t="s">
        <v>1508</v>
      </c>
      <c r="O384" s="4" t="s">
        <v>1509</v>
      </c>
      <c r="P384" s="4" t="s">
        <v>233</v>
      </c>
    </row>
    <row r="385" spans="1:16" x14ac:dyDescent="0.35">
      <c r="A385" t="s">
        <v>1510</v>
      </c>
      <c r="B385" t="s">
        <v>1511</v>
      </c>
      <c r="C385" t="s">
        <v>16</v>
      </c>
      <c r="D385" s="6">
        <v>11373353.908372298</v>
      </c>
      <c r="E385" s="6">
        <v>4995049.9083722979</v>
      </c>
      <c r="F385" s="6">
        <v>6.5999999642372131E-2</v>
      </c>
      <c r="G385" s="6">
        <v>6.5999999642372131E-2</v>
      </c>
      <c r="H385" s="6" t="e">
        <v>#N/A</v>
      </c>
      <c r="I385" s="6">
        <v>-0.12319022952295389</v>
      </c>
      <c r="J385" s="6">
        <v>0</v>
      </c>
      <c r="K385" s="6" t="e">
        <v>#N/A</v>
      </c>
      <c r="L385" t="s">
        <v>17</v>
      </c>
      <c r="M385" t="s">
        <v>18</v>
      </c>
      <c r="N385" s="4" t="s">
        <v>1512</v>
      </c>
      <c r="O385" s="4" t="s">
        <v>1513</v>
      </c>
      <c r="P385" s="4" t="s">
        <v>233</v>
      </c>
    </row>
    <row r="386" spans="1:16" x14ac:dyDescent="0.35">
      <c r="A386" t="s">
        <v>1514</v>
      </c>
      <c r="B386" t="s">
        <v>1515</v>
      </c>
      <c r="C386" t="s">
        <v>16</v>
      </c>
      <c r="D386" s="6">
        <v>8787721.8464889508</v>
      </c>
      <c r="E386" s="6">
        <v>18216721.846488953</v>
      </c>
      <c r="F386" s="6">
        <v>1.7000000476837158</v>
      </c>
      <c r="G386" s="6">
        <v>1.6399999856948853</v>
      </c>
      <c r="H386" s="6" t="e">
        <v>#N/A</v>
      </c>
      <c r="I386" s="6">
        <v>-0.43056028749504227</v>
      </c>
      <c r="J386" s="6">
        <v>14333000</v>
      </c>
      <c r="K386" s="6">
        <v>6.9721307584285839</v>
      </c>
      <c r="L386" t="s">
        <v>17</v>
      </c>
      <c r="M386" t="s">
        <v>18</v>
      </c>
      <c r="N386" s="4" t="s">
        <v>1516</v>
      </c>
      <c r="O386" s="4" t="s">
        <v>1517</v>
      </c>
      <c r="P386" s="4" t="s">
        <v>233</v>
      </c>
    </row>
    <row r="387" spans="1:16" x14ac:dyDescent="0.35">
      <c r="A387" t="s">
        <v>1518</v>
      </c>
      <c r="B387" t="s">
        <v>1519</v>
      </c>
      <c r="C387" t="s">
        <v>16</v>
      </c>
      <c r="D387" s="6" t="e">
        <v>#N/A</v>
      </c>
      <c r="E387" s="6" t="e">
        <v>#N/A</v>
      </c>
      <c r="F387" s="6">
        <v>9.9999999747524271E-7</v>
      </c>
      <c r="G387" s="6">
        <v>9.9999999747524271E-7</v>
      </c>
      <c r="H387" s="6" t="e">
        <v>#N/A</v>
      </c>
      <c r="I387" s="6">
        <v>0</v>
      </c>
      <c r="J387" s="6" t="e">
        <v>#N/A</v>
      </c>
      <c r="K387" s="6" t="e">
        <v>#N/A</v>
      </c>
      <c r="L387" t="s">
        <v>17</v>
      </c>
      <c r="M387" t="s">
        <v>87</v>
      </c>
      <c r="N387" s="4" t="s">
        <v>1520</v>
      </c>
      <c r="O387" s="4" t="s">
        <v>1521</v>
      </c>
      <c r="P387" s="4" t="s">
        <v>233</v>
      </c>
    </row>
    <row r="388" spans="1:16" x14ac:dyDescent="0.35">
      <c r="A388" t="s">
        <v>1522</v>
      </c>
      <c r="B388" t="s">
        <v>1523</v>
      </c>
      <c r="C388" t="s">
        <v>16</v>
      </c>
      <c r="D388" s="6">
        <v>316977270.7518959</v>
      </c>
      <c r="E388" s="6">
        <v>592645311.7518959</v>
      </c>
      <c r="F388" s="6">
        <v>58.299999237060547</v>
      </c>
      <c r="G388" s="6">
        <v>57.009998321533203</v>
      </c>
      <c r="H388" s="6" t="e">
        <v>#N/A</v>
      </c>
      <c r="I388" s="6">
        <v>2.5211862577435227</v>
      </c>
      <c r="J388" s="6">
        <v>292000390</v>
      </c>
      <c r="K388" s="6">
        <v>-25.200666666666649</v>
      </c>
      <c r="L388" t="s">
        <v>17</v>
      </c>
      <c r="M388" t="s">
        <v>40</v>
      </c>
      <c r="N388" s="4" t="s">
        <v>1524</v>
      </c>
      <c r="O388" s="4" t="s">
        <v>1525</v>
      </c>
      <c r="P388" s="4" t="s">
        <v>233</v>
      </c>
    </row>
    <row r="389" spans="1:16" x14ac:dyDescent="0.35">
      <c r="A389" t="s">
        <v>1526</v>
      </c>
      <c r="B389" t="s">
        <v>1527</v>
      </c>
      <c r="C389" t="s">
        <v>16</v>
      </c>
      <c r="D389" s="6">
        <v>5496931.6565816393</v>
      </c>
      <c r="E389" s="6">
        <v>5505931.6565816393</v>
      </c>
      <c r="F389" s="6">
        <v>0.31099998950958252</v>
      </c>
      <c r="G389" s="6">
        <v>0.30399999022483826</v>
      </c>
      <c r="H389" s="6" t="e">
        <v>#N/A</v>
      </c>
      <c r="I389" s="6">
        <v>-0.93403682444147551</v>
      </c>
      <c r="J389" s="6">
        <v>8963000</v>
      </c>
      <c r="K389" s="6">
        <v>90.251827782286256</v>
      </c>
      <c r="L389" t="s">
        <v>17</v>
      </c>
      <c r="M389" t="s">
        <v>27</v>
      </c>
      <c r="N389" s="4" t="s">
        <v>1528</v>
      </c>
      <c r="O389" s="4" t="s">
        <v>1529</v>
      </c>
      <c r="P389" s="4" t="s">
        <v>233</v>
      </c>
    </row>
    <row r="390" spans="1:16" x14ac:dyDescent="0.35">
      <c r="A390" t="s">
        <v>1530</v>
      </c>
      <c r="B390" t="s">
        <v>1531</v>
      </c>
      <c r="C390" t="s">
        <v>16</v>
      </c>
      <c r="D390" s="6">
        <v>204790244.266305</v>
      </c>
      <c r="E390" s="6">
        <v>-58839755.73369506</v>
      </c>
      <c r="F390" s="6">
        <v>3.0299999713897705</v>
      </c>
      <c r="G390" s="6">
        <v>3.0999999046325684</v>
      </c>
      <c r="H390" s="6" t="e">
        <v>#N/A</v>
      </c>
      <c r="I390" s="6">
        <v>-0.63393327205947703</v>
      </c>
      <c r="J390" s="6" t="e">
        <v>#N/A</v>
      </c>
      <c r="K390" s="6">
        <v>-26.515888888888906</v>
      </c>
      <c r="L390" t="s">
        <v>17</v>
      </c>
      <c r="M390" t="s">
        <v>18</v>
      </c>
      <c r="N390" s="4" t="s">
        <v>1532</v>
      </c>
      <c r="O390" s="4" t="s">
        <v>1533</v>
      </c>
      <c r="P390" s="4" t="s">
        <v>233</v>
      </c>
    </row>
    <row r="391" spans="1:16" x14ac:dyDescent="0.35">
      <c r="A391" t="s">
        <v>1534</v>
      </c>
      <c r="B391" t="s">
        <v>1535</v>
      </c>
      <c r="C391" t="s">
        <v>16</v>
      </c>
      <c r="D391" s="6" t="e">
        <v>#N/A</v>
      </c>
      <c r="E391" s="6" t="e">
        <v>#N/A</v>
      </c>
      <c r="F391" s="6">
        <v>9.9999999747524271E-7</v>
      </c>
      <c r="G391" s="6">
        <v>9.9999999747524271E-7</v>
      </c>
      <c r="H391" s="6" t="e">
        <v>#N/A</v>
      </c>
      <c r="I391" s="6">
        <v>2.2204460492503131E-16</v>
      </c>
      <c r="J391" s="6">
        <v>1587495.0170345306</v>
      </c>
      <c r="K391" s="6">
        <v>27.999999180436113</v>
      </c>
      <c r="L391" t="s">
        <v>17</v>
      </c>
      <c r="M391" t="s">
        <v>27</v>
      </c>
      <c r="N391" s="4" t="s">
        <v>1536</v>
      </c>
      <c r="O391" s="4" t="s">
        <v>1537</v>
      </c>
      <c r="P391" s="4" t="s">
        <v>233</v>
      </c>
    </row>
    <row r="392" spans="1:16" x14ac:dyDescent="0.35">
      <c r="A392" t="s">
        <v>1538</v>
      </c>
      <c r="B392" t="s">
        <v>1539</v>
      </c>
      <c r="C392" t="s">
        <v>16</v>
      </c>
      <c r="D392" s="6" t="e">
        <v>#N/A</v>
      </c>
      <c r="E392" s="6" t="e">
        <v>#N/A</v>
      </c>
      <c r="F392" s="6">
        <v>0.13500000536441803</v>
      </c>
      <c r="G392" s="6">
        <v>0.14190000295639038</v>
      </c>
      <c r="H392" s="6" t="e">
        <v>#N/A</v>
      </c>
      <c r="I392" s="6">
        <v>5.453412036984906E-2</v>
      </c>
      <c r="J392" s="6" t="e">
        <v>#N/A</v>
      </c>
      <c r="K392" s="6" t="e">
        <v>#N/A</v>
      </c>
      <c r="L392" t="s">
        <v>17</v>
      </c>
      <c r="M392" t="s">
        <v>87</v>
      </c>
      <c r="N392" s="4" t="s">
        <v>1540</v>
      </c>
      <c r="O392" s="4" t="s">
        <v>1541</v>
      </c>
      <c r="P392" s="4" t="s">
        <v>233</v>
      </c>
    </row>
    <row r="393" spans="1:16" x14ac:dyDescent="0.35">
      <c r="A393" t="s">
        <v>1542</v>
      </c>
      <c r="B393" t="s">
        <v>1543</v>
      </c>
      <c r="C393" t="s">
        <v>16</v>
      </c>
      <c r="D393" s="6" t="e">
        <v>#N/A</v>
      </c>
      <c r="E393" s="6" t="e">
        <v>#N/A</v>
      </c>
      <c r="F393" s="6" t="e">
        <v>#N/A</v>
      </c>
      <c r="G393" s="6" t="e">
        <v>#N/A</v>
      </c>
      <c r="H393" s="6" t="e">
        <v>#N/A</v>
      </c>
      <c r="I393" s="6">
        <v>-0.99441640925128805</v>
      </c>
      <c r="J393" s="6">
        <v>335150</v>
      </c>
      <c r="K393" s="6">
        <v>-29.839687086822401</v>
      </c>
      <c r="L393" t="s">
        <v>17</v>
      </c>
      <c r="M393" t="s">
        <v>40</v>
      </c>
      <c r="N393" s="4" t="s">
        <v>1544</v>
      </c>
      <c r="O393" s="4" t="s">
        <v>1545</v>
      </c>
      <c r="P393" s="4" t="s">
        <v>233</v>
      </c>
    </row>
    <row r="394" spans="1:16" x14ac:dyDescent="0.35">
      <c r="A394" t="s">
        <v>1546</v>
      </c>
      <c r="B394" t="s">
        <v>1547</v>
      </c>
      <c r="C394" t="s">
        <v>16</v>
      </c>
      <c r="D394" s="6">
        <v>5461945.8420073986</v>
      </c>
      <c r="E394" s="6">
        <v>57530945.842007399</v>
      </c>
      <c r="F394" s="6">
        <v>1.2400000095367432</v>
      </c>
      <c r="G394" s="6">
        <v>1.2400000095367432</v>
      </c>
      <c r="H394" s="6">
        <v>1.1081817860822585</v>
      </c>
      <c r="I394" s="6">
        <v>0.37657192548094098</v>
      </c>
      <c r="J394" s="6">
        <v>44893000</v>
      </c>
      <c r="K394" s="6" t="e">
        <v>#N/A</v>
      </c>
      <c r="L394" t="s">
        <v>17</v>
      </c>
      <c r="M394" t="s">
        <v>40</v>
      </c>
      <c r="N394" s="4" t="s">
        <v>1548</v>
      </c>
      <c r="O394" s="4" t="s">
        <v>1549</v>
      </c>
      <c r="P394" s="4" t="s">
        <v>233</v>
      </c>
    </row>
    <row r="395" spans="1:16" x14ac:dyDescent="0.35">
      <c r="A395" t="s">
        <v>1550</v>
      </c>
      <c r="B395" t="s">
        <v>1551</v>
      </c>
      <c r="C395" t="s">
        <v>16</v>
      </c>
      <c r="D395" s="6">
        <v>3011.1732999999999</v>
      </c>
      <c r="E395" s="6">
        <v>289967.18144535285</v>
      </c>
      <c r="F395" s="6">
        <v>1E-4</v>
      </c>
      <c r="G395" s="6">
        <v>1E-4</v>
      </c>
      <c r="H395" s="6" t="e">
        <v>#N/A</v>
      </c>
      <c r="I395" s="6">
        <v>-0.49905218039388199</v>
      </c>
      <c r="J395" s="6" t="e">
        <v>#N/A</v>
      </c>
      <c r="K395" s="6">
        <v>0</v>
      </c>
      <c r="L395" t="s">
        <v>17</v>
      </c>
      <c r="M395" t="s">
        <v>87</v>
      </c>
      <c r="N395" s="4" t="s">
        <v>1552</v>
      </c>
      <c r="O395" s="4" t="s">
        <v>1553</v>
      </c>
      <c r="P395" s="4" t="s">
        <v>233</v>
      </c>
    </row>
    <row r="396" spans="1:16" x14ac:dyDescent="0.35">
      <c r="A396" t="s">
        <v>1554</v>
      </c>
      <c r="B396" t="s">
        <v>1555</v>
      </c>
      <c r="C396" t="s">
        <v>16</v>
      </c>
      <c r="D396" s="6">
        <v>31433340.288801193</v>
      </c>
      <c r="E396" s="6">
        <v>33033950.288801193</v>
      </c>
      <c r="F396" s="6">
        <v>4.9499998092651367</v>
      </c>
      <c r="G396" s="6">
        <v>4.8094000816345215</v>
      </c>
      <c r="H396" s="6" t="e">
        <v>#N/A</v>
      </c>
      <c r="I396" s="6">
        <v>-0.17456629257308043</v>
      </c>
      <c r="J396" s="6">
        <v>18980148</v>
      </c>
      <c r="K396" s="6">
        <v>-562.13085106382982</v>
      </c>
      <c r="L396" t="s">
        <v>17</v>
      </c>
      <c r="M396" t="s">
        <v>27</v>
      </c>
      <c r="N396" s="4" t="s">
        <v>1556</v>
      </c>
      <c r="O396" s="4" t="s">
        <v>1557</v>
      </c>
      <c r="P396" s="4" t="s">
        <v>233</v>
      </c>
    </row>
    <row r="397" spans="1:16" x14ac:dyDescent="0.35">
      <c r="A397" t="s">
        <v>1558</v>
      </c>
      <c r="B397" t="s">
        <v>1559</v>
      </c>
      <c r="C397" t="s">
        <v>16</v>
      </c>
      <c r="D397" s="6" t="e">
        <v>#N/A</v>
      </c>
      <c r="E397" s="6" t="e">
        <v>#N/A</v>
      </c>
      <c r="F397" s="6">
        <v>9.9999999747524271E-7</v>
      </c>
      <c r="G397" s="6">
        <v>9.9999999747524271E-7</v>
      </c>
      <c r="H397" s="6" t="e">
        <v>#N/A</v>
      </c>
      <c r="I397" s="6">
        <v>0</v>
      </c>
      <c r="J397" s="6" t="e">
        <v>#N/A</v>
      </c>
      <c r="K397" s="6" t="e">
        <v>#N/A</v>
      </c>
      <c r="L397" t="s">
        <v>17</v>
      </c>
      <c r="M397" t="s">
        <v>27</v>
      </c>
      <c r="N397" s="4" t="s">
        <v>1560</v>
      </c>
      <c r="O397" s="4" t="s">
        <v>1561</v>
      </c>
      <c r="P397" s="4" t="s">
        <v>233</v>
      </c>
    </row>
    <row r="398" spans="1:16" x14ac:dyDescent="0.35">
      <c r="A398" t="s">
        <v>1562</v>
      </c>
      <c r="B398" t="s">
        <v>1563</v>
      </c>
      <c r="C398" t="s">
        <v>16</v>
      </c>
      <c r="D398" s="6">
        <v>210288507319.57272</v>
      </c>
      <c r="E398" s="6">
        <v>206517107319.57272</v>
      </c>
      <c r="F398" s="6">
        <v>589.6099853515625</v>
      </c>
      <c r="G398" s="6">
        <v>586.489990234375</v>
      </c>
      <c r="H398" s="6">
        <v>89.653264777456201</v>
      </c>
      <c r="I398" s="6">
        <v>0.54112926688835494</v>
      </c>
      <c r="J398" s="6">
        <v>8352100000</v>
      </c>
      <c r="K398" s="6">
        <v>27.734375</v>
      </c>
      <c r="L398" t="s">
        <v>17</v>
      </c>
      <c r="M398" t="s">
        <v>27</v>
      </c>
      <c r="N398" s="4" t="s">
        <v>1564</v>
      </c>
      <c r="O398" s="4" t="s">
        <v>1565</v>
      </c>
      <c r="P398" s="4" t="s">
        <v>233</v>
      </c>
    </row>
    <row r="399" spans="1:16" x14ac:dyDescent="0.35">
      <c r="A399" t="s">
        <v>1566</v>
      </c>
      <c r="B399" t="s">
        <v>1567</v>
      </c>
      <c r="C399" t="s">
        <v>16</v>
      </c>
      <c r="D399" s="6">
        <v>226329070272.01703</v>
      </c>
      <c r="E399" s="6" t="e">
        <v>#N/A</v>
      </c>
      <c r="F399" s="6">
        <v>130.49000549316406</v>
      </c>
      <c r="G399" s="6">
        <v>130.49000549316406</v>
      </c>
      <c r="H399" s="6">
        <v>19.227443375360533</v>
      </c>
      <c r="I399" s="6">
        <v>0.18293297404410636</v>
      </c>
      <c r="J399" s="6">
        <v>41950000000</v>
      </c>
      <c r="K399" s="6">
        <v>132.92682926829266</v>
      </c>
      <c r="L399" t="s">
        <v>17</v>
      </c>
      <c r="M399" t="s">
        <v>27</v>
      </c>
      <c r="N399" s="4" t="s">
        <v>1568</v>
      </c>
      <c r="O399" s="4" t="s">
        <v>1569</v>
      </c>
      <c r="P399" s="4" t="s">
        <v>233</v>
      </c>
    </row>
    <row r="400" spans="1:16" x14ac:dyDescent="0.35">
      <c r="A400" t="s">
        <v>1570</v>
      </c>
      <c r="B400" t="s">
        <v>1571</v>
      </c>
      <c r="C400" t="s">
        <v>16</v>
      </c>
      <c r="D400" s="6">
        <v>53773387.946856968</v>
      </c>
      <c r="E400" s="6">
        <v>53109220.946856968</v>
      </c>
      <c r="F400" s="6">
        <v>0.580299973487854</v>
      </c>
      <c r="G400" s="6">
        <v>0.6007000207901001</v>
      </c>
      <c r="H400" s="6" t="e">
        <v>#N/A</v>
      </c>
      <c r="I400" s="6">
        <v>-0.46177251071810022</v>
      </c>
      <c r="J400" s="6">
        <v>1285827</v>
      </c>
      <c r="K400" s="6">
        <v>31.660900970844239</v>
      </c>
      <c r="L400" t="s">
        <v>17</v>
      </c>
      <c r="M400" t="s">
        <v>27</v>
      </c>
      <c r="N400" s="4" t="s">
        <v>1572</v>
      </c>
      <c r="O400" s="4" t="s">
        <v>1573</v>
      </c>
      <c r="P400" s="4" t="s">
        <v>233</v>
      </c>
    </row>
    <row r="401" spans="1:16" x14ac:dyDescent="0.35">
      <c r="A401" t="s">
        <v>1574</v>
      </c>
      <c r="B401" t="s">
        <v>1575</v>
      </c>
      <c r="C401" t="s">
        <v>16</v>
      </c>
      <c r="D401" s="6">
        <v>9733810.0343255978</v>
      </c>
      <c r="E401" s="6">
        <v>9052664.0343255978</v>
      </c>
      <c r="F401" s="6">
        <v>1.4600000381469727</v>
      </c>
      <c r="G401" s="6">
        <v>1.3999999761581421</v>
      </c>
      <c r="H401" s="6" t="e">
        <v>#N/A</v>
      </c>
      <c r="I401" s="6">
        <v>-0.51877347361364823</v>
      </c>
      <c r="J401" s="6">
        <v>1379086</v>
      </c>
      <c r="K401" s="6">
        <v>20.583866761177628</v>
      </c>
      <c r="L401" t="s">
        <v>17</v>
      </c>
      <c r="M401" t="s">
        <v>27</v>
      </c>
      <c r="N401" s="4" t="s">
        <v>1576</v>
      </c>
      <c r="O401" s="4" t="s">
        <v>1577</v>
      </c>
      <c r="P401" s="4" t="s">
        <v>233</v>
      </c>
    </row>
    <row r="402" spans="1:16" x14ac:dyDescent="0.35">
      <c r="A402" t="s">
        <v>1578</v>
      </c>
      <c r="B402" t="s">
        <v>1579</v>
      </c>
      <c r="C402" t="s">
        <v>16</v>
      </c>
      <c r="D402" s="6">
        <v>13599.957356436169</v>
      </c>
      <c r="E402" s="6">
        <v>2177245.9573564366</v>
      </c>
      <c r="F402" s="6">
        <v>9.9999997473787516E-5</v>
      </c>
      <c r="G402" s="6">
        <v>9.9999997473787516E-5</v>
      </c>
      <c r="H402" s="6" t="e">
        <v>#N/A</v>
      </c>
      <c r="I402" s="6">
        <v>-0.93283823603670979</v>
      </c>
      <c r="J402" s="6">
        <v>391235</v>
      </c>
      <c r="K402" s="6">
        <v>-789.50073421439072</v>
      </c>
      <c r="L402" t="s">
        <v>17</v>
      </c>
      <c r="M402" t="s">
        <v>27</v>
      </c>
      <c r="N402" s="4" t="s">
        <v>1580</v>
      </c>
      <c r="O402" s="4" t="s">
        <v>1581</v>
      </c>
      <c r="P402" s="4" t="s">
        <v>233</v>
      </c>
    </row>
    <row r="403" spans="1:16" x14ac:dyDescent="0.35">
      <c r="A403" t="s">
        <v>1582</v>
      </c>
      <c r="B403" t="s">
        <v>1583</v>
      </c>
      <c r="C403" t="s">
        <v>16</v>
      </c>
      <c r="D403" s="6" t="e">
        <v>#N/A</v>
      </c>
      <c r="E403" s="6" t="e">
        <v>#N/A</v>
      </c>
      <c r="F403" s="6" t="e">
        <v>#N/A</v>
      </c>
      <c r="G403" s="6" t="e">
        <v>#N/A</v>
      </c>
      <c r="H403" s="6" t="e">
        <v>#N/A</v>
      </c>
      <c r="I403" s="6">
        <v>0</v>
      </c>
      <c r="J403" s="6" t="e">
        <v>#N/A</v>
      </c>
      <c r="K403" s="6" t="e">
        <v>#N/A</v>
      </c>
      <c r="L403" t="s">
        <v>17</v>
      </c>
      <c r="M403" t="s">
        <v>40</v>
      </c>
      <c r="N403" s="4" t="s">
        <v>1584</v>
      </c>
      <c r="O403" s="4" t="s">
        <v>1585</v>
      </c>
      <c r="P403" s="4" t="s">
        <v>233</v>
      </c>
    </row>
    <row r="404" spans="1:16" x14ac:dyDescent="0.35">
      <c r="A404" t="s">
        <v>1586</v>
      </c>
      <c r="B404" t="s">
        <v>1587</v>
      </c>
      <c r="C404" t="s">
        <v>16</v>
      </c>
      <c r="D404" s="6" t="e">
        <v>#N/A</v>
      </c>
      <c r="E404" s="6" t="e">
        <v>#N/A</v>
      </c>
      <c r="F404" s="6">
        <v>9.9999999747524271E-7</v>
      </c>
      <c r="G404" s="6">
        <v>9.9999999747524271E-7</v>
      </c>
      <c r="H404" s="6" t="e">
        <v>#N/A</v>
      </c>
      <c r="I404" s="6">
        <v>0</v>
      </c>
      <c r="J404" s="6">
        <v>704490</v>
      </c>
      <c r="K404" s="6">
        <v>7.2148979591836779</v>
      </c>
      <c r="L404" t="s">
        <v>17</v>
      </c>
      <c r="M404" t="s">
        <v>18</v>
      </c>
      <c r="N404" s="4" t="s">
        <v>1588</v>
      </c>
      <c r="O404" s="4" t="s">
        <v>1589</v>
      </c>
      <c r="P404" s="4" t="s">
        <v>233</v>
      </c>
    </row>
    <row r="405" spans="1:16" x14ac:dyDescent="0.35">
      <c r="A405" t="s">
        <v>1590</v>
      </c>
      <c r="B405" t="s">
        <v>1591</v>
      </c>
      <c r="C405" t="s">
        <v>16</v>
      </c>
      <c r="D405" s="6">
        <v>10923742.559319496</v>
      </c>
      <c r="E405" s="6">
        <v>7415342.5593194962</v>
      </c>
      <c r="F405" s="6">
        <v>1.0399999618530273</v>
      </c>
      <c r="G405" s="6">
        <v>1.0399999618530273</v>
      </c>
      <c r="H405" s="6" t="e">
        <v>#N/A</v>
      </c>
      <c r="I405" s="6">
        <v>-0.47382264366346138</v>
      </c>
      <c r="J405" s="6" t="e">
        <v>#N/A</v>
      </c>
      <c r="K405" s="6" t="e">
        <v>#N/A</v>
      </c>
      <c r="L405" t="s">
        <v>17</v>
      </c>
      <c r="M405" t="s">
        <v>27</v>
      </c>
      <c r="N405" s="4" t="s">
        <v>1592</v>
      </c>
      <c r="O405" s="4" t="s">
        <v>1593</v>
      </c>
      <c r="P405" s="4" t="s">
        <v>233</v>
      </c>
    </row>
    <row r="406" spans="1:16" x14ac:dyDescent="0.35">
      <c r="A406" t="s">
        <v>1594</v>
      </c>
      <c r="B406" t="s">
        <v>1595</v>
      </c>
      <c r="C406" t="s">
        <v>16</v>
      </c>
      <c r="D406" s="6">
        <v>2032.3656006138772</v>
      </c>
      <c r="E406" s="6">
        <v>6097713.3656006148</v>
      </c>
      <c r="F406" s="6">
        <v>1.4800000004470348E-2</v>
      </c>
      <c r="G406" s="6">
        <v>1.4700000174343586E-2</v>
      </c>
      <c r="H406" s="6">
        <v>8.7058823555707932E-4</v>
      </c>
      <c r="I406" s="6">
        <v>0.57251662216369503</v>
      </c>
      <c r="J406" s="6">
        <v>17799845</v>
      </c>
      <c r="K406" s="6">
        <v>-39.285714285714285</v>
      </c>
      <c r="L406" t="s">
        <v>17</v>
      </c>
      <c r="M406" t="s">
        <v>87</v>
      </c>
      <c r="N406" s="4" t="s">
        <v>1596</v>
      </c>
      <c r="O406" s="4" t="s">
        <v>1597</v>
      </c>
      <c r="P406" s="4" t="s">
        <v>233</v>
      </c>
    </row>
    <row r="407" spans="1:16" x14ac:dyDescent="0.35">
      <c r="A407" t="s">
        <v>1598</v>
      </c>
      <c r="B407" t="s">
        <v>1599</v>
      </c>
      <c r="C407" t="s">
        <v>16</v>
      </c>
      <c r="D407" s="6" t="e">
        <v>#N/A</v>
      </c>
      <c r="E407" s="6" t="e">
        <v>#N/A</v>
      </c>
      <c r="F407" s="6" t="e">
        <v>#N/A</v>
      </c>
      <c r="G407" s="6" t="e">
        <v>#N/A</v>
      </c>
      <c r="H407" s="6" t="e">
        <v>#N/A</v>
      </c>
      <c r="I407" s="6">
        <v>-5.5136381810618751E-2</v>
      </c>
      <c r="J407" s="6">
        <v>9167522</v>
      </c>
      <c r="K407" s="6">
        <v>-1628.1999999999998</v>
      </c>
      <c r="L407" t="s">
        <v>17</v>
      </c>
      <c r="M407" t="s">
        <v>40</v>
      </c>
      <c r="N407" s="4" t="s">
        <v>1600</v>
      </c>
      <c r="O407" s="4" t="s">
        <v>1601</v>
      </c>
      <c r="P407" s="4" t="s">
        <v>233</v>
      </c>
    </row>
    <row r="408" spans="1:16" x14ac:dyDescent="0.35">
      <c r="A408" t="s">
        <v>1602</v>
      </c>
      <c r="B408" t="s">
        <v>1603</v>
      </c>
      <c r="C408" t="s">
        <v>16</v>
      </c>
      <c r="D408" s="6" t="e">
        <v>#N/A</v>
      </c>
      <c r="E408" s="6" t="e">
        <v>#N/A</v>
      </c>
      <c r="F408" s="6">
        <v>9.9999999747524271E-7</v>
      </c>
      <c r="G408" s="6">
        <v>9.9999999747524271E-7</v>
      </c>
      <c r="H408" s="6" t="e">
        <v>#N/A</v>
      </c>
      <c r="I408" s="6">
        <v>4.4408920985006262E-16</v>
      </c>
      <c r="J408" s="6" t="e">
        <v>#N/A</v>
      </c>
      <c r="K408" s="6" t="e">
        <v>#N/A</v>
      </c>
      <c r="L408" t="s">
        <v>17</v>
      </c>
      <c r="M408" t="s">
        <v>40</v>
      </c>
      <c r="N408" s="4" t="s">
        <v>1604</v>
      </c>
      <c r="O408" s="4" t="s">
        <v>1605</v>
      </c>
      <c r="P408" s="4" t="s">
        <v>233</v>
      </c>
    </row>
    <row r="409" spans="1:16" x14ac:dyDescent="0.35">
      <c r="A409" t="s">
        <v>1606</v>
      </c>
      <c r="B409" t="s">
        <v>1607</v>
      </c>
      <c r="C409" t="s">
        <v>16</v>
      </c>
      <c r="D409" s="6">
        <v>40800000</v>
      </c>
      <c r="E409" s="6">
        <v>41271316</v>
      </c>
      <c r="F409" s="6">
        <v>0.10199999999999999</v>
      </c>
      <c r="G409" s="6">
        <v>0.10199999999999999</v>
      </c>
      <c r="H409" s="6" t="e">
        <v>#N/A</v>
      </c>
      <c r="I409" s="6">
        <v>-5.5408049648734914E-2</v>
      </c>
      <c r="J409" s="6">
        <v>2078741</v>
      </c>
      <c r="K409" s="6">
        <v>0</v>
      </c>
      <c r="L409" t="s">
        <v>17</v>
      </c>
      <c r="M409" t="s">
        <v>40</v>
      </c>
      <c r="N409" s="4" t="s">
        <v>1608</v>
      </c>
      <c r="O409" s="4" t="s">
        <v>1609</v>
      </c>
      <c r="P409" s="4" t="s">
        <v>233</v>
      </c>
    </row>
    <row r="410" spans="1:16" x14ac:dyDescent="0.35">
      <c r="A410" t="s">
        <v>1610</v>
      </c>
      <c r="B410" t="s">
        <v>1611</v>
      </c>
      <c r="C410" t="s">
        <v>16</v>
      </c>
      <c r="D410" s="6" t="e">
        <v>#N/A</v>
      </c>
      <c r="E410" s="6" t="e">
        <v>#N/A</v>
      </c>
      <c r="F410" s="6">
        <v>9.9999999747524271E-7</v>
      </c>
      <c r="G410" s="6">
        <v>9.9999999747524271E-7</v>
      </c>
      <c r="H410" s="6" t="e">
        <v>#N/A</v>
      </c>
      <c r="I410" s="6">
        <v>-0.99902934406262633</v>
      </c>
      <c r="J410" s="6" t="e">
        <v>#N/A</v>
      </c>
      <c r="K410" s="6" t="e">
        <v>#N/A</v>
      </c>
      <c r="L410" t="s">
        <v>17</v>
      </c>
      <c r="M410" t="s">
        <v>87</v>
      </c>
      <c r="N410" s="4" t="s">
        <v>1612</v>
      </c>
      <c r="O410" s="4" t="s">
        <v>1613</v>
      </c>
      <c r="P410" s="4" t="s">
        <v>233</v>
      </c>
    </row>
    <row r="411" spans="1:16" x14ac:dyDescent="0.35">
      <c r="A411" t="s">
        <v>1614</v>
      </c>
      <c r="B411" t="s">
        <v>1615</v>
      </c>
      <c r="C411" t="s">
        <v>16</v>
      </c>
      <c r="D411" s="6">
        <v>3454507.1570490301</v>
      </c>
      <c r="E411" s="6">
        <v>4629892.1570490301</v>
      </c>
      <c r="F411" s="6">
        <v>0.30689999461174011</v>
      </c>
      <c r="G411" s="6">
        <v>0.31099998950958252</v>
      </c>
      <c r="H411" s="6" t="e">
        <v>#N/A</v>
      </c>
      <c r="I411" s="6">
        <v>-0.87452732509660447</v>
      </c>
      <c r="J411" s="6">
        <v>74000</v>
      </c>
      <c r="K411" s="6">
        <v>60.235748743718631</v>
      </c>
      <c r="L411" t="s">
        <v>17</v>
      </c>
      <c r="M411" t="s">
        <v>18</v>
      </c>
      <c r="N411" s="4" t="s">
        <v>1616</v>
      </c>
      <c r="O411" s="4" t="s">
        <v>1617</v>
      </c>
      <c r="P411" s="4" t="s">
        <v>233</v>
      </c>
    </row>
    <row r="412" spans="1:16" x14ac:dyDescent="0.35">
      <c r="A412" t="s">
        <v>1618</v>
      </c>
      <c r="B412" t="s">
        <v>1619</v>
      </c>
      <c r="C412" t="s">
        <v>16</v>
      </c>
      <c r="D412" s="6">
        <v>3946939.3805723041</v>
      </c>
      <c r="E412" s="6">
        <v>6072736.3805723041</v>
      </c>
      <c r="F412" s="6">
        <v>0.20499999821186066</v>
      </c>
      <c r="G412" s="6">
        <v>0.20600000023841858</v>
      </c>
      <c r="H412" s="6" t="e">
        <v>#N/A</v>
      </c>
      <c r="I412" s="6">
        <v>-0.56560500483499065</v>
      </c>
      <c r="J412" s="6">
        <v>5544620</v>
      </c>
      <c r="K412" s="6">
        <v>-8.4719638586234502</v>
      </c>
      <c r="L412" t="s">
        <v>17</v>
      </c>
      <c r="M412" t="s">
        <v>87</v>
      </c>
      <c r="N412" s="4" t="s">
        <v>1620</v>
      </c>
      <c r="O412" s="4" t="s">
        <v>1621</v>
      </c>
      <c r="P412" s="4" t="s">
        <v>233</v>
      </c>
    </row>
    <row r="413" spans="1:16" x14ac:dyDescent="0.35">
      <c r="A413" t="s">
        <v>1622</v>
      </c>
      <c r="B413" t="s">
        <v>1623</v>
      </c>
      <c r="C413" t="s">
        <v>16</v>
      </c>
      <c r="D413" s="6">
        <v>7226812.6376165906</v>
      </c>
      <c r="E413" s="6">
        <v>8154622.6376165906</v>
      </c>
      <c r="F413" s="6">
        <v>8.2000002264976501E-2</v>
      </c>
      <c r="G413" s="6">
        <v>8.2999996840953827E-2</v>
      </c>
      <c r="H413" s="6" t="e">
        <v>#N/A</v>
      </c>
      <c r="I413" s="6">
        <v>-0.25394687261104776</v>
      </c>
      <c r="J413" s="6">
        <v>0</v>
      </c>
      <c r="K413" s="6">
        <v>80.023511400295249</v>
      </c>
      <c r="L413" t="s">
        <v>17</v>
      </c>
      <c r="M413" t="s">
        <v>18</v>
      </c>
      <c r="N413" s="4" t="s">
        <v>1624</v>
      </c>
      <c r="O413" s="4" t="s">
        <v>1625</v>
      </c>
      <c r="P413" s="4" t="s">
        <v>233</v>
      </c>
    </row>
    <row r="414" spans="1:16" x14ac:dyDescent="0.35">
      <c r="A414" t="s">
        <v>1626</v>
      </c>
      <c r="B414" t="s">
        <v>1627</v>
      </c>
      <c r="C414" t="s">
        <v>16</v>
      </c>
      <c r="D414" s="6">
        <v>983463.17999999993</v>
      </c>
      <c r="E414" s="6" t="e">
        <v>#N/A</v>
      </c>
      <c r="F414" s="6">
        <v>2.5099999999999998</v>
      </c>
      <c r="G414" s="6">
        <v>2.85</v>
      </c>
      <c r="H414" s="6" t="e">
        <v>#N/A</v>
      </c>
      <c r="I414" s="6">
        <v>0.55470835549458708</v>
      </c>
      <c r="J414" s="6" t="e">
        <v>#N/A</v>
      </c>
      <c r="K414" s="6" t="e">
        <v>#N/A</v>
      </c>
      <c r="L414" t="s">
        <v>17</v>
      </c>
      <c r="M414" t="s">
        <v>32</v>
      </c>
      <c r="N414" s="4" t="s">
        <v>1628</v>
      </c>
      <c r="O414" s="4" t="s">
        <v>1629</v>
      </c>
      <c r="P414" s="4" t="s">
        <v>233</v>
      </c>
    </row>
    <row r="415" spans="1:16" x14ac:dyDescent="0.35">
      <c r="A415" t="s">
        <v>1630</v>
      </c>
      <c r="B415" t="s">
        <v>1631</v>
      </c>
      <c r="C415" t="s">
        <v>16</v>
      </c>
      <c r="D415" s="6" t="e">
        <v>#N/A</v>
      </c>
      <c r="E415" s="6" t="e">
        <v>#N/A</v>
      </c>
      <c r="F415" s="6" t="e">
        <v>#N/A</v>
      </c>
      <c r="G415" s="6" t="e">
        <v>#N/A</v>
      </c>
      <c r="H415" s="6" t="e">
        <v>#N/A</v>
      </c>
      <c r="I415" s="6">
        <v>0</v>
      </c>
      <c r="J415" s="6">
        <v>34054113</v>
      </c>
      <c r="K415" s="6">
        <v>-22.33009708737864</v>
      </c>
      <c r="L415" t="s">
        <v>17</v>
      </c>
      <c r="M415" t="s">
        <v>87</v>
      </c>
      <c r="N415" s="4" t="s">
        <v>233</v>
      </c>
      <c r="O415" s="4" t="s">
        <v>1632</v>
      </c>
      <c r="P415" s="4" t="s">
        <v>13101</v>
      </c>
    </row>
    <row r="416" spans="1:16" x14ac:dyDescent="0.35">
      <c r="A416" t="s">
        <v>1633</v>
      </c>
      <c r="B416" t="s">
        <v>1634</v>
      </c>
      <c r="C416" t="s">
        <v>16</v>
      </c>
      <c r="D416" s="6">
        <v>79898513.080215454</v>
      </c>
      <c r="E416" s="6">
        <v>-13613486.919784546</v>
      </c>
      <c r="F416" s="6">
        <v>12.569999694824219</v>
      </c>
      <c r="G416" s="6">
        <v>13</v>
      </c>
      <c r="H416" s="6" t="e">
        <v>#N/A</v>
      </c>
      <c r="I416" s="6">
        <v>2.4382242148643041E-2</v>
      </c>
      <c r="J416" s="6">
        <v>28326000</v>
      </c>
      <c r="K416" s="6">
        <v>57.667205708440655</v>
      </c>
      <c r="L416" t="s">
        <v>17</v>
      </c>
      <c r="M416" t="s">
        <v>18</v>
      </c>
      <c r="N416" s="4" t="s">
        <v>1635</v>
      </c>
      <c r="O416" s="4" t="s">
        <v>1636</v>
      </c>
      <c r="P416" s="4" t="s">
        <v>233</v>
      </c>
    </row>
    <row r="417" spans="1:16" x14ac:dyDescent="0.35">
      <c r="A417" t="s">
        <v>1637</v>
      </c>
      <c r="B417" t="s">
        <v>1638</v>
      </c>
      <c r="C417" t="s">
        <v>16</v>
      </c>
      <c r="D417" s="6">
        <v>284771757.87463379</v>
      </c>
      <c r="E417" s="6">
        <v>268536757.87463379</v>
      </c>
      <c r="F417" s="6">
        <v>33.279998779296875</v>
      </c>
      <c r="G417" s="6">
        <v>31.629999160766602</v>
      </c>
      <c r="H417" s="6">
        <v>44.373331705729157</v>
      </c>
      <c r="I417" s="6">
        <v>2.3006268465562374</v>
      </c>
      <c r="J417" s="6">
        <v>59626000</v>
      </c>
      <c r="K417" s="6">
        <v>65.957446808510653</v>
      </c>
      <c r="L417" t="s">
        <v>17</v>
      </c>
      <c r="M417" t="s">
        <v>27</v>
      </c>
      <c r="N417" s="4" t="s">
        <v>1639</v>
      </c>
      <c r="O417" s="4" t="s">
        <v>1640</v>
      </c>
      <c r="P417" s="4" t="s">
        <v>233</v>
      </c>
    </row>
    <row r="418" spans="1:16" x14ac:dyDescent="0.35">
      <c r="A418" t="s">
        <v>1641</v>
      </c>
      <c r="B418" t="s">
        <v>1642</v>
      </c>
      <c r="C418" t="s">
        <v>16</v>
      </c>
      <c r="D418" s="6">
        <v>699986.64564103028</v>
      </c>
      <c r="E418" s="6" t="e">
        <v>#N/A</v>
      </c>
      <c r="F418" s="6">
        <v>6.99999975040555E-4</v>
      </c>
      <c r="G418" s="6">
        <v>6.99999975040555E-4</v>
      </c>
      <c r="H418" s="6" t="e">
        <v>#N/A</v>
      </c>
      <c r="I418" s="6">
        <v>-0.41580699822327394</v>
      </c>
      <c r="J418" s="6" t="e">
        <v>#N/A</v>
      </c>
      <c r="K418" s="6" t="e">
        <v>#N/A</v>
      </c>
      <c r="L418" t="s">
        <v>17</v>
      </c>
      <c r="M418" t="s">
        <v>18</v>
      </c>
      <c r="N418" s="4" t="s">
        <v>1643</v>
      </c>
      <c r="O418" s="4" t="s">
        <v>1644</v>
      </c>
      <c r="P418" s="4" t="s">
        <v>233</v>
      </c>
    </row>
    <row r="419" spans="1:16" x14ac:dyDescent="0.35">
      <c r="A419" t="s">
        <v>1645</v>
      </c>
      <c r="B419" t="s">
        <v>1646</v>
      </c>
      <c r="C419" t="s">
        <v>16</v>
      </c>
      <c r="D419" s="6">
        <v>581.32180000000005</v>
      </c>
      <c r="E419" s="6" t="e">
        <v>#N/A</v>
      </c>
      <c r="F419" s="6">
        <v>2.0000000000000001E-4</v>
      </c>
      <c r="G419" s="6">
        <v>2.0000000000000001E-4</v>
      </c>
      <c r="H419" s="6" t="e">
        <v>#N/A</v>
      </c>
      <c r="I419" s="6">
        <v>-0.99971194744986658</v>
      </c>
      <c r="J419" s="6">
        <v>22565000</v>
      </c>
      <c r="K419" s="6" t="e">
        <v>#N/A</v>
      </c>
      <c r="L419" t="s">
        <v>17</v>
      </c>
      <c r="M419" t="s">
        <v>27</v>
      </c>
      <c r="N419" s="4" t="s">
        <v>1647</v>
      </c>
      <c r="O419" s="4" t="s">
        <v>1648</v>
      </c>
      <c r="P419" s="4" t="s">
        <v>233</v>
      </c>
    </row>
    <row r="420" spans="1:16" x14ac:dyDescent="0.35">
      <c r="A420" t="s">
        <v>1649</v>
      </c>
      <c r="B420" t="s">
        <v>1650</v>
      </c>
      <c r="C420" t="s">
        <v>16</v>
      </c>
      <c r="D420" s="6">
        <v>131250.25913605836</v>
      </c>
      <c r="E420" s="6">
        <v>204801.26202592996</v>
      </c>
      <c r="F420" s="6">
        <v>1.0200000368058681E-2</v>
      </c>
      <c r="G420" s="6">
        <v>1.0400000028312206E-2</v>
      </c>
      <c r="H420" s="6" t="e">
        <v>#N/A</v>
      </c>
      <c r="I420" s="6">
        <v>-0.71957279430244436</v>
      </c>
      <c r="J420" s="6">
        <v>0</v>
      </c>
      <c r="K420" s="6">
        <v>42.222220670017897</v>
      </c>
      <c r="L420" t="s">
        <v>17</v>
      </c>
      <c r="M420" t="s">
        <v>32</v>
      </c>
      <c r="N420" s="4" t="s">
        <v>1651</v>
      </c>
      <c r="O420" s="4" t="s">
        <v>1652</v>
      </c>
      <c r="P420" s="4" t="s">
        <v>233</v>
      </c>
    </row>
    <row r="421" spans="1:16" x14ac:dyDescent="0.35">
      <c r="A421" t="s">
        <v>1653</v>
      </c>
      <c r="B421" t="s">
        <v>1654</v>
      </c>
      <c r="C421" t="s">
        <v>16</v>
      </c>
      <c r="D421" s="6">
        <v>3864527.0860551782</v>
      </c>
      <c r="E421" s="6">
        <v>20058695.086055174</v>
      </c>
      <c r="F421" s="6">
        <v>5.0000002374872565E-4</v>
      </c>
      <c r="G421" s="6">
        <v>5.0000002374872565E-4</v>
      </c>
      <c r="H421" s="6" t="e">
        <v>#N/A</v>
      </c>
      <c r="I421" s="6">
        <v>4.736767778013018E-8</v>
      </c>
      <c r="J421" s="6">
        <v>5675272</v>
      </c>
      <c r="K421" s="6" t="e">
        <v>#N/A</v>
      </c>
      <c r="L421" t="s">
        <v>17</v>
      </c>
      <c r="M421" t="s">
        <v>40</v>
      </c>
      <c r="N421" s="4" t="s">
        <v>1655</v>
      </c>
      <c r="O421" s="4" t="s">
        <v>1656</v>
      </c>
      <c r="P421" s="4" t="s">
        <v>233</v>
      </c>
    </row>
    <row r="422" spans="1:16" x14ac:dyDescent="0.35">
      <c r="A422" t="s">
        <v>1657</v>
      </c>
      <c r="B422" t="s">
        <v>1658</v>
      </c>
      <c r="C422" t="s">
        <v>16</v>
      </c>
      <c r="D422" s="6">
        <v>497352141.91090965</v>
      </c>
      <c r="E422" s="6">
        <v>479473141.91090965</v>
      </c>
      <c r="F422" s="6">
        <v>18.030000686645508</v>
      </c>
      <c r="G422" s="6">
        <v>17.379999160766602</v>
      </c>
      <c r="H422" s="6" t="e">
        <v>#N/A</v>
      </c>
      <c r="I422" s="6">
        <v>1.4014388804307938</v>
      </c>
      <c r="J422" s="6">
        <v>30429000</v>
      </c>
      <c r="K422" s="6">
        <v>23.476901160784827</v>
      </c>
      <c r="L422" t="s">
        <v>17</v>
      </c>
      <c r="M422" t="s">
        <v>27</v>
      </c>
      <c r="N422" s="4" t="s">
        <v>1659</v>
      </c>
      <c r="O422" s="4" t="s">
        <v>1660</v>
      </c>
      <c r="P422" s="4" t="s">
        <v>233</v>
      </c>
    </row>
    <row r="423" spans="1:16" x14ac:dyDescent="0.35">
      <c r="A423" t="s">
        <v>1661</v>
      </c>
      <c r="B423" t="s">
        <v>1662</v>
      </c>
      <c r="C423" t="s">
        <v>16</v>
      </c>
      <c r="D423" s="6" t="e">
        <v>#N/A</v>
      </c>
      <c r="E423" s="6" t="e">
        <v>#N/A</v>
      </c>
      <c r="F423" s="6" t="e">
        <v>#N/A</v>
      </c>
      <c r="G423" s="6" t="e">
        <v>#N/A</v>
      </c>
      <c r="H423" s="6" t="e">
        <v>#N/A</v>
      </c>
      <c r="I423" s="6">
        <v>-0.99999998585209726</v>
      </c>
      <c r="J423" s="6" t="e">
        <v>#N/A</v>
      </c>
      <c r="K423" s="6" t="e">
        <v>#N/A</v>
      </c>
      <c r="L423" t="s">
        <v>17</v>
      </c>
      <c r="M423" t="s">
        <v>27</v>
      </c>
      <c r="N423" s="4" t="s">
        <v>1663</v>
      </c>
      <c r="O423" s="4" t="s">
        <v>1664</v>
      </c>
      <c r="P423" s="4" t="s">
        <v>233</v>
      </c>
    </row>
    <row r="424" spans="1:16" x14ac:dyDescent="0.35">
      <c r="A424" t="s">
        <v>1665</v>
      </c>
      <c r="B424" t="s">
        <v>1666</v>
      </c>
      <c r="C424" t="s">
        <v>16</v>
      </c>
      <c r="D424" s="6">
        <v>1066304675.9403114</v>
      </c>
      <c r="E424" s="6">
        <v>1189412675.9403114</v>
      </c>
      <c r="F424" s="6">
        <v>29.940000534057617</v>
      </c>
      <c r="G424" s="6">
        <v>31.040000915527344</v>
      </c>
      <c r="H424" s="6" t="e">
        <v>#N/A</v>
      </c>
      <c r="I424" s="6">
        <v>1.548069587988997</v>
      </c>
      <c r="J424" s="6">
        <v>169138000</v>
      </c>
      <c r="K424" s="6">
        <v>-108.88888888888887</v>
      </c>
      <c r="L424" t="s">
        <v>17</v>
      </c>
      <c r="M424" t="s">
        <v>87</v>
      </c>
      <c r="N424" s="4" t="s">
        <v>1667</v>
      </c>
      <c r="O424" s="4" t="s">
        <v>1668</v>
      </c>
      <c r="P424" s="4" t="s">
        <v>233</v>
      </c>
    </row>
    <row r="425" spans="1:16" x14ac:dyDescent="0.35">
      <c r="A425" t="s">
        <v>1669</v>
      </c>
      <c r="B425" t="s">
        <v>1670</v>
      </c>
      <c r="C425" t="s">
        <v>16</v>
      </c>
      <c r="D425" s="6">
        <v>114498.40151797982</v>
      </c>
      <c r="E425" s="6" t="e">
        <v>#N/A</v>
      </c>
      <c r="F425" s="6">
        <v>1.7000000225380063E-3</v>
      </c>
      <c r="G425" s="6">
        <v>1.5899999998509884E-3</v>
      </c>
      <c r="H425" s="6" t="e">
        <v>#N/A</v>
      </c>
      <c r="I425" s="6">
        <v>-0.49159592033157984</v>
      </c>
      <c r="J425" s="6" t="e">
        <v>#N/A</v>
      </c>
      <c r="K425" s="6" t="e">
        <v>#N/A</v>
      </c>
      <c r="L425" t="s">
        <v>17</v>
      </c>
      <c r="M425" t="s">
        <v>87</v>
      </c>
      <c r="N425" s="4" t="s">
        <v>1671</v>
      </c>
      <c r="O425" s="4" t="s">
        <v>1672</v>
      </c>
      <c r="P425" s="4" t="s">
        <v>233</v>
      </c>
    </row>
    <row r="426" spans="1:16" x14ac:dyDescent="0.35">
      <c r="A426" t="s">
        <v>1673</v>
      </c>
      <c r="B426" t="s">
        <v>1674</v>
      </c>
      <c r="C426" t="s">
        <v>16</v>
      </c>
      <c r="D426" s="6" t="e">
        <v>#N/A</v>
      </c>
      <c r="E426" s="6" t="e">
        <v>#N/A</v>
      </c>
      <c r="F426" s="6" t="e">
        <v>#N/A</v>
      </c>
      <c r="G426" s="6" t="e">
        <v>#N/A</v>
      </c>
      <c r="H426" s="6" t="e">
        <v>#N/A</v>
      </c>
      <c r="I426" s="6">
        <v>-0.99907334701335848</v>
      </c>
      <c r="J426" s="6" t="e">
        <v>#N/A</v>
      </c>
      <c r="K426" s="6" t="e">
        <v>#N/A</v>
      </c>
      <c r="L426" t="s">
        <v>17</v>
      </c>
      <c r="M426" t="s">
        <v>40</v>
      </c>
      <c r="N426" s="4" t="s">
        <v>1675</v>
      </c>
      <c r="O426" s="4" t="s">
        <v>1676</v>
      </c>
      <c r="P426" s="4" t="s">
        <v>233</v>
      </c>
    </row>
    <row r="427" spans="1:16" x14ac:dyDescent="0.35">
      <c r="A427" t="s">
        <v>1677</v>
      </c>
      <c r="B427" t="s">
        <v>1678</v>
      </c>
      <c r="C427" t="s">
        <v>16</v>
      </c>
      <c r="D427" s="6">
        <v>26679942.545210838</v>
      </c>
      <c r="E427" s="6">
        <v>18312267.545210838</v>
      </c>
      <c r="F427" s="6">
        <v>1.5199999809265137</v>
      </c>
      <c r="G427" s="6">
        <v>1.6000000238418579</v>
      </c>
      <c r="H427" s="6" t="e">
        <v>#N/A</v>
      </c>
      <c r="I427" s="6">
        <v>-0.32966231818332126</v>
      </c>
      <c r="J427" s="6">
        <v>496923</v>
      </c>
      <c r="K427" s="6">
        <v>44.117000018332817</v>
      </c>
      <c r="L427" t="s">
        <v>17</v>
      </c>
      <c r="M427" t="s">
        <v>87</v>
      </c>
      <c r="N427" s="4" t="s">
        <v>1679</v>
      </c>
      <c r="O427" s="4" t="s">
        <v>1680</v>
      </c>
      <c r="P427" s="4" t="s">
        <v>233</v>
      </c>
    </row>
    <row r="428" spans="1:16" x14ac:dyDescent="0.35">
      <c r="A428" t="s">
        <v>1681</v>
      </c>
      <c r="B428" t="s">
        <v>1682</v>
      </c>
      <c r="C428" t="s">
        <v>16</v>
      </c>
      <c r="D428" s="6">
        <v>47756536.346522331</v>
      </c>
      <c r="E428" s="6">
        <v>112214986.34652233</v>
      </c>
      <c r="F428" s="6">
        <v>1.7300000190734863</v>
      </c>
      <c r="G428" s="6">
        <v>1.6799999475479126</v>
      </c>
      <c r="H428" s="6" t="e">
        <v>#N/A</v>
      </c>
      <c r="I428" s="6">
        <v>-9.8701751531131476E-2</v>
      </c>
      <c r="J428" s="6">
        <v>62501000</v>
      </c>
      <c r="K428" s="6">
        <v>90.528543776086636</v>
      </c>
      <c r="L428" t="s">
        <v>17</v>
      </c>
      <c r="M428" t="s">
        <v>18</v>
      </c>
      <c r="N428" s="4" t="s">
        <v>1683</v>
      </c>
      <c r="O428" s="4" t="s">
        <v>1684</v>
      </c>
      <c r="P428" s="4" t="s">
        <v>233</v>
      </c>
    </row>
    <row r="429" spans="1:16" x14ac:dyDescent="0.35">
      <c r="A429" t="s">
        <v>1685</v>
      </c>
      <c r="B429" t="s">
        <v>1686</v>
      </c>
      <c r="C429" t="s">
        <v>16</v>
      </c>
      <c r="D429" s="6">
        <v>494890948.18939215</v>
      </c>
      <c r="E429" s="6">
        <v>581204948.18939209</v>
      </c>
      <c r="F429" s="6">
        <v>8.5399999618530273</v>
      </c>
      <c r="G429" s="6">
        <v>8.6000003814697266</v>
      </c>
      <c r="H429" s="6" t="e">
        <v>#N/A</v>
      </c>
      <c r="I429" s="6">
        <v>1.1767102443213635</v>
      </c>
      <c r="J429" s="6">
        <v>0</v>
      </c>
      <c r="K429" s="6">
        <v>-9.0018750000000107</v>
      </c>
      <c r="L429" t="s">
        <v>17</v>
      </c>
      <c r="M429" t="s">
        <v>87</v>
      </c>
      <c r="N429" s="4" t="s">
        <v>1687</v>
      </c>
      <c r="O429" s="4" t="s">
        <v>1688</v>
      </c>
      <c r="P429" s="4" t="s">
        <v>233</v>
      </c>
    </row>
    <row r="430" spans="1:16" x14ac:dyDescent="0.35">
      <c r="A430" t="s">
        <v>1689</v>
      </c>
      <c r="B430" t="s">
        <v>1690</v>
      </c>
      <c r="C430" t="s">
        <v>16</v>
      </c>
      <c r="D430" s="6" t="e">
        <v>#N/A</v>
      </c>
      <c r="E430" s="6" t="e">
        <v>#N/A</v>
      </c>
      <c r="F430" s="6" t="e">
        <v>#N/A</v>
      </c>
      <c r="G430" s="6" t="e">
        <v>#N/A</v>
      </c>
      <c r="H430" s="6" t="e">
        <v>#N/A</v>
      </c>
      <c r="I430" s="6">
        <v>0</v>
      </c>
      <c r="J430" s="6" t="e">
        <v>#N/A</v>
      </c>
      <c r="K430" s="6" t="e">
        <v>#N/A</v>
      </c>
      <c r="L430" t="s">
        <v>17</v>
      </c>
      <c r="M430" t="s">
        <v>40</v>
      </c>
      <c r="N430" s="4" t="s">
        <v>1691</v>
      </c>
      <c r="O430" s="4" t="s">
        <v>1692</v>
      </c>
      <c r="P430" s="4" t="s">
        <v>233</v>
      </c>
    </row>
    <row r="431" spans="1:16" x14ac:dyDescent="0.35">
      <c r="A431" t="s">
        <v>1693</v>
      </c>
      <c r="B431" t="s">
        <v>1694</v>
      </c>
      <c r="C431" t="s">
        <v>16</v>
      </c>
      <c r="D431" s="6">
        <v>442395152.57745981</v>
      </c>
      <c r="E431" s="6">
        <v>304788152.57745981</v>
      </c>
      <c r="F431" s="6">
        <v>6.2199997901916504</v>
      </c>
      <c r="G431" s="6">
        <v>6.2199997901916504</v>
      </c>
      <c r="H431" s="6" t="e">
        <v>#N/A</v>
      </c>
      <c r="I431" s="6">
        <v>-0.40108252603094285</v>
      </c>
      <c r="J431" s="6">
        <v>52000</v>
      </c>
      <c r="K431" s="6">
        <v>-0.64935064935066444</v>
      </c>
      <c r="L431" t="s">
        <v>17</v>
      </c>
      <c r="M431" t="s">
        <v>18</v>
      </c>
      <c r="N431" s="4" t="s">
        <v>1695</v>
      </c>
      <c r="O431" s="4" t="s">
        <v>1696</v>
      </c>
      <c r="P431" s="4" t="s">
        <v>233</v>
      </c>
    </row>
    <row r="432" spans="1:16" x14ac:dyDescent="0.35">
      <c r="A432" t="s">
        <v>1697</v>
      </c>
      <c r="B432" t="s">
        <v>1698</v>
      </c>
      <c r="C432" t="s">
        <v>16</v>
      </c>
      <c r="D432" s="6">
        <v>276963684</v>
      </c>
      <c r="E432" s="6">
        <v>-91357316</v>
      </c>
      <c r="F432" s="6">
        <v>4.75</v>
      </c>
      <c r="G432" s="6">
        <v>4.6500000953674316</v>
      </c>
      <c r="H432" s="6" t="e">
        <v>#N/A</v>
      </c>
      <c r="I432" s="6">
        <v>9.6720247920112357E-2</v>
      </c>
      <c r="J432" s="6">
        <v>190858000</v>
      </c>
      <c r="K432" s="6" t="e">
        <v>#N/A</v>
      </c>
      <c r="L432" t="s">
        <v>17</v>
      </c>
      <c r="M432" t="s">
        <v>18</v>
      </c>
      <c r="N432" s="4" t="s">
        <v>1699</v>
      </c>
      <c r="O432" s="4" t="s">
        <v>1700</v>
      </c>
      <c r="P432" s="4" t="s">
        <v>233</v>
      </c>
    </row>
    <row r="433" spans="1:16" x14ac:dyDescent="0.35">
      <c r="A433" t="s">
        <v>1701</v>
      </c>
      <c r="B433" t="s">
        <v>1702</v>
      </c>
      <c r="C433" t="s">
        <v>16</v>
      </c>
      <c r="D433" s="6">
        <v>2302722.9240000001</v>
      </c>
      <c r="E433" s="6">
        <v>3227907.9240000001</v>
      </c>
      <c r="F433" s="6">
        <v>6.9000000000000006E-2</v>
      </c>
      <c r="G433" s="6">
        <v>5.0999999999999997E-2</v>
      </c>
      <c r="H433" s="6" t="e">
        <v>#N/A</v>
      </c>
      <c r="I433" s="6">
        <v>-0.23277655814231935</v>
      </c>
      <c r="J433" s="6">
        <v>1442347</v>
      </c>
      <c r="K433" s="6">
        <v>-67.824483775811217</v>
      </c>
      <c r="L433" t="s">
        <v>17</v>
      </c>
      <c r="M433" t="s">
        <v>27</v>
      </c>
      <c r="N433" s="4" t="s">
        <v>1703</v>
      </c>
      <c r="O433" s="4" t="s">
        <v>1704</v>
      </c>
      <c r="P433" s="4" t="s">
        <v>233</v>
      </c>
    </row>
    <row r="434" spans="1:16" x14ac:dyDescent="0.35">
      <c r="A434" t="s">
        <v>1705</v>
      </c>
      <c r="B434" t="s">
        <v>1706</v>
      </c>
      <c r="C434" t="s">
        <v>16</v>
      </c>
      <c r="D434" s="6">
        <v>982117733.77290297</v>
      </c>
      <c r="E434" s="6">
        <v>5890313733.7729034</v>
      </c>
      <c r="F434" s="6">
        <v>4.929999828338623</v>
      </c>
      <c r="G434" s="6">
        <v>4.6999998092651367</v>
      </c>
      <c r="H434" s="6" t="e">
        <v>#N/A</v>
      </c>
      <c r="I434" s="6">
        <v>-0.17515028207560523</v>
      </c>
      <c r="J434" s="6">
        <v>3099022000</v>
      </c>
      <c r="K434" s="6">
        <v>-61.403508771929815</v>
      </c>
      <c r="L434" t="s">
        <v>17</v>
      </c>
      <c r="M434" t="s">
        <v>40</v>
      </c>
      <c r="N434" s="4" t="s">
        <v>1707</v>
      </c>
      <c r="O434" s="4" t="s">
        <v>1708</v>
      </c>
      <c r="P434" s="4" t="s">
        <v>233</v>
      </c>
    </row>
    <row r="435" spans="1:16" x14ac:dyDescent="0.35">
      <c r="A435" t="s">
        <v>1709</v>
      </c>
      <c r="B435" t="s">
        <v>1710</v>
      </c>
      <c r="C435" t="s">
        <v>16</v>
      </c>
      <c r="D435" s="6">
        <v>592.9860000000001</v>
      </c>
      <c r="E435" s="6">
        <v>-8507407.0140000004</v>
      </c>
      <c r="F435" s="6">
        <v>1E-4</v>
      </c>
      <c r="G435" s="6">
        <v>1E-4</v>
      </c>
      <c r="H435" s="6" t="e">
        <v>#N/A</v>
      </c>
      <c r="I435" s="6">
        <v>0</v>
      </c>
      <c r="J435" s="6">
        <v>11046000</v>
      </c>
      <c r="K435" s="6">
        <v>18.032786885245891</v>
      </c>
      <c r="L435" t="s">
        <v>17</v>
      </c>
      <c r="M435" t="s">
        <v>18</v>
      </c>
      <c r="N435" s="4" t="s">
        <v>233</v>
      </c>
      <c r="O435" s="4" t="s">
        <v>1711</v>
      </c>
      <c r="P435" s="4" t="s">
        <v>13102</v>
      </c>
    </row>
    <row r="436" spans="1:16" x14ac:dyDescent="0.35">
      <c r="A436" t="s">
        <v>1712</v>
      </c>
      <c r="B436" t="s">
        <v>1713</v>
      </c>
      <c r="C436" t="s">
        <v>16</v>
      </c>
      <c r="D436" s="6">
        <v>140610440.16444895</v>
      </c>
      <c r="E436" s="6">
        <v>-5721674751.3295164</v>
      </c>
      <c r="F436" s="6">
        <v>1.0499999523162842</v>
      </c>
      <c r="G436" s="6">
        <v>1</v>
      </c>
      <c r="H436" s="6">
        <v>1.7793588289089568</v>
      </c>
      <c r="I436" s="6">
        <v>-0.47407492711799493</v>
      </c>
      <c r="J436" s="6">
        <v>1258496349.3666661</v>
      </c>
      <c r="K436" s="6">
        <v>-3.8532686660581006</v>
      </c>
      <c r="L436" t="s">
        <v>17</v>
      </c>
      <c r="M436" t="s">
        <v>40</v>
      </c>
      <c r="N436" s="4" t="s">
        <v>233</v>
      </c>
      <c r="O436" s="4" t="s">
        <v>1714</v>
      </c>
      <c r="P436" s="4" t="s">
        <v>13103</v>
      </c>
    </row>
    <row r="437" spans="1:16" x14ac:dyDescent="0.35">
      <c r="A437" t="s">
        <v>1715</v>
      </c>
      <c r="B437" t="s">
        <v>1716</v>
      </c>
      <c r="C437" t="s">
        <v>16</v>
      </c>
      <c r="D437" s="6">
        <v>2853595189.1426778</v>
      </c>
      <c r="E437" s="6">
        <v>3048496189.1426778</v>
      </c>
      <c r="F437" s="6">
        <v>9.5500001907348633</v>
      </c>
      <c r="G437" s="6">
        <v>9.380000114440918</v>
      </c>
      <c r="H437" s="6" t="e">
        <v>#N/A</v>
      </c>
      <c r="I437" s="6">
        <v>-0.30576952132909685</v>
      </c>
      <c r="J437" s="6">
        <v>493671000</v>
      </c>
      <c r="K437" s="6">
        <v>42.428755115933136</v>
      </c>
      <c r="L437" t="s">
        <v>17</v>
      </c>
      <c r="M437" t="s">
        <v>18</v>
      </c>
      <c r="N437" s="4" t="s">
        <v>1717</v>
      </c>
      <c r="O437" s="4" t="s">
        <v>1718</v>
      </c>
      <c r="P437" s="4" t="s">
        <v>233</v>
      </c>
    </row>
    <row r="438" spans="1:16" x14ac:dyDescent="0.35">
      <c r="A438" t="s">
        <v>1719</v>
      </c>
      <c r="B438" t="s">
        <v>1720</v>
      </c>
      <c r="C438" t="s">
        <v>16</v>
      </c>
      <c r="D438" s="6">
        <v>310455081.87689787</v>
      </c>
      <c r="E438" s="6">
        <v>837116081.87689781</v>
      </c>
      <c r="F438" s="6">
        <v>1.940000057220459</v>
      </c>
      <c r="G438" s="6">
        <v>1.809999942779541</v>
      </c>
      <c r="H438" s="6">
        <v>74.295345328602139</v>
      </c>
      <c r="I438" s="6">
        <v>-0.87306429190749602</v>
      </c>
      <c r="J438" s="6">
        <v>378418000</v>
      </c>
      <c r="K438" s="6">
        <v>99.509803921568633</v>
      </c>
      <c r="L438" t="s">
        <v>17</v>
      </c>
      <c r="M438" t="s">
        <v>18</v>
      </c>
      <c r="N438" s="4" t="s">
        <v>1721</v>
      </c>
      <c r="O438" s="4" t="s">
        <v>1722</v>
      </c>
      <c r="P438" s="4" t="s">
        <v>233</v>
      </c>
    </row>
    <row r="439" spans="1:16" x14ac:dyDescent="0.35">
      <c r="A439" t="s">
        <v>1723</v>
      </c>
      <c r="B439" t="s">
        <v>1724</v>
      </c>
      <c r="C439" t="s">
        <v>16</v>
      </c>
      <c r="D439" s="6">
        <v>30052587.594182491</v>
      </c>
      <c r="E439" s="6">
        <v>68114587.594182491</v>
      </c>
      <c r="F439" s="6">
        <v>1.2000000476837158</v>
      </c>
      <c r="G439" s="6">
        <v>1.2000000476837158</v>
      </c>
      <c r="H439" s="6" t="e">
        <v>#N/A</v>
      </c>
      <c r="I439" s="6">
        <v>1.6902494500441678E-2</v>
      </c>
      <c r="J439" s="6">
        <v>11909000</v>
      </c>
      <c r="K439" s="6">
        <v>44.281057061606425</v>
      </c>
      <c r="L439" t="s">
        <v>17</v>
      </c>
      <c r="M439" t="s">
        <v>27</v>
      </c>
      <c r="N439" s="4" t="s">
        <v>1725</v>
      </c>
      <c r="O439" s="4" t="s">
        <v>1726</v>
      </c>
      <c r="P439" s="4" t="s">
        <v>233</v>
      </c>
    </row>
    <row r="440" spans="1:16" x14ac:dyDescent="0.35">
      <c r="A440" t="s">
        <v>1727</v>
      </c>
      <c r="B440" t="s">
        <v>1728</v>
      </c>
      <c r="C440" t="s">
        <v>16</v>
      </c>
      <c r="D440" s="6">
        <v>25090320.143280145</v>
      </c>
      <c r="E440" s="6" t="e">
        <v>#N/A</v>
      </c>
      <c r="F440" s="6">
        <v>0.15690000355243683</v>
      </c>
      <c r="G440" s="6">
        <v>0.14399999380111694</v>
      </c>
      <c r="H440" s="6" t="e">
        <v>#N/A</v>
      </c>
      <c r="I440" s="6">
        <v>-0.39570510769516676</v>
      </c>
      <c r="J440" s="6" t="e">
        <v>#N/A</v>
      </c>
      <c r="K440" s="6" t="e">
        <v>#N/A</v>
      </c>
      <c r="L440" t="s">
        <v>17</v>
      </c>
      <c r="M440" t="s">
        <v>18</v>
      </c>
      <c r="N440" s="4" t="s">
        <v>1729</v>
      </c>
      <c r="O440" s="4" t="s">
        <v>1730</v>
      </c>
      <c r="P440" s="4" t="s">
        <v>233</v>
      </c>
    </row>
    <row r="441" spans="1:16" x14ac:dyDescent="0.35">
      <c r="A441" t="s">
        <v>1731</v>
      </c>
      <c r="B441" t="s">
        <v>1732</v>
      </c>
      <c r="C441" t="s">
        <v>16</v>
      </c>
      <c r="D441" s="6">
        <v>3834307217.1745601</v>
      </c>
      <c r="E441" s="6">
        <v>5876895217.1745605</v>
      </c>
      <c r="F441" s="6">
        <v>41.279998779296875</v>
      </c>
      <c r="G441" s="6">
        <v>41.860000610351563</v>
      </c>
      <c r="H441" s="6">
        <v>11.847123536486121</v>
      </c>
      <c r="I441" s="6">
        <v>-0.50638594228001232</v>
      </c>
      <c r="J441" s="6">
        <v>3122525000</v>
      </c>
      <c r="K441" s="6" t="e">
        <v>#N/A</v>
      </c>
      <c r="L441" t="s">
        <v>17</v>
      </c>
      <c r="M441" t="s">
        <v>40</v>
      </c>
      <c r="N441" s="4" t="s">
        <v>1733</v>
      </c>
      <c r="O441" s="4" t="s">
        <v>1734</v>
      </c>
      <c r="P441" s="4" t="s">
        <v>233</v>
      </c>
    </row>
    <row r="442" spans="1:16" x14ac:dyDescent="0.35">
      <c r="A442" t="s">
        <v>1735</v>
      </c>
      <c r="B442" t="s">
        <v>1736</v>
      </c>
      <c r="C442" t="s">
        <v>16</v>
      </c>
      <c r="D442" s="6">
        <v>4711.7060000000001</v>
      </c>
      <c r="E442" s="6" t="e">
        <v>#N/A</v>
      </c>
      <c r="F442" s="6" t="e">
        <v>#N/A</v>
      </c>
      <c r="G442" s="6" t="e">
        <v>#N/A</v>
      </c>
      <c r="H442" s="6" t="e">
        <v>#N/A</v>
      </c>
      <c r="I442" s="6">
        <v>1.0688808702594517</v>
      </c>
      <c r="J442" s="6" t="e">
        <v>#N/A</v>
      </c>
      <c r="K442" s="6" t="e">
        <v>#N/A</v>
      </c>
      <c r="L442" t="s">
        <v>17</v>
      </c>
      <c r="M442" t="s">
        <v>18</v>
      </c>
      <c r="N442" s="4" t="s">
        <v>1737</v>
      </c>
      <c r="O442" s="4" t="s">
        <v>1738</v>
      </c>
      <c r="P442" s="4" t="s">
        <v>233</v>
      </c>
    </row>
    <row r="443" spans="1:16" x14ac:dyDescent="0.35">
      <c r="A443" t="s">
        <v>1739</v>
      </c>
      <c r="B443" t="s">
        <v>1740</v>
      </c>
      <c r="C443" t="s">
        <v>16</v>
      </c>
      <c r="D443" s="6">
        <v>6696665.0092757344</v>
      </c>
      <c r="E443" s="6">
        <v>33117665.009275734</v>
      </c>
      <c r="F443" s="6">
        <v>0.28049999475479126</v>
      </c>
      <c r="G443" s="6">
        <v>0.25240001082420349</v>
      </c>
      <c r="H443" s="6" t="e">
        <v>#N/A</v>
      </c>
      <c r="I443" s="6">
        <v>-0.94552115532676007</v>
      </c>
      <c r="J443" s="6">
        <v>12753000</v>
      </c>
      <c r="K443" s="6">
        <v>-250.85672316384176</v>
      </c>
      <c r="L443" t="s">
        <v>17</v>
      </c>
      <c r="M443" t="s">
        <v>87</v>
      </c>
      <c r="N443" s="4" t="s">
        <v>1741</v>
      </c>
      <c r="O443" s="4" t="s">
        <v>1742</v>
      </c>
      <c r="P443" s="4" t="s">
        <v>233</v>
      </c>
    </row>
    <row r="444" spans="1:16" x14ac:dyDescent="0.35">
      <c r="A444" t="s">
        <v>1743</v>
      </c>
      <c r="B444" t="s">
        <v>1744</v>
      </c>
      <c r="C444" t="s">
        <v>16</v>
      </c>
      <c r="D444" s="6">
        <v>2095.7523999999999</v>
      </c>
      <c r="E444" s="6">
        <v>1395068.7524000003</v>
      </c>
      <c r="F444" s="6">
        <v>1.4E-3</v>
      </c>
      <c r="G444" s="6">
        <v>1.4E-3</v>
      </c>
      <c r="H444" s="6" t="e">
        <v>#N/A</v>
      </c>
      <c r="I444" s="6">
        <v>0.16617539728854802</v>
      </c>
      <c r="J444" s="6">
        <v>76760</v>
      </c>
      <c r="K444" s="6">
        <v>12.947570332480828</v>
      </c>
      <c r="L444" t="s">
        <v>17</v>
      </c>
      <c r="M444" t="s">
        <v>18</v>
      </c>
      <c r="N444" s="4" t="s">
        <v>1745</v>
      </c>
      <c r="O444" s="4" t="s">
        <v>1746</v>
      </c>
      <c r="P444" s="4" t="s">
        <v>233</v>
      </c>
    </row>
    <row r="445" spans="1:16" x14ac:dyDescent="0.35">
      <c r="A445" t="s">
        <v>1747</v>
      </c>
      <c r="B445" t="s">
        <v>1748</v>
      </c>
      <c r="C445" t="s">
        <v>16</v>
      </c>
      <c r="D445" s="6">
        <v>8164214435.3919983</v>
      </c>
      <c r="E445" s="6">
        <v>8052721435.3919983</v>
      </c>
      <c r="F445" s="6">
        <v>145.72000122070313</v>
      </c>
      <c r="G445" s="6">
        <v>145.77000427246094</v>
      </c>
      <c r="H445" s="6">
        <v>195.00575598948578</v>
      </c>
      <c r="I445" s="6">
        <v>-0.2909221287236835</v>
      </c>
      <c r="J445" s="6">
        <v>616033000</v>
      </c>
      <c r="K445" s="6" t="e">
        <v>#N/A</v>
      </c>
      <c r="L445" t="s">
        <v>17</v>
      </c>
      <c r="M445" t="s">
        <v>100</v>
      </c>
      <c r="N445" s="4" t="s">
        <v>1749</v>
      </c>
      <c r="O445" s="4" t="s">
        <v>1750</v>
      </c>
      <c r="P445" s="4" t="s">
        <v>233</v>
      </c>
    </row>
    <row r="446" spans="1:16" x14ac:dyDescent="0.35">
      <c r="A446" t="s">
        <v>1751</v>
      </c>
      <c r="B446" t="s">
        <v>1752</v>
      </c>
      <c r="C446" t="s">
        <v>16</v>
      </c>
      <c r="D446" s="6">
        <v>19452599.816322327</v>
      </c>
      <c r="E446" s="6">
        <v>31642599.816322327</v>
      </c>
      <c r="F446" s="6">
        <v>3.0299999713897705</v>
      </c>
      <c r="G446" s="6">
        <v>3.0499999523162842</v>
      </c>
      <c r="H446" s="6">
        <v>13.534519597760195</v>
      </c>
      <c r="I446" s="6">
        <v>0.13443933690440968</v>
      </c>
      <c r="J446" s="6">
        <v>24969000</v>
      </c>
      <c r="K446" s="6">
        <v>771.42857142857133</v>
      </c>
      <c r="L446" t="s">
        <v>17</v>
      </c>
      <c r="M446" t="s">
        <v>40</v>
      </c>
      <c r="N446" s="4" t="s">
        <v>1753</v>
      </c>
      <c r="O446" s="4" t="s">
        <v>1754</v>
      </c>
      <c r="P446" s="4" t="s">
        <v>233</v>
      </c>
    </row>
    <row r="447" spans="1:16" x14ac:dyDescent="0.35">
      <c r="A447" t="s">
        <v>1755</v>
      </c>
      <c r="B447" t="s">
        <v>1756</v>
      </c>
      <c r="C447" t="s">
        <v>16</v>
      </c>
      <c r="D447" s="6">
        <v>30798886.373880565</v>
      </c>
      <c r="E447" s="6">
        <v>37682581.373880565</v>
      </c>
      <c r="F447" s="6">
        <v>0.4156000018119812</v>
      </c>
      <c r="G447" s="6">
        <v>0.3734000027179718</v>
      </c>
      <c r="H447" s="6" t="e">
        <v>#N/A</v>
      </c>
      <c r="I447" s="6">
        <v>-0.82306070473872861</v>
      </c>
      <c r="J447" s="6">
        <v>0</v>
      </c>
      <c r="K447" s="6">
        <v>30.136986301369859</v>
      </c>
      <c r="L447" t="s">
        <v>17</v>
      </c>
      <c r="M447" t="s">
        <v>18</v>
      </c>
      <c r="N447" s="4" t="s">
        <v>1757</v>
      </c>
      <c r="O447" s="4" t="s">
        <v>1758</v>
      </c>
      <c r="P447" s="4" t="s">
        <v>233</v>
      </c>
    </row>
    <row r="448" spans="1:16" x14ac:dyDescent="0.35">
      <c r="A448" t="s">
        <v>1759</v>
      </c>
      <c r="B448" t="s">
        <v>1760</v>
      </c>
      <c r="C448" t="s">
        <v>16</v>
      </c>
      <c r="D448" s="6">
        <v>63750.317789531466</v>
      </c>
      <c r="E448" s="6">
        <v>7122060.3177895313</v>
      </c>
      <c r="F448" s="6">
        <v>1.9999999494757503E-4</v>
      </c>
      <c r="G448" s="6">
        <v>1.9999999494757503E-4</v>
      </c>
      <c r="H448" s="6" t="e">
        <v>#N/A</v>
      </c>
      <c r="I448" s="6">
        <v>-0.95081528548409622</v>
      </c>
      <c r="J448" s="6">
        <v>255723</v>
      </c>
      <c r="K448" s="6">
        <v>-90.11180992313065</v>
      </c>
      <c r="L448" t="s">
        <v>17</v>
      </c>
      <c r="M448" t="s">
        <v>18</v>
      </c>
      <c r="N448" s="4" t="s">
        <v>1761</v>
      </c>
      <c r="O448" s="4" t="s">
        <v>1762</v>
      </c>
      <c r="P448" s="4" t="s">
        <v>233</v>
      </c>
    </row>
    <row r="449" spans="1:16" x14ac:dyDescent="0.35">
      <c r="A449" t="s">
        <v>1763</v>
      </c>
      <c r="B449" t="s">
        <v>1764</v>
      </c>
      <c r="C449" t="s">
        <v>16</v>
      </c>
      <c r="D449" s="6">
        <v>1818623918.0696361</v>
      </c>
      <c r="E449" s="6">
        <v>1534640918.0696361</v>
      </c>
      <c r="F449" s="6">
        <v>8.7799997329711914</v>
      </c>
      <c r="G449" s="6">
        <v>8.9099998474121094</v>
      </c>
      <c r="H449" s="6" t="e">
        <v>#N/A</v>
      </c>
      <c r="I449" s="6">
        <v>0.47406233634728268</v>
      </c>
      <c r="J449" s="6">
        <v>412579000</v>
      </c>
      <c r="K449" s="6">
        <v>51.199999999999996</v>
      </c>
      <c r="L449" t="s">
        <v>17</v>
      </c>
      <c r="M449" t="s">
        <v>18</v>
      </c>
      <c r="N449" s="4" t="s">
        <v>1765</v>
      </c>
      <c r="O449" s="4" t="s">
        <v>1766</v>
      </c>
      <c r="P449" s="4" t="s">
        <v>233</v>
      </c>
    </row>
    <row r="450" spans="1:16" x14ac:dyDescent="0.35">
      <c r="A450" t="s">
        <v>1767</v>
      </c>
      <c r="B450" t="s">
        <v>1768</v>
      </c>
      <c r="C450" t="s">
        <v>16</v>
      </c>
      <c r="D450" s="6">
        <v>6449843.9296052447</v>
      </c>
      <c r="E450" s="6">
        <v>5432390.9296052447</v>
      </c>
      <c r="F450" s="6">
        <v>1.8600000143051147</v>
      </c>
      <c r="G450" s="6">
        <v>1.9900000095367432</v>
      </c>
      <c r="H450" s="6" t="e">
        <v>#N/A</v>
      </c>
      <c r="I450" s="6">
        <v>-0.64198813243848041</v>
      </c>
      <c r="J450" s="6">
        <v>0</v>
      </c>
      <c r="K450" s="6">
        <v>90.58995611896637</v>
      </c>
      <c r="L450" t="s">
        <v>17</v>
      </c>
      <c r="M450" t="s">
        <v>18</v>
      </c>
      <c r="N450" s="4" t="s">
        <v>1769</v>
      </c>
      <c r="O450" s="4" t="s">
        <v>1770</v>
      </c>
      <c r="P450" s="4" t="s">
        <v>233</v>
      </c>
    </row>
    <row r="451" spans="1:16" x14ac:dyDescent="0.35">
      <c r="A451" t="s">
        <v>1771</v>
      </c>
      <c r="B451" t="s">
        <v>1772</v>
      </c>
      <c r="C451" t="s">
        <v>16</v>
      </c>
      <c r="D451" s="6" t="e">
        <v>#N/A</v>
      </c>
      <c r="E451" s="6" t="e">
        <v>#N/A</v>
      </c>
      <c r="F451" s="6">
        <v>9.9999999747524271E-7</v>
      </c>
      <c r="G451" s="6">
        <v>9.9999999747524271E-7</v>
      </c>
      <c r="H451" s="6">
        <v>1.3513513543342814E-6</v>
      </c>
      <c r="I451" s="6">
        <v>0</v>
      </c>
      <c r="J451" s="6">
        <v>25320000.171661377</v>
      </c>
      <c r="K451" s="6" t="e">
        <v>#N/A</v>
      </c>
      <c r="L451" t="s">
        <v>17</v>
      </c>
      <c r="M451" t="s">
        <v>18</v>
      </c>
      <c r="N451" s="4" t="s">
        <v>1773</v>
      </c>
      <c r="O451" s="4" t="s">
        <v>1774</v>
      </c>
      <c r="P451" s="4" t="s">
        <v>233</v>
      </c>
    </row>
    <row r="452" spans="1:16" x14ac:dyDescent="0.35">
      <c r="A452" t="s">
        <v>1775</v>
      </c>
      <c r="B452" t="s">
        <v>1776</v>
      </c>
      <c r="C452" t="s">
        <v>16</v>
      </c>
      <c r="D452" s="6">
        <v>1204958918.5722342</v>
      </c>
      <c r="E452" s="6">
        <v>1135175918.5722342</v>
      </c>
      <c r="F452" s="6">
        <v>8.1999998092651367</v>
      </c>
      <c r="G452" s="6">
        <v>8</v>
      </c>
      <c r="H452" s="6">
        <v>15.242315287791902</v>
      </c>
      <c r="I452" s="6">
        <v>-1.2015495693673661E-2</v>
      </c>
      <c r="J452" s="6">
        <v>342805000</v>
      </c>
      <c r="K452" s="6" t="e">
        <v>#N/A</v>
      </c>
      <c r="L452" t="s">
        <v>17</v>
      </c>
      <c r="M452" t="s">
        <v>18</v>
      </c>
      <c r="N452" s="4" t="s">
        <v>1777</v>
      </c>
      <c r="O452" s="4" t="s">
        <v>1778</v>
      </c>
      <c r="P452" s="4" t="s">
        <v>233</v>
      </c>
    </row>
    <row r="453" spans="1:16" x14ac:dyDescent="0.35">
      <c r="A453" t="s">
        <v>1779</v>
      </c>
      <c r="B453" t="s">
        <v>1780</v>
      </c>
      <c r="C453" t="s">
        <v>16</v>
      </c>
      <c r="D453" s="6">
        <v>86105148.669877052</v>
      </c>
      <c r="E453" s="6">
        <v>108590148.66987705</v>
      </c>
      <c r="F453" s="6">
        <v>6.119999885559082</v>
      </c>
      <c r="G453" s="6">
        <v>5.119999885559082</v>
      </c>
      <c r="H453" s="6" t="e">
        <v>#N/A</v>
      </c>
      <c r="I453" s="6">
        <v>8.1323017627987486</v>
      </c>
      <c r="J453" s="6">
        <v>7110000</v>
      </c>
      <c r="K453" s="6">
        <v>-76.600780735087895</v>
      </c>
      <c r="L453" t="s">
        <v>17</v>
      </c>
      <c r="M453" t="s">
        <v>87</v>
      </c>
      <c r="N453" s="4" t="s">
        <v>1781</v>
      </c>
      <c r="O453" s="4" t="s">
        <v>1782</v>
      </c>
      <c r="P453" s="4" t="s">
        <v>233</v>
      </c>
    </row>
    <row r="454" spans="1:16" x14ac:dyDescent="0.35">
      <c r="A454" t="s">
        <v>1783</v>
      </c>
      <c r="B454" t="s">
        <v>1784</v>
      </c>
      <c r="C454" t="s">
        <v>16</v>
      </c>
      <c r="D454" s="6" t="e">
        <v>#N/A</v>
      </c>
      <c r="E454" s="6" t="e">
        <v>#N/A</v>
      </c>
      <c r="F454" s="6" t="e">
        <v>#N/A</v>
      </c>
      <c r="G454" s="6" t="e">
        <v>#N/A</v>
      </c>
      <c r="H454" s="6" t="e">
        <v>#N/A</v>
      </c>
      <c r="I454" s="6">
        <v>0</v>
      </c>
      <c r="J454" s="6" t="e">
        <v>#N/A</v>
      </c>
      <c r="K454" s="6" t="e">
        <v>#N/A</v>
      </c>
      <c r="L454" t="s">
        <v>17</v>
      </c>
      <c r="M454" t="s">
        <v>87</v>
      </c>
      <c r="N454" s="4" t="s">
        <v>1785</v>
      </c>
      <c r="O454" s="4" t="s">
        <v>1786</v>
      </c>
      <c r="P454" s="4" t="s">
        <v>233</v>
      </c>
    </row>
    <row r="455" spans="1:16" x14ac:dyDescent="0.35">
      <c r="A455" t="s">
        <v>1787</v>
      </c>
      <c r="B455" t="s">
        <v>1788</v>
      </c>
      <c r="C455" t="s">
        <v>16</v>
      </c>
      <c r="D455" s="6">
        <v>10244396.036473125</v>
      </c>
      <c r="E455" s="6">
        <v>6304396.0364731252</v>
      </c>
      <c r="F455" s="6">
        <v>0.14900000393390656</v>
      </c>
      <c r="G455" s="6">
        <v>0.15000000596046448</v>
      </c>
      <c r="H455" s="6" t="e">
        <v>#N/A</v>
      </c>
      <c r="I455" s="6">
        <v>-0.64865364079849952</v>
      </c>
      <c r="J455" s="6">
        <v>190000</v>
      </c>
      <c r="K455" s="6">
        <v>-8.3286380404513984</v>
      </c>
      <c r="L455" t="s">
        <v>17</v>
      </c>
      <c r="M455" t="s">
        <v>18</v>
      </c>
      <c r="N455" s="4" t="s">
        <v>1789</v>
      </c>
      <c r="O455" s="4" t="s">
        <v>1790</v>
      </c>
      <c r="P455" s="4" t="s">
        <v>233</v>
      </c>
    </row>
    <row r="456" spans="1:16" x14ac:dyDescent="0.35">
      <c r="A456" t="s">
        <v>1791</v>
      </c>
      <c r="B456" t="s">
        <v>1792</v>
      </c>
      <c r="C456" t="s">
        <v>16</v>
      </c>
      <c r="D456" s="6">
        <v>1119272157.7970018</v>
      </c>
      <c r="E456" s="6">
        <v>1220499157.7970018</v>
      </c>
      <c r="F456" s="6">
        <v>1.6399999856948853</v>
      </c>
      <c r="G456" s="6">
        <v>1.6200000047683716</v>
      </c>
      <c r="H456" s="6" t="e">
        <v>#N/A</v>
      </c>
      <c r="I456" s="6">
        <v>0.57496185246388865</v>
      </c>
      <c r="J456" s="6">
        <v>711404000</v>
      </c>
      <c r="K456" s="6">
        <v>33.333333333333336</v>
      </c>
      <c r="L456" t="s">
        <v>17</v>
      </c>
      <c r="M456" t="s">
        <v>40</v>
      </c>
      <c r="N456" s="4" t="s">
        <v>1793</v>
      </c>
      <c r="O456" s="4" t="s">
        <v>1794</v>
      </c>
      <c r="P456" s="4" t="s">
        <v>233</v>
      </c>
    </row>
    <row r="457" spans="1:16" x14ac:dyDescent="0.35">
      <c r="A457" t="s">
        <v>1795</v>
      </c>
      <c r="B457" t="s">
        <v>1796</v>
      </c>
      <c r="C457" t="s">
        <v>16</v>
      </c>
      <c r="D457" s="6">
        <v>140561.79200000002</v>
      </c>
      <c r="E457" s="6">
        <v>3203005.7919999994</v>
      </c>
      <c r="F457" s="6">
        <v>1.4E-3</v>
      </c>
      <c r="G457" s="6">
        <v>1.6000000000000001E-3</v>
      </c>
      <c r="H457" s="6" t="e">
        <v>#N/A</v>
      </c>
      <c r="I457" s="6">
        <v>-0.90147432994036958</v>
      </c>
      <c r="J457" s="6">
        <v>1349905</v>
      </c>
      <c r="K457" s="6">
        <v>-250.03840737421584</v>
      </c>
      <c r="L457" t="s">
        <v>17</v>
      </c>
      <c r="M457" t="s">
        <v>87</v>
      </c>
      <c r="N457" s="4" t="s">
        <v>1797</v>
      </c>
      <c r="O457" s="4" t="s">
        <v>1798</v>
      </c>
      <c r="P457" s="4" t="s">
        <v>233</v>
      </c>
    </row>
    <row r="458" spans="1:16" x14ac:dyDescent="0.35">
      <c r="A458" t="s">
        <v>1799</v>
      </c>
      <c r="B458" t="s">
        <v>1800</v>
      </c>
      <c r="C458" t="s">
        <v>16</v>
      </c>
      <c r="D458" s="6" t="e">
        <v>#N/A</v>
      </c>
      <c r="E458" s="6" t="e">
        <v>#N/A</v>
      </c>
      <c r="F458" s="6" t="e">
        <v>#N/A</v>
      </c>
      <c r="G458" s="6" t="e">
        <v>#N/A</v>
      </c>
      <c r="H458" s="6" t="e">
        <v>#N/A</v>
      </c>
      <c r="I458" s="6">
        <v>11.382671750665859</v>
      </c>
      <c r="J458" s="6">
        <v>24578000.088012695</v>
      </c>
      <c r="K458" s="6">
        <v>87.499999906867743</v>
      </c>
      <c r="L458" t="s">
        <v>17</v>
      </c>
      <c r="M458" t="s">
        <v>40</v>
      </c>
      <c r="N458" s="4" t="s">
        <v>1801</v>
      </c>
      <c r="O458" s="4" t="s">
        <v>1802</v>
      </c>
      <c r="P458" s="4" t="s">
        <v>233</v>
      </c>
    </row>
    <row r="459" spans="1:16" x14ac:dyDescent="0.35">
      <c r="A459" t="s">
        <v>1803</v>
      </c>
      <c r="B459" t="s">
        <v>1804</v>
      </c>
      <c r="C459" t="s">
        <v>16</v>
      </c>
      <c r="D459" s="6" t="e">
        <v>#N/A</v>
      </c>
      <c r="E459" s="6" t="e">
        <v>#N/A</v>
      </c>
      <c r="F459" s="6" t="e">
        <v>#N/A</v>
      </c>
      <c r="G459" s="6" t="e">
        <v>#N/A</v>
      </c>
      <c r="H459" s="6" t="e">
        <v>#N/A</v>
      </c>
      <c r="I459" s="6">
        <v>0</v>
      </c>
      <c r="J459" s="6">
        <v>4042093.9999999995</v>
      </c>
      <c r="K459" s="6">
        <v>0</v>
      </c>
      <c r="L459" t="s">
        <v>17</v>
      </c>
      <c r="M459" t="s">
        <v>27</v>
      </c>
      <c r="N459" s="4" t="s">
        <v>1805</v>
      </c>
      <c r="O459" s="4" t="s">
        <v>1806</v>
      </c>
      <c r="P459" s="4" t="s">
        <v>233</v>
      </c>
    </row>
    <row r="460" spans="1:16" x14ac:dyDescent="0.35">
      <c r="A460" t="s">
        <v>1807</v>
      </c>
      <c r="B460" t="s">
        <v>1808</v>
      </c>
      <c r="C460" t="s">
        <v>16</v>
      </c>
      <c r="D460" s="6">
        <v>134839006.74743533</v>
      </c>
      <c r="E460" s="6">
        <v>-1393993.2525646687</v>
      </c>
      <c r="F460" s="6">
        <v>0.73100000619888306</v>
      </c>
      <c r="G460" s="6">
        <v>0.66350001096725464</v>
      </c>
      <c r="H460" s="6" t="e">
        <v>#N/A</v>
      </c>
      <c r="I460" s="6">
        <v>2.6611529399181322E-2</v>
      </c>
      <c r="J460" s="6">
        <v>93137000</v>
      </c>
      <c r="K460" s="6">
        <v>46.15384615384616</v>
      </c>
      <c r="L460" t="s">
        <v>17</v>
      </c>
      <c r="M460" t="s">
        <v>87</v>
      </c>
      <c r="N460" s="4" t="s">
        <v>1809</v>
      </c>
      <c r="O460" s="4" t="s">
        <v>1810</v>
      </c>
      <c r="P460" s="4" t="s">
        <v>233</v>
      </c>
    </row>
    <row r="461" spans="1:16" x14ac:dyDescent="0.35">
      <c r="A461" t="s">
        <v>1811</v>
      </c>
      <c r="B461" t="s">
        <v>1812</v>
      </c>
      <c r="C461" t="s">
        <v>16</v>
      </c>
      <c r="D461" s="6">
        <v>9087999.7253417969</v>
      </c>
      <c r="E461" s="6">
        <v>-1655467.274658205</v>
      </c>
      <c r="F461" s="6">
        <v>0.70999997854232788</v>
      </c>
      <c r="G461" s="6">
        <v>0.73000001907348633</v>
      </c>
      <c r="H461" s="6">
        <v>9.8683750335987295</v>
      </c>
      <c r="I461" s="6">
        <v>2.8905147168784229E-2</v>
      </c>
      <c r="J461" s="6">
        <v>6137852</v>
      </c>
      <c r="K461" s="6">
        <v>147.76756514854216</v>
      </c>
      <c r="L461" t="s">
        <v>17</v>
      </c>
      <c r="M461" t="s">
        <v>40</v>
      </c>
      <c r="N461" s="4" t="s">
        <v>1813</v>
      </c>
      <c r="O461" s="4" t="s">
        <v>1814</v>
      </c>
      <c r="P461" s="4" t="s">
        <v>233</v>
      </c>
    </row>
    <row r="462" spans="1:16" x14ac:dyDescent="0.35">
      <c r="A462" t="s">
        <v>1815</v>
      </c>
      <c r="B462" t="s">
        <v>1816</v>
      </c>
      <c r="C462" t="s">
        <v>16</v>
      </c>
      <c r="D462" s="6">
        <v>79707465421.916473</v>
      </c>
      <c r="E462" s="6">
        <v>151804465421.91647</v>
      </c>
      <c r="F462" s="6">
        <v>63.220001220703125</v>
      </c>
      <c r="G462" s="6">
        <v>60.610000610351563</v>
      </c>
      <c r="H462" s="6">
        <v>14.979903476703104</v>
      </c>
      <c r="I462" s="6">
        <v>-0.14447832402501326</v>
      </c>
      <c r="J462" s="6">
        <v>372809000000</v>
      </c>
      <c r="K462" s="6">
        <v>-43.451463790446837</v>
      </c>
      <c r="L462" t="s">
        <v>17</v>
      </c>
      <c r="M462" t="s">
        <v>40</v>
      </c>
      <c r="N462" s="4" t="s">
        <v>1817</v>
      </c>
      <c r="O462" s="4" t="s">
        <v>1818</v>
      </c>
      <c r="P462" s="4" t="s">
        <v>233</v>
      </c>
    </row>
    <row r="463" spans="1:16" x14ac:dyDescent="0.35">
      <c r="A463" t="s">
        <v>1819</v>
      </c>
      <c r="B463" t="s">
        <v>1820</v>
      </c>
      <c r="C463" t="s">
        <v>16</v>
      </c>
      <c r="D463" s="6">
        <v>790308520.6432451</v>
      </c>
      <c r="E463" s="6">
        <v>5264156905.482769</v>
      </c>
      <c r="F463" s="6">
        <v>0.28499999999999998</v>
      </c>
      <c r="G463" s="6">
        <v>0.28399999999999997</v>
      </c>
      <c r="H463" s="6">
        <v>14.838406667650027</v>
      </c>
      <c r="I463" s="6">
        <v>-3.6002169774741466E-2</v>
      </c>
      <c r="J463" s="6">
        <v>841269100.16000009</v>
      </c>
      <c r="K463" s="6">
        <v>49.281438332695053</v>
      </c>
      <c r="L463" t="s">
        <v>17</v>
      </c>
      <c r="M463" t="s">
        <v>87</v>
      </c>
      <c r="N463" s="4" t="s">
        <v>233</v>
      </c>
      <c r="O463" s="4" t="s">
        <v>1821</v>
      </c>
      <c r="P463" s="4" t="s">
        <v>13104</v>
      </c>
    </row>
    <row r="464" spans="1:16" x14ac:dyDescent="0.35">
      <c r="A464" t="s">
        <v>1822</v>
      </c>
      <c r="B464" t="s">
        <v>1823</v>
      </c>
      <c r="C464" t="s">
        <v>16</v>
      </c>
      <c r="D464" s="6">
        <v>417331984.47642332</v>
      </c>
      <c r="E464" s="6">
        <v>63216984.476423323</v>
      </c>
      <c r="F464" s="6">
        <v>11.869999885559082</v>
      </c>
      <c r="G464" s="6">
        <v>10.850000381469727</v>
      </c>
      <c r="H464" s="6" t="e">
        <v>#N/A</v>
      </c>
      <c r="I464" s="6">
        <v>-1.9603164513170568E-2</v>
      </c>
      <c r="J464" s="6">
        <v>0</v>
      </c>
      <c r="K464" s="6">
        <v>-49.224432659416969</v>
      </c>
      <c r="L464" t="s">
        <v>17</v>
      </c>
      <c r="M464" t="s">
        <v>18</v>
      </c>
      <c r="N464" s="4" t="s">
        <v>1824</v>
      </c>
      <c r="O464" s="4" t="s">
        <v>1825</v>
      </c>
      <c r="P464" s="4" t="s">
        <v>233</v>
      </c>
    </row>
    <row r="465" spans="1:16" x14ac:dyDescent="0.35">
      <c r="A465" t="s">
        <v>1826</v>
      </c>
      <c r="B465" t="s">
        <v>1827</v>
      </c>
      <c r="C465" t="s">
        <v>16</v>
      </c>
      <c r="D465" s="6">
        <v>90354813.680071235</v>
      </c>
      <c r="E465" s="6">
        <v>85890908.680071235</v>
      </c>
      <c r="F465" s="6">
        <v>1.1599999666213989</v>
      </c>
      <c r="G465" s="6">
        <v>1.1599999666213989</v>
      </c>
      <c r="H465" s="6" t="e">
        <v>#N/A</v>
      </c>
      <c r="I465" s="6">
        <v>0.86776802687419541</v>
      </c>
      <c r="J465" s="6">
        <v>8877010</v>
      </c>
      <c r="K465" s="6">
        <v>31.629803051773354</v>
      </c>
      <c r="L465" t="s">
        <v>17</v>
      </c>
      <c r="M465" t="s">
        <v>27</v>
      </c>
      <c r="N465" s="4" t="s">
        <v>1828</v>
      </c>
      <c r="O465" s="4" t="s">
        <v>1829</v>
      </c>
      <c r="P465" s="4" t="s">
        <v>233</v>
      </c>
    </row>
    <row r="466" spans="1:16" x14ac:dyDescent="0.35">
      <c r="A466" t="s">
        <v>1830</v>
      </c>
      <c r="B466" t="s">
        <v>1831</v>
      </c>
      <c r="C466" t="s">
        <v>16</v>
      </c>
      <c r="D466" s="6" t="e">
        <v>#N/A</v>
      </c>
      <c r="E466" s="6" t="e">
        <v>#N/A</v>
      </c>
      <c r="F466" s="6">
        <v>8.449999988079071E-2</v>
      </c>
      <c r="G466" s="6">
        <v>7.0000000298023224E-2</v>
      </c>
      <c r="H466" s="6" t="e">
        <v>#N/A</v>
      </c>
      <c r="I466" s="6">
        <v>7.2130425060265679E-2</v>
      </c>
      <c r="J466" s="6" t="e">
        <v>#N/A</v>
      </c>
      <c r="K466" s="6" t="e">
        <v>#N/A</v>
      </c>
      <c r="L466" t="s">
        <v>17</v>
      </c>
      <c r="M466" t="s">
        <v>87</v>
      </c>
      <c r="N466" s="4" t="s">
        <v>1832</v>
      </c>
      <c r="O466" s="4" t="s">
        <v>1833</v>
      </c>
      <c r="P466" s="4" t="s">
        <v>233</v>
      </c>
    </row>
    <row r="467" spans="1:16" x14ac:dyDescent="0.35">
      <c r="A467" t="s">
        <v>1834</v>
      </c>
      <c r="B467" t="s">
        <v>1835</v>
      </c>
      <c r="C467" t="s">
        <v>16</v>
      </c>
      <c r="D467" s="6">
        <v>3392.6545000000001</v>
      </c>
      <c r="E467" s="6">
        <v>100008958.65449999</v>
      </c>
      <c r="F467" s="6" t="e">
        <v>#N/A</v>
      </c>
      <c r="G467" s="6" t="e">
        <v>#N/A</v>
      </c>
      <c r="H467" s="6" t="e">
        <v>#N/A</v>
      </c>
      <c r="I467" s="6">
        <v>97.74963981226027</v>
      </c>
      <c r="J467" s="6">
        <v>80376748</v>
      </c>
      <c r="K467" s="6">
        <v>-200.00000000000003</v>
      </c>
      <c r="L467" t="s">
        <v>17</v>
      </c>
      <c r="M467" t="s">
        <v>87</v>
      </c>
      <c r="N467" s="4" t="s">
        <v>1836</v>
      </c>
      <c r="O467" s="4" t="s">
        <v>1837</v>
      </c>
      <c r="P467" s="4" t="s">
        <v>233</v>
      </c>
    </row>
    <row r="468" spans="1:16" x14ac:dyDescent="0.35">
      <c r="A468" t="s">
        <v>1838</v>
      </c>
      <c r="B468" t="s">
        <v>1839</v>
      </c>
      <c r="C468" t="s">
        <v>16</v>
      </c>
      <c r="D468" s="6">
        <v>5807550.7191248415</v>
      </c>
      <c r="E468" s="6">
        <v>83416550.719124854</v>
      </c>
      <c r="F468" s="6">
        <v>0.75999999046325684</v>
      </c>
      <c r="G468" s="6">
        <v>0.75999999046325684</v>
      </c>
      <c r="H468" s="6" t="e">
        <v>#N/A</v>
      </c>
      <c r="I468" s="6">
        <v>-0.72760260833639334</v>
      </c>
      <c r="J468" s="6">
        <v>58652000</v>
      </c>
      <c r="K468" s="6">
        <v>76.783206995044154</v>
      </c>
      <c r="L468" t="s">
        <v>17</v>
      </c>
      <c r="M468" t="s">
        <v>27</v>
      </c>
      <c r="N468" s="4" t="s">
        <v>1840</v>
      </c>
      <c r="O468" s="4" t="s">
        <v>1841</v>
      </c>
      <c r="P468" s="4" t="s">
        <v>233</v>
      </c>
    </row>
    <row r="469" spans="1:16" x14ac:dyDescent="0.35">
      <c r="A469" t="s">
        <v>1842</v>
      </c>
      <c r="B469" t="s">
        <v>1843</v>
      </c>
      <c r="C469" t="s">
        <v>16</v>
      </c>
      <c r="D469" s="6">
        <v>3784928.6379365916</v>
      </c>
      <c r="E469" s="6">
        <v>386928.63793659164</v>
      </c>
      <c r="F469" s="6">
        <v>4.1399998664855957</v>
      </c>
      <c r="G469" s="6">
        <v>3.6898999214172363</v>
      </c>
      <c r="H469" s="6" t="e">
        <v>#N/A</v>
      </c>
      <c r="I469" s="6">
        <v>-0.41274195994341756</v>
      </c>
      <c r="J469" s="6">
        <v>0</v>
      </c>
      <c r="K469" s="6">
        <v>15.851506061862811</v>
      </c>
      <c r="L469" t="s">
        <v>17</v>
      </c>
      <c r="M469" t="s">
        <v>87</v>
      </c>
      <c r="N469" s="4" t="s">
        <v>1844</v>
      </c>
      <c r="O469" s="4" t="s">
        <v>1845</v>
      </c>
      <c r="P469" s="4" t="s">
        <v>233</v>
      </c>
    </row>
    <row r="470" spans="1:16" x14ac:dyDescent="0.35">
      <c r="A470" t="s">
        <v>1846</v>
      </c>
      <c r="B470" t="s">
        <v>1847</v>
      </c>
      <c r="C470" t="s">
        <v>16</v>
      </c>
      <c r="D470" s="6" t="e">
        <v>#N/A</v>
      </c>
      <c r="E470" s="6" t="e">
        <v>#N/A</v>
      </c>
      <c r="F470" s="6" t="e">
        <v>#N/A</v>
      </c>
      <c r="G470" s="6" t="e">
        <v>#N/A</v>
      </c>
      <c r="H470" s="6" t="e">
        <v>#N/A</v>
      </c>
      <c r="I470" s="6">
        <v>0</v>
      </c>
      <c r="J470" s="6" t="e">
        <v>#N/A</v>
      </c>
      <c r="K470" s="6" t="e">
        <v>#N/A</v>
      </c>
      <c r="L470" t="s">
        <v>17</v>
      </c>
      <c r="M470" t="s">
        <v>87</v>
      </c>
      <c r="N470" s="4" t="s">
        <v>1848</v>
      </c>
      <c r="O470" s="4" t="s">
        <v>1849</v>
      </c>
      <c r="P470" s="4" t="s">
        <v>233</v>
      </c>
    </row>
    <row r="471" spans="1:16" x14ac:dyDescent="0.35">
      <c r="A471" t="s">
        <v>1850</v>
      </c>
      <c r="B471" t="s">
        <v>1851</v>
      </c>
      <c r="C471" t="s">
        <v>16</v>
      </c>
      <c r="D471" s="6" t="e">
        <v>#N/A</v>
      </c>
      <c r="E471" s="6" t="e">
        <v>#N/A</v>
      </c>
      <c r="F471" s="6" t="e">
        <v>#N/A</v>
      </c>
      <c r="G471" s="6" t="e">
        <v>#N/A</v>
      </c>
      <c r="H471" s="6" t="e">
        <v>#N/A</v>
      </c>
      <c r="I471" s="6">
        <v>0</v>
      </c>
      <c r="J471" s="6">
        <v>2842860.0333595276</v>
      </c>
      <c r="K471" s="6">
        <v>-300.00000521540642</v>
      </c>
      <c r="L471" t="s">
        <v>17</v>
      </c>
      <c r="M471" t="s">
        <v>27</v>
      </c>
      <c r="N471" s="4" t="s">
        <v>1852</v>
      </c>
      <c r="O471" s="4" t="s">
        <v>1853</v>
      </c>
      <c r="P471" s="4" t="s">
        <v>233</v>
      </c>
    </row>
    <row r="472" spans="1:16" x14ac:dyDescent="0.35">
      <c r="A472" t="s">
        <v>1854</v>
      </c>
      <c r="B472" t="s">
        <v>1855</v>
      </c>
      <c r="C472" t="s">
        <v>16</v>
      </c>
      <c r="D472" s="6">
        <v>8334768.8617631784</v>
      </c>
      <c r="E472" s="6">
        <v>384166768.86176318</v>
      </c>
      <c r="F472" s="6">
        <v>0.41290000081062317</v>
      </c>
      <c r="G472" s="6">
        <v>0.40079998970031738</v>
      </c>
      <c r="H472" s="6" t="e">
        <v>#N/A</v>
      </c>
      <c r="I472" s="6">
        <v>-0.86343474153745814</v>
      </c>
      <c r="J472" s="6">
        <v>155210000</v>
      </c>
      <c r="K472" s="6">
        <v>-20.292504570383901</v>
      </c>
      <c r="L472" t="s">
        <v>17</v>
      </c>
      <c r="M472" t="s">
        <v>27</v>
      </c>
      <c r="N472" s="4" t="s">
        <v>1856</v>
      </c>
      <c r="O472" s="4" t="s">
        <v>1857</v>
      </c>
      <c r="P472" s="4" t="s">
        <v>233</v>
      </c>
    </row>
    <row r="473" spans="1:16" x14ac:dyDescent="0.35">
      <c r="A473" t="s">
        <v>1858</v>
      </c>
      <c r="B473" t="s">
        <v>1859</v>
      </c>
      <c r="C473" t="s">
        <v>16</v>
      </c>
      <c r="D473" s="6">
        <v>2181.7725999999998</v>
      </c>
      <c r="E473" s="6">
        <v>4842181.7725999998</v>
      </c>
      <c r="F473" s="6">
        <v>1E-4</v>
      </c>
      <c r="G473" s="6">
        <v>1E-4</v>
      </c>
      <c r="H473" s="6" t="e">
        <v>#N/A</v>
      </c>
      <c r="I473" s="6">
        <v>0</v>
      </c>
      <c r="J473" s="6">
        <v>12190000</v>
      </c>
      <c r="K473" s="6">
        <v>7.9999999999999964</v>
      </c>
      <c r="L473" t="s">
        <v>17</v>
      </c>
      <c r="M473" t="s">
        <v>27</v>
      </c>
      <c r="N473" s="4" t="s">
        <v>1860</v>
      </c>
      <c r="O473" s="4" t="s">
        <v>1861</v>
      </c>
      <c r="P473" s="4" t="s">
        <v>233</v>
      </c>
    </row>
    <row r="474" spans="1:16" x14ac:dyDescent="0.35">
      <c r="A474" t="s">
        <v>1862</v>
      </c>
      <c r="B474" t="s">
        <v>1863</v>
      </c>
      <c r="C474" t="s">
        <v>16</v>
      </c>
      <c r="D474" s="6">
        <v>5033347.4000072479</v>
      </c>
      <c r="E474" s="6">
        <v>-640652.59999275208</v>
      </c>
      <c r="F474" s="6">
        <v>4.8000001907348633</v>
      </c>
      <c r="G474" s="6">
        <v>4.7699999809265137</v>
      </c>
      <c r="H474" s="6" t="e">
        <v>#N/A</v>
      </c>
      <c r="I474" s="6">
        <v>-0.60098691973274643</v>
      </c>
      <c r="J474" s="6" t="e">
        <v>#N/A</v>
      </c>
      <c r="K474" s="6" t="e">
        <v>#N/A</v>
      </c>
      <c r="L474" t="s">
        <v>17</v>
      </c>
      <c r="M474" t="s">
        <v>18</v>
      </c>
      <c r="N474" s="4" t="s">
        <v>233</v>
      </c>
      <c r="O474" s="4" t="s">
        <v>1864</v>
      </c>
      <c r="P474" s="4" t="s">
        <v>13105</v>
      </c>
    </row>
    <row r="475" spans="1:16" x14ac:dyDescent="0.35">
      <c r="A475" t="s">
        <v>1865</v>
      </c>
      <c r="B475" t="s">
        <v>1866</v>
      </c>
      <c r="C475" t="s">
        <v>16</v>
      </c>
      <c r="D475" s="6">
        <v>899818.60499999986</v>
      </c>
      <c r="E475" s="6">
        <v>915464.60499999986</v>
      </c>
      <c r="F475" s="6">
        <v>4.4999999999999998E-2</v>
      </c>
      <c r="G475" s="6">
        <v>4.2500000000000003E-2</v>
      </c>
      <c r="H475" s="6" t="e">
        <v>#N/A</v>
      </c>
      <c r="I475" s="6">
        <v>-9.9740879470017973E-2</v>
      </c>
      <c r="J475" s="6">
        <v>1029906.9999999999</v>
      </c>
      <c r="K475" s="6">
        <v>75</v>
      </c>
      <c r="L475" t="s">
        <v>17</v>
      </c>
      <c r="M475" t="s">
        <v>27</v>
      </c>
      <c r="N475" s="4" t="s">
        <v>1867</v>
      </c>
      <c r="O475" s="4" t="s">
        <v>1868</v>
      </c>
      <c r="P475" s="4" t="s">
        <v>233</v>
      </c>
    </row>
    <row r="476" spans="1:16" x14ac:dyDescent="0.35">
      <c r="A476" t="s">
        <v>1869</v>
      </c>
      <c r="B476" t="s">
        <v>1870</v>
      </c>
      <c r="C476" t="s">
        <v>16</v>
      </c>
      <c r="D476" s="6" t="e">
        <v>#N/A</v>
      </c>
      <c r="E476" s="6" t="e">
        <v>#N/A</v>
      </c>
      <c r="F476" s="6">
        <v>9.9999999747524271E-7</v>
      </c>
      <c r="G476" s="6">
        <v>9.9999999747524271E-7</v>
      </c>
      <c r="H476" s="6" t="e">
        <v>#N/A</v>
      </c>
      <c r="I476" s="6">
        <v>0</v>
      </c>
      <c r="J476" s="6">
        <v>550992.00042152405</v>
      </c>
      <c r="K476" s="6">
        <v>66.470588855471163</v>
      </c>
      <c r="L476" t="s">
        <v>17</v>
      </c>
      <c r="M476" t="s">
        <v>27</v>
      </c>
      <c r="N476" s="4" t="s">
        <v>1871</v>
      </c>
      <c r="O476" s="4" t="s">
        <v>1872</v>
      </c>
      <c r="P476" s="4" t="s">
        <v>233</v>
      </c>
    </row>
    <row r="477" spans="1:16" x14ac:dyDescent="0.35">
      <c r="A477" t="s">
        <v>1873</v>
      </c>
      <c r="B477" t="s">
        <v>1874</v>
      </c>
      <c r="C477" t="s">
        <v>16</v>
      </c>
      <c r="D477" s="6">
        <v>1223796939.75</v>
      </c>
      <c r="E477" s="6">
        <v>1686997939.75</v>
      </c>
      <c r="F477" s="6">
        <v>14.25</v>
      </c>
      <c r="G477" s="6">
        <v>14.479999542236328</v>
      </c>
      <c r="H477" s="6">
        <v>8.6559575766963395</v>
      </c>
      <c r="I477" s="6">
        <v>0.533761959658408</v>
      </c>
      <c r="J477" s="6">
        <v>2006998000</v>
      </c>
      <c r="K477" s="6" t="e">
        <v>#N/A</v>
      </c>
      <c r="L477" t="s">
        <v>17</v>
      </c>
      <c r="M477" t="s">
        <v>40</v>
      </c>
      <c r="N477" s="4" t="s">
        <v>1875</v>
      </c>
      <c r="O477" s="4" t="s">
        <v>1876</v>
      </c>
      <c r="P477" s="4" t="s">
        <v>233</v>
      </c>
    </row>
    <row r="478" spans="1:16" x14ac:dyDescent="0.35">
      <c r="A478" t="s">
        <v>1877</v>
      </c>
      <c r="B478" t="s">
        <v>1878</v>
      </c>
      <c r="C478" t="s">
        <v>16</v>
      </c>
      <c r="D478" s="6">
        <v>1191651174.5908737</v>
      </c>
      <c r="E478" s="6">
        <v>1234851174.5908737</v>
      </c>
      <c r="F478" s="6">
        <v>13.090000152587891</v>
      </c>
      <c r="G478" s="6">
        <v>12.850000381469727</v>
      </c>
      <c r="H478" s="6" t="e">
        <v>#N/A</v>
      </c>
      <c r="I478" s="6">
        <v>-0.43122549804849808</v>
      </c>
      <c r="J478" s="6">
        <v>823600000</v>
      </c>
      <c r="K478" s="6">
        <v>61.30952380952381</v>
      </c>
      <c r="L478" t="s">
        <v>17</v>
      </c>
      <c r="M478" t="s">
        <v>18</v>
      </c>
      <c r="N478" s="4" t="s">
        <v>1879</v>
      </c>
      <c r="O478" s="4" t="s">
        <v>1880</v>
      </c>
      <c r="P478" s="4" t="s">
        <v>233</v>
      </c>
    </row>
    <row r="479" spans="1:16" x14ac:dyDescent="0.35">
      <c r="A479" t="s">
        <v>1881</v>
      </c>
      <c r="B479" t="s">
        <v>1882</v>
      </c>
      <c r="C479" t="s">
        <v>16</v>
      </c>
      <c r="D479" s="6" t="e">
        <v>#N/A</v>
      </c>
      <c r="E479" s="6" t="e">
        <v>#N/A</v>
      </c>
      <c r="F479" s="6" t="e">
        <v>#N/A</v>
      </c>
      <c r="G479" s="6" t="e">
        <v>#N/A</v>
      </c>
      <c r="H479" s="6" t="e">
        <v>#N/A</v>
      </c>
      <c r="I479" s="6">
        <v>0</v>
      </c>
      <c r="J479" s="6">
        <v>1107465.9824371338</v>
      </c>
      <c r="K479" s="6">
        <v>-720.99999037633324</v>
      </c>
      <c r="L479" t="s">
        <v>17</v>
      </c>
      <c r="M479" t="s">
        <v>87</v>
      </c>
      <c r="N479" s="4" t="s">
        <v>1883</v>
      </c>
      <c r="O479" s="4" t="s">
        <v>1884</v>
      </c>
      <c r="P479" s="4" t="s">
        <v>233</v>
      </c>
    </row>
    <row r="480" spans="1:16" x14ac:dyDescent="0.35">
      <c r="A480" t="s">
        <v>1885</v>
      </c>
      <c r="B480" t="s">
        <v>1886</v>
      </c>
      <c r="C480" t="s">
        <v>16</v>
      </c>
      <c r="D480" s="6">
        <v>2765058038.7544861</v>
      </c>
      <c r="E480" s="6">
        <v>2760787038.7544861</v>
      </c>
      <c r="F480" s="6">
        <v>56.020000457763672</v>
      </c>
      <c r="G480" s="6">
        <v>56.5</v>
      </c>
      <c r="H480" s="6">
        <v>933.66667429606127</v>
      </c>
      <c r="I480" s="6">
        <v>0.18082025617956132</v>
      </c>
      <c r="J480" s="6">
        <v>226844000</v>
      </c>
      <c r="K480" s="6" t="e">
        <v>#N/A</v>
      </c>
      <c r="L480" t="s">
        <v>17</v>
      </c>
      <c r="M480" t="s">
        <v>18</v>
      </c>
      <c r="N480" s="4" t="s">
        <v>1887</v>
      </c>
      <c r="O480" s="4" t="s">
        <v>1888</v>
      </c>
      <c r="P480" s="4" t="s">
        <v>233</v>
      </c>
    </row>
    <row r="481" spans="1:16" x14ac:dyDescent="0.35">
      <c r="A481" t="s">
        <v>1889</v>
      </c>
      <c r="B481" t="s">
        <v>1890</v>
      </c>
      <c r="C481" t="s">
        <v>16</v>
      </c>
      <c r="D481" s="6">
        <v>35.626499999994152</v>
      </c>
      <c r="E481" s="6" t="e">
        <v>#N/A</v>
      </c>
      <c r="F481" s="6">
        <v>5.8500000000000003E-2</v>
      </c>
      <c r="G481" s="6">
        <v>5.8500000000000003E-2</v>
      </c>
      <c r="H481" s="6" t="e">
        <v>#N/A</v>
      </c>
      <c r="I481" s="6">
        <v>0.34992908142718959</v>
      </c>
      <c r="J481" s="6" t="e">
        <v>#N/A</v>
      </c>
      <c r="K481" s="6" t="e">
        <v>#N/A</v>
      </c>
      <c r="L481" t="s">
        <v>17</v>
      </c>
      <c r="M481" t="s">
        <v>40</v>
      </c>
      <c r="N481" s="4" t="s">
        <v>1891</v>
      </c>
      <c r="O481" s="4" t="s">
        <v>1892</v>
      </c>
      <c r="P481" s="4" t="s">
        <v>233</v>
      </c>
    </row>
    <row r="482" spans="1:16" x14ac:dyDescent="0.35">
      <c r="A482" t="s">
        <v>1893</v>
      </c>
      <c r="B482" t="s">
        <v>1894</v>
      </c>
      <c r="C482" t="s">
        <v>16</v>
      </c>
      <c r="D482" s="6">
        <v>55928.104987137194</v>
      </c>
      <c r="E482" s="6">
        <v>77928.104987137194</v>
      </c>
      <c r="F482" s="6">
        <v>9.9999997473787516E-5</v>
      </c>
      <c r="G482" s="6">
        <v>9.9999997473787516E-5</v>
      </c>
      <c r="H482" s="6" t="e">
        <v>#N/A</v>
      </c>
      <c r="I482" s="6">
        <v>-0.96940608932303751</v>
      </c>
      <c r="J482" s="6">
        <v>0</v>
      </c>
      <c r="K482" s="6">
        <v>35.875706214689266</v>
      </c>
      <c r="L482" t="s">
        <v>17</v>
      </c>
      <c r="M482" t="s">
        <v>18</v>
      </c>
      <c r="N482" s="4" t="s">
        <v>1895</v>
      </c>
      <c r="O482" s="4" t="s">
        <v>1896</v>
      </c>
      <c r="P482" s="4" t="s">
        <v>233</v>
      </c>
    </row>
    <row r="483" spans="1:16" x14ac:dyDescent="0.35">
      <c r="A483" t="s">
        <v>1897</v>
      </c>
      <c r="B483" t="s">
        <v>1898</v>
      </c>
      <c r="C483" t="s">
        <v>16</v>
      </c>
      <c r="D483" s="6">
        <v>17027318.307451606</v>
      </c>
      <c r="E483" s="6">
        <v>8027654.3074516058</v>
      </c>
      <c r="F483" s="6">
        <v>1.5900000333786011</v>
      </c>
      <c r="G483" s="6">
        <v>1.5399999618530273</v>
      </c>
      <c r="H483" s="6" t="e">
        <v>#N/A</v>
      </c>
      <c r="I483" s="6">
        <v>-0.61769922899977003</v>
      </c>
      <c r="J483" s="6">
        <v>5395850</v>
      </c>
      <c r="K483" s="6">
        <v>45.415697737595899</v>
      </c>
      <c r="L483" t="s">
        <v>17</v>
      </c>
      <c r="M483" t="s">
        <v>18</v>
      </c>
      <c r="N483" s="4" t="s">
        <v>1899</v>
      </c>
      <c r="O483" s="4" t="s">
        <v>1900</v>
      </c>
      <c r="P483" s="4" t="s">
        <v>233</v>
      </c>
    </row>
    <row r="484" spans="1:16" x14ac:dyDescent="0.35">
      <c r="A484" t="s">
        <v>1901</v>
      </c>
      <c r="B484" t="s">
        <v>1902</v>
      </c>
      <c r="C484" t="s">
        <v>16</v>
      </c>
      <c r="D484" s="6">
        <v>278982136.67138535</v>
      </c>
      <c r="E484" s="6">
        <v>11518136.671385288</v>
      </c>
      <c r="F484" s="6">
        <v>3.7400000095367432</v>
      </c>
      <c r="G484" s="6">
        <v>3.7899999618530273</v>
      </c>
      <c r="H484" s="6">
        <v>36.823346489344296</v>
      </c>
      <c r="I484" s="6">
        <v>-0.49021629825296997</v>
      </c>
      <c r="J484" s="6">
        <v>224263000</v>
      </c>
      <c r="K484" s="6">
        <v>-77.272727272727266</v>
      </c>
      <c r="L484" t="s">
        <v>17</v>
      </c>
      <c r="M484" t="s">
        <v>27</v>
      </c>
      <c r="N484" s="4" t="s">
        <v>1903</v>
      </c>
      <c r="O484" s="4" t="s">
        <v>1904</v>
      </c>
      <c r="P484" s="4" t="s">
        <v>233</v>
      </c>
    </row>
    <row r="485" spans="1:16" x14ac:dyDescent="0.35">
      <c r="A485" t="s">
        <v>1905</v>
      </c>
      <c r="B485" t="s">
        <v>1906</v>
      </c>
      <c r="C485" t="s">
        <v>16</v>
      </c>
      <c r="D485" s="6">
        <v>1128762.4391999999</v>
      </c>
      <c r="E485" s="6">
        <v>1416372.4391999999</v>
      </c>
      <c r="F485" s="6">
        <v>0.101475</v>
      </c>
      <c r="G485" s="6">
        <v>7.7310000000000004E-2</v>
      </c>
      <c r="H485" s="6" t="e">
        <v>#N/A</v>
      </c>
      <c r="I485" s="6">
        <v>-0.15328382675908425</v>
      </c>
      <c r="J485" s="6">
        <v>1079844</v>
      </c>
      <c r="K485" s="6">
        <v>38.348488442604548</v>
      </c>
      <c r="L485" t="s">
        <v>17</v>
      </c>
      <c r="M485" t="s">
        <v>87</v>
      </c>
      <c r="N485" s="4" t="s">
        <v>1907</v>
      </c>
      <c r="O485" s="4" t="s">
        <v>1908</v>
      </c>
      <c r="P485" s="4" t="s">
        <v>233</v>
      </c>
    </row>
    <row r="486" spans="1:16" x14ac:dyDescent="0.35">
      <c r="A486" t="s">
        <v>1909</v>
      </c>
      <c r="B486" t="s">
        <v>1910</v>
      </c>
      <c r="C486" t="s">
        <v>16</v>
      </c>
      <c r="D486" s="6">
        <v>256988.79999999996</v>
      </c>
      <c r="E486" s="6">
        <v>-1577928.2</v>
      </c>
      <c r="F486" s="6">
        <v>0.2</v>
      </c>
      <c r="G486" s="6">
        <v>0.18375</v>
      </c>
      <c r="H486" s="6" t="e">
        <v>#N/A</v>
      </c>
      <c r="I486" s="6">
        <v>5.2187841325979507</v>
      </c>
      <c r="J486" s="6">
        <v>6499422</v>
      </c>
      <c r="K486" s="6" t="e">
        <v>#N/A</v>
      </c>
      <c r="L486" t="s">
        <v>17</v>
      </c>
      <c r="M486" t="s">
        <v>32</v>
      </c>
      <c r="N486" s="4" t="s">
        <v>1911</v>
      </c>
      <c r="O486" s="4" t="s">
        <v>1912</v>
      </c>
      <c r="P486" s="4" t="s">
        <v>233</v>
      </c>
    </row>
    <row r="487" spans="1:16" x14ac:dyDescent="0.35">
      <c r="A487" t="s">
        <v>1913</v>
      </c>
      <c r="B487" t="s">
        <v>1914</v>
      </c>
      <c r="C487" t="s">
        <v>16</v>
      </c>
      <c r="D487" s="6">
        <v>193436588.38412333</v>
      </c>
      <c r="E487" s="6">
        <v>83678588.384123325</v>
      </c>
      <c r="F487" s="6">
        <v>2.190000057220459</v>
      </c>
      <c r="G487" s="6">
        <v>2.1400001049041748</v>
      </c>
      <c r="H487" s="6">
        <v>113.11983766634602</v>
      </c>
      <c r="I487" s="6">
        <v>-5.992666396630697E-2</v>
      </c>
      <c r="J487" s="6">
        <v>59852000</v>
      </c>
      <c r="K487" s="6" t="e">
        <v>#N/A</v>
      </c>
      <c r="L487" t="s">
        <v>17</v>
      </c>
      <c r="M487" t="s">
        <v>18</v>
      </c>
      <c r="N487" s="4" t="s">
        <v>233</v>
      </c>
      <c r="O487" s="4" t="s">
        <v>1915</v>
      </c>
      <c r="P487" s="4" t="s">
        <v>13106</v>
      </c>
    </row>
    <row r="488" spans="1:16" x14ac:dyDescent="0.35">
      <c r="A488" t="s">
        <v>1916</v>
      </c>
      <c r="B488" t="s">
        <v>1917</v>
      </c>
      <c r="C488" t="s">
        <v>16</v>
      </c>
      <c r="D488" s="6">
        <v>273627.53020000004</v>
      </c>
      <c r="E488" s="6">
        <v>55261627.530200005</v>
      </c>
      <c r="F488" s="6" t="e">
        <v>#N/A</v>
      </c>
      <c r="G488" s="6" t="e">
        <v>#N/A</v>
      </c>
      <c r="H488" s="6" t="e">
        <v>#N/A</v>
      </c>
      <c r="I488" s="6">
        <v>10187.345688035895</v>
      </c>
      <c r="J488" s="6">
        <v>69210000.289916992</v>
      </c>
      <c r="K488" s="6">
        <v>-150.00000420957804</v>
      </c>
      <c r="L488" t="s">
        <v>17</v>
      </c>
      <c r="M488" t="s">
        <v>87</v>
      </c>
      <c r="N488" s="4" t="s">
        <v>1918</v>
      </c>
      <c r="O488" s="4" t="s">
        <v>1919</v>
      </c>
      <c r="P488" s="4" t="s">
        <v>233</v>
      </c>
    </row>
    <row r="489" spans="1:16" x14ac:dyDescent="0.35">
      <c r="A489" t="s">
        <v>1920</v>
      </c>
      <c r="B489" t="s">
        <v>1921</v>
      </c>
      <c r="C489" t="s">
        <v>16</v>
      </c>
      <c r="D489" s="6" t="e">
        <v>#N/A</v>
      </c>
      <c r="E489" s="6" t="e">
        <v>#N/A</v>
      </c>
      <c r="F489" s="6" t="e">
        <v>#N/A</v>
      </c>
      <c r="G489" s="6" t="e">
        <v>#N/A</v>
      </c>
      <c r="H489" s="6" t="e">
        <v>#N/A</v>
      </c>
      <c r="I489" s="6">
        <v>0</v>
      </c>
      <c r="J489" s="6">
        <v>19091497.860321045</v>
      </c>
      <c r="K489" s="6">
        <v>55.263157517048128</v>
      </c>
      <c r="L489" t="s">
        <v>17</v>
      </c>
      <c r="M489" t="s">
        <v>87</v>
      </c>
      <c r="N489" s="4" t="s">
        <v>1922</v>
      </c>
      <c r="O489" s="4" t="s">
        <v>1923</v>
      </c>
      <c r="P489" s="4" t="s">
        <v>233</v>
      </c>
    </row>
    <row r="490" spans="1:16" x14ac:dyDescent="0.35">
      <c r="A490" t="s">
        <v>1924</v>
      </c>
      <c r="B490" t="s">
        <v>1925</v>
      </c>
      <c r="C490" t="s">
        <v>16</v>
      </c>
      <c r="D490" s="6" t="e">
        <v>#N/A</v>
      </c>
      <c r="E490" s="6" t="e">
        <v>#N/A</v>
      </c>
      <c r="F490" s="6">
        <v>9.9999999747524271E-7</v>
      </c>
      <c r="G490" s="6">
        <v>9.9999999747524271E-7</v>
      </c>
      <c r="H490" s="6">
        <v>1.0000000198269849E-4</v>
      </c>
      <c r="I490" s="6">
        <v>-0.99317931658568148</v>
      </c>
      <c r="J490" s="6">
        <v>2641538.9776229858</v>
      </c>
      <c r="K490" s="6" t="e">
        <v>#N/A</v>
      </c>
      <c r="L490" t="s">
        <v>17</v>
      </c>
      <c r="M490" t="s">
        <v>27</v>
      </c>
      <c r="N490" s="4" t="s">
        <v>1926</v>
      </c>
      <c r="O490" s="4" t="s">
        <v>1927</v>
      </c>
      <c r="P490" s="4" t="s">
        <v>233</v>
      </c>
    </row>
    <row r="491" spans="1:16" x14ac:dyDescent="0.35">
      <c r="A491" t="s">
        <v>1928</v>
      </c>
      <c r="B491" t="s">
        <v>1929</v>
      </c>
      <c r="C491" t="s">
        <v>16</v>
      </c>
      <c r="D491" s="6">
        <v>151.90499616255693</v>
      </c>
      <c r="E491" s="6">
        <v>439151.88766331814</v>
      </c>
      <c r="F491" s="6">
        <v>9.9999997473787516E-6</v>
      </c>
      <c r="G491" s="6">
        <v>9.9999997473787516E-6</v>
      </c>
      <c r="H491" s="6" t="e">
        <v>#N/A</v>
      </c>
      <c r="I491" s="6">
        <v>-0.96807739352116395</v>
      </c>
      <c r="J491" s="6">
        <v>34957.000520080328</v>
      </c>
      <c r="K491" s="6">
        <v>-299.99998137354891</v>
      </c>
      <c r="L491" t="s">
        <v>17</v>
      </c>
      <c r="M491" t="s">
        <v>27</v>
      </c>
      <c r="N491" s="4" t="s">
        <v>1930</v>
      </c>
      <c r="O491" s="4" t="s">
        <v>1931</v>
      </c>
      <c r="P491" s="4" t="s">
        <v>233</v>
      </c>
    </row>
    <row r="492" spans="1:16" x14ac:dyDescent="0.35">
      <c r="A492" t="s">
        <v>1932</v>
      </c>
      <c r="B492" t="s">
        <v>1933</v>
      </c>
      <c r="C492" t="s">
        <v>16</v>
      </c>
      <c r="D492" s="6" t="e">
        <v>#N/A</v>
      </c>
      <c r="E492" s="6" t="e">
        <v>#N/A</v>
      </c>
      <c r="F492" s="6" t="e">
        <v>#N/A</v>
      </c>
      <c r="G492" s="6" t="e">
        <v>#N/A</v>
      </c>
      <c r="H492" s="6" t="e">
        <v>#N/A</v>
      </c>
      <c r="I492" s="6">
        <v>0</v>
      </c>
      <c r="J492" s="6">
        <v>0</v>
      </c>
      <c r="K492" s="6">
        <v>67.75</v>
      </c>
      <c r="L492" t="s">
        <v>17</v>
      </c>
      <c r="M492" t="s">
        <v>18</v>
      </c>
      <c r="N492" s="4" t="s">
        <v>1934</v>
      </c>
      <c r="O492" s="4" t="s">
        <v>1935</v>
      </c>
      <c r="P492" s="4" t="s">
        <v>233</v>
      </c>
    </row>
    <row r="493" spans="1:16" x14ac:dyDescent="0.35">
      <c r="A493" t="s">
        <v>1936</v>
      </c>
      <c r="B493" t="s">
        <v>1937</v>
      </c>
      <c r="C493" t="s">
        <v>16</v>
      </c>
      <c r="D493" s="6">
        <v>659916.60000000009</v>
      </c>
      <c r="E493" s="6" t="e">
        <v>#N/A</v>
      </c>
      <c r="F493" s="6">
        <v>1.4E-2</v>
      </c>
      <c r="G493" s="6">
        <v>1.2E-2</v>
      </c>
      <c r="H493" s="6" t="e">
        <v>#N/A</v>
      </c>
      <c r="I493" s="6">
        <v>-0.56013989559966049</v>
      </c>
      <c r="J493" s="6" t="e">
        <v>#N/A</v>
      </c>
      <c r="K493" s="6" t="e">
        <v>#N/A</v>
      </c>
      <c r="L493" t="s">
        <v>17</v>
      </c>
      <c r="M493" t="s">
        <v>40</v>
      </c>
      <c r="N493" s="4" t="s">
        <v>1938</v>
      </c>
      <c r="O493" s="4" t="s">
        <v>1939</v>
      </c>
      <c r="P493" s="4" t="s">
        <v>233</v>
      </c>
    </row>
    <row r="494" spans="1:16" x14ac:dyDescent="0.35">
      <c r="A494" t="s">
        <v>1940</v>
      </c>
      <c r="B494" t="s">
        <v>1941</v>
      </c>
      <c r="C494" t="s">
        <v>16</v>
      </c>
      <c r="D494" s="6" t="e">
        <v>#N/A</v>
      </c>
      <c r="E494" s="6" t="e">
        <v>#N/A</v>
      </c>
      <c r="F494" s="6">
        <v>9.9999999747524271E-7</v>
      </c>
      <c r="G494" s="6">
        <v>9.9999999747524271E-7</v>
      </c>
      <c r="H494" s="6" t="e">
        <v>#N/A</v>
      </c>
      <c r="I494" s="6">
        <v>-0.92253594761213686</v>
      </c>
      <c r="J494" s="6" t="e">
        <v>#N/A</v>
      </c>
      <c r="K494" s="6" t="e">
        <v>#N/A</v>
      </c>
      <c r="L494" t="s">
        <v>17</v>
      </c>
      <c r="M494" t="s">
        <v>27</v>
      </c>
      <c r="N494" s="4" t="s">
        <v>1942</v>
      </c>
      <c r="O494" s="4" t="s">
        <v>1943</v>
      </c>
      <c r="P494" s="4" t="s">
        <v>233</v>
      </c>
    </row>
    <row r="495" spans="1:16" x14ac:dyDescent="0.35">
      <c r="A495" t="s">
        <v>1944</v>
      </c>
      <c r="B495" t="s">
        <v>1945</v>
      </c>
      <c r="C495" t="s">
        <v>16</v>
      </c>
      <c r="D495" s="6">
        <v>98325017.888492092</v>
      </c>
      <c r="E495" s="6">
        <v>74755516.532028273</v>
      </c>
      <c r="F495" s="6">
        <v>2.6500000953674316</v>
      </c>
      <c r="G495" s="6">
        <v>2.5</v>
      </c>
      <c r="H495" s="6" t="e">
        <v>#N/A</v>
      </c>
      <c r="I495" s="6">
        <v>-0.56961385285911792</v>
      </c>
      <c r="J495" s="6">
        <v>63410000</v>
      </c>
      <c r="K495" s="6">
        <v>-1.724137931034484</v>
      </c>
      <c r="L495" t="s">
        <v>17</v>
      </c>
      <c r="M495" t="s">
        <v>27</v>
      </c>
      <c r="N495" s="4" t="s">
        <v>1946</v>
      </c>
      <c r="O495" s="4" t="s">
        <v>1947</v>
      </c>
      <c r="P495" s="4" t="s">
        <v>233</v>
      </c>
    </row>
    <row r="496" spans="1:16" x14ac:dyDescent="0.35">
      <c r="A496" t="s">
        <v>1948</v>
      </c>
      <c r="B496" t="s">
        <v>1949</v>
      </c>
      <c r="C496" t="s">
        <v>16</v>
      </c>
      <c r="D496" s="6">
        <v>4810058761.2183886</v>
      </c>
      <c r="E496" s="6">
        <v>4722825761.2183886</v>
      </c>
      <c r="F496" s="6">
        <v>30.899999618530273</v>
      </c>
      <c r="G496" s="6">
        <v>30.510000228881836</v>
      </c>
      <c r="H496" s="6" t="e">
        <v>#N/A</v>
      </c>
      <c r="I496" s="6">
        <v>1.0316238204322299</v>
      </c>
      <c r="J496" s="6">
        <v>264790000</v>
      </c>
      <c r="K496" s="6">
        <v>57.142857142857146</v>
      </c>
      <c r="L496" t="s">
        <v>17</v>
      </c>
      <c r="M496" t="s">
        <v>18</v>
      </c>
      <c r="N496" s="4" t="s">
        <v>1950</v>
      </c>
      <c r="O496" s="4" t="s">
        <v>1951</v>
      </c>
      <c r="P496" s="4" t="s">
        <v>233</v>
      </c>
    </row>
    <row r="497" spans="1:16" x14ac:dyDescent="0.35">
      <c r="A497" t="s">
        <v>1952</v>
      </c>
      <c r="B497" t="s">
        <v>1953</v>
      </c>
      <c r="C497" t="s">
        <v>16</v>
      </c>
      <c r="D497" s="6">
        <v>288714960.03078461</v>
      </c>
      <c r="E497" s="6">
        <v>233819960.03078461</v>
      </c>
      <c r="F497" s="6">
        <v>4.3400001525878906</v>
      </c>
      <c r="G497" s="6">
        <v>4.119999885559082</v>
      </c>
      <c r="H497" s="6" t="e">
        <v>#N/A</v>
      </c>
      <c r="I497" s="6">
        <v>1.3789601054993286</v>
      </c>
      <c r="J497" s="6">
        <v>689000</v>
      </c>
      <c r="K497" s="6">
        <v>-2.5869498962794961</v>
      </c>
      <c r="L497" t="s">
        <v>17</v>
      </c>
      <c r="M497" t="s">
        <v>18</v>
      </c>
      <c r="N497" s="4" t="s">
        <v>1954</v>
      </c>
      <c r="O497" s="4" t="s">
        <v>1955</v>
      </c>
      <c r="P497" s="4" t="s">
        <v>233</v>
      </c>
    </row>
    <row r="498" spans="1:16" x14ac:dyDescent="0.35">
      <c r="A498" t="s">
        <v>1956</v>
      </c>
      <c r="B498" t="s">
        <v>1957</v>
      </c>
      <c r="C498" t="s">
        <v>16</v>
      </c>
      <c r="D498" s="6" t="e">
        <v>#N/A</v>
      </c>
      <c r="E498" s="6" t="e">
        <v>#N/A</v>
      </c>
      <c r="F498" s="6">
        <v>9.9999999747524271E-7</v>
      </c>
      <c r="G498" s="6">
        <v>9.9999999747524271E-7</v>
      </c>
      <c r="H498" s="6" t="e">
        <v>#N/A</v>
      </c>
      <c r="I498" s="6">
        <v>0</v>
      </c>
      <c r="J498" s="6" t="e">
        <v>#N/A</v>
      </c>
      <c r="K498" s="6" t="e">
        <v>#N/A</v>
      </c>
      <c r="L498" t="s">
        <v>17</v>
      </c>
      <c r="M498" t="s">
        <v>40</v>
      </c>
      <c r="N498" s="4" t="s">
        <v>1958</v>
      </c>
      <c r="O498" s="4" t="s">
        <v>1959</v>
      </c>
      <c r="P498" s="4" t="s">
        <v>233</v>
      </c>
    </row>
    <row r="499" spans="1:16" x14ac:dyDescent="0.35">
      <c r="A499" t="s">
        <v>1960</v>
      </c>
      <c r="B499" t="s">
        <v>1961</v>
      </c>
      <c r="C499" t="s">
        <v>16</v>
      </c>
      <c r="D499" s="6">
        <v>27454943572.744263</v>
      </c>
      <c r="E499" s="6">
        <v>29526654572.744263</v>
      </c>
      <c r="F499" s="6">
        <v>1312.5999755859375</v>
      </c>
      <c r="G499" s="6">
        <v>1309.6600341796875</v>
      </c>
      <c r="H499" s="6">
        <v>31.95957811081826</v>
      </c>
      <c r="I499" s="6">
        <v>0.1026927490700964</v>
      </c>
      <c r="J499" s="6">
        <v>3872361000</v>
      </c>
      <c r="K499" s="6">
        <v>12.659279778393351</v>
      </c>
      <c r="L499" t="s">
        <v>17</v>
      </c>
      <c r="M499" t="s">
        <v>100</v>
      </c>
      <c r="N499" s="4" t="s">
        <v>1962</v>
      </c>
      <c r="O499" s="4" t="s">
        <v>1963</v>
      </c>
      <c r="P499" s="4" t="s">
        <v>233</v>
      </c>
    </row>
    <row r="500" spans="1:16" x14ac:dyDescent="0.35">
      <c r="A500" t="s">
        <v>1964</v>
      </c>
      <c r="B500" t="s">
        <v>1965</v>
      </c>
      <c r="C500" t="s">
        <v>16</v>
      </c>
      <c r="D500" s="6">
        <v>24954570.000000004</v>
      </c>
      <c r="E500" s="6">
        <v>26002570.000000004</v>
      </c>
      <c r="F500" s="6">
        <v>1.5</v>
      </c>
      <c r="G500" s="6">
        <v>1.5499999523162842</v>
      </c>
      <c r="H500" s="6" t="e">
        <v>#N/A</v>
      </c>
      <c r="I500" s="6">
        <v>-0.39432982058570965</v>
      </c>
      <c r="J500" s="6">
        <v>48431000</v>
      </c>
      <c r="K500" s="6">
        <v>-39.583333333333307</v>
      </c>
      <c r="L500" t="s">
        <v>17</v>
      </c>
      <c r="M500" t="s">
        <v>27</v>
      </c>
      <c r="N500" s="4" t="s">
        <v>1966</v>
      </c>
      <c r="O500" s="4" t="s">
        <v>1967</v>
      </c>
      <c r="P500" s="4" t="s">
        <v>233</v>
      </c>
    </row>
    <row r="501" spans="1:16" x14ac:dyDescent="0.35">
      <c r="A501" t="s">
        <v>1968</v>
      </c>
      <c r="B501" t="s">
        <v>1969</v>
      </c>
      <c r="C501" t="s">
        <v>16</v>
      </c>
      <c r="D501" s="6">
        <v>17723200.191877604</v>
      </c>
      <c r="E501" s="6">
        <v>-20621799.808122396</v>
      </c>
      <c r="F501" s="6">
        <v>2.6600000858306885</v>
      </c>
      <c r="G501" s="6">
        <v>2.7200000286102295</v>
      </c>
      <c r="H501" s="6" t="e">
        <v>#N/A</v>
      </c>
      <c r="I501" s="6">
        <v>-0.45512702218586065</v>
      </c>
      <c r="J501" s="6">
        <v>0</v>
      </c>
      <c r="K501" s="6" t="e">
        <v>#N/A</v>
      </c>
      <c r="L501" t="s">
        <v>17</v>
      </c>
      <c r="M501" t="s">
        <v>18</v>
      </c>
      <c r="N501" s="4" t="s">
        <v>1970</v>
      </c>
      <c r="O501" s="4" t="s">
        <v>1971</v>
      </c>
      <c r="P501" s="4" t="s">
        <v>233</v>
      </c>
    </row>
    <row r="502" spans="1:16" x14ac:dyDescent="0.35">
      <c r="A502" t="s">
        <v>1972</v>
      </c>
      <c r="B502" t="s">
        <v>1973</v>
      </c>
      <c r="C502" t="s">
        <v>16</v>
      </c>
      <c r="D502" s="6">
        <v>5771847.5803377628</v>
      </c>
      <c r="E502" s="6">
        <v>-1865362.4196622381</v>
      </c>
      <c r="F502" s="6">
        <v>2.2999999523162842</v>
      </c>
      <c r="G502" s="6">
        <v>2.2999999523162842</v>
      </c>
      <c r="H502" s="6" t="e">
        <v>#N/A</v>
      </c>
      <c r="I502" s="6">
        <v>-0.79378211672710308</v>
      </c>
      <c r="J502" s="6">
        <v>364183</v>
      </c>
      <c r="K502" s="6">
        <v>76.285435761270406</v>
      </c>
      <c r="L502" t="s">
        <v>17</v>
      </c>
      <c r="M502" t="s">
        <v>18</v>
      </c>
      <c r="N502" s="4" t="s">
        <v>1974</v>
      </c>
      <c r="O502" s="4" t="s">
        <v>1975</v>
      </c>
      <c r="P502" s="4" t="s">
        <v>233</v>
      </c>
    </row>
    <row r="503" spans="1:16" x14ac:dyDescent="0.35">
      <c r="A503" t="s">
        <v>1976</v>
      </c>
      <c r="B503" t="s">
        <v>1977</v>
      </c>
      <c r="C503" t="s">
        <v>16</v>
      </c>
      <c r="D503" s="6">
        <v>585200013.35068762</v>
      </c>
      <c r="E503" s="6">
        <v>583041404.35068762</v>
      </c>
      <c r="F503" s="6">
        <v>0.54780000448226929</v>
      </c>
      <c r="G503" s="6">
        <v>0.51999998092651367</v>
      </c>
      <c r="H503" s="6" t="e">
        <v>#N/A</v>
      </c>
      <c r="I503" s="6">
        <v>1.8748286175235851</v>
      </c>
      <c r="J503" s="6">
        <v>71171275</v>
      </c>
      <c r="K503" s="6" t="e">
        <v>#N/A</v>
      </c>
      <c r="L503" t="s">
        <v>17</v>
      </c>
      <c r="M503" t="s">
        <v>87</v>
      </c>
      <c r="N503" s="4" t="s">
        <v>1978</v>
      </c>
      <c r="O503" s="4" t="s">
        <v>1979</v>
      </c>
      <c r="P503" s="4" t="s">
        <v>233</v>
      </c>
    </row>
    <row r="504" spans="1:16" x14ac:dyDescent="0.35">
      <c r="A504" t="s">
        <v>1980</v>
      </c>
      <c r="B504" t="s">
        <v>1981</v>
      </c>
      <c r="C504" t="s">
        <v>16</v>
      </c>
      <c r="D504" s="6">
        <v>14560604.523237882</v>
      </c>
      <c r="E504" s="6">
        <v>26626215.52323788</v>
      </c>
      <c r="F504" s="6">
        <v>3.5750001668930054E-2</v>
      </c>
      <c r="G504" s="6">
        <v>3.4800000488758087E-2</v>
      </c>
      <c r="H504" s="6" t="e">
        <v>#N/A</v>
      </c>
      <c r="I504" s="6">
        <v>-0.18703888333113972</v>
      </c>
      <c r="J504" s="6">
        <v>0</v>
      </c>
      <c r="K504" s="6">
        <v>64.618511102477513</v>
      </c>
      <c r="L504" t="s">
        <v>17</v>
      </c>
      <c r="M504" t="s">
        <v>18</v>
      </c>
      <c r="N504" s="4" t="s">
        <v>1982</v>
      </c>
      <c r="O504" s="4" t="s">
        <v>1983</v>
      </c>
      <c r="P504" s="4" t="s">
        <v>233</v>
      </c>
    </row>
    <row r="505" spans="1:16" x14ac:dyDescent="0.35">
      <c r="A505" t="s">
        <v>1984</v>
      </c>
      <c r="B505" t="s">
        <v>1985</v>
      </c>
      <c r="C505" t="s">
        <v>16</v>
      </c>
      <c r="D505" s="6">
        <v>4050863.8084056969</v>
      </c>
      <c r="E505" s="6">
        <v>4269563.808490634</v>
      </c>
      <c r="F505" s="6">
        <v>8.0000003799796104E-3</v>
      </c>
      <c r="G505" s="6">
        <v>7.8999996185302734E-3</v>
      </c>
      <c r="H505" s="6" t="e">
        <v>#N/A</v>
      </c>
      <c r="I505" s="6">
        <v>-0.54187838957254908</v>
      </c>
      <c r="J505" s="6" t="e">
        <v>#N/A</v>
      </c>
      <c r="K505" s="6" t="e">
        <v>#N/A</v>
      </c>
      <c r="L505" t="s">
        <v>17</v>
      </c>
      <c r="M505" t="s">
        <v>87</v>
      </c>
      <c r="N505" s="4" t="s">
        <v>1986</v>
      </c>
      <c r="O505" s="4" t="s">
        <v>1987</v>
      </c>
      <c r="P505" s="4" t="s">
        <v>233</v>
      </c>
    </row>
    <row r="506" spans="1:16" x14ac:dyDescent="0.35">
      <c r="A506" t="s">
        <v>1988</v>
      </c>
      <c r="B506" t="s">
        <v>1989</v>
      </c>
      <c r="C506" t="s">
        <v>16</v>
      </c>
      <c r="D506" s="6">
        <v>30693628600.814392</v>
      </c>
      <c r="E506" s="6">
        <v>34559628600.814392</v>
      </c>
      <c r="F506" s="6">
        <v>127.05999755859375</v>
      </c>
      <c r="G506" s="6">
        <v>128.35000610351563</v>
      </c>
      <c r="H506" s="6">
        <v>15.433060049203812</v>
      </c>
      <c r="I506" s="6">
        <v>0.24830993976877425</v>
      </c>
      <c r="J506" s="6">
        <v>222160000000</v>
      </c>
      <c r="K506" s="6">
        <v>91.208857075875372</v>
      </c>
      <c r="L506" t="s">
        <v>17</v>
      </c>
      <c r="M506" t="s">
        <v>40</v>
      </c>
      <c r="N506" s="4" t="s">
        <v>1990</v>
      </c>
      <c r="O506" s="4" t="s">
        <v>1991</v>
      </c>
      <c r="P506" s="4" t="s">
        <v>233</v>
      </c>
    </row>
    <row r="507" spans="1:16" x14ac:dyDescent="0.35">
      <c r="A507" t="s">
        <v>1992</v>
      </c>
      <c r="B507" t="s">
        <v>1993</v>
      </c>
      <c r="C507" t="s">
        <v>16</v>
      </c>
      <c r="D507" s="6">
        <v>2078916.912</v>
      </c>
      <c r="E507" s="6" t="e">
        <v>#N/A</v>
      </c>
      <c r="F507" s="6">
        <v>1.7999999999999999E-2</v>
      </c>
      <c r="G507" s="6">
        <v>0.04</v>
      </c>
      <c r="H507" s="6" t="e">
        <v>#N/A</v>
      </c>
      <c r="I507" s="6">
        <v>-0.71330608163432008</v>
      </c>
      <c r="J507" s="6" t="e">
        <v>#N/A</v>
      </c>
      <c r="K507" s="6" t="e">
        <v>#N/A</v>
      </c>
      <c r="L507" t="s">
        <v>17</v>
      </c>
      <c r="M507" t="s">
        <v>87</v>
      </c>
      <c r="N507" s="4" t="s">
        <v>1994</v>
      </c>
      <c r="O507" s="4" t="s">
        <v>1995</v>
      </c>
      <c r="P507" s="4" t="s">
        <v>233</v>
      </c>
    </row>
    <row r="508" spans="1:16" x14ac:dyDescent="0.35">
      <c r="A508" t="s">
        <v>1996</v>
      </c>
      <c r="B508" t="s">
        <v>1997</v>
      </c>
      <c r="C508" t="s">
        <v>16</v>
      </c>
      <c r="D508" s="6">
        <v>27154099.051695965</v>
      </c>
      <c r="E508" s="6">
        <v>32894332.051695965</v>
      </c>
      <c r="F508" s="6">
        <v>5.1865000277757645E-2</v>
      </c>
      <c r="G508" s="6">
        <v>4.5200001448392868E-2</v>
      </c>
      <c r="H508" s="6" t="e">
        <v>#N/A</v>
      </c>
      <c r="I508" s="6">
        <v>0.13450920909849984</v>
      </c>
      <c r="J508" s="6">
        <v>13145264</v>
      </c>
      <c r="K508" s="6">
        <v>2.7777777777777701</v>
      </c>
      <c r="L508" t="s">
        <v>17</v>
      </c>
      <c r="M508" t="s">
        <v>100</v>
      </c>
      <c r="N508" s="4" t="s">
        <v>1998</v>
      </c>
      <c r="O508" s="4" t="s">
        <v>1999</v>
      </c>
      <c r="P508" s="4" t="s">
        <v>233</v>
      </c>
    </row>
    <row r="509" spans="1:16" x14ac:dyDescent="0.35">
      <c r="A509" t="s">
        <v>2000</v>
      </c>
      <c r="B509" t="s">
        <v>2001</v>
      </c>
      <c r="C509" t="s">
        <v>16</v>
      </c>
      <c r="D509" s="6" t="e">
        <v>#N/A</v>
      </c>
      <c r="E509" s="6" t="e">
        <v>#N/A</v>
      </c>
      <c r="F509" s="6" t="e">
        <v>#N/A</v>
      </c>
      <c r="G509" s="6" t="e">
        <v>#N/A</v>
      </c>
      <c r="H509" s="6" t="e">
        <v>#N/A</v>
      </c>
      <c r="I509" s="6">
        <v>0</v>
      </c>
      <c r="J509" s="6" t="e">
        <v>#N/A</v>
      </c>
      <c r="K509" s="6" t="e">
        <v>#N/A</v>
      </c>
      <c r="L509" t="s">
        <v>17</v>
      </c>
      <c r="M509" t="s">
        <v>40</v>
      </c>
      <c r="N509" s="4" t="s">
        <v>2002</v>
      </c>
      <c r="O509" s="4" t="s">
        <v>2003</v>
      </c>
      <c r="P509" s="4" t="s">
        <v>233</v>
      </c>
    </row>
    <row r="510" spans="1:16" x14ac:dyDescent="0.35">
      <c r="A510" t="s">
        <v>2004</v>
      </c>
      <c r="B510" t="s">
        <v>2005</v>
      </c>
      <c r="C510" t="s">
        <v>16</v>
      </c>
      <c r="D510" s="6">
        <v>18361601592</v>
      </c>
      <c r="E510" s="6">
        <v>21107301592</v>
      </c>
      <c r="F510" s="6">
        <v>92</v>
      </c>
      <c r="G510" s="6">
        <v>92.099998474121094</v>
      </c>
      <c r="H510" s="6">
        <v>42.948207729276909</v>
      </c>
      <c r="I510" s="6">
        <v>-2.8971156601333758E-2</v>
      </c>
      <c r="J510" s="6">
        <v>3895400000</v>
      </c>
      <c r="K510" s="6">
        <v>32.65993265993265</v>
      </c>
      <c r="L510" t="s">
        <v>17</v>
      </c>
      <c r="M510" t="s">
        <v>27</v>
      </c>
      <c r="N510" s="4" t="s">
        <v>2006</v>
      </c>
      <c r="O510" s="4" t="s">
        <v>2007</v>
      </c>
      <c r="P510" s="4" t="s">
        <v>233</v>
      </c>
    </row>
    <row r="511" spans="1:16" x14ac:dyDescent="0.35">
      <c r="A511" t="s">
        <v>13008</v>
      </c>
      <c r="B511" t="s">
        <v>13005</v>
      </c>
      <c r="C511" t="s">
        <v>16</v>
      </c>
      <c r="D511" s="6">
        <v>35236016.007987499</v>
      </c>
      <c r="E511" s="6">
        <v>18249124.007987499</v>
      </c>
      <c r="F511" s="6">
        <v>3.4749999046325684</v>
      </c>
      <c r="G511" s="6">
        <v>3.380000114440918</v>
      </c>
      <c r="H511" s="6" t="e">
        <v>#N/A</v>
      </c>
      <c r="I511" s="6">
        <v>0.33037670926484464</v>
      </c>
      <c r="J511" s="6" t="e">
        <v>#N/A</v>
      </c>
      <c r="K511" s="6">
        <v>84.386789982704414</v>
      </c>
      <c r="L511" t="s">
        <v>17</v>
      </c>
      <c r="M511" t="s">
        <v>87</v>
      </c>
      <c r="N511" s="4" t="s">
        <v>13009</v>
      </c>
      <c r="O511" s="4" t="s">
        <v>13010</v>
      </c>
      <c r="P511" s="4" t="s">
        <v>233</v>
      </c>
    </row>
    <row r="512" spans="1:16" x14ac:dyDescent="0.35">
      <c r="A512" t="s">
        <v>2008</v>
      </c>
      <c r="B512" t="s">
        <v>2009</v>
      </c>
      <c r="C512" t="s">
        <v>16</v>
      </c>
      <c r="D512" s="6">
        <v>4041987.5171935554</v>
      </c>
      <c r="E512" s="6">
        <v>3472987.5171935554</v>
      </c>
      <c r="F512" s="6">
        <v>3.0099999904632568</v>
      </c>
      <c r="G512" s="6">
        <v>2.940000057220459</v>
      </c>
      <c r="H512" s="6">
        <v>2.0993707289406173E-2</v>
      </c>
      <c r="I512" s="6">
        <v>-0.8993021694742882</v>
      </c>
      <c r="J512" s="6">
        <v>3247000</v>
      </c>
      <c r="K512" s="6">
        <v>97.854029567765778</v>
      </c>
      <c r="L512" t="s">
        <v>17</v>
      </c>
      <c r="M512" t="s">
        <v>27</v>
      </c>
      <c r="N512" s="4" t="s">
        <v>2010</v>
      </c>
      <c r="O512" s="4" t="s">
        <v>2011</v>
      </c>
      <c r="P512" s="4" t="s">
        <v>233</v>
      </c>
    </row>
    <row r="513" spans="1:16" x14ac:dyDescent="0.35">
      <c r="A513" t="s">
        <v>2012</v>
      </c>
      <c r="B513" t="s">
        <v>2013</v>
      </c>
      <c r="C513" t="s">
        <v>16</v>
      </c>
      <c r="D513" s="6" t="e">
        <v>#N/A</v>
      </c>
      <c r="E513" s="6" t="e">
        <v>#N/A</v>
      </c>
      <c r="F513" s="6" t="e">
        <v>#N/A</v>
      </c>
      <c r="G513" s="6" t="e">
        <v>#N/A</v>
      </c>
      <c r="H513" s="6" t="e">
        <v>#N/A</v>
      </c>
      <c r="I513" s="6">
        <v>0</v>
      </c>
      <c r="J513" s="6">
        <v>39180029</v>
      </c>
      <c r="K513" s="6" t="e">
        <v>#N/A</v>
      </c>
      <c r="L513" t="s">
        <v>17</v>
      </c>
      <c r="M513" t="s">
        <v>40</v>
      </c>
      <c r="N513" s="4" t="s">
        <v>2014</v>
      </c>
      <c r="O513" s="4" t="s">
        <v>2015</v>
      </c>
      <c r="P513" s="4" t="s">
        <v>233</v>
      </c>
    </row>
    <row r="514" spans="1:16" x14ac:dyDescent="0.35">
      <c r="A514" t="s">
        <v>2016</v>
      </c>
      <c r="B514" t="s">
        <v>2017</v>
      </c>
      <c r="C514" t="s">
        <v>16</v>
      </c>
      <c r="D514" s="6">
        <v>112522292.19816971</v>
      </c>
      <c r="E514" s="6">
        <v>125111292.19816971</v>
      </c>
      <c r="F514" s="6">
        <v>34.505001068115234</v>
      </c>
      <c r="G514" s="6">
        <v>34.909999847412109</v>
      </c>
      <c r="H514" s="6">
        <v>15.456300650958728</v>
      </c>
      <c r="I514" s="6">
        <v>0.93389716498820285</v>
      </c>
      <c r="J514" s="6">
        <v>61003000</v>
      </c>
      <c r="K514" s="6">
        <v>45.04166233310481</v>
      </c>
      <c r="L514" t="s">
        <v>17</v>
      </c>
      <c r="M514" t="s">
        <v>27</v>
      </c>
      <c r="N514" s="4" t="s">
        <v>2018</v>
      </c>
      <c r="O514" s="4" t="s">
        <v>2019</v>
      </c>
      <c r="P514" s="4" t="s">
        <v>233</v>
      </c>
    </row>
    <row r="515" spans="1:16" x14ac:dyDescent="0.35">
      <c r="A515" t="s">
        <v>2020</v>
      </c>
      <c r="B515" t="s">
        <v>2021</v>
      </c>
      <c r="C515" t="s">
        <v>16</v>
      </c>
      <c r="D515" s="6">
        <v>301657451.4382515</v>
      </c>
      <c r="E515" s="6">
        <v>316973679.4382515</v>
      </c>
      <c r="F515" s="6">
        <v>34.509998321533203</v>
      </c>
      <c r="G515" s="6">
        <v>34.069999694824219</v>
      </c>
      <c r="H515" s="6" t="e">
        <v>#N/A</v>
      </c>
      <c r="I515" s="6">
        <v>-8.96918687543794E-2</v>
      </c>
      <c r="J515" s="6">
        <v>78056873</v>
      </c>
      <c r="K515" s="6">
        <v>-97.119281645418127</v>
      </c>
      <c r="L515" t="s">
        <v>17</v>
      </c>
      <c r="M515" t="s">
        <v>27</v>
      </c>
      <c r="N515" s="4" t="s">
        <v>2022</v>
      </c>
      <c r="O515" s="4" t="s">
        <v>2023</v>
      </c>
      <c r="P515" s="4" t="s">
        <v>233</v>
      </c>
    </row>
    <row r="516" spans="1:16" x14ac:dyDescent="0.35">
      <c r="A516" t="s">
        <v>2024</v>
      </c>
      <c r="B516" t="s">
        <v>2025</v>
      </c>
      <c r="C516" t="s">
        <v>16</v>
      </c>
      <c r="D516" s="6">
        <v>8189.6969431108482</v>
      </c>
      <c r="E516" s="6" t="e">
        <v>#N/A</v>
      </c>
      <c r="F516" s="6">
        <v>9.9999997473787516E-6</v>
      </c>
      <c r="G516" s="6">
        <v>9.9999997473787516E-6</v>
      </c>
      <c r="H516" s="6" t="e">
        <v>#N/A</v>
      </c>
      <c r="I516" s="6">
        <v>-0.89936889779852247</v>
      </c>
      <c r="J516" s="6" t="e">
        <v>#N/A</v>
      </c>
      <c r="K516" s="6" t="e">
        <v>#N/A</v>
      </c>
      <c r="L516" t="s">
        <v>17</v>
      </c>
      <c r="M516" t="s">
        <v>87</v>
      </c>
      <c r="N516" s="4" t="s">
        <v>2026</v>
      </c>
      <c r="O516" s="4" t="s">
        <v>2027</v>
      </c>
      <c r="P516" s="4" t="s">
        <v>233</v>
      </c>
    </row>
    <row r="517" spans="1:16" x14ac:dyDescent="0.35">
      <c r="A517" t="s">
        <v>2028</v>
      </c>
      <c r="B517" t="s">
        <v>2029</v>
      </c>
      <c r="C517" t="s">
        <v>16</v>
      </c>
      <c r="D517" s="6">
        <v>850.73740000000009</v>
      </c>
      <c r="E517" s="6">
        <v>11661975.737399999</v>
      </c>
      <c r="F517" s="6">
        <v>1E-4</v>
      </c>
      <c r="G517" s="6">
        <v>1E-4</v>
      </c>
      <c r="H517" s="6" t="e">
        <v>#N/A</v>
      </c>
      <c r="I517" s="6">
        <v>8.8817841970012523E-16</v>
      </c>
      <c r="J517" s="6">
        <v>3140781</v>
      </c>
      <c r="K517" s="6">
        <v>20.430107526881713</v>
      </c>
      <c r="L517" t="s">
        <v>17</v>
      </c>
      <c r="M517" t="s">
        <v>27</v>
      </c>
      <c r="N517" s="4" t="s">
        <v>2030</v>
      </c>
      <c r="O517" s="4" t="s">
        <v>2031</v>
      </c>
      <c r="P517" s="4" t="s">
        <v>233</v>
      </c>
    </row>
    <row r="518" spans="1:16" x14ac:dyDescent="0.35">
      <c r="A518" t="s">
        <v>2032</v>
      </c>
      <c r="B518" t="s">
        <v>2033</v>
      </c>
      <c r="C518" t="s">
        <v>16</v>
      </c>
      <c r="D518" s="6" t="e">
        <v>#N/A</v>
      </c>
      <c r="E518" s="6" t="e">
        <v>#N/A</v>
      </c>
      <c r="F518" s="6" t="e">
        <v>#N/A</v>
      </c>
      <c r="G518" s="6" t="e">
        <v>#N/A</v>
      </c>
      <c r="H518" s="6" t="e">
        <v>#N/A</v>
      </c>
      <c r="I518" s="6">
        <v>-0.98987338078497134</v>
      </c>
      <c r="J518" s="6">
        <v>726000</v>
      </c>
      <c r="K518" s="6" t="e">
        <v>#N/A</v>
      </c>
      <c r="L518" t="s">
        <v>17</v>
      </c>
      <c r="M518" t="s">
        <v>27</v>
      </c>
      <c r="N518" s="4" t="s">
        <v>2034</v>
      </c>
      <c r="O518" s="4" t="s">
        <v>2035</v>
      </c>
      <c r="P518" s="4" t="s">
        <v>233</v>
      </c>
    </row>
    <row r="519" spans="1:16" x14ac:dyDescent="0.35">
      <c r="A519" t="s">
        <v>2036</v>
      </c>
      <c r="B519" t="s">
        <v>2037</v>
      </c>
      <c r="C519" t="s">
        <v>16</v>
      </c>
      <c r="D519" s="6">
        <v>19608970994.990536</v>
      </c>
      <c r="E519" s="6">
        <v>20104670994.990536</v>
      </c>
      <c r="F519" s="6">
        <v>279.54998779296875</v>
      </c>
      <c r="G519" s="6">
        <v>280.22000122070313</v>
      </c>
      <c r="H519" s="6">
        <v>78.083709704828976</v>
      </c>
      <c r="I519" s="6">
        <v>0.45366521309992436</v>
      </c>
      <c r="J519" s="6">
        <v>1983900000</v>
      </c>
      <c r="K519" s="6">
        <v>250</v>
      </c>
      <c r="L519" t="s">
        <v>17</v>
      </c>
      <c r="M519" t="s">
        <v>27</v>
      </c>
      <c r="N519" s="4" t="s">
        <v>2038</v>
      </c>
      <c r="O519" s="4" t="s">
        <v>2039</v>
      </c>
      <c r="P519" s="4" t="s">
        <v>233</v>
      </c>
    </row>
    <row r="520" spans="1:16" x14ac:dyDescent="0.35">
      <c r="A520" t="s">
        <v>2040</v>
      </c>
      <c r="B520" t="s">
        <v>2041</v>
      </c>
      <c r="C520" t="s">
        <v>16</v>
      </c>
      <c r="D520" s="6">
        <v>1221839223.8381271</v>
      </c>
      <c r="E520" s="6">
        <v>1226918223.8381271</v>
      </c>
      <c r="F520" s="6">
        <v>26.340000152587891</v>
      </c>
      <c r="G520" s="6">
        <v>26.319999694824219</v>
      </c>
      <c r="H520" s="6" t="e">
        <v>#N/A</v>
      </c>
      <c r="I520" s="6">
        <v>0.39829001831468469</v>
      </c>
      <c r="J520" s="6">
        <v>123358000</v>
      </c>
      <c r="K520" s="6">
        <v>65.048543689320383</v>
      </c>
      <c r="L520" t="s">
        <v>17</v>
      </c>
      <c r="M520" t="s">
        <v>100</v>
      </c>
      <c r="N520" s="4" t="s">
        <v>2042</v>
      </c>
      <c r="O520" s="4" t="s">
        <v>2043</v>
      </c>
      <c r="P520" s="4" t="s">
        <v>233</v>
      </c>
    </row>
    <row r="521" spans="1:16" x14ac:dyDescent="0.35">
      <c r="A521" t="s">
        <v>2044</v>
      </c>
      <c r="B521" t="s">
        <v>2045</v>
      </c>
      <c r="C521" t="s">
        <v>16</v>
      </c>
      <c r="D521" s="6">
        <v>78473403.418390259</v>
      </c>
      <c r="E521" s="6">
        <v>1292424403.4183903</v>
      </c>
      <c r="F521" s="6">
        <v>5.4899997711181641</v>
      </c>
      <c r="G521" s="6">
        <v>5.5900001525878906</v>
      </c>
      <c r="H521" s="6" t="e">
        <v>#N/A</v>
      </c>
      <c r="I521" s="6">
        <v>-0.88530285622538807</v>
      </c>
      <c r="J521" s="6">
        <v>2788007000</v>
      </c>
      <c r="K521" s="6">
        <v>11.416781292984869</v>
      </c>
      <c r="L521" t="s">
        <v>17</v>
      </c>
      <c r="M521" t="s">
        <v>40</v>
      </c>
      <c r="N521" s="4" t="s">
        <v>2046</v>
      </c>
      <c r="O521" s="4" t="s">
        <v>2047</v>
      </c>
      <c r="P521" s="4" t="s">
        <v>233</v>
      </c>
    </row>
    <row r="522" spans="1:16" x14ac:dyDescent="0.35">
      <c r="A522" t="s">
        <v>13461</v>
      </c>
      <c r="B522" t="s">
        <v>2048</v>
      </c>
      <c r="C522" t="s">
        <v>16</v>
      </c>
      <c r="D522" s="6">
        <v>13565045.212242052</v>
      </c>
      <c r="E522" s="6">
        <v>14881639.212242052</v>
      </c>
      <c r="F522" s="6">
        <v>0.12202499806880951</v>
      </c>
      <c r="G522" s="6">
        <v>0.13109999895095825</v>
      </c>
      <c r="H522" s="6" t="e">
        <v>#N/A</v>
      </c>
      <c r="I522" s="6">
        <v>-0.75970453987045372</v>
      </c>
      <c r="J522" s="6">
        <v>0</v>
      </c>
      <c r="K522" s="6">
        <v>51.219512195121943</v>
      </c>
      <c r="L522" t="s">
        <v>17</v>
      </c>
      <c r="M522" t="s">
        <v>27</v>
      </c>
      <c r="N522" s="4" t="s">
        <v>13462</v>
      </c>
      <c r="O522" s="4" t="s">
        <v>13463</v>
      </c>
      <c r="P522" s="4" t="s">
        <v>233</v>
      </c>
    </row>
    <row r="523" spans="1:16" x14ac:dyDescent="0.35">
      <c r="A523" t="s">
        <v>2049</v>
      </c>
      <c r="B523" t="s">
        <v>2050</v>
      </c>
      <c r="C523" t="s">
        <v>16</v>
      </c>
      <c r="D523" s="6">
        <v>1018519500</v>
      </c>
      <c r="E523" s="6" t="e">
        <v>#N/A</v>
      </c>
      <c r="F523" s="6">
        <v>1</v>
      </c>
      <c r="G523" s="6">
        <v>1</v>
      </c>
      <c r="H523" s="6" t="e">
        <v>#N/A</v>
      </c>
      <c r="I523" s="6">
        <v>-0.94356198327485918</v>
      </c>
      <c r="J523" s="6" t="e">
        <v>#N/A</v>
      </c>
      <c r="K523" s="6" t="e">
        <v>#N/A</v>
      </c>
      <c r="L523" t="s">
        <v>17</v>
      </c>
      <c r="M523" t="s">
        <v>87</v>
      </c>
      <c r="N523" s="4" t="s">
        <v>2051</v>
      </c>
      <c r="O523" s="4" t="s">
        <v>2052</v>
      </c>
      <c r="P523" s="4" t="s">
        <v>233</v>
      </c>
    </row>
    <row r="524" spans="1:16" x14ac:dyDescent="0.35">
      <c r="A524" t="s">
        <v>2053</v>
      </c>
      <c r="B524" t="s">
        <v>2054</v>
      </c>
      <c r="C524" t="s">
        <v>16</v>
      </c>
      <c r="D524" s="6">
        <v>930510.22840648144</v>
      </c>
      <c r="E524" s="6">
        <v>9949510.2284064814</v>
      </c>
      <c r="F524" s="6">
        <v>0.11625000089406967</v>
      </c>
      <c r="G524" s="6">
        <v>0.11625000089406967</v>
      </c>
      <c r="H524" s="6" t="e">
        <v>#N/A</v>
      </c>
      <c r="I524" s="6">
        <v>0.633972152740226</v>
      </c>
      <c r="J524" s="6">
        <v>8528000</v>
      </c>
      <c r="K524" s="6" t="e">
        <v>#N/A</v>
      </c>
      <c r="L524" t="s">
        <v>17</v>
      </c>
      <c r="M524" t="s">
        <v>18</v>
      </c>
      <c r="N524" s="4" t="s">
        <v>2055</v>
      </c>
      <c r="O524" s="4" t="s">
        <v>2056</v>
      </c>
      <c r="P524" s="4" t="s">
        <v>233</v>
      </c>
    </row>
    <row r="525" spans="1:16" x14ac:dyDescent="0.35">
      <c r="A525" t="s">
        <v>2057</v>
      </c>
      <c r="B525" t="s">
        <v>2058</v>
      </c>
      <c r="C525" t="s">
        <v>16</v>
      </c>
      <c r="D525" s="6">
        <v>21155155.399879932</v>
      </c>
      <c r="E525" s="6">
        <v>-14773844.600120075</v>
      </c>
      <c r="F525" s="6">
        <v>2.5199999809265137</v>
      </c>
      <c r="G525" s="6">
        <v>2.4700000286102295</v>
      </c>
      <c r="H525" s="6" t="e">
        <v>#N/A</v>
      </c>
      <c r="I525" s="6">
        <v>-7.3336072580260647E-2</v>
      </c>
      <c r="J525" s="6">
        <v>0</v>
      </c>
      <c r="K525" s="6">
        <v>18.447780988632704</v>
      </c>
      <c r="L525" t="s">
        <v>17</v>
      </c>
      <c r="M525" t="s">
        <v>18</v>
      </c>
      <c r="N525" s="4" t="s">
        <v>2059</v>
      </c>
      <c r="O525" s="4" t="s">
        <v>2060</v>
      </c>
      <c r="P525" s="4" t="s">
        <v>233</v>
      </c>
    </row>
    <row r="526" spans="1:16" x14ac:dyDescent="0.35">
      <c r="A526" t="s">
        <v>2061</v>
      </c>
      <c r="B526" t="s">
        <v>2062</v>
      </c>
      <c r="C526" t="s">
        <v>16</v>
      </c>
      <c r="D526" s="6">
        <v>9605.0558000000001</v>
      </c>
      <c r="E526" s="6" t="e">
        <v>#N/A</v>
      </c>
      <c r="F526" s="6" t="e">
        <v>#N/A</v>
      </c>
      <c r="G526" s="6" t="e">
        <v>#N/A</v>
      </c>
      <c r="H526" s="6" t="e">
        <v>#N/A</v>
      </c>
      <c r="I526" s="6">
        <v>97.74963981226027</v>
      </c>
      <c r="J526" s="6" t="e">
        <v>#N/A</v>
      </c>
      <c r="K526" s="6" t="e">
        <v>#N/A</v>
      </c>
      <c r="L526" t="s">
        <v>17</v>
      </c>
      <c r="M526" t="s">
        <v>18</v>
      </c>
      <c r="N526" s="4" t="s">
        <v>2063</v>
      </c>
      <c r="O526" s="4" t="s">
        <v>2064</v>
      </c>
      <c r="P526" s="4" t="s">
        <v>233</v>
      </c>
    </row>
    <row r="527" spans="1:16" x14ac:dyDescent="0.35">
      <c r="A527" t="s">
        <v>2065</v>
      </c>
      <c r="B527" t="s">
        <v>2066</v>
      </c>
      <c r="C527" t="s">
        <v>16</v>
      </c>
      <c r="D527" s="6">
        <v>164786371.42208603</v>
      </c>
      <c r="E527" s="6">
        <v>124276371.42208603</v>
      </c>
      <c r="F527" s="6">
        <v>0.72439998388290405</v>
      </c>
      <c r="G527" s="6">
        <v>0.72000002861022949</v>
      </c>
      <c r="H527" s="6" t="e">
        <v>#N/A</v>
      </c>
      <c r="I527" s="6">
        <v>-0.41961554336032381</v>
      </c>
      <c r="J527" s="6">
        <v>16760000</v>
      </c>
      <c r="K527" s="6">
        <v>37.047795211908046</v>
      </c>
      <c r="L527" t="s">
        <v>17</v>
      </c>
      <c r="M527" t="s">
        <v>18</v>
      </c>
      <c r="N527" s="4" t="s">
        <v>2067</v>
      </c>
      <c r="O527" s="4" t="s">
        <v>2068</v>
      </c>
      <c r="P527" s="4" t="s">
        <v>233</v>
      </c>
    </row>
    <row r="528" spans="1:16" x14ac:dyDescent="0.35">
      <c r="A528" t="s">
        <v>2069</v>
      </c>
      <c r="B528" t="s">
        <v>2070</v>
      </c>
      <c r="C528" t="s">
        <v>16</v>
      </c>
      <c r="D528" s="6">
        <v>182168448.13043544</v>
      </c>
      <c r="E528" s="6">
        <v>178640448.13043544</v>
      </c>
      <c r="F528" s="6">
        <v>2.1500000953674316</v>
      </c>
      <c r="G528" s="6">
        <v>2.2999999523162842</v>
      </c>
      <c r="H528" s="6" t="e">
        <v>#N/A</v>
      </c>
      <c r="I528" s="6">
        <v>-0.21194009587103213</v>
      </c>
      <c r="J528" s="6">
        <v>25143000</v>
      </c>
      <c r="K528" s="6">
        <v>-3.7037037037037068</v>
      </c>
      <c r="L528" t="s">
        <v>17</v>
      </c>
      <c r="M528" t="s">
        <v>27</v>
      </c>
      <c r="N528" s="4" t="s">
        <v>2071</v>
      </c>
      <c r="O528" s="4" t="s">
        <v>2072</v>
      </c>
      <c r="P528" s="4" t="s">
        <v>233</v>
      </c>
    </row>
    <row r="529" spans="1:16" x14ac:dyDescent="0.35">
      <c r="A529" t="s">
        <v>2073</v>
      </c>
      <c r="B529" t="s">
        <v>2074</v>
      </c>
      <c r="C529" t="s">
        <v>16</v>
      </c>
      <c r="D529" s="6" t="e">
        <v>#N/A</v>
      </c>
      <c r="E529" s="6" t="e">
        <v>#N/A</v>
      </c>
      <c r="F529" s="6" t="e">
        <v>#N/A</v>
      </c>
      <c r="G529" s="6" t="e">
        <v>#N/A</v>
      </c>
      <c r="H529" s="6" t="e">
        <v>#N/A</v>
      </c>
      <c r="I529" s="6">
        <v>0.77063348713387203</v>
      </c>
      <c r="J529" s="6">
        <v>0</v>
      </c>
      <c r="K529" s="6">
        <v>-193.33333333333337</v>
      </c>
      <c r="L529" t="s">
        <v>17</v>
      </c>
      <c r="M529" t="s">
        <v>18</v>
      </c>
      <c r="N529" s="4" t="s">
        <v>2075</v>
      </c>
      <c r="O529" s="4" t="s">
        <v>2076</v>
      </c>
      <c r="P529" s="4" t="s">
        <v>233</v>
      </c>
    </row>
    <row r="530" spans="1:16" x14ac:dyDescent="0.35">
      <c r="A530" t="s">
        <v>2077</v>
      </c>
      <c r="B530" t="s">
        <v>2078</v>
      </c>
      <c r="C530" t="s">
        <v>16</v>
      </c>
      <c r="D530" s="6">
        <v>4036781.6501262784</v>
      </c>
      <c r="E530" s="6">
        <v>4031091.6501262784</v>
      </c>
      <c r="F530" s="6">
        <v>1.0999999940395355E-2</v>
      </c>
      <c r="G530" s="6">
        <v>1.2400000356137753E-2</v>
      </c>
      <c r="H530" s="6" t="e">
        <v>#N/A</v>
      </c>
      <c r="I530" s="6">
        <v>-0.44910087991201519</v>
      </c>
      <c r="J530" s="6">
        <v>0</v>
      </c>
      <c r="K530" s="6">
        <v>66.568664643399089</v>
      </c>
      <c r="L530" t="s">
        <v>17</v>
      </c>
      <c r="M530" t="s">
        <v>18</v>
      </c>
      <c r="N530" s="4" t="s">
        <v>2079</v>
      </c>
      <c r="O530" s="4" t="s">
        <v>2080</v>
      </c>
      <c r="P530" s="4" t="s">
        <v>233</v>
      </c>
    </row>
    <row r="531" spans="1:16" x14ac:dyDescent="0.35">
      <c r="A531" t="s">
        <v>2081</v>
      </c>
      <c r="B531" t="s">
        <v>2082</v>
      </c>
      <c r="C531" t="s">
        <v>16</v>
      </c>
      <c r="D531" s="6" t="e">
        <v>#N/A</v>
      </c>
      <c r="E531" s="6" t="e">
        <v>#N/A</v>
      </c>
      <c r="F531" s="6" t="e">
        <v>#N/A</v>
      </c>
      <c r="G531" s="6" t="e">
        <v>#N/A</v>
      </c>
      <c r="H531" s="6" t="e">
        <v>#N/A</v>
      </c>
      <c r="I531" s="6">
        <v>0</v>
      </c>
      <c r="J531" s="6" t="e">
        <v>#N/A</v>
      </c>
      <c r="K531" s="6" t="e">
        <v>#N/A</v>
      </c>
      <c r="L531" t="s">
        <v>17</v>
      </c>
      <c r="M531" t="s">
        <v>40</v>
      </c>
      <c r="N531" s="4" t="s">
        <v>2083</v>
      </c>
      <c r="O531" s="4" t="s">
        <v>2084</v>
      </c>
      <c r="P531" s="4" t="s">
        <v>233</v>
      </c>
    </row>
    <row r="532" spans="1:16" x14ac:dyDescent="0.35">
      <c r="A532" t="s">
        <v>2085</v>
      </c>
      <c r="B532" t="s">
        <v>2086</v>
      </c>
      <c r="C532" t="s">
        <v>16</v>
      </c>
      <c r="D532" s="6">
        <v>366745127.42431641</v>
      </c>
      <c r="E532" s="6">
        <v>306097127.42431641</v>
      </c>
      <c r="F532" s="6">
        <v>20.819999694824219</v>
      </c>
      <c r="G532" s="6">
        <v>20.270000457763672</v>
      </c>
      <c r="H532" s="6">
        <v>107.89241692918185</v>
      </c>
      <c r="I532" s="6">
        <v>0.71811160832884746</v>
      </c>
      <c r="J532" s="6">
        <v>157474000</v>
      </c>
      <c r="K532" s="6" t="e">
        <v>#N/A</v>
      </c>
      <c r="L532" t="s">
        <v>17</v>
      </c>
      <c r="M532" t="s">
        <v>18</v>
      </c>
      <c r="N532" s="4" t="s">
        <v>2087</v>
      </c>
      <c r="O532" s="4" t="s">
        <v>2088</v>
      </c>
      <c r="P532" s="4" t="s">
        <v>233</v>
      </c>
    </row>
    <row r="533" spans="1:16" x14ac:dyDescent="0.35">
      <c r="A533" t="s">
        <v>2089</v>
      </c>
      <c r="B533" t="s">
        <v>2090</v>
      </c>
      <c r="C533" t="s">
        <v>16</v>
      </c>
      <c r="D533" s="6">
        <v>15646431.18551111</v>
      </c>
      <c r="E533" s="6">
        <v>12540431.18551111</v>
      </c>
      <c r="F533" s="6">
        <v>0.89999997615814209</v>
      </c>
      <c r="G533" s="6">
        <v>0.94999998807907104</v>
      </c>
      <c r="H533" s="6" t="e">
        <v>#N/A</v>
      </c>
      <c r="I533" s="6">
        <v>0.77901539185758661</v>
      </c>
      <c r="J533" s="6">
        <v>0</v>
      </c>
      <c r="K533" s="6">
        <v>-467.32212461457931</v>
      </c>
      <c r="L533" t="s">
        <v>17</v>
      </c>
      <c r="M533" t="s">
        <v>40</v>
      </c>
      <c r="N533" s="4" t="s">
        <v>2091</v>
      </c>
      <c r="O533" s="4" t="s">
        <v>2092</v>
      </c>
      <c r="P533" s="4" t="s">
        <v>233</v>
      </c>
    </row>
    <row r="534" spans="1:16" x14ac:dyDescent="0.35">
      <c r="A534" t="s">
        <v>2093</v>
      </c>
      <c r="B534" t="s">
        <v>2094</v>
      </c>
      <c r="C534" t="s">
        <v>16</v>
      </c>
      <c r="D534" s="6" t="e">
        <v>#N/A</v>
      </c>
      <c r="E534" s="6" t="e">
        <v>#N/A</v>
      </c>
      <c r="F534" s="6">
        <v>9.9999999747524271E-7</v>
      </c>
      <c r="G534" s="6">
        <v>9.9999999747524271E-7</v>
      </c>
      <c r="H534" s="6" t="e">
        <v>#N/A</v>
      </c>
      <c r="I534" s="6">
        <v>-0.97978508125235086</v>
      </c>
      <c r="J534" s="6" t="e">
        <v>#N/A</v>
      </c>
      <c r="K534" s="6" t="e">
        <v>#N/A</v>
      </c>
      <c r="L534" t="s">
        <v>17</v>
      </c>
      <c r="M534" t="s">
        <v>100</v>
      </c>
      <c r="N534" s="4" t="s">
        <v>2095</v>
      </c>
      <c r="O534" s="4" t="s">
        <v>2096</v>
      </c>
      <c r="P534" s="4" t="s">
        <v>233</v>
      </c>
    </row>
    <row r="535" spans="1:16" x14ac:dyDescent="0.35">
      <c r="A535" t="s">
        <v>2097</v>
      </c>
      <c r="B535" t="s">
        <v>2098</v>
      </c>
      <c r="C535" t="s">
        <v>16</v>
      </c>
      <c r="D535" s="6">
        <v>76791726.885875687</v>
      </c>
      <c r="E535" s="6">
        <v>4432297.8858757019</v>
      </c>
      <c r="F535" s="6">
        <v>2.130000114440918</v>
      </c>
      <c r="G535" s="6">
        <v>1.8999999761581421</v>
      </c>
      <c r="H535" s="6" t="e">
        <v>#N/A</v>
      </c>
      <c r="I535" s="6">
        <v>-0.6998546625009523</v>
      </c>
      <c r="J535" s="6">
        <v>203412</v>
      </c>
      <c r="K535" s="6">
        <v>41.496103162207369</v>
      </c>
      <c r="L535" t="s">
        <v>17</v>
      </c>
      <c r="M535" t="s">
        <v>18</v>
      </c>
      <c r="N535" s="4" t="s">
        <v>2099</v>
      </c>
      <c r="O535" s="4" t="s">
        <v>2100</v>
      </c>
      <c r="P535" s="4" t="s">
        <v>233</v>
      </c>
    </row>
    <row r="536" spans="1:16" x14ac:dyDescent="0.35">
      <c r="A536" t="s">
        <v>2101</v>
      </c>
      <c r="B536" t="s">
        <v>2102</v>
      </c>
      <c r="C536" t="s">
        <v>16</v>
      </c>
      <c r="D536" s="6">
        <v>1257685.307623446</v>
      </c>
      <c r="E536" s="6">
        <v>4691685.3076234469</v>
      </c>
      <c r="F536" s="6">
        <v>2.9500000178813934E-2</v>
      </c>
      <c r="G536" s="6">
        <v>2.930000051856041E-2</v>
      </c>
      <c r="H536" s="6" t="e">
        <v>#N/A</v>
      </c>
      <c r="I536" s="6">
        <v>-0.96763198512135618</v>
      </c>
      <c r="J536" s="6">
        <v>13000</v>
      </c>
      <c r="K536" s="6">
        <v>5.5555555555555625</v>
      </c>
      <c r="L536" t="s">
        <v>17</v>
      </c>
      <c r="M536" t="s">
        <v>18</v>
      </c>
      <c r="N536" s="4" t="s">
        <v>2103</v>
      </c>
      <c r="O536" s="4" t="s">
        <v>2104</v>
      </c>
      <c r="P536" s="4" t="s">
        <v>233</v>
      </c>
    </row>
    <row r="537" spans="1:16" x14ac:dyDescent="0.35">
      <c r="A537" t="s">
        <v>2105</v>
      </c>
      <c r="B537" t="s">
        <v>2106</v>
      </c>
      <c r="C537" t="s">
        <v>16</v>
      </c>
      <c r="D537" s="6" t="e">
        <v>#N/A</v>
      </c>
      <c r="E537" s="6" t="e">
        <v>#N/A</v>
      </c>
      <c r="F537" s="6" t="e">
        <v>#N/A</v>
      </c>
      <c r="G537" s="6" t="e">
        <v>#N/A</v>
      </c>
      <c r="H537" s="6" t="e">
        <v>#N/A</v>
      </c>
      <c r="I537" s="6">
        <v>0</v>
      </c>
      <c r="J537" s="6" t="e">
        <v>#N/A</v>
      </c>
      <c r="K537" s="6">
        <v>29.268292065960246</v>
      </c>
      <c r="L537" t="s">
        <v>17</v>
      </c>
      <c r="M537" t="s">
        <v>27</v>
      </c>
      <c r="N537" s="4" t="s">
        <v>2107</v>
      </c>
      <c r="O537" s="4" t="s">
        <v>2108</v>
      </c>
      <c r="P537" s="4" t="s">
        <v>233</v>
      </c>
    </row>
    <row r="538" spans="1:16" x14ac:dyDescent="0.35">
      <c r="A538" t="s">
        <v>2109</v>
      </c>
      <c r="B538" t="s">
        <v>2110</v>
      </c>
      <c r="C538" t="s">
        <v>16</v>
      </c>
      <c r="D538" s="6">
        <v>10788.315327464225</v>
      </c>
      <c r="E538" s="6">
        <v>3898809.3076065169</v>
      </c>
      <c r="F538" s="6">
        <v>9.9999997473787516E-5</v>
      </c>
      <c r="G538" s="6">
        <v>9.9999999747524271E-7</v>
      </c>
      <c r="H538" s="6" t="e">
        <v>#N/A</v>
      </c>
      <c r="I538" s="6">
        <v>-2.5193099717490952E-8</v>
      </c>
      <c r="J538" s="6" t="e">
        <v>#N/A</v>
      </c>
      <c r="K538" s="6">
        <v>76.923076923076934</v>
      </c>
      <c r="L538" t="s">
        <v>17</v>
      </c>
      <c r="M538" t="s">
        <v>18</v>
      </c>
      <c r="N538" s="4" t="s">
        <v>2111</v>
      </c>
      <c r="O538" s="4" t="s">
        <v>2112</v>
      </c>
      <c r="P538" s="4" t="s">
        <v>233</v>
      </c>
    </row>
    <row r="539" spans="1:16" x14ac:dyDescent="0.35">
      <c r="A539" t="s">
        <v>2113</v>
      </c>
      <c r="B539" t="s">
        <v>2114</v>
      </c>
      <c r="C539" t="s">
        <v>16</v>
      </c>
      <c r="D539" s="6">
        <v>7931980.5190566778</v>
      </c>
      <c r="E539" s="6">
        <v>16963980.519056678</v>
      </c>
      <c r="F539" s="6">
        <v>0.12999999523162842</v>
      </c>
      <c r="G539" s="6">
        <v>0.13650000095367432</v>
      </c>
      <c r="H539" s="6" t="e">
        <v>#N/A</v>
      </c>
      <c r="I539" s="6">
        <v>-0.14437144827196646</v>
      </c>
      <c r="J539" s="6">
        <v>38000</v>
      </c>
      <c r="K539" s="6">
        <v>61.303778582955275</v>
      </c>
      <c r="L539" t="s">
        <v>17</v>
      </c>
      <c r="M539" t="s">
        <v>27</v>
      </c>
      <c r="N539" s="4" t="s">
        <v>2115</v>
      </c>
      <c r="O539" s="4" t="s">
        <v>2116</v>
      </c>
      <c r="P539" s="4" t="s">
        <v>233</v>
      </c>
    </row>
    <row r="540" spans="1:16" x14ac:dyDescent="0.35">
      <c r="A540" t="s">
        <v>2117</v>
      </c>
      <c r="B540" t="s">
        <v>2118</v>
      </c>
      <c r="C540" t="s">
        <v>16</v>
      </c>
      <c r="D540" s="6">
        <v>4026.6149000000005</v>
      </c>
      <c r="E540" s="6" t="e">
        <v>#N/A</v>
      </c>
      <c r="F540" s="6">
        <v>1E-4</v>
      </c>
      <c r="G540" s="6">
        <v>1E-4</v>
      </c>
      <c r="H540" s="6" t="e">
        <v>#N/A</v>
      </c>
      <c r="I540" s="6">
        <v>-0.97650396540351014</v>
      </c>
      <c r="J540" s="6" t="e">
        <v>#N/A</v>
      </c>
      <c r="K540" s="6" t="e">
        <v>#N/A</v>
      </c>
      <c r="L540" t="s">
        <v>17</v>
      </c>
      <c r="M540" t="s">
        <v>27</v>
      </c>
      <c r="N540" s="4" t="s">
        <v>2119</v>
      </c>
      <c r="O540" s="4" t="s">
        <v>2120</v>
      </c>
      <c r="P540" s="4" t="s">
        <v>233</v>
      </c>
    </row>
    <row r="541" spans="1:16" x14ac:dyDescent="0.35">
      <c r="A541" t="s">
        <v>2121</v>
      </c>
      <c r="B541" t="s">
        <v>2122</v>
      </c>
      <c r="C541" t="s">
        <v>16</v>
      </c>
      <c r="D541" s="6">
        <v>36213441.717060089</v>
      </c>
      <c r="E541" s="6">
        <v>35607441.717060089</v>
      </c>
      <c r="F541" s="6">
        <v>0.50998997688293457</v>
      </c>
      <c r="G541" s="6">
        <v>0.50998997688293457</v>
      </c>
      <c r="H541" s="6" t="e">
        <v>#N/A</v>
      </c>
      <c r="I541" s="6">
        <v>-0.60669576664696523</v>
      </c>
      <c r="J541" s="6" t="e">
        <v>#N/A</v>
      </c>
      <c r="K541" s="6">
        <v>0</v>
      </c>
      <c r="L541" t="s">
        <v>17</v>
      </c>
      <c r="M541" t="s">
        <v>27</v>
      </c>
      <c r="N541" s="4" t="s">
        <v>2123</v>
      </c>
      <c r="O541" s="4" t="s">
        <v>2124</v>
      </c>
      <c r="P541" s="4" t="s">
        <v>233</v>
      </c>
    </row>
    <row r="542" spans="1:16" x14ac:dyDescent="0.35">
      <c r="A542" t="s">
        <v>13051</v>
      </c>
      <c r="B542" t="s">
        <v>2125</v>
      </c>
      <c r="C542" t="s">
        <v>16</v>
      </c>
      <c r="D542" s="6">
        <v>210964206.86006355</v>
      </c>
      <c r="E542" s="6">
        <v>240522206.86006355</v>
      </c>
      <c r="F542" s="6">
        <v>24.719999313354492</v>
      </c>
      <c r="G542" s="6">
        <v>26.25</v>
      </c>
      <c r="H542" s="6" t="e">
        <v>#N/A</v>
      </c>
      <c r="I542" s="6">
        <v>2.2852768965544361</v>
      </c>
      <c r="J542" s="6">
        <v>29302000</v>
      </c>
      <c r="K542" s="6" t="e">
        <v>#N/A</v>
      </c>
      <c r="L542" t="s">
        <v>17</v>
      </c>
      <c r="M542" t="s">
        <v>27</v>
      </c>
      <c r="N542" s="4" t="s">
        <v>12969</v>
      </c>
      <c r="O542" s="4" t="s">
        <v>12970</v>
      </c>
      <c r="P542" s="4" t="s">
        <v>233</v>
      </c>
    </row>
    <row r="543" spans="1:16" x14ac:dyDescent="0.35">
      <c r="A543" t="s">
        <v>2126</v>
      </c>
      <c r="B543" t="s">
        <v>2127</v>
      </c>
      <c r="C543" t="s">
        <v>16</v>
      </c>
      <c r="D543" s="6" t="e">
        <v>#N/A</v>
      </c>
      <c r="E543" s="6" t="e">
        <v>#N/A</v>
      </c>
      <c r="F543" s="6" t="e">
        <v>#N/A</v>
      </c>
      <c r="G543" s="6" t="e">
        <v>#N/A</v>
      </c>
      <c r="H543" s="6" t="e">
        <v>#N/A</v>
      </c>
      <c r="I543" s="6">
        <v>-0.89936889298147782</v>
      </c>
      <c r="J543" s="6">
        <v>1729039</v>
      </c>
      <c r="K543" s="6">
        <v>44.44444444444445</v>
      </c>
      <c r="L543" t="s">
        <v>17</v>
      </c>
      <c r="M543" t="s">
        <v>18</v>
      </c>
      <c r="N543" s="4" t="s">
        <v>2128</v>
      </c>
      <c r="O543" s="4" t="s">
        <v>2129</v>
      </c>
      <c r="P543" s="4" t="s">
        <v>233</v>
      </c>
    </row>
    <row r="544" spans="1:16" x14ac:dyDescent="0.35">
      <c r="A544" t="s">
        <v>2130</v>
      </c>
      <c r="B544" t="s">
        <v>2131</v>
      </c>
      <c r="C544" t="s">
        <v>16</v>
      </c>
      <c r="D544" s="6">
        <v>73661.572500000009</v>
      </c>
      <c r="E544" s="6">
        <v>9485881.5724999998</v>
      </c>
      <c r="F544" s="6">
        <v>1E-4</v>
      </c>
      <c r="G544" s="6">
        <v>1E-4</v>
      </c>
      <c r="H544" s="6" t="e">
        <v>#N/A</v>
      </c>
      <c r="I544" s="6">
        <v>0</v>
      </c>
      <c r="J544" s="6">
        <v>4606107</v>
      </c>
      <c r="K544" s="6">
        <v>95.599947199366383</v>
      </c>
      <c r="L544" t="s">
        <v>17</v>
      </c>
      <c r="M544" t="s">
        <v>40</v>
      </c>
      <c r="N544" s="4" t="s">
        <v>2132</v>
      </c>
      <c r="O544" s="4" t="s">
        <v>2133</v>
      </c>
      <c r="P544" s="4" t="s">
        <v>233</v>
      </c>
    </row>
    <row r="545" spans="1:16" x14ac:dyDescent="0.35">
      <c r="A545" t="s">
        <v>2134</v>
      </c>
      <c r="B545" t="s">
        <v>2135</v>
      </c>
      <c r="C545" t="s">
        <v>16</v>
      </c>
      <c r="D545" s="6" t="e">
        <v>#N/A</v>
      </c>
      <c r="E545" s="6" t="e">
        <v>#N/A</v>
      </c>
      <c r="F545" s="6">
        <v>9.9999999747524271E-7</v>
      </c>
      <c r="G545" s="6">
        <v>9.9999999747524271E-7</v>
      </c>
      <c r="H545" s="6" t="e">
        <v>#N/A</v>
      </c>
      <c r="I545" s="6">
        <v>0</v>
      </c>
      <c r="J545" s="6" t="e">
        <v>#N/A</v>
      </c>
      <c r="K545" s="6" t="e">
        <v>#N/A</v>
      </c>
      <c r="L545" t="s">
        <v>17</v>
      </c>
      <c r="M545" t="s">
        <v>32</v>
      </c>
      <c r="N545" s="4" t="s">
        <v>2136</v>
      </c>
      <c r="O545" s="4" t="s">
        <v>2137</v>
      </c>
      <c r="P545" s="4" t="s">
        <v>233</v>
      </c>
    </row>
    <row r="546" spans="1:16" x14ac:dyDescent="0.35">
      <c r="A546" t="s">
        <v>2138</v>
      </c>
      <c r="B546" t="s">
        <v>2139</v>
      </c>
      <c r="C546" t="s">
        <v>16</v>
      </c>
      <c r="D546" s="6">
        <v>93683.68507505655</v>
      </c>
      <c r="E546" s="6" t="e">
        <v>#N/A</v>
      </c>
      <c r="F546" s="6">
        <v>0.20999999344348907</v>
      </c>
      <c r="G546" s="6">
        <v>0.18700000643730164</v>
      </c>
      <c r="H546" s="6" t="e">
        <v>#N/A</v>
      </c>
      <c r="I546" s="6">
        <v>0.39871349560533909</v>
      </c>
      <c r="J546" s="6" t="e">
        <v>#N/A</v>
      </c>
      <c r="K546" s="6" t="e">
        <v>#N/A</v>
      </c>
      <c r="L546" t="s">
        <v>17</v>
      </c>
      <c r="M546" t="s">
        <v>32</v>
      </c>
      <c r="N546" s="4" t="s">
        <v>2140</v>
      </c>
      <c r="O546" s="4" t="s">
        <v>2141</v>
      </c>
      <c r="P546" s="4" t="s">
        <v>233</v>
      </c>
    </row>
    <row r="547" spans="1:16" x14ac:dyDescent="0.35">
      <c r="A547" t="s">
        <v>2142</v>
      </c>
      <c r="B547" t="s">
        <v>2143</v>
      </c>
      <c r="C547" t="s">
        <v>16</v>
      </c>
      <c r="D547" s="6">
        <v>6839600.3060005186</v>
      </c>
      <c r="E547" s="6">
        <v>8525654.3060005195</v>
      </c>
      <c r="F547" s="6">
        <v>4.9899999052286148E-2</v>
      </c>
      <c r="G547" s="6">
        <v>5.4999999701976776E-2</v>
      </c>
      <c r="H547" s="6" t="e">
        <v>#N/A</v>
      </c>
      <c r="I547" s="6">
        <v>3.1080335148848599</v>
      </c>
      <c r="J547" s="6">
        <v>882701</v>
      </c>
      <c r="K547" s="6">
        <v>87.282566679551607</v>
      </c>
      <c r="L547" t="s">
        <v>17</v>
      </c>
      <c r="M547" t="s">
        <v>40</v>
      </c>
      <c r="N547" s="4" t="s">
        <v>2144</v>
      </c>
      <c r="O547" s="4" t="s">
        <v>2145</v>
      </c>
      <c r="P547" s="4" t="s">
        <v>233</v>
      </c>
    </row>
    <row r="548" spans="1:16" x14ac:dyDescent="0.35">
      <c r="A548" t="s">
        <v>2146</v>
      </c>
      <c r="B548" t="s">
        <v>2147</v>
      </c>
      <c r="C548" t="s">
        <v>16</v>
      </c>
      <c r="D548" s="6">
        <v>1149375.9949999999</v>
      </c>
      <c r="E548" s="6">
        <v>2332619.9950000001</v>
      </c>
      <c r="F548" s="6">
        <v>0.155</v>
      </c>
      <c r="G548" s="6">
        <v>0.155</v>
      </c>
      <c r="H548" s="6" t="e">
        <v>#N/A</v>
      </c>
      <c r="I548" s="6">
        <v>-0.11650932657686486</v>
      </c>
      <c r="J548" s="6">
        <v>11817855</v>
      </c>
      <c r="K548" s="6" t="e">
        <v>#N/A</v>
      </c>
      <c r="L548" t="s">
        <v>17</v>
      </c>
      <c r="M548" t="s">
        <v>27</v>
      </c>
      <c r="N548" s="4" t="s">
        <v>2148</v>
      </c>
      <c r="O548" s="4" t="s">
        <v>2149</v>
      </c>
      <c r="P548" s="4" t="s">
        <v>233</v>
      </c>
    </row>
    <row r="549" spans="1:16" x14ac:dyDescent="0.35">
      <c r="A549" t="s">
        <v>2150</v>
      </c>
      <c r="B549" t="s">
        <v>2151</v>
      </c>
      <c r="C549" t="s">
        <v>16</v>
      </c>
      <c r="D549" s="6">
        <v>5555174.6227244139</v>
      </c>
      <c r="E549" s="6">
        <v>-5312825.3772755861</v>
      </c>
      <c r="F549" s="6">
        <v>0.93000000715255737</v>
      </c>
      <c r="G549" s="6">
        <v>0.93000000715255737</v>
      </c>
      <c r="H549" s="6" t="e">
        <v>#N/A</v>
      </c>
      <c r="I549" s="6">
        <v>-6.0540207452114525E-2</v>
      </c>
      <c r="J549" s="6">
        <v>8006000</v>
      </c>
      <c r="K549" s="6">
        <v>85.885486018641799</v>
      </c>
      <c r="L549" t="s">
        <v>17</v>
      </c>
      <c r="M549" t="s">
        <v>18</v>
      </c>
      <c r="N549" s="4" t="s">
        <v>2152</v>
      </c>
      <c r="O549" s="4" t="s">
        <v>2153</v>
      </c>
      <c r="P549" s="4" t="s">
        <v>233</v>
      </c>
    </row>
    <row r="550" spans="1:16" x14ac:dyDescent="0.35">
      <c r="A550" t="s">
        <v>2154</v>
      </c>
      <c r="B550" t="s">
        <v>2155</v>
      </c>
      <c r="C550" t="s">
        <v>16</v>
      </c>
      <c r="D550" s="6">
        <v>22303267.094955593</v>
      </c>
      <c r="E550" s="6" t="e">
        <v>#N/A</v>
      </c>
      <c r="F550" s="6">
        <v>0.2800000011920929</v>
      </c>
      <c r="G550" s="6">
        <v>0.2800000011920929</v>
      </c>
      <c r="H550" s="6" t="e">
        <v>#N/A</v>
      </c>
      <c r="I550" s="6">
        <v>0.64481482011653535</v>
      </c>
      <c r="J550" s="6" t="e">
        <v>#N/A</v>
      </c>
      <c r="K550" s="6" t="e">
        <v>#N/A</v>
      </c>
      <c r="L550" t="s">
        <v>17</v>
      </c>
      <c r="M550" t="s">
        <v>40</v>
      </c>
      <c r="N550" s="4" t="s">
        <v>2156</v>
      </c>
      <c r="O550" s="4" t="s">
        <v>2157</v>
      </c>
      <c r="P550" s="4" t="s">
        <v>233</v>
      </c>
    </row>
    <row r="551" spans="1:16" x14ac:dyDescent="0.35">
      <c r="A551" t="s">
        <v>2158</v>
      </c>
      <c r="B551" t="s">
        <v>2159</v>
      </c>
      <c r="C551" t="s">
        <v>16</v>
      </c>
      <c r="D551" s="6" t="e">
        <v>#N/A</v>
      </c>
      <c r="E551" s="6" t="e">
        <v>#N/A</v>
      </c>
      <c r="F551" s="6" t="e">
        <v>#N/A</v>
      </c>
      <c r="G551" s="6" t="e">
        <v>#N/A</v>
      </c>
      <c r="H551" s="6" t="e">
        <v>#N/A</v>
      </c>
      <c r="I551" s="6">
        <v>-0.99965929455408764</v>
      </c>
      <c r="J551" s="6" t="e">
        <v>#N/A</v>
      </c>
      <c r="K551" s="6" t="e">
        <v>#N/A</v>
      </c>
      <c r="L551" t="s">
        <v>17</v>
      </c>
      <c r="M551" t="s">
        <v>32</v>
      </c>
      <c r="N551" s="4" t="s">
        <v>2160</v>
      </c>
      <c r="O551" s="4" t="s">
        <v>2161</v>
      </c>
      <c r="P551" s="4" t="s">
        <v>233</v>
      </c>
    </row>
    <row r="552" spans="1:16" x14ac:dyDescent="0.35">
      <c r="A552" t="s">
        <v>2162</v>
      </c>
      <c r="B552" t="s">
        <v>2163</v>
      </c>
      <c r="C552" t="s">
        <v>16</v>
      </c>
      <c r="D552" s="6">
        <v>1251308911.5911715</v>
      </c>
      <c r="E552" s="6">
        <v>1558900911.5911715</v>
      </c>
      <c r="F552" s="6">
        <v>29.850000381469727</v>
      </c>
      <c r="G552" s="6">
        <v>30.170000076293945</v>
      </c>
      <c r="H552" s="6">
        <v>314.83689003881113</v>
      </c>
      <c r="I552" s="6">
        <v>0.69453664347857647</v>
      </c>
      <c r="J552" s="6">
        <v>384899000</v>
      </c>
      <c r="K552" s="6">
        <v>96.666666666666657</v>
      </c>
      <c r="L552" t="s">
        <v>17</v>
      </c>
      <c r="M552" t="s">
        <v>27</v>
      </c>
      <c r="N552" s="4" t="s">
        <v>2164</v>
      </c>
      <c r="O552" s="4" t="s">
        <v>2165</v>
      </c>
      <c r="P552" s="4" t="s">
        <v>233</v>
      </c>
    </row>
    <row r="553" spans="1:16" x14ac:dyDescent="0.35">
      <c r="A553" t="s">
        <v>2166</v>
      </c>
      <c r="B553" t="s">
        <v>2167</v>
      </c>
      <c r="C553" t="s">
        <v>16</v>
      </c>
      <c r="D553" s="6">
        <v>19706306325.612671</v>
      </c>
      <c r="E553" s="6">
        <v>25385406325.612671</v>
      </c>
      <c r="F553" s="6">
        <v>98.989997863769531</v>
      </c>
      <c r="G553" s="6">
        <v>98.410003662109375</v>
      </c>
      <c r="H553" s="6">
        <v>18.708399911810186</v>
      </c>
      <c r="I553" s="6">
        <v>-0.20619571216999255</v>
      </c>
      <c r="J553" s="6">
        <v>7678600000</v>
      </c>
      <c r="K553" s="6">
        <v>-9.3686354378818741</v>
      </c>
      <c r="L553" t="s">
        <v>17</v>
      </c>
      <c r="M553" t="s">
        <v>27</v>
      </c>
      <c r="N553" s="4" t="s">
        <v>2168</v>
      </c>
      <c r="O553" s="4" t="s">
        <v>2169</v>
      </c>
      <c r="P553" s="4" t="s">
        <v>233</v>
      </c>
    </row>
    <row r="554" spans="1:16" x14ac:dyDescent="0.35">
      <c r="A554" t="s">
        <v>2170</v>
      </c>
      <c r="B554" t="s">
        <v>2171</v>
      </c>
      <c r="C554" t="s">
        <v>16</v>
      </c>
      <c r="D554" s="6">
        <v>1627529465.1058581</v>
      </c>
      <c r="E554" s="6">
        <v>1326175465.1058581</v>
      </c>
      <c r="F554" s="6">
        <v>5.3400001525878906</v>
      </c>
      <c r="G554" s="6">
        <v>5.2100000381469727</v>
      </c>
      <c r="H554" s="6" t="e">
        <v>#N/A</v>
      </c>
      <c r="I554" s="6">
        <v>-0.46240321406831342</v>
      </c>
      <c r="J554" s="6">
        <v>90858000</v>
      </c>
      <c r="K554" s="6">
        <v>28.019323671497581</v>
      </c>
      <c r="L554" t="s">
        <v>17</v>
      </c>
      <c r="M554" t="s">
        <v>18</v>
      </c>
      <c r="N554" s="4" t="s">
        <v>2172</v>
      </c>
      <c r="O554" s="4" t="s">
        <v>2173</v>
      </c>
      <c r="P554" s="4" t="s">
        <v>233</v>
      </c>
    </row>
    <row r="555" spans="1:16" x14ac:dyDescent="0.35">
      <c r="A555" t="s">
        <v>2174</v>
      </c>
      <c r="B555" t="s">
        <v>2175</v>
      </c>
      <c r="C555" t="s">
        <v>16</v>
      </c>
      <c r="D555" s="6" t="e">
        <v>#N/A</v>
      </c>
      <c r="E555" s="6" t="e">
        <v>#N/A</v>
      </c>
      <c r="F555" s="6" t="e">
        <v>#N/A</v>
      </c>
      <c r="G555" s="6" t="e">
        <v>#N/A</v>
      </c>
      <c r="H555" s="6" t="e">
        <v>#N/A</v>
      </c>
      <c r="I555" s="6">
        <v>0</v>
      </c>
      <c r="J555" s="6" t="e">
        <v>#N/A</v>
      </c>
      <c r="K555" s="6" t="e">
        <v>#N/A</v>
      </c>
      <c r="L555" t="s">
        <v>17</v>
      </c>
      <c r="M555" t="s">
        <v>100</v>
      </c>
      <c r="N555" s="4" t="s">
        <v>2176</v>
      </c>
      <c r="O555" s="4" t="s">
        <v>2177</v>
      </c>
      <c r="P555" s="4" t="s">
        <v>233</v>
      </c>
    </row>
    <row r="556" spans="1:16" x14ac:dyDescent="0.35">
      <c r="A556" t="s">
        <v>2178</v>
      </c>
      <c r="B556" t="s">
        <v>2179</v>
      </c>
      <c r="C556" t="s">
        <v>16</v>
      </c>
      <c r="D556" s="6">
        <v>14104000000</v>
      </c>
      <c r="E556" s="6">
        <v>27043449000</v>
      </c>
      <c r="F556" s="6">
        <v>172</v>
      </c>
      <c r="G556" s="6">
        <v>171.88999938964844</v>
      </c>
      <c r="H556" s="6">
        <v>17.389600553798118</v>
      </c>
      <c r="I556" s="6">
        <v>0.5031325948927301</v>
      </c>
      <c r="J556" s="6">
        <v>12666614000</v>
      </c>
      <c r="K556" s="6">
        <v>45.343511450381655</v>
      </c>
      <c r="L556" t="s">
        <v>17</v>
      </c>
      <c r="M556" t="s">
        <v>40</v>
      </c>
      <c r="N556" s="4" t="s">
        <v>2180</v>
      </c>
      <c r="O556" s="4" t="s">
        <v>2181</v>
      </c>
      <c r="P556" s="4" t="s">
        <v>233</v>
      </c>
    </row>
    <row r="557" spans="1:16" x14ac:dyDescent="0.35">
      <c r="A557" t="s">
        <v>2182</v>
      </c>
      <c r="B557" t="s">
        <v>2183</v>
      </c>
      <c r="C557" t="s">
        <v>16</v>
      </c>
      <c r="D557" s="6">
        <v>269064.02260000003</v>
      </c>
      <c r="E557" s="6">
        <v>6009191.8454498993</v>
      </c>
      <c r="F557" s="6">
        <v>9.9999999747524271E-7</v>
      </c>
      <c r="G557" s="6">
        <v>9.9999999747524271E-7</v>
      </c>
      <c r="H557" s="6" t="e">
        <v>#N/A</v>
      </c>
      <c r="I557" s="6">
        <v>-0.99969927472454012</v>
      </c>
      <c r="J557" s="6">
        <v>6568115.1151657104</v>
      </c>
      <c r="K557" s="6">
        <v>70.10000046007336</v>
      </c>
      <c r="L557" t="s">
        <v>17</v>
      </c>
      <c r="M557" t="s">
        <v>87</v>
      </c>
      <c r="N557" s="4" t="s">
        <v>2184</v>
      </c>
      <c r="O557" s="4" t="s">
        <v>2185</v>
      </c>
      <c r="P557" s="4" t="s">
        <v>233</v>
      </c>
    </row>
    <row r="558" spans="1:16" x14ac:dyDescent="0.35">
      <c r="A558" t="s">
        <v>2186</v>
      </c>
      <c r="B558" t="s">
        <v>2187</v>
      </c>
      <c r="C558" t="s">
        <v>16</v>
      </c>
      <c r="D558" s="6">
        <v>18343955678.595001</v>
      </c>
      <c r="E558" s="6">
        <v>24837955678.595001</v>
      </c>
      <c r="F558" s="6">
        <v>164.35000610351563</v>
      </c>
      <c r="G558" s="6">
        <v>166.47000122070313</v>
      </c>
      <c r="H558" s="6">
        <v>20.186467943498972</v>
      </c>
      <c r="I558" s="6">
        <v>0.29001087713175622</v>
      </c>
      <c r="J558" s="6">
        <v>9872000000</v>
      </c>
      <c r="K558" s="6">
        <v>2.7905401844532345</v>
      </c>
      <c r="L558" t="s">
        <v>17</v>
      </c>
      <c r="M558" t="s">
        <v>40</v>
      </c>
      <c r="N558" s="4" t="s">
        <v>2188</v>
      </c>
      <c r="O558" s="4" t="s">
        <v>2189</v>
      </c>
      <c r="P558" s="4" t="s">
        <v>233</v>
      </c>
    </row>
    <row r="559" spans="1:16" x14ac:dyDescent="0.35">
      <c r="A559" t="s">
        <v>2190</v>
      </c>
      <c r="B559" t="s">
        <v>2191</v>
      </c>
      <c r="C559" t="s">
        <v>16</v>
      </c>
      <c r="D559" s="6">
        <v>4025913.6059999997</v>
      </c>
      <c r="E559" s="6">
        <v>5686938.6059999997</v>
      </c>
      <c r="F559" s="6">
        <v>0.42899999999999999</v>
      </c>
      <c r="G559" s="6">
        <v>0.31</v>
      </c>
      <c r="H559" s="6">
        <v>0.23431675364788584</v>
      </c>
      <c r="I559" s="6">
        <v>7.330382853110434</v>
      </c>
      <c r="J559" s="6">
        <v>29500</v>
      </c>
      <c r="K559" s="6" t="e">
        <v>#N/A</v>
      </c>
      <c r="L559" t="s">
        <v>17</v>
      </c>
      <c r="M559" t="s">
        <v>40</v>
      </c>
      <c r="N559" s="4" t="s">
        <v>2192</v>
      </c>
      <c r="O559" s="4" t="s">
        <v>2193</v>
      </c>
      <c r="P559" s="4" t="s">
        <v>233</v>
      </c>
    </row>
    <row r="560" spans="1:16" x14ac:dyDescent="0.35">
      <c r="A560" t="s">
        <v>2194</v>
      </c>
      <c r="B560" t="s">
        <v>2195</v>
      </c>
      <c r="C560" t="s">
        <v>16</v>
      </c>
      <c r="D560" s="6">
        <v>66600000.858306885</v>
      </c>
      <c r="E560" s="6">
        <v>41419307.059246749</v>
      </c>
      <c r="F560" s="6">
        <v>3.7000000476837158</v>
      </c>
      <c r="G560" s="6">
        <v>3.7000000476837158</v>
      </c>
      <c r="H560" s="6" t="e">
        <v>#N/A</v>
      </c>
      <c r="I560" s="6">
        <v>-2.8793641759922384E-2</v>
      </c>
      <c r="J560" s="6" t="e">
        <v>#N/A</v>
      </c>
      <c r="K560" s="6" t="e">
        <v>#N/A</v>
      </c>
      <c r="L560" t="s">
        <v>17</v>
      </c>
      <c r="M560" t="s">
        <v>87</v>
      </c>
      <c r="N560" s="4" t="s">
        <v>233</v>
      </c>
      <c r="O560" s="4" t="s">
        <v>2196</v>
      </c>
      <c r="P560" s="4" t="s">
        <v>13107</v>
      </c>
    </row>
    <row r="561" spans="1:16" x14ac:dyDescent="0.35">
      <c r="A561" t="s">
        <v>2197</v>
      </c>
      <c r="B561" t="s">
        <v>2198</v>
      </c>
      <c r="C561" t="s">
        <v>16</v>
      </c>
      <c r="D561" s="6">
        <v>2089330.5646611799</v>
      </c>
      <c r="E561" s="6" t="e">
        <v>#N/A</v>
      </c>
      <c r="F561" s="6">
        <v>1.500000013038516E-3</v>
      </c>
      <c r="G561" s="6">
        <v>2.2499999031424522E-3</v>
      </c>
      <c r="H561" s="6" t="e">
        <v>#N/A</v>
      </c>
      <c r="I561" s="6">
        <v>1.4937490331655674</v>
      </c>
      <c r="J561" s="6" t="e">
        <v>#N/A</v>
      </c>
      <c r="K561" s="6" t="e">
        <v>#N/A</v>
      </c>
      <c r="L561" t="s">
        <v>17</v>
      </c>
      <c r="M561" t="s">
        <v>27</v>
      </c>
      <c r="N561" s="4" t="s">
        <v>2199</v>
      </c>
      <c r="O561" s="4" t="s">
        <v>2200</v>
      </c>
      <c r="P561" s="4" t="s">
        <v>233</v>
      </c>
    </row>
    <row r="562" spans="1:16" x14ac:dyDescent="0.35">
      <c r="A562" t="s">
        <v>2201</v>
      </c>
      <c r="B562" t="s">
        <v>2202</v>
      </c>
      <c r="C562" t="s">
        <v>16</v>
      </c>
      <c r="D562" s="6">
        <v>4095696.6399999997</v>
      </c>
      <c r="E562" s="6" t="e">
        <v>#N/A</v>
      </c>
      <c r="F562" s="6">
        <v>0.32</v>
      </c>
      <c r="G562" s="6">
        <v>0.32</v>
      </c>
      <c r="H562" s="6" t="e">
        <v>#N/A</v>
      </c>
      <c r="I562" s="6">
        <v>-0.1883268037376884</v>
      </c>
      <c r="J562" s="6">
        <v>0</v>
      </c>
      <c r="K562" s="6">
        <v>36.111111111111107</v>
      </c>
      <c r="L562" t="s">
        <v>17</v>
      </c>
      <c r="M562" t="s">
        <v>87</v>
      </c>
      <c r="N562" s="4" t="s">
        <v>2203</v>
      </c>
      <c r="O562" s="4" t="s">
        <v>2204</v>
      </c>
      <c r="P562" s="4" t="s">
        <v>233</v>
      </c>
    </row>
    <row r="563" spans="1:16" x14ac:dyDescent="0.35">
      <c r="A563" t="s">
        <v>2205</v>
      </c>
      <c r="B563" t="s">
        <v>2206</v>
      </c>
      <c r="C563" t="s">
        <v>16</v>
      </c>
      <c r="D563" s="6">
        <v>1010382450.3875427</v>
      </c>
      <c r="E563" s="6">
        <v>929449450.38754272</v>
      </c>
      <c r="F563" s="6">
        <v>33.220001220703125</v>
      </c>
      <c r="G563" s="6">
        <v>33.590000152587891</v>
      </c>
      <c r="H563" s="6">
        <v>51.826487703617282</v>
      </c>
      <c r="I563" s="6">
        <v>0.21534516805973847</v>
      </c>
      <c r="J563" s="6">
        <v>287991000</v>
      </c>
      <c r="K563" s="6">
        <v>51.162790697674424</v>
      </c>
      <c r="L563" t="s">
        <v>17</v>
      </c>
      <c r="M563" t="s">
        <v>32</v>
      </c>
      <c r="N563" s="4" t="s">
        <v>2207</v>
      </c>
      <c r="O563" s="4" t="s">
        <v>2208</v>
      </c>
      <c r="P563" s="4" t="s">
        <v>233</v>
      </c>
    </row>
    <row r="564" spans="1:16" x14ac:dyDescent="0.35">
      <c r="A564" t="s">
        <v>2209</v>
      </c>
      <c r="B564" t="s">
        <v>2210</v>
      </c>
      <c r="C564" t="s">
        <v>16</v>
      </c>
      <c r="D564" s="6">
        <v>402.45122983322653</v>
      </c>
      <c r="E564" s="6">
        <v>28394402.451229833</v>
      </c>
      <c r="F564" s="6" t="e">
        <v>#N/A</v>
      </c>
      <c r="G564" s="6" t="e">
        <v>#N/A</v>
      </c>
      <c r="H564" s="6" t="e">
        <v>#N/A</v>
      </c>
      <c r="I564" s="6">
        <v>8.9372850963066561</v>
      </c>
      <c r="J564" s="6">
        <v>0</v>
      </c>
      <c r="K564" s="6">
        <v>73.684210526315795</v>
      </c>
      <c r="L564" t="s">
        <v>17</v>
      </c>
      <c r="M564" t="s">
        <v>18</v>
      </c>
      <c r="N564" s="4" t="s">
        <v>2211</v>
      </c>
      <c r="O564" s="4" t="s">
        <v>2212</v>
      </c>
      <c r="P564" s="4" t="s">
        <v>233</v>
      </c>
    </row>
    <row r="565" spans="1:16" x14ac:dyDescent="0.35">
      <c r="A565" t="s">
        <v>2213</v>
      </c>
      <c r="B565" t="s">
        <v>2214</v>
      </c>
      <c r="C565" t="s">
        <v>16</v>
      </c>
      <c r="D565" s="6" t="e">
        <v>#N/A</v>
      </c>
      <c r="E565" s="6" t="e">
        <v>#N/A</v>
      </c>
      <c r="F565" s="6">
        <v>9.9999999747524271E-7</v>
      </c>
      <c r="G565" s="6">
        <v>9.9999999747524271E-7</v>
      </c>
      <c r="H565" s="6" t="e">
        <v>#N/A</v>
      </c>
      <c r="I565" s="6">
        <v>0</v>
      </c>
      <c r="J565" s="6">
        <v>561782</v>
      </c>
      <c r="K565" s="6">
        <v>94.933125000047511</v>
      </c>
      <c r="L565" t="s">
        <v>17</v>
      </c>
      <c r="M565" t="s">
        <v>18</v>
      </c>
      <c r="N565" s="4" t="s">
        <v>2215</v>
      </c>
      <c r="O565" s="4" t="s">
        <v>2216</v>
      </c>
      <c r="P565" s="4" t="s">
        <v>233</v>
      </c>
    </row>
    <row r="566" spans="1:16" x14ac:dyDescent="0.35">
      <c r="A566" t="s">
        <v>2217</v>
      </c>
      <c r="B566" t="s">
        <v>2218</v>
      </c>
      <c r="C566" t="s">
        <v>16</v>
      </c>
      <c r="D566" s="6">
        <v>333656435.25</v>
      </c>
      <c r="E566" s="6">
        <v>326631435.25</v>
      </c>
      <c r="F566" s="6">
        <v>6.75</v>
      </c>
      <c r="G566" s="6">
        <v>6.559999942779541</v>
      </c>
      <c r="H566" s="6" t="e">
        <v>#N/A</v>
      </c>
      <c r="I566" s="6">
        <v>-0.58615684072034824</v>
      </c>
      <c r="J566" s="6">
        <v>226113000</v>
      </c>
      <c r="K566" s="6">
        <v>-199.11504424778769</v>
      </c>
      <c r="L566" t="s">
        <v>17</v>
      </c>
      <c r="M566" t="s">
        <v>100</v>
      </c>
      <c r="N566" s="4" t="s">
        <v>2219</v>
      </c>
      <c r="O566" s="4" t="s">
        <v>2220</v>
      </c>
      <c r="P566" s="4" t="s">
        <v>233</v>
      </c>
    </row>
    <row r="567" spans="1:16" x14ac:dyDescent="0.35">
      <c r="A567" t="s">
        <v>2221</v>
      </c>
      <c r="B567" t="s">
        <v>2222</v>
      </c>
      <c r="C567" t="s">
        <v>16</v>
      </c>
      <c r="D567" s="6" t="e">
        <v>#N/A</v>
      </c>
      <c r="E567" s="6" t="e">
        <v>#N/A</v>
      </c>
      <c r="F567" s="6">
        <v>9.9999999747524271E-7</v>
      </c>
      <c r="G567" s="6">
        <v>9.9999999747524271E-7</v>
      </c>
      <c r="H567" s="6" t="e">
        <v>#N/A</v>
      </c>
      <c r="I567" s="6">
        <v>0</v>
      </c>
      <c r="J567" s="6">
        <v>2820296</v>
      </c>
      <c r="K567" s="6">
        <v>-185.59188919034696</v>
      </c>
      <c r="L567" t="s">
        <v>17</v>
      </c>
      <c r="M567" t="s">
        <v>100</v>
      </c>
      <c r="N567" s="4" t="s">
        <v>2223</v>
      </c>
      <c r="O567" s="4" t="s">
        <v>2224</v>
      </c>
      <c r="P567" s="4" t="s">
        <v>233</v>
      </c>
    </row>
    <row r="568" spans="1:16" x14ac:dyDescent="0.35">
      <c r="A568" t="s">
        <v>2225</v>
      </c>
      <c r="B568" t="s">
        <v>2226</v>
      </c>
      <c r="C568" t="s">
        <v>16</v>
      </c>
      <c r="D568" s="6">
        <v>23380921.721455693</v>
      </c>
      <c r="E568" s="6">
        <v>-11776293.278544307</v>
      </c>
      <c r="F568" s="6">
        <v>0.78100001811981201</v>
      </c>
      <c r="G568" s="6">
        <v>0.79570001363754272</v>
      </c>
      <c r="H568" s="6" t="e">
        <v>#N/A</v>
      </c>
      <c r="I568" s="6">
        <v>-0.36425218232301915</v>
      </c>
      <c r="J568" s="6">
        <v>38265097</v>
      </c>
      <c r="K568" s="6">
        <v>-45.634010813645212</v>
      </c>
      <c r="L568" t="s">
        <v>17</v>
      </c>
      <c r="M568" t="s">
        <v>27</v>
      </c>
      <c r="N568" s="4" t="s">
        <v>2227</v>
      </c>
      <c r="O568" s="4" t="s">
        <v>2228</v>
      </c>
      <c r="P568" s="4" t="s">
        <v>233</v>
      </c>
    </row>
    <row r="569" spans="1:16" x14ac:dyDescent="0.35">
      <c r="A569" t="s">
        <v>2229</v>
      </c>
      <c r="B569" t="s">
        <v>2230</v>
      </c>
      <c r="C569" t="s">
        <v>16</v>
      </c>
      <c r="D569" s="6" t="e">
        <v>#N/A</v>
      </c>
      <c r="E569" s="6" t="e">
        <v>#N/A</v>
      </c>
      <c r="F569" s="6">
        <v>9.9999999747524271E-7</v>
      </c>
      <c r="G569" s="6">
        <v>9.9999999747524271E-7</v>
      </c>
      <c r="H569" s="6">
        <v>7.7069508795576427E-6</v>
      </c>
      <c r="I569" s="6">
        <v>0</v>
      </c>
      <c r="J569" s="6">
        <v>285099000</v>
      </c>
      <c r="K569" s="6">
        <v>-71.428571428571416</v>
      </c>
      <c r="L569" t="s">
        <v>17</v>
      </c>
      <c r="M569" t="s">
        <v>40</v>
      </c>
      <c r="N569" s="4" t="s">
        <v>2231</v>
      </c>
      <c r="O569" s="4" t="s">
        <v>2232</v>
      </c>
      <c r="P569" s="4" t="s">
        <v>233</v>
      </c>
    </row>
    <row r="570" spans="1:16" x14ac:dyDescent="0.35">
      <c r="A570" t="s">
        <v>2233</v>
      </c>
      <c r="B570" t="s">
        <v>2234</v>
      </c>
      <c r="C570" t="s">
        <v>16</v>
      </c>
      <c r="D570" s="6">
        <v>7349976020.4241714</v>
      </c>
      <c r="E570" s="6">
        <v>6809121020.4241714</v>
      </c>
      <c r="F570" s="6">
        <v>70.150001525878906</v>
      </c>
      <c r="G570" s="6">
        <v>66.620002746582031</v>
      </c>
      <c r="H570" s="6">
        <v>55.674604385618181</v>
      </c>
      <c r="I570" s="6">
        <v>1.9204311352257846</v>
      </c>
      <c r="J570" s="6">
        <v>628555000</v>
      </c>
      <c r="K570" s="6">
        <v>54.54545454545454</v>
      </c>
      <c r="L570" t="s">
        <v>17</v>
      </c>
      <c r="M570" t="s">
        <v>87</v>
      </c>
      <c r="N570" s="4" t="s">
        <v>2235</v>
      </c>
      <c r="O570" s="4" t="s">
        <v>2236</v>
      </c>
      <c r="P570" s="4" t="s">
        <v>233</v>
      </c>
    </row>
    <row r="571" spans="1:16" x14ac:dyDescent="0.35">
      <c r="A571" t="s">
        <v>2237</v>
      </c>
      <c r="B571" t="s">
        <v>2238</v>
      </c>
      <c r="C571" t="s">
        <v>16</v>
      </c>
      <c r="D571" s="6">
        <v>4036.3822</v>
      </c>
      <c r="E571" s="6">
        <v>312389.38132723712</v>
      </c>
      <c r="F571" s="6" t="e">
        <v>#N/A</v>
      </c>
      <c r="G571" s="6" t="e">
        <v>#N/A</v>
      </c>
      <c r="H571" s="6" t="e">
        <v>#N/A</v>
      </c>
      <c r="I571" s="6">
        <v>0</v>
      </c>
      <c r="J571" s="6" t="e">
        <v>#N/A</v>
      </c>
      <c r="K571" s="6" t="e">
        <v>#N/A</v>
      </c>
      <c r="L571" t="s">
        <v>17</v>
      </c>
      <c r="M571" t="s">
        <v>18</v>
      </c>
      <c r="N571" s="4" t="s">
        <v>2239</v>
      </c>
      <c r="O571" s="4" t="s">
        <v>2240</v>
      </c>
      <c r="P571" s="4" t="s">
        <v>233</v>
      </c>
    </row>
    <row r="572" spans="1:16" x14ac:dyDescent="0.35">
      <c r="A572" t="s">
        <v>2241</v>
      </c>
      <c r="B572" t="s">
        <v>2242</v>
      </c>
      <c r="C572" t="s">
        <v>16</v>
      </c>
      <c r="D572" s="6">
        <v>10152098.116823673</v>
      </c>
      <c r="E572" s="6">
        <v>10825098.116823673</v>
      </c>
      <c r="F572" s="6">
        <v>1.7799999713897705</v>
      </c>
      <c r="G572" s="6">
        <v>1.7400000095367432</v>
      </c>
      <c r="H572" s="6" t="e">
        <v>#N/A</v>
      </c>
      <c r="I572" s="6">
        <v>-0.66472372639567867</v>
      </c>
      <c r="J572" s="6">
        <v>0</v>
      </c>
      <c r="K572" s="6">
        <v>46.900899251767619</v>
      </c>
      <c r="L572" t="s">
        <v>17</v>
      </c>
      <c r="M572" t="s">
        <v>18</v>
      </c>
      <c r="N572" s="4" t="s">
        <v>2243</v>
      </c>
      <c r="O572" s="4" t="s">
        <v>2244</v>
      </c>
      <c r="P572" s="4" t="s">
        <v>233</v>
      </c>
    </row>
    <row r="573" spans="1:16" x14ac:dyDescent="0.35">
      <c r="A573" t="s">
        <v>2245</v>
      </c>
      <c r="B573" t="s">
        <v>2246</v>
      </c>
      <c r="C573" t="s">
        <v>16</v>
      </c>
      <c r="D573" s="6" t="e">
        <v>#N/A</v>
      </c>
      <c r="E573" s="6" t="e">
        <v>#N/A</v>
      </c>
      <c r="F573" s="6">
        <v>9.9999999747524271E-7</v>
      </c>
      <c r="G573" s="6">
        <v>9.9999999747524271E-7</v>
      </c>
      <c r="H573" s="6">
        <v>2.5302107095602569E-6</v>
      </c>
      <c r="I573" s="6">
        <v>-0.99664707586122447</v>
      </c>
      <c r="J573" s="6">
        <v>317794</v>
      </c>
      <c r="K573" s="6" t="e">
        <v>#N/A</v>
      </c>
      <c r="L573" t="s">
        <v>17</v>
      </c>
      <c r="M573" t="s">
        <v>87</v>
      </c>
      <c r="N573" s="4" t="s">
        <v>2247</v>
      </c>
      <c r="O573" s="4" t="s">
        <v>2248</v>
      </c>
      <c r="P573" s="4" t="s">
        <v>233</v>
      </c>
    </row>
    <row r="574" spans="1:16" x14ac:dyDescent="0.35">
      <c r="A574" t="s">
        <v>2249</v>
      </c>
      <c r="B574" t="s">
        <v>2250</v>
      </c>
      <c r="C574" t="s">
        <v>16</v>
      </c>
      <c r="D574" s="6" t="e">
        <v>#N/A</v>
      </c>
      <c r="E574" s="6" t="e">
        <v>#N/A</v>
      </c>
      <c r="F574" s="6" t="e">
        <v>#N/A</v>
      </c>
      <c r="G574" s="6" t="e">
        <v>#N/A</v>
      </c>
      <c r="H574" s="6" t="e">
        <v>#N/A</v>
      </c>
      <c r="I574" s="6">
        <v>0</v>
      </c>
      <c r="J574" s="6">
        <v>6763802</v>
      </c>
      <c r="K574" s="6" t="e">
        <v>#N/A</v>
      </c>
      <c r="L574" t="s">
        <v>17</v>
      </c>
      <c r="M574" t="s">
        <v>18</v>
      </c>
      <c r="N574" s="4" t="s">
        <v>2251</v>
      </c>
      <c r="O574" s="4" t="s">
        <v>2252</v>
      </c>
      <c r="P574" s="4" t="s">
        <v>233</v>
      </c>
    </row>
    <row r="575" spans="1:16" x14ac:dyDescent="0.35">
      <c r="A575" t="s">
        <v>2253</v>
      </c>
      <c r="B575" t="s">
        <v>2254</v>
      </c>
      <c r="C575" t="s">
        <v>16</v>
      </c>
      <c r="D575" s="6">
        <v>290154.00469303131</v>
      </c>
      <c r="E575" s="6" t="e">
        <v>#N/A</v>
      </c>
      <c r="F575" s="6">
        <v>0.3921000063419342</v>
      </c>
      <c r="G575" s="6">
        <v>0.41874998807907104</v>
      </c>
      <c r="H575" s="6" t="e">
        <v>#N/A</v>
      </c>
      <c r="I575" s="6">
        <v>3.363358332814947</v>
      </c>
      <c r="J575" s="6" t="e">
        <v>#N/A</v>
      </c>
      <c r="K575" s="6" t="e">
        <v>#N/A</v>
      </c>
      <c r="L575" t="s">
        <v>17</v>
      </c>
      <c r="M575" t="s">
        <v>87</v>
      </c>
      <c r="N575" s="4" t="s">
        <v>2255</v>
      </c>
      <c r="O575" s="4" t="s">
        <v>2256</v>
      </c>
      <c r="P575" s="4" t="s">
        <v>233</v>
      </c>
    </row>
    <row r="576" spans="1:16" x14ac:dyDescent="0.35">
      <c r="A576" t="s">
        <v>2257</v>
      </c>
      <c r="B576" t="s">
        <v>2258</v>
      </c>
      <c r="C576" t="s">
        <v>16</v>
      </c>
      <c r="D576" s="6" t="e">
        <v>#N/A</v>
      </c>
      <c r="E576" s="6" t="e">
        <v>#N/A</v>
      </c>
      <c r="F576" s="6">
        <v>9.9999999747524271E-7</v>
      </c>
      <c r="G576" s="6">
        <v>9.9999999747524271E-7</v>
      </c>
      <c r="H576" s="6" t="e">
        <v>#N/A</v>
      </c>
      <c r="I576" s="6">
        <v>0</v>
      </c>
      <c r="J576" s="6" t="e">
        <v>#N/A</v>
      </c>
      <c r="K576" s="6" t="e">
        <v>#N/A</v>
      </c>
      <c r="L576" t="s">
        <v>17</v>
      </c>
      <c r="M576" t="s">
        <v>87</v>
      </c>
      <c r="N576" s="4" t="s">
        <v>2259</v>
      </c>
      <c r="O576" s="4" t="s">
        <v>2260</v>
      </c>
      <c r="P576" s="4" t="s">
        <v>233</v>
      </c>
    </row>
    <row r="577" spans="1:16" x14ac:dyDescent="0.35">
      <c r="A577" t="s">
        <v>2261</v>
      </c>
      <c r="B577" t="s">
        <v>2262</v>
      </c>
      <c r="C577" t="s">
        <v>16</v>
      </c>
      <c r="D577" s="6">
        <v>3734.6153999999997</v>
      </c>
      <c r="E577" s="6" t="e">
        <v>#N/A</v>
      </c>
      <c r="F577" s="6" t="e">
        <v>#N/A</v>
      </c>
      <c r="G577" s="6" t="e">
        <v>#N/A</v>
      </c>
      <c r="H577" s="6" t="e">
        <v>#N/A</v>
      </c>
      <c r="I577" s="6">
        <v>0</v>
      </c>
      <c r="J577" s="6">
        <v>928493</v>
      </c>
      <c r="K577" s="6">
        <v>60.000000000000007</v>
      </c>
      <c r="L577" t="s">
        <v>17</v>
      </c>
      <c r="M577" t="s">
        <v>100</v>
      </c>
      <c r="N577" s="4" t="s">
        <v>2263</v>
      </c>
      <c r="O577" s="4" t="s">
        <v>2264</v>
      </c>
      <c r="P577" s="4" t="s">
        <v>233</v>
      </c>
    </row>
    <row r="578" spans="1:16" x14ac:dyDescent="0.35">
      <c r="A578" t="s">
        <v>2265</v>
      </c>
      <c r="B578" t="s">
        <v>2266</v>
      </c>
      <c r="C578" t="s">
        <v>16</v>
      </c>
      <c r="D578" s="6">
        <v>281603308.49623388</v>
      </c>
      <c r="E578" s="6">
        <v>156957308.49623388</v>
      </c>
      <c r="F578" s="6">
        <v>4.8600001335144043</v>
      </c>
      <c r="G578" s="6">
        <v>4.7300000190734863</v>
      </c>
      <c r="H578" s="6" t="e">
        <v>#N/A</v>
      </c>
      <c r="I578" s="6">
        <v>3.2463017450098057</v>
      </c>
      <c r="J578" s="6" t="e">
        <v>#N/A</v>
      </c>
      <c r="K578" s="6">
        <v>-11.149375650269388</v>
      </c>
      <c r="L578" t="s">
        <v>17</v>
      </c>
      <c r="M578" t="s">
        <v>18</v>
      </c>
      <c r="N578" s="4" t="s">
        <v>2267</v>
      </c>
      <c r="O578" s="4" t="s">
        <v>2268</v>
      </c>
      <c r="P578" s="4" t="s">
        <v>233</v>
      </c>
    </row>
    <row r="579" spans="1:16" x14ac:dyDescent="0.35">
      <c r="A579" t="s">
        <v>2269</v>
      </c>
      <c r="B579" t="s">
        <v>2270</v>
      </c>
      <c r="C579" t="s">
        <v>16</v>
      </c>
      <c r="D579" s="6">
        <v>4463098.7983937627</v>
      </c>
      <c r="E579" s="6">
        <v>3630049.7983937627</v>
      </c>
      <c r="F579" s="6">
        <v>5.2099999040365219E-2</v>
      </c>
      <c r="G579" s="6">
        <v>5.3700000047683716E-2</v>
      </c>
      <c r="H579" s="6" t="e">
        <v>#N/A</v>
      </c>
      <c r="I579" s="6">
        <v>-0.26454335346291202</v>
      </c>
      <c r="J579" s="6">
        <v>1721618</v>
      </c>
      <c r="K579" s="6">
        <v>-74.202496532593628</v>
      </c>
      <c r="L579" t="s">
        <v>17</v>
      </c>
      <c r="M579" t="s">
        <v>100</v>
      </c>
      <c r="N579" s="4" t="s">
        <v>2271</v>
      </c>
      <c r="O579" s="4" t="s">
        <v>2272</v>
      </c>
      <c r="P579" s="4" t="s">
        <v>233</v>
      </c>
    </row>
    <row r="580" spans="1:16" x14ac:dyDescent="0.35">
      <c r="A580" t="s">
        <v>2273</v>
      </c>
      <c r="B580" t="s">
        <v>2274</v>
      </c>
      <c r="C580" t="s">
        <v>16</v>
      </c>
      <c r="D580" s="6" t="e">
        <v>#N/A</v>
      </c>
      <c r="E580" s="6" t="e">
        <v>#N/A</v>
      </c>
      <c r="F580" s="6">
        <v>9.9999999747524271E-7</v>
      </c>
      <c r="G580" s="6">
        <v>9.9999999747524271E-7</v>
      </c>
      <c r="H580" s="6" t="e">
        <v>#N/A</v>
      </c>
      <c r="I580" s="6">
        <v>1.3322676295501878E-15</v>
      </c>
      <c r="J580" s="6">
        <v>805236</v>
      </c>
      <c r="K580" s="6">
        <v>100</v>
      </c>
      <c r="L580" t="s">
        <v>17</v>
      </c>
      <c r="M580" t="s">
        <v>18</v>
      </c>
      <c r="N580" s="4" t="s">
        <v>2275</v>
      </c>
      <c r="O580" s="4" t="s">
        <v>2276</v>
      </c>
      <c r="P580" s="4" t="s">
        <v>233</v>
      </c>
    </row>
    <row r="581" spans="1:16" x14ac:dyDescent="0.35">
      <c r="A581" t="s">
        <v>2277</v>
      </c>
      <c r="B581" t="s">
        <v>2278</v>
      </c>
      <c r="C581" t="s">
        <v>16</v>
      </c>
      <c r="D581" s="6">
        <v>144338232300.23672</v>
      </c>
      <c r="E581" s="6" t="e">
        <v>#N/A</v>
      </c>
      <c r="F581" s="6">
        <v>25.469999313354492</v>
      </c>
      <c r="G581" s="6">
        <v>25.475000381469727</v>
      </c>
      <c r="H581" s="6">
        <v>11.070591567466495</v>
      </c>
      <c r="I581" s="6">
        <v>-2.1887424918901166E-2</v>
      </c>
      <c r="J581" s="6">
        <v>63627000000</v>
      </c>
      <c r="K581" s="6">
        <v>273.68421052631578</v>
      </c>
      <c r="L581" t="s">
        <v>17</v>
      </c>
      <c r="M581" t="s">
        <v>87</v>
      </c>
      <c r="N581" s="4" t="s">
        <v>2279</v>
      </c>
      <c r="O581" s="4" t="s">
        <v>2280</v>
      </c>
      <c r="P581" s="4" t="s">
        <v>233</v>
      </c>
    </row>
    <row r="582" spans="1:16" x14ac:dyDescent="0.35">
      <c r="A582" t="s">
        <v>2281</v>
      </c>
      <c r="B582" t="s">
        <v>2282</v>
      </c>
      <c r="C582" t="s">
        <v>16</v>
      </c>
      <c r="D582" s="6" t="e">
        <v>#N/A</v>
      </c>
      <c r="E582" s="6" t="e">
        <v>#N/A</v>
      </c>
      <c r="F582" s="6" t="e">
        <v>#N/A</v>
      </c>
      <c r="G582" s="6" t="e">
        <v>#N/A</v>
      </c>
      <c r="H582" s="6" t="e">
        <v>#N/A</v>
      </c>
      <c r="I582" s="6">
        <v>0</v>
      </c>
      <c r="J582" s="6" t="e">
        <v>#N/A</v>
      </c>
      <c r="K582" s="6" t="e">
        <v>#N/A</v>
      </c>
      <c r="L582" t="s">
        <v>17</v>
      </c>
      <c r="M582" t="s">
        <v>27</v>
      </c>
      <c r="N582" s="4" t="s">
        <v>2283</v>
      </c>
      <c r="O582" s="4" t="s">
        <v>2284</v>
      </c>
      <c r="P582" s="4" t="s">
        <v>233</v>
      </c>
    </row>
    <row r="583" spans="1:16" x14ac:dyDescent="0.35">
      <c r="A583" t="s">
        <v>2285</v>
      </c>
      <c r="B583" t="s">
        <v>2286</v>
      </c>
      <c r="C583" t="s">
        <v>16</v>
      </c>
      <c r="D583" s="6">
        <v>12904159.997750817</v>
      </c>
      <c r="E583" s="6">
        <v>3858400.9977508169</v>
      </c>
      <c r="F583" s="6">
        <v>0.88990002870559692</v>
      </c>
      <c r="G583" s="6">
        <v>0.89899998903274536</v>
      </c>
      <c r="H583" s="6" t="e">
        <v>#N/A</v>
      </c>
      <c r="I583" s="6">
        <v>0.80216062808923905</v>
      </c>
      <c r="J583" s="6">
        <v>0</v>
      </c>
      <c r="K583" s="6">
        <v>40.492908321494461</v>
      </c>
      <c r="L583" t="s">
        <v>17</v>
      </c>
      <c r="M583" t="s">
        <v>18</v>
      </c>
      <c r="N583" s="4" t="s">
        <v>2287</v>
      </c>
      <c r="O583" s="4" t="s">
        <v>2288</v>
      </c>
      <c r="P583" s="4" t="s">
        <v>233</v>
      </c>
    </row>
    <row r="584" spans="1:16" x14ac:dyDescent="0.35">
      <c r="A584" t="s">
        <v>2289</v>
      </c>
      <c r="B584" t="s">
        <v>2290</v>
      </c>
      <c r="C584" t="s">
        <v>16</v>
      </c>
      <c r="D584" s="6">
        <v>4152882.4050207138</v>
      </c>
      <c r="E584" s="6">
        <v>3616882.4050207138</v>
      </c>
      <c r="F584" s="6">
        <v>0.72000002861022949</v>
      </c>
      <c r="G584" s="6">
        <v>0.72109997272491455</v>
      </c>
      <c r="H584" s="6" t="e">
        <v>#N/A</v>
      </c>
      <c r="I584" s="6">
        <v>-0.92136293942727665</v>
      </c>
      <c r="J584" s="6">
        <v>0</v>
      </c>
      <c r="K584" s="6">
        <v>69.860885558509295</v>
      </c>
      <c r="L584" t="s">
        <v>17</v>
      </c>
      <c r="M584" t="s">
        <v>18</v>
      </c>
      <c r="N584" s="4" t="s">
        <v>2291</v>
      </c>
      <c r="O584" s="4" t="s">
        <v>2292</v>
      </c>
      <c r="P584" s="4" t="s">
        <v>233</v>
      </c>
    </row>
    <row r="585" spans="1:16" x14ac:dyDescent="0.35">
      <c r="A585" t="s">
        <v>2293</v>
      </c>
      <c r="B585" t="s">
        <v>2294</v>
      </c>
      <c r="C585" t="s">
        <v>16</v>
      </c>
      <c r="D585" s="6" t="e">
        <v>#N/A</v>
      </c>
      <c r="E585" s="6" t="e">
        <v>#N/A</v>
      </c>
      <c r="F585" s="6">
        <v>9.9999999747524271E-7</v>
      </c>
      <c r="G585" s="6">
        <v>9.9999999747524271E-7</v>
      </c>
      <c r="H585" s="6" t="e">
        <v>#N/A</v>
      </c>
      <c r="I585" s="6">
        <v>0</v>
      </c>
      <c r="J585" s="6">
        <v>3561546.0872650146</v>
      </c>
      <c r="K585" s="6" t="e">
        <v>#N/A</v>
      </c>
      <c r="L585" t="s">
        <v>17</v>
      </c>
      <c r="M585" t="s">
        <v>40</v>
      </c>
      <c r="N585" s="4" t="s">
        <v>2295</v>
      </c>
      <c r="O585" s="4" t="s">
        <v>2296</v>
      </c>
      <c r="P585" s="4" t="s">
        <v>233</v>
      </c>
    </row>
    <row r="586" spans="1:16" x14ac:dyDescent="0.35">
      <c r="A586" t="s">
        <v>2297</v>
      </c>
      <c r="B586" t="s">
        <v>2298</v>
      </c>
      <c r="C586" t="s">
        <v>16</v>
      </c>
      <c r="D586" s="6">
        <v>12000290662.17041</v>
      </c>
      <c r="E586" s="6">
        <v>26530290662.17041</v>
      </c>
      <c r="F586" s="6">
        <v>126.19000244140625</v>
      </c>
      <c r="G586" s="6">
        <v>134.07000732421875</v>
      </c>
      <c r="H586" s="6">
        <v>10.652078053453378</v>
      </c>
      <c r="I586" s="6">
        <v>0.3924849563430417</v>
      </c>
      <c r="J586" s="6">
        <v>20665000000</v>
      </c>
      <c r="K586" s="6">
        <v>449.41763727121474</v>
      </c>
      <c r="L586" t="s">
        <v>17</v>
      </c>
      <c r="M586" t="s">
        <v>40</v>
      </c>
      <c r="N586" s="4" t="s">
        <v>2299</v>
      </c>
      <c r="O586" s="4" t="s">
        <v>2300</v>
      </c>
      <c r="P586" s="4" t="s">
        <v>233</v>
      </c>
    </row>
    <row r="587" spans="1:16" x14ac:dyDescent="0.35">
      <c r="A587" t="s">
        <v>2301</v>
      </c>
      <c r="B587" t="s">
        <v>2302</v>
      </c>
      <c r="C587" t="s">
        <v>16</v>
      </c>
      <c r="D587" s="6">
        <v>22310063.483999997</v>
      </c>
      <c r="E587" s="6" t="e">
        <v>#N/A</v>
      </c>
      <c r="F587" s="6">
        <v>0.1095</v>
      </c>
      <c r="G587" s="6">
        <v>0.1</v>
      </c>
      <c r="H587" s="6" t="e">
        <v>#N/A</v>
      </c>
      <c r="I587" s="6">
        <v>-8.7271678915258222E-2</v>
      </c>
      <c r="J587" s="6" t="e">
        <v>#N/A</v>
      </c>
      <c r="K587" s="6" t="e">
        <v>#N/A</v>
      </c>
      <c r="L587" t="s">
        <v>17</v>
      </c>
      <c r="M587" t="s">
        <v>32</v>
      </c>
      <c r="N587" s="4" t="s">
        <v>2303</v>
      </c>
      <c r="O587" s="4" t="s">
        <v>2304</v>
      </c>
      <c r="P587" s="4" t="s">
        <v>233</v>
      </c>
    </row>
    <row r="588" spans="1:16" x14ac:dyDescent="0.35">
      <c r="A588" t="s">
        <v>2305</v>
      </c>
      <c r="B588" t="s">
        <v>2306</v>
      </c>
      <c r="C588" t="s">
        <v>16</v>
      </c>
      <c r="D588" s="6">
        <v>4562925.9279866219</v>
      </c>
      <c r="E588" s="6">
        <v>2998215.9279866219</v>
      </c>
      <c r="F588" s="6">
        <v>1.7000000476837158</v>
      </c>
      <c r="G588" s="6">
        <v>1.6299999952316284</v>
      </c>
      <c r="H588" s="6" t="e">
        <v>#N/A</v>
      </c>
      <c r="I588" s="6">
        <v>-0.34539434818144543</v>
      </c>
      <c r="J588" s="6">
        <v>0</v>
      </c>
      <c r="K588" s="6">
        <v>43.113515895653023</v>
      </c>
      <c r="L588" t="s">
        <v>17</v>
      </c>
      <c r="M588" t="s">
        <v>18</v>
      </c>
      <c r="N588" s="4" t="s">
        <v>2307</v>
      </c>
      <c r="O588" s="4" t="s">
        <v>2308</v>
      </c>
      <c r="P588" s="4" t="s">
        <v>233</v>
      </c>
    </row>
    <row r="589" spans="1:16" x14ac:dyDescent="0.35">
      <c r="A589" t="s">
        <v>12990</v>
      </c>
      <c r="B589" t="s">
        <v>12978</v>
      </c>
      <c r="C589" t="s">
        <v>16</v>
      </c>
      <c r="D589" s="6">
        <v>35988040.5284096</v>
      </c>
      <c r="E589" s="6">
        <v>-646959.47159039974</v>
      </c>
      <c r="F589" s="6">
        <v>1.1399999856948853</v>
      </c>
      <c r="G589" s="6">
        <v>1.1100000143051147</v>
      </c>
      <c r="H589" s="6" t="e">
        <v>#N/A</v>
      </c>
      <c r="I589" s="6">
        <v>-0.57043527542943862</v>
      </c>
      <c r="J589" s="6">
        <v>8381000</v>
      </c>
      <c r="K589" s="6" t="e">
        <v>#N/A</v>
      </c>
      <c r="L589" t="s">
        <v>17</v>
      </c>
      <c r="M589" t="s">
        <v>87</v>
      </c>
      <c r="N589" s="4" t="s">
        <v>12991</v>
      </c>
      <c r="O589" s="4" t="s">
        <v>12992</v>
      </c>
      <c r="P589" s="4" t="s">
        <v>233</v>
      </c>
    </row>
    <row r="590" spans="1:16" x14ac:dyDescent="0.35">
      <c r="A590" t="s">
        <v>2309</v>
      </c>
      <c r="B590" t="s">
        <v>2310</v>
      </c>
      <c r="C590" t="s">
        <v>16</v>
      </c>
      <c r="D590" s="6" t="e">
        <v>#N/A</v>
      </c>
      <c r="E590" s="6" t="e">
        <v>#N/A</v>
      </c>
      <c r="F590" s="6" t="e">
        <v>#N/A</v>
      </c>
      <c r="G590" s="6" t="e">
        <v>#N/A</v>
      </c>
      <c r="H590" s="6" t="e">
        <v>#N/A</v>
      </c>
      <c r="I590" s="6">
        <v>0</v>
      </c>
      <c r="J590" s="6" t="e">
        <v>#N/A</v>
      </c>
      <c r="K590" s="6" t="e">
        <v>#N/A</v>
      </c>
      <c r="L590" t="s">
        <v>17</v>
      </c>
      <c r="M590" t="s">
        <v>40</v>
      </c>
      <c r="N590" s="4" t="s">
        <v>2311</v>
      </c>
      <c r="O590" s="4" t="s">
        <v>2312</v>
      </c>
      <c r="P590" s="4" t="s">
        <v>233</v>
      </c>
    </row>
    <row r="591" spans="1:16" x14ac:dyDescent="0.35">
      <c r="A591" t="s">
        <v>2313</v>
      </c>
      <c r="B591" t="s">
        <v>2314</v>
      </c>
      <c r="C591" t="s">
        <v>16</v>
      </c>
      <c r="D591" s="6">
        <v>475634105.90778071</v>
      </c>
      <c r="E591" s="6">
        <v>2911241779.9597235</v>
      </c>
      <c r="F591" s="6">
        <v>0.54</v>
      </c>
      <c r="G591" s="6">
        <v>0.53900000000000003</v>
      </c>
      <c r="H591" s="6">
        <v>19.615838991715606</v>
      </c>
      <c r="I591" s="6">
        <v>-0.11895549356095658</v>
      </c>
      <c r="J591" s="6">
        <v>2193676088.1199999</v>
      </c>
      <c r="K591" s="6">
        <v>-15.433288002417656</v>
      </c>
      <c r="L591" t="s">
        <v>17</v>
      </c>
      <c r="M591" t="s">
        <v>87</v>
      </c>
      <c r="N591" s="4" t="s">
        <v>233</v>
      </c>
      <c r="O591" s="4" t="s">
        <v>2315</v>
      </c>
      <c r="P591" s="4" t="s">
        <v>13108</v>
      </c>
    </row>
    <row r="592" spans="1:16" x14ac:dyDescent="0.35">
      <c r="A592" t="s">
        <v>2316</v>
      </c>
      <c r="B592" t="s">
        <v>2317</v>
      </c>
      <c r="C592" t="s">
        <v>16</v>
      </c>
      <c r="D592" s="6">
        <v>7354724.2806573668</v>
      </c>
      <c r="E592" s="6">
        <v>8387214.2806573668</v>
      </c>
      <c r="F592" s="6">
        <v>6.99999975040555E-4</v>
      </c>
      <c r="G592" s="6">
        <v>8.9999998454004526E-4</v>
      </c>
      <c r="H592" s="6" t="e">
        <v>#N/A</v>
      </c>
      <c r="I592" s="6">
        <v>-3.5558927580225941E-8</v>
      </c>
      <c r="J592" s="6" t="e">
        <v>#N/A</v>
      </c>
      <c r="K592" s="6" t="e">
        <v>#N/A</v>
      </c>
      <c r="L592" t="s">
        <v>17</v>
      </c>
      <c r="M592" t="s">
        <v>100</v>
      </c>
      <c r="N592" s="4" t="s">
        <v>2318</v>
      </c>
      <c r="O592" s="4" t="s">
        <v>2319</v>
      </c>
      <c r="P592" s="4" t="s">
        <v>233</v>
      </c>
    </row>
    <row r="593" spans="1:16" x14ac:dyDescent="0.35">
      <c r="A593" t="s">
        <v>2320</v>
      </c>
      <c r="B593" t="s">
        <v>2321</v>
      </c>
      <c r="C593" t="s">
        <v>16</v>
      </c>
      <c r="D593" s="6">
        <v>31310561373.303493</v>
      </c>
      <c r="E593" s="6">
        <v>22372561373.303493</v>
      </c>
      <c r="F593" s="6">
        <v>260.02999877929688</v>
      </c>
      <c r="G593" s="6">
        <v>259.39999389648438</v>
      </c>
      <c r="H593" s="6">
        <v>14.951276466271967</v>
      </c>
      <c r="I593" s="6">
        <v>-0.28700800819814076</v>
      </c>
      <c r="J593" s="6">
        <v>117761000000</v>
      </c>
      <c r="K593" s="6">
        <v>-50.174216027874564</v>
      </c>
      <c r="L593" t="s">
        <v>17</v>
      </c>
      <c r="M593" t="s">
        <v>40</v>
      </c>
      <c r="N593" s="4" t="s">
        <v>2322</v>
      </c>
      <c r="O593" s="4" t="s">
        <v>2323</v>
      </c>
      <c r="P593" s="4" t="s">
        <v>233</v>
      </c>
    </row>
    <row r="594" spans="1:16" x14ac:dyDescent="0.35">
      <c r="A594" t="s">
        <v>2324</v>
      </c>
      <c r="B594" t="s">
        <v>2325</v>
      </c>
      <c r="C594" t="s">
        <v>16</v>
      </c>
      <c r="D594" s="6">
        <v>2015927340.694416</v>
      </c>
      <c r="E594" s="6">
        <v>2140922340.694416</v>
      </c>
      <c r="F594" s="6">
        <v>23.200000762939453</v>
      </c>
      <c r="G594" s="6">
        <v>23.530000686645508</v>
      </c>
      <c r="H594" s="6" t="e">
        <v>#N/A</v>
      </c>
      <c r="I594" s="6">
        <v>1.6116324279419838</v>
      </c>
      <c r="J594" s="6">
        <v>203447000</v>
      </c>
      <c r="K594" s="6">
        <v>1.2195869565217383</v>
      </c>
      <c r="L594" t="s">
        <v>17</v>
      </c>
      <c r="M594" t="s">
        <v>18</v>
      </c>
      <c r="N594" s="4" t="s">
        <v>2326</v>
      </c>
      <c r="O594" s="4" t="s">
        <v>2327</v>
      </c>
      <c r="P594" s="4" t="s">
        <v>233</v>
      </c>
    </row>
    <row r="595" spans="1:16" x14ac:dyDescent="0.35">
      <c r="A595" t="s">
        <v>2328</v>
      </c>
      <c r="B595" t="s">
        <v>2329</v>
      </c>
      <c r="C595" t="s">
        <v>16</v>
      </c>
      <c r="D595" s="6">
        <v>32653.632000000001</v>
      </c>
      <c r="E595" s="6">
        <v>-781346.3784904175</v>
      </c>
      <c r="F595" s="6">
        <v>0.35199999999999998</v>
      </c>
      <c r="G595" s="6">
        <v>0.35199999999999998</v>
      </c>
      <c r="H595" s="6" t="e">
        <v>#N/A</v>
      </c>
      <c r="I595" s="6">
        <v>-0.30910435801264846</v>
      </c>
      <c r="J595" s="6">
        <v>22492999.956011772</v>
      </c>
      <c r="K595" s="6" t="e">
        <v>#N/A</v>
      </c>
      <c r="L595" t="s">
        <v>17</v>
      </c>
      <c r="M595" t="s">
        <v>40</v>
      </c>
      <c r="N595" s="4" t="s">
        <v>2330</v>
      </c>
      <c r="O595" s="4" t="s">
        <v>2331</v>
      </c>
      <c r="P595" s="4" t="s">
        <v>233</v>
      </c>
    </row>
    <row r="596" spans="1:16" x14ac:dyDescent="0.35">
      <c r="A596" t="s">
        <v>2332</v>
      </c>
      <c r="B596" t="s">
        <v>2333</v>
      </c>
      <c r="C596" t="s">
        <v>16</v>
      </c>
      <c r="D596" s="6">
        <v>4606661178.6454458</v>
      </c>
      <c r="E596" s="6">
        <v>5742420178.6454458</v>
      </c>
      <c r="F596" s="6">
        <v>137.33999633789063</v>
      </c>
      <c r="G596" s="6">
        <v>136.27000427246094</v>
      </c>
      <c r="H596" s="6">
        <v>34.268945691651993</v>
      </c>
      <c r="I596" s="6">
        <v>0.29791860659234204</v>
      </c>
      <c r="J596" s="6">
        <v>1695575000</v>
      </c>
      <c r="K596" s="6">
        <v>38.056680161943319</v>
      </c>
      <c r="L596" t="s">
        <v>17</v>
      </c>
      <c r="M596" t="s">
        <v>27</v>
      </c>
      <c r="N596" s="4" t="s">
        <v>2334</v>
      </c>
      <c r="O596" s="4" t="s">
        <v>2335</v>
      </c>
      <c r="P596" s="4" t="s">
        <v>233</v>
      </c>
    </row>
    <row r="597" spans="1:16" x14ac:dyDescent="0.35">
      <c r="A597" t="s">
        <v>2336</v>
      </c>
      <c r="B597" t="s">
        <v>2337</v>
      </c>
      <c r="C597" t="s">
        <v>16</v>
      </c>
      <c r="D597" s="6" t="e">
        <v>#N/A</v>
      </c>
      <c r="E597" s="6" t="e">
        <v>#N/A</v>
      </c>
      <c r="F597" s="6" t="e">
        <v>#N/A</v>
      </c>
      <c r="G597" s="6" t="e">
        <v>#N/A</v>
      </c>
      <c r="H597" s="6" t="e">
        <v>#N/A</v>
      </c>
      <c r="I597" s="6">
        <v>0.11300680795473772</v>
      </c>
      <c r="J597" s="6">
        <v>1051000</v>
      </c>
      <c r="K597" s="6">
        <v>23.504465465306769</v>
      </c>
      <c r="L597" t="s">
        <v>17</v>
      </c>
      <c r="M597" t="s">
        <v>87</v>
      </c>
      <c r="N597" s="4" t="s">
        <v>2338</v>
      </c>
      <c r="O597" s="4" t="s">
        <v>2339</v>
      </c>
      <c r="P597" s="4" t="s">
        <v>233</v>
      </c>
    </row>
    <row r="598" spans="1:16" x14ac:dyDescent="0.35">
      <c r="A598" t="s">
        <v>2340</v>
      </c>
      <c r="B598" t="s">
        <v>2341</v>
      </c>
      <c r="C598" t="s">
        <v>16</v>
      </c>
      <c r="D598" s="6">
        <v>3426.2264</v>
      </c>
      <c r="E598" s="6">
        <v>11671286.226399999</v>
      </c>
      <c r="F598" s="6">
        <v>1E-4</v>
      </c>
      <c r="G598" s="6">
        <v>1E-4</v>
      </c>
      <c r="H598" s="6" t="e">
        <v>#N/A</v>
      </c>
      <c r="I598" s="6">
        <v>-0.49905218039388199</v>
      </c>
      <c r="J598" s="6">
        <v>0</v>
      </c>
      <c r="K598" s="6">
        <v>33.333333333333329</v>
      </c>
      <c r="L598" t="s">
        <v>17</v>
      </c>
      <c r="M598" t="s">
        <v>18</v>
      </c>
      <c r="N598" s="4" t="s">
        <v>2342</v>
      </c>
      <c r="O598" s="4" t="s">
        <v>2343</v>
      </c>
      <c r="P598" s="4" t="s">
        <v>233</v>
      </c>
    </row>
    <row r="599" spans="1:16" x14ac:dyDescent="0.35">
      <c r="A599" t="s">
        <v>2344</v>
      </c>
      <c r="B599" t="s">
        <v>2345</v>
      </c>
      <c r="C599" t="s">
        <v>16</v>
      </c>
      <c r="D599" s="6">
        <v>34003522.231275201</v>
      </c>
      <c r="E599" s="6">
        <v>-42945477.768724799</v>
      </c>
      <c r="F599" s="6">
        <v>1.0900000333786011</v>
      </c>
      <c r="G599" s="6">
        <v>1.1000000238418579</v>
      </c>
      <c r="H599" s="6" t="e">
        <v>#N/A</v>
      </c>
      <c r="I599" s="6">
        <v>-0.80689204522163072</v>
      </c>
      <c r="J599" s="6">
        <v>81000</v>
      </c>
      <c r="K599" s="6">
        <v>26.986102511646433</v>
      </c>
      <c r="L599" t="s">
        <v>17</v>
      </c>
      <c r="M599" t="s">
        <v>18</v>
      </c>
      <c r="N599" s="4" t="s">
        <v>2346</v>
      </c>
      <c r="O599" s="4" t="s">
        <v>2347</v>
      </c>
      <c r="P599" s="4" t="s">
        <v>233</v>
      </c>
    </row>
    <row r="600" spans="1:16" x14ac:dyDescent="0.35">
      <c r="A600" t="s">
        <v>2348</v>
      </c>
      <c r="B600" t="s">
        <v>2349</v>
      </c>
      <c r="C600" t="s">
        <v>16</v>
      </c>
      <c r="D600" s="6">
        <v>627217466.50719881</v>
      </c>
      <c r="E600" s="6">
        <v>497905466.50719881</v>
      </c>
      <c r="F600" s="6">
        <v>3.309999942779541</v>
      </c>
      <c r="G600" s="6">
        <v>3.2699999809265137</v>
      </c>
      <c r="H600" s="6" t="e">
        <v>#N/A</v>
      </c>
      <c r="I600" s="6">
        <v>0.15286070849748068</v>
      </c>
      <c r="J600" s="6">
        <v>6742000</v>
      </c>
      <c r="K600" s="6">
        <v>7.9047044684423406</v>
      </c>
      <c r="L600" t="s">
        <v>17</v>
      </c>
      <c r="M600" t="s">
        <v>18</v>
      </c>
      <c r="N600" s="4" t="s">
        <v>2350</v>
      </c>
      <c r="O600" s="4" t="s">
        <v>2351</v>
      </c>
      <c r="P600" s="4" t="s">
        <v>233</v>
      </c>
    </row>
    <row r="601" spans="1:16" x14ac:dyDescent="0.35">
      <c r="A601" t="s">
        <v>2352</v>
      </c>
      <c r="B601" t="s">
        <v>2353</v>
      </c>
      <c r="C601" t="s">
        <v>16</v>
      </c>
      <c r="D601" s="6">
        <v>73019978.121643066</v>
      </c>
      <c r="E601" s="6">
        <v>76726022.121643066</v>
      </c>
      <c r="F601" s="6">
        <v>5.1999998092651367</v>
      </c>
      <c r="G601" s="6">
        <v>4.6399998664855957</v>
      </c>
      <c r="H601" s="6" t="e">
        <v>#N/A</v>
      </c>
      <c r="I601" s="6">
        <v>1.5301423728347645</v>
      </c>
      <c r="J601" s="6">
        <v>36785442</v>
      </c>
      <c r="K601" s="6">
        <v>-352.94117647058823</v>
      </c>
      <c r="L601" t="s">
        <v>17</v>
      </c>
      <c r="M601" t="s">
        <v>87</v>
      </c>
      <c r="N601" s="4" t="s">
        <v>2354</v>
      </c>
      <c r="O601" s="4" t="s">
        <v>2355</v>
      </c>
      <c r="P601" s="4" t="s">
        <v>233</v>
      </c>
    </row>
    <row r="602" spans="1:16" x14ac:dyDescent="0.35">
      <c r="A602" t="s">
        <v>2356</v>
      </c>
      <c r="B602" t="s">
        <v>2357</v>
      </c>
      <c r="C602" t="s">
        <v>16</v>
      </c>
      <c r="D602" s="6">
        <v>25634973.054980278</v>
      </c>
      <c r="E602" s="6">
        <v>-72675944.945019722</v>
      </c>
      <c r="F602" s="6">
        <v>7.5199999809265137</v>
      </c>
      <c r="G602" s="6">
        <v>7.4800000190734863</v>
      </c>
      <c r="H602" s="6" t="e">
        <v>#N/A</v>
      </c>
      <c r="I602" s="6">
        <v>0.55505365705771692</v>
      </c>
      <c r="J602" s="6">
        <v>0</v>
      </c>
      <c r="K602" s="6">
        <v>87.051006218350693</v>
      </c>
      <c r="L602" t="s">
        <v>17</v>
      </c>
      <c r="M602" t="s">
        <v>18</v>
      </c>
      <c r="N602" s="4" t="s">
        <v>2358</v>
      </c>
      <c r="O602" s="4" t="s">
        <v>2359</v>
      </c>
      <c r="P602" s="4" t="s">
        <v>233</v>
      </c>
    </row>
    <row r="603" spans="1:16" x14ac:dyDescent="0.35">
      <c r="A603" t="s">
        <v>2360</v>
      </c>
      <c r="B603" t="s">
        <v>2361</v>
      </c>
      <c r="C603" t="s">
        <v>16</v>
      </c>
      <c r="D603" s="6">
        <v>151873400.47702789</v>
      </c>
      <c r="E603" s="6">
        <v>155894400.47702789</v>
      </c>
      <c r="F603" s="6">
        <v>10.989999771118164</v>
      </c>
      <c r="G603" s="6">
        <v>10.630000114440918</v>
      </c>
      <c r="H603" s="6" t="e">
        <v>#N/A</v>
      </c>
      <c r="I603" s="6">
        <v>0.82560588784058342</v>
      </c>
      <c r="J603" s="6">
        <v>53570000</v>
      </c>
      <c r="K603" s="6">
        <v>92.957746478873219</v>
      </c>
      <c r="L603" t="s">
        <v>17</v>
      </c>
      <c r="M603" t="s">
        <v>100</v>
      </c>
      <c r="N603" s="4" t="s">
        <v>2362</v>
      </c>
      <c r="O603" s="4" t="s">
        <v>2363</v>
      </c>
      <c r="P603" s="4" t="s">
        <v>233</v>
      </c>
    </row>
    <row r="604" spans="1:16" x14ac:dyDescent="0.35">
      <c r="A604" t="s">
        <v>2364</v>
      </c>
      <c r="B604" t="s">
        <v>2365</v>
      </c>
      <c r="C604" t="s">
        <v>16</v>
      </c>
      <c r="D604" s="6">
        <v>113945873187.93442</v>
      </c>
      <c r="E604" s="6">
        <v>152473873187.93442</v>
      </c>
      <c r="F604" s="6">
        <v>56.150001525878906</v>
      </c>
      <c r="G604" s="6">
        <v>55.669998168945313</v>
      </c>
      <c r="H604" s="6">
        <v>10.256852687282343</v>
      </c>
      <c r="I604" s="6">
        <v>0.18427638627617848</v>
      </c>
      <c r="J604" s="6">
        <v>48300000000</v>
      </c>
      <c r="K604" s="6" t="e">
        <v>#N/A</v>
      </c>
      <c r="L604" t="s">
        <v>17</v>
      </c>
      <c r="M604" t="s">
        <v>87</v>
      </c>
      <c r="N604" s="4" t="s">
        <v>2366</v>
      </c>
      <c r="O604" s="4" t="s">
        <v>2367</v>
      </c>
      <c r="P604" s="4" t="s">
        <v>233</v>
      </c>
    </row>
    <row r="605" spans="1:16" x14ac:dyDescent="0.35">
      <c r="A605" t="s">
        <v>2368</v>
      </c>
      <c r="B605" t="s">
        <v>2369</v>
      </c>
      <c r="C605" t="s">
        <v>16</v>
      </c>
      <c r="D605" s="6">
        <v>62465.114466933592</v>
      </c>
      <c r="E605" s="6">
        <v>-69321.887619705813</v>
      </c>
      <c r="F605" s="6">
        <v>5.0000002374872565E-4</v>
      </c>
      <c r="G605" s="6">
        <v>3.9999998989515007E-4</v>
      </c>
      <c r="H605" s="6" t="e">
        <v>#N/A</v>
      </c>
      <c r="I605" s="6">
        <v>-9.0672280348125911E-2</v>
      </c>
      <c r="J605" s="6">
        <v>46804.000623524189</v>
      </c>
      <c r="K605" s="6">
        <v>6.666664804021476</v>
      </c>
      <c r="L605" t="s">
        <v>17</v>
      </c>
      <c r="M605" t="s">
        <v>87</v>
      </c>
      <c r="N605" s="4" t="s">
        <v>2370</v>
      </c>
      <c r="O605" s="4" t="s">
        <v>2371</v>
      </c>
      <c r="P605" s="4" t="s">
        <v>233</v>
      </c>
    </row>
    <row r="606" spans="1:16" x14ac:dyDescent="0.35">
      <c r="A606" t="s">
        <v>2372</v>
      </c>
      <c r="B606" t="s">
        <v>2373</v>
      </c>
      <c r="C606" t="s">
        <v>16</v>
      </c>
      <c r="D606" s="6">
        <v>7830049327.3205566</v>
      </c>
      <c r="E606" s="6">
        <v>10135849327.320557</v>
      </c>
      <c r="F606" s="6">
        <v>51.650001525878906</v>
      </c>
      <c r="G606" s="6">
        <v>50.110000610351563</v>
      </c>
      <c r="H606" s="6">
        <v>28.529686353463692</v>
      </c>
      <c r="I606" s="6">
        <v>-0.26562946280127842</v>
      </c>
      <c r="J606" s="6">
        <v>3241300000</v>
      </c>
      <c r="K606" s="6">
        <v>-4.1474654377880116</v>
      </c>
      <c r="L606" t="s">
        <v>17</v>
      </c>
      <c r="M606" t="s">
        <v>100</v>
      </c>
      <c r="N606" s="4" t="s">
        <v>2374</v>
      </c>
      <c r="O606" s="4" t="s">
        <v>2375</v>
      </c>
      <c r="P606" s="4" t="s">
        <v>233</v>
      </c>
    </row>
    <row r="607" spans="1:16" x14ac:dyDescent="0.35">
      <c r="A607" t="s">
        <v>2376</v>
      </c>
      <c r="B607" t="s">
        <v>2377</v>
      </c>
      <c r="C607" t="s">
        <v>16</v>
      </c>
      <c r="D607" s="6">
        <v>1686557811.580116</v>
      </c>
      <c r="E607" s="6">
        <v>1325172811.580116</v>
      </c>
      <c r="F607" s="6">
        <v>2.7899999618530273</v>
      </c>
      <c r="G607" s="6">
        <v>2.7300000190734863</v>
      </c>
      <c r="H607" s="6" t="e">
        <v>#N/A</v>
      </c>
      <c r="I607" s="6">
        <v>0.17669052413544617</v>
      </c>
      <c r="J607" s="6">
        <v>29480000</v>
      </c>
      <c r="K607" s="6">
        <v>5.8823529411764603</v>
      </c>
      <c r="L607" t="s">
        <v>17</v>
      </c>
      <c r="M607" t="s">
        <v>18</v>
      </c>
      <c r="N607" s="4" t="s">
        <v>2378</v>
      </c>
      <c r="O607" s="4" t="s">
        <v>2379</v>
      </c>
      <c r="P607" s="4" t="s">
        <v>233</v>
      </c>
    </row>
    <row r="608" spans="1:16" x14ac:dyDescent="0.35">
      <c r="A608" t="s">
        <v>2380</v>
      </c>
      <c r="B608" t="s">
        <v>2381</v>
      </c>
      <c r="C608" t="s">
        <v>16</v>
      </c>
      <c r="D608" s="6">
        <v>5451004.2343665361</v>
      </c>
      <c r="E608" s="6">
        <v>7189853.2343665361</v>
      </c>
      <c r="F608" s="6">
        <v>0.42010000348091125</v>
      </c>
      <c r="G608" s="6">
        <v>0.42100000381469727</v>
      </c>
      <c r="H608" s="6" t="e">
        <v>#N/A</v>
      </c>
      <c r="I608" s="6">
        <v>-0.6854973865684808</v>
      </c>
      <c r="J608" s="6">
        <v>509788</v>
      </c>
      <c r="K608" s="6">
        <v>65.628037660689628</v>
      </c>
      <c r="L608" t="s">
        <v>17</v>
      </c>
      <c r="M608" t="s">
        <v>18</v>
      </c>
      <c r="N608" s="4" t="s">
        <v>2382</v>
      </c>
      <c r="O608" s="4" t="s">
        <v>2383</v>
      </c>
      <c r="P608" s="4" t="s">
        <v>233</v>
      </c>
    </row>
    <row r="609" spans="1:16" x14ac:dyDescent="0.35">
      <c r="A609" t="s">
        <v>2384</v>
      </c>
      <c r="B609" t="s">
        <v>2385</v>
      </c>
      <c r="C609" t="s">
        <v>16</v>
      </c>
      <c r="D609" s="6">
        <v>596.25620000000004</v>
      </c>
      <c r="E609" s="6">
        <v>-598055.74380000005</v>
      </c>
      <c r="F609" s="6" t="e">
        <v>#N/A</v>
      </c>
      <c r="G609" s="6" t="e">
        <v>#N/A</v>
      </c>
      <c r="H609" s="6" t="e">
        <v>#N/A</v>
      </c>
      <c r="I609" s="6">
        <v>2.2204460492503131E-16</v>
      </c>
      <c r="J609" s="6">
        <v>0</v>
      </c>
      <c r="K609" s="6">
        <v>34.365052382070971</v>
      </c>
      <c r="L609" t="s">
        <v>17</v>
      </c>
      <c r="M609" t="s">
        <v>18</v>
      </c>
      <c r="N609" s="4" t="s">
        <v>2386</v>
      </c>
      <c r="O609" s="4" t="s">
        <v>2387</v>
      </c>
      <c r="P609" s="4" t="s">
        <v>233</v>
      </c>
    </row>
    <row r="610" spans="1:16" x14ac:dyDescent="0.35">
      <c r="A610" t="s">
        <v>2388</v>
      </c>
      <c r="B610" t="s">
        <v>2389</v>
      </c>
      <c r="C610" t="s">
        <v>16</v>
      </c>
      <c r="D610" s="6">
        <v>11155662.479655026</v>
      </c>
      <c r="E610" s="6">
        <v>-4982928.5203449763</v>
      </c>
      <c r="F610" s="6">
        <v>2.3900001049041748</v>
      </c>
      <c r="G610" s="6">
        <v>2.2599999904632568</v>
      </c>
      <c r="H610" s="6" t="e">
        <v>#N/A</v>
      </c>
      <c r="I610" s="6">
        <v>0.64602694365359481</v>
      </c>
      <c r="J610" s="6">
        <v>121100</v>
      </c>
      <c r="K610" s="6">
        <v>62.072188668392293</v>
      </c>
      <c r="L610" t="s">
        <v>17</v>
      </c>
      <c r="M610" t="s">
        <v>18</v>
      </c>
      <c r="N610" s="4" t="s">
        <v>2390</v>
      </c>
      <c r="O610" s="4" t="s">
        <v>2391</v>
      </c>
      <c r="P610" s="4" t="s">
        <v>233</v>
      </c>
    </row>
    <row r="611" spans="1:16" x14ac:dyDescent="0.35">
      <c r="A611" t="s">
        <v>2392</v>
      </c>
      <c r="B611" t="s">
        <v>2393</v>
      </c>
      <c r="C611" t="s">
        <v>16</v>
      </c>
      <c r="D611" s="6">
        <v>1922044189.9297028</v>
      </c>
      <c r="E611" s="6">
        <v>2133628189.9297028</v>
      </c>
      <c r="F611" s="6">
        <v>250.44999694824219</v>
      </c>
      <c r="G611" s="6">
        <v>254.66000366210938</v>
      </c>
      <c r="H611" s="6">
        <v>34.52976266330181</v>
      </c>
      <c r="I611" s="6">
        <v>0.41538486159444155</v>
      </c>
      <c r="J611" s="6">
        <v>461849000</v>
      </c>
      <c r="K611" s="6">
        <v>28.961748633879779</v>
      </c>
      <c r="L611" t="s">
        <v>17</v>
      </c>
      <c r="M611" t="s">
        <v>27</v>
      </c>
      <c r="N611" s="4" t="s">
        <v>2394</v>
      </c>
      <c r="O611" s="4" t="s">
        <v>2395</v>
      </c>
      <c r="P611" s="4" t="s">
        <v>233</v>
      </c>
    </row>
    <row r="612" spans="1:16" x14ac:dyDescent="0.35">
      <c r="A612" t="s">
        <v>2396</v>
      </c>
      <c r="B612" t="s">
        <v>2397</v>
      </c>
      <c r="C612" t="s">
        <v>16</v>
      </c>
      <c r="D612" s="6">
        <v>113142921.02812767</v>
      </c>
      <c r="E612" s="6">
        <v>80076921.02812767</v>
      </c>
      <c r="F612" s="6">
        <v>3.2899999618530273</v>
      </c>
      <c r="G612" s="6">
        <v>3.309999942779541</v>
      </c>
      <c r="H612" s="6" t="e">
        <v>#N/A</v>
      </c>
      <c r="I612" s="6">
        <v>-0.29482867569310411</v>
      </c>
      <c r="J612" s="6">
        <v>0</v>
      </c>
      <c r="K612" s="6">
        <v>46.190476190476197</v>
      </c>
      <c r="L612" t="s">
        <v>17</v>
      </c>
      <c r="M612" t="s">
        <v>18</v>
      </c>
      <c r="N612" s="4" t="s">
        <v>2398</v>
      </c>
      <c r="O612" s="4" t="s">
        <v>2399</v>
      </c>
      <c r="P612" s="4" t="s">
        <v>233</v>
      </c>
    </row>
    <row r="613" spans="1:16" x14ac:dyDescent="0.35">
      <c r="A613" t="s">
        <v>2400</v>
      </c>
      <c r="B613" t="s">
        <v>2401</v>
      </c>
      <c r="C613" t="s">
        <v>16</v>
      </c>
      <c r="D613" s="6">
        <v>112097403.07946205</v>
      </c>
      <c r="E613" s="6">
        <v>-36880596.920537949</v>
      </c>
      <c r="F613" s="6">
        <v>2.3299999237060547</v>
      </c>
      <c r="G613" s="6">
        <v>2.2999999523162842</v>
      </c>
      <c r="H613" s="6" t="e">
        <v>#N/A</v>
      </c>
      <c r="I613" s="6">
        <v>-0.90585577094317249</v>
      </c>
      <c r="J613" s="6">
        <v>0</v>
      </c>
      <c r="K613" s="6">
        <v>83.842794759825324</v>
      </c>
      <c r="L613" t="s">
        <v>17</v>
      </c>
      <c r="M613" t="s">
        <v>87</v>
      </c>
      <c r="N613" s="4" t="s">
        <v>2402</v>
      </c>
      <c r="O613" s="4" t="s">
        <v>2403</v>
      </c>
      <c r="P613" s="4" t="s">
        <v>233</v>
      </c>
    </row>
    <row r="614" spans="1:16" x14ac:dyDescent="0.35">
      <c r="A614" t="s">
        <v>2404</v>
      </c>
      <c r="B614" t="s">
        <v>2405</v>
      </c>
      <c r="C614" t="s">
        <v>16</v>
      </c>
      <c r="D614" s="6">
        <v>97738712.499999985</v>
      </c>
      <c r="E614" s="6">
        <v>163852287.5</v>
      </c>
      <c r="F614" s="6">
        <v>6.5</v>
      </c>
      <c r="G614" s="6">
        <v>6.5</v>
      </c>
      <c r="H614" s="6">
        <v>2.1921452339777123</v>
      </c>
      <c r="I614" s="6">
        <v>3.3160070608250063</v>
      </c>
      <c r="J614" s="6">
        <v>8420105</v>
      </c>
      <c r="K614" s="6">
        <v>-90.13175230464428</v>
      </c>
      <c r="L614" t="s">
        <v>17</v>
      </c>
      <c r="M614" t="s">
        <v>40</v>
      </c>
      <c r="N614" s="4" t="s">
        <v>2406</v>
      </c>
      <c r="O614" s="4" t="s">
        <v>2407</v>
      </c>
      <c r="P614" s="4" t="s">
        <v>233</v>
      </c>
    </row>
    <row r="615" spans="1:16" x14ac:dyDescent="0.35">
      <c r="A615" t="s">
        <v>2408</v>
      </c>
      <c r="B615" t="s">
        <v>2409</v>
      </c>
      <c r="C615" t="s">
        <v>16</v>
      </c>
      <c r="D615" s="6">
        <v>12551797550.082642</v>
      </c>
      <c r="E615" s="6">
        <v>12224040550.082642</v>
      </c>
      <c r="F615" s="6">
        <v>65.860000610351563</v>
      </c>
      <c r="G615" s="6">
        <v>63.159999847412109</v>
      </c>
      <c r="H615" s="6">
        <v>31.48477062171262</v>
      </c>
      <c r="I615" s="6">
        <v>-0.2525228123412192</v>
      </c>
      <c r="J615" s="6">
        <v>2752809000</v>
      </c>
      <c r="K615" s="6">
        <v>117.94871794871796</v>
      </c>
      <c r="L615" t="s">
        <v>17</v>
      </c>
      <c r="M615" t="s">
        <v>18</v>
      </c>
      <c r="N615" s="4" t="s">
        <v>2410</v>
      </c>
      <c r="O615" s="4" t="s">
        <v>2411</v>
      </c>
      <c r="P615" s="4" t="s">
        <v>233</v>
      </c>
    </row>
    <row r="616" spans="1:16" x14ac:dyDescent="0.35">
      <c r="A616" t="s">
        <v>2412</v>
      </c>
      <c r="B616" t="s">
        <v>2413</v>
      </c>
      <c r="C616" t="s">
        <v>16</v>
      </c>
      <c r="D616" s="6" t="e">
        <v>#N/A</v>
      </c>
      <c r="E616" s="6" t="e">
        <v>#N/A</v>
      </c>
      <c r="F616" s="6" t="e">
        <v>#N/A</v>
      </c>
      <c r="G616" s="6" t="e">
        <v>#N/A</v>
      </c>
      <c r="H616" s="6" t="e">
        <v>#N/A</v>
      </c>
      <c r="I616" s="6">
        <v>-0.82675613054290809</v>
      </c>
      <c r="J616" s="6" t="e">
        <v>#N/A</v>
      </c>
      <c r="K616" s="6" t="e">
        <v>#N/A</v>
      </c>
      <c r="L616" t="s">
        <v>17</v>
      </c>
      <c r="M616" t="s">
        <v>87</v>
      </c>
      <c r="N616" s="4" t="s">
        <v>2414</v>
      </c>
      <c r="O616" s="4" t="s">
        <v>2415</v>
      </c>
      <c r="P616" s="4" t="s">
        <v>233</v>
      </c>
    </row>
    <row r="617" spans="1:16" x14ac:dyDescent="0.35">
      <c r="A617" t="s">
        <v>2416</v>
      </c>
      <c r="B617" t="s">
        <v>2417</v>
      </c>
      <c r="C617" t="s">
        <v>16</v>
      </c>
      <c r="D617" s="6">
        <v>229312066.02133656</v>
      </c>
      <c r="E617" s="6">
        <v>380218066.02133656</v>
      </c>
      <c r="F617" s="6">
        <v>2.2300000190734863</v>
      </c>
      <c r="G617" s="6">
        <v>2.2200000286102295</v>
      </c>
      <c r="H617" s="6" t="e">
        <v>#N/A</v>
      </c>
      <c r="I617" s="6">
        <v>-0.20590425715943683</v>
      </c>
      <c r="J617" s="6">
        <v>453140000</v>
      </c>
      <c r="K617" s="6">
        <v>73.333333333333329</v>
      </c>
      <c r="L617" t="s">
        <v>17</v>
      </c>
      <c r="M617" t="s">
        <v>27</v>
      </c>
      <c r="N617" s="4" t="s">
        <v>2418</v>
      </c>
      <c r="O617" s="4" t="s">
        <v>2419</v>
      </c>
      <c r="P617" s="4" t="s">
        <v>233</v>
      </c>
    </row>
    <row r="618" spans="1:16" x14ac:dyDescent="0.35">
      <c r="A618" t="s">
        <v>2420</v>
      </c>
      <c r="B618" t="s">
        <v>2421</v>
      </c>
      <c r="C618" t="s">
        <v>16</v>
      </c>
      <c r="D618" s="6">
        <v>1959.9999504862353</v>
      </c>
      <c r="E618" s="6" t="e">
        <v>#N/A</v>
      </c>
      <c r="F618" s="6">
        <v>3.9999998989515007E-4</v>
      </c>
      <c r="G618" s="6">
        <v>3.9999998989515007E-4</v>
      </c>
      <c r="H618" s="6" t="e">
        <v>#N/A</v>
      </c>
      <c r="I618" s="6">
        <v>-0.42769705761292387</v>
      </c>
      <c r="J618" s="6" t="e">
        <v>#N/A</v>
      </c>
      <c r="K618" s="6" t="e">
        <v>#N/A</v>
      </c>
      <c r="L618" t="s">
        <v>17</v>
      </c>
      <c r="M618" t="s">
        <v>87</v>
      </c>
      <c r="N618" s="4" t="s">
        <v>2422</v>
      </c>
      <c r="O618" s="4" t="s">
        <v>2423</v>
      </c>
      <c r="P618" s="4" t="s">
        <v>233</v>
      </c>
    </row>
    <row r="619" spans="1:16" x14ac:dyDescent="0.35">
      <c r="A619" t="s">
        <v>2424</v>
      </c>
      <c r="B619" t="s">
        <v>2425</v>
      </c>
      <c r="C619" t="s">
        <v>16</v>
      </c>
      <c r="D619" s="6">
        <v>126671066.38300249</v>
      </c>
      <c r="E619" s="6">
        <v>535736066.3830024</v>
      </c>
      <c r="F619" s="6">
        <v>3.7400000095367432</v>
      </c>
      <c r="G619" s="6">
        <v>3.75</v>
      </c>
      <c r="H619" s="6" t="e">
        <v>#N/A</v>
      </c>
      <c r="I619" s="6">
        <v>-0.31179580794465378</v>
      </c>
      <c r="J619" s="6">
        <v>475114000</v>
      </c>
      <c r="K619" s="6">
        <v>-254.6153846153847</v>
      </c>
      <c r="L619" t="s">
        <v>17</v>
      </c>
      <c r="M619" t="s">
        <v>100</v>
      </c>
      <c r="N619" s="4" t="s">
        <v>2426</v>
      </c>
      <c r="O619" s="4" t="s">
        <v>2427</v>
      </c>
      <c r="P619" s="4" t="s">
        <v>233</v>
      </c>
    </row>
    <row r="620" spans="1:16" x14ac:dyDescent="0.35">
      <c r="A620" t="s">
        <v>2428</v>
      </c>
      <c r="B620" t="s">
        <v>2429</v>
      </c>
      <c r="C620" t="s">
        <v>16</v>
      </c>
      <c r="D620" s="6">
        <v>13429734.182999996</v>
      </c>
      <c r="E620" s="6">
        <v>1017524734.183</v>
      </c>
      <c r="F620" s="6">
        <v>4.7699999999999996</v>
      </c>
      <c r="G620" s="6">
        <v>4.7699999999999996</v>
      </c>
      <c r="H620" s="6" t="e">
        <v>#N/A</v>
      </c>
      <c r="I620" s="6">
        <v>-0.45050818505684542</v>
      </c>
      <c r="J620" s="6" t="e">
        <v>#N/A</v>
      </c>
      <c r="K620" s="6" t="e">
        <v>#N/A</v>
      </c>
      <c r="L620" t="s">
        <v>17</v>
      </c>
      <c r="M620" t="s">
        <v>40</v>
      </c>
      <c r="N620" s="4" t="s">
        <v>2430</v>
      </c>
      <c r="O620" s="4" t="s">
        <v>2431</v>
      </c>
      <c r="P620" s="4" t="s">
        <v>233</v>
      </c>
    </row>
    <row r="621" spans="1:16" x14ac:dyDescent="0.35">
      <c r="A621" t="s">
        <v>2432</v>
      </c>
      <c r="B621" t="s">
        <v>2433</v>
      </c>
      <c r="C621" t="s">
        <v>16</v>
      </c>
      <c r="D621" s="6">
        <v>1953941.0272072142</v>
      </c>
      <c r="E621" s="6">
        <v>3820928.0272072139</v>
      </c>
      <c r="F621" s="6">
        <v>4.8000002279877663E-3</v>
      </c>
      <c r="G621" s="6">
        <v>2.79999990016222E-3</v>
      </c>
      <c r="H621" s="6" t="e">
        <v>#N/A</v>
      </c>
      <c r="I621" s="6">
        <v>-0.12694801827150293</v>
      </c>
      <c r="J621" s="6">
        <v>0</v>
      </c>
      <c r="K621" s="6">
        <v>84.45829465588119</v>
      </c>
      <c r="L621" t="s">
        <v>17</v>
      </c>
      <c r="M621" t="s">
        <v>87</v>
      </c>
      <c r="N621" s="4" t="s">
        <v>2434</v>
      </c>
      <c r="O621" s="4" t="s">
        <v>2435</v>
      </c>
      <c r="P621" s="4" t="s">
        <v>233</v>
      </c>
    </row>
    <row r="622" spans="1:16" x14ac:dyDescent="0.35">
      <c r="A622" t="s">
        <v>2436</v>
      </c>
      <c r="B622" t="s">
        <v>2437</v>
      </c>
      <c r="C622" t="s">
        <v>16</v>
      </c>
      <c r="D622" s="6">
        <v>147148359065.66931</v>
      </c>
      <c r="E622" s="6">
        <v>154843359065.66931</v>
      </c>
      <c r="F622" s="6">
        <v>385.6300048828125</v>
      </c>
      <c r="G622" s="6">
        <v>386.79000854492188</v>
      </c>
      <c r="H622" s="6">
        <v>35.36866533140892</v>
      </c>
      <c r="I622" s="6">
        <v>0.14052679017635494</v>
      </c>
      <c r="J622" s="6">
        <v>22595000000</v>
      </c>
      <c r="K622" s="6">
        <v>-5.7553956834532327</v>
      </c>
      <c r="L622" t="s">
        <v>17</v>
      </c>
      <c r="M622" t="s">
        <v>27</v>
      </c>
      <c r="N622" s="4" t="s">
        <v>2438</v>
      </c>
      <c r="O622" s="4" t="s">
        <v>2439</v>
      </c>
      <c r="P622" s="4" t="s">
        <v>233</v>
      </c>
    </row>
    <row r="623" spans="1:16" x14ac:dyDescent="0.35">
      <c r="A623" t="s">
        <v>2440</v>
      </c>
      <c r="B623" t="s">
        <v>2441</v>
      </c>
      <c r="C623" t="s">
        <v>16</v>
      </c>
      <c r="D623" s="6">
        <v>146347385.17756969</v>
      </c>
      <c r="E623" s="6">
        <v>114994385.17756969</v>
      </c>
      <c r="F623" s="6">
        <v>0.64099997282028198</v>
      </c>
      <c r="G623" s="6">
        <v>0.64670002460479736</v>
      </c>
      <c r="H623" s="6" t="e">
        <v>#N/A</v>
      </c>
      <c r="I623" s="6">
        <v>-0.40563491757420034</v>
      </c>
      <c r="J623" s="6">
        <v>8719000</v>
      </c>
      <c r="K623" s="6">
        <v>16.05011064523643</v>
      </c>
      <c r="L623" t="s">
        <v>17</v>
      </c>
      <c r="M623" t="s">
        <v>18</v>
      </c>
      <c r="N623" s="4" t="s">
        <v>2442</v>
      </c>
      <c r="O623" s="4" t="s">
        <v>2443</v>
      </c>
      <c r="P623" s="4" t="s">
        <v>233</v>
      </c>
    </row>
    <row r="624" spans="1:16" x14ac:dyDescent="0.35">
      <c r="A624" t="s">
        <v>2444</v>
      </c>
      <c r="B624" t="s">
        <v>2445</v>
      </c>
      <c r="C624" t="s">
        <v>16</v>
      </c>
      <c r="D624" s="6">
        <v>5420384018</v>
      </c>
      <c r="E624" s="6" t="e">
        <v>#N/A</v>
      </c>
      <c r="F624" s="6">
        <v>33.5</v>
      </c>
      <c r="G624" s="6">
        <v>32.389999389648438</v>
      </c>
      <c r="H624" s="6">
        <v>15.199499097104383</v>
      </c>
      <c r="I624" s="6">
        <v>0.17409791043627365</v>
      </c>
      <c r="J624" s="6">
        <v>1557632000</v>
      </c>
      <c r="K624" s="6">
        <v>-27.959795802841651</v>
      </c>
      <c r="L624" t="s">
        <v>17</v>
      </c>
      <c r="M624" t="s">
        <v>18</v>
      </c>
      <c r="N624" s="4" t="s">
        <v>233</v>
      </c>
      <c r="O624" s="4" t="s">
        <v>2446</v>
      </c>
      <c r="P624" s="4" t="s">
        <v>13109</v>
      </c>
    </row>
    <row r="625" spans="1:16" x14ac:dyDescent="0.35">
      <c r="A625" t="s">
        <v>2447</v>
      </c>
      <c r="B625" t="s">
        <v>2448</v>
      </c>
      <c r="C625" t="s">
        <v>16</v>
      </c>
      <c r="D625" s="6">
        <v>1975.1640000000002</v>
      </c>
      <c r="E625" s="6">
        <v>708975.16400000069</v>
      </c>
      <c r="F625" s="6">
        <v>2.9999999999999997E-4</v>
      </c>
      <c r="G625" s="6">
        <v>2.9999999999999997E-4</v>
      </c>
      <c r="H625" s="6" t="e">
        <v>#N/A</v>
      </c>
      <c r="I625" s="6">
        <v>-0.99991305525193819</v>
      </c>
      <c r="J625" s="6">
        <v>57306000</v>
      </c>
      <c r="K625" s="6">
        <v>92.72727272727272</v>
      </c>
      <c r="L625" t="s">
        <v>17</v>
      </c>
      <c r="M625" t="s">
        <v>18</v>
      </c>
      <c r="N625" s="4" t="s">
        <v>2449</v>
      </c>
      <c r="O625" s="4" t="s">
        <v>2450</v>
      </c>
      <c r="P625" s="4" t="s">
        <v>233</v>
      </c>
    </row>
    <row r="626" spans="1:16" x14ac:dyDescent="0.35">
      <c r="A626" t="s">
        <v>2451</v>
      </c>
      <c r="B626" t="s">
        <v>2452</v>
      </c>
      <c r="C626" t="s">
        <v>16</v>
      </c>
      <c r="D626" s="6">
        <v>11132190.892353505</v>
      </c>
      <c r="E626" s="6">
        <v>8059190.8923535049</v>
      </c>
      <c r="F626" s="6">
        <v>0.15000000596046448</v>
      </c>
      <c r="G626" s="6">
        <v>0.17000000178813934</v>
      </c>
      <c r="H626" s="6" t="e">
        <v>#N/A</v>
      </c>
      <c r="I626" s="6">
        <v>0.8152144335687983</v>
      </c>
      <c r="J626" s="6">
        <v>26000</v>
      </c>
      <c r="K626" s="6">
        <v>-100</v>
      </c>
      <c r="L626" t="s">
        <v>17</v>
      </c>
      <c r="M626" t="s">
        <v>18</v>
      </c>
      <c r="N626" s="4" t="s">
        <v>2453</v>
      </c>
      <c r="O626" s="4" t="s">
        <v>2454</v>
      </c>
      <c r="P626" s="4" t="s">
        <v>233</v>
      </c>
    </row>
    <row r="627" spans="1:16" x14ac:dyDescent="0.35">
      <c r="A627" t="s">
        <v>2455</v>
      </c>
      <c r="B627" t="s">
        <v>2456</v>
      </c>
      <c r="C627" t="s">
        <v>16</v>
      </c>
      <c r="D627" s="6" t="e">
        <v>#N/A</v>
      </c>
      <c r="E627" s="6" t="e">
        <v>#N/A</v>
      </c>
      <c r="F627" s="6" t="e">
        <v>#N/A</v>
      </c>
      <c r="G627" s="6" t="e">
        <v>#N/A</v>
      </c>
      <c r="H627" s="6" t="e">
        <v>#N/A</v>
      </c>
      <c r="I627" s="6">
        <v>97.74963981226027</v>
      </c>
      <c r="J627" s="6">
        <v>105795.00178573653</v>
      </c>
      <c r="K627" s="6">
        <v>-7.6069749545858176</v>
      </c>
      <c r="L627" t="s">
        <v>17</v>
      </c>
      <c r="M627" t="s">
        <v>87</v>
      </c>
      <c r="N627" s="4" t="s">
        <v>2457</v>
      </c>
      <c r="O627" s="4" t="s">
        <v>2458</v>
      </c>
      <c r="P627" s="4" t="s">
        <v>233</v>
      </c>
    </row>
    <row r="628" spans="1:16" x14ac:dyDescent="0.35">
      <c r="A628" t="s">
        <v>2459</v>
      </c>
      <c r="B628" t="s">
        <v>2460</v>
      </c>
      <c r="C628" t="s">
        <v>16</v>
      </c>
      <c r="D628" s="6" t="e">
        <v>#N/A</v>
      </c>
      <c r="E628" s="6" t="e">
        <v>#N/A</v>
      </c>
      <c r="F628" s="6">
        <v>9.9999999747524271E-7</v>
      </c>
      <c r="G628" s="6">
        <v>9.9999999747524271E-7</v>
      </c>
      <c r="H628" s="6" t="e">
        <v>#N/A</v>
      </c>
      <c r="I628" s="6">
        <v>-4.1078251911130792E-15</v>
      </c>
      <c r="J628" s="6" t="e">
        <v>#N/A</v>
      </c>
      <c r="K628" s="6" t="e">
        <v>#N/A</v>
      </c>
      <c r="L628" t="s">
        <v>17</v>
      </c>
      <c r="M628" t="s">
        <v>18</v>
      </c>
      <c r="N628" s="4" t="s">
        <v>2461</v>
      </c>
      <c r="O628" s="4" t="s">
        <v>2462</v>
      </c>
      <c r="P628" s="4" t="s">
        <v>233</v>
      </c>
    </row>
    <row r="629" spans="1:16" x14ac:dyDescent="0.35">
      <c r="A629" t="s">
        <v>2463</v>
      </c>
      <c r="B629" t="s">
        <v>2464</v>
      </c>
      <c r="C629" t="s">
        <v>16</v>
      </c>
      <c r="D629" s="6">
        <v>16551508538.078367</v>
      </c>
      <c r="E629" s="6">
        <v>12345608538.078367</v>
      </c>
      <c r="F629" s="6">
        <v>370.739990234375</v>
      </c>
      <c r="G629" s="6">
        <v>352.6099853515625</v>
      </c>
      <c r="H629" s="6">
        <v>16.281949505242647</v>
      </c>
      <c r="I629" s="6">
        <v>0.71188136414172809</v>
      </c>
      <c r="J629" s="6">
        <v>2756200000</v>
      </c>
      <c r="K629" s="6">
        <v>25.93167701863355</v>
      </c>
      <c r="L629" t="s">
        <v>17</v>
      </c>
      <c r="M629" t="s">
        <v>18</v>
      </c>
      <c r="N629" s="4" t="s">
        <v>2465</v>
      </c>
      <c r="O629" s="4" t="s">
        <v>2466</v>
      </c>
      <c r="P629" s="4" t="s">
        <v>233</v>
      </c>
    </row>
    <row r="630" spans="1:16" x14ac:dyDescent="0.35">
      <c r="A630" t="s">
        <v>2467</v>
      </c>
      <c r="B630" t="s">
        <v>2468</v>
      </c>
      <c r="C630" t="s">
        <v>16</v>
      </c>
      <c r="D630" s="6" t="e">
        <v>#N/A</v>
      </c>
      <c r="E630" s="6" t="e">
        <v>#N/A</v>
      </c>
      <c r="F630" s="6">
        <v>9.9999999747524271E-7</v>
      </c>
      <c r="G630" s="6">
        <v>9.9999999747524271E-7</v>
      </c>
      <c r="H630" s="6" t="e">
        <v>#N/A</v>
      </c>
      <c r="I630" s="6">
        <v>-1.2656542480726785E-14</v>
      </c>
      <c r="J630" s="6">
        <v>1566000</v>
      </c>
      <c r="K630" s="6">
        <v>28.000000000000004</v>
      </c>
      <c r="L630" t="s">
        <v>17</v>
      </c>
      <c r="M630" t="s">
        <v>100</v>
      </c>
      <c r="N630" s="4" t="s">
        <v>2469</v>
      </c>
      <c r="O630" s="4" t="s">
        <v>2470</v>
      </c>
      <c r="P630" s="4" t="s">
        <v>233</v>
      </c>
    </row>
    <row r="631" spans="1:16" x14ac:dyDescent="0.35">
      <c r="A631" t="s">
        <v>2471</v>
      </c>
      <c r="B631" t="s">
        <v>2472</v>
      </c>
      <c r="C631" t="s">
        <v>16</v>
      </c>
      <c r="D631" s="6">
        <v>47115685.455584764</v>
      </c>
      <c r="E631" s="6">
        <v>58105685.455584764</v>
      </c>
      <c r="F631" s="6">
        <v>1.3600000143051147</v>
      </c>
      <c r="G631" s="6">
        <v>1.3600000143051147</v>
      </c>
      <c r="H631" s="6" t="e">
        <v>#N/A</v>
      </c>
      <c r="I631" s="6">
        <v>-0.49720871905176178</v>
      </c>
      <c r="J631" s="6">
        <v>48542000</v>
      </c>
      <c r="K631" s="6">
        <v>-93.023255813953483</v>
      </c>
      <c r="L631" t="s">
        <v>17</v>
      </c>
      <c r="M631" t="s">
        <v>27</v>
      </c>
      <c r="N631" s="4" t="s">
        <v>2473</v>
      </c>
      <c r="O631" s="4" t="s">
        <v>2474</v>
      </c>
      <c r="P631" s="4" t="s">
        <v>233</v>
      </c>
    </row>
    <row r="632" spans="1:16" x14ac:dyDescent="0.35">
      <c r="A632" t="s">
        <v>2475</v>
      </c>
      <c r="B632" t="s">
        <v>2476</v>
      </c>
      <c r="C632" t="s">
        <v>16</v>
      </c>
      <c r="D632" s="6">
        <v>251664732.52463341</v>
      </c>
      <c r="E632" s="6">
        <v>259070732.52463341</v>
      </c>
      <c r="F632" s="6">
        <v>0.20489999651908875</v>
      </c>
      <c r="G632" s="6">
        <v>0.20909999310970306</v>
      </c>
      <c r="H632" s="6" t="e">
        <v>#N/A</v>
      </c>
      <c r="I632" s="6">
        <v>0.21199549854901556</v>
      </c>
      <c r="J632" s="6">
        <v>0</v>
      </c>
      <c r="K632" s="6">
        <v>89.13090253066089</v>
      </c>
      <c r="L632" t="s">
        <v>17</v>
      </c>
      <c r="M632" t="s">
        <v>18</v>
      </c>
      <c r="N632" s="4" t="s">
        <v>2477</v>
      </c>
      <c r="O632" s="4" t="s">
        <v>2478</v>
      </c>
      <c r="P632" s="4" t="s">
        <v>233</v>
      </c>
    </row>
    <row r="633" spans="1:16" x14ac:dyDescent="0.35">
      <c r="A633" t="s">
        <v>2479</v>
      </c>
      <c r="B633" t="s">
        <v>2480</v>
      </c>
      <c r="C633" t="s">
        <v>16</v>
      </c>
      <c r="D633" s="6">
        <v>911865670.94794452</v>
      </c>
      <c r="E633" s="6">
        <v>2055731670.9479446</v>
      </c>
      <c r="F633" s="6">
        <v>23.950000762939453</v>
      </c>
      <c r="G633" s="6">
        <v>24.309999465942383</v>
      </c>
      <c r="H633" s="6">
        <v>7.9452493590520943</v>
      </c>
      <c r="I633" s="6">
        <v>-0.69634356010173171</v>
      </c>
      <c r="J633" s="6">
        <v>3067341000</v>
      </c>
      <c r="K633" s="6">
        <v>-79.767103347889375</v>
      </c>
      <c r="L633" t="s">
        <v>17</v>
      </c>
      <c r="M633" t="s">
        <v>40</v>
      </c>
      <c r="N633" s="4" t="s">
        <v>2481</v>
      </c>
      <c r="O633" s="4" t="s">
        <v>2482</v>
      </c>
      <c r="P633" s="4" t="s">
        <v>233</v>
      </c>
    </row>
    <row r="634" spans="1:16" x14ac:dyDescent="0.35">
      <c r="A634" t="s">
        <v>12971</v>
      </c>
      <c r="B634" t="s">
        <v>12967</v>
      </c>
      <c r="C634" t="s">
        <v>16</v>
      </c>
      <c r="D634" s="6">
        <v>192394592.2651329</v>
      </c>
      <c r="E634" s="6" t="e">
        <v>#N/A</v>
      </c>
      <c r="F634" s="6">
        <v>4.5500001907348633</v>
      </c>
      <c r="G634" s="6">
        <v>4.630000114440918</v>
      </c>
      <c r="H634" s="6" t="e">
        <v>#N/A</v>
      </c>
      <c r="I634" s="6">
        <v>0.10138699673843221</v>
      </c>
      <c r="J634" s="6">
        <v>0</v>
      </c>
      <c r="K634" s="6">
        <v>96.548004314994614</v>
      </c>
      <c r="L634" t="s">
        <v>17</v>
      </c>
      <c r="M634" t="s">
        <v>18</v>
      </c>
      <c r="N634" s="4" t="s">
        <v>12972</v>
      </c>
      <c r="O634" s="4" t="s">
        <v>12973</v>
      </c>
      <c r="P634" s="4" t="s">
        <v>233</v>
      </c>
    </row>
    <row r="635" spans="1:16" x14ac:dyDescent="0.35">
      <c r="A635" t="s">
        <v>2483</v>
      </c>
      <c r="B635" t="s">
        <v>2484</v>
      </c>
      <c r="C635" t="s">
        <v>16</v>
      </c>
      <c r="D635" s="6">
        <v>79124949334.802246</v>
      </c>
      <c r="E635" s="6">
        <v>125139949334.80225</v>
      </c>
      <c r="F635" s="6">
        <v>312.3800048828125</v>
      </c>
      <c r="G635" s="6">
        <v>320.23001098632813</v>
      </c>
      <c r="H635" s="6">
        <v>14.226260702385634</v>
      </c>
      <c r="I635" s="6">
        <v>1.4920466549000588E-2</v>
      </c>
      <c r="J635" s="6">
        <v>70603000000</v>
      </c>
      <c r="K635" s="6">
        <v>14.285714285714286</v>
      </c>
      <c r="L635" t="s">
        <v>17</v>
      </c>
      <c r="M635" t="s">
        <v>40</v>
      </c>
      <c r="N635" s="4" t="s">
        <v>2485</v>
      </c>
      <c r="O635" s="4" t="s">
        <v>2486</v>
      </c>
      <c r="P635" s="4" t="s">
        <v>233</v>
      </c>
    </row>
    <row r="636" spans="1:16" x14ac:dyDescent="0.35">
      <c r="A636" t="s">
        <v>2487</v>
      </c>
      <c r="B636" t="s">
        <v>2488</v>
      </c>
      <c r="C636" t="s">
        <v>16</v>
      </c>
      <c r="D636" s="6" t="e">
        <v>#N/A</v>
      </c>
      <c r="E636" s="6" t="e">
        <v>#N/A</v>
      </c>
      <c r="F636" s="6">
        <v>9.9999999747524271E-7</v>
      </c>
      <c r="G636" s="6">
        <v>9.9999999747524271E-7</v>
      </c>
      <c r="H636" s="6" t="e">
        <v>#N/A</v>
      </c>
      <c r="I636" s="6">
        <v>-0.99997920917392769</v>
      </c>
      <c r="J636" s="6">
        <v>3525041</v>
      </c>
      <c r="K636" s="6">
        <v>29.673768715742074</v>
      </c>
      <c r="L636" t="s">
        <v>17</v>
      </c>
      <c r="M636" t="s">
        <v>87</v>
      </c>
      <c r="N636" s="4" t="s">
        <v>2489</v>
      </c>
      <c r="O636" s="4" t="s">
        <v>2490</v>
      </c>
      <c r="P636" s="4" t="s">
        <v>233</v>
      </c>
    </row>
    <row r="637" spans="1:16" x14ac:dyDescent="0.35">
      <c r="A637" t="s">
        <v>2491</v>
      </c>
      <c r="B637" t="s">
        <v>2492</v>
      </c>
      <c r="C637" t="s">
        <v>16</v>
      </c>
      <c r="D637" s="6">
        <v>1459910.0429742932</v>
      </c>
      <c r="E637" s="6" t="e">
        <v>#N/A</v>
      </c>
      <c r="F637" s="6">
        <v>0.52990001440048218</v>
      </c>
      <c r="G637" s="6">
        <v>0.54100000858306885</v>
      </c>
      <c r="H637" s="6" t="e">
        <v>#N/A</v>
      </c>
      <c r="I637" s="6">
        <v>-0.87446032877173918</v>
      </c>
      <c r="J637" s="6">
        <v>0</v>
      </c>
      <c r="K637" s="6">
        <v>-48.320024625635916</v>
      </c>
      <c r="L637" t="s">
        <v>17</v>
      </c>
      <c r="M637" t="s">
        <v>87</v>
      </c>
      <c r="N637" s="4" t="s">
        <v>2493</v>
      </c>
      <c r="O637" s="4" t="s">
        <v>2494</v>
      </c>
      <c r="P637" s="4" t="s">
        <v>233</v>
      </c>
    </row>
    <row r="638" spans="1:16" x14ac:dyDescent="0.35">
      <c r="A638" t="s">
        <v>2495</v>
      </c>
      <c r="B638" t="s">
        <v>2496</v>
      </c>
      <c r="C638" t="s">
        <v>16</v>
      </c>
      <c r="D638" s="6">
        <v>985233.08472156525</v>
      </c>
      <c r="E638" s="6">
        <v>927977.08472156525</v>
      </c>
      <c r="F638" s="6">
        <v>1.9900000095367432</v>
      </c>
      <c r="G638" s="6">
        <v>1.8999999761581421</v>
      </c>
      <c r="H638" s="6" t="e">
        <v>#N/A</v>
      </c>
      <c r="I638" s="6">
        <v>-4.9863681591618692E-3</v>
      </c>
      <c r="J638" s="6">
        <v>0</v>
      </c>
      <c r="K638" s="6">
        <v>-1159.3521000893679</v>
      </c>
      <c r="L638" t="s">
        <v>17</v>
      </c>
      <c r="M638" t="s">
        <v>18</v>
      </c>
      <c r="N638" s="4" t="s">
        <v>2497</v>
      </c>
      <c r="O638" s="4" t="s">
        <v>2498</v>
      </c>
      <c r="P638" s="4" t="s">
        <v>233</v>
      </c>
    </row>
    <row r="639" spans="1:16" x14ac:dyDescent="0.35">
      <c r="A639" t="s">
        <v>2499</v>
      </c>
      <c r="B639" t="s">
        <v>2500</v>
      </c>
      <c r="C639" t="s">
        <v>16</v>
      </c>
      <c r="D639" s="6">
        <v>1971487.5010307878</v>
      </c>
      <c r="E639" s="6">
        <v>1971487.5010307878</v>
      </c>
      <c r="F639" s="6">
        <v>7.1250000037252903E-3</v>
      </c>
      <c r="G639" s="6">
        <v>7.1250000037252903E-3</v>
      </c>
      <c r="H639" s="6" t="e">
        <v>#N/A</v>
      </c>
      <c r="I639" s="6">
        <v>-0.58475714393800604</v>
      </c>
      <c r="J639" s="6">
        <v>0</v>
      </c>
      <c r="K639" s="6">
        <v>99.125148279952555</v>
      </c>
      <c r="L639" t="s">
        <v>17</v>
      </c>
      <c r="M639" t="s">
        <v>32</v>
      </c>
      <c r="N639" s="4" t="s">
        <v>2501</v>
      </c>
      <c r="O639" s="4" t="s">
        <v>2502</v>
      </c>
      <c r="P639" s="4" t="s">
        <v>233</v>
      </c>
    </row>
    <row r="640" spans="1:16" x14ac:dyDescent="0.35">
      <c r="A640" t="s">
        <v>2503</v>
      </c>
      <c r="B640" t="s">
        <v>2504</v>
      </c>
      <c r="C640" t="s">
        <v>16</v>
      </c>
      <c r="D640" s="6" t="e">
        <v>#N/A</v>
      </c>
      <c r="E640" s="6" t="e">
        <v>#N/A</v>
      </c>
      <c r="F640" s="6">
        <v>9.9999999747524271E-7</v>
      </c>
      <c r="G640" s="6">
        <v>9.9999999747524271E-7</v>
      </c>
      <c r="H640" s="6" t="e">
        <v>#N/A</v>
      </c>
      <c r="I640" s="6">
        <v>-0.98987338078497134</v>
      </c>
      <c r="J640" s="6" t="e">
        <v>#N/A</v>
      </c>
      <c r="K640" s="6">
        <v>-367.26666666666659</v>
      </c>
      <c r="L640" t="s">
        <v>17</v>
      </c>
      <c r="M640" t="s">
        <v>40</v>
      </c>
      <c r="N640" s="4" t="s">
        <v>2505</v>
      </c>
      <c r="O640" s="4" t="s">
        <v>2506</v>
      </c>
      <c r="P640" s="4" t="s">
        <v>233</v>
      </c>
    </row>
    <row r="641" spans="1:16" x14ac:dyDescent="0.35">
      <c r="A641" t="s">
        <v>2507</v>
      </c>
      <c r="B641" t="s">
        <v>2508</v>
      </c>
      <c r="C641" t="s">
        <v>16</v>
      </c>
      <c r="D641" s="6" t="e">
        <v>#N/A</v>
      </c>
      <c r="E641" s="6" t="e">
        <v>#N/A</v>
      </c>
      <c r="F641" s="6" t="e">
        <v>#N/A</v>
      </c>
      <c r="G641" s="6" t="e">
        <v>#N/A</v>
      </c>
      <c r="H641" s="6" t="e">
        <v>#N/A</v>
      </c>
      <c r="I641" s="6">
        <v>-0.98201725051107813</v>
      </c>
      <c r="J641" s="6">
        <v>110203</v>
      </c>
      <c r="K641" s="6">
        <v>22.153325817361889</v>
      </c>
      <c r="L641" t="s">
        <v>17</v>
      </c>
      <c r="M641" t="s">
        <v>27</v>
      </c>
      <c r="N641" s="4" t="s">
        <v>2509</v>
      </c>
      <c r="O641" s="4" t="s">
        <v>2510</v>
      </c>
      <c r="P641" s="4" t="s">
        <v>233</v>
      </c>
    </row>
    <row r="642" spans="1:16" x14ac:dyDescent="0.35">
      <c r="A642" t="s">
        <v>2511</v>
      </c>
      <c r="B642" t="s">
        <v>2512</v>
      </c>
      <c r="C642" t="s">
        <v>16</v>
      </c>
      <c r="D642" s="6" t="e">
        <v>#N/A</v>
      </c>
      <c r="E642" s="6" t="e">
        <v>#N/A</v>
      </c>
      <c r="F642" s="6">
        <v>9.9999999747524271E-7</v>
      </c>
      <c r="G642" s="6">
        <v>9.9999999747524271E-7</v>
      </c>
      <c r="H642" s="6" t="e">
        <v>#N/A</v>
      </c>
      <c r="I642" s="6">
        <v>0</v>
      </c>
      <c r="J642" s="6">
        <v>0</v>
      </c>
      <c r="K642" s="6">
        <v>93.660750000000007</v>
      </c>
      <c r="L642" t="s">
        <v>17</v>
      </c>
      <c r="M642" t="s">
        <v>18</v>
      </c>
      <c r="N642" s="4" t="s">
        <v>2513</v>
      </c>
      <c r="O642" s="4" t="s">
        <v>2514</v>
      </c>
      <c r="P642" s="4" t="s">
        <v>233</v>
      </c>
    </row>
    <row r="643" spans="1:16" x14ac:dyDescent="0.35">
      <c r="A643" t="s">
        <v>2515</v>
      </c>
      <c r="B643" t="s">
        <v>2516</v>
      </c>
      <c r="C643" t="s">
        <v>16</v>
      </c>
      <c r="D643" s="6">
        <v>34748712275.604492</v>
      </c>
      <c r="E643" s="6">
        <v>35066504275.604492</v>
      </c>
      <c r="F643" s="6">
        <v>236.60000610351563</v>
      </c>
      <c r="G643" s="6">
        <v>236.3699951171875</v>
      </c>
      <c r="H643" s="6">
        <v>27.425824055984332</v>
      </c>
      <c r="I643" s="6">
        <v>0.30407776308869039</v>
      </c>
      <c r="J643" s="6">
        <v>4926773000</v>
      </c>
      <c r="K643" s="6">
        <v>40.495867768595026</v>
      </c>
      <c r="L643" t="s">
        <v>17</v>
      </c>
      <c r="M643" t="s">
        <v>27</v>
      </c>
      <c r="N643" s="4" t="s">
        <v>2517</v>
      </c>
      <c r="O643" s="4" t="s">
        <v>2518</v>
      </c>
      <c r="P643" s="4" t="s">
        <v>233</v>
      </c>
    </row>
    <row r="644" spans="1:16" x14ac:dyDescent="0.35">
      <c r="A644" t="s">
        <v>2519</v>
      </c>
      <c r="B644" t="s">
        <v>2520</v>
      </c>
      <c r="C644" t="s">
        <v>16</v>
      </c>
      <c r="D644" s="6">
        <v>23312261.500138521</v>
      </c>
      <c r="E644" s="6">
        <v>22070261.500138521</v>
      </c>
      <c r="F644" s="6">
        <v>0.30099999904632568</v>
      </c>
      <c r="G644" s="6">
        <v>0.30700001120567322</v>
      </c>
      <c r="H644" s="6" t="e">
        <v>#N/A</v>
      </c>
      <c r="I644" s="6">
        <v>3.3242075742074828E-3</v>
      </c>
      <c r="J644" s="6">
        <v>1183000</v>
      </c>
      <c r="K644" s="6">
        <v>9.9919678714859401</v>
      </c>
      <c r="L644" t="s">
        <v>17</v>
      </c>
      <c r="M644" t="s">
        <v>87</v>
      </c>
      <c r="N644" s="4" t="s">
        <v>2521</v>
      </c>
      <c r="O644" s="4" t="s">
        <v>2522</v>
      </c>
      <c r="P644" s="4" t="s">
        <v>233</v>
      </c>
    </row>
    <row r="645" spans="1:16" x14ac:dyDescent="0.35">
      <c r="A645" t="s">
        <v>2523</v>
      </c>
      <c r="B645" t="s">
        <v>2524</v>
      </c>
      <c r="C645" t="s">
        <v>16</v>
      </c>
      <c r="D645" s="6" t="e">
        <v>#N/A</v>
      </c>
      <c r="E645" s="6" t="e">
        <v>#N/A</v>
      </c>
      <c r="F645" s="6" t="e">
        <v>#N/A</v>
      </c>
      <c r="G645" s="6" t="e">
        <v>#N/A</v>
      </c>
      <c r="H645" s="6" t="e">
        <v>#N/A</v>
      </c>
      <c r="I645" s="6">
        <v>0</v>
      </c>
      <c r="J645" s="6">
        <v>16315</v>
      </c>
      <c r="K645" s="6">
        <v>54.347826086956516</v>
      </c>
      <c r="L645" t="s">
        <v>17</v>
      </c>
      <c r="M645" t="s">
        <v>18</v>
      </c>
      <c r="N645" s="4" t="s">
        <v>2525</v>
      </c>
      <c r="O645" s="4" t="s">
        <v>2526</v>
      </c>
      <c r="P645" s="4" t="s">
        <v>233</v>
      </c>
    </row>
    <row r="646" spans="1:16" x14ac:dyDescent="0.35">
      <c r="A646" t="s">
        <v>2527</v>
      </c>
      <c r="B646" t="s">
        <v>2528</v>
      </c>
      <c r="C646" t="s">
        <v>16</v>
      </c>
      <c r="D646" s="6">
        <v>95082388.336825833</v>
      </c>
      <c r="E646" s="6">
        <v>74627388.336825833</v>
      </c>
      <c r="F646" s="6">
        <v>1.309999942779541</v>
      </c>
      <c r="G646" s="6">
        <v>1.2599999904632568</v>
      </c>
      <c r="H646" s="6" t="e">
        <v>#N/A</v>
      </c>
      <c r="I646" s="6">
        <v>0.65593797080591054</v>
      </c>
      <c r="J646" s="6">
        <v>0</v>
      </c>
      <c r="K646" s="6">
        <v>54.536215291417705</v>
      </c>
      <c r="L646" t="s">
        <v>17</v>
      </c>
      <c r="M646" t="s">
        <v>18</v>
      </c>
      <c r="N646" s="4" t="s">
        <v>2529</v>
      </c>
      <c r="O646" s="4" t="s">
        <v>2530</v>
      </c>
      <c r="P646" s="4" t="s">
        <v>233</v>
      </c>
    </row>
    <row r="647" spans="1:16" x14ac:dyDescent="0.35">
      <c r="A647" t="s">
        <v>2531</v>
      </c>
      <c r="B647" t="s">
        <v>2532</v>
      </c>
      <c r="C647" t="s">
        <v>16</v>
      </c>
      <c r="D647" s="6" t="e">
        <v>#N/A</v>
      </c>
      <c r="E647" s="6" t="e">
        <v>#N/A</v>
      </c>
      <c r="F647" s="6">
        <v>9.9999999747524271E-7</v>
      </c>
      <c r="G647" s="6">
        <v>9.9999999747524271E-7</v>
      </c>
      <c r="H647" s="6" t="e">
        <v>#N/A</v>
      </c>
      <c r="I647" s="6">
        <v>-0.99324143734305737</v>
      </c>
      <c r="J647" s="6" t="e">
        <v>#N/A</v>
      </c>
      <c r="K647" s="6" t="e">
        <v>#N/A</v>
      </c>
      <c r="L647" t="s">
        <v>17</v>
      </c>
      <c r="M647" t="s">
        <v>27</v>
      </c>
      <c r="N647" s="4" t="s">
        <v>2533</v>
      </c>
      <c r="O647" s="4" t="s">
        <v>2534</v>
      </c>
      <c r="P647" s="4" t="s">
        <v>233</v>
      </c>
    </row>
    <row r="648" spans="1:16" x14ac:dyDescent="0.35">
      <c r="A648" t="s">
        <v>2535</v>
      </c>
      <c r="B648" t="s">
        <v>2536</v>
      </c>
      <c r="C648" t="s">
        <v>16</v>
      </c>
      <c r="D648" s="6">
        <v>4319901.6225045361</v>
      </c>
      <c r="E648" s="6" t="e">
        <v>#N/A</v>
      </c>
      <c r="F648" s="6">
        <v>3.4439999610185623E-2</v>
      </c>
      <c r="G648" s="6">
        <v>3.2499998807907104E-2</v>
      </c>
      <c r="H648" s="6" t="e">
        <v>#N/A</v>
      </c>
      <c r="I648" s="6">
        <v>-0.55803929709338007</v>
      </c>
      <c r="J648" s="6" t="e">
        <v>#N/A</v>
      </c>
      <c r="K648" s="6" t="e">
        <v>#N/A</v>
      </c>
      <c r="L648" t="s">
        <v>17</v>
      </c>
      <c r="M648" t="s">
        <v>87</v>
      </c>
      <c r="N648" s="4" t="s">
        <v>2537</v>
      </c>
      <c r="O648" s="4" t="s">
        <v>2538</v>
      </c>
      <c r="P648" s="4" t="s">
        <v>233</v>
      </c>
    </row>
    <row r="649" spans="1:16" x14ac:dyDescent="0.35">
      <c r="A649" t="s">
        <v>2539</v>
      </c>
      <c r="B649" t="s">
        <v>2540</v>
      </c>
      <c r="C649" t="s">
        <v>16</v>
      </c>
      <c r="D649" s="6">
        <v>690148196.81142223</v>
      </c>
      <c r="E649" s="6">
        <v>816266196.81142223</v>
      </c>
      <c r="F649" s="6">
        <v>18.059999465942383</v>
      </c>
      <c r="G649" s="6">
        <v>17.879999160766602</v>
      </c>
      <c r="H649" s="6" t="e">
        <v>#N/A</v>
      </c>
      <c r="I649" s="6">
        <v>0.25339082383089329</v>
      </c>
      <c r="J649" s="6">
        <v>784249000</v>
      </c>
      <c r="K649" s="6">
        <v>19.743589743589745</v>
      </c>
      <c r="L649" t="s">
        <v>17</v>
      </c>
      <c r="M649" t="s">
        <v>27</v>
      </c>
      <c r="N649" s="4" t="s">
        <v>2541</v>
      </c>
      <c r="O649" s="4" t="s">
        <v>2542</v>
      </c>
      <c r="P649" s="4" t="s">
        <v>233</v>
      </c>
    </row>
    <row r="650" spans="1:16" x14ac:dyDescent="0.35">
      <c r="A650" t="s">
        <v>2543</v>
      </c>
      <c r="B650" t="s">
        <v>2544</v>
      </c>
      <c r="C650" t="s">
        <v>16</v>
      </c>
      <c r="D650" s="6">
        <v>726944304.43172455</v>
      </c>
      <c r="E650" s="6">
        <v>710094304.43172455</v>
      </c>
      <c r="F650" s="6">
        <v>36.180000305175781</v>
      </c>
      <c r="G650" s="6">
        <v>35.369998931884766</v>
      </c>
      <c r="H650" s="6">
        <v>68.660699445620423</v>
      </c>
      <c r="I650" s="6">
        <v>-0.14911745975365021</v>
      </c>
      <c r="J650" s="6">
        <v>74437000</v>
      </c>
      <c r="K650" s="6">
        <v>-23.23218962954131</v>
      </c>
      <c r="L650" t="s">
        <v>17</v>
      </c>
      <c r="M650" t="s">
        <v>32</v>
      </c>
      <c r="N650" s="4" t="s">
        <v>2545</v>
      </c>
      <c r="O650" s="4" t="s">
        <v>2546</v>
      </c>
      <c r="P650" s="4" t="s">
        <v>233</v>
      </c>
    </row>
    <row r="651" spans="1:16" x14ac:dyDescent="0.35">
      <c r="A651" t="s">
        <v>2547</v>
      </c>
      <c r="B651" t="s">
        <v>2548</v>
      </c>
      <c r="C651" t="s">
        <v>16</v>
      </c>
      <c r="D651" s="6">
        <v>1544355054.4997897</v>
      </c>
      <c r="E651" s="6">
        <v>1535306054.4997897</v>
      </c>
      <c r="F651" s="6">
        <v>5.5999999046325684</v>
      </c>
      <c r="G651" s="6">
        <v>5.5399999618530273</v>
      </c>
      <c r="H651" s="6">
        <v>51.608621447369046</v>
      </c>
      <c r="I651" s="6">
        <v>0.52412479800160883</v>
      </c>
      <c r="J651" s="6">
        <v>267200000</v>
      </c>
      <c r="K651" s="6" t="e">
        <v>#N/A</v>
      </c>
      <c r="L651" t="s">
        <v>17</v>
      </c>
      <c r="M651" t="s">
        <v>18</v>
      </c>
      <c r="N651" s="4" t="s">
        <v>2549</v>
      </c>
      <c r="O651" s="4" t="s">
        <v>2550</v>
      </c>
      <c r="P651" s="4" t="s">
        <v>233</v>
      </c>
    </row>
    <row r="652" spans="1:16" x14ac:dyDescent="0.35">
      <c r="A652" t="s">
        <v>2551</v>
      </c>
      <c r="B652" t="s">
        <v>2552</v>
      </c>
      <c r="C652" t="s">
        <v>16</v>
      </c>
      <c r="D652" s="6">
        <v>2806153.592164278</v>
      </c>
      <c r="E652" s="6">
        <v>19816070.592164278</v>
      </c>
      <c r="F652" s="6">
        <v>3.7000000476837158E-2</v>
      </c>
      <c r="G652" s="6">
        <v>3.2699998468160629E-2</v>
      </c>
      <c r="H652" s="6" t="e">
        <v>#N/A</v>
      </c>
      <c r="I652" s="6">
        <v>-0.22701228335524681</v>
      </c>
      <c r="J652" s="6">
        <v>2155744</v>
      </c>
      <c r="K652" s="6">
        <v>81.578947368421041</v>
      </c>
      <c r="L652" t="s">
        <v>17</v>
      </c>
      <c r="M652" t="s">
        <v>87</v>
      </c>
      <c r="N652" s="4" t="s">
        <v>2553</v>
      </c>
      <c r="O652" s="4" t="s">
        <v>2554</v>
      </c>
      <c r="P652" s="4" t="s">
        <v>233</v>
      </c>
    </row>
    <row r="653" spans="1:16" x14ac:dyDescent="0.35">
      <c r="A653" t="s">
        <v>2555</v>
      </c>
      <c r="B653" t="s">
        <v>2556</v>
      </c>
      <c r="C653" t="s">
        <v>16</v>
      </c>
      <c r="D653" s="6">
        <v>86537212.219384789</v>
      </c>
      <c r="E653" s="6">
        <v>171576212.21938479</v>
      </c>
      <c r="F653" s="6">
        <v>1.8300000429153442</v>
      </c>
      <c r="G653" s="6">
        <v>1.7999999523162842</v>
      </c>
      <c r="H653" s="6" t="e">
        <v>#N/A</v>
      </c>
      <c r="I653" s="6">
        <v>-0.49630724901698753</v>
      </c>
      <c r="J653" s="6">
        <v>70193000</v>
      </c>
      <c r="K653" s="6">
        <v>40.28776978417266</v>
      </c>
      <c r="L653" t="s">
        <v>17</v>
      </c>
      <c r="M653" t="s">
        <v>18</v>
      </c>
      <c r="N653" s="4" t="s">
        <v>233</v>
      </c>
      <c r="O653" s="4" t="s">
        <v>2557</v>
      </c>
      <c r="P653" s="4" t="s">
        <v>13110</v>
      </c>
    </row>
    <row r="654" spans="1:16" x14ac:dyDescent="0.35">
      <c r="A654" t="s">
        <v>2558</v>
      </c>
      <c r="B654" t="s">
        <v>2559</v>
      </c>
      <c r="C654" t="s">
        <v>16</v>
      </c>
      <c r="D654" s="6">
        <v>2341641882.78791</v>
      </c>
      <c r="E654" s="6">
        <v>1908048882.78791</v>
      </c>
      <c r="F654" s="6">
        <v>18.569999694824219</v>
      </c>
      <c r="G654" s="6">
        <v>18.350000381469727</v>
      </c>
      <c r="H654" s="6" t="e">
        <v>#N/A</v>
      </c>
      <c r="I654" s="6">
        <v>-0.42349527890365002</v>
      </c>
      <c r="J654" s="6">
        <v>2500000</v>
      </c>
      <c r="K654" s="6">
        <v>-86.841601447636251</v>
      </c>
      <c r="L654" t="s">
        <v>17</v>
      </c>
      <c r="M654" t="s">
        <v>18</v>
      </c>
      <c r="N654" s="4" t="s">
        <v>2560</v>
      </c>
      <c r="O654" s="4" t="s">
        <v>2561</v>
      </c>
      <c r="P654" s="4" t="s">
        <v>233</v>
      </c>
    </row>
    <row r="655" spans="1:16" x14ac:dyDescent="0.35">
      <c r="A655" t="s">
        <v>2562</v>
      </c>
      <c r="B655" t="s">
        <v>2563</v>
      </c>
      <c r="C655" t="s">
        <v>16</v>
      </c>
      <c r="D655" s="6">
        <v>73295372.537475109</v>
      </c>
      <c r="E655" s="6">
        <v>34121372.537475109</v>
      </c>
      <c r="F655" s="6">
        <v>2.809999942779541</v>
      </c>
      <c r="G655" s="6">
        <v>2.7999999523162842</v>
      </c>
      <c r="H655" s="6" t="e">
        <v>#N/A</v>
      </c>
      <c r="I655" s="6">
        <v>2.5514066234148869E-2</v>
      </c>
      <c r="J655" s="6">
        <v>6821000</v>
      </c>
      <c r="K655" s="6">
        <v>50.657894736842103</v>
      </c>
      <c r="L655" t="s">
        <v>17</v>
      </c>
      <c r="M655" t="s">
        <v>27</v>
      </c>
      <c r="N655" s="4" t="s">
        <v>2564</v>
      </c>
      <c r="O655" s="4" t="s">
        <v>2565</v>
      </c>
      <c r="P655" s="4" t="s">
        <v>233</v>
      </c>
    </row>
    <row r="656" spans="1:16" x14ac:dyDescent="0.35">
      <c r="A656" t="s">
        <v>2566</v>
      </c>
      <c r="B656" t="s">
        <v>2567</v>
      </c>
      <c r="C656" t="s">
        <v>16</v>
      </c>
      <c r="D656" s="6">
        <v>10474781.346977144</v>
      </c>
      <c r="E656" s="6">
        <v>4608315.3469771445</v>
      </c>
      <c r="F656" s="6">
        <v>0.18979999423027039</v>
      </c>
      <c r="G656" s="6">
        <v>0.18469999730587006</v>
      </c>
      <c r="H656" s="6" t="e">
        <v>#N/A</v>
      </c>
      <c r="I656" s="6">
        <v>-0.9830448749117916</v>
      </c>
      <c r="J656" s="6">
        <v>3431420</v>
      </c>
      <c r="K656" s="6">
        <v>88.026315789473685</v>
      </c>
      <c r="L656" t="s">
        <v>17</v>
      </c>
      <c r="M656" t="s">
        <v>100</v>
      </c>
      <c r="N656" s="4" t="s">
        <v>2568</v>
      </c>
      <c r="O656" s="4" t="s">
        <v>2569</v>
      </c>
      <c r="P656" s="4" t="s">
        <v>233</v>
      </c>
    </row>
    <row r="657" spans="1:16" x14ac:dyDescent="0.35">
      <c r="A657" t="s">
        <v>2570</v>
      </c>
      <c r="B657" t="s">
        <v>2571</v>
      </c>
      <c r="C657" t="s">
        <v>16</v>
      </c>
      <c r="D657" s="6">
        <v>10661433727.476257</v>
      </c>
      <c r="E657" s="6">
        <v>10879011727.476257</v>
      </c>
      <c r="F657" s="6">
        <v>67.44000244140625</v>
      </c>
      <c r="G657" s="6">
        <v>67.989997863769531</v>
      </c>
      <c r="H657" s="6">
        <v>53.515444364179778</v>
      </c>
      <c r="I657" s="6">
        <v>-3.2794082749299736E-2</v>
      </c>
      <c r="J657" s="6">
        <v>1196015000</v>
      </c>
      <c r="K657" s="6">
        <v>-29.577464788732392</v>
      </c>
      <c r="L657" t="s">
        <v>17</v>
      </c>
      <c r="M657" t="s">
        <v>100</v>
      </c>
      <c r="N657" s="4" t="s">
        <v>2572</v>
      </c>
      <c r="O657" s="4" t="s">
        <v>2573</v>
      </c>
      <c r="P657" s="4" t="s">
        <v>233</v>
      </c>
    </row>
    <row r="658" spans="1:16" x14ac:dyDescent="0.35">
      <c r="A658" t="s">
        <v>2574</v>
      </c>
      <c r="B658" t="s">
        <v>2575</v>
      </c>
      <c r="C658" t="s">
        <v>16</v>
      </c>
      <c r="D658" s="6">
        <v>4758163.6254715919</v>
      </c>
      <c r="E658" s="6">
        <v>4739571.6254715919</v>
      </c>
      <c r="F658" s="6">
        <v>1.559999942779541</v>
      </c>
      <c r="G658" s="6">
        <v>1.5700000524520874</v>
      </c>
      <c r="H658" s="6" t="e">
        <v>#N/A</v>
      </c>
      <c r="I658" s="6">
        <v>-0.88461347026003112</v>
      </c>
      <c r="J658" s="6">
        <v>18626</v>
      </c>
      <c r="K658" s="6">
        <v>92.178886438809272</v>
      </c>
      <c r="L658" t="s">
        <v>17</v>
      </c>
      <c r="M658" t="s">
        <v>18</v>
      </c>
      <c r="N658" s="4" t="s">
        <v>2576</v>
      </c>
      <c r="O658" s="4" t="s">
        <v>2577</v>
      </c>
      <c r="P658" s="4" t="s">
        <v>233</v>
      </c>
    </row>
    <row r="659" spans="1:16" x14ac:dyDescent="0.35">
      <c r="A659" t="s">
        <v>13293</v>
      </c>
      <c r="B659" t="s">
        <v>13294</v>
      </c>
      <c r="C659" t="s">
        <v>16</v>
      </c>
      <c r="D659" s="6">
        <v>31774.544709209818</v>
      </c>
      <c r="E659" s="6" t="e">
        <v>#N/A</v>
      </c>
      <c r="F659" s="6">
        <v>6.0000002849847078E-4</v>
      </c>
      <c r="G659" s="6">
        <v>6.0000002849847078E-4</v>
      </c>
      <c r="H659" s="6" t="e">
        <v>#N/A</v>
      </c>
      <c r="I659" s="6">
        <v>2.2659242759437088E+16</v>
      </c>
      <c r="J659" s="6" t="e">
        <v>#N/A</v>
      </c>
      <c r="K659" s="6" t="e">
        <v>#N/A</v>
      </c>
      <c r="L659" t="s">
        <v>17</v>
      </c>
      <c r="M659" t="s">
        <v>100</v>
      </c>
      <c r="N659" s="4" t="s">
        <v>13295</v>
      </c>
      <c r="O659" s="4" t="s">
        <v>13296</v>
      </c>
      <c r="P659" s="4" t="s">
        <v>233</v>
      </c>
    </row>
    <row r="660" spans="1:16" x14ac:dyDescent="0.35">
      <c r="A660" t="s">
        <v>2578</v>
      </c>
      <c r="B660" t="s">
        <v>2579</v>
      </c>
      <c r="C660" t="s">
        <v>16</v>
      </c>
      <c r="D660" s="6">
        <v>15179183.411161421</v>
      </c>
      <c r="E660" s="6">
        <v>22865765.411161423</v>
      </c>
      <c r="F660" s="6">
        <v>0.6525999903678894</v>
      </c>
      <c r="G660" s="6">
        <v>0.64850002527236938</v>
      </c>
      <c r="H660" s="6" t="e">
        <v>#N/A</v>
      </c>
      <c r="I660" s="6">
        <v>-0.17066599966729046</v>
      </c>
      <c r="J660" s="6">
        <v>56042109</v>
      </c>
      <c r="K660" s="6">
        <v>-104.64316802414882</v>
      </c>
      <c r="L660" t="s">
        <v>17</v>
      </c>
      <c r="M660" t="s">
        <v>40</v>
      </c>
      <c r="N660" s="4" t="s">
        <v>2580</v>
      </c>
      <c r="O660" s="4" t="s">
        <v>2581</v>
      </c>
      <c r="P660" s="4" t="s">
        <v>233</v>
      </c>
    </row>
    <row r="661" spans="1:16" x14ac:dyDescent="0.35">
      <c r="A661" t="s">
        <v>2582</v>
      </c>
      <c r="B661" t="s">
        <v>2583</v>
      </c>
      <c r="C661" t="s">
        <v>16</v>
      </c>
      <c r="D661" s="6">
        <v>96690842.192761421</v>
      </c>
      <c r="E661" s="6">
        <v>21924842.192761421</v>
      </c>
      <c r="F661" s="6">
        <v>0.7685999870300293</v>
      </c>
      <c r="G661" s="6">
        <v>0.79000002145767212</v>
      </c>
      <c r="H661" s="6" t="e">
        <v>#N/A</v>
      </c>
      <c r="I661" s="6">
        <v>-0.2230992395123903</v>
      </c>
      <c r="J661" s="6">
        <v>0</v>
      </c>
      <c r="K661" s="6">
        <v>7.2207192704435146</v>
      </c>
      <c r="L661" t="s">
        <v>17</v>
      </c>
      <c r="M661" t="s">
        <v>18</v>
      </c>
      <c r="N661" s="4" t="s">
        <v>2584</v>
      </c>
      <c r="O661" s="4" t="s">
        <v>2585</v>
      </c>
      <c r="P661" s="4" t="s">
        <v>233</v>
      </c>
    </row>
    <row r="662" spans="1:16" x14ac:dyDescent="0.35">
      <c r="A662" t="s">
        <v>2586</v>
      </c>
      <c r="B662" t="s">
        <v>2587</v>
      </c>
      <c r="C662" t="s">
        <v>16</v>
      </c>
      <c r="D662" s="6" t="e">
        <v>#N/A</v>
      </c>
      <c r="E662" s="6" t="e">
        <v>#N/A</v>
      </c>
      <c r="F662" s="6" t="e">
        <v>#N/A</v>
      </c>
      <c r="G662" s="6" t="e">
        <v>#N/A</v>
      </c>
      <c r="H662" s="6" t="e">
        <v>#N/A</v>
      </c>
      <c r="I662" s="6">
        <v>0</v>
      </c>
      <c r="J662" s="6">
        <v>481515</v>
      </c>
      <c r="K662" s="6">
        <v>42.857142857142847</v>
      </c>
      <c r="L662" t="s">
        <v>17</v>
      </c>
      <c r="M662" t="s">
        <v>87</v>
      </c>
      <c r="N662" s="4" t="s">
        <v>2588</v>
      </c>
      <c r="O662" s="4" t="s">
        <v>2589</v>
      </c>
      <c r="P662" s="4" t="s">
        <v>233</v>
      </c>
    </row>
    <row r="663" spans="1:16" x14ac:dyDescent="0.35">
      <c r="A663" t="s">
        <v>2590</v>
      </c>
      <c r="B663" t="s">
        <v>2591</v>
      </c>
      <c r="C663" t="s">
        <v>16</v>
      </c>
      <c r="D663" s="6">
        <v>13292764.709421635</v>
      </c>
      <c r="E663" s="6">
        <v>741339.70942163281</v>
      </c>
      <c r="F663" s="6">
        <v>0.57899999618530273</v>
      </c>
      <c r="G663" s="6">
        <v>0.57499998807907104</v>
      </c>
      <c r="H663" s="6" t="e">
        <v>#N/A</v>
      </c>
      <c r="I663" s="6">
        <v>-0.36985540950230844</v>
      </c>
      <c r="J663" s="6">
        <v>9509279</v>
      </c>
      <c r="K663" s="6" t="e">
        <v>#N/A</v>
      </c>
      <c r="L663" t="s">
        <v>17</v>
      </c>
      <c r="M663" t="s">
        <v>100</v>
      </c>
      <c r="N663" s="4" t="s">
        <v>2592</v>
      </c>
      <c r="O663" s="4" t="s">
        <v>2593</v>
      </c>
      <c r="P663" s="4" t="s">
        <v>233</v>
      </c>
    </row>
    <row r="664" spans="1:16" x14ac:dyDescent="0.35">
      <c r="A664" t="s">
        <v>2594</v>
      </c>
      <c r="B664" t="s">
        <v>2595</v>
      </c>
      <c r="C664" t="s">
        <v>16</v>
      </c>
      <c r="D664" s="6">
        <v>170746678.23200706</v>
      </c>
      <c r="E664" s="6">
        <v>203220678.23200706</v>
      </c>
      <c r="F664" s="6">
        <v>8.0299997329711914</v>
      </c>
      <c r="G664" s="6">
        <v>8.0200004577636719</v>
      </c>
      <c r="H664" s="6">
        <v>117.27592313492127</v>
      </c>
      <c r="I664" s="6">
        <v>-0.16659647767579722</v>
      </c>
      <c r="J664" s="6">
        <v>132784000</v>
      </c>
      <c r="K664" s="6">
        <v>49.999999999999993</v>
      </c>
      <c r="L664" t="s">
        <v>17</v>
      </c>
      <c r="M664" t="s">
        <v>40</v>
      </c>
      <c r="N664" s="4" t="s">
        <v>2596</v>
      </c>
      <c r="O664" s="4" t="s">
        <v>2597</v>
      </c>
      <c r="P664" s="4" t="s">
        <v>233</v>
      </c>
    </row>
    <row r="665" spans="1:16" x14ac:dyDescent="0.35">
      <c r="A665" t="s">
        <v>2598</v>
      </c>
      <c r="B665" t="s">
        <v>2599</v>
      </c>
      <c r="C665" t="s">
        <v>16</v>
      </c>
      <c r="D665" s="6">
        <v>3213.2906999999996</v>
      </c>
      <c r="E665" s="6">
        <v>308213.29070000001</v>
      </c>
      <c r="F665" s="6">
        <v>1E-4</v>
      </c>
      <c r="G665" s="6">
        <v>1E-4</v>
      </c>
      <c r="H665" s="6" t="e">
        <v>#N/A</v>
      </c>
      <c r="I665" s="6">
        <v>0</v>
      </c>
      <c r="J665" s="6">
        <v>0</v>
      </c>
      <c r="K665" s="6">
        <v>-97.390202457188664</v>
      </c>
      <c r="L665" t="s">
        <v>17</v>
      </c>
      <c r="M665" t="s">
        <v>18</v>
      </c>
      <c r="N665" s="4" t="s">
        <v>2600</v>
      </c>
      <c r="O665" s="4" t="s">
        <v>2601</v>
      </c>
      <c r="P665" s="4" t="s">
        <v>233</v>
      </c>
    </row>
    <row r="666" spans="1:16" x14ac:dyDescent="0.35">
      <c r="A666" t="s">
        <v>2602</v>
      </c>
      <c r="B666" t="s">
        <v>2603</v>
      </c>
      <c r="C666" t="s">
        <v>16</v>
      </c>
      <c r="D666" s="6">
        <v>2317286.4345302582</v>
      </c>
      <c r="E666" s="6">
        <v>-3334725.5654697418</v>
      </c>
      <c r="F666" s="6">
        <v>3.2000000476837158</v>
      </c>
      <c r="G666" s="6">
        <v>3.0799999237060547</v>
      </c>
      <c r="H666" s="6" t="e">
        <v>#N/A</v>
      </c>
      <c r="I666" s="6">
        <v>-0.5377957309494712</v>
      </c>
      <c r="J666" s="6">
        <v>4597730</v>
      </c>
      <c r="K666" s="6">
        <v>68.92307692307692</v>
      </c>
      <c r="L666" t="s">
        <v>17</v>
      </c>
      <c r="M666" t="s">
        <v>87</v>
      </c>
      <c r="N666" s="4" t="s">
        <v>13047</v>
      </c>
      <c r="O666" s="4" t="s">
        <v>13048</v>
      </c>
      <c r="P666" s="4" t="s">
        <v>233</v>
      </c>
    </row>
    <row r="667" spans="1:16" x14ac:dyDescent="0.35">
      <c r="A667" t="s">
        <v>2604</v>
      </c>
      <c r="B667" t="s">
        <v>2605</v>
      </c>
      <c r="C667" t="s">
        <v>16</v>
      </c>
      <c r="D667" s="6" t="e">
        <v>#N/A</v>
      </c>
      <c r="E667" s="6" t="e">
        <v>#N/A</v>
      </c>
      <c r="F667" s="6">
        <v>9.9999999747524271E-7</v>
      </c>
      <c r="G667" s="6">
        <v>9.9999999747524271E-7</v>
      </c>
      <c r="H667" s="6" t="e">
        <v>#N/A</v>
      </c>
      <c r="I667" s="6">
        <v>0</v>
      </c>
      <c r="J667" s="6" t="e">
        <v>#N/A</v>
      </c>
      <c r="K667" s="6" t="e">
        <v>#N/A</v>
      </c>
      <c r="L667" t="s">
        <v>17</v>
      </c>
      <c r="M667" t="s">
        <v>40</v>
      </c>
      <c r="N667" s="4" t="s">
        <v>2606</v>
      </c>
      <c r="O667" s="4" t="s">
        <v>2607</v>
      </c>
      <c r="P667" s="4" t="s">
        <v>233</v>
      </c>
    </row>
    <row r="668" spans="1:16" x14ac:dyDescent="0.35">
      <c r="A668" t="s">
        <v>2608</v>
      </c>
      <c r="B668" t="s">
        <v>2609</v>
      </c>
      <c r="C668" t="s">
        <v>16</v>
      </c>
      <c r="D668" s="6">
        <v>1514080894.8641207</v>
      </c>
      <c r="E668" s="6">
        <v>2020561894.8641207</v>
      </c>
      <c r="F668" s="6">
        <v>10.680000305175781</v>
      </c>
      <c r="G668" s="6">
        <v>10.829999923706055</v>
      </c>
      <c r="H668" s="6" t="e">
        <v>#N/A</v>
      </c>
      <c r="I668" s="6">
        <v>-0.34722297420432424</v>
      </c>
      <c r="J668" s="6">
        <v>572739000</v>
      </c>
      <c r="K668" s="6">
        <v>15.231788079470196</v>
      </c>
      <c r="L668" t="s">
        <v>17</v>
      </c>
      <c r="M668" t="s">
        <v>27</v>
      </c>
      <c r="N668" s="4" t="s">
        <v>2610</v>
      </c>
      <c r="O668" s="4" t="s">
        <v>2611</v>
      </c>
      <c r="P668" s="4" t="s">
        <v>233</v>
      </c>
    </row>
    <row r="669" spans="1:16" x14ac:dyDescent="0.35">
      <c r="A669" t="s">
        <v>2612</v>
      </c>
      <c r="B669" t="s">
        <v>2613</v>
      </c>
      <c r="C669" t="s">
        <v>16</v>
      </c>
      <c r="D669" s="6">
        <v>341058082338.99994</v>
      </c>
      <c r="E669" s="6" t="e">
        <v>#N/A</v>
      </c>
      <c r="F669" s="6">
        <v>193</v>
      </c>
      <c r="G669" s="6">
        <v>190.5</v>
      </c>
      <c r="H669" s="6">
        <v>25.018387866937438</v>
      </c>
      <c r="I669" s="6">
        <v>0.15587472558907622</v>
      </c>
      <c r="J669" s="6">
        <v>56334000000</v>
      </c>
      <c r="K669" s="6">
        <v>-12.132352941176473</v>
      </c>
      <c r="L669" t="s">
        <v>17</v>
      </c>
      <c r="M669" t="s">
        <v>18</v>
      </c>
      <c r="N669" s="4" t="s">
        <v>2614</v>
      </c>
      <c r="O669" s="4" t="s">
        <v>2615</v>
      </c>
      <c r="P669" s="4" t="s">
        <v>233</v>
      </c>
    </row>
    <row r="670" spans="1:16" x14ac:dyDescent="0.35">
      <c r="A670" t="s">
        <v>2616</v>
      </c>
      <c r="B670" t="s">
        <v>2617</v>
      </c>
      <c r="C670" t="s">
        <v>16</v>
      </c>
      <c r="D670" s="6">
        <v>372331.72618480719</v>
      </c>
      <c r="E670" s="6">
        <v>6907364.2261848068</v>
      </c>
      <c r="F670" s="6">
        <v>3.0000001424923539E-4</v>
      </c>
      <c r="G670" s="6">
        <v>1.9999999494757503E-4</v>
      </c>
      <c r="H670" s="6" t="e">
        <v>#N/A</v>
      </c>
      <c r="I670" s="6">
        <v>-0.74905127014501849</v>
      </c>
      <c r="J670" s="6">
        <v>0</v>
      </c>
      <c r="K670" s="6">
        <v>-20.501138952163998</v>
      </c>
      <c r="L670" t="s">
        <v>17</v>
      </c>
      <c r="M670" t="s">
        <v>18</v>
      </c>
      <c r="N670" s="4" t="s">
        <v>2618</v>
      </c>
      <c r="O670" s="4" t="s">
        <v>2619</v>
      </c>
      <c r="P670" s="4" t="s">
        <v>233</v>
      </c>
    </row>
    <row r="671" spans="1:16" x14ac:dyDescent="0.35">
      <c r="A671" t="s">
        <v>2620</v>
      </c>
      <c r="B671" t="s">
        <v>2621</v>
      </c>
      <c r="C671" t="s">
        <v>16</v>
      </c>
      <c r="D671" s="6">
        <v>1930678312.5</v>
      </c>
      <c r="E671" s="6" t="e">
        <v>#N/A</v>
      </c>
      <c r="F671" s="6">
        <v>62.5</v>
      </c>
      <c r="G671" s="6">
        <v>63.939998626708984</v>
      </c>
      <c r="H671" s="6">
        <v>19.842687176068132</v>
      </c>
      <c r="I671" s="6">
        <v>-0.2785439658456399</v>
      </c>
      <c r="J671" s="6">
        <v>1307015000</v>
      </c>
      <c r="K671" s="6">
        <v>104.28571428571428</v>
      </c>
      <c r="L671" t="s">
        <v>17</v>
      </c>
      <c r="M671" t="s">
        <v>27</v>
      </c>
      <c r="N671" s="4" t="s">
        <v>2622</v>
      </c>
      <c r="O671" s="4" t="s">
        <v>2623</v>
      </c>
      <c r="P671" s="4" t="s">
        <v>233</v>
      </c>
    </row>
    <row r="672" spans="1:16" x14ac:dyDescent="0.35">
      <c r="A672" t="s">
        <v>2624</v>
      </c>
      <c r="B672" t="s">
        <v>2625</v>
      </c>
      <c r="C672" t="s">
        <v>16</v>
      </c>
      <c r="D672" s="6">
        <v>179.30240000000001</v>
      </c>
      <c r="E672" s="6">
        <v>-394070.69749569189</v>
      </c>
      <c r="F672" s="6">
        <v>5.1200000000000002E-2</v>
      </c>
      <c r="G672" s="6">
        <v>5.1200000000000002E-2</v>
      </c>
      <c r="H672" s="6" t="e">
        <v>#N/A</v>
      </c>
      <c r="I672" s="6">
        <v>1.0174350434014001</v>
      </c>
      <c r="J672" s="6" t="e">
        <v>#N/A</v>
      </c>
      <c r="K672" s="6" t="e">
        <v>#N/A</v>
      </c>
      <c r="L672" t="s">
        <v>17</v>
      </c>
      <c r="M672" t="s">
        <v>87</v>
      </c>
      <c r="N672" s="4" t="s">
        <v>2626</v>
      </c>
      <c r="O672" s="4" t="s">
        <v>2627</v>
      </c>
      <c r="P672" s="4" t="s">
        <v>233</v>
      </c>
    </row>
    <row r="673" spans="1:16" x14ac:dyDescent="0.35">
      <c r="A673" t="s">
        <v>2628</v>
      </c>
      <c r="B673" t="s">
        <v>2629</v>
      </c>
      <c r="C673" t="s">
        <v>16</v>
      </c>
      <c r="D673" s="6">
        <v>297121128.4027915</v>
      </c>
      <c r="E673" s="6">
        <v>327441480.4027915</v>
      </c>
      <c r="F673" s="6">
        <v>6.8600001335144043</v>
      </c>
      <c r="G673" s="6">
        <v>6.3899998664855957</v>
      </c>
      <c r="H673" s="6" t="e">
        <v>#N/A</v>
      </c>
      <c r="I673" s="6">
        <v>0.12056552633155593</v>
      </c>
      <c r="J673" s="6">
        <v>193059113</v>
      </c>
      <c r="K673" s="6">
        <v>34.693877551020414</v>
      </c>
      <c r="L673" t="s">
        <v>17</v>
      </c>
      <c r="M673" t="s">
        <v>32</v>
      </c>
      <c r="N673" s="4" t="s">
        <v>2630</v>
      </c>
      <c r="O673" s="4" t="s">
        <v>2631</v>
      </c>
      <c r="P673" s="4" t="s">
        <v>233</v>
      </c>
    </row>
    <row r="674" spans="1:16" x14ac:dyDescent="0.35">
      <c r="A674" t="s">
        <v>2632</v>
      </c>
      <c r="B674" t="s">
        <v>2633</v>
      </c>
      <c r="C674" t="s">
        <v>16</v>
      </c>
      <c r="D674" s="6">
        <v>55269.244400000011</v>
      </c>
      <c r="E674" s="6">
        <v>-25743.755599999989</v>
      </c>
      <c r="F674" s="6">
        <v>9.9999999747524271E-7</v>
      </c>
      <c r="G674" s="6">
        <v>9.9999999747524271E-7</v>
      </c>
      <c r="H674" s="6" t="e">
        <v>#N/A</v>
      </c>
      <c r="I674" s="6">
        <v>-0.99989846415349015</v>
      </c>
      <c r="J674" s="6">
        <v>0</v>
      </c>
      <c r="K674" s="6">
        <v>90.64</v>
      </c>
      <c r="L674" t="s">
        <v>17</v>
      </c>
      <c r="M674" t="s">
        <v>87</v>
      </c>
      <c r="N674" s="4" t="s">
        <v>2634</v>
      </c>
      <c r="O674" s="4" t="s">
        <v>2635</v>
      </c>
      <c r="P674" s="4" t="s">
        <v>233</v>
      </c>
    </row>
    <row r="675" spans="1:16" x14ac:dyDescent="0.35">
      <c r="A675" t="s">
        <v>2636</v>
      </c>
      <c r="B675" t="s">
        <v>2637</v>
      </c>
      <c r="C675" t="s">
        <v>16</v>
      </c>
      <c r="D675" s="6">
        <v>64150.731699999989</v>
      </c>
      <c r="E675" s="6">
        <v>9005882.7316999976</v>
      </c>
      <c r="F675" s="6">
        <v>9.9999999747524271E-7</v>
      </c>
      <c r="G675" s="6">
        <v>9.9999999747524271E-7</v>
      </c>
      <c r="H675" s="6" t="e">
        <v>#N/A</v>
      </c>
      <c r="I675" s="6">
        <v>0</v>
      </c>
      <c r="J675" s="6">
        <v>82049</v>
      </c>
      <c r="K675" s="6">
        <v>100</v>
      </c>
      <c r="L675" t="s">
        <v>17</v>
      </c>
      <c r="M675" t="s">
        <v>18</v>
      </c>
      <c r="N675" s="4" t="s">
        <v>2638</v>
      </c>
      <c r="O675" s="4" t="s">
        <v>2639</v>
      </c>
      <c r="P675" s="4" t="s">
        <v>233</v>
      </c>
    </row>
    <row r="676" spans="1:16" x14ac:dyDescent="0.35">
      <c r="A676" t="s">
        <v>2640</v>
      </c>
      <c r="B676" t="s">
        <v>2641</v>
      </c>
      <c r="C676" t="s">
        <v>16</v>
      </c>
      <c r="D676" s="6">
        <v>7246271926.6858978</v>
      </c>
      <c r="E676" s="6">
        <v>8697206926.6858978</v>
      </c>
      <c r="F676" s="6">
        <v>126.12000274658203</v>
      </c>
      <c r="G676" s="6">
        <v>127.76000213623047</v>
      </c>
      <c r="H676" s="6">
        <v>24.555300776451762</v>
      </c>
      <c r="I676" s="6">
        <v>5.5341093481780623E-2</v>
      </c>
      <c r="J676" s="6">
        <v>4260484999.9999995</v>
      </c>
      <c r="K676" s="6">
        <v>39.893617021276597</v>
      </c>
      <c r="L676" t="s">
        <v>17</v>
      </c>
      <c r="M676" t="s">
        <v>40</v>
      </c>
      <c r="N676" s="4" t="s">
        <v>2642</v>
      </c>
      <c r="O676" s="4" t="s">
        <v>2643</v>
      </c>
      <c r="P676" s="4" t="s">
        <v>233</v>
      </c>
    </row>
    <row r="677" spans="1:16" x14ac:dyDescent="0.35">
      <c r="A677" t="s">
        <v>2644</v>
      </c>
      <c r="B677" t="s">
        <v>2645</v>
      </c>
      <c r="C677" t="s">
        <v>16</v>
      </c>
      <c r="D677" s="6">
        <v>51834.769099999998</v>
      </c>
      <c r="E677" s="6">
        <v>-117165.23089999994</v>
      </c>
      <c r="F677" s="6">
        <v>9.9999999747524271E-7</v>
      </c>
      <c r="G677" s="6">
        <v>9.9999999747524271E-7</v>
      </c>
      <c r="H677" s="6" t="e">
        <v>#N/A</v>
      </c>
      <c r="I677" s="6">
        <v>-0.99985364495713547</v>
      </c>
      <c r="J677" s="6">
        <v>0</v>
      </c>
      <c r="K677" s="6">
        <v>48.774608276416224</v>
      </c>
      <c r="L677" t="s">
        <v>17</v>
      </c>
      <c r="M677" t="s">
        <v>18</v>
      </c>
      <c r="N677" s="4" t="s">
        <v>2646</v>
      </c>
      <c r="O677" s="4" t="s">
        <v>2647</v>
      </c>
      <c r="P677" s="4" t="s">
        <v>233</v>
      </c>
    </row>
    <row r="678" spans="1:16" x14ac:dyDescent="0.35">
      <c r="A678" t="s">
        <v>2648</v>
      </c>
      <c r="B678" t="s">
        <v>2649</v>
      </c>
      <c r="C678" t="s">
        <v>16</v>
      </c>
      <c r="D678" s="6">
        <v>15857905.207514627</v>
      </c>
      <c r="E678" s="6">
        <v>13005300.207514627</v>
      </c>
      <c r="F678" s="6">
        <v>0.14000000059604645</v>
      </c>
      <c r="G678" s="6">
        <v>0.15889999270439148</v>
      </c>
      <c r="H678" s="6" t="e">
        <v>#N/A</v>
      </c>
      <c r="I678" s="6">
        <v>-0.51627986522673752</v>
      </c>
      <c r="J678" s="6">
        <v>0</v>
      </c>
      <c r="K678" s="6">
        <v>91.856144960149308</v>
      </c>
      <c r="L678" t="s">
        <v>17</v>
      </c>
      <c r="M678" t="s">
        <v>18</v>
      </c>
      <c r="N678" s="4" t="s">
        <v>2650</v>
      </c>
      <c r="O678" s="4" t="s">
        <v>2651</v>
      </c>
      <c r="P678" s="4" t="s">
        <v>233</v>
      </c>
    </row>
    <row r="679" spans="1:16" x14ac:dyDescent="0.35">
      <c r="A679" t="s">
        <v>2652</v>
      </c>
      <c r="B679" t="s">
        <v>2653</v>
      </c>
      <c r="C679" t="s">
        <v>16</v>
      </c>
      <c r="D679" s="6">
        <v>3178085181.5734692</v>
      </c>
      <c r="E679" s="6">
        <v>2662125181.5734692</v>
      </c>
      <c r="F679" s="6">
        <v>19.100000381469727</v>
      </c>
      <c r="G679" s="6">
        <v>18.290000915527344</v>
      </c>
      <c r="H679" s="6">
        <v>24.487179976243237</v>
      </c>
      <c r="I679" s="6">
        <v>-0.28559018766459399</v>
      </c>
      <c r="J679" s="6">
        <v>929236000</v>
      </c>
      <c r="K679" s="6" t="e">
        <v>#N/A</v>
      </c>
      <c r="L679" t="s">
        <v>17</v>
      </c>
      <c r="M679" t="s">
        <v>18</v>
      </c>
      <c r="N679" s="4" t="s">
        <v>2654</v>
      </c>
      <c r="O679" s="4" t="s">
        <v>2655</v>
      </c>
      <c r="P679" s="4" t="s">
        <v>233</v>
      </c>
    </row>
    <row r="680" spans="1:16" x14ac:dyDescent="0.35">
      <c r="A680" t="s">
        <v>2656</v>
      </c>
      <c r="B680" t="s">
        <v>2657</v>
      </c>
      <c r="C680" t="s">
        <v>16</v>
      </c>
      <c r="D680" s="6">
        <v>270599674.68442154</v>
      </c>
      <c r="E680" s="6">
        <v>220013674.68442154</v>
      </c>
      <c r="F680" s="6">
        <v>6.0799999237060547</v>
      </c>
      <c r="G680" s="6">
        <v>5.6500000953674316</v>
      </c>
      <c r="H680" s="6" t="e">
        <v>#N/A</v>
      </c>
      <c r="I680" s="6">
        <v>-0.48641571151774621</v>
      </c>
      <c r="J680" s="6">
        <v>10000000</v>
      </c>
      <c r="K680" s="6">
        <v>21.03960396041111</v>
      </c>
      <c r="L680" t="s">
        <v>17</v>
      </c>
      <c r="M680" t="s">
        <v>18</v>
      </c>
      <c r="N680" s="4" t="s">
        <v>2658</v>
      </c>
      <c r="O680" s="4" t="s">
        <v>2659</v>
      </c>
      <c r="P680" s="4" t="s">
        <v>233</v>
      </c>
    </row>
    <row r="681" spans="1:16" x14ac:dyDescent="0.35">
      <c r="A681" t="s">
        <v>2660</v>
      </c>
      <c r="B681" t="s">
        <v>2661</v>
      </c>
      <c r="C681" t="s">
        <v>16</v>
      </c>
      <c r="D681" s="6">
        <v>11439418692.304825</v>
      </c>
      <c r="E681" s="6">
        <v>11380831692.304825</v>
      </c>
      <c r="F681" s="6">
        <v>84.010002136230469</v>
      </c>
      <c r="G681" s="6">
        <v>83.639999389648438</v>
      </c>
      <c r="H681" s="6">
        <v>57.493173249579272</v>
      </c>
      <c r="I681" s="6">
        <v>0.60423110114173317</v>
      </c>
      <c r="J681" s="6">
        <v>2478596000</v>
      </c>
      <c r="K681" s="6">
        <v>-57.324840764331206</v>
      </c>
      <c r="L681" t="s">
        <v>17</v>
      </c>
      <c r="M681" t="s">
        <v>27</v>
      </c>
      <c r="N681" s="4" t="s">
        <v>2662</v>
      </c>
      <c r="O681" s="4" t="s">
        <v>2663</v>
      </c>
      <c r="P681" s="4" t="s">
        <v>233</v>
      </c>
    </row>
    <row r="682" spans="1:16" x14ac:dyDescent="0.35">
      <c r="A682" t="s">
        <v>2664</v>
      </c>
      <c r="B682" t="s">
        <v>2665</v>
      </c>
      <c r="C682" t="s">
        <v>16</v>
      </c>
      <c r="D682" s="6">
        <v>49569828.49178946</v>
      </c>
      <c r="E682" s="6">
        <v>146484828.49178946</v>
      </c>
      <c r="F682" s="6">
        <v>0.12999999523162842</v>
      </c>
      <c r="G682" s="6">
        <v>0.12600000202655792</v>
      </c>
      <c r="H682" s="6" t="e">
        <v>#N/A</v>
      </c>
      <c r="I682" s="6">
        <v>-0.57277623792016497</v>
      </c>
      <c r="J682" s="6">
        <v>157861000</v>
      </c>
      <c r="K682" s="6" t="e">
        <v>#N/A</v>
      </c>
      <c r="L682" t="s">
        <v>17</v>
      </c>
      <c r="M682" t="s">
        <v>87</v>
      </c>
      <c r="N682" s="4" t="s">
        <v>2666</v>
      </c>
      <c r="O682" s="4" t="s">
        <v>2667</v>
      </c>
      <c r="P682" s="4" t="s">
        <v>233</v>
      </c>
    </row>
    <row r="683" spans="1:16" x14ac:dyDescent="0.35">
      <c r="A683" t="s">
        <v>2668</v>
      </c>
      <c r="B683" t="s">
        <v>2669</v>
      </c>
      <c r="C683" t="s">
        <v>16</v>
      </c>
      <c r="D683" s="6">
        <v>136954636.48745346</v>
      </c>
      <c r="E683" s="6">
        <v>126599636.48745346</v>
      </c>
      <c r="F683" s="6">
        <v>2.7899999618530273</v>
      </c>
      <c r="G683" s="6">
        <v>2.7100000381469727</v>
      </c>
      <c r="H683" s="6">
        <v>5.8124999205271406</v>
      </c>
      <c r="I683" s="6">
        <v>-0.56033203641019136</v>
      </c>
      <c r="J683" s="6">
        <v>243591000</v>
      </c>
      <c r="K683" s="6">
        <v>517.22045057092896</v>
      </c>
      <c r="L683" t="s">
        <v>17</v>
      </c>
      <c r="M683" t="s">
        <v>18</v>
      </c>
      <c r="N683" s="4" t="s">
        <v>2670</v>
      </c>
      <c r="O683" s="4" t="s">
        <v>2671</v>
      </c>
      <c r="P683" s="4" t="s">
        <v>233</v>
      </c>
    </row>
    <row r="684" spans="1:16" x14ac:dyDescent="0.35">
      <c r="A684" t="s">
        <v>2672</v>
      </c>
      <c r="B684" t="s">
        <v>2673</v>
      </c>
      <c r="C684" t="s">
        <v>16</v>
      </c>
      <c r="D684" s="6">
        <v>996388772.25090027</v>
      </c>
      <c r="E684" s="6">
        <v>1718778772.2509003</v>
      </c>
      <c r="F684" s="6">
        <v>24.600000381469727</v>
      </c>
      <c r="G684" s="6">
        <v>25.770000457763672</v>
      </c>
      <c r="H684" s="6">
        <v>29.564678600064088</v>
      </c>
      <c r="I684" s="6">
        <v>1.0727574093284984</v>
      </c>
      <c r="J684" s="6">
        <v>1106116000</v>
      </c>
      <c r="K684" s="6">
        <v>33.333333333333336</v>
      </c>
      <c r="L684" t="s">
        <v>17</v>
      </c>
      <c r="M684" t="s">
        <v>87</v>
      </c>
      <c r="N684" s="4" t="s">
        <v>2674</v>
      </c>
      <c r="O684" s="4" t="s">
        <v>2675</v>
      </c>
      <c r="P684" s="4" t="s">
        <v>233</v>
      </c>
    </row>
    <row r="685" spans="1:16" x14ac:dyDescent="0.35">
      <c r="A685" t="s">
        <v>2676</v>
      </c>
      <c r="B685" t="s">
        <v>2677</v>
      </c>
      <c r="C685" t="s">
        <v>16</v>
      </c>
      <c r="D685" s="6">
        <v>63763535.53920795</v>
      </c>
      <c r="E685" s="6" t="e">
        <v>#N/A</v>
      </c>
      <c r="F685" s="6">
        <v>0.20999999344348907</v>
      </c>
      <c r="G685" s="6">
        <v>0.18000000715255737</v>
      </c>
      <c r="H685" s="6" t="e">
        <v>#N/A</v>
      </c>
      <c r="I685" s="6">
        <v>2.2706145444624148</v>
      </c>
      <c r="J685" s="6" t="e">
        <v>#N/A</v>
      </c>
      <c r="K685" s="6" t="e">
        <v>#N/A</v>
      </c>
      <c r="L685" t="s">
        <v>17</v>
      </c>
      <c r="M685" t="s">
        <v>87</v>
      </c>
      <c r="N685" s="4" t="s">
        <v>2678</v>
      </c>
      <c r="O685" s="4" t="s">
        <v>2679</v>
      </c>
      <c r="P685" s="4" t="s">
        <v>233</v>
      </c>
    </row>
    <row r="686" spans="1:16" x14ac:dyDescent="0.35">
      <c r="A686" t="s">
        <v>2680</v>
      </c>
      <c r="B686" t="s">
        <v>2681</v>
      </c>
      <c r="C686" t="s">
        <v>16</v>
      </c>
      <c r="D686" s="6">
        <v>6353612.5035161972</v>
      </c>
      <c r="E686" s="6">
        <v>-484143.4964838028</v>
      </c>
      <c r="F686" s="6">
        <v>4.119999885559082</v>
      </c>
      <c r="G686" s="6">
        <v>4.0163998603820801</v>
      </c>
      <c r="H686" s="6" t="e">
        <v>#N/A</v>
      </c>
      <c r="I686" s="6">
        <v>6.7498358103098344E-2</v>
      </c>
      <c r="J686" s="6">
        <v>2523427</v>
      </c>
      <c r="K686" s="6">
        <v>10.004452645107316</v>
      </c>
      <c r="L686" t="s">
        <v>17</v>
      </c>
      <c r="M686" t="s">
        <v>18</v>
      </c>
      <c r="N686" s="4" t="s">
        <v>2682</v>
      </c>
      <c r="O686" s="4" t="s">
        <v>2683</v>
      </c>
      <c r="P686" s="4" t="s">
        <v>233</v>
      </c>
    </row>
    <row r="687" spans="1:16" x14ac:dyDescent="0.35">
      <c r="A687" t="s">
        <v>2684</v>
      </c>
      <c r="B687" t="s">
        <v>2685</v>
      </c>
      <c r="C687" t="s">
        <v>16</v>
      </c>
      <c r="D687" s="6">
        <v>2152999546.9537158</v>
      </c>
      <c r="E687" s="6">
        <v>1787942546.9537158</v>
      </c>
      <c r="F687" s="6">
        <v>38.990001678466797</v>
      </c>
      <c r="G687" s="6">
        <v>38.400001525878906</v>
      </c>
      <c r="H687" s="6">
        <v>30.8496443298584</v>
      </c>
      <c r="I687" s="6">
        <v>0.37411173349818649</v>
      </c>
      <c r="J687" s="6">
        <v>651972000</v>
      </c>
      <c r="K687" s="6">
        <v>129.78723404255322</v>
      </c>
      <c r="L687" t="s">
        <v>17</v>
      </c>
      <c r="M687" t="s">
        <v>87</v>
      </c>
      <c r="N687" s="4" t="s">
        <v>2686</v>
      </c>
      <c r="O687" s="4" t="s">
        <v>2687</v>
      </c>
      <c r="P687" s="4" t="s">
        <v>233</v>
      </c>
    </row>
    <row r="688" spans="1:16" x14ac:dyDescent="0.35">
      <c r="A688" t="s">
        <v>2688</v>
      </c>
      <c r="B688" t="s">
        <v>2689</v>
      </c>
      <c r="C688" t="s">
        <v>16</v>
      </c>
      <c r="D688" s="6" t="e">
        <v>#N/A</v>
      </c>
      <c r="E688" s="6" t="e">
        <v>#N/A</v>
      </c>
      <c r="F688" s="6" t="e">
        <v>#N/A</v>
      </c>
      <c r="G688" s="6" t="e">
        <v>#N/A</v>
      </c>
      <c r="H688" s="6" t="e">
        <v>#N/A</v>
      </c>
      <c r="I688" s="6">
        <v>0</v>
      </c>
      <c r="J688" s="6">
        <v>5260941</v>
      </c>
      <c r="K688" s="6">
        <v>26.666666666666664</v>
      </c>
      <c r="L688" t="s">
        <v>17</v>
      </c>
      <c r="M688" t="s">
        <v>87</v>
      </c>
      <c r="N688" s="4" t="s">
        <v>2690</v>
      </c>
      <c r="O688" s="4" t="s">
        <v>2691</v>
      </c>
      <c r="P688" s="4" t="s">
        <v>233</v>
      </c>
    </row>
    <row r="689" spans="1:16" x14ac:dyDescent="0.35">
      <c r="A689" t="s">
        <v>2692</v>
      </c>
      <c r="B689" t="s">
        <v>2693</v>
      </c>
      <c r="C689" t="s">
        <v>16</v>
      </c>
      <c r="D689" s="6">
        <v>1205311.5223100185</v>
      </c>
      <c r="E689" s="6">
        <v>10563502.522310019</v>
      </c>
      <c r="F689" s="6">
        <v>0.27120000123977661</v>
      </c>
      <c r="G689" s="6">
        <v>0.21500000357627869</v>
      </c>
      <c r="H689" s="6" t="e">
        <v>#N/A</v>
      </c>
      <c r="I689" s="6">
        <v>-0.91164761428087016</v>
      </c>
      <c r="J689" s="6">
        <v>148162</v>
      </c>
      <c r="K689" s="6">
        <v>53.795600204458779</v>
      </c>
      <c r="L689" t="s">
        <v>17</v>
      </c>
      <c r="M689" t="s">
        <v>27</v>
      </c>
      <c r="N689" s="4" t="s">
        <v>2694</v>
      </c>
      <c r="O689" s="4" t="s">
        <v>2695</v>
      </c>
      <c r="P689" s="4" t="s">
        <v>233</v>
      </c>
    </row>
    <row r="690" spans="1:16" x14ac:dyDescent="0.35">
      <c r="A690" t="s">
        <v>2696</v>
      </c>
      <c r="B690" t="s">
        <v>2697</v>
      </c>
      <c r="C690" t="s">
        <v>16</v>
      </c>
      <c r="D690" s="6">
        <v>18878228.046994209</v>
      </c>
      <c r="E690" s="6">
        <v>-945403.95300579444</v>
      </c>
      <c r="F690" s="6">
        <v>3.5299999713897705</v>
      </c>
      <c r="G690" s="6">
        <v>3.4500000476837158</v>
      </c>
      <c r="H690" s="6" t="e">
        <v>#N/A</v>
      </c>
      <c r="I690" s="6">
        <v>-0.117198563853532</v>
      </c>
      <c r="J690" s="6">
        <v>7922927</v>
      </c>
      <c r="K690" s="6">
        <v>74.431210641221327</v>
      </c>
      <c r="L690" t="s">
        <v>17</v>
      </c>
      <c r="M690" t="s">
        <v>87</v>
      </c>
      <c r="N690" s="4" t="s">
        <v>2698</v>
      </c>
      <c r="O690" s="4" t="s">
        <v>2699</v>
      </c>
      <c r="P690" s="4" t="s">
        <v>233</v>
      </c>
    </row>
    <row r="691" spans="1:16" x14ac:dyDescent="0.35">
      <c r="A691" t="s">
        <v>2700</v>
      </c>
      <c r="B691" t="s">
        <v>2701</v>
      </c>
      <c r="C691" t="s">
        <v>16</v>
      </c>
      <c r="D691" s="6" t="e">
        <v>#N/A</v>
      </c>
      <c r="E691" s="6" t="e">
        <v>#N/A</v>
      </c>
      <c r="F691" s="6">
        <v>9.9999999747524271E-7</v>
      </c>
      <c r="G691" s="6">
        <v>9.9999999747524271E-7</v>
      </c>
      <c r="H691" s="6" t="e">
        <v>#N/A</v>
      </c>
      <c r="I691" s="6">
        <v>-0.9999999983974216</v>
      </c>
      <c r="J691" s="6">
        <v>1805202</v>
      </c>
      <c r="K691" s="6">
        <v>59.550561797752806</v>
      </c>
      <c r="L691" t="s">
        <v>17</v>
      </c>
      <c r="M691" t="s">
        <v>27</v>
      </c>
      <c r="N691" s="4" t="s">
        <v>2702</v>
      </c>
      <c r="O691" s="4" t="s">
        <v>2703</v>
      </c>
      <c r="P691" s="4" t="s">
        <v>233</v>
      </c>
    </row>
    <row r="692" spans="1:16" x14ac:dyDescent="0.35">
      <c r="A692" t="s">
        <v>2704</v>
      </c>
      <c r="B692" t="s">
        <v>2705</v>
      </c>
      <c r="C692" t="s">
        <v>16</v>
      </c>
      <c r="D692" s="6">
        <v>8741632.0450000782</v>
      </c>
      <c r="E692" s="6">
        <v>3351632.0450000782</v>
      </c>
      <c r="F692" s="6">
        <v>1.8300000429153442</v>
      </c>
      <c r="G692" s="6">
        <v>1.9099999666213989</v>
      </c>
      <c r="H692" s="6" t="e">
        <v>#N/A</v>
      </c>
      <c r="I692" s="6">
        <v>-0.70390092413816552</v>
      </c>
      <c r="J692" s="6">
        <v>0</v>
      </c>
      <c r="K692" s="6">
        <v>79.526593694027724</v>
      </c>
      <c r="L692" t="s">
        <v>17</v>
      </c>
      <c r="M692" t="s">
        <v>18</v>
      </c>
      <c r="N692" s="4" t="s">
        <v>2706</v>
      </c>
      <c r="O692" s="4" t="s">
        <v>2707</v>
      </c>
      <c r="P692" s="4" t="s">
        <v>233</v>
      </c>
    </row>
    <row r="693" spans="1:16" x14ac:dyDescent="0.35">
      <c r="A693" t="s">
        <v>2708</v>
      </c>
      <c r="B693" t="s">
        <v>2709</v>
      </c>
      <c r="C693" t="s">
        <v>16</v>
      </c>
      <c r="D693" s="6">
        <v>17481.650099999995</v>
      </c>
      <c r="E693" s="6" t="e">
        <v>#N/A</v>
      </c>
      <c r="F693" s="6">
        <v>2.9999999999999997E-4</v>
      </c>
      <c r="G693" s="6">
        <v>1E-4</v>
      </c>
      <c r="H693" s="6" t="e">
        <v>#N/A</v>
      </c>
      <c r="I693" s="6">
        <v>-0.98314584101232583</v>
      </c>
      <c r="J693" s="6" t="e">
        <v>#N/A</v>
      </c>
      <c r="K693" s="6" t="e">
        <v>#N/A</v>
      </c>
      <c r="L693" t="s">
        <v>17</v>
      </c>
      <c r="M693" t="s">
        <v>87</v>
      </c>
      <c r="N693" s="4" t="s">
        <v>2710</v>
      </c>
      <c r="O693" s="4" t="s">
        <v>2711</v>
      </c>
      <c r="P693" s="4" t="s">
        <v>233</v>
      </c>
    </row>
    <row r="694" spans="1:16" x14ac:dyDescent="0.35">
      <c r="A694" t="s">
        <v>2712</v>
      </c>
      <c r="B694" t="s">
        <v>2713</v>
      </c>
      <c r="C694" t="s">
        <v>16</v>
      </c>
      <c r="D694" s="6">
        <v>12209094.952344596</v>
      </c>
      <c r="E694" s="6">
        <v>10263094.952344596</v>
      </c>
      <c r="F694" s="6">
        <v>0.55500000715255737</v>
      </c>
      <c r="G694" s="6">
        <v>0.56319999694824219</v>
      </c>
      <c r="H694" s="6" t="e">
        <v>#N/A</v>
      </c>
      <c r="I694" s="6">
        <v>-0.74562308145276734</v>
      </c>
      <c r="J694" s="6">
        <v>17682000</v>
      </c>
      <c r="K694" s="6">
        <v>41.964285714285715</v>
      </c>
      <c r="L694" t="s">
        <v>17</v>
      </c>
      <c r="M694" t="s">
        <v>27</v>
      </c>
      <c r="N694" s="4" t="s">
        <v>2714</v>
      </c>
      <c r="O694" s="4" t="s">
        <v>2715</v>
      </c>
      <c r="P694" s="4" t="s">
        <v>233</v>
      </c>
    </row>
    <row r="695" spans="1:16" x14ac:dyDescent="0.35">
      <c r="A695" t="s">
        <v>2716</v>
      </c>
      <c r="B695" t="s">
        <v>2717</v>
      </c>
      <c r="C695" t="s">
        <v>16</v>
      </c>
      <c r="D695" s="6">
        <v>3744421643.5902901</v>
      </c>
      <c r="E695" s="6">
        <v>3769098643.5902901</v>
      </c>
      <c r="F695" s="6">
        <v>15.840000152587891</v>
      </c>
      <c r="G695" s="6">
        <v>15.539999961853027</v>
      </c>
      <c r="H695" s="6">
        <v>42.583850807555116</v>
      </c>
      <c r="I695" s="6">
        <v>1.8926687686614474</v>
      </c>
      <c r="J695" s="6">
        <v>382808677</v>
      </c>
      <c r="K695" s="6" t="e">
        <v>#N/A</v>
      </c>
      <c r="L695" t="s">
        <v>17</v>
      </c>
      <c r="M695" t="s">
        <v>18</v>
      </c>
      <c r="N695" s="4" t="s">
        <v>2718</v>
      </c>
      <c r="O695" s="4" t="s">
        <v>2719</v>
      </c>
      <c r="P695" s="4" t="s">
        <v>233</v>
      </c>
    </row>
    <row r="696" spans="1:16" x14ac:dyDescent="0.35">
      <c r="A696" t="s">
        <v>2720</v>
      </c>
      <c r="B696" t="s">
        <v>2721</v>
      </c>
      <c r="C696" t="s">
        <v>16</v>
      </c>
      <c r="D696" s="6" t="e">
        <v>#N/A</v>
      </c>
      <c r="E696" s="6" t="e">
        <v>#N/A</v>
      </c>
      <c r="F696" s="6">
        <v>9.9999999747524271E-7</v>
      </c>
      <c r="G696" s="6">
        <v>9.9999999747524271E-7</v>
      </c>
      <c r="H696" s="6" t="e">
        <v>#N/A</v>
      </c>
      <c r="I696" s="6">
        <v>6.6613381477509392E-16</v>
      </c>
      <c r="J696" s="6" t="e">
        <v>#N/A</v>
      </c>
      <c r="K696" s="6" t="e">
        <v>#N/A</v>
      </c>
      <c r="L696" t="s">
        <v>17</v>
      </c>
      <c r="M696" t="s">
        <v>32</v>
      </c>
      <c r="N696" s="4" t="s">
        <v>2722</v>
      </c>
      <c r="O696" s="4" t="s">
        <v>2723</v>
      </c>
      <c r="P696" s="4" t="s">
        <v>233</v>
      </c>
    </row>
    <row r="697" spans="1:16" x14ac:dyDescent="0.35">
      <c r="A697" t="s">
        <v>2724</v>
      </c>
      <c r="B697" t="s">
        <v>2725</v>
      </c>
      <c r="C697" t="s">
        <v>16</v>
      </c>
      <c r="D697" s="6">
        <v>150632281.18558884</v>
      </c>
      <c r="E697" s="6">
        <v>-15630718.814411163</v>
      </c>
      <c r="F697" s="6">
        <v>2.4000000953674316</v>
      </c>
      <c r="G697" s="6">
        <v>2.4100000858306885</v>
      </c>
      <c r="H697" s="6" t="e">
        <v>#N/A</v>
      </c>
      <c r="I697" s="6">
        <v>-0.86533372544471177</v>
      </c>
      <c r="J697" s="6">
        <v>141329000</v>
      </c>
      <c r="K697" s="6" t="e">
        <v>#N/A</v>
      </c>
      <c r="L697" t="s">
        <v>17</v>
      </c>
      <c r="M697" t="s">
        <v>18</v>
      </c>
      <c r="N697" s="4" t="s">
        <v>2726</v>
      </c>
      <c r="O697" s="4" t="s">
        <v>2727</v>
      </c>
      <c r="P697" s="4" t="s">
        <v>233</v>
      </c>
    </row>
    <row r="698" spans="1:16" x14ac:dyDescent="0.35">
      <c r="A698" t="s">
        <v>2728</v>
      </c>
      <c r="B698" t="s">
        <v>2729</v>
      </c>
      <c r="C698" t="s">
        <v>16</v>
      </c>
      <c r="D698" s="6">
        <v>1529951183.3867111</v>
      </c>
      <c r="E698" s="6">
        <v>1909308183.3867111</v>
      </c>
      <c r="F698" s="6">
        <v>31.819999694824219</v>
      </c>
      <c r="G698" s="6">
        <v>32.110000610351563</v>
      </c>
      <c r="H698" s="6">
        <v>9.8828315135063445</v>
      </c>
      <c r="I698" s="6">
        <v>-0.43111010158892182</v>
      </c>
      <c r="J698" s="6">
        <v>723549000</v>
      </c>
      <c r="K698" s="6">
        <v>16.264787352019635</v>
      </c>
      <c r="L698" t="s">
        <v>17</v>
      </c>
      <c r="M698" t="s">
        <v>87</v>
      </c>
      <c r="N698" s="4" t="s">
        <v>2730</v>
      </c>
      <c r="O698" s="4" t="s">
        <v>2731</v>
      </c>
      <c r="P698" s="4" t="s">
        <v>233</v>
      </c>
    </row>
    <row r="699" spans="1:16" x14ac:dyDescent="0.35">
      <c r="A699" t="s">
        <v>2732</v>
      </c>
      <c r="B699" t="s">
        <v>2733</v>
      </c>
      <c r="C699" t="s">
        <v>16</v>
      </c>
      <c r="D699" s="6">
        <v>253018582.05462694</v>
      </c>
      <c r="E699" s="6">
        <v>280848582.05462694</v>
      </c>
      <c r="F699" s="6">
        <v>3.9749999046325684</v>
      </c>
      <c r="G699" s="6">
        <v>3.9900000095367432</v>
      </c>
      <c r="H699" s="6" t="e">
        <v>#N/A</v>
      </c>
      <c r="I699" s="6">
        <v>6.835481100114249E-2</v>
      </c>
      <c r="J699" s="6">
        <v>72711000</v>
      </c>
      <c r="K699" s="6">
        <v>-4.2372881355932241</v>
      </c>
      <c r="L699" t="s">
        <v>17</v>
      </c>
      <c r="M699" t="s">
        <v>27</v>
      </c>
      <c r="N699" s="4" t="s">
        <v>2734</v>
      </c>
      <c r="O699" s="4" t="s">
        <v>2735</v>
      </c>
      <c r="P699" s="4" t="s">
        <v>233</v>
      </c>
    </row>
    <row r="700" spans="1:16" x14ac:dyDescent="0.35">
      <c r="A700" t="s">
        <v>2736</v>
      </c>
      <c r="B700" t="s">
        <v>2737</v>
      </c>
      <c r="C700" t="s">
        <v>16</v>
      </c>
      <c r="D700" s="6">
        <v>43641338.745225549</v>
      </c>
      <c r="E700" s="6">
        <v>-22513661.254774451</v>
      </c>
      <c r="F700" s="6">
        <v>1.1499999761581421</v>
      </c>
      <c r="G700" s="6">
        <v>1.1799999475479126</v>
      </c>
      <c r="H700" s="6" t="e">
        <v>#N/A</v>
      </c>
      <c r="I700" s="6">
        <v>-0.36385304130880813</v>
      </c>
      <c r="J700" s="6">
        <v>8565000</v>
      </c>
      <c r="K700" s="6" t="e">
        <v>#N/A</v>
      </c>
      <c r="L700" t="s">
        <v>17</v>
      </c>
      <c r="M700" t="s">
        <v>87</v>
      </c>
      <c r="N700" s="4" t="s">
        <v>2738</v>
      </c>
      <c r="O700" s="4" t="s">
        <v>2739</v>
      </c>
      <c r="P700" s="4" t="s">
        <v>233</v>
      </c>
    </row>
    <row r="701" spans="1:16" x14ac:dyDescent="0.35">
      <c r="A701" t="s">
        <v>2740</v>
      </c>
      <c r="B701" t="s">
        <v>2741</v>
      </c>
      <c r="C701" t="s">
        <v>16</v>
      </c>
      <c r="D701" s="6">
        <v>9923741725.2614212</v>
      </c>
      <c r="E701" s="6">
        <v>10736767725.261421</v>
      </c>
      <c r="F701" s="6">
        <v>114.51000213623047</v>
      </c>
      <c r="G701" s="6">
        <v>111.97000122070313</v>
      </c>
      <c r="H701" s="6">
        <v>78.166331709092702</v>
      </c>
      <c r="I701" s="6">
        <v>0.42234895856026733</v>
      </c>
      <c r="J701" s="6">
        <v>1150344000</v>
      </c>
      <c r="K701" s="6">
        <v>229.41176470588235</v>
      </c>
      <c r="L701" t="s">
        <v>17</v>
      </c>
      <c r="M701" t="s">
        <v>40</v>
      </c>
      <c r="N701" s="4" t="s">
        <v>2742</v>
      </c>
      <c r="O701" s="4" t="s">
        <v>2743</v>
      </c>
      <c r="P701" s="4" t="s">
        <v>233</v>
      </c>
    </row>
    <row r="702" spans="1:16" x14ac:dyDescent="0.35">
      <c r="A702" t="s">
        <v>2744</v>
      </c>
      <c r="B702" t="s">
        <v>2745</v>
      </c>
      <c r="C702" t="s">
        <v>16</v>
      </c>
      <c r="D702" s="6">
        <v>360863545.64445877</v>
      </c>
      <c r="E702" s="6">
        <v>377532545.64445877</v>
      </c>
      <c r="F702" s="6">
        <v>12.090000152587891</v>
      </c>
      <c r="G702" s="6">
        <v>12.079999923706055</v>
      </c>
      <c r="H702" s="6" t="e">
        <v>#N/A</v>
      </c>
      <c r="I702" s="6">
        <v>-0.24426730353376902</v>
      </c>
      <c r="J702" s="6">
        <v>76452000</v>
      </c>
      <c r="K702" s="6">
        <v>33.333333333333336</v>
      </c>
      <c r="L702" t="s">
        <v>17</v>
      </c>
      <c r="M702" t="s">
        <v>27</v>
      </c>
      <c r="N702" s="4" t="s">
        <v>2746</v>
      </c>
      <c r="O702" s="4" t="s">
        <v>2747</v>
      </c>
      <c r="P702" s="4" t="s">
        <v>233</v>
      </c>
    </row>
    <row r="703" spans="1:16" x14ac:dyDescent="0.35">
      <c r="A703" t="s">
        <v>2748</v>
      </c>
      <c r="B703" t="s">
        <v>2749</v>
      </c>
      <c r="C703" t="s">
        <v>16</v>
      </c>
      <c r="D703" s="6">
        <v>10249548791.240784</v>
      </c>
      <c r="E703" s="6">
        <v>10185213791.240784</v>
      </c>
      <c r="F703" s="6">
        <v>267.05999755859375</v>
      </c>
      <c r="G703" s="6">
        <v>264</v>
      </c>
      <c r="H703" s="6">
        <v>143.5749317277666</v>
      </c>
      <c r="I703" s="6">
        <v>-1.089584236472374E-2</v>
      </c>
      <c r="J703" s="6">
        <v>1163776000</v>
      </c>
      <c r="K703" s="6">
        <v>-15.238095238095251</v>
      </c>
      <c r="L703" t="s">
        <v>17</v>
      </c>
      <c r="M703" t="s">
        <v>27</v>
      </c>
      <c r="N703" s="4" t="s">
        <v>2750</v>
      </c>
      <c r="O703" s="4" t="s">
        <v>2751</v>
      </c>
      <c r="P703" s="4" t="s">
        <v>233</v>
      </c>
    </row>
    <row r="704" spans="1:16" x14ac:dyDescent="0.35">
      <c r="A704" t="s">
        <v>2752</v>
      </c>
      <c r="B704" t="s">
        <v>2753</v>
      </c>
      <c r="C704" t="s">
        <v>16</v>
      </c>
      <c r="D704" s="6">
        <v>6084106594.4501047</v>
      </c>
      <c r="E704" s="6">
        <v>6163298642.0054483</v>
      </c>
      <c r="F704" s="6">
        <v>20.090000152587891</v>
      </c>
      <c r="G704" s="6">
        <v>19.709999084472656</v>
      </c>
      <c r="H704" s="6">
        <v>32.997071358252676</v>
      </c>
      <c r="I704" s="6">
        <v>-0.39093472459986067</v>
      </c>
      <c r="J704" s="6">
        <v>1085354000</v>
      </c>
      <c r="K704" s="6">
        <v>1.8518518518518534</v>
      </c>
      <c r="L704" t="s">
        <v>17</v>
      </c>
      <c r="M704" t="s">
        <v>100</v>
      </c>
      <c r="N704" s="4" t="s">
        <v>233</v>
      </c>
      <c r="O704" s="4" t="s">
        <v>2754</v>
      </c>
      <c r="P704" s="4" t="s">
        <v>13111</v>
      </c>
    </row>
    <row r="705" spans="1:16" x14ac:dyDescent="0.35">
      <c r="A705" t="s">
        <v>13332</v>
      </c>
      <c r="B705" t="s">
        <v>13308</v>
      </c>
      <c r="C705" t="s">
        <v>16</v>
      </c>
      <c r="D705" s="6">
        <v>183984697.9335537</v>
      </c>
      <c r="E705" s="6">
        <v>185074697.9335537</v>
      </c>
      <c r="F705" s="6">
        <v>2.3499999046325684</v>
      </c>
      <c r="G705" s="6">
        <v>2.3199999332427979</v>
      </c>
      <c r="H705" s="6" t="e">
        <v>#N/A</v>
      </c>
      <c r="I705" s="6">
        <v>-0.1891894654368681</v>
      </c>
      <c r="J705" s="6">
        <v>120782000</v>
      </c>
      <c r="K705" s="6">
        <v>16.666666666666661</v>
      </c>
      <c r="L705" t="s">
        <v>17</v>
      </c>
      <c r="M705" t="s">
        <v>40</v>
      </c>
      <c r="N705" s="4" t="s">
        <v>2755</v>
      </c>
      <c r="O705" s="4" t="s">
        <v>2756</v>
      </c>
      <c r="P705" s="4" t="s">
        <v>233</v>
      </c>
    </row>
    <row r="706" spans="1:16" x14ac:dyDescent="0.35">
      <c r="A706" t="s">
        <v>2757</v>
      </c>
      <c r="B706" t="s">
        <v>2758</v>
      </c>
      <c r="C706" t="s">
        <v>16</v>
      </c>
      <c r="D706" s="6">
        <v>5522851.2989974022</v>
      </c>
      <c r="E706" s="6">
        <v>5438851.2989974022</v>
      </c>
      <c r="F706" s="6">
        <v>0.53039997816085815</v>
      </c>
      <c r="G706" s="6">
        <v>0.52120000123977661</v>
      </c>
      <c r="H706" s="6" t="e">
        <v>#N/A</v>
      </c>
      <c r="I706" s="6">
        <v>-0.97668016580701433</v>
      </c>
      <c r="J706" s="6">
        <v>0</v>
      </c>
      <c r="K706" s="6">
        <v>-79.717281113244994</v>
      </c>
      <c r="L706" t="s">
        <v>17</v>
      </c>
      <c r="M706" t="s">
        <v>27</v>
      </c>
      <c r="N706" s="4" t="s">
        <v>13475</v>
      </c>
      <c r="O706" s="4" t="s">
        <v>13476</v>
      </c>
      <c r="P706" s="4" t="s">
        <v>233</v>
      </c>
    </row>
    <row r="707" spans="1:16" x14ac:dyDescent="0.35">
      <c r="A707" t="s">
        <v>2759</v>
      </c>
      <c r="B707" t="s">
        <v>2760</v>
      </c>
      <c r="C707" t="s">
        <v>16</v>
      </c>
      <c r="D707" s="6">
        <v>1645359335.7372093</v>
      </c>
      <c r="E707" s="6">
        <v>1727588335.7372093</v>
      </c>
      <c r="F707" s="6">
        <v>18.020000457763672</v>
      </c>
      <c r="G707" s="6">
        <v>18.409999847412109</v>
      </c>
      <c r="H707" s="6">
        <v>7.1782420628098844</v>
      </c>
      <c r="I707" s="6">
        <v>-0.14050137182320066</v>
      </c>
      <c r="J707" s="6">
        <v>1181272000</v>
      </c>
      <c r="K707" s="6">
        <v>-75.093597958075122</v>
      </c>
      <c r="L707" t="s">
        <v>17</v>
      </c>
      <c r="M707" t="s">
        <v>40</v>
      </c>
      <c r="N707" s="4" t="s">
        <v>2761</v>
      </c>
      <c r="O707" s="4" t="s">
        <v>2762</v>
      </c>
      <c r="P707" s="4" t="s">
        <v>233</v>
      </c>
    </row>
    <row r="708" spans="1:16" x14ac:dyDescent="0.35">
      <c r="A708" t="s">
        <v>2763</v>
      </c>
      <c r="B708" t="s">
        <v>2764</v>
      </c>
      <c r="C708" t="s">
        <v>16</v>
      </c>
      <c r="D708" s="6">
        <v>66935198.287546985</v>
      </c>
      <c r="E708" s="6">
        <v>66968198.287546985</v>
      </c>
      <c r="F708" s="6">
        <v>1.1299999952316284</v>
      </c>
      <c r="G708" s="6">
        <v>1.1499999761581421</v>
      </c>
      <c r="H708" s="6" t="e">
        <v>#N/A</v>
      </c>
      <c r="I708" s="6">
        <v>7.5974586372514752E-2</v>
      </c>
      <c r="J708" s="6">
        <v>0</v>
      </c>
      <c r="K708" s="6">
        <v>20.054860131536401</v>
      </c>
      <c r="L708" t="s">
        <v>17</v>
      </c>
      <c r="M708" t="s">
        <v>27</v>
      </c>
      <c r="N708" s="4" t="s">
        <v>2765</v>
      </c>
      <c r="O708" s="4" t="s">
        <v>2766</v>
      </c>
      <c r="P708" s="4" t="s">
        <v>233</v>
      </c>
    </row>
    <row r="709" spans="1:16" x14ac:dyDescent="0.35">
      <c r="A709" t="s">
        <v>2767</v>
      </c>
      <c r="B709" t="s">
        <v>2768</v>
      </c>
      <c r="C709" t="s">
        <v>16</v>
      </c>
      <c r="D709" s="6">
        <v>3773733270.5267253</v>
      </c>
      <c r="E709" s="6">
        <v>3160581270.5267253</v>
      </c>
      <c r="F709" s="6">
        <v>48.930000305175781</v>
      </c>
      <c r="G709" s="6">
        <v>47.639999389648438</v>
      </c>
      <c r="H709" s="6" t="e">
        <v>#N/A</v>
      </c>
      <c r="I709" s="6">
        <v>0.88445723508558483</v>
      </c>
      <c r="J709" s="6">
        <v>900664000</v>
      </c>
      <c r="K709" s="6">
        <v>31.32947976878614</v>
      </c>
      <c r="L709" t="s">
        <v>17</v>
      </c>
      <c r="M709" t="s">
        <v>18</v>
      </c>
      <c r="N709" s="4" t="s">
        <v>2769</v>
      </c>
      <c r="O709" s="4" t="s">
        <v>2770</v>
      </c>
      <c r="P709" s="4" t="s">
        <v>233</v>
      </c>
    </row>
    <row r="710" spans="1:16" x14ac:dyDescent="0.35">
      <c r="A710" t="s">
        <v>2771</v>
      </c>
      <c r="B710" t="s">
        <v>2772</v>
      </c>
      <c r="C710" t="s">
        <v>16</v>
      </c>
      <c r="D710" s="6">
        <v>984599727.22447968</v>
      </c>
      <c r="E710" s="6">
        <v>1739037727.2244797</v>
      </c>
      <c r="F710" s="6">
        <v>30.530000686645508</v>
      </c>
      <c r="G710" s="6">
        <v>31.280000686645508</v>
      </c>
      <c r="H710" s="6">
        <v>10.408360469042888</v>
      </c>
      <c r="I710" s="6">
        <v>-9.3820705328878318E-2</v>
      </c>
      <c r="J710" s="6">
        <v>599245000</v>
      </c>
      <c r="K710" s="6">
        <v>914.81481481481489</v>
      </c>
      <c r="L710" t="s">
        <v>17</v>
      </c>
      <c r="M710" t="s">
        <v>87</v>
      </c>
      <c r="N710" s="4" t="s">
        <v>2773</v>
      </c>
      <c r="O710" s="4" t="s">
        <v>2774</v>
      </c>
      <c r="P710" s="4" t="s">
        <v>233</v>
      </c>
    </row>
    <row r="711" spans="1:16" x14ac:dyDescent="0.35">
      <c r="A711" t="s">
        <v>2775</v>
      </c>
      <c r="B711" t="s">
        <v>2776</v>
      </c>
      <c r="C711" t="s">
        <v>16</v>
      </c>
      <c r="D711" s="6">
        <v>403631029.65666962</v>
      </c>
      <c r="E711" s="6">
        <v>354097029.65666962</v>
      </c>
      <c r="F711" s="6">
        <v>16.819999694824219</v>
      </c>
      <c r="G711" s="6">
        <v>16.930000305175781</v>
      </c>
      <c r="H711" s="6">
        <v>25.475198326125284</v>
      </c>
      <c r="I711" s="6">
        <v>7.798331072465281E-2</v>
      </c>
      <c r="J711" s="6">
        <v>285051000</v>
      </c>
      <c r="K711" s="6">
        <v>-40.366972477064223</v>
      </c>
      <c r="L711" t="s">
        <v>17</v>
      </c>
      <c r="M711" t="s">
        <v>27</v>
      </c>
      <c r="N711" s="4" t="s">
        <v>2777</v>
      </c>
      <c r="O711" s="4" t="s">
        <v>2778</v>
      </c>
      <c r="P711" s="4" t="s">
        <v>233</v>
      </c>
    </row>
    <row r="712" spans="1:16" x14ac:dyDescent="0.35">
      <c r="A712" t="s">
        <v>2779</v>
      </c>
      <c r="B712" t="s">
        <v>2780</v>
      </c>
      <c r="C712" t="s">
        <v>16</v>
      </c>
      <c r="D712" s="6" t="e">
        <v>#N/A</v>
      </c>
      <c r="E712" s="6" t="e">
        <v>#N/A</v>
      </c>
      <c r="F712" s="6" t="e">
        <v>#N/A</v>
      </c>
      <c r="G712" s="6" t="e">
        <v>#N/A</v>
      </c>
      <c r="H712" s="6" t="e">
        <v>#N/A</v>
      </c>
      <c r="I712" s="6">
        <v>-0.99999855456023989</v>
      </c>
      <c r="J712" s="6">
        <v>500707</v>
      </c>
      <c r="K712" s="6">
        <v>6.0042032406057002</v>
      </c>
      <c r="L712" t="s">
        <v>17</v>
      </c>
      <c r="M712" t="s">
        <v>87</v>
      </c>
      <c r="N712" s="4" t="s">
        <v>2781</v>
      </c>
      <c r="O712" s="4" t="s">
        <v>2782</v>
      </c>
      <c r="P712" s="4" t="s">
        <v>233</v>
      </c>
    </row>
    <row r="713" spans="1:16" x14ac:dyDescent="0.35">
      <c r="A713" t="s">
        <v>2783</v>
      </c>
      <c r="B713" t="s">
        <v>2784</v>
      </c>
      <c r="C713" t="s">
        <v>16</v>
      </c>
      <c r="D713" s="6" t="e">
        <v>#N/A</v>
      </c>
      <c r="E713" s="6" t="e">
        <v>#N/A</v>
      </c>
      <c r="F713" s="6" t="e">
        <v>#N/A</v>
      </c>
      <c r="G713" s="6" t="e">
        <v>#N/A</v>
      </c>
      <c r="H713" s="6" t="e">
        <v>#N/A</v>
      </c>
      <c r="I713" s="6">
        <v>0</v>
      </c>
      <c r="J713" s="6">
        <v>6212658</v>
      </c>
      <c r="K713" s="6">
        <v>99.623622331105693</v>
      </c>
      <c r="L713" t="s">
        <v>17</v>
      </c>
      <c r="M713" t="s">
        <v>18</v>
      </c>
      <c r="N713" s="4" t="s">
        <v>2785</v>
      </c>
      <c r="O713" s="4" t="s">
        <v>2786</v>
      </c>
      <c r="P713" s="4" t="s">
        <v>233</v>
      </c>
    </row>
    <row r="714" spans="1:16" x14ac:dyDescent="0.35">
      <c r="A714" t="s">
        <v>2787</v>
      </c>
      <c r="B714" t="s">
        <v>2788</v>
      </c>
      <c r="C714" t="s">
        <v>16</v>
      </c>
      <c r="D714" s="6">
        <v>14717159.4305315</v>
      </c>
      <c r="E714" s="6">
        <v>15695522.4305315</v>
      </c>
      <c r="F714" s="6">
        <v>0.71530497074127197</v>
      </c>
      <c r="G714" s="6">
        <v>0.69999998807907104</v>
      </c>
      <c r="H714" s="6" t="e">
        <v>#N/A</v>
      </c>
      <c r="I714" s="6">
        <v>-0.42688262319716497</v>
      </c>
      <c r="J714" s="6">
        <v>968628</v>
      </c>
      <c r="K714" s="6">
        <v>49.185301535194384</v>
      </c>
      <c r="L714" t="s">
        <v>17</v>
      </c>
      <c r="M714" t="s">
        <v>27</v>
      </c>
      <c r="N714" s="4" t="s">
        <v>2789</v>
      </c>
      <c r="O714" s="4" t="s">
        <v>2790</v>
      </c>
      <c r="P714" s="4" t="s">
        <v>233</v>
      </c>
    </row>
    <row r="715" spans="1:16" x14ac:dyDescent="0.35">
      <c r="A715" t="s">
        <v>2791</v>
      </c>
      <c r="B715" t="s">
        <v>2792</v>
      </c>
      <c r="C715" t="s">
        <v>16</v>
      </c>
      <c r="D715" s="6">
        <v>78448574315.634155</v>
      </c>
      <c r="E715" s="6">
        <v>83489574315.634155</v>
      </c>
      <c r="F715" s="6">
        <v>173.8800048828125</v>
      </c>
      <c r="G715" s="6">
        <v>172.46000671386719</v>
      </c>
      <c r="H715" s="6">
        <v>29.72291517085932</v>
      </c>
      <c r="I715" s="6">
        <v>-0.1062571466855784</v>
      </c>
      <c r="J715" s="6">
        <v>9152000000</v>
      </c>
      <c r="K715" s="6">
        <v>8.3333333333333197</v>
      </c>
      <c r="L715" t="s">
        <v>17</v>
      </c>
      <c r="M715" t="s">
        <v>87</v>
      </c>
      <c r="N715" s="4" t="s">
        <v>2793</v>
      </c>
      <c r="O715" s="4" t="s">
        <v>2794</v>
      </c>
      <c r="P715" s="4" t="s">
        <v>233</v>
      </c>
    </row>
    <row r="716" spans="1:16" x14ac:dyDescent="0.35">
      <c r="A716" t="s">
        <v>2795</v>
      </c>
      <c r="B716" t="s">
        <v>2796</v>
      </c>
      <c r="C716" t="s">
        <v>16</v>
      </c>
      <c r="D716" s="6">
        <v>873003.77799975872</v>
      </c>
      <c r="E716" s="6" t="e">
        <v>#N/A</v>
      </c>
      <c r="F716" s="6">
        <v>4.9474999308586121E-2</v>
      </c>
      <c r="G716" s="6">
        <v>4.9474999308586121E-2</v>
      </c>
      <c r="H716" s="6" t="e">
        <v>#N/A</v>
      </c>
      <c r="I716" s="6">
        <v>-0.59045291895771213</v>
      </c>
      <c r="J716" s="6">
        <v>2763922</v>
      </c>
      <c r="K716" s="6">
        <v>15.973658520442777</v>
      </c>
      <c r="L716" t="s">
        <v>17</v>
      </c>
      <c r="M716" t="s">
        <v>87</v>
      </c>
      <c r="N716" s="4" t="s">
        <v>2797</v>
      </c>
      <c r="O716" s="4" t="s">
        <v>2798</v>
      </c>
      <c r="P716" s="4" t="s">
        <v>233</v>
      </c>
    </row>
    <row r="717" spans="1:16" x14ac:dyDescent="0.35">
      <c r="A717" t="s">
        <v>2799</v>
      </c>
      <c r="B717" t="s">
        <v>2800</v>
      </c>
      <c r="C717" t="s">
        <v>16</v>
      </c>
      <c r="D717" s="6">
        <v>39212402.794938564</v>
      </c>
      <c r="E717" s="6">
        <v>34834402.794938564</v>
      </c>
      <c r="F717" s="6">
        <v>0.89850002527236938</v>
      </c>
      <c r="G717" s="6">
        <v>0.88999998569488525</v>
      </c>
      <c r="H717" s="6" t="e">
        <v>#N/A</v>
      </c>
      <c r="I717" s="6">
        <v>-0.79111962380646439</v>
      </c>
      <c r="J717" s="6">
        <v>0</v>
      </c>
      <c r="K717" s="6">
        <v>29.332265460598649</v>
      </c>
      <c r="L717" t="s">
        <v>17</v>
      </c>
      <c r="M717" t="s">
        <v>18</v>
      </c>
      <c r="N717" s="4" t="s">
        <v>2801</v>
      </c>
      <c r="O717" s="4" t="s">
        <v>2802</v>
      </c>
      <c r="P717" s="4" t="s">
        <v>233</v>
      </c>
    </row>
    <row r="718" spans="1:16" x14ac:dyDescent="0.35">
      <c r="A718" t="s">
        <v>2803</v>
      </c>
      <c r="B718" t="s">
        <v>2804</v>
      </c>
      <c r="C718" t="s">
        <v>16</v>
      </c>
      <c r="D718" s="6">
        <v>19097899.10949111</v>
      </c>
      <c r="E718" s="6">
        <v>19133899.10949111</v>
      </c>
      <c r="F718" s="6">
        <v>3.0099999904632568</v>
      </c>
      <c r="G718" s="6">
        <v>3.1500000953674316</v>
      </c>
      <c r="H718" s="6" t="e">
        <v>#N/A</v>
      </c>
      <c r="I718" s="6">
        <v>1.3100793813030602</v>
      </c>
      <c r="J718" s="6">
        <v>4620000</v>
      </c>
      <c r="K718" s="6">
        <v>25.25252525252526</v>
      </c>
      <c r="L718" t="s">
        <v>17</v>
      </c>
      <c r="M718" t="s">
        <v>18</v>
      </c>
      <c r="N718" s="4" t="s">
        <v>2805</v>
      </c>
      <c r="O718" s="4" t="s">
        <v>2806</v>
      </c>
      <c r="P718" s="4" t="s">
        <v>233</v>
      </c>
    </row>
    <row r="719" spans="1:16" x14ac:dyDescent="0.35">
      <c r="A719" t="s">
        <v>2807</v>
      </c>
      <c r="B719" t="s">
        <v>2808</v>
      </c>
      <c r="C719" t="s">
        <v>16</v>
      </c>
      <c r="D719" s="6">
        <v>74670151.823013067</v>
      </c>
      <c r="E719" s="6">
        <v>-11393848.176986933</v>
      </c>
      <c r="F719" s="6">
        <v>1.1399999856948853</v>
      </c>
      <c r="G719" s="6">
        <v>1.1200000047683716</v>
      </c>
      <c r="H719" s="6" t="e">
        <v>#N/A</v>
      </c>
      <c r="I719" s="6">
        <v>-0.30839258260039182</v>
      </c>
      <c r="J719" s="6">
        <v>0</v>
      </c>
      <c r="K719" s="6">
        <v>32.704402515723274</v>
      </c>
      <c r="L719" t="s">
        <v>17</v>
      </c>
      <c r="M719" t="s">
        <v>18</v>
      </c>
      <c r="N719" s="4" t="s">
        <v>2809</v>
      </c>
      <c r="O719" s="4" t="s">
        <v>2810</v>
      </c>
      <c r="P719" s="4" t="s">
        <v>233</v>
      </c>
    </row>
    <row r="720" spans="1:16" x14ac:dyDescent="0.35">
      <c r="A720" t="s">
        <v>2811</v>
      </c>
      <c r="B720" t="s">
        <v>2812</v>
      </c>
      <c r="C720" t="s">
        <v>16</v>
      </c>
      <c r="D720" s="6">
        <v>125008710.6882019</v>
      </c>
      <c r="E720" s="6">
        <v>-32873289.311798126</v>
      </c>
      <c r="F720" s="6">
        <v>5.8600001335144043</v>
      </c>
      <c r="G720" s="6">
        <v>5.4499998092651367</v>
      </c>
      <c r="H720" s="6" t="e">
        <v>#N/A</v>
      </c>
      <c r="I720" s="6">
        <v>-0.5237694609380894</v>
      </c>
      <c r="J720" s="6">
        <v>66591000</v>
      </c>
      <c r="K720" s="6">
        <v>24.542682926829272</v>
      </c>
      <c r="L720" t="s">
        <v>17</v>
      </c>
      <c r="M720" t="s">
        <v>18</v>
      </c>
      <c r="N720" s="4" t="s">
        <v>2813</v>
      </c>
      <c r="O720" s="4" t="s">
        <v>2814</v>
      </c>
      <c r="P720" s="4" t="s">
        <v>233</v>
      </c>
    </row>
    <row r="721" spans="1:16" x14ac:dyDescent="0.35">
      <c r="A721" t="s">
        <v>2815</v>
      </c>
      <c r="B721" t="s">
        <v>2816</v>
      </c>
      <c r="C721" t="s">
        <v>16</v>
      </c>
      <c r="D721" s="6">
        <v>34566047.187164068</v>
      </c>
      <c r="E721" s="6">
        <v>33669074.187164068</v>
      </c>
      <c r="F721" s="6">
        <v>1.1200000047683716</v>
      </c>
      <c r="G721" s="6">
        <v>1.0800000429153442</v>
      </c>
      <c r="H721" s="6" t="e">
        <v>#N/A</v>
      </c>
      <c r="I721" s="6">
        <v>-0.18794275397313309</v>
      </c>
      <c r="J721" s="6">
        <v>8749521</v>
      </c>
      <c r="K721" s="6">
        <v>63.696957123098194</v>
      </c>
      <c r="L721" t="s">
        <v>17</v>
      </c>
      <c r="M721" t="s">
        <v>27</v>
      </c>
      <c r="N721" s="4" t="s">
        <v>2817</v>
      </c>
      <c r="O721" s="4" t="s">
        <v>2818</v>
      </c>
      <c r="P721" s="4" t="s">
        <v>233</v>
      </c>
    </row>
    <row r="722" spans="1:16" x14ac:dyDescent="0.35">
      <c r="A722" t="s">
        <v>2819</v>
      </c>
      <c r="B722" t="s">
        <v>2820</v>
      </c>
      <c r="C722" t="s">
        <v>16</v>
      </c>
      <c r="D722" s="6">
        <v>9200113.9049140215</v>
      </c>
      <c r="E722" s="6">
        <v>-44917613.095085979</v>
      </c>
      <c r="F722" s="6">
        <v>0.30489999055862427</v>
      </c>
      <c r="G722" s="6">
        <v>0.28999999165534973</v>
      </c>
      <c r="H722" s="6" t="e">
        <v>#N/A</v>
      </c>
      <c r="I722" s="6">
        <v>-0.94432568335798406</v>
      </c>
      <c r="J722" s="6">
        <v>0</v>
      </c>
      <c r="K722" s="6">
        <v>22.531673078045824</v>
      </c>
      <c r="L722" t="s">
        <v>17</v>
      </c>
      <c r="M722" t="s">
        <v>87</v>
      </c>
      <c r="N722" s="4" t="s">
        <v>2821</v>
      </c>
      <c r="O722" s="4" t="s">
        <v>2822</v>
      </c>
      <c r="P722" s="4" t="s">
        <v>233</v>
      </c>
    </row>
    <row r="723" spans="1:16" x14ac:dyDescent="0.35">
      <c r="A723" t="s">
        <v>2823</v>
      </c>
      <c r="B723" t="s">
        <v>2824</v>
      </c>
      <c r="C723" t="s">
        <v>16</v>
      </c>
      <c r="D723" s="6">
        <v>9431135.127759099</v>
      </c>
      <c r="E723" s="6">
        <v>6636515.127759099</v>
      </c>
      <c r="F723" s="6">
        <v>0.6096000075340271</v>
      </c>
      <c r="G723" s="6">
        <v>0.62999999523162842</v>
      </c>
      <c r="H723" s="6" t="e">
        <v>#N/A</v>
      </c>
      <c r="I723" s="6">
        <v>-0.75324933683582773</v>
      </c>
      <c r="J723" s="6">
        <v>0</v>
      </c>
      <c r="K723" s="6">
        <v>78.89822279135555</v>
      </c>
      <c r="L723" t="s">
        <v>17</v>
      </c>
      <c r="M723" t="s">
        <v>87</v>
      </c>
      <c r="N723" s="4" t="s">
        <v>2825</v>
      </c>
      <c r="O723" s="4" t="s">
        <v>2826</v>
      </c>
      <c r="P723" s="4" t="s">
        <v>233</v>
      </c>
    </row>
    <row r="724" spans="1:16" x14ac:dyDescent="0.35">
      <c r="A724" t="s">
        <v>2827</v>
      </c>
      <c r="B724" t="s">
        <v>2828</v>
      </c>
      <c r="C724" t="s">
        <v>16</v>
      </c>
      <c r="D724" s="6">
        <v>743636659.81887817</v>
      </c>
      <c r="E724" s="6">
        <v>235868659.81887823</v>
      </c>
      <c r="F724" s="6">
        <v>13.819999694824219</v>
      </c>
      <c r="G724" s="6">
        <v>13.5</v>
      </c>
      <c r="H724" s="6" t="e">
        <v>#N/A</v>
      </c>
      <c r="I724" s="6">
        <v>-0.52944031403705116</v>
      </c>
      <c r="J724" s="6">
        <v>133350000.00000001</v>
      </c>
      <c r="K724" s="6">
        <v>-78.260869565217348</v>
      </c>
      <c r="L724" t="s">
        <v>17</v>
      </c>
      <c r="M724" t="s">
        <v>18</v>
      </c>
      <c r="N724" s="4" t="s">
        <v>233</v>
      </c>
      <c r="O724" s="4" t="s">
        <v>2829</v>
      </c>
      <c r="P724" s="4" t="s">
        <v>13090</v>
      </c>
    </row>
    <row r="725" spans="1:16" x14ac:dyDescent="0.35">
      <c r="A725" t="s">
        <v>2830</v>
      </c>
      <c r="B725" t="s">
        <v>2831</v>
      </c>
      <c r="C725" t="s">
        <v>16</v>
      </c>
      <c r="D725" s="6">
        <v>29462685.436696049</v>
      </c>
      <c r="E725" s="6">
        <v>16212740.436696049</v>
      </c>
      <c r="F725" s="6">
        <v>1.190000057220459</v>
      </c>
      <c r="G725" s="6">
        <v>1.1000000238418579</v>
      </c>
      <c r="H725" s="6" t="e">
        <v>#N/A</v>
      </c>
      <c r="I725" s="6">
        <v>-0.50321536334655215</v>
      </c>
      <c r="J725" s="6">
        <v>0</v>
      </c>
      <c r="K725" s="6" t="e">
        <v>#N/A</v>
      </c>
      <c r="L725" t="s">
        <v>17</v>
      </c>
      <c r="M725" t="s">
        <v>18</v>
      </c>
      <c r="N725" s="4" t="s">
        <v>2832</v>
      </c>
      <c r="O725" s="4" t="s">
        <v>2833</v>
      </c>
      <c r="P725" s="4" t="s">
        <v>233</v>
      </c>
    </row>
    <row r="726" spans="1:16" x14ac:dyDescent="0.35">
      <c r="A726" t="s">
        <v>2834</v>
      </c>
      <c r="B726" t="s">
        <v>2835</v>
      </c>
      <c r="C726" t="s">
        <v>16</v>
      </c>
      <c r="D726" s="6">
        <v>45528279.93999999</v>
      </c>
      <c r="E726" s="6">
        <v>42264279.93999999</v>
      </c>
      <c r="F726" s="6">
        <v>2.86</v>
      </c>
      <c r="G726" s="6">
        <v>2.86</v>
      </c>
      <c r="H726" s="6" t="e">
        <v>#N/A</v>
      </c>
      <c r="I726" s="6">
        <v>-0.2622720534871622</v>
      </c>
      <c r="J726" s="6">
        <v>235000</v>
      </c>
      <c r="K726" s="6">
        <v>15.135956210974456</v>
      </c>
      <c r="L726" t="s">
        <v>17</v>
      </c>
      <c r="M726" t="s">
        <v>18</v>
      </c>
      <c r="N726" s="4" t="s">
        <v>2836</v>
      </c>
      <c r="O726" s="4" t="s">
        <v>2837</v>
      </c>
      <c r="P726" s="4" t="s">
        <v>233</v>
      </c>
    </row>
    <row r="727" spans="1:16" x14ac:dyDescent="0.35">
      <c r="A727" t="s">
        <v>2838</v>
      </c>
      <c r="B727" t="s">
        <v>2839</v>
      </c>
      <c r="C727" t="s">
        <v>16</v>
      </c>
      <c r="D727" s="6">
        <v>21173836.178607043</v>
      </c>
      <c r="E727" s="6">
        <v>36112836.178607039</v>
      </c>
      <c r="F727" s="6">
        <v>0.62099999189376831</v>
      </c>
      <c r="G727" s="6">
        <v>0.62900000810623169</v>
      </c>
      <c r="H727" s="6" t="e">
        <v>#N/A</v>
      </c>
      <c r="I727" s="6">
        <v>-0.69459739675134013</v>
      </c>
      <c r="J727" s="6">
        <v>23052000</v>
      </c>
      <c r="K727" s="6">
        <v>44.531559707842021</v>
      </c>
      <c r="L727" t="s">
        <v>17</v>
      </c>
      <c r="M727" t="s">
        <v>32</v>
      </c>
      <c r="N727" s="4" t="s">
        <v>2840</v>
      </c>
      <c r="O727" s="4" t="s">
        <v>2841</v>
      </c>
      <c r="P727" s="4" t="s">
        <v>233</v>
      </c>
    </row>
    <row r="728" spans="1:16" x14ac:dyDescent="0.35">
      <c r="A728" t="s">
        <v>2842</v>
      </c>
      <c r="B728" t="s">
        <v>2843</v>
      </c>
      <c r="C728" t="s">
        <v>16</v>
      </c>
      <c r="D728" s="6">
        <v>86464123.606715217</v>
      </c>
      <c r="E728" s="6">
        <v>19242503.606715217</v>
      </c>
      <c r="F728" s="6">
        <v>2.8499999046325684</v>
      </c>
      <c r="G728" s="6">
        <v>2.9300000667572021</v>
      </c>
      <c r="H728" s="6" t="e">
        <v>#N/A</v>
      </c>
      <c r="I728" s="6">
        <v>-0.55439649255005441</v>
      </c>
      <c r="J728" s="6">
        <v>0</v>
      </c>
      <c r="K728" s="6">
        <v>87.713949180191889</v>
      </c>
      <c r="L728" t="s">
        <v>17</v>
      </c>
      <c r="M728" t="s">
        <v>18</v>
      </c>
      <c r="N728" s="4" t="s">
        <v>2844</v>
      </c>
      <c r="O728" s="4" t="s">
        <v>2845</v>
      </c>
      <c r="P728" s="4" t="s">
        <v>233</v>
      </c>
    </row>
    <row r="729" spans="1:16" x14ac:dyDescent="0.35">
      <c r="A729" t="s">
        <v>2846</v>
      </c>
      <c r="B729" t="s">
        <v>2847</v>
      </c>
      <c r="C729" t="s">
        <v>16</v>
      </c>
      <c r="D729" s="6">
        <v>1936264.12416327</v>
      </c>
      <c r="E729" s="6">
        <v>-2215437.8758367309</v>
      </c>
      <c r="F729" s="6">
        <v>0.70499998331069946</v>
      </c>
      <c r="G729" s="6">
        <v>0.70490002632141113</v>
      </c>
      <c r="H729" s="6" t="e">
        <v>#N/A</v>
      </c>
      <c r="I729" s="6">
        <v>-0.9715237111135937</v>
      </c>
      <c r="J729" s="6">
        <v>10078502</v>
      </c>
      <c r="K729" s="6">
        <v>13.9691799057436</v>
      </c>
      <c r="L729" t="s">
        <v>17</v>
      </c>
      <c r="M729" t="s">
        <v>27</v>
      </c>
      <c r="N729" s="4" t="s">
        <v>13055</v>
      </c>
      <c r="O729" s="4" t="s">
        <v>13056</v>
      </c>
      <c r="P729" s="4" t="s">
        <v>233</v>
      </c>
    </row>
    <row r="730" spans="1:16" x14ac:dyDescent="0.35">
      <c r="A730" t="s">
        <v>2848</v>
      </c>
      <c r="B730" t="s">
        <v>2849</v>
      </c>
      <c r="C730" t="s">
        <v>16</v>
      </c>
      <c r="D730" s="6">
        <v>35904331329.345703</v>
      </c>
      <c r="E730" s="6">
        <v>48217331329.345703</v>
      </c>
      <c r="F730" s="6">
        <v>197.82000732421875</v>
      </c>
      <c r="G730" s="6">
        <v>198.6199951171875</v>
      </c>
      <c r="H730" s="6">
        <v>25.391569814841109</v>
      </c>
      <c r="I730" s="6">
        <v>-9.1829361864326997E-2</v>
      </c>
      <c r="J730" s="6">
        <v>15405000000</v>
      </c>
      <c r="K730" s="6">
        <v>2.4357239512855293</v>
      </c>
      <c r="L730" t="s">
        <v>17</v>
      </c>
      <c r="M730" t="s">
        <v>100</v>
      </c>
      <c r="N730" s="4" t="s">
        <v>2850</v>
      </c>
      <c r="O730" s="4" t="s">
        <v>2851</v>
      </c>
      <c r="P730" s="4" t="s">
        <v>233</v>
      </c>
    </row>
    <row r="731" spans="1:16" x14ac:dyDescent="0.35">
      <c r="A731" t="s">
        <v>2852</v>
      </c>
      <c r="B731" t="s">
        <v>2853</v>
      </c>
      <c r="C731" t="s">
        <v>16</v>
      </c>
      <c r="D731" s="6">
        <v>20864727.85363698</v>
      </c>
      <c r="E731" s="6">
        <v>32726472.85363698</v>
      </c>
      <c r="F731" s="6">
        <v>0.47999998927116394</v>
      </c>
      <c r="G731" s="6">
        <v>0.55000001192092896</v>
      </c>
      <c r="H731" s="6" t="e">
        <v>#N/A</v>
      </c>
      <c r="I731" s="6">
        <v>0.19940234653337874</v>
      </c>
      <c r="J731" s="6">
        <v>0</v>
      </c>
      <c r="K731" s="6">
        <v>7.179691049522952</v>
      </c>
      <c r="L731" t="s">
        <v>17</v>
      </c>
      <c r="M731" t="s">
        <v>18</v>
      </c>
      <c r="N731" s="4" t="s">
        <v>2854</v>
      </c>
      <c r="O731" s="4" t="s">
        <v>2855</v>
      </c>
      <c r="P731" s="4" t="s">
        <v>233</v>
      </c>
    </row>
    <row r="732" spans="1:16" x14ac:dyDescent="0.35">
      <c r="A732" t="s">
        <v>2856</v>
      </c>
      <c r="B732" t="s">
        <v>2857</v>
      </c>
      <c r="C732" t="s">
        <v>16</v>
      </c>
      <c r="D732" s="6">
        <v>399316080.46618223</v>
      </c>
      <c r="E732" s="6">
        <v>264430080.46618223</v>
      </c>
      <c r="F732" s="6">
        <v>4.440000057220459</v>
      </c>
      <c r="G732" s="6">
        <v>4.3649997711181641</v>
      </c>
      <c r="H732" s="6" t="e">
        <v>#N/A</v>
      </c>
      <c r="I732" s="6">
        <v>3.2119457125118949</v>
      </c>
      <c r="J732" s="6">
        <v>159000</v>
      </c>
      <c r="K732" s="6">
        <v>2.0833333333333353</v>
      </c>
      <c r="L732" t="s">
        <v>17</v>
      </c>
      <c r="M732" t="s">
        <v>18</v>
      </c>
      <c r="N732" s="4" t="s">
        <v>2858</v>
      </c>
      <c r="O732" s="4" t="s">
        <v>2859</v>
      </c>
      <c r="P732" s="4" t="s">
        <v>233</v>
      </c>
    </row>
    <row r="733" spans="1:16" x14ac:dyDescent="0.35">
      <c r="A733" t="s">
        <v>13297</v>
      </c>
      <c r="B733" t="s">
        <v>13027</v>
      </c>
      <c r="C733" t="s">
        <v>16</v>
      </c>
      <c r="D733" s="6">
        <v>3041797.8630273337</v>
      </c>
      <c r="E733" s="6">
        <v>3007976.8630273337</v>
      </c>
      <c r="F733" s="6">
        <v>0.15350000560283661</v>
      </c>
      <c r="G733" s="6">
        <v>0.15350000560283661</v>
      </c>
      <c r="H733" s="6" t="e">
        <v>#N/A</v>
      </c>
      <c r="I733" s="6">
        <v>-0.65788328902047288</v>
      </c>
      <c r="J733" s="6">
        <v>0</v>
      </c>
      <c r="K733" s="6">
        <v>13.893291072345487</v>
      </c>
      <c r="L733" t="s">
        <v>17</v>
      </c>
      <c r="M733" t="s">
        <v>27</v>
      </c>
      <c r="N733" s="4" t="s">
        <v>13298</v>
      </c>
      <c r="O733" s="4" t="s">
        <v>13299</v>
      </c>
      <c r="P733" s="4" t="s">
        <v>233</v>
      </c>
    </row>
    <row r="734" spans="1:16" x14ac:dyDescent="0.35">
      <c r="A734" t="s">
        <v>2860</v>
      </c>
      <c r="B734" t="s">
        <v>2861</v>
      </c>
      <c r="C734" t="s">
        <v>16</v>
      </c>
      <c r="D734" s="6">
        <v>845484.67705310136</v>
      </c>
      <c r="E734" s="6">
        <v>7622249.6770531014</v>
      </c>
      <c r="F734" s="6">
        <v>2.79999990016222E-3</v>
      </c>
      <c r="G734" s="6">
        <v>3.0499999411404133E-3</v>
      </c>
      <c r="H734" s="6" t="e">
        <v>#N/A</v>
      </c>
      <c r="I734" s="6">
        <v>-0.85107689963462674</v>
      </c>
      <c r="J734" s="6">
        <v>92650</v>
      </c>
      <c r="K734" s="6">
        <v>59.799039857095003</v>
      </c>
      <c r="L734" t="s">
        <v>17</v>
      </c>
      <c r="M734" t="s">
        <v>18</v>
      </c>
      <c r="N734" s="4" t="s">
        <v>2862</v>
      </c>
      <c r="O734" s="4" t="s">
        <v>2863</v>
      </c>
      <c r="P734" s="4" t="s">
        <v>233</v>
      </c>
    </row>
    <row r="735" spans="1:16" x14ac:dyDescent="0.35">
      <c r="A735" t="s">
        <v>2864</v>
      </c>
      <c r="B735" t="s">
        <v>2865</v>
      </c>
      <c r="C735" t="s">
        <v>16</v>
      </c>
      <c r="D735" s="6" t="e">
        <v>#N/A</v>
      </c>
      <c r="E735" s="6" t="e">
        <v>#N/A</v>
      </c>
      <c r="F735" s="6">
        <v>9.9999999747524271E-7</v>
      </c>
      <c r="G735" s="6">
        <v>9.9999999747524271E-7</v>
      </c>
      <c r="H735" s="6" t="e">
        <v>#N/A</v>
      </c>
      <c r="I735" s="6">
        <v>0</v>
      </c>
      <c r="J735" s="6">
        <v>0</v>
      </c>
      <c r="K735" s="6">
        <v>99.635845961810261</v>
      </c>
      <c r="L735" t="s">
        <v>17</v>
      </c>
      <c r="M735" t="s">
        <v>27</v>
      </c>
      <c r="N735" s="4" t="s">
        <v>2866</v>
      </c>
      <c r="O735" s="4" t="s">
        <v>2867</v>
      </c>
      <c r="P735" s="4" t="s">
        <v>233</v>
      </c>
    </row>
    <row r="736" spans="1:16" x14ac:dyDescent="0.35">
      <c r="A736" t="s">
        <v>2868</v>
      </c>
      <c r="B736" t="s">
        <v>2869</v>
      </c>
      <c r="C736" t="s">
        <v>16</v>
      </c>
      <c r="D736" s="6">
        <v>1393927.1948554516</v>
      </c>
      <c r="E736" s="6">
        <v>5237008.1948554516</v>
      </c>
      <c r="F736" s="6">
        <v>0.24070000648498535</v>
      </c>
      <c r="G736" s="6">
        <v>0.22709999978542328</v>
      </c>
      <c r="H736" s="6" t="e">
        <v>#N/A</v>
      </c>
      <c r="I736" s="6">
        <v>-0.99652849026848733</v>
      </c>
      <c r="J736" s="6">
        <v>10044291</v>
      </c>
      <c r="K736" s="6">
        <v>-1355.3541209184013</v>
      </c>
      <c r="L736" t="s">
        <v>17</v>
      </c>
      <c r="M736" t="s">
        <v>18</v>
      </c>
      <c r="N736" s="4" t="s">
        <v>13435</v>
      </c>
      <c r="O736" s="4" t="s">
        <v>13436</v>
      </c>
      <c r="P736" s="4" t="s">
        <v>233</v>
      </c>
    </row>
    <row r="737" spans="1:16" x14ac:dyDescent="0.35">
      <c r="A737" t="s">
        <v>2870</v>
      </c>
      <c r="B737" t="s">
        <v>2871</v>
      </c>
      <c r="C737" t="s">
        <v>16</v>
      </c>
      <c r="D737" s="6" t="e">
        <v>#N/A</v>
      </c>
      <c r="E737" s="6" t="e">
        <v>#N/A</v>
      </c>
      <c r="F737" s="6" t="e">
        <v>#N/A</v>
      </c>
      <c r="G737" s="6" t="e">
        <v>#N/A</v>
      </c>
      <c r="H737" s="6" t="e">
        <v>#N/A</v>
      </c>
      <c r="I737" s="6">
        <v>0</v>
      </c>
      <c r="J737" s="6">
        <v>23023022</v>
      </c>
      <c r="K737" s="6" t="e">
        <v>#N/A</v>
      </c>
      <c r="L737" t="s">
        <v>17</v>
      </c>
      <c r="M737" t="s">
        <v>87</v>
      </c>
      <c r="N737" s="4" t="s">
        <v>233</v>
      </c>
      <c r="O737" s="4" t="s">
        <v>2872</v>
      </c>
      <c r="P737" s="4" t="s">
        <v>13112</v>
      </c>
    </row>
    <row r="738" spans="1:16" x14ac:dyDescent="0.35">
      <c r="A738" t="s">
        <v>2873</v>
      </c>
      <c r="B738" t="s">
        <v>2874</v>
      </c>
      <c r="C738" t="s">
        <v>16</v>
      </c>
      <c r="D738" s="6">
        <v>404961690.00000006</v>
      </c>
      <c r="E738" s="6">
        <v>463412690.00000006</v>
      </c>
      <c r="F738" s="6">
        <v>17.25</v>
      </c>
      <c r="G738" s="6">
        <v>17.139999389648438</v>
      </c>
      <c r="H738" s="6">
        <v>16.58653846153846</v>
      </c>
      <c r="I738" s="6">
        <v>-0.54745059430675602</v>
      </c>
      <c r="J738" s="6">
        <v>143060000</v>
      </c>
      <c r="K738" s="6">
        <v>-16.666666666666664</v>
      </c>
      <c r="L738" t="s">
        <v>17</v>
      </c>
      <c r="M738" t="s">
        <v>40</v>
      </c>
      <c r="N738" s="4" t="s">
        <v>2875</v>
      </c>
      <c r="O738" s="4" t="s">
        <v>2876</v>
      </c>
      <c r="P738" s="4" t="s">
        <v>233</v>
      </c>
    </row>
    <row r="739" spans="1:16" x14ac:dyDescent="0.35">
      <c r="A739" t="s">
        <v>2877</v>
      </c>
      <c r="B739" t="s">
        <v>2878</v>
      </c>
      <c r="C739" t="s">
        <v>16</v>
      </c>
      <c r="D739" s="6">
        <v>62124966.929443955</v>
      </c>
      <c r="E739" s="6">
        <v>356496966.92944396</v>
      </c>
      <c r="F739" s="6">
        <v>6.3899998664855957</v>
      </c>
      <c r="G739" s="6">
        <v>5.940000057220459</v>
      </c>
      <c r="H739" s="6" t="e">
        <v>#N/A</v>
      </c>
      <c r="I739" s="6">
        <v>-0.70589627953668344</v>
      </c>
      <c r="J739" s="6">
        <v>53120000</v>
      </c>
      <c r="K739" s="6">
        <v>-361.71521816746355</v>
      </c>
      <c r="L739" t="s">
        <v>17</v>
      </c>
      <c r="M739" t="s">
        <v>18</v>
      </c>
      <c r="N739" s="4" t="s">
        <v>13309</v>
      </c>
      <c r="O739" s="4" t="s">
        <v>13310</v>
      </c>
      <c r="P739" s="4" t="s">
        <v>233</v>
      </c>
    </row>
    <row r="740" spans="1:16" x14ac:dyDescent="0.35">
      <c r="A740" t="s">
        <v>2879</v>
      </c>
      <c r="B740" t="s">
        <v>2880</v>
      </c>
      <c r="C740" t="s">
        <v>16</v>
      </c>
      <c r="D740" s="6">
        <v>370426120.54046303</v>
      </c>
      <c r="E740" s="6">
        <v>494671120.54046297</v>
      </c>
      <c r="F740" s="6">
        <v>1.8799999952316284</v>
      </c>
      <c r="G740" s="6">
        <v>1.7599999904632568</v>
      </c>
      <c r="H740" s="6" t="e">
        <v>#N/A</v>
      </c>
      <c r="I740" s="6">
        <v>-0.27628222055122797</v>
      </c>
      <c r="J740" s="6">
        <v>295451000</v>
      </c>
      <c r="K740" s="6">
        <v>73.949579831932766</v>
      </c>
      <c r="L740" t="s">
        <v>17</v>
      </c>
      <c r="M740" t="s">
        <v>87</v>
      </c>
      <c r="N740" s="4" t="s">
        <v>2881</v>
      </c>
      <c r="O740" s="4" t="s">
        <v>2882</v>
      </c>
      <c r="P740" s="4" t="s">
        <v>233</v>
      </c>
    </row>
    <row r="741" spans="1:16" x14ac:dyDescent="0.35">
      <c r="A741" t="s">
        <v>2883</v>
      </c>
      <c r="B741" t="s">
        <v>2884</v>
      </c>
      <c r="C741" t="s">
        <v>16</v>
      </c>
      <c r="D741" s="6">
        <v>35329.004000000001</v>
      </c>
      <c r="E741" s="6">
        <v>3338.0040000000008</v>
      </c>
      <c r="F741" s="6">
        <v>4.0000000000000001E-3</v>
      </c>
      <c r="G741" s="6">
        <v>3.8E-3</v>
      </c>
      <c r="H741" s="6" t="e">
        <v>#N/A</v>
      </c>
      <c r="I741" s="6">
        <v>0.17594830327122812</v>
      </c>
      <c r="J741" s="6" t="e">
        <v>#N/A</v>
      </c>
      <c r="K741" s="6" t="e">
        <v>#N/A</v>
      </c>
      <c r="L741" t="s">
        <v>17</v>
      </c>
      <c r="M741" t="s">
        <v>27</v>
      </c>
      <c r="N741" s="4" t="s">
        <v>2885</v>
      </c>
      <c r="O741" s="4" t="s">
        <v>2886</v>
      </c>
      <c r="P741" s="4" t="s">
        <v>233</v>
      </c>
    </row>
    <row r="742" spans="1:16" x14ac:dyDescent="0.35">
      <c r="A742" t="s">
        <v>2887</v>
      </c>
      <c r="B742" t="s">
        <v>2888</v>
      </c>
      <c r="C742" t="s">
        <v>16</v>
      </c>
      <c r="D742" s="6">
        <v>7415184.5698795309</v>
      </c>
      <c r="E742" s="6">
        <v>1076152.5698795309</v>
      </c>
      <c r="F742" s="6">
        <v>4.9899997711181641</v>
      </c>
      <c r="G742" s="6">
        <v>4.882199764251709</v>
      </c>
      <c r="H742" s="6" t="e">
        <v>#N/A</v>
      </c>
      <c r="I742" s="6">
        <v>-0.39738197271066711</v>
      </c>
      <c r="J742" s="6">
        <v>8617036</v>
      </c>
      <c r="K742" s="6">
        <v>60.211096699812664</v>
      </c>
      <c r="L742" t="s">
        <v>17</v>
      </c>
      <c r="M742" t="s">
        <v>87</v>
      </c>
      <c r="N742" s="4" t="s">
        <v>2889</v>
      </c>
      <c r="O742" s="4" t="s">
        <v>2890</v>
      </c>
      <c r="P742" s="4" t="s">
        <v>233</v>
      </c>
    </row>
    <row r="743" spans="1:16" x14ac:dyDescent="0.35">
      <c r="A743" t="s">
        <v>2891</v>
      </c>
      <c r="B743" t="s">
        <v>2892</v>
      </c>
      <c r="C743" t="s">
        <v>16</v>
      </c>
      <c r="D743" s="6">
        <v>1871160776.2690544</v>
      </c>
      <c r="E743" s="6">
        <v>271348776.26905417</v>
      </c>
      <c r="F743" s="6">
        <v>32.810001373291016</v>
      </c>
      <c r="G743" s="6">
        <v>32</v>
      </c>
      <c r="H743" s="6" t="e">
        <v>#N/A</v>
      </c>
      <c r="I743" s="6">
        <v>0.26695281591725006</v>
      </c>
      <c r="J743" s="6">
        <v>32871000</v>
      </c>
      <c r="K743" s="6" t="e">
        <v>#N/A</v>
      </c>
      <c r="L743" t="s">
        <v>17</v>
      </c>
      <c r="M743" t="s">
        <v>18</v>
      </c>
      <c r="N743" s="4" t="s">
        <v>2893</v>
      </c>
      <c r="O743" s="4" t="s">
        <v>2894</v>
      </c>
      <c r="P743" s="4" t="s">
        <v>233</v>
      </c>
    </row>
    <row r="744" spans="1:16" x14ac:dyDescent="0.35">
      <c r="A744" t="s">
        <v>13052</v>
      </c>
      <c r="B744" t="s">
        <v>2895</v>
      </c>
      <c r="C744" t="s">
        <v>16</v>
      </c>
      <c r="D744" s="6">
        <v>115337.49599174595</v>
      </c>
      <c r="E744" s="6">
        <v>-5489662.504008254</v>
      </c>
      <c r="F744" s="6">
        <v>2.7000000700354576E-2</v>
      </c>
      <c r="G744" s="6">
        <v>2.7000000700354576E-2</v>
      </c>
      <c r="H744" s="6" t="e">
        <v>#N/A</v>
      </c>
      <c r="I744" s="6">
        <v>-0.92003671311466828</v>
      </c>
      <c r="J744" s="6">
        <v>19000</v>
      </c>
      <c r="K744" s="6">
        <v>30.436081730769235</v>
      </c>
      <c r="L744" t="s">
        <v>17</v>
      </c>
      <c r="M744" t="s">
        <v>18</v>
      </c>
      <c r="N744" s="4" t="s">
        <v>2896</v>
      </c>
      <c r="O744" s="4" t="s">
        <v>2897</v>
      </c>
      <c r="P744" s="4" t="s">
        <v>233</v>
      </c>
    </row>
    <row r="745" spans="1:16" x14ac:dyDescent="0.35">
      <c r="A745" t="s">
        <v>2898</v>
      </c>
      <c r="B745" t="s">
        <v>2899</v>
      </c>
      <c r="C745" t="s">
        <v>16</v>
      </c>
      <c r="D745" s="6">
        <v>25153536.102574825</v>
      </c>
      <c r="E745" s="6">
        <v>19743536.102574825</v>
      </c>
      <c r="F745" s="6">
        <v>6.8899998664855957</v>
      </c>
      <c r="G745" s="6">
        <v>6.820000171661377</v>
      </c>
      <c r="H745" s="6" t="e">
        <v>#N/A</v>
      </c>
      <c r="I745" s="6">
        <v>-0.59131716094841646</v>
      </c>
      <c r="J745" s="6">
        <v>226000</v>
      </c>
      <c r="K745" s="6">
        <v>-484.13508265460456</v>
      </c>
      <c r="L745" t="s">
        <v>17</v>
      </c>
      <c r="M745" t="s">
        <v>87</v>
      </c>
      <c r="N745" s="4" t="s">
        <v>2900</v>
      </c>
      <c r="O745" s="4" t="s">
        <v>2901</v>
      </c>
      <c r="P745" s="4" t="s">
        <v>233</v>
      </c>
    </row>
    <row r="746" spans="1:16" x14ac:dyDescent="0.35">
      <c r="A746" t="s">
        <v>2902</v>
      </c>
      <c r="B746" t="s">
        <v>2903</v>
      </c>
      <c r="C746" t="s">
        <v>16</v>
      </c>
      <c r="D746" s="6">
        <v>559379965.49443924</v>
      </c>
      <c r="E746" s="6">
        <v>536497965.49443924</v>
      </c>
      <c r="F746" s="6">
        <v>1.9099999666213989</v>
      </c>
      <c r="G746" s="6">
        <v>1.7000000476837158</v>
      </c>
      <c r="H746" s="6" t="e">
        <v>#N/A</v>
      </c>
      <c r="I746" s="6">
        <v>0.33460850117069807</v>
      </c>
      <c r="J746" s="6">
        <v>3963000</v>
      </c>
      <c r="K746" s="6">
        <v>-40.032871088937405</v>
      </c>
      <c r="L746" t="s">
        <v>17</v>
      </c>
      <c r="M746" t="s">
        <v>18</v>
      </c>
      <c r="N746" s="4" t="s">
        <v>2904</v>
      </c>
      <c r="O746" s="4" t="s">
        <v>2905</v>
      </c>
      <c r="P746" s="4" t="s">
        <v>233</v>
      </c>
    </row>
    <row r="747" spans="1:16" x14ac:dyDescent="0.35">
      <c r="A747" t="s">
        <v>2906</v>
      </c>
      <c r="B747" t="s">
        <v>2907</v>
      </c>
      <c r="C747" t="s">
        <v>16</v>
      </c>
      <c r="D747" s="6">
        <v>26734726.826956272</v>
      </c>
      <c r="E747" s="6">
        <v>15952726.826956272</v>
      </c>
      <c r="F747" s="6">
        <v>7.320000171661377</v>
      </c>
      <c r="G747" s="6">
        <v>7.5</v>
      </c>
      <c r="H747" s="6" t="e">
        <v>#N/A</v>
      </c>
      <c r="I747" s="6">
        <v>3.214570618075749</v>
      </c>
      <c r="J747" s="6">
        <v>10005000</v>
      </c>
      <c r="K747" s="6">
        <v>40.62949721172874</v>
      </c>
      <c r="L747" t="s">
        <v>17</v>
      </c>
      <c r="M747" t="s">
        <v>87</v>
      </c>
      <c r="N747" s="4" t="s">
        <v>2908</v>
      </c>
      <c r="O747" s="4" t="s">
        <v>2909</v>
      </c>
      <c r="P747" s="4" t="s">
        <v>233</v>
      </c>
    </row>
    <row r="748" spans="1:16" x14ac:dyDescent="0.35">
      <c r="A748" t="s">
        <v>2910</v>
      </c>
      <c r="B748" t="s">
        <v>2911</v>
      </c>
      <c r="C748" t="s">
        <v>16</v>
      </c>
      <c r="D748" s="6">
        <v>31921927.481943607</v>
      </c>
      <c r="E748" s="6">
        <v>7898436.4819436073</v>
      </c>
      <c r="F748" s="6">
        <v>1.7300000190734863</v>
      </c>
      <c r="G748" s="6">
        <v>1.6299999952316284</v>
      </c>
      <c r="H748" s="6" t="e">
        <v>#N/A</v>
      </c>
      <c r="I748" s="6">
        <v>-0.84746181465210046</v>
      </c>
      <c r="J748" s="6" t="e">
        <v>#N/A</v>
      </c>
      <c r="K748" s="6">
        <v>62.655945374113635</v>
      </c>
      <c r="L748" t="s">
        <v>17</v>
      </c>
      <c r="M748" t="s">
        <v>18</v>
      </c>
      <c r="N748" s="4" t="s">
        <v>2912</v>
      </c>
      <c r="O748" s="4" t="s">
        <v>2913</v>
      </c>
      <c r="P748" s="4" t="s">
        <v>233</v>
      </c>
    </row>
    <row r="749" spans="1:16" x14ac:dyDescent="0.35">
      <c r="A749" t="s">
        <v>13329</v>
      </c>
      <c r="B749" t="s">
        <v>13322</v>
      </c>
      <c r="C749" t="s">
        <v>16</v>
      </c>
      <c r="D749" s="6">
        <v>189415652.74270439</v>
      </c>
      <c r="E749" s="6">
        <v>170052652.74270439</v>
      </c>
      <c r="F749" s="6">
        <v>16.879999160766602</v>
      </c>
      <c r="G749" s="6">
        <v>16.010000228881836</v>
      </c>
      <c r="H749" s="6" t="e">
        <v>#N/A</v>
      </c>
      <c r="I749" s="6">
        <v>0.30152899310733017</v>
      </c>
      <c r="J749" s="6">
        <v>1352000</v>
      </c>
      <c r="K749" s="6">
        <v>54.86515852151701</v>
      </c>
      <c r="L749" t="s">
        <v>17</v>
      </c>
      <c r="M749" t="s">
        <v>18</v>
      </c>
      <c r="N749" s="4" t="s">
        <v>13323</v>
      </c>
      <c r="O749" s="4" t="s">
        <v>13324</v>
      </c>
      <c r="P749" s="4" t="s">
        <v>233</v>
      </c>
    </row>
    <row r="750" spans="1:16" x14ac:dyDescent="0.35">
      <c r="A750" t="s">
        <v>2914</v>
      </c>
      <c r="B750" t="s">
        <v>2915</v>
      </c>
      <c r="C750" t="s">
        <v>16</v>
      </c>
      <c r="D750" s="6">
        <v>43401675.135380745</v>
      </c>
      <c r="E750" s="6" t="e">
        <v>#N/A</v>
      </c>
      <c r="F750" s="6">
        <v>0.37999999523162842</v>
      </c>
      <c r="G750" s="6">
        <v>0.375</v>
      </c>
      <c r="H750" s="6" t="e">
        <v>#N/A</v>
      </c>
      <c r="I750" s="6">
        <v>7.8878194198401506</v>
      </c>
      <c r="J750" s="6" t="e">
        <v>#N/A</v>
      </c>
      <c r="K750" s="6" t="e">
        <v>#N/A</v>
      </c>
      <c r="L750" t="s">
        <v>17</v>
      </c>
      <c r="M750" t="s">
        <v>32</v>
      </c>
      <c r="N750" s="4" t="s">
        <v>2916</v>
      </c>
      <c r="O750" s="4" t="s">
        <v>2917</v>
      </c>
      <c r="P750" s="4" t="s">
        <v>233</v>
      </c>
    </row>
    <row r="751" spans="1:16" x14ac:dyDescent="0.35">
      <c r="A751" t="s">
        <v>2918</v>
      </c>
      <c r="B751" t="s">
        <v>2919</v>
      </c>
      <c r="C751" t="s">
        <v>16</v>
      </c>
      <c r="D751" s="6">
        <v>142367916.24999997</v>
      </c>
      <c r="E751" s="6">
        <v>-48232536.470000029</v>
      </c>
      <c r="F751" s="6">
        <v>1.25</v>
      </c>
      <c r="G751" s="6">
        <v>1.190000057220459</v>
      </c>
      <c r="H751" s="6" t="e">
        <v>#N/A</v>
      </c>
      <c r="I751" s="6">
        <v>-0.81693464825233908</v>
      </c>
      <c r="J751" s="6">
        <v>13447000</v>
      </c>
      <c r="K751" s="6">
        <v>6.7796610169491585</v>
      </c>
      <c r="L751" t="s">
        <v>17</v>
      </c>
      <c r="M751" t="s">
        <v>18</v>
      </c>
      <c r="N751" s="4" t="s">
        <v>2920</v>
      </c>
      <c r="O751" s="4" t="s">
        <v>2921</v>
      </c>
      <c r="P751" s="4" t="s">
        <v>233</v>
      </c>
    </row>
    <row r="752" spans="1:16" x14ac:dyDescent="0.35">
      <c r="A752" t="s">
        <v>2922</v>
      </c>
      <c r="B752" t="s">
        <v>2923</v>
      </c>
      <c r="C752" t="s">
        <v>16</v>
      </c>
      <c r="D752" s="6">
        <v>639069.38299778476</v>
      </c>
      <c r="E752" s="6" t="e">
        <v>#N/A</v>
      </c>
      <c r="F752" s="6">
        <v>2.6200000196695328E-2</v>
      </c>
      <c r="G752" s="6">
        <v>2.7000000700354576E-2</v>
      </c>
      <c r="H752" s="6" t="e">
        <v>#N/A</v>
      </c>
      <c r="I752" s="6">
        <v>-0.5623436432223734</v>
      </c>
      <c r="J752" s="6">
        <v>1274810</v>
      </c>
      <c r="K752" s="6" t="e">
        <v>#N/A</v>
      </c>
      <c r="L752" t="s">
        <v>17</v>
      </c>
      <c r="M752" t="s">
        <v>87</v>
      </c>
      <c r="N752" s="4" t="s">
        <v>2924</v>
      </c>
      <c r="O752" s="4" t="s">
        <v>2925</v>
      </c>
      <c r="P752" s="4" t="s">
        <v>233</v>
      </c>
    </row>
    <row r="753" spans="1:16" x14ac:dyDescent="0.35">
      <c r="A753" t="s">
        <v>2926</v>
      </c>
      <c r="B753" t="s">
        <v>2927</v>
      </c>
      <c r="C753" t="s">
        <v>16</v>
      </c>
      <c r="D753" s="6" t="e">
        <v>#N/A</v>
      </c>
      <c r="E753" s="6" t="e">
        <v>#N/A</v>
      </c>
      <c r="F753" s="6" t="e">
        <v>#N/A</v>
      </c>
      <c r="G753" s="6" t="e">
        <v>#N/A</v>
      </c>
      <c r="H753" s="6" t="e">
        <v>#N/A</v>
      </c>
      <c r="I753" s="6">
        <v>-0.47958908198899441</v>
      </c>
      <c r="J753" s="6" t="e">
        <v>#N/A</v>
      </c>
      <c r="K753" s="6" t="e">
        <v>#N/A</v>
      </c>
      <c r="L753" t="s">
        <v>17</v>
      </c>
      <c r="M753" t="s">
        <v>18</v>
      </c>
      <c r="N753" s="4" t="s">
        <v>2928</v>
      </c>
      <c r="O753" s="4" t="s">
        <v>2929</v>
      </c>
      <c r="P753" s="4" t="s">
        <v>233</v>
      </c>
    </row>
    <row r="754" spans="1:16" x14ac:dyDescent="0.35">
      <c r="A754" t="s">
        <v>2930</v>
      </c>
      <c r="B754" t="s">
        <v>2931</v>
      </c>
      <c r="C754" t="s">
        <v>16</v>
      </c>
      <c r="D754" s="6">
        <v>37882830774.475243</v>
      </c>
      <c r="E754" s="6">
        <v>32891545774.475243</v>
      </c>
      <c r="F754" s="6">
        <v>233.33999633789063</v>
      </c>
      <c r="G754" s="6">
        <v>232.72999572753906</v>
      </c>
      <c r="H754" s="6">
        <v>59.462906357997745</v>
      </c>
      <c r="I754" s="6">
        <v>6.7920856013146569E-2</v>
      </c>
      <c r="J754" s="6">
        <v>2656351000</v>
      </c>
      <c r="K754" s="6">
        <v>16.01123595505619</v>
      </c>
      <c r="L754" t="s">
        <v>17</v>
      </c>
      <c r="M754" t="s">
        <v>32</v>
      </c>
      <c r="N754" s="4" t="s">
        <v>2932</v>
      </c>
      <c r="O754" s="4" t="s">
        <v>2933</v>
      </c>
      <c r="P754" s="4" t="s">
        <v>233</v>
      </c>
    </row>
    <row r="755" spans="1:16" x14ac:dyDescent="0.35">
      <c r="A755" t="s">
        <v>2934</v>
      </c>
      <c r="B755" t="s">
        <v>2935</v>
      </c>
      <c r="C755" t="s">
        <v>16</v>
      </c>
      <c r="D755" s="6">
        <v>262.6026</v>
      </c>
      <c r="E755" s="6">
        <v>4432262.6026000008</v>
      </c>
      <c r="F755" s="6">
        <v>1E-4</v>
      </c>
      <c r="G755" s="6">
        <v>1E-4</v>
      </c>
      <c r="H755" s="6" t="e">
        <v>#N/A</v>
      </c>
      <c r="I755" s="6">
        <v>-0.49905218039388166</v>
      </c>
      <c r="J755" s="6">
        <v>6849000</v>
      </c>
      <c r="K755" s="6">
        <v>-109.5902911538787</v>
      </c>
      <c r="L755" t="s">
        <v>17</v>
      </c>
      <c r="M755" t="s">
        <v>18</v>
      </c>
      <c r="N755" s="4" t="s">
        <v>2936</v>
      </c>
      <c r="O755" s="4" t="s">
        <v>2937</v>
      </c>
      <c r="P755" s="4" t="s">
        <v>233</v>
      </c>
    </row>
    <row r="756" spans="1:16" x14ac:dyDescent="0.35">
      <c r="A756" t="s">
        <v>2938</v>
      </c>
      <c r="B756" t="s">
        <v>2939</v>
      </c>
      <c r="C756" t="s">
        <v>16</v>
      </c>
      <c r="D756" s="6">
        <v>3129435101.7985344</v>
      </c>
      <c r="E756" s="6">
        <v>2875050101.7985344</v>
      </c>
      <c r="F756" s="6">
        <v>40.380001068115234</v>
      </c>
      <c r="G756" s="6">
        <v>40.009998321533203</v>
      </c>
      <c r="H756" s="6">
        <v>70.079227129433505</v>
      </c>
      <c r="I756" s="6">
        <v>0.52087639325873281</v>
      </c>
      <c r="J756" s="6">
        <v>425331000</v>
      </c>
      <c r="K756" s="6">
        <v>79.710144927536234</v>
      </c>
      <c r="L756" t="s">
        <v>17</v>
      </c>
      <c r="M756" t="s">
        <v>18</v>
      </c>
      <c r="N756" s="4" t="s">
        <v>2940</v>
      </c>
      <c r="O756" s="4" t="s">
        <v>2941</v>
      </c>
      <c r="P756" s="4" t="s">
        <v>233</v>
      </c>
    </row>
    <row r="757" spans="1:16" x14ac:dyDescent="0.35">
      <c r="A757" t="s">
        <v>2942</v>
      </c>
      <c r="B757" t="s">
        <v>2943</v>
      </c>
      <c r="C757" t="s">
        <v>16</v>
      </c>
      <c r="D757" s="6">
        <v>73922536.836337551</v>
      </c>
      <c r="E757" s="6">
        <v>134656536.83633757</v>
      </c>
      <c r="F757" s="6">
        <v>0.58579999208450317</v>
      </c>
      <c r="G757" s="6">
        <v>0.5899999737739563</v>
      </c>
      <c r="H757" s="6" t="e">
        <v>#N/A</v>
      </c>
      <c r="I757" s="6">
        <v>-0.54840212010006861</v>
      </c>
      <c r="J757" s="6">
        <v>148442000</v>
      </c>
      <c r="K757" s="6">
        <v>40.151515151515142</v>
      </c>
      <c r="L757" t="s">
        <v>17</v>
      </c>
      <c r="M757" t="s">
        <v>18</v>
      </c>
      <c r="N757" s="4" t="s">
        <v>2944</v>
      </c>
      <c r="O757" s="4" t="s">
        <v>2945</v>
      </c>
      <c r="P757" s="4" t="s">
        <v>233</v>
      </c>
    </row>
    <row r="758" spans="1:16" x14ac:dyDescent="0.35">
      <c r="A758" t="s">
        <v>2946</v>
      </c>
      <c r="B758" t="s">
        <v>2947</v>
      </c>
      <c r="C758" t="s">
        <v>16</v>
      </c>
      <c r="D758" s="6">
        <v>16752931.455119789</v>
      </c>
      <c r="E758" s="6">
        <v>2623400.4551197886</v>
      </c>
      <c r="F758" s="6">
        <v>0.25979998707771301</v>
      </c>
      <c r="G758" s="6">
        <v>0.26769998669624329</v>
      </c>
      <c r="H758" s="6" t="e">
        <v>#N/A</v>
      </c>
      <c r="I758" s="6">
        <v>-0.9158944950390826</v>
      </c>
      <c r="J758" s="6">
        <v>10000</v>
      </c>
      <c r="K758" s="6">
        <v>2.1198936580006102</v>
      </c>
      <c r="L758" t="s">
        <v>17</v>
      </c>
      <c r="M758" t="s">
        <v>18</v>
      </c>
      <c r="N758" s="4" t="s">
        <v>2948</v>
      </c>
      <c r="O758" s="4" t="s">
        <v>2949</v>
      </c>
      <c r="P758" s="4" t="s">
        <v>233</v>
      </c>
    </row>
    <row r="759" spans="1:16" x14ac:dyDescent="0.35">
      <c r="A759" t="s">
        <v>2950</v>
      </c>
      <c r="B759" t="s">
        <v>2951</v>
      </c>
      <c r="C759" t="s">
        <v>16</v>
      </c>
      <c r="D759" s="6">
        <v>2161414658.098556</v>
      </c>
      <c r="E759" s="6">
        <v>2164055658.098556</v>
      </c>
      <c r="F759" s="6">
        <v>32.909999847412109</v>
      </c>
      <c r="G759" s="6">
        <v>32.950000762939453</v>
      </c>
      <c r="H759" s="6" t="e">
        <v>#N/A</v>
      </c>
      <c r="I759" s="6">
        <v>0.37063716051589979</v>
      </c>
      <c r="J759" s="6">
        <v>854351000</v>
      </c>
      <c r="K759" s="6">
        <v>40.247678018575854</v>
      </c>
      <c r="L759" t="s">
        <v>17</v>
      </c>
      <c r="M759" t="s">
        <v>27</v>
      </c>
      <c r="N759" s="4" t="s">
        <v>2952</v>
      </c>
      <c r="O759" s="4" t="s">
        <v>2953</v>
      </c>
      <c r="P759" s="4" t="s">
        <v>233</v>
      </c>
    </row>
    <row r="760" spans="1:16" x14ac:dyDescent="0.35">
      <c r="A760" t="s">
        <v>2954</v>
      </c>
      <c r="B760" t="s">
        <v>2955</v>
      </c>
      <c r="C760" t="s">
        <v>16</v>
      </c>
      <c r="D760" s="6">
        <v>1563456.2305736542</v>
      </c>
      <c r="E760" s="6">
        <v>25665456.230573654</v>
      </c>
      <c r="F760" s="6">
        <v>1.809999942779541</v>
      </c>
      <c r="G760" s="6">
        <v>1.684999942779541</v>
      </c>
      <c r="H760" s="6" t="e">
        <v>#N/A</v>
      </c>
      <c r="I760" s="6">
        <v>-0.87446071358081057</v>
      </c>
      <c r="J760" s="6">
        <v>547000</v>
      </c>
      <c r="K760" s="6">
        <v>32.799999999999997</v>
      </c>
      <c r="L760" t="s">
        <v>17</v>
      </c>
      <c r="M760" t="s">
        <v>18</v>
      </c>
      <c r="N760" s="4" t="s">
        <v>2956</v>
      </c>
      <c r="O760" s="4" t="s">
        <v>2957</v>
      </c>
      <c r="P760" s="4" t="s">
        <v>233</v>
      </c>
    </row>
    <row r="761" spans="1:16" x14ac:dyDescent="0.35">
      <c r="A761" t="s">
        <v>2958</v>
      </c>
      <c r="B761" t="s">
        <v>2959</v>
      </c>
      <c r="C761" t="s">
        <v>16</v>
      </c>
      <c r="D761" s="6">
        <v>1135108478.5471535</v>
      </c>
      <c r="E761" s="6">
        <v>385507478.54715347</v>
      </c>
      <c r="F761" s="6">
        <v>16.219999313354492</v>
      </c>
      <c r="G761" s="6">
        <v>15.819999694824219</v>
      </c>
      <c r="H761" s="6" t="e">
        <v>#N/A</v>
      </c>
      <c r="I761" s="6">
        <v>-0.20865907381640136</v>
      </c>
      <c r="J761" s="6">
        <v>85164000</v>
      </c>
      <c r="K761" s="6">
        <v>-60.80402010050252</v>
      </c>
      <c r="L761" t="s">
        <v>17</v>
      </c>
      <c r="M761" t="s">
        <v>18</v>
      </c>
      <c r="N761" s="4" t="s">
        <v>2960</v>
      </c>
      <c r="O761" s="4" t="s">
        <v>2961</v>
      </c>
      <c r="P761" s="4" t="s">
        <v>233</v>
      </c>
    </row>
    <row r="762" spans="1:16" x14ac:dyDescent="0.35">
      <c r="A762" t="s">
        <v>2962</v>
      </c>
      <c r="B762" t="s">
        <v>2963</v>
      </c>
      <c r="C762" t="s">
        <v>16</v>
      </c>
      <c r="D762" s="6">
        <v>84494119.112698078</v>
      </c>
      <c r="E762" s="6">
        <v>25609119.112698078</v>
      </c>
      <c r="F762" s="6">
        <v>0.93800002336502075</v>
      </c>
      <c r="G762" s="6">
        <v>0.95010000467300415</v>
      </c>
      <c r="H762" s="6" t="e">
        <v>#N/A</v>
      </c>
      <c r="I762" s="6">
        <v>-0.2368334466867642</v>
      </c>
      <c r="J762" s="6">
        <v>0</v>
      </c>
      <c r="K762" s="6">
        <v>60.247482253642396</v>
      </c>
      <c r="L762" t="s">
        <v>17</v>
      </c>
      <c r="M762" t="s">
        <v>18</v>
      </c>
      <c r="N762" s="4" t="s">
        <v>2964</v>
      </c>
      <c r="O762" s="4" t="s">
        <v>2965</v>
      </c>
      <c r="P762" s="4" t="s">
        <v>233</v>
      </c>
    </row>
    <row r="763" spans="1:16" x14ac:dyDescent="0.35">
      <c r="A763" t="s">
        <v>2966</v>
      </c>
      <c r="B763" t="s">
        <v>2967</v>
      </c>
      <c r="C763" t="s">
        <v>16</v>
      </c>
      <c r="D763" s="6" t="e">
        <v>#N/A</v>
      </c>
      <c r="E763" s="6" t="e">
        <v>#N/A</v>
      </c>
      <c r="F763" s="6" t="e">
        <v>#N/A</v>
      </c>
      <c r="G763" s="6" t="e">
        <v>#N/A</v>
      </c>
      <c r="H763" s="6" t="e">
        <v>#N/A</v>
      </c>
      <c r="I763" s="6">
        <v>0</v>
      </c>
      <c r="J763" s="6">
        <v>0</v>
      </c>
      <c r="K763" s="6">
        <v>20.113106796116508</v>
      </c>
      <c r="L763" t="s">
        <v>17</v>
      </c>
      <c r="M763" t="s">
        <v>18</v>
      </c>
      <c r="N763" s="4" t="s">
        <v>2968</v>
      </c>
      <c r="O763" s="4" t="s">
        <v>2969</v>
      </c>
      <c r="P763" s="4" t="s">
        <v>233</v>
      </c>
    </row>
    <row r="764" spans="1:16" x14ac:dyDescent="0.35">
      <c r="A764" t="s">
        <v>2970</v>
      </c>
      <c r="B764" t="s">
        <v>2971</v>
      </c>
      <c r="C764" t="s">
        <v>16</v>
      </c>
      <c r="D764" s="6">
        <v>74927159.973261237</v>
      </c>
      <c r="E764" s="6">
        <v>230411194.36444438</v>
      </c>
      <c r="F764" s="6">
        <v>1.3500000238418579</v>
      </c>
      <c r="G764" s="6">
        <v>1.3500000238418579</v>
      </c>
      <c r="H764" s="6" t="e">
        <v>#N/A</v>
      </c>
      <c r="I764" s="6">
        <v>-2.8699474910071521E-2</v>
      </c>
      <c r="J764" s="6" t="e">
        <v>#N/A</v>
      </c>
      <c r="K764" s="6" t="e">
        <v>#N/A</v>
      </c>
      <c r="L764" t="s">
        <v>17</v>
      </c>
      <c r="M764" t="s">
        <v>27</v>
      </c>
      <c r="N764" s="4" t="s">
        <v>233</v>
      </c>
      <c r="O764" s="4" t="s">
        <v>2972</v>
      </c>
      <c r="P764" s="4" t="s">
        <v>13113</v>
      </c>
    </row>
    <row r="765" spans="1:16" x14ac:dyDescent="0.35">
      <c r="A765" t="s">
        <v>2973</v>
      </c>
      <c r="B765" t="s">
        <v>2974</v>
      </c>
      <c r="C765" t="s">
        <v>16</v>
      </c>
      <c r="D765" s="6">
        <v>23999287.375</v>
      </c>
      <c r="E765" s="6">
        <v>-14619712.625</v>
      </c>
      <c r="F765" s="6">
        <v>5.25</v>
      </c>
      <c r="G765" s="6">
        <v>5.0999999046325684</v>
      </c>
      <c r="H765" s="6" t="e">
        <v>#N/A</v>
      </c>
      <c r="I765" s="6">
        <v>-0.24898527090481692</v>
      </c>
      <c r="J765" s="6">
        <v>8686000</v>
      </c>
      <c r="K765" s="6">
        <v>18.604651162790706</v>
      </c>
      <c r="L765" t="s">
        <v>17</v>
      </c>
      <c r="M765" t="s">
        <v>87</v>
      </c>
      <c r="N765" s="4" t="s">
        <v>13372</v>
      </c>
      <c r="O765" s="4" t="s">
        <v>13373</v>
      </c>
      <c r="P765" s="4" t="s">
        <v>233</v>
      </c>
    </row>
    <row r="766" spans="1:16" x14ac:dyDescent="0.35">
      <c r="A766" t="s">
        <v>2975</v>
      </c>
      <c r="B766" t="s">
        <v>2976</v>
      </c>
      <c r="C766" t="s">
        <v>16</v>
      </c>
      <c r="D766" s="6">
        <v>4010511587.4212341</v>
      </c>
      <c r="E766" s="6">
        <v>3422984587.4212341</v>
      </c>
      <c r="F766" s="6">
        <v>43.430000305175781</v>
      </c>
      <c r="G766" s="6">
        <v>42.869998931884766</v>
      </c>
      <c r="H766" s="6" t="e">
        <v>#N/A</v>
      </c>
      <c r="I766" s="6">
        <v>-7.063079096347169E-2</v>
      </c>
      <c r="J766" s="6">
        <v>522745000</v>
      </c>
      <c r="K766" s="6">
        <v>27.870680044593104</v>
      </c>
      <c r="L766" t="s">
        <v>17</v>
      </c>
      <c r="M766" t="s">
        <v>18</v>
      </c>
      <c r="N766" s="4" t="s">
        <v>2977</v>
      </c>
      <c r="O766" s="4" t="s">
        <v>2978</v>
      </c>
      <c r="P766" s="4" t="s">
        <v>233</v>
      </c>
    </row>
    <row r="767" spans="1:16" x14ac:dyDescent="0.35">
      <c r="A767" t="s">
        <v>2979</v>
      </c>
      <c r="B767" t="s">
        <v>2980</v>
      </c>
      <c r="C767" t="s">
        <v>16</v>
      </c>
      <c r="D767" s="6">
        <v>457680916.82052606</v>
      </c>
      <c r="E767" s="6">
        <v>445012916.82052606</v>
      </c>
      <c r="F767" s="6">
        <v>47.689998626708984</v>
      </c>
      <c r="G767" s="6">
        <v>45.799999237060547</v>
      </c>
      <c r="H767" s="6">
        <v>22.755673829308577</v>
      </c>
      <c r="I767" s="6">
        <v>-8.7062739254881727E-3</v>
      </c>
      <c r="J767" s="6">
        <v>58936000</v>
      </c>
      <c r="K767" s="6">
        <v>-21.232876712328757</v>
      </c>
      <c r="L767" t="s">
        <v>17</v>
      </c>
      <c r="M767" t="s">
        <v>27</v>
      </c>
      <c r="N767" s="4" t="s">
        <v>2981</v>
      </c>
      <c r="O767" s="4" t="s">
        <v>2982</v>
      </c>
      <c r="P767" s="4" t="s">
        <v>233</v>
      </c>
    </row>
    <row r="768" spans="1:16" x14ac:dyDescent="0.35">
      <c r="A768" t="s">
        <v>2983</v>
      </c>
      <c r="B768" t="s">
        <v>2984</v>
      </c>
      <c r="C768" t="s">
        <v>16</v>
      </c>
      <c r="D768" s="6">
        <v>13596011921.402069</v>
      </c>
      <c r="E768" s="6">
        <v>12607158921.402069</v>
      </c>
      <c r="F768" s="6">
        <v>127.97000122070313</v>
      </c>
      <c r="G768" s="6">
        <v>127.5</v>
      </c>
      <c r="H768" s="6" t="e">
        <v>#N/A</v>
      </c>
      <c r="I768" s="6">
        <v>0.75680722769232855</v>
      </c>
      <c r="J768" s="6">
        <v>613728000</v>
      </c>
      <c r="K768" s="6">
        <v>45.962732919254641</v>
      </c>
      <c r="L768" t="s">
        <v>17</v>
      </c>
      <c r="M768" t="s">
        <v>87</v>
      </c>
      <c r="N768" s="4" t="s">
        <v>2985</v>
      </c>
      <c r="O768" s="4" t="s">
        <v>2986</v>
      </c>
      <c r="P768" s="4" t="s">
        <v>233</v>
      </c>
    </row>
    <row r="769" spans="1:16" x14ac:dyDescent="0.35">
      <c r="A769" t="s">
        <v>2987</v>
      </c>
      <c r="B769" t="s">
        <v>2988</v>
      </c>
      <c r="C769" t="s">
        <v>16</v>
      </c>
      <c r="D769" s="6">
        <v>241518715.99740314</v>
      </c>
      <c r="E769" s="6">
        <v>141002715.99740314</v>
      </c>
      <c r="F769" s="6">
        <v>10.140000343322754</v>
      </c>
      <c r="G769" s="6">
        <v>10.149999618530273</v>
      </c>
      <c r="H769" s="6" t="e">
        <v>#N/A</v>
      </c>
      <c r="I769" s="6">
        <v>0.16369570840310277</v>
      </c>
      <c r="J769" s="6">
        <v>331520000</v>
      </c>
      <c r="K769" s="6">
        <v>60.801393728222997</v>
      </c>
      <c r="L769" t="s">
        <v>17</v>
      </c>
      <c r="M769" t="s">
        <v>27</v>
      </c>
      <c r="N769" s="4" t="s">
        <v>2989</v>
      </c>
      <c r="O769" s="4" t="s">
        <v>2990</v>
      </c>
      <c r="P769" s="4" t="s">
        <v>233</v>
      </c>
    </row>
    <row r="770" spans="1:16" x14ac:dyDescent="0.35">
      <c r="A770" t="s">
        <v>2991</v>
      </c>
      <c r="B770" t="s">
        <v>2992</v>
      </c>
      <c r="C770" t="s">
        <v>16</v>
      </c>
      <c r="D770" s="6">
        <v>70877191.130441666</v>
      </c>
      <c r="E770" s="6">
        <v>185109966.13044167</v>
      </c>
      <c r="F770" s="6">
        <v>4.3600001335144043</v>
      </c>
      <c r="G770" s="6">
        <v>4.4200000762939453</v>
      </c>
      <c r="H770" s="6" t="e">
        <v>#N/A</v>
      </c>
      <c r="I770" s="6">
        <v>1.9773882314139857</v>
      </c>
      <c r="J770" s="6">
        <v>111014000</v>
      </c>
      <c r="K770" s="6">
        <v>-148.06201550387595</v>
      </c>
      <c r="L770" t="s">
        <v>17</v>
      </c>
      <c r="M770" t="s">
        <v>32</v>
      </c>
      <c r="N770" s="4" t="s">
        <v>2993</v>
      </c>
      <c r="O770" s="4" t="s">
        <v>2994</v>
      </c>
      <c r="P770" s="4" t="s">
        <v>233</v>
      </c>
    </row>
    <row r="771" spans="1:16" x14ac:dyDescent="0.35">
      <c r="A771" t="s">
        <v>2995</v>
      </c>
      <c r="B771" t="s">
        <v>2996</v>
      </c>
      <c r="C771" t="s">
        <v>16</v>
      </c>
      <c r="D771" s="6">
        <v>19209224.947838366</v>
      </c>
      <c r="E771" s="6">
        <v>-4354775.052161634</v>
      </c>
      <c r="F771" s="6">
        <v>0.46009999513626099</v>
      </c>
      <c r="G771" s="6">
        <v>0.43959999084472656</v>
      </c>
      <c r="H771" s="6" t="e">
        <v>#N/A</v>
      </c>
      <c r="I771" s="6">
        <v>-0.79552864843809479</v>
      </c>
      <c r="J771" s="6">
        <v>20268000</v>
      </c>
      <c r="K771" s="6">
        <v>58.4</v>
      </c>
      <c r="L771" t="s">
        <v>17</v>
      </c>
      <c r="M771" t="s">
        <v>18</v>
      </c>
      <c r="N771" s="4" t="s">
        <v>2997</v>
      </c>
      <c r="O771" s="4" t="s">
        <v>2998</v>
      </c>
      <c r="P771" s="4" t="s">
        <v>233</v>
      </c>
    </row>
    <row r="772" spans="1:16" x14ac:dyDescent="0.35">
      <c r="A772" t="s">
        <v>2999</v>
      </c>
      <c r="B772" t="s">
        <v>3000</v>
      </c>
      <c r="C772" t="s">
        <v>16</v>
      </c>
      <c r="D772" s="6">
        <v>706903495.53767967</v>
      </c>
      <c r="E772" s="6">
        <v>368491495.53767967</v>
      </c>
      <c r="F772" s="6">
        <v>13.300000190734863</v>
      </c>
      <c r="G772" s="6">
        <v>12.920000076293945</v>
      </c>
      <c r="H772" s="6" t="e">
        <v>#N/A</v>
      </c>
      <c r="I772" s="6">
        <v>1.230386948750795</v>
      </c>
      <c r="J772" s="6">
        <v>28587000</v>
      </c>
      <c r="K772" s="6">
        <v>-3.2414666643911936</v>
      </c>
      <c r="L772" t="s">
        <v>17</v>
      </c>
      <c r="M772" t="s">
        <v>18</v>
      </c>
      <c r="N772" s="4" t="s">
        <v>233</v>
      </c>
      <c r="O772" s="4" t="s">
        <v>3001</v>
      </c>
      <c r="P772" s="4" t="s">
        <v>13114</v>
      </c>
    </row>
    <row r="773" spans="1:16" x14ac:dyDescent="0.35">
      <c r="A773" t="s">
        <v>3002</v>
      </c>
      <c r="B773" t="s">
        <v>3003</v>
      </c>
      <c r="C773" t="s">
        <v>16</v>
      </c>
      <c r="D773" s="6">
        <v>358786333.62909222</v>
      </c>
      <c r="E773" s="6">
        <v>301655566.62909222</v>
      </c>
      <c r="F773" s="6">
        <v>6.0250000953674316</v>
      </c>
      <c r="G773" s="6">
        <v>5.809999942779541</v>
      </c>
      <c r="H773" s="6" t="e">
        <v>#N/A</v>
      </c>
      <c r="I773" s="6">
        <v>0.77449574685596412</v>
      </c>
      <c r="J773" s="6">
        <v>0</v>
      </c>
      <c r="K773" s="6">
        <v>3.8462129950019133</v>
      </c>
      <c r="L773" t="s">
        <v>17</v>
      </c>
      <c r="M773" t="s">
        <v>18</v>
      </c>
      <c r="N773" s="4" t="s">
        <v>3004</v>
      </c>
      <c r="O773" s="4" t="s">
        <v>3005</v>
      </c>
      <c r="P773" s="4" t="s">
        <v>233</v>
      </c>
    </row>
    <row r="774" spans="1:16" x14ac:dyDescent="0.35">
      <c r="A774" t="s">
        <v>3006</v>
      </c>
      <c r="B774" t="s">
        <v>3007</v>
      </c>
      <c r="C774" t="s">
        <v>16</v>
      </c>
      <c r="D774" s="6">
        <v>29391.751500000002</v>
      </c>
      <c r="E774" s="6">
        <v>-4622608.2485000007</v>
      </c>
      <c r="F774" s="6">
        <v>9.9999999747524271E-7</v>
      </c>
      <c r="G774" s="6">
        <v>9.9999999747524271E-7</v>
      </c>
      <c r="H774" s="6" t="e">
        <v>#N/A</v>
      </c>
      <c r="I774" s="6">
        <v>4.4408920985006262E-16</v>
      </c>
      <c r="J774" s="6">
        <v>1911000</v>
      </c>
      <c r="K774" s="6">
        <v>40.909090909090914</v>
      </c>
      <c r="L774" t="s">
        <v>17</v>
      </c>
      <c r="M774" t="s">
        <v>18</v>
      </c>
      <c r="N774" s="4" t="s">
        <v>3008</v>
      </c>
      <c r="O774" s="4" t="s">
        <v>3009</v>
      </c>
      <c r="P774" s="4" t="s">
        <v>233</v>
      </c>
    </row>
    <row r="775" spans="1:16" x14ac:dyDescent="0.35">
      <c r="A775" t="s">
        <v>3010</v>
      </c>
      <c r="B775" t="s">
        <v>3011</v>
      </c>
      <c r="C775" t="s">
        <v>16</v>
      </c>
      <c r="D775" s="6">
        <v>2980973.3385601635</v>
      </c>
      <c r="E775" s="6">
        <v>-4743026.661439836</v>
      </c>
      <c r="F775" s="6">
        <v>0.58600002527236938</v>
      </c>
      <c r="G775" s="6">
        <v>0.5820000171661377</v>
      </c>
      <c r="H775" s="6" t="e">
        <v>#N/A</v>
      </c>
      <c r="I775" s="6">
        <v>-0.94401455863734562</v>
      </c>
      <c r="J775" s="6">
        <v>0</v>
      </c>
      <c r="K775" s="6">
        <v>14.331344429977795</v>
      </c>
      <c r="L775" t="s">
        <v>17</v>
      </c>
      <c r="M775" t="s">
        <v>18</v>
      </c>
      <c r="N775" s="4" t="s">
        <v>3012</v>
      </c>
      <c r="O775" s="4" t="s">
        <v>3013</v>
      </c>
      <c r="P775" s="4" t="s">
        <v>233</v>
      </c>
    </row>
    <row r="776" spans="1:16" x14ac:dyDescent="0.35">
      <c r="A776" t="s">
        <v>3014</v>
      </c>
      <c r="B776" t="s">
        <v>3015</v>
      </c>
      <c r="C776" t="s">
        <v>16</v>
      </c>
      <c r="D776" s="6">
        <v>1834.0203336687482</v>
      </c>
      <c r="E776" s="6">
        <v>-436165.97966633365</v>
      </c>
      <c r="F776" s="6">
        <v>9.9999999747524271E-7</v>
      </c>
      <c r="G776" s="6">
        <v>9.9999999747524271E-7</v>
      </c>
      <c r="H776" s="6" t="e">
        <v>#N/A</v>
      </c>
      <c r="I776" s="6">
        <v>2.4424906541753444E-15</v>
      </c>
      <c r="J776" s="6">
        <v>105865000</v>
      </c>
      <c r="K776" s="6">
        <v>6.2500000000000213</v>
      </c>
      <c r="L776" t="s">
        <v>17</v>
      </c>
      <c r="M776" t="s">
        <v>27</v>
      </c>
      <c r="N776" s="4" t="s">
        <v>3016</v>
      </c>
      <c r="O776" s="4" t="s">
        <v>3017</v>
      </c>
      <c r="P776" s="4" t="s">
        <v>233</v>
      </c>
    </row>
    <row r="777" spans="1:16" x14ac:dyDescent="0.35">
      <c r="A777" t="s">
        <v>3018</v>
      </c>
      <c r="B777" t="s">
        <v>3019</v>
      </c>
      <c r="C777" t="s">
        <v>16</v>
      </c>
      <c r="D777" s="6">
        <v>351308906.95665741</v>
      </c>
      <c r="E777" s="6">
        <v>225434906.95665741</v>
      </c>
      <c r="F777" s="6">
        <v>18.569999694824219</v>
      </c>
      <c r="G777" s="6">
        <v>17.309999465942383</v>
      </c>
      <c r="H777" s="6" t="e">
        <v>#N/A</v>
      </c>
      <c r="I777" s="6">
        <v>-0.36194665829789219</v>
      </c>
      <c r="J777" s="6">
        <v>925000</v>
      </c>
      <c r="K777" s="6">
        <v>98.68218650986465</v>
      </c>
      <c r="L777" t="s">
        <v>17</v>
      </c>
      <c r="M777" t="s">
        <v>18</v>
      </c>
      <c r="N777" s="4" t="s">
        <v>3020</v>
      </c>
      <c r="O777" s="4" t="s">
        <v>3021</v>
      </c>
      <c r="P777" s="4" t="s">
        <v>233</v>
      </c>
    </row>
    <row r="778" spans="1:16" x14ac:dyDescent="0.35">
      <c r="A778" t="s">
        <v>3022</v>
      </c>
      <c r="B778" t="s">
        <v>3023</v>
      </c>
      <c r="C778" t="s">
        <v>16</v>
      </c>
      <c r="D778" s="6">
        <v>15324625.09880626</v>
      </c>
      <c r="E778" s="6">
        <v>72424625.098806247</v>
      </c>
      <c r="F778" s="6">
        <v>1.1799999475479126</v>
      </c>
      <c r="G778" s="6">
        <v>0.85000002384185791</v>
      </c>
      <c r="H778" s="6">
        <v>1.0474354673629858</v>
      </c>
      <c r="I778" s="6">
        <v>-0.78838726918435231</v>
      </c>
      <c r="J778" s="6">
        <v>257551000</v>
      </c>
      <c r="K778" s="6">
        <v>-49.450549450549467</v>
      </c>
      <c r="L778" t="s">
        <v>17</v>
      </c>
      <c r="M778" t="s">
        <v>18</v>
      </c>
      <c r="N778" s="4" t="s">
        <v>3024</v>
      </c>
      <c r="O778" s="4" t="s">
        <v>3025</v>
      </c>
      <c r="P778" s="4" t="s">
        <v>233</v>
      </c>
    </row>
    <row r="779" spans="1:16" x14ac:dyDescent="0.35">
      <c r="A779" t="s">
        <v>3026</v>
      </c>
      <c r="B779" t="s">
        <v>3027</v>
      </c>
      <c r="C779" t="s">
        <v>16</v>
      </c>
      <c r="D779" s="6">
        <v>6947461.4207101911</v>
      </c>
      <c r="E779" s="6">
        <v>9369188.4207101911</v>
      </c>
      <c r="F779" s="6">
        <v>0.2004999965429306</v>
      </c>
      <c r="G779" s="6">
        <v>0.18580000102519989</v>
      </c>
      <c r="H779" s="6" t="e">
        <v>#N/A</v>
      </c>
      <c r="I779" s="6">
        <v>-0.86736003052270472</v>
      </c>
      <c r="J779" s="6">
        <v>0</v>
      </c>
      <c r="K779" s="6">
        <v>94.982415474382535</v>
      </c>
      <c r="L779" t="s">
        <v>17</v>
      </c>
      <c r="M779" t="s">
        <v>87</v>
      </c>
      <c r="N779" s="4" t="s">
        <v>3028</v>
      </c>
      <c r="O779" s="4" t="s">
        <v>3029</v>
      </c>
      <c r="P779" s="4" t="s">
        <v>233</v>
      </c>
    </row>
    <row r="780" spans="1:16" x14ac:dyDescent="0.35">
      <c r="A780" t="s">
        <v>3030</v>
      </c>
      <c r="B780" t="s">
        <v>3031</v>
      </c>
      <c r="C780" t="s">
        <v>16</v>
      </c>
      <c r="D780" s="6">
        <v>3707200.3774871822</v>
      </c>
      <c r="E780" s="6">
        <v>-8444799.6225128192</v>
      </c>
      <c r="F780" s="6">
        <v>2.4600000381469727</v>
      </c>
      <c r="G780" s="6">
        <v>2.3499999046325684</v>
      </c>
      <c r="H780" s="6" t="e">
        <v>#N/A</v>
      </c>
      <c r="I780" s="6">
        <v>-0.44490391990628109</v>
      </c>
      <c r="J780" s="6">
        <v>0</v>
      </c>
      <c r="K780" s="6">
        <v>51.337477769914564</v>
      </c>
      <c r="L780" t="s">
        <v>17</v>
      </c>
      <c r="M780" t="s">
        <v>18</v>
      </c>
      <c r="N780" s="4" t="s">
        <v>233</v>
      </c>
      <c r="O780" s="4" t="s">
        <v>3032</v>
      </c>
      <c r="P780" s="4" t="s">
        <v>13115</v>
      </c>
    </row>
    <row r="781" spans="1:16" x14ac:dyDescent="0.35">
      <c r="A781" t="s">
        <v>3033</v>
      </c>
      <c r="B781" t="s">
        <v>3034</v>
      </c>
      <c r="C781" t="s">
        <v>16</v>
      </c>
      <c r="D781" s="6">
        <v>23278482.142852783</v>
      </c>
      <c r="E781" s="6">
        <v>-3009517.8571472168</v>
      </c>
      <c r="F781" s="6">
        <v>1.0499999523162842</v>
      </c>
      <c r="G781" s="6">
        <v>1.0199999809265137</v>
      </c>
      <c r="H781" s="6" t="e">
        <v>#N/A</v>
      </c>
      <c r="I781" s="6">
        <v>-0.63313985629852665</v>
      </c>
      <c r="J781" s="6">
        <v>0</v>
      </c>
      <c r="K781" s="6">
        <v>7.6923076923076863</v>
      </c>
      <c r="L781" t="s">
        <v>17</v>
      </c>
      <c r="M781" t="s">
        <v>18</v>
      </c>
      <c r="N781" s="4" t="s">
        <v>233</v>
      </c>
      <c r="O781" s="4" t="s">
        <v>3035</v>
      </c>
      <c r="P781" s="4" t="s">
        <v>13116</v>
      </c>
    </row>
    <row r="782" spans="1:16" x14ac:dyDescent="0.35">
      <c r="A782" t="s">
        <v>3036</v>
      </c>
      <c r="B782" t="s">
        <v>3037</v>
      </c>
      <c r="C782" t="s">
        <v>16</v>
      </c>
      <c r="D782" s="6">
        <v>192969100.88648987</v>
      </c>
      <c r="E782" s="6">
        <v>154593100.88648987</v>
      </c>
      <c r="F782" s="6">
        <v>17.889999389648438</v>
      </c>
      <c r="G782" s="6">
        <v>17.129999160766602</v>
      </c>
      <c r="H782" s="6" t="e">
        <v>#N/A</v>
      </c>
      <c r="I782" s="6">
        <v>0.43437619666339056</v>
      </c>
      <c r="J782" s="6">
        <v>19720000</v>
      </c>
      <c r="K782" s="6">
        <v>-64.772727272727295</v>
      </c>
      <c r="L782" t="s">
        <v>17</v>
      </c>
      <c r="M782" t="s">
        <v>87</v>
      </c>
      <c r="N782" s="4" t="s">
        <v>233</v>
      </c>
      <c r="O782" s="4" t="s">
        <v>3038</v>
      </c>
      <c r="P782" s="4" t="s">
        <v>13117</v>
      </c>
    </row>
    <row r="783" spans="1:16" x14ac:dyDescent="0.35">
      <c r="A783" t="s">
        <v>3039</v>
      </c>
      <c r="B783" t="s">
        <v>3040</v>
      </c>
      <c r="C783" t="s">
        <v>16</v>
      </c>
      <c r="D783" s="6">
        <v>114022538.73498344</v>
      </c>
      <c r="E783" s="6">
        <v>117623188.73498344</v>
      </c>
      <c r="F783" s="6">
        <v>0.71840000152587891</v>
      </c>
      <c r="G783" s="6">
        <v>0.72619998455047607</v>
      </c>
      <c r="H783" s="6" t="e">
        <v>#N/A</v>
      </c>
      <c r="I783" s="6">
        <v>-0.78528737851526342</v>
      </c>
      <c r="J783" s="6">
        <v>0</v>
      </c>
      <c r="K783" s="6">
        <v>-21.887613032869268</v>
      </c>
      <c r="L783" t="s">
        <v>17</v>
      </c>
      <c r="M783" t="s">
        <v>18</v>
      </c>
      <c r="N783" s="4" t="s">
        <v>3041</v>
      </c>
      <c r="O783" s="4" t="s">
        <v>3042</v>
      </c>
      <c r="P783" s="4" t="s">
        <v>233</v>
      </c>
    </row>
    <row r="784" spans="1:16" x14ac:dyDescent="0.35">
      <c r="A784" t="s">
        <v>3043</v>
      </c>
      <c r="B784" t="s">
        <v>3044</v>
      </c>
      <c r="C784" t="s">
        <v>16</v>
      </c>
      <c r="D784" s="6">
        <v>460362313.33188099</v>
      </c>
      <c r="E784" s="6">
        <v>474924313.33188099</v>
      </c>
      <c r="F784" s="6">
        <v>2.1099998950958252</v>
      </c>
      <c r="G784" s="6">
        <v>2.0799999237060547</v>
      </c>
      <c r="H784" s="6" t="e">
        <v>#N/A</v>
      </c>
      <c r="I784" s="6">
        <v>0.30152899310732884</v>
      </c>
      <c r="J784" s="6">
        <v>169879000</v>
      </c>
      <c r="K784" s="6">
        <v>28.125</v>
      </c>
      <c r="L784" t="s">
        <v>17</v>
      </c>
      <c r="M784" t="s">
        <v>18</v>
      </c>
      <c r="N784" s="4" t="s">
        <v>3045</v>
      </c>
      <c r="O784" s="4" t="s">
        <v>3046</v>
      </c>
      <c r="P784" s="4" t="s">
        <v>233</v>
      </c>
    </row>
    <row r="785" spans="1:16" x14ac:dyDescent="0.35">
      <c r="A785" t="s">
        <v>3047</v>
      </c>
      <c r="B785" t="s">
        <v>3048</v>
      </c>
      <c r="C785" t="s">
        <v>16</v>
      </c>
      <c r="D785" s="6">
        <v>43528.361367486126</v>
      </c>
      <c r="E785" s="6">
        <v>1707530045.5613675</v>
      </c>
      <c r="F785" s="6">
        <v>3.0000001424923539E-4</v>
      </c>
      <c r="G785" s="6">
        <v>3.0000001424923539E-4</v>
      </c>
      <c r="H785" s="6" t="e">
        <v>#N/A</v>
      </c>
      <c r="I785" s="6">
        <v>294.36102434133898</v>
      </c>
      <c r="J785" s="6" t="e">
        <v>#N/A</v>
      </c>
      <c r="K785" s="6" t="e">
        <v>#N/A</v>
      </c>
      <c r="L785" t="s">
        <v>17</v>
      </c>
      <c r="M785" t="s">
        <v>18</v>
      </c>
      <c r="N785" s="4" t="s">
        <v>3049</v>
      </c>
      <c r="O785" s="4" t="s">
        <v>3050</v>
      </c>
      <c r="P785" s="4" t="s">
        <v>233</v>
      </c>
    </row>
    <row r="786" spans="1:16" x14ac:dyDescent="0.35">
      <c r="A786" t="s">
        <v>3051</v>
      </c>
      <c r="B786" t="s">
        <v>3052</v>
      </c>
      <c r="C786" t="s">
        <v>16</v>
      </c>
      <c r="D786" s="6" t="e">
        <v>#N/A</v>
      </c>
      <c r="E786" s="6" t="e">
        <v>#N/A</v>
      </c>
      <c r="F786" s="6" t="e">
        <v>#N/A</v>
      </c>
      <c r="G786" s="6" t="e">
        <v>#N/A</v>
      </c>
      <c r="H786" s="6" t="e">
        <v>#N/A</v>
      </c>
      <c r="I786" s="6">
        <v>0</v>
      </c>
      <c r="J786" s="6">
        <v>12169000</v>
      </c>
      <c r="K786" s="6">
        <v>27.665570690465007</v>
      </c>
      <c r="L786" t="s">
        <v>17</v>
      </c>
      <c r="M786" t="s">
        <v>27</v>
      </c>
      <c r="N786" s="4" t="s">
        <v>233</v>
      </c>
      <c r="O786" s="4" t="s">
        <v>3053</v>
      </c>
      <c r="P786" s="4" t="s">
        <v>13118</v>
      </c>
    </row>
    <row r="787" spans="1:16" x14ac:dyDescent="0.35">
      <c r="A787" t="s">
        <v>3054</v>
      </c>
      <c r="B787" t="s">
        <v>3055</v>
      </c>
      <c r="C787" t="s">
        <v>16</v>
      </c>
      <c r="D787" s="6">
        <v>1383846635.6989229</v>
      </c>
      <c r="E787" s="6">
        <v>779826635.69892287</v>
      </c>
      <c r="F787" s="6">
        <v>17.469999313354492</v>
      </c>
      <c r="G787" s="6">
        <v>17.430000305175781</v>
      </c>
      <c r="H787" s="6" t="e">
        <v>#N/A</v>
      </c>
      <c r="I787" s="6">
        <v>-0.11200782529144271</v>
      </c>
      <c r="J787" s="6">
        <v>302000</v>
      </c>
      <c r="K787" s="6">
        <v>15.490196078431371</v>
      </c>
      <c r="L787" t="s">
        <v>17</v>
      </c>
      <c r="M787" t="s">
        <v>18</v>
      </c>
      <c r="N787" s="4" t="s">
        <v>3056</v>
      </c>
      <c r="O787" s="4" t="s">
        <v>3057</v>
      </c>
      <c r="P787" s="4" t="s">
        <v>233</v>
      </c>
    </row>
    <row r="788" spans="1:16" x14ac:dyDescent="0.35">
      <c r="A788" t="s">
        <v>3058</v>
      </c>
      <c r="B788" t="s">
        <v>3059</v>
      </c>
      <c r="C788" t="s">
        <v>16</v>
      </c>
      <c r="D788" s="6">
        <v>26362178.42107987</v>
      </c>
      <c r="E788" s="6">
        <v>16533183.421079872</v>
      </c>
      <c r="F788" s="6">
        <v>3.0299999713897705</v>
      </c>
      <c r="G788" s="6">
        <v>3.0999999046325684</v>
      </c>
      <c r="H788" s="6" t="e">
        <v>#N/A</v>
      </c>
      <c r="I788" s="6">
        <v>-0.30180211849343797</v>
      </c>
      <c r="J788" s="6">
        <v>1881316</v>
      </c>
      <c r="K788" s="6">
        <v>89.851742939410641</v>
      </c>
      <c r="L788" t="s">
        <v>17</v>
      </c>
      <c r="M788" t="s">
        <v>87</v>
      </c>
      <c r="N788" s="4" t="s">
        <v>3060</v>
      </c>
      <c r="O788" s="4" t="s">
        <v>3061</v>
      </c>
      <c r="P788" s="4" t="s">
        <v>233</v>
      </c>
    </row>
    <row r="789" spans="1:16" x14ac:dyDescent="0.35">
      <c r="A789" t="s">
        <v>3062</v>
      </c>
      <c r="B789" t="s">
        <v>3063</v>
      </c>
      <c r="C789" t="s">
        <v>16</v>
      </c>
      <c r="D789" s="6">
        <v>1268415021.194768</v>
      </c>
      <c r="E789" s="6">
        <v>879662021.19476795</v>
      </c>
      <c r="F789" s="6">
        <v>14.859999656677246</v>
      </c>
      <c r="G789" s="6">
        <v>14.770000457763672</v>
      </c>
      <c r="H789" s="6" t="e">
        <v>#N/A</v>
      </c>
      <c r="I789" s="6">
        <v>-0.34432815949666062</v>
      </c>
      <c r="J789" s="6">
        <v>16000000</v>
      </c>
      <c r="K789" s="6">
        <v>-40.697674418604642</v>
      </c>
      <c r="L789" t="s">
        <v>17</v>
      </c>
      <c r="M789" t="s">
        <v>18</v>
      </c>
      <c r="N789" s="4" t="s">
        <v>3064</v>
      </c>
      <c r="O789" s="4" t="s">
        <v>3065</v>
      </c>
      <c r="P789" s="4" t="s">
        <v>233</v>
      </c>
    </row>
    <row r="790" spans="1:16" x14ac:dyDescent="0.35">
      <c r="A790" t="s">
        <v>3066</v>
      </c>
      <c r="B790" t="s">
        <v>3067</v>
      </c>
      <c r="C790" t="s">
        <v>16</v>
      </c>
      <c r="D790" s="6">
        <v>4035.1701999999996</v>
      </c>
      <c r="E790" s="6">
        <v>19509657.170200001</v>
      </c>
      <c r="F790" s="6">
        <v>1E-4</v>
      </c>
      <c r="G790" s="6">
        <v>1E-4</v>
      </c>
      <c r="H790" s="6" t="e">
        <v>#N/A</v>
      </c>
      <c r="I790" s="6">
        <v>-0.99864233039511485</v>
      </c>
      <c r="J790" s="6">
        <v>0</v>
      </c>
      <c r="K790" s="6">
        <v>32.852926736031208</v>
      </c>
      <c r="L790" t="s">
        <v>17</v>
      </c>
      <c r="M790" t="s">
        <v>27</v>
      </c>
      <c r="N790" s="4" t="s">
        <v>3068</v>
      </c>
      <c r="O790" s="4" t="s">
        <v>3069</v>
      </c>
      <c r="P790" s="4" t="s">
        <v>233</v>
      </c>
    </row>
    <row r="791" spans="1:16" x14ac:dyDescent="0.35">
      <c r="A791" t="s">
        <v>3070</v>
      </c>
      <c r="B791" t="s">
        <v>3071</v>
      </c>
      <c r="C791" t="s">
        <v>16</v>
      </c>
      <c r="D791" s="6">
        <v>13707076.026777266</v>
      </c>
      <c r="E791" s="6">
        <v>-12821715.973222734</v>
      </c>
      <c r="F791" s="6">
        <v>1.9600000381469727</v>
      </c>
      <c r="G791" s="6">
        <v>2</v>
      </c>
      <c r="H791" s="6" t="e">
        <v>#N/A</v>
      </c>
      <c r="I791" s="6">
        <v>-0.79767735801067596</v>
      </c>
      <c r="J791" s="6">
        <v>0</v>
      </c>
      <c r="K791" s="6">
        <v>90.675220033018206</v>
      </c>
      <c r="L791" t="s">
        <v>17</v>
      </c>
      <c r="M791" t="s">
        <v>18</v>
      </c>
      <c r="N791" s="4" t="s">
        <v>3072</v>
      </c>
      <c r="O791" s="4" t="s">
        <v>3073</v>
      </c>
      <c r="P791" s="4" t="s">
        <v>233</v>
      </c>
    </row>
    <row r="792" spans="1:16" x14ac:dyDescent="0.35">
      <c r="A792" t="s">
        <v>3074</v>
      </c>
      <c r="B792" t="s">
        <v>3075</v>
      </c>
      <c r="C792" t="s">
        <v>16</v>
      </c>
      <c r="D792" s="6">
        <v>90587476.410236835</v>
      </c>
      <c r="E792" s="6">
        <v>70786476.410236835</v>
      </c>
      <c r="F792" s="6">
        <v>7.5199999809265137</v>
      </c>
      <c r="G792" s="6">
        <v>8</v>
      </c>
      <c r="H792" s="6" t="e">
        <v>#N/A</v>
      </c>
      <c r="I792" s="6">
        <v>0.71046679995687745</v>
      </c>
      <c r="J792" s="6">
        <v>0</v>
      </c>
      <c r="K792" s="6">
        <v>23.241163358454525</v>
      </c>
      <c r="L792" t="s">
        <v>17</v>
      </c>
      <c r="M792" t="s">
        <v>18</v>
      </c>
      <c r="N792" s="4" t="s">
        <v>3076</v>
      </c>
      <c r="O792" s="4" t="s">
        <v>3077</v>
      </c>
      <c r="P792" s="4" t="s">
        <v>233</v>
      </c>
    </row>
    <row r="793" spans="1:16" x14ac:dyDescent="0.35">
      <c r="A793" t="s">
        <v>3078</v>
      </c>
      <c r="B793" t="s">
        <v>3079</v>
      </c>
      <c r="C793" t="s">
        <v>16</v>
      </c>
      <c r="D793" s="6">
        <v>1307.680266965217</v>
      </c>
      <c r="E793" s="6">
        <v>-2858692.3197330353</v>
      </c>
      <c r="F793" s="6">
        <v>9.9999997473787516E-5</v>
      </c>
      <c r="G793" s="6">
        <v>1.9999999494757503E-4</v>
      </c>
      <c r="H793" s="6" t="e">
        <v>#N/A</v>
      </c>
      <c r="I793" s="6">
        <v>-0.9966143128501046</v>
      </c>
      <c r="J793" s="6">
        <v>0</v>
      </c>
      <c r="K793" s="6">
        <v>84.065364238410609</v>
      </c>
      <c r="L793" t="s">
        <v>17</v>
      </c>
      <c r="M793" t="s">
        <v>18</v>
      </c>
      <c r="N793" s="4" t="s">
        <v>3080</v>
      </c>
      <c r="O793" s="4" t="s">
        <v>3081</v>
      </c>
      <c r="P793" s="4" t="s">
        <v>233</v>
      </c>
    </row>
    <row r="794" spans="1:16" x14ac:dyDescent="0.35">
      <c r="A794" t="s">
        <v>3082</v>
      </c>
      <c r="B794" t="s">
        <v>3083</v>
      </c>
      <c r="C794" t="s">
        <v>16</v>
      </c>
      <c r="D794" s="6">
        <v>206095409.65701485</v>
      </c>
      <c r="E794" s="6">
        <v>7750409.6570148468</v>
      </c>
      <c r="F794" s="6">
        <v>3.2300000190734863</v>
      </c>
      <c r="G794" s="6">
        <v>3.1099998950958252</v>
      </c>
      <c r="H794" s="6" t="e">
        <v>#N/A</v>
      </c>
      <c r="I794" s="6">
        <v>-0.58648480652345514</v>
      </c>
      <c r="J794" s="6">
        <v>0</v>
      </c>
      <c r="K794" s="6">
        <v>-51.315789473684227</v>
      </c>
      <c r="L794" t="s">
        <v>17</v>
      </c>
      <c r="M794" t="s">
        <v>18</v>
      </c>
      <c r="N794" s="4" t="s">
        <v>3084</v>
      </c>
      <c r="O794" s="4" t="s">
        <v>3085</v>
      </c>
      <c r="P794" s="4" t="s">
        <v>233</v>
      </c>
    </row>
    <row r="795" spans="1:16" x14ac:dyDescent="0.35">
      <c r="A795" t="s">
        <v>3086</v>
      </c>
      <c r="B795" t="s">
        <v>3087</v>
      </c>
      <c r="C795" t="s">
        <v>16</v>
      </c>
      <c r="D795" s="6">
        <v>757371289.52255642</v>
      </c>
      <c r="E795" s="6">
        <v>870571289.52255642</v>
      </c>
      <c r="F795" s="6">
        <v>16.479999542236328</v>
      </c>
      <c r="G795" s="6">
        <v>16.409999847412109</v>
      </c>
      <c r="H795" s="6">
        <v>25.53360200772876</v>
      </c>
      <c r="I795" s="6">
        <v>-0.14838567614246567</v>
      </c>
      <c r="J795" s="6">
        <v>681500000</v>
      </c>
      <c r="K795" s="6">
        <v>571.42857142857179</v>
      </c>
      <c r="L795" t="s">
        <v>17</v>
      </c>
      <c r="M795" t="s">
        <v>27</v>
      </c>
      <c r="N795" s="4" t="s">
        <v>3088</v>
      </c>
      <c r="O795" s="4" t="s">
        <v>3089</v>
      </c>
      <c r="P795" s="4" t="s">
        <v>233</v>
      </c>
    </row>
    <row r="796" spans="1:16" x14ac:dyDescent="0.35">
      <c r="A796" t="s">
        <v>3090</v>
      </c>
      <c r="B796" t="s">
        <v>3091</v>
      </c>
      <c r="C796" t="s">
        <v>16</v>
      </c>
      <c r="D796" s="6">
        <v>30370167.300000001</v>
      </c>
      <c r="E796" s="6">
        <v>44178167.300000012</v>
      </c>
      <c r="F796" s="6">
        <v>0.55000000000000004</v>
      </c>
      <c r="G796" s="6">
        <v>0.54920000000000002</v>
      </c>
      <c r="H796" s="6" t="e">
        <v>#N/A</v>
      </c>
      <c r="I796" s="6">
        <v>-0.9456995736057644</v>
      </c>
      <c r="J796" s="6">
        <v>31466000</v>
      </c>
      <c r="K796" s="6">
        <v>6.7924528301887008</v>
      </c>
      <c r="L796" t="s">
        <v>17</v>
      </c>
      <c r="M796" t="s">
        <v>87</v>
      </c>
      <c r="N796" s="4" t="s">
        <v>3092</v>
      </c>
      <c r="O796" s="4" t="s">
        <v>3093</v>
      </c>
      <c r="P796" s="4" t="s">
        <v>233</v>
      </c>
    </row>
    <row r="797" spans="1:16" x14ac:dyDescent="0.35">
      <c r="A797" t="s">
        <v>3094</v>
      </c>
      <c r="B797" t="s">
        <v>3095</v>
      </c>
      <c r="C797" t="s">
        <v>16</v>
      </c>
      <c r="D797" s="6">
        <v>460271393.67734528</v>
      </c>
      <c r="E797" s="6">
        <v>413891393.67734528</v>
      </c>
      <c r="F797" s="6">
        <v>9.3599996566772461</v>
      </c>
      <c r="G797" s="6">
        <v>8.9099998474121094</v>
      </c>
      <c r="H797" s="6" t="e">
        <v>#N/A</v>
      </c>
      <c r="I797" s="6">
        <v>9.0649733472790706E-2</v>
      </c>
      <c r="J797" s="6">
        <v>63192000</v>
      </c>
      <c r="K797" s="6">
        <v>0</v>
      </c>
      <c r="L797" t="s">
        <v>17</v>
      </c>
      <c r="M797" t="s">
        <v>87</v>
      </c>
      <c r="N797" s="4" t="s">
        <v>233</v>
      </c>
      <c r="O797" s="4" t="s">
        <v>3096</v>
      </c>
      <c r="P797" s="4" t="s">
        <v>13083</v>
      </c>
    </row>
    <row r="798" spans="1:16" x14ac:dyDescent="0.35">
      <c r="A798" t="s">
        <v>3097</v>
      </c>
      <c r="B798" t="s">
        <v>3098</v>
      </c>
      <c r="C798" t="s">
        <v>16</v>
      </c>
      <c r="D798" s="6">
        <v>1451660.8000000003</v>
      </c>
      <c r="E798" s="6" t="e">
        <v>#N/A</v>
      </c>
      <c r="F798" s="6">
        <v>0.08</v>
      </c>
      <c r="G798" s="6">
        <v>0.08</v>
      </c>
      <c r="H798" s="6" t="e">
        <v>#N/A</v>
      </c>
      <c r="I798" s="6">
        <v>12795.30760976111</v>
      </c>
      <c r="J798" s="6" t="e">
        <v>#N/A</v>
      </c>
      <c r="K798" s="6" t="e">
        <v>#N/A</v>
      </c>
      <c r="L798" t="s">
        <v>17</v>
      </c>
      <c r="M798" t="s">
        <v>87</v>
      </c>
      <c r="N798" s="4" t="s">
        <v>233</v>
      </c>
      <c r="O798" s="4" t="s">
        <v>3099</v>
      </c>
      <c r="P798" s="4" t="s">
        <v>13119</v>
      </c>
    </row>
    <row r="799" spans="1:16" x14ac:dyDescent="0.35">
      <c r="A799" t="s">
        <v>3100</v>
      </c>
      <c r="B799" t="s">
        <v>3101</v>
      </c>
      <c r="C799" t="s">
        <v>16</v>
      </c>
      <c r="D799" s="6">
        <v>1290855726.3236332</v>
      </c>
      <c r="E799" s="6">
        <v>1204945726.3236332</v>
      </c>
      <c r="F799" s="6">
        <v>5.4499998092651367</v>
      </c>
      <c r="G799" s="6">
        <v>5.429999828338623</v>
      </c>
      <c r="H799" s="6" t="e">
        <v>#N/A</v>
      </c>
      <c r="I799" s="6">
        <v>-0.43898897460715536</v>
      </c>
      <c r="J799" s="6">
        <v>251849000</v>
      </c>
      <c r="K799" s="6">
        <v>-150</v>
      </c>
      <c r="L799" t="s">
        <v>17</v>
      </c>
      <c r="M799" t="s">
        <v>18</v>
      </c>
      <c r="N799" s="4" t="s">
        <v>3102</v>
      </c>
      <c r="O799" s="4" t="s">
        <v>3103</v>
      </c>
      <c r="P799" s="4" t="s">
        <v>233</v>
      </c>
    </row>
    <row r="800" spans="1:16" x14ac:dyDescent="0.35">
      <c r="A800" t="s">
        <v>3104</v>
      </c>
      <c r="B800" t="s">
        <v>3105</v>
      </c>
      <c r="C800" t="s">
        <v>16</v>
      </c>
      <c r="D800" s="6">
        <v>1285067500.0567245</v>
      </c>
      <c r="E800" s="6">
        <v>1074179500.0567245</v>
      </c>
      <c r="F800" s="6">
        <v>23.959999084472656</v>
      </c>
      <c r="G800" s="6">
        <v>22.350000381469727</v>
      </c>
      <c r="H800" s="6" t="e">
        <v>#N/A</v>
      </c>
      <c r="I800" s="6">
        <v>1.6346736853375656</v>
      </c>
      <c r="J800" s="6">
        <v>312775000</v>
      </c>
      <c r="K800" s="6">
        <v>-61.676646706586823</v>
      </c>
      <c r="L800" t="s">
        <v>17</v>
      </c>
      <c r="M800" t="s">
        <v>18</v>
      </c>
      <c r="N800" s="4" t="s">
        <v>3106</v>
      </c>
      <c r="O800" s="4" t="s">
        <v>3107</v>
      </c>
      <c r="P800" s="4" t="s">
        <v>233</v>
      </c>
    </row>
    <row r="801" spans="1:16" x14ac:dyDescent="0.35">
      <c r="A801" t="s">
        <v>3108</v>
      </c>
      <c r="B801" t="s">
        <v>3109</v>
      </c>
      <c r="C801" t="s">
        <v>16</v>
      </c>
      <c r="D801" s="6">
        <v>2166650958</v>
      </c>
      <c r="E801" s="6">
        <v>1884958958</v>
      </c>
      <c r="F801" s="6">
        <v>50.25</v>
      </c>
      <c r="G801" s="6">
        <v>48.5</v>
      </c>
      <c r="H801" s="6" t="e">
        <v>#N/A</v>
      </c>
      <c r="I801" s="6">
        <v>4.6526547931087459E-2</v>
      </c>
      <c r="J801" s="6">
        <v>0</v>
      </c>
      <c r="K801" s="6">
        <v>-2.9782919254658249</v>
      </c>
      <c r="L801" t="s">
        <v>17</v>
      </c>
      <c r="M801" t="s">
        <v>18</v>
      </c>
      <c r="N801" s="4" t="s">
        <v>3110</v>
      </c>
      <c r="O801" s="4" t="s">
        <v>3111</v>
      </c>
      <c r="P801" s="4" t="s">
        <v>233</v>
      </c>
    </row>
    <row r="802" spans="1:16" x14ac:dyDescent="0.35">
      <c r="A802" t="s">
        <v>3112</v>
      </c>
      <c r="B802" t="s">
        <v>3113</v>
      </c>
      <c r="C802" t="s">
        <v>16</v>
      </c>
      <c r="D802" s="6">
        <v>14649690.060912726</v>
      </c>
      <c r="E802" s="6">
        <v>14301690.060912726</v>
      </c>
      <c r="F802" s="6">
        <v>0.85000002384185791</v>
      </c>
      <c r="G802" s="6">
        <v>0.88999998569488525</v>
      </c>
      <c r="H802" s="6" t="e">
        <v>#N/A</v>
      </c>
      <c r="I802" s="6">
        <v>-4.599966839022096E-2</v>
      </c>
      <c r="J802" s="6">
        <v>39000</v>
      </c>
      <c r="K802" s="6">
        <v>69.371230016231948</v>
      </c>
      <c r="L802" t="s">
        <v>17</v>
      </c>
      <c r="M802" t="s">
        <v>27</v>
      </c>
      <c r="N802" s="4" t="s">
        <v>3114</v>
      </c>
      <c r="O802" s="4" t="s">
        <v>3115</v>
      </c>
      <c r="P802" s="4" t="s">
        <v>233</v>
      </c>
    </row>
    <row r="803" spans="1:16" x14ac:dyDescent="0.35">
      <c r="A803" t="s">
        <v>12979</v>
      </c>
      <c r="B803" t="s">
        <v>3116</v>
      </c>
      <c r="C803" t="s">
        <v>16</v>
      </c>
      <c r="D803" s="6">
        <v>965.94960000000015</v>
      </c>
      <c r="E803" s="6">
        <v>-2520034.0504000001</v>
      </c>
      <c r="F803" s="6">
        <v>9.9999999747524271E-7</v>
      </c>
      <c r="G803" s="6">
        <v>9.9999999747524271E-7</v>
      </c>
      <c r="H803" s="6" t="e">
        <v>#N/A</v>
      </c>
      <c r="I803" s="6">
        <v>-0.99999914131424028</v>
      </c>
      <c r="J803" s="6">
        <v>313000</v>
      </c>
      <c r="K803" s="6">
        <v>-76.613901406327628</v>
      </c>
      <c r="L803" t="s">
        <v>17</v>
      </c>
      <c r="M803" t="s">
        <v>18</v>
      </c>
      <c r="N803" s="4" t="s">
        <v>233</v>
      </c>
      <c r="O803" s="4" t="s">
        <v>3117</v>
      </c>
      <c r="P803" s="4" t="s">
        <v>13120</v>
      </c>
    </row>
    <row r="804" spans="1:16" x14ac:dyDescent="0.35">
      <c r="A804" t="s">
        <v>3118</v>
      </c>
      <c r="B804" t="s">
        <v>3119</v>
      </c>
      <c r="C804" t="s">
        <v>16</v>
      </c>
      <c r="D804" s="6">
        <v>440203571.13875198</v>
      </c>
      <c r="E804" s="6" t="e">
        <v>#N/A</v>
      </c>
      <c r="F804" s="6">
        <v>7.1599998474121094</v>
      </c>
      <c r="G804" s="6">
        <v>7.1500000953674316</v>
      </c>
      <c r="H804" s="6" t="e">
        <v>#N/A</v>
      </c>
      <c r="I804" s="6">
        <v>-0.69854966085857439</v>
      </c>
      <c r="J804" s="6">
        <v>41243000</v>
      </c>
      <c r="K804" s="6">
        <v>27.182320441988956</v>
      </c>
      <c r="L804" t="s">
        <v>17</v>
      </c>
      <c r="M804" t="s">
        <v>18</v>
      </c>
      <c r="N804" s="4" t="s">
        <v>3120</v>
      </c>
      <c r="O804" s="4" t="s">
        <v>3121</v>
      </c>
      <c r="P804" s="4" t="s">
        <v>233</v>
      </c>
    </row>
    <row r="805" spans="1:16" x14ac:dyDescent="0.35">
      <c r="A805" t="s">
        <v>3122</v>
      </c>
      <c r="B805" t="s">
        <v>3123</v>
      </c>
      <c r="C805" t="s">
        <v>16</v>
      </c>
      <c r="D805" s="6">
        <v>766489705.87855899</v>
      </c>
      <c r="E805" s="6">
        <v>715032729.87855899</v>
      </c>
      <c r="F805" s="6">
        <v>60.479999542236328</v>
      </c>
      <c r="G805" s="6">
        <v>60.159999847412109</v>
      </c>
      <c r="H805" s="6">
        <v>41.425990797125884</v>
      </c>
      <c r="I805" s="6">
        <v>0.33807854819629513</v>
      </c>
      <c r="J805" s="6">
        <v>71305130</v>
      </c>
      <c r="K805" s="6">
        <v>14.72868217054263</v>
      </c>
      <c r="L805" t="s">
        <v>17</v>
      </c>
      <c r="M805" t="s">
        <v>27</v>
      </c>
      <c r="N805" s="4" t="s">
        <v>3124</v>
      </c>
      <c r="O805" s="4" t="s">
        <v>3125</v>
      </c>
      <c r="P805" s="4" t="s">
        <v>233</v>
      </c>
    </row>
    <row r="806" spans="1:16" x14ac:dyDescent="0.35">
      <c r="A806" t="s">
        <v>3126</v>
      </c>
      <c r="B806" t="s">
        <v>3127</v>
      </c>
      <c r="C806" t="s">
        <v>16</v>
      </c>
      <c r="D806" s="6">
        <v>49533852.197170265</v>
      </c>
      <c r="E806" s="6">
        <v>31239852.197170261</v>
      </c>
      <c r="F806" s="6">
        <v>8.6000003814697266</v>
      </c>
      <c r="G806" s="6">
        <v>8.2399997711181641</v>
      </c>
      <c r="H806" s="6" t="e">
        <v>#N/A</v>
      </c>
      <c r="I806" s="6">
        <v>-0.58810679567211865</v>
      </c>
      <c r="J806" s="6">
        <v>100439000</v>
      </c>
      <c r="K806" s="6">
        <v>62.906474820143885</v>
      </c>
      <c r="L806" t="s">
        <v>17</v>
      </c>
      <c r="M806" t="s">
        <v>18</v>
      </c>
      <c r="N806" s="4" t="s">
        <v>3128</v>
      </c>
      <c r="O806" s="4" t="s">
        <v>3129</v>
      </c>
      <c r="P806" s="4" t="s">
        <v>233</v>
      </c>
    </row>
    <row r="807" spans="1:16" x14ac:dyDescent="0.35">
      <c r="A807" t="s">
        <v>3130</v>
      </c>
      <c r="B807" t="s">
        <v>3131</v>
      </c>
      <c r="C807" t="s">
        <v>16</v>
      </c>
      <c r="D807" s="6">
        <v>1172055906.290262</v>
      </c>
      <c r="E807" s="6">
        <v>819959906.29026198</v>
      </c>
      <c r="F807" s="6">
        <v>7.4549999237060547</v>
      </c>
      <c r="G807" s="6">
        <v>7.2899999618530273</v>
      </c>
      <c r="H807" s="6" t="e">
        <v>#N/A</v>
      </c>
      <c r="I807" s="6">
        <v>0.2670352700886176</v>
      </c>
      <c r="J807" s="6">
        <v>61442000</v>
      </c>
      <c r="K807" s="6">
        <v>-53.488372093023216</v>
      </c>
      <c r="L807" t="s">
        <v>17</v>
      </c>
      <c r="M807" t="s">
        <v>87</v>
      </c>
      <c r="N807" s="4" t="s">
        <v>3132</v>
      </c>
      <c r="O807" s="4" t="s">
        <v>3133</v>
      </c>
      <c r="P807" s="4" t="s">
        <v>233</v>
      </c>
    </row>
    <row r="808" spans="1:16" x14ac:dyDescent="0.35">
      <c r="A808" t="s">
        <v>3134</v>
      </c>
      <c r="B808" t="s">
        <v>3135</v>
      </c>
      <c r="C808" t="s">
        <v>16</v>
      </c>
      <c r="D808" s="6">
        <v>5708153540.0104599</v>
      </c>
      <c r="E808" s="6">
        <v>5464679540.0104599</v>
      </c>
      <c r="F808" s="6">
        <v>82.099998474121094</v>
      </c>
      <c r="G808" s="6">
        <v>81.330001831054688</v>
      </c>
      <c r="H808" s="6">
        <v>19.154263089086012</v>
      </c>
      <c r="I808" s="6">
        <v>0.45033444435488912</v>
      </c>
      <c r="J808" s="6">
        <v>1496799000</v>
      </c>
      <c r="K808" s="6">
        <v>305.22875816993474</v>
      </c>
      <c r="L808" t="s">
        <v>17</v>
      </c>
      <c r="M808" t="s">
        <v>27</v>
      </c>
      <c r="N808" s="4" t="s">
        <v>3136</v>
      </c>
      <c r="O808" s="4" t="s">
        <v>3137</v>
      </c>
      <c r="P808" s="4" t="s">
        <v>233</v>
      </c>
    </row>
    <row r="809" spans="1:16" x14ac:dyDescent="0.35">
      <c r="A809" t="s">
        <v>3138</v>
      </c>
      <c r="B809" t="s">
        <v>3139</v>
      </c>
      <c r="C809" t="s">
        <v>16</v>
      </c>
      <c r="D809" s="6">
        <v>3080535.2704478502</v>
      </c>
      <c r="E809" s="6">
        <v>-364464.72955214977</v>
      </c>
      <c r="F809" s="6">
        <v>0.54290002584457397</v>
      </c>
      <c r="G809" s="6">
        <v>0.54259997606277466</v>
      </c>
      <c r="H809" s="6" t="e">
        <v>#N/A</v>
      </c>
      <c r="I809" s="6">
        <v>-0.91041125634888631</v>
      </c>
      <c r="J809" s="6">
        <v>502000</v>
      </c>
      <c r="K809" s="6">
        <v>71.242438343415543</v>
      </c>
      <c r="L809" t="s">
        <v>17</v>
      </c>
      <c r="M809" t="s">
        <v>27</v>
      </c>
      <c r="N809" s="4" t="s">
        <v>3140</v>
      </c>
      <c r="O809" s="4" t="s">
        <v>3141</v>
      </c>
      <c r="P809" s="4" t="s">
        <v>233</v>
      </c>
    </row>
    <row r="810" spans="1:16" x14ac:dyDescent="0.35">
      <c r="A810" t="s">
        <v>13335</v>
      </c>
      <c r="B810" t="s">
        <v>3142</v>
      </c>
      <c r="C810" t="s">
        <v>16</v>
      </c>
      <c r="D810" s="6">
        <v>2303182.9885198474</v>
      </c>
      <c r="E810" s="6">
        <v>1582061.9543555984</v>
      </c>
      <c r="F810" s="6">
        <v>0.11999999731779099</v>
      </c>
      <c r="G810" s="6">
        <v>0.11999999731779099</v>
      </c>
      <c r="H810" s="6" t="e">
        <v>#N/A</v>
      </c>
      <c r="I810" s="6">
        <v>-0.93499892119802186</v>
      </c>
      <c r="J810" s="6" t="e">
        <v>#N/A</v>
      </c>
      <c r="K810" s="6">
        <v>97.459663577068312</v>
      </c>
      <c r="L810" t="s">
        <v>17</v>
      </c>
      <c r="M810" t="s">
        <v>87</v>
      </c>
      <c r="N810" s="4" t="s">
        <v>233</v>
      </c>
      <c r="O810" s="4" t="s">
        <v>13336</v>
      </c>
      <c r="P810" s="4" t="s">
        <v>13337</v>
      </c>
    </row>
    <row r="811" spans="1:16" x14ac:dyDescent="0.35">
      <c r="A811" t="s">
        <v>3143</v>
      </c>
      <c r="B811" t="s">
        <v>3144</v>
      </c>
      <c r="C811" t="s">
        <v>16</v>
      </c>
      <c r="D811" s="6">
        <v>85082076.844203949</v>
      </c>
      <c r="E811" s="6">
        <v>5104076.844203949</v>
      </c>
      <c r="F811" s="6">
        <v>4.0900001525878906</v>
      </c>
      <c r="G811" s="6">
        <v>4.0100002288818359</v>
      </c>
      <c r="H811" s="6" t="e">
        <v>#N/A</v>
      </c>
      <c r="I811" s="6">
        <v>-0.7935819592804747</v>
      </c>
      <c r="J811" s="6">
        <v>1000000</v>
      </c>
      <c r="K811" s="6">
        <v>52.460317460317448</v>
      </c>
      <c r="L811" t="s">
        <v>17</v>
      </c>
      <c r="M811" t="s">
        <v>18</v>
      </c>
      <c r="N811" s="4" t="s">
        <v>3145</v>
      </c>
      <c r="O811" s="4" t="s">
        <v>3146</v>
      </c>
      <c r="P811" s="4" t="s">
        <v>233</v>
      </c>
    </row>
    <row r="812" spans="1:16" x14ac:dyDescent="0.35">
      <c r="A812" t="s">
        <v>3147</v>
      </c>
      <c r="B812" t="s">
        <v>3148</v>
      </c>
      <c r="C812" t="s">
        <v>16</v>
      </c>
      <c r="D812" s="6">
        <v>14910038.302724123</v>
      </c>
      <c r="E812" s="6">
        <v>18944823.065417439</v>
      </c>
      <c r="F812" s="6">
        <v>0.99839997291564941</v>
      </c>
      <c r="G812" s="6">
        <v>1.0399999618530273</v>
      </c>
      <c r="H812" s="6" t="e">
        <v>#N/A</v>
      </c>
      <c r="I812" s="6">
        <v>-0.82995627815228823</v>
      </c>
      <c r="J812" s="6">
        <v>877000</v>
      </c>
      <c r="K812" s="6">
        <v>52.886940749697715</v>
      </c>
      <c r="L812" t="s">
        <v>17</v>
      </c>
      <c r="M812" t="s">
        <v>18</v>
      </c>
      <c r="N812" s="4" t="s">
        <v>233</v>
      </c>
      <c r="O812" s="4" t="s">
        <v>3149</v>
      </c>
      <c r="P812" s="4" t="s">
        <v>13121</v>
      </c>
    </row>
    <row r="813" spans="1:16" x14ac:dyDescent="0.35">
      <c r="A813" t="s">
        <v>3150</v>
      </c>
      <c r="B813" t="s">
        <v>3151</v>
      </c>
      <c r="C813" t="s">
        <v>16</v>
      </c>
      <c r="D813" s="6">
        <v>3267314744.8723145</v>
      </c>
      <c r="E813" s="6">
        <v>2365821744.8723145</v>
      </c>
      <c r="F813" s="6">
        <v>29.319999694824219</v>
      </c>
      <c r="G813" s="6">
        <v>29.450000762939453</v>
      </c>
      <c r="H813" s="6" t="e">
        <v>#N/A</v>
      </c>
      <c r="I813" s="6">
        <v>-7.5608642944353655E-2</v>
      </c>
      <c r="J813" s="6">
        <v>0</v>
      </c>
      <c r="K813" s="6">
        <v>-10.989010989010987</v>
      </c>
      <c r="L813" t="s">
        <v>17</v>
      </c>
      <c r="M813" t="s">
        <v>18</v>
      </c>
      <c r="N813" s="4" t="s">
        <v>3152</v>
      </c>
      <c r="O813" s="4" t="s">
        <v>3153</v>
      </c>
      <c r="P813" s="4" t="s">
        <v>233</v>
      </c>
    </row>
    <row r="814" spans="1:16" x14ac:dyDescent="0.35">
      <c r="A814" t="s">
        <v>3154</v>
      </c>
      <c r="B814" t="s">
        <v>3155</v>
      </c>
      <c r="C814" t="s">
        <v>16</v>
      </c>
      <c r="D814" s="6">
        <v>2198760.718877539</v>
      </c>
      <c r="E814" s="6">
        <v>19059760.718877543</v>
      </c>
      <c r="F814" s="6">
        <v>7.8400000929832458E-2</v>
      </c>
      <c r="G814" s="6">
        <v>7.0000000298023224E-2</v>
      </c>
      <c r="H814" s="6" t="e">
        <v>#N/A</v>
      </c>
      <c r="I814" s="6">
        <v>-0.98777323364583758</v>
      </c>
      <c r="J814" s="6">
        <v>7677000</v>
      </c>
      <c r="K814" s="6">
        <v>98.933830857620393</v>
      </c>
      <c r="L814" t="s">
        <v>17</v>
      </c>
      <c r="M814" t="s">
        <v>18</v>
      </c>
      <c r="N814" s="4" t="s">
        <v>3156</v>
      </c>
      <c r="O814" s="4" t="s">
        <v>3157</v>
      </c>
      <c r="P814" s="4" t="s">
        <v>233</v>
      </c>
    </row>
    <row r="815" spans="1:16" x14ac:dyDescent="0.35">
      <c r="A815" t="s">
        <v>3158</v>
      </c>
      <c r="B815" t="s">
        <v>3159</v>
      </c>
      <c r="C815" t="s">
        <v>16</v>
      </c>
      <c r="D815" s="6">
        <v>20509721.51260221</v>
      </c>
      <c r="E815" s="6">
        <v>10837721.51260221</v>
      </c>
      <c r="F815" s="6">
        <v>1.9299999475479126</v>
      </c>
      <c r="G815" s="6">
        <v>2.2000000476837158</v>
      </c>
      <c r="H815" s="6" t="e">
        <v>#N/A</v>
      </c>
      <c r="I815" s="6">
        <v>-0.68569357051035174</v>
      </c>
      <c r="J815" s="6">
        <v>25002000</v>
      </c>
      <c r="K815" s="6">
        <v>3.8610038610038799</v>
      </c>
      <c r="L815" t="s">
        <v>17</v>
      </c>
      <c r="M815" t="s">
        <v>27</v>
      </c>
      <c r="N815" s="4" t="s">
        <v>233</v>
      </c>
      <c r="O815" s="4" t="s">
        <v>3160</v>
      </c>
      <c r="P815" s="4" t="s">
        <v>13122</v>
      </c>
    </row>
    <row r="816" spans="1:16" x14ac:dyDescent="0.35">
      <c r="A816" t="s">
        <v>3161</v>
      </c>
      <c r="B816" t="s">
        <v>3162</v>
      </c>
      <c r="C816" t="s">
        <v>16</v>
      </c>
      <c r="D816" s="6">
        <v>268826737.5</v>
      </c>
      <c r="E816" s="6">
        <v>191136737.5</v>
      </c>
      <c r="F816" s="6">
        <v>4.5</v>
      </c>
      <c r="G816" s="6">
        <v>4.2800002098083496</v>
      </c>
      <c r="H816" s="6" t="e">
        <v>#N/A</v>
      </c>
      <c r="I816" s="6">
        <v>1.5648015639351911</v>
      </c>
      <c r="J816" s="6">
        <v>0</v>
      </c>
      <c r="K816" s="6">
        <v>97.004858172541688</v>
      </c>
      <c r="L816" t="s">
        <v>17</v>
      </c>
      <c r="M816" t="s">
        <v>18</v>
      </c>
      <c r="N816" s="4" t="s">
        <v>3163</v>
      </c>
      <c r="O816" s="4" t="s">
        <v>3164</v>
      </c>
      <c r="P816" s="4" t="s">
        <v>233</v>
      </c>
    </row>
    <row r="817" spans="1:16" x14ac:dyDescent="0.35">
      <c r="A817" t="s">
        <v>3165</v>
      </c>
      <c r="B817" t="s">
        <v>3166</v>
      </c>
      <c r="C817" t="s">
        <v>16</v>
      </c>
      <c r="D817" s="6" t="e">
        <v>#N/A</v>
      </c>
      <c r="E817" s="6" t="e">
        <v>#N/A</v>
      </c>
      <c r="F817" s="6">
        <v>9.9999999747524271E-7</v>
      </c>
      <c r="G817" s="6">
        <v>9.9999999747524271E-7</v>
      </c>
      <c r="H817" s="6" t="e">
        <v>#N/A</v>
      </c>
      <c r="I817" s="6">
        <v>4.4408920985006262E-16</v>
      </c>
      <c r="J817" s="6" t="e">
        <v>#N/A</v>
      </c>
      <c r="K817" s="6" t="e">
        <v>#N/A</v>
      </c>
      <c r="L817" t="s">
        <v>17</v>
      </c>
      <c r="M817" t="s">
        <v>32</v>
      </c>
      <c r="N817" s="4" t="s">
        <v>3167</v>
      </c>
      <c r="O817" s="4" t="s">
        <v>3168</v>
      </c>
      <c r="P817" s="4" t="s">
        <v>233</v>
      </c>
    </row>
    <row r="818" spans="1:16" x14ac:dyDescent="0.35">
      <c r="A818" t="s">
        <v>3169</v>
      </c>
      <c r="B818" t="s">
        <v>3170</v>
      </c>
      <c r="C818" t="s">
        <v>16</v>
      </c>
      <c r="D818" s="6">
        <v>235522124.20272946</v>
      </c>
      <c r="E818" s="6">
        <v>240817831.23232004</v>
      </c>
      <c r="F818" s="6">
        <v>2.2400000095367432</v>
      </c>
      <c r="G818" s="6">
        <v>2.25</v>
      </c>
      <c r="H818" s="6" t="e">
        <v>#N/A</v>
      </c>
      <c r="I818" s="6">
        <v>1.3537325782396303E-2</v>
      </c>
      <c r="J818" s="6">
        <v>17882000</v>
      </c>
      <c r="K818" s="6">
        <v>34.229838359160183</v>
      </c>
      <c r="L818" t="s">
        <v>17</v>
      </c>
      <c r="M818" t="s">
        <v>18</v>
      </c>
      <c r="N818" s="4" t="s">
        <v>233</v>
      </c>
      <c r="O818" s="4" t="s">
        <v>3171</v>
      </c>
      <c r="P818" s="4" t="s">
        <v>13123</v>
      </c>
    </row>
    <row r="819" spans="1:16" x14ac:dyDescent="0.35">
      <c r="A819" t="s">
        <v>3172</v>
      </c>
      <c r="B819" t="s">
        <v>3173</v>
      </c>
      <c r="C819" t="s">
        <v>16</v>
      </c>
      <c r="D819" s="6">
        <v>2923.4981999999995</v>
      </c>
      <c r="E819" s="6">
        <v>-1440076.5018</v>
      </c>
      <c r="F819" s="6">
        <v>5.9999999999999995E-4</v>
      </c>
      <c r="G819" s="6">
        <v>5.9999999999999995E-4</v>
      </c>
      <c r="H819" s="6" t="e">
        <v>#N/A</v>
      </c>
      <c r="I819" s="6">
        <v>-0.98011557581320463</v>
      </c>
      <c r="J819" s="6">
        <v>0</v>
      </c>
      <c r="K819" s="6">
        <v>97.051282051282044</v>
      </c>
      <c r="L819" t="s">
        <v>17</v>
      </c>
      <c r="M819" t="s">
        <v>18</v>
      </c>
      <c r="N819" s="4" t="s">
        <v>3174</v>
      </c>
      <c r="O819" s="4" t="s">
        <v>3175</v>
      </c>
      <c r="P819" s="4" t="s">
        <v>233</v>
      </c>
    </row>
    <row r="820" spans="1:16" x14ac:dyDescent="0.35">
      <c r="A820" t="s">
        <v>3176</v>
      </c>
      <c r="B820" t="s">
        <v>3177</v>
      </c>
      <c r="C820" t="s">
        <v>16</v>
      </c>
      <c r="D820" s="6">
        <v>7651739.3517246852</v>
      </c>
      <c r="E820" s="6">
        <v>30622739.351724692</v>
      </c>
      <c r="F820" s="6">
        <v>0.82800000905990601</v>
      </c>
      <c r="G820" s="6">
        <v>0.81000000238418579</v>
      </c>
      <c r="H820" s="6" t="e">
        <v>#N/A</v>
      </c>
      <c r="I820" s="6">
        <v>-0.84484444328168373</v>
      </c>
      <c r="J820" s="6">
        <v>10480000</v>
      </c>
      <c r="K820" s="6">
        <v>96.051197922260044</v>
      </c>
      <c r="L820" t="s">
        <v>17</v>
      </c>
      <c r="M820" t="s">
        <v>87</v>
      </c>
      <c r="N820" s="4" t="s">
        <v>3178</v>
      </c>
      <c r="O820" s="4" t="s">
        <v>3179</v>
      </c>
      <c r="P820" s="4" t="s">
        <v>233</v>
      </c>
    </row>
    <row r="821" spans="1:16" x14ac:dyDescent="0.35">
      <c r="A821" t="s">
        <v>3180</v>
      </c>
      <c r="B821" t="s">
        <v>3181</v>
      </c>
      <c r="C821" t="s">
        <v>16</v>
      </c>
      <c r="D821" s="6">
        <v>3011464279</v>
      </c>
      <c r="E821" s="6">
        <v>2217918279</v>
      </c>
      <c r="F821" s="6">
        <v>39.5</v>
      </c>
      <c r="G821" s="6">
        <v>38</v>
      </c>
      <c r="H821" s="6" t="e">
        <v>#N/A</v>
      </c>
      <c r="I821" s="6">
        <v>-0.199269510465925</v>
      </c>
      <c r="J821" s="6" t="e">
        <v>#N/A</v>
      </c>
      <c r="K821" s="6">
        <v>-6.4150943396226552</v>
      </c>
      <c r="L821" t="s">
        <v>17</v>
      </c>
      <c r="M821" t="s">
        <v>18</v>
      </c>
      <c r="N821" s="4" t="s">
        <v>3182</v>
      </c>
      <c r="O821" s="4" t="s">
        <v>3183</v>
      </c>
      <c r="P821" s="4" t="s">
        <v>233</v>
      </c>
    </row>
    <row r="822" spans="1:16" x14ac:dyDescent="0.35">
      <c r="A822" t="s">
        <v>3184</v>
      </c>
      <c r="B822" t="s">
        <v>3185</v>
      </c>
      <c r="C822" t="s">
        <v>16</v>
      </c>
      <c r="D822" s="6">
        <v>142427057.07298851</v>
      </c>
      <c r="E822" s="6">
        <v>65664057.072988525</v>
      </c>
      <c r="F822" s="6">
        <v>4.1500000953674316</v>
      </c>
      <c r="G822" s="6">
        <v>4.0799999237060547</v>
      </c>
      <c r="H822" s="6" t="e">
        <v>#N/A</v>
      </c>
      <c r="I822" s="6">
        <v>0.38671722580695866</v>
      </c>
      <c r="J822" s="6">
        <v>0</v>
      </c>
      <c r="K822" s="6">
        <v>53.996737357259384</v>
      </c>
      <c r="L822" t="s">
        <v>17</v>
      </c>
      <c r="M822" t="s">
        <v>18</v>
      </c>
      <c r="N822" s="4" t="s">
        <v>3186</v>
      </c>
      <c r="O822" s="4" t="s">
        <v>3187</v>
      </c>
      <c r="P822" s="4" t="s">
        <v>233</v>
      </c>
    </row>
    <row r="823" spans="1:16" x14ac:dyDescent="0.35">
      <c r="A823" t="s">
        <v>3188</v>
      </c>
      <c r="B823" t="s">
        <v>3189</v>
      </c>
      <c r="C823" t="s">
        <v>16</v>
      </c>
      <c r="D823" s="6">
        <v>76193043.987639427</v>
      </c>
      <c r="E823" s="6">
        <v>77428043.987639427</v>
      </c>
      <c r="F823" s="6">
        <v>4.320000171661377</v>
      </c>
      <c r="G823" s="6">
        <v>4.6999998092651367</v>
      </c>
      <c r="H823" s="6" t="e">
        <v>#N/A</v>
      </c>
      <c r="I823" s="6">
        <v>1.0530926842697452</v>
      </c>
      <c r="J823" s="6">
        <v>55751000</v>
      </c>
      <c r="K823" s="6">
        <v>49.462365591397834</v>
      </c>
      <c r="L823" t="s">
        <v>17</v>
      </c>
      <c r="M823" t="s">
        <v>18</v>
      </c>
      <c r="N823" s="4" t="s">
        <v>3190</v>
      </c>
      <c r="O823" s="4" t="s">
        <v>3191</v>
      </c>
      <c r="P823" s="4" t="s">
        <v>233</v>
      </c>
    </row>
    <row r="824" spans="1:16" x14ac:dyDescent="0.35">
      <c r="A824" t="s">
        <v>3192</v>
      </c>
      <c r="B824" t="s">
        <v>3193</v>
      </c>
      <c r="C824" t="s">
        <v>16</v>
      </c>
      <c r="D824" s="6">
        <v>172461343.01947591</v>
      </c>
      <c r="E824" s="6">
        <v>161173092.01947591</v>
      </c>
      <c r="F824" s="6">
        <v>11.510000228881836</v>
      </c>
      <c r="G824" s="6">
        <v>11.380000114440918</v>
      </c>
      <c r="H824" s="6" t="e">
        <v>#N/A</v>
      </c>
      <c r="I824" s="6">
        <v>5.0998338464258497E-2</v>
      </c>
      <c r="J824" s="6">
        <v>120795620</v>
      </c>
      <c r="K824" s="6">
        <v>-139.99999999999997</v>
      </c>
      <c r="L824" t="s">
        <v>17</v>
      </c>
      <c r="M824" t="s">
        <v>40</v>
      </c>
      <c r="N824" s="4" t="s">
        <v>3194</v>
      </c>
      <c r="O824" s="4" t="s">
        <v>3195</v>
      </c>
      <c r="P824" s="4" t="s">
        <v>233</v>
      </c>
    </row>
    <row r="825" spans="1:16" x14ac:dyDescent="0.35">
      <c r="A825" t="s">
        <v>3196</v>
      </c>
      <c r="B825" t="s">
        <v>3197</v>
      </c>
      <c r="C825" t="s">
        <v>16</v>
      </c>
      <c r="D825" s="6">
        <v>129797008.87260748</v>
      </c>
      <c r="E825" s="6">
        <v>335619008.87260747</v>
      </c>
      <c r="F825" s="6">
        <v>1.1200000047683716</v>
      </c>
      <c r="G825" s="6">
        <v>1.1000000238418579</v>
      </c>
      <c r="H825" s="6" t="e">
        <v>#N/A</v>
      </c>
      <c r="I825" s="6">
        <v>-0.60183358071011561</v>
      </c>
      <c r="J825" s="6">
        <v>304340000</v>
      </c>
      <c r="K825" s="6">
        <v>100</v>
      </c>
      <c r="L825" t="s">
        <v>17</v>
      </c>
      <c r="M825" t="s">
        <v>18</v>
      </c>
      <c r="N825" s="4" t="s">
        <v>3198</v>
      </c>
      <c r="O825" s="4" t="s">
        <v>3199</v>
      </c>
      <c r="P825" s="4" t="s">
        <v>233</v>
      </c>
    </row>
    <row r="826" spans="1:16" x14ac:dyDescent="0.35">
      <c r="A826" t="s">
        <v>3200</v>
      </c>
      <c r="B826" t="s">
        <v>3201</v>
      </c>
      <c r="C826" t="s">
        <v>16</v>
      </c>
      <c r="D826" s="6">
        <v>45951189.792025477</v>
      </c>
      <c r="E826" s="6">
        <v>31694189.792025499</v>
      </c>
      <c r="F826" s="6">
        <v>0.45600000023841858</v>
      </c>
      <c r="G826" s="6">
        <v>0.46950000524520874</v>
      </c>
      <c r="H826" s="6" t="e">
        <v>#N/A</v>
      </c>
      <c r="I826" s="6">
        <v>-0.83153290943682756</v>
      </c>
      <c r="J826" s="6">
        <v>180013000</v>
      </c>
      <c r="K826" s="6">
        <v>59.803921568627459</v>
      </c>
      <c r="L826" t="s">
        <v>17</v>
      </c>
      <c r="M826" t="s">
        <v>18</v>
      </c>
      <c r="N826" s="4" t="s">
        <v>3202</v>
      </c>
      <c r="O826" s="4" t="s">
        <v>3203</v>
      </c>
      <c r="P826" s="4" t="s">
        <v>233</v>
      </c>
    </row>
    <row r="827" spans="1:16" x14ac:dyDescent="0.35">
      <c r="A827" t="s">
        <v>3204</v>
      </c>
      <c r="B827" t="s">
        <v>3205</v>
      </c>
      <c r="C827" t="s">
        <v>16</v>
      </c>
      <c r="D827" s="6">
        <v>109858933.2153244</v>
      </c>
      <c r="E827" s="6">
        <v>94045933.215324402</v>
      </c>
      <c r="F827" s="6">
        <v>9.0200004577636719</v>
      </c>
      <c r="G827" s="6">
        <v>8.6599998474121094</v>
      </c>
      <c r="H827" s="6" t="e">
        <v>#N/A</v>
      </c>
      <c r="I827" s="6">
        <v>-0.60682179336944997</v>
      </c>
      <c r="J827" s="6">
        <v>0</v>
      </c>
      <c r="K827" s="6">
        <v>58.012533572077857</v>
      </c>
      <c r="L827" t="s">
        <v>17</v>
      </c>
      <c r="M827" t="s">
        <v>18</v>
      </c>
      <c r="N827" s="4" t="s">
        <v>3206</v>
      </c>
      <c r="O827" s="4" t="s">
        <v>3207</v>
      </c>
      <c r="P827" s="4" t="s">
        <v>233</v>
      </c>
    </row>
    <row r="828" spans="1:16" x14ac:dyDescent="0.35">
      <c r="A828" t="s">
        <v>3208</v>
      </c>
      <c r="B828" t="s">
        <v>3209</v>
      </c>
      <c r="C828" t="s">
        <v>16</v>
      </c>
      <c r="D828" s="6">
        <v>216535963.13750792</v>
      </c>
      <c r="E828" s="6">
        <v>186431963.13750792</v>
      </c>
      <c r="F828" s="6">
        <v>5.7199997901916504</v>
      </c>
      <c r="G828" s="6">
        <v>5.7199997901916504</v>
      </c>
      <c r="H828" s="6" t="e">
        <v>#N/A</v>
      </c>
      <c r="I828" s="6">
        <v>-0.6700745334413738</v>
      </c>
      <c r="J828" s="6">
        <v>419146000</v>
      </c>
      <c r="K828" s="6">
        <v>33.91608391608392</v>
      </c>
      <c r="L828" t="s">
        <v>17</v>
      </c>
      <c r="M828" t="s">
        <v>27</v>
      </c>
      <c r="N828" s="4" t="s">
        <v>3210</v>
      </c>
      <c r="O828" s="4" t="s">
        <v>3211</v>
      </c>
      <c r="P828" s="4" t="s">
        <v>233</v>
      </c>
    </row>
    <row r="829" spans="1:16" x14ac:dyDescent="0.35">
      <c r="A829" t="s">
        <v>3212</v>
      </c>
      <c r="B829" t="s">
        <v>3213</v>
      </c>
      <c r="C829" t="s">
        <v>16</v>
      </c>
      <c r="D829" s="6">
        <v>192024991.33038729</v>
      </c>
      <c r="E829" s="6">
        <v>160111991.33038729</v>
      </c>
      <c r="F829" s="6">
        <v>0.6600000262260437</v>
      </c>
      <c r="G829" s="6">
        <v>0.67799997329711914</v>
      </c>
      <c r="H829" s="6" t="e">
        <v>#N/A</v>
      </c>
      <c r="I829" s="6">
        <v>4.0895196801642442E-2</v>
      </c>
      <c r="J829" s="6">
        <v>9327000</v>
      </c>
      <c r="K829" s="6">
        <v>50.068290975996575</v>
      </c>
      <c r="L829" t="s">
        <v>17</v>
      </c>
      <c r="M829" t="s">
        <v>18</v>
      </c>
      <c r="N829" s="4" t="s">
        <v>3214</v>
      </c>
      <c r="O829" s="4" t="s">
        <v>3215</v>
      </c>
      <c r="P829" s="4" t="s">
        <v>233</v>
      </c>
    </row>
    <row r="830" spans="1:16" x14ac:dyDescent="0.35">
      <c r="A830" t="s">
        <v>3216</v>
      </c>
      <c r="B830" t="s">
        <v>3217</v>
      </c>
      <c r="C830" t="s">
        <v>16</v>
      </c>
      <c r="D830" s="6">
        <v>4421949.015390873</v>
      </c>
      <c r="E830" s="6">
        <v>-323050.98460912704</v>
      </c>
      <c r="F830" s="6">
        <v>1.3700000047683716</v>
      </c>
      <c r="G830" s="6">
        <v>1.365399956703186</v>
      </c>
      <c r="H830" s="6" t="e">
        <v>#N/A</v>
      </c>
      <c r="I830" s="6">
        <v>-9.2474000345638463E-2</v>
      </c>
      <c r="J830" s="6">
        <v>0</v>
      </c>
      <c r="K830" s="6">
        <v>14.463461538461537</v>
      </c>
      <c r="L830" t="s">
        <v>17</v>
      </c>
      <c r="M830" t="s">
        <v>87</v>
      </c>
      <c r="N830" s="4" t="s">
        <v>3218</v>
      </c>
      <c r="O830" s="4" t="s">
        <v>3219</v>
      </c>
      <c r="P830" s="4" t="s">
        <v>233</v>
      </c>
    </row>
    <row r="831" spans="1:16" x14ac:dyDescent="0.35">
      <c r="A831" t="s">
        <v>3220</v>
      </c>
      <c r="B831" t="s">
        <v>3221</v>
      </c>
      <c r="C831" t="s">
        <v>16</v>
      </c>
      <c r="D831" s="6">
        <v>20206329.854649067</v>
      </c>
      <c r="E831" s="6" t="e">
        <v>#N/A</v>
      </c>
      <c r="F831" s="6">
        <v>2.9700000286102295</v>
      </c>
      <c r="G831" s="6">
        <v>2.9800000190734863</v>
      </c>
      <c r="H831" s="6" t="e">
        <v>#N/A</v>
      </c>
      <c r="I831" s="6">
        <v>-0.56479864233320076</v>
      </c>
      <c r="J831" s="6" t="e">
        <v>#N/A</v>
      </c>
      <c r="K831" s="6">
        <v>71.100647439670382</v>
      </c>
      <c r="L831" t="s">
        <v>17</v>
      </c>
      <c r="M831" t="s">
        <v>87</v>
      </c>
      <c r="N831" s="4" t="s">
        <v>233</v>
      </c>
      <c r="O831" s="4" t="s">
        <v>3222</v>
      </c>
      <c r="P831" s="4" t="s">
        <v>13124</v>
      </c>
    </row>
    <row r="832" spans="1:16" x14ac:dyDescent="0.35">
      <c r="A832" t="s">
        <v>3223</v>
      </c>
      <c r="B832" t="s">
        <v>3224</v>
      </c>
      <c r="C832" t="s">
        <v>16</v>
      </c>
      <c r="D832" s="6" t="e">
        <v>#N/A</v>
      </c>
      <c r="E832" s="6" t="e">
        <v>#N/A</v>
      </c>
      <c r="F832" s="6" t="e">
        <v>#N/A</v>
      </c>
      <c r="G832" s="6" t="e">
        <v>#N/A</v>
      </c>
      <c r="H832" s="6" t="e">
        <v>#N/A</v>
      </c>
      <c r="I832" s="6">
        <v>0</v>
      </c>
      <c r="J832" s="6">
        <v>859859</v>
      </c>
      <c r="K832" s="6">
        <v>37.486061865568026</v>
      </c>
      <c r="L832" t="s">
        <v>17</v>
      </c>
      <c r="M832" t="s">
        <v>87</v>
      </c>
      <c r="N832" s="4" t="s">
        <v>3225</v>
      </c>
      <c r="O832" s="4" t="s">
        <v>3226</v>
      </c>
      <c r="P832" s="4" t="s">
        <v>233</v>
      </c>
    </row>
    <row r="833" spans="1:16" x14ac:dyDescent="0.35">
      <c r="A833" t="s">
        <v>3227</v>
      </c>
      <c r="B833" t="s">
        <v>3228</v>
      </c>
      <c r="C833" t="s">
        <v>16</v>
      </c>
      <c r="D833" s="6">
        <v>912991.08012484945</v>
      </c>
      <c r="E833" s="6">
        <v>50450991.080124848</v>
      </c>
      <c r="F833" s="6">
        <v>9.100000374019146E-3</v>
      </c>
      <c r="G833" s="6">
        <v>8.7999999523162842E-3</v>
      </c>
      <c r="H833" s="6" t="e">
        <v>#N/A</v>
      </c>
      <c r="I833" s="6">
        <v>-0.72327010152157034</v>
      </c>
      <c r="J833" s="6">
        <v>17098000</v>
      </c>
      <c r="K833" s="6">
        <v>96.258311809844656</v>
      </c>
      <c r="L833" t="s">
        <v>17</v>
      </c>
      <c r="M833" t="s">
        <v>87</v>
      </c>
      <c r="N833" s="4" t="s">
        <v>3229</v>
      </c>
      <c r="O833" s="4" t="s">
        <v>3230</v>
      </c>
      <c r="P833" s="4" t="s">
        <v>233</v>
      </c>
    </row>
    <row r="834" spans="1:16" x14ac:dyDescent="0.35">
      <c r="A834" t="s">
        <v>3231</v>
      </c>
      <c r="B834" t="s">
        <v>3232</v>
      </c>
      <c r="C834" t="s">
        <v>16</v>
      </c>
      <c r="D834" s="6" t="e">
        <v>#N/A</v>
      </c>
      <c r="E834" s="6" t="e">
        <v>#N/A</v>
      </c>
      <c r="F834" s="6">
        <v>9.9999999747524271E-7</v>
      </c>
      <c r="G834" s="6">
        <v>9.9999999747524271E-7</v>
      </c>
      <c r="H834" s="6" t="e">
        <v>#N/A</v>
      </c>
      <c r="I834" s="6">
        <v>-0.98987338078497134</v>
      </c>
      <c r="J834" s="6" t="e">
        <v>#N/A</v>
      </c>
      <c r="K834" s="6" t="e">
        <v>#N/A</v>
      </c>
      <c r="L834" t="s">
        <v>17</v>
      </c>
      <c r="M834" t="s">
        <v>32</v>
      </c>
      <c r="N834" s="4" t="s">
        <v>3233</v>
      </c>
      <c r="O834" s="4" t="s">
        <v>3234</v>
      </c>
      <c r="P834" s="4" t="s">
        <v>233</v>
      </c>
    </row>
    <row r="835" spans="1:16" x14ac:dyDescent="0.35">
      <c r="A835" t="s">
        <v>3235</v>
      </c>
      <c r="B835" t="s">
        <v>3236</v>
      </c>
      <c r="C835" t="s">
        <v>16</v>
      </c>
      <c r="D835" s="6">
        <v>1028562547.3057059</v>
      </c>
      <c r="E835" s="6">
        <v>818542547.3057059</v>
      </c>
      <c r="F835" s="6">
        <v>9.8599996566772461</v>
      </c>
      <c r="G835" s="6">
        <v>9.6899995803833008</v>
      </c>
      <c r="H835" s="6" t="e">
        <v>#N/A</v>
      </c>
      <c r="I835" s="6">
        <v>-0.67022298835030636</v>
      </c>
      <c r="J835" s="6">
        <v>0</v>
      </c>
      <c r="K835" s="6">
        <v>14.596273291925458</v>
      </c>
      <c r="L835" t="s">
        <v>17</v>
      </c>
      <c r="M835" t="s">
        <v>18</v>
      </c>
      <c r="N835" s="4" t="s">
        <v>3237</v>
      </c>
      <c r="O835" s="4" t="s">
        <v>3238</v>
      </c>
      <c r="P835" s="4" t="s">
        <v>233</v>
      </c>
    </row>
    <row r="836" spans="1:16" x14ac:dyDescent="0.35">
      <c r="A836" t="s">
        <v>3239</v>
      </c>
      <c r="B836" t="s">
        <v>3240</v>
      </c>
      <c r="C836" t="s">
        <v>16</v>
      </c>
      <c r="D836" s="6">
        <v>2789157.6488923286</v>
      </c>
      <c r="E836" s="6">
        <v>10920024.648892328</v>
      </c>
      <c r="F836" s="6">
        <v>2.6340000331401825E-2</v>
      </c>
      <c r="G836" s="6">
        <v>2.3900000378489494E-2</v>
      </c>
      <c r="H836" s="6" t="e">
        <v>#N/A</v>
      </c>
      <c r="I836" s="6">
        <v>-0.44920513915989257</v>
      </c>
      <c r="J836" s="6" t="e">
        <v>#N/A</v>
      </c>
      <c r="K836" s="6">
        <v>-71.095161251475233</v>
      </c>
      <c r="L836" t="s">
        <v>17</v>
      </c>
      <c r="M836" t="s">
        <v>87</v>
      </c>
      <c r="N836" s="4" t="s">
        <v>3241</v>
      </c>
      <c r="O836" s="4" t="s">
        <v>3242</v>
      </c>
      <c r="P836" s="4" t="s">
        <v>233</v>
      </c>
    </row>
    <row r="837" spans="1:16" x14ac:dyDescent="0.35">
      <c r="A837" t="s">
        <v>3243</v>
      </c>
      <c r="B837" t="s">
        <v>3244</v>
      </c>
      <c r="C837" t="s">
        <v>16</v>
      </c>
      <c r="D837" s="6">
        <v>7649400007.1469717</v>
      </c>
      <c r="E837" s="6" t="e">
        <v>#N/A</v>
      </c>
      <c r="F837" s="6">
        <v>126.13999938964844</v>
      </c>
      <c r="G837" s="6">
        <v>118.5</v>
      </c>
      <c r="H837" s="6" t="e">
        <v>#N/A</v>
      </c>
      <c r="I837" s="6">
        <v>-0.12727674429353053</v>
      </c>
      <c r="J837" s="6">
        <v>363641000</v>
      </c>
      <c r="K837" s="6">
        <v>23.62573099415205</v>
      </c>
      <c r="L837" t="s">
        <v>17</v>
      </c>
      <c r="M837" t="s">
        <v>18</v>
      </c>
      <c r="N837" s="4" t="s">
        <v>3245</v>
      </c>
      <c r="O837" s="4" t="s">
        <v>3246</v>
      </c>
      <c r="P837" s="4" t="s">
        <v>233</v>
      </c>
    </row>
    <row r="838" spans="1:16" x14ac:dyDescent="0.35">
      <c r="A838" t="s">
        <v>3247</v>
      </c>
      <c r="B838" t="s">
        <v>3248</v>
      </c>
      <c r="C838" t="s">
        <v>16</v>
      </c>
      <c r="D838" s="6">
        <v>2609432.0000000005</v>
      </c>
      <c r="E838" s="6">
        <v>9476800.0000000019</v>
      </c>
      <c r="F838" s="6">
        <v>9.5200000000000007E-2</v>
      </c>
      <c r="G838" s="6">
        <v>8.7999999999999995E-2</v>
      </c>
      <c r="H838" s="6" t="e">
        <v>#N/A</v>
      </c>
      <c r="I838" s="6">
        <v>-0.86385789107524169</v>
      </c>
      <c r="J838" s="6">
        <v>21289323</v>
      </c>
      <c r="K838" s="6" t="e">
        <v>#N/A</v>
      </c>
      <c r="L838" t="s">
        <v>17</v>
      </c>
      <c r="M838" t="s">
        <v>18</v>
      </c>
      <c r="N838" s="4" t="s">
        <v>3249</v>
      </c>
      <c r="O838" s="4" t="s">
        <v>3250</v>
      </c>
      <c r="P838" s="4" t="s">
        <v>233</v>
      </c>
    </row>
    <row r="839" spans="1:16" x14ac:dyDescent="0.35">
      <c r="A839" t="s">
        <v>3251</v>
      </c>
      <c r="B839" t="s">
        <v>3252</v>
      </c>
      <c r="C839" t="s">
        <v>16</v>
      </c>
      <c r="D839" s="6">
        <v>2707899.6304082866</v>
      </c>
      <c r="E839" s="6">
        <v>-247280.36959171342</v>
      </c>
      <c r="F839" s="6">
        <v>1.7100000381469727</v>
      </c>
      <c r="G839" s="6">
        <v>1.809999942779541</v>
      </c>
      <c r="H839" s="6" t="e">
        <v>#N/A</v>
      </c>
      <c r="I839" s="6">
        <v>-0.61757022282244178</v>
      </c>
      <c r="J839" s="6">
        <v>0</v>
      </c>
      <c r="K839" s="6">
        <v>89.278623949579838</v>
      </c>
      <c r="L839" t="s">
        <v>17</v>
      </c>
      <c r="M839" t="s">
        <v>18</v>
      </c>
      <c r="N839" s="4" t="s">
        <v>3253</v>
      </c>
      <c r="O839" s="4" t="s">
        <v>3254</v>
      </c>
      <c r="P839" s="4" t="s">
        <v>233</v>
      </c>
    </row>
    <row r="840" spans="1:16" x14ac:dyDescent="0.35">
      <c r="A840" t="s">
        <v>3255</v>
      </c>
      <c r="B840" t="s">
        <v>3256</v>
      </c>
      <c r="C840" t="s">
        <v>16</v>
      </c>
      <c r="D840" s="6">
        <v>461069805.60970688</v>
      </c>
      <c r="E840" s="6">
        <v>331505805.60970688</v>
      </c>
      <c r="F840" s="6">
        <v>9.3299999237060547</v>
      </c>
      <c r="G840" s="6">
        <v>9.4099998474121094</v>
      </c>
      <c r="H840" s="6" t="e">
        <v>#N/A</v>
      </c>
      <c r="I840" s="6">
        <v>-0.41746740011924532</v>
      </c>
      <c r="J840" s="6">
        <v>0</v>
      </c>
      <c r="K840" s="6">
        <v>-18.954248366013061</v>
      </c>
      <c r="L840" t="s">
        <v>17</v>
      </c>
      <c r="M840" t="s">
        <v>18</v>
      </c>
      <c r="N840" s="4" t="s">
        <v>3257</v>
      </c>
      <c r="O840" s="4" t="s">
        <v>3258</v>
      </c>
      <c r="P840" s="4" t="s">
        <v>233</v>
      </c>
    </row>
    <row r="841" spans="1:16" x14ac:dyDescent="0.35">
      <c r="A841" t="s">
        <v>3259</v>
      </c>
      <c r="B841" t="s">
        <v>3260</v>
      </c>
      <c r="C841" t="s">
        <v>16</v>
      </c>
      <c r="D841" s="6">
        <v>1894522.5884577991</v>
      </c>
      <c r="E841" s="6">
        <v>1946849.0834577989</v>
      </c>
      <c r="F841" s="6">
        <v>3.2599999904632568</v>
      </c>
      <c r="G841" s="6">
        <v>3.5653998851776123</v>
      </c>
      <c r="H841" s="6" t="e">
        <v>#N/A</v>
      </c>
      <c r="I841" s="6">
        <v>-0.3385299172647418</v>
      </c>
      <c r="J841" s="6">
        <v>121505.22807407408</v>
      </c>
      <c r="K841" s="6">
        <v>71.435715690958787</v>
      </c>
      <c r="L841" t="s">
        <v>17</v>
      </c>
      <c r="M841" t="s">
        <v>18</v>
      </c>
      <c r="N841" s="4" t="s">
        <v>3261</v>
      </c>
      <c r="O841" s="4" t="s">
        <v>3262</v>
      </c>
      <c r="P841" s="4" t="s">
        <v>233</v>
      </c>
    </row>
    <row r="842" spans="1:16" x14ac:dyDescent="0.35">
      <c r="A842" t="s">
        <v>3263</v>
      </c>
      <c r="B842" t="s">
        <v>3264</v>
      </c>
      <c r="C842" t="s">
        <v>16</v>
      </c>
      <c r="D842" s="6">
        <v>1522337.8276160359</v>
      </c>
      <c r="E842" s="6">
        <v>1234675.8276160359</v>
      </c>
      <c r="F842" s="6">
        <v>0.46000000834465027</v>
      </c>
      <c r="G842" s="6">
        <v>0.43200001120567322</v>
      </c>
      <c r="H842" s="6" t="e">
        <v>#N/A</v>
      </c>
      <c r="I842" s="6">
        <v>-0.84463956864001632</v>
      </c>
      <c r="J842" s="6">
        <v>7262000</v>
      </c>
      <c r="K842" s="6">
        <v>66.406092148878997</v>
      </c>
      <c r="L842" t="s">
        <v>17</v>
      </c>
      <c r="M842" t="s">
        <v>27</v>
      </c>
      <c r="N842" s="4" t="s">
        <v>3265</v>
      </c>
      <c r="O842" s="4" t="s">
        <v>3266</v>
      </c>
      <c r="P842" s="4" t="s">
        <v>233</v>
      </c>
    </row>
    <row r="843" spans="1:16" x14ac:dyDescent="0.35">
      <c r="A843" t="s">
        <v>3267</v>
      </c>
      <c r="B843" t="s">
        <v>3268</v>
      </c>
      <c r="C843" t="s">
        <v>16</v>
      </c>
      <c r="D843" s="6" t="e">
        <v>#N/A</v>
      </c>
      <c r="E843" s="6" t="e">
        <v>#N/A</v>
      </c>
      <c r="F843" s="6" t="e">
        <v>#N/A</v>
      </c>
      <c r="G843" s="6" t="e">
        <v>#N/A</v>
      </c>
      <c r="H843" s="6" t="e">
        <v>#N/A</v>
      </c>
      <c r="I843" s="6">
        <v>-0.99921555104545645</v>
      </c>
      <c r="J843" s="6" t="e">
        <v>#N/A</v>
      </c>
      <c r="K843" s="6" t="e">
        <v>#N/A</v>
      </c>
      <c r="L843" t="s">
        <v>17</v>
      </c>
      <c r="M843" t="s">
        <v>32</v>
      </c>
      <c r="N843" s="4" t="s">
        <v>3269</v>
      </c>
      <c r="O843" s="4" t="s">
        <v>3270</v>
      </c>
      <c r="P843" s="4" t="s">
        <v>233</v>
      </c>
    </row>
    <row r="844" spans="1:16" x14ac:dyDescent="0.35">
      <c r="A844" t="s">
        <v>3271</v>
      </c>
      <c r="B844" t="s">
        <v>3272</v>
      </c>
      <c r="C844" t="s">
        <v>16</v>
      </c>
      <c r="D844" s="6">
        <v>215090723.41197971</v>
      </c>
      <c r="E844" s="6">
        <v>11672686883.646328</v>
      </c>
      <c r="F844" s="6">
        <v>0.37000000476837158</v>
      </c>
      <c r="G844" s="6">
        <v>0.36899998784065247</v>
      </c>
      <c r="H844" s="6">
        <v>13.783297948677793</v>
      </c>
      <c r="I844" s="6">
        <v>0.18914610242938501</v>
      </c>
      <c r="J844" s="6">
        <v>4748404000</v>
      </c>
      <c r="K844" s="6">
        <v>138.99621578808419</v>
      </c>
      <c r="L844" t="s">
        <v>17</v>
      </c>
      <c r="M844" t="s">
        <v>40</v>
      </c>
      <c r="N844" s="4" t="s">
        <v>233</v>
      </c>
      <c r="O844" s="4" t="s">
        <v>3273</v>
      </c>
      <c r="P844" s="4" t="s">
        <v>13125</v>
      </c>
    </row>
    <row r="845" spans="1:16" x14ac:dyDescent="0.35">
      <c r="A845" t="s">
        <v>3274</v>
      </c>
      <c r="B845" t="s">
        <v>3275</v>
      </c>
      <c r="C845" t="s">
        <v>16</v>
      </c>
      <c r="D845" s="6">
        <v>1398200.69805</v>
      </c>
      <c r="E845" s="6">
        <v>1346942.69805</v>
      </c>
      <c r="F845" s="6">
        <v>1.9499999999999999E-3</v>
      </c>
      <c r="G845" s="6">
        <v>1.9499999999999999E-3</v>
      </c>
      <c r="H845" s="6" t="e">
        <v>#N/A</v>
      </c>
      <c r="I845" s="6">
        <v>-0.34923449796252615</v>
      </c>
      <c r="J845" s="6">
        <v>6651013</v>
      </c>
      <c r="K845" s="6">
        <v>93.898718730933496</v>
      </c>
      <c r="L845" t="s">
        <v>17</v>
      </c>
      <c r="M845" t="s">
        <v>87</v>
      </c>
      <c r="N845" s="4" t="s">
        <v>3276</v>
      </c>
      <c r="O845" s="4" t="s">
        <v>3277</v>
      </c>
      <c r="P845" s="4" t="s">
        <v>233</v>
      </c>
    </row>
    <row r="846" spans="1:16" x14ac:dyDescent="0.35">
      <c r="A846" t="s">
        <v>3278</v>
      </c>
      <c r="B846" t="s">
        <v>3279</v>
      </c>
      <c r="C846" t="s">
        <v>16</v>
      </c>
      <c r="D846" s="6">
        <v>8965072.031242311</v>
      </c>
      <c r="E846" s="6">
        <v>31798329.031242315</v>
      </c>
      <c r="F846" s="6">
        <v>0.36509999632835388</v>
      </c>
      <c r="G846" s="6">
        <v>0.36100000143051147</v>
      </c>
      <c r="H846" s="6" t="e">
        <v>#N/A</v>
      </c>
      <c r="I846" s="6">
        <v>-0.54264581626547437</v>
      </c>
      <c r="J846" s="6">
        <v>12619872</v>
      </c>
      <c r="K846" s="6">
        <v>30.167777423859935</v>
      </c>
      <c r="L846" t="s">
        <v>17</v>
      </c>
      <c r="M846" t="s">
        <v>32</v>
      </c>
      <c r="N846" s="4" t="s">
        <v>3280</v>
      </c>
      <c r="O846" s="4" t="s">
        <v>3281</v>
      </c>
      <c r="P846" s="4" t="s">
        <v>233</v>
      </c>
    </row>
    <row r="847" spans="1:16" x14ac:dyDescent="0.35">
      <c r="A847" t="s">
        <v>3282</v>
      </c>
      <c r="B847" t="s">
        <v>3283</v>
      </c>
      <c r="C847" t="s">
        <v>16</v>
      </c>
      <c r="D847" s="6">
        <v>356.35499999999996</v>
      </c>
      <c r="E847" s="6">
        <v>4333623.3550000004</v>
      </c>
      <c r="F847" s="6">
        <v>9.9999999747524271E-7</v>
      </c>
      <c r="G847" s="6">
        <v>9.9999999747524271E-7</v>
      </c>
      <c r="H847" s="6" t="e">
        <v>#N/A</v>
      </c>
      <c r="I847" s="6">
        <v>-0.99997854398628394</v>
      </c>
      <c r="J847" s="6">
        <v>0</v>
      </c>
      <c r="K847" s="6">
        <v>86.5626718436082</v>
      </c>
      <c r="L847" t="s">
        <v>17</v>
      </c>
      <c r="M847" t="s">
        <v>18</v>
      </c>
      <c r="N847" s="4" t="s">
        <v>3284</v>
      </c>
      <c r="O847" s="4" t="s">
        <v>3285</v>
      </c>
      <c r="P847" s="4" t="s">
        <v>233</v>
      </c>
    </row>
    <row r="848" spans="1:16" x14ac:dyDescent="0.35">
      <c r="A848" t="s">
        <v>3286</v>
      </c>
      <c r="B848" t="s">
        <v>3287</v>
      </c>
      <c r="C848" t="s">
        <v>16</v>
      </c>
      <c r="D848" s="6">
        <v>2635981.5092175002</v>
      </c>
      <c r="E848" s="6">
        <v>-930444.49078249978</v>
      </c>
      <c r="F848" s="6">
        <v>1.0700000524520874</v>
      </c>
      <c r="G848" s="6">
        <v>1.0499999523162842</v>
      </c>
      <c r="H848" s="6" t="e">
        <v>#N/A</v>
      </c>
      <c r="I848" s="6">
        <v>-0.71368728246765634</v>
      </c>
      <c r="J848" s="6">
        <v>0</v>
      </c>
      <c r="K848" s="6">
        <v>85.740178404227322</v>
      </c>
      <c r="L848" t="s">
        <v>17</v>
      </c>
      <c r="M848" t="s">
        <v>18</v>
      </c>
      <c r="N848" s="4" t="s">
        <v>3288</v>
      </c>
      <c r="O848" s="4" t="s">
        <v>3289</v>
      </c>
      <c r="P848" s="4" t="s">
        <v>233</v>
      </c>
    </row>
    <row r="849" spans="1:16" x14ac:dyDescent="0.35">
      <c r="A849" t="s">
        <v>3290</v>
      </c>
      <c r="B849" t="s">
        <v>3291</v>
      </c>
      <c r="C849" t="s">
        <v>16</v>
      </c>
      <c r="D849" s="6">
        <v>98156809.692139372</v>
      </c>
      <c r="E849" s="6">
        <v>-84961190.307860628</v>
      </c>
      <c r="F849" s="6">
        <v>3.2200000286102295</v>
      </c>
      <c r="G849" s="6">
        <v>3.25</v>
      </c>
      <c r="H849" s="6" t="e">
        <v>#N/A</v>
      </c>
      <c r="I849" s="6">
        <v>-0.46420106627886804</v>
      </c>
      <c r="J849" s="6">
        <v>0</v>
      </c>
      <c r="K849" s="6">
        <v>-40.372835869743078</v>
      </c>
      <c r="L849" t="s">
        <v>17</v>
      </c>
      <c r="M849" t="s">
        <v>18</v>
      </c>
      <c r="N849" s="4" t="s">
        <v>3292</v>
      </c>
      <c r="O849" s="4" t="s">
        <v>3293</v>
      </c>
      <c r="P849" s="4" t="s">
        <v>233</v>
      </c>
    </row>
    <row r="850" spans="1:16" x14ac:dyDescent="0.35">
      <c r="A850" t="s">
        <v>3294</v>
      </c>
      <c r="B850" t="s">
        <v>3295</v>
      </c>
      <c r="C850" t="s">
        <v>16</v>
      </c>
      <c r="D850" s="6">
        <v>10367202.078329325</v>
      </c>
      <c r="E850" s="6">
        <v>-18595191.921670672</v>
      </c>
      <c r="F850" s="6">
        <v>3.4900000095367432</v>
      </c>
      <c r="G850" s="6">
        <v>3.2899999618530273</v>
      </c>
      <c r="H850" s="6">
        <v>3.4513347068162794</v>
      </c>
      <c r="I850" s="6">
        <v>-0.42886334013904814</v>
      </c>
      <c r="J850" s="6">
        <v>16020000</v>
      </c>
      <c r="K850" s="6" t="e">
        <v>#N/A</v>
      </c>
      <c r="L850" t="s">
        <v>17</v>
      </c>
      <c r="M850" t="s">
        <v>87</v>
      </c>
      <c r="N850" s="4" t="s">
        <v>3296</v>
      </c>
      <c r="O850" s="4" t="s">
        <v>3297</v>
      </c>
      <c r="P850" s="4" t="s">
        <v>233</v>
      </c>
    </row>
    <row r="851" spans="1:16" x14ac:dyDescent="0.35">
      <c r="A851" t="s">
        <v>3298</v>
      </c>
      <c r="B851" t="s">
        <v>3299</v>
      </c>
      <c r="C851" t="s">
        <v>16</v>
      </c>
      <c r="D851" s="6">
        <v>42324421.075328819</v>
      </c>
      <c r="E851" s="6">
        <v>18809421.075328819</v>
      </c>
      <c r="F851" s="6">
        <v>3.6949999332427979</v>
      </c>
      <c r="G851" s="6">
        <v>3.8499999046325684</v>
      </c>
      <c r="H851" s="6" t="e">
        <v>#N/A</v>
      </c>
      <c r="I851" s="6">
        <v>-0.30864703234496738</v>
      </c>
      <c r="J851" s="6">
        <v>650000</v>
      </c>
      <c r="K851" s="6">
        <v>-392.10154782109163</v>
      </c>
      <c r="L851" t="s">
        <v>17</v>
      </c>
      <c r="M851" t="s">
        <v>18</v>
      </c>
      <c r="N851" s="4" t="s">
        <v>233</v>
      </c>
      <c r="O851" s="4" t="s">
        <v>3300</v>
      </c>
      <c r="P851" s="4" t="s">
        <v>13126</v>
      </c>
    </row>
    <row r="852" spans="1:16" x14ac:dyDescent="0.35">
      <c r="A852" t="s">
        <v>3301</v>
      </c>
      <c r="B852" t="s">
        <v>3302</v>
      </c>
      <c r="C852" t="s">
        <v>16</v>
      </c>
      <c r="D852" s="6">
        <v>13793312.118008494</v>
      </c>
      <c r="E852" s="6">
        <v>14401518.118008494</v>
      </c>
      <c r="F852" s="6">
        <v>1.3700000047683716</v>
      </c>
      <c r="G852" s="6">
        <v>1.1599999666213989</v>
      </c>
      <c r="H852" s="6" t="e">
        <v>#N/A</v>
      </c>
      <c r="I852" s="6">
        <v>-0.6564958434913184</v>
      </c>
      <c r="J852" s="6">
        <v>1265866</v>
      </c>
      <c r="K852" s="6">
        <v>78.888778779770746</v>
      </c>
      <c r="L852" t="s">
        <v>17</v>
      </c>
      <c r="M852" t="s">
        <v>18</v>
      </c>
      <c r="N852" s="4" t="s">
        <v>3303</v>
      </c>
      <c r="O852" s="4" t="s">
        <v>3304</v>
      </c>
      <c r="P852" s="4" t="s">
        <v>233</v>
      </c>
    </row>
    <row r="853" spans="1:16" x14ac:dyDescent="0.35">
      <c r="A853" t="s">
        <v>3305</v>
      </c>
      <c r="B853" t="s">
        <v>3306</v>
      </c>
      <c r="C853" t="s">
        <v>16</v>
      </c>
      <c r="D853" s="6">
        <v>412062183.8412838</v>
      </c>
      <c r="E853" s="6">
        <v>391160183.8412838</v>
      </c>
      <c r="F853" s="6">
        <v>7.7199997901916504</v>
      </c>
      <c r="G853" s="6">
        <v>7.440000057220459</v>
      </c>
      <c r="H853" s="6" t="e">
        <v>#N/A</v>
      </c>
      <c r="I853" s="6">
        <v>0.26269525371434166</v>
      </c>
      <c r="J853" s="6">
        <v>24786000</v>
      </c>
      <c r="K853" s="6">
        <v>-79.704387279783901</v>
      </c>
      <c r="L853" t="s">
        <v>17</v>
      </c>
      <c r="M853" t="s">
        <v>87</v>
      </c>
      <c r="N853" s="4" t="s">
        <v>3307</v>
      </c>
      <c r="O853" s="4" t="s">
        <v>3308</v>
      </c>
      <c r="P853" s="4" t="s">
        <v>233</v>
      </c>
    </row>
    <row r="854" spans="1:16" x14ac:dyDescent="0.35">
      <c r="A854" t="s">
        <v>3309</v>
      </c>
      <c r="B854" t="s">
        <v>3310</v>
      </c>
      <c r="C854" t="s">
        <v>16</v>
      </c>
      <c r="D854" s="6">
        <v>74128876.595050097</v>
      </c>
      <c r="E854" s="6">
        <v>-19002123.404949903</v>
      </c>
      <c r="F854" s="6">
        <v>1.6699999570846558</v>
      </c>
      <c r="G854" s="6">
        <v>1.5900000333786011</v>
      </c>
      <c r="H854" s="6" t="e">
        <v>#N/A</v>
      </c>
      <c r="I854" s="6">
        <v>-0.82647026920269206</v>
      </c>
      <c r="J854" s="6">
        <v>0</v>
      </c>
      <c r="K854" s="6">
        <v>-17.502033898305076</v>
      </c>
      <c r="L854" t="s">
        <v>17</v>
      </c>
      <c r="M854" t="s">
        <v>18</v>
      </c>
      <c r="N854" s="4" t="s">
        <v>3311</v>
      </c>
      <c r="O854" s="4" t="s">
        <v>3312</v>
      </c>
      <c r="P854" s="4" t="s">
        <v>233</v>
      </c>
    </row>
    <row r="855" spans="1:16" x14ac:dyDescent="0.35">
      <c r="A855" t="s">
        <v>3313</v>
      </c>
      <c r="B855" t="s">
        <v>3314</v>
      </c>
      <c r="C855" t="s">
        <v>16</v>
      </c>
      <c r="D855" s="6">
        <v>256829940.94511032</v>
      </c>
      <c r="E855" s="6">
        <v>133386940.94511032</v>
      </c>
      <c r="F855" s="6">
        <v>23.465000152587891</v>
      </c>
      <c r="G855" s="6">
        <v>21.739999771118164</v>
      </c>
      <c r="H855" s="6" t="e">
        <v>#N/A</v>
      </c>
      <c r="I855" s="6">
        <v>0.66187009620323001</v>
      </c>
      <c r="J855" s="6">
        <v>26348000</v>
      </c>
      <c r="K855" s="6">
        <v>-240.52155864680566</v>
      </c>
      <c r="L855" t="s">
        <v>17</v>
      </c>
      <c r="M855" t="s">
        <v>18</v>
      </c>
      <c r="N855" s="4" t="s">
        <v>3315</v>
      </c>
      <c r="O855" s="4" t="s">
        <v>3316</v>
      </c>
      <c r="P855" s="4" t="s">
        <v>233</v>
      </c>
    </row>
    <row r="856" spans="1:16" x14ac:dyDescent="0.35">
      <c r="A856" t="s">
        <v>3317</v>
      </c>
      <c r="B856" t="s">
        <v>3318</v>
      </c>
      <c r="C856" t="s">
        <v>16</v>
      </c>
      <c r="D856" s="6">
        <v>5055477.4624328604</v>
      </c>
      <c r="E856" s="6">
        <v>-22981522.537567139</v>
      </c>
      <c r="F856" s="6">
        <v>0.86430001258850098</v>
      </c>
      <c r="G856" s="6">
        <v>0.89999997615814209</v>
      </c>
      <c r="H856" s="6" t="e">
        <v>#N/A</v>
      </c>
      <c r="I856" s="6">
        <v>-0.60070201175108462</v>
      </c>
      <c r="J856" s="6">
        <v>0</v>
      </c>
      <c r="K856" s="6">
        <v>22.062514218352543</v>
      </c>
      <c r="L856" t="s">
        <v>17</v>
      </c>
      <c r="M856" t="s">
        <v>27</v>
      </c>
      <c r="N856" s="4" t="s">
        <v>233</v>
      </c>
      <c r="O856" s="4" t="s">
        <v>3319</v>
      </c>
      <c r="P856" s="4" t="s">
        <v>13127</v>
      </c>
    </row>
    <row r="857" spans="1:16" x14ac:dyDescent="0.35">
      <c r="A857" t="s">
        <v>3320</v>
      </c>
      <c r="B857" t="s">
        <v>3321</v>
      </c>
      <c r="C857" t="s">
        <v>16</v>
      </c>
      <c r="D857" s="6">
        <v>6578735628.1876221</v>
      </c>
      <c r="E857" s="6">
        <v>6369182628.1876221</v>
      </c>
      <c r="F857" s="6">
        <v>103.55999755859375</v>
      </c>
      <c r="G857" s="6">
        <v>99.330001831054688</v>
      </c>
      <c r="H857" s="6" t="e">
        <v>#N/A</v>
      </c>
      <c r="I857" s="6">
        <v>0.33451323265165112</v>
      </c>
      <c r="J857" s="6">
        <v>434414000</v>
      </c>
      <c r="K857" s="6">
        <v>77.584330794341682</v>
      </c>
      <c r="L857" t="s">
        <v>17</v>
      </c>
      <c r="M857" t="s">
        <v>18</v>
      </c>
      <c r="N857" s="4" t="s">
        <v>3322</v>
      </c>
      <c r="O857" s="4" t="s">
        <v>3323</v>
      </c>
      <c r="P857" s="4" t="s">
        <v>233</v>
      </c>
    </row>
    <row r="858" spans="1:16" x14ac:dyDescent="0.35">
      <c r="A858" t="s">
        <v>3324</v>
      </c>
      <c r="B858" t="s">
        <v>3325</v>
      </c>
      <c r="C858" t="s">
        <v>16</v>
      </c>
      <c r="D858" s="6">
        <v>2437586.5678610797</v>
      </c>
      <c r="E858" s="6">
        <v>3483665.5678610797</v>
      </c>
      <c r="F858" s="6">
        <v>3.309999942779541</v>
      </c>
      <c r="G858" s="6">
        <v>3.2999999523162842</v>
      </c>
      <c r="H858" s="6" t="e">
        <v>#N/A</v>
      </c>
      <c r="I858" s="6">
        <v>-0.85656651591318766</v>
      </c>
      <c r="J858" s="6">
        <v>0</v>
      </c>
      <c r="K858" s="6">
        <v>-46.29938666666667</v>
      </c>
      <c r="L858" t="s">
        <v>17</v>
      </c>
      <c r="M858" t="s">
        <v>18</v>
      </c>
      <c r="N858" s="4" t="s">
        <v>13025</v>
      </c>
      <c r="O858" s="4" t="s">
        <v>13026</v>
      </c>
      <c r="P858" s="4" t="s">
        <v>233</v>
      </c>
    </row>
    <row r="859" spans="1:16" x14ac:dyDescent="0.35">
      <c r="A859" t="s">
        <v>3326</v>
      </c>
      <c r="B859" t="s">
        <v>3327</v>
      </c>
      <c r="C859" t="s">
        <v>16</v>
      </c>
      <c r="D859" s="6">
        <v>302192657.19462824</v>
      </c>
      <c r="E859" s="6">
        <v>249589657.19462824</v>
      </c>
      <c r="F859" s="6">
        <v>3.5999999046325684</v>
      </c>
      <c r="G859" s="6">
        <v>3.6700000762939453</v>
      </c>
      <c r="H859" s="6" t="e">
        <v>#N/A</v>
      </c>
      <c r="I859" s="6">
        <v>0.82440336027704464</v>
      </c>
      <c r="J859" s="6">
        <v>235000</v>
      </c>
      <c r="K859" s="6">
        <v>2.9083092928109675</v>
      </c>
      <c r="L859" t="s">
        <v>17</v>
      </c>
      <c r="M859" t="s">
        <v>18</v>
      </c>
      <c r="N859" s="4" t="s">
        <v>3328</v>
      </c>
      <c r="O859" s="4" t="s">
        <v>3329</v>
      </c>
      <c r="P859" s="4" t="s">
        <v>233</v>
      </c>
    </row>
    <row r="860" spans="1:16" x14ac:dyDescent="0.35">
      <c r="A860" t="s">
        <v>3330</v>
      </c>
      <c r="B860" t="s">
        <v>3331</v>
      </c>
      <c r="C860" t="s">
        <v>16</v>
      </c>
      <c r="D860" s="6">
        <v>148130783.31007421</v>
      </c>
      <c r="E860" s="6">
        <v>-13329216.68992579</v>
      </c>
      <c r="F860" s="6">
        <v>0.57889997959136963</v>
      </c>
      <c r="G860" s="6">
        <v>0.5746999979019165</v>
      </c>
      <c r="H860" s="6" t="e">
        <v>#N/A</v>
      </c>
      <c r="I860" s="6">
        <v>-0.52060557666277152</v>
      </c>
      <c r="J860" s="6">
        <v>175041000</v>
      </c>
      <c r="K860" s="6">
        <v>62.003672978278765</v>
      </c>
      <c r="L860" t="s">
        <v>17</v>
      </c>
      <c r="M860" t="s">
        <v>18</v>
      </c>
      <c r="N860" s="4" t="s">
        <v>3332</v>
      </c>
      <c r="O860" s="4" t="s">
        <v>3333</v>
      </c>
      <c r="P860" s="4" t="s">
        <v>233</v>
      </c>
    </row>
    <row r="861" spans="1:16" x14ac:dyDescent="0.35">
      <c r="A861" t="s">
        <v>3334</v>
      </c>
      <c r="B861" t="s">
        <v>3335</v>
      </c>
      <c r="C861" t="s">
        <v>16</v>
      </c>
      <c r="D861" s="6" t="e">
        <v>#N/A</v>
      </c>
      <c r="E861" s="6" t="e">
        <v>#N/A</v>
      </c>
      <c r="F861" s="6" t="e">
        <v>#N/A</v>
      </c>
      <c r="G861" s="6" t="e">
        <v>#N/A</v>
      </c>
      <c r="H861" s="6" t="e">
        <v>#N/A</v>
      </c>
      <c r="I861" s="6">
        <v>0</v>
      </c>
      <c r="J861" s="6">
        <v>0</v>
      </c>
      <c r="K861" s="6">
        <v>66.712776709221743</v>
      </c>
      <c r="L861" t="s">
        <v>17</v>
      </c>
      <c r="M861" t="s">
        <v>87</v>
      </c>
      <c r="N861" s="4" t="s">
        <v>3336</v>
      </c>
      <c r="O861" s="4" t="s">
        <v>3337</v>
      </c>
      <c r="P861" s="4" t="s">
        <v>233</v>
      </c>
    </row>
    <row r="862" spans="1:16" x14ac:dyDescent="0.35">
      <c r="A862" t="s">
        <v>3338</v>
      </c>
      <c r="B862" t="s">
        <v>3339</v>
      </c>
      <c r="C862" t="s">
        <v>16</v>
      </c>
      <c r="D862" s="6">
        <v>2728967.163336277</v>
      </c>
      <c r="E862" s="6">
        <v>1549967.1633362772</v>
      </c>
      <c r="F862" s="6">
        <v>0.44459998607635498</v>
      </c>
      <c r="G862" s="6">
        <v>0.4309999942779541</v>
      </c>
      <c r="H862" s="6" t="e">
        <v>#N/A</v>
      </c>
      <c r="I862" s="6">
        <v>-0.63753021698860857</v>
      </c>
      <c r="J862" s="6">
        <v>3291000</v>
      </c>
      <c r="K862" s="6">
        <v>44.668596799392724</v>
      </c>
      <c r="L862" t="s">
        <v>17</v>
      </c>
      <c r="M862" t="s">
        <v>27</v>
      </c>
      <c r="N862" s="4" t="s">
        <v>3340</v>
      </c>
      <c r="O862" s="4" t="s">
        <v>3341</v>
      </c>
      <c r="P862" s="4" t="s">
        <v>233</v>
      </c>
    </row>
    <row r="863" spans="1:16" x14ac:dyDescent="0.35">
      <c r="A863" t="s">
        <v>3342</v>
      </c>
      <c r="B863" t="s">
        <v>3343</v>
      </c>
      <c r="C863" t="s">
        <v>16</v>
      </c>
      <c r="D863" s="6">
        <v>2160692406.4881964</v>
      </c>
      <c r="E863" s="6">
        <v>2505704406.4881964</v>
      </c>
      <c r="F863" s="6">
        <v>12.550000190734863</v>
      </c>
      <c r="G863" s="6">
        <v>12.859999656677246</v>
      </c>
      <c r="H863" s="6" t="e">
        <v>#N/A</v>
      </c>
      <c r="I863" s="6">
        <v>-0.40436833680481876</v>
      </c>
      <c r="J863" s="6">
        <v>2589610000</v>
      </c>
      <c r="K863" s="6">
        <v>76.601784266017845</v>
      </c>
      <c r="L863" t="s">
        <v>17</v>
      </c>
      <c r="M863" t="s">
        <v>32</v>
      </c>
      <c r="N863" s="4" t="s">
        <v>3344</v>
      </c>
      <c r="O863" s="4" t="s">
        <v>3345</v>
      </c>
      <c r="P863" s="4" t="s">
        <v>233</v>
      </c>
    </row>
    <row r="864" spans="1:16" x14ac:dyDescent="0.35">
      <c r="A864" t="s">
        <v>3346</v>
      </c>
      <c r="B864" t="s">
        <v>3347</v>
      </c>
      <c r="C864" t="s">
        <v>16</v>
      </c>
      <c r="D864" s="6">
        <v>1119013580.4656029</v>
      </c>
      <c r="E864" s="6">
        <v>1844802580.4656029</v>
      </c>
      <c r="F864" s="6">
        <v>9.6000003814697266</v>
      </c>
      <c r="G864" s="6">
        <v>9.6599998474121094</v>
      </c>
      <c r="H864" s="6">
        <v>203.73515240810119</v>
      </c>
      <c r="I864" s="6">
        <v>-0.69385937273160359</v>
      </c>
      <c r="J864" s="6">
        <v>2464254000</v>
      </c>
      <c r="K864" s="6">
        <v>10.784313725490193</v>
      </c>
      <c r="L864" t="s">
        <v>17</v>
      </c>
      <c r="M864" t="s">
        <v>32</v>
      </c>
      <c r="N864" s="4" t="s">
        <v>3348</v>
      </c>
      <c r="O864" s="4" t="s">
        <v>3349</v>
      </c>
      <c r="P864" s="4" t="s">
        <v>233</v>
      </c>
    </row>
    <row r="865" spans="1:16" x14ac:dyDescent="0.35">
      <c r="A865" t="s">
        <v>3350</v>
      </c>
      <c r="B865" t="s">
        <v>3351</v>
      </c>
      <c r="C865" t="s">
        <v>16</v>
      </c>
      <c r="D865" s="6">
        <v>7919940267.9067831</v>
      </c>
      <c r="E865" s="6">
        <v>7817222267.9067831</v>
      </c>
      <c r="F865" s="6">
        <v>143.63999938964844</v>
      </c>
      <c r="G865" s="6">
        <v>142.94999694824219</v>
      </c>
      <c r="H865" s="6" t="e">
        <v>#N/A</v>
      </c>
      <c r="I865" s="6">
        <v>0.48949741145937087</v>
      </c>
      <c r="J865" s="6">
        <v>360347000</v>
      </c>
      <c r="K865" s="6">
        <v>-10.037174721189574</v>
      </c>
      <c r="L865" t="s">
        <v>17</v>
      </c>
      <c r="M865" t="s">
        <v>27</v>
      </c>
      <c r="N865" s="4" t="s">
        <v>3352</v>
      </c>
      <c r="O865" s="4" t="s">
        <v>3353</v>
      </c>
      <c r="P865" s="4" t="s">
        <v>233</v>
      </c>
    </row>
    <row r="866" spans="1:16" x14ac:dyDescent="0.35">
      <c r="A866" t="s">
        <v>3354</v>
      </c>
      <c r="B866" t="s">
        <v>3355</v>
      </c>
      <c r="C866" t="s">
        <v>16</v>
      </c>
      <c r="D866" s="6">
        <v>394475177.89323235</v>
      </c>
      <c r="E866" s="6">
        <v>151154177.89323229</v>
      </c>
      <c r="F866" s="6">
        <v>6.9899997711181641</v>
      </c>
      <c r="G866" s="6">
        <v>6.7100000381469727</v>
      </c>
      <c r="H866" s="6" t="e">
        <v>#N/A</v>
      </c>
      <c r="I866" s="6">
        <v>-0.53240504756122231</v>
      </c>
      <c r="J866" s="6">
        <v>0</v>
      </c>
      <c r="K866" s="6">
        <v>4.9604545454545628</v>
      </c>
      <c r="L866" t="s">
        <v>17</v>
      </c>
      <c r="M866" t="s">
        <v>18</v>
      </c>
      <c r="N866" s="4" t="s">
        <v>3356</v>
      </c>
      <c r="O866" s="4" t="s">
        <v>3357</v>
      </c>
      <c r="P866" s="4" t="s">
        <v>233</v>
      </c>
    </row>
    <row r="867" spans="1:16" x14ac:dyDescent="0.35">
      <c r="A867" t="s">
        <v>3358</v>
      </c>
      <c r="B867" t="s">
        <v>3359</v>
      </c>
      <c r="C867" t="s">
        <v>16</v>
      </c>
      <c r="D867" s="6">
        <v>2808695.6230166163</v>
      </c>
      <c r="E867" s="6">
        <v>8917695.6230166163</v>
      </c>
      <c r="F867" s="6">
        <v>4.5556001663208008</v>
      </c>
      <c r="G867" s="6">
        <v>5</v>
      </c>
      <c r="H867" s="6" t="e">
        <v>#N/A</v>
      </c>
      <c r="I867" s="6">
        <v>-0.44979141462678374</v>
      </c>
      <c r="J867" s="6">
        <v>91724000</v>
      </c>
      <c r="K867" s="6" t="e">
        <v>#N/A</v>
      </c>
      <c r="L867" t="s">
        <v>17</v>
      </c>
      <c r="M867" t="s">
        <v>27</v>
      </c>
      <c r="N867" s="4" t="s">
        <v>3360</v>
      </c>
      <c r="O867" s="4" t="s">
        <v>3361</v>
      </c>
      <c r="P867" s="4" t="s">
        <v>233</v>
      </c>
    </row>
    <row r="868" spans="1:16" x14ac:dyDescent="0.35">
      <c r="A868" t="s">
        <v>3362</v>
      </c>
      <c r="B868" t="s">
        <v>3363</v>
      </c>
      <c r="C868" t="s">
        <v>16</v>
      </c>
      <c r="D868" s="6">
        <v>139646666.97703987</v>
      </c>
      <c r="E868" s="6">
        <v>166434666.97703987</v>
      </c>
      <c r="F868" s="6">
        <v>0.81790000200271606</v>
      </c>
      <c r="G868" s="6">
        <v>0.81000000238418579</v>
      </c>
      <c r="H868" s="6" t="e">
        <v>#N/A</v>
      </c>
      <c r="I868" s="6">
        <v>-0.28812009467128707</v>
      </c>
      <c r="J868" s="6">
        <v>64000</v>
      </c>
      <c r="K868" s="6">
        <v>-5.3904260634437193</v>
      </c>
      <c r="L868" t="s">
        <v>17</v>
      </c>
      <c r="M868" t="s">
        <v>18</v>
      </c>
      <c r="N868" s="4" t="s">
        <v>3364</v>
      </c>
      <c r="O868" s="4" t="s">
        <v>3365</v>
      </c>
      <c r="P868" s="4" t="s">
        <v>233</v>
      </c>
    </row>
    <row r="869" spans="1:16" x14ac:dyDescent="0.35">
      <c r="A869" t="s">
        <v>3366</v>
      </c>
      <c r="B869" t="s">
        <v>3367</v>
      </c>
      <c r="C869" t="s">
        <v>16</v>
      </c>
      <c r="D869" s="6">
        <v>22700978908.304443</v>
      </c>
      <c r="E869" s="6">
        <v>22254377908.304443</v>
      </c>
      <c r="F869" s="6">
        <v>171.94999694824219</v>
      </c>
      <c r="G869" s="6">
        <v>166.88999938964844</v>
      </c>
      <c r="H869" s="6" t="e">
        <v>#N/A</v>
      </c>
      <c r="I869" s="6">
        <v>1.4170035731778614</v>
      </c>
      <c r="J869" s="6">
        <v>1531955000</v>
      </c>
      <c r="K869" s="6">
        <v>60.717363317632042</v>
      </c>
      <c r="L869" t="s">
        <v>17</v>
      </c>
      <c r="M869" t="s">
        <v>18</v>
      </c>
      <c r="N869" s="4" t="s">
        <v>3368</v>
      </c>
      <c r="O869" s="4" t="s">
        <v>3369</v>
      </c>
      <c r="P869" s="4" t="s">
        <v>233</v>
      </c>
    </row>
    <row r="870" spans="1:16" x14ac:dyDescent="0.35">
      <c r="A870" t="s">
        <v>3370</v>
      </c>
      <c r="B870" t="s">
        <v>3371</v>
      </c>
      <c r="C870" t="s">
        <v>16</v>
      </c>
      <c r="D870" s="6">
        <v>469490.3380809715</v>
      </c>
      <c r="E870" s="6">
        <v>186273932.33808097</v>
      </c>
      <c r="F870" s="6">
        <v>6.0000000521540642E-3</v>
      </c>
      <c r="G870" s="6">
        <v>1.0999999940395355E-3</v>
      </c>
      <c r="H870" s="6" t="e">
        <v>#N/A</v>
      </c>
      <c r="I870" s="6">
        <v>-0.99436505806293696</v>
      </c>
      <c r="J870" s="6">
        <v>174908491</v>
      </c>
      <c r="K870" s="6">
        <v>-29.910697343107273</v>
      </c>
      <c r="L870" t="s">
        <v>17</v>
      </c>
      <c r="M870" t="s">
        <v>87</v>
      </c>
      <c r="N870" s="4" t="s">
        <v>3372</v>
      </c>
      <c r="O870" s="4" t="s">
        <v>3373</v>
      </c>
      <c r="P870" s="4" t="s">
        <v>233</v>
      </c>
    </row>
    <row r="871" spans="1:16" x14ac:dyDescent="0.35">
      <c r="A871" t="s">
        <v>3374</v>
      </c>
      <c r="B871" t="s">
        <v>3375</v>
      </c>
      <c r="C871" t="s">
        <v>16</v>
      </c>
      <c r="D871" s="6">
        <v>2375647.4904692769</v>
      </c>
      <c r="E871" s="6">
        <v>2471647.4904692769</v>
      </c>
      <c r="F871" s="6">
        <v>3.0099999159574509E-2</v>
      </c>
      <c r="G871" s="6">
        <v>3.8949999958276749E-2</v>
      </c>
      <c r="H871" s="6" t="e">
        <v>#N/A</v>
      </c>
      <c r="I871" s="6">
        <v>-0.2469151582897039</v>
      </c>
      <c r="J871" s="6">
        <v>2041000</v>
      </c>
      <c r="K871" s="6">
        <v>51.180892660428292</v>
      </c>
      <c r="L871" t="s">
        <v>17</v>
      </c>
      <c r="M871" t="s">
        <v>87</v>
      </c>
      <c r="N871" s="4" t="s">
        <v>3376</v>
      </c>
      <c r="O871" s="4" t="s">
        <v>3377</v>
      </c>
      <c r="P871" s="4" t="s">
        <v>233</v>
      </c>
    </row>
    <row r="872" spans="1:16" x14ac:dyDescent="0.35">
      <c r="A872" t="s">
        <v>3378</v>
      </c>
      <c r="B872" t="s">
        <v>3379</v>
      </c>
      <c r="C872" t="s">
        <v>16</v>
      </c>
      <c r="D872" s="6">
        <v>80360699.643798351</v>
      </c>
      <c r="E872" s="6">
        <v>1793699.6437983364</v>
      </c>
      <c r="F872" s="6">
        <v>7.679999828338623</v>
      </c>
      <c r="G872" s="6">
        <v>7.679999828338623</v>
      </c>
      <c r="H872" s="6" t="e">
        <v>#N/A</v>
      </c>
      <c r="I872" s="6">
        <v>0.58477638529516995</v>
      </c>
      <c r="J872" s="6">
        <v>819000</v>
      </c>
      <c r="K872" s="6">
        <v>88.052058577675098</v>
      </c>
      <c r="L872" t="s">
        <v>17</v>
      </c>
      <c r="M872" t="s">
        <v>18</v>
      </c>
      <c r="N872" s="4" t="s">
        <v>3380</v>
      </c>
      <c r="O872" s="4" t="s">
        <v>3381</v>
      </c>
      <c r="P872" s="4" t="s">
        <v>233</v>
      </c>
    </row>
    <row r="873" spans="1:16" x14ac:dyDescent="0.35">
      <c r="A873" t="s">
        <v>3382</v>
      </c>
      <c r="B873" t="s">
        <v>3383</v>
      </c>
      <c r="C873" t="s">
        <v>16</v>
      </c>
      <c r="D873" s="6">
        <v>126784854</v>
      </c>
      <c r="E873" s="6">
        <v>88331854</v>
      </c>
      <c r="F873" s="6">
        <v>18</v>
      </c>
      <c r="G873" s="6">
        <v>18.372400283813477</v>
      </c>
      <c r="H873" s="6" t="e">
        <v>#N/A</v>
      </c>
      <c r="I873" s="6">
        <v>0.706091590532955</v>
      </c>
      <c r="J873" s="6">
        <v>1000000</v>
      </c>
      <c r="K873" s="6">
        <v>58.055555555555564</v>
      </c>
      <c r="L873" t="s">
        <v>17</v>
      </c>
      <c r="M873" t="s">
        <v>18</v>
      </c>
      <c r="N873" s="4" t="s">
        <v>3384</v>
      </c>
      <c r="O873" s="4" t="s">
        <v>3385</v>
      </c>
      <c r="P873" s="4" t="s">
        <v>233</v>
      </c>
    </row>
    <row r="874" spans="1:16" x14ac:dyDescent="0.35">
      <c r="A874" t="s">
        <v>3386</v>
      </c>
      <c r="B874" t="s">
        <v>3387</v>
      </c>
      <c r="C874" t="s">
        <v>16</v>
      </c>
      <c r="D874" s="6">
        <v>1366093766.2735748</v>
      </c>
      <c r="E874" s="6">
        <v>1107686766.2735748</v>
      </c>
      <c r="F874" s="6">
        <v>23.270000457763672</v>
      </c>
      <c r="G874" s="6">
        <v>21.629999160766602</v>
      </c>
      <c r="H874" s="6" t="e">
        <v>#N/A</v>
      </c>
      <c r="I874" s="6">
        <v>3.2296985534783662E-2</v>
      </c>
      <c r="J874" s="6">
        <v>0</v>
      </c>
      <c r="K874" s="6">
        <v>90.178522123963617</v>
      </c>
      <c r="L874" t="s">
        <v>17</v>
      </c>
      <c r="M874" t="s">
        <v>18</v>
      </c>
      <c r="N874" s="4" t="s">
        <v>3388</v>
      </c>
      <c r="O874" s="4" t="s">
        <v>3389</v>
      </c>
      <c r="P874" s="4" t="s">
        <v>233</v>
      </c>
    </row>
    <row r="875" spans="1:16" x14ac:dyDescent="0.35">
      <c r="A875" t="s">
        <v>3390</v>
      </c>
      <c r="B875" t="s">
        <v>3391</v>
      </c>
      <c r="C875" t="s">
        <v>16</v>
      </c>
      <c r="D875" s="6">
        <v>2743248706.3545861</v>
      </c>
      <c r="E875" s="6">
        <v>3356779706.3545861</v>
      </c>
      <c r="F875" s="6">
        <v>3.2400000095367432</v>
      </c>
      <c r="G875" s="6">
        <v>3.0699999332427979</v>
      </c>
      <c r="H875" s="6" t="e">
        <v>#N/A</v>
      </c>
      <c r="I875" s="6">
        <v>-0.31574476773279947</v>
      </c>
      <c r="J875" s="6">
        <v>7332000</v>
      </c>
      <c r="K875" s="6">
        <v>17.165118278297719</v>
      </c>
      <c r="L875" t="s">
        <v>17</v>
      </c>
      <c r="M875" t="s">
        <v>18</v>
      </c>
      <c r="N875" s="4" t="s">
        <v>3392</v>
      </c>
      <c r="O875" s="4" t="s">
        <v>3393</v>
      </c>
      <c r="P875" s="4" t="s">
        <v>233</v>
      </c>
    </row>
    <row r="876" spans="1:16" x14ac:dyDescent="0.35">
      <c r="A876" t="s">
        <v>3394</v>
      </c>
      <c r="B876" t="s">
        <v>3395</v>
      </c>
      <c r="C876" t="s">
        <v>16</v>
      </c>
      <c r="D876" s="6">
        <v>2587434870.6064987</v>
      </c>
      <c r="E876" s="6">
        <v>2920861870.6064987</v>
      </c>
      <c r="F876" s="6">
        <v>47.650001525878906</v>
      </c>
      <c r="G876" s="6">
        <v>47.389999389648438</v>
      </c>
      <c r="H876" s="6">
        <v>10.774047214943684</v>
      </c>
      <c r="I876" s="6">
        <v>-5.9998428021515116E-2</v>
      </c>
      <c r="J876" s="6">
        <v>1241707000</v>
      </c>
      <c r="K876" s="6">
        <v>759.99999999999966</v>
      </c>
      <c r="L876" t="s">
        <v>17</v>
      </c>
      <c r="M876" t="s">
        <v>27</v>
      </c>
      <c r="N876" s="4" t="s">
        <v>233</v>
      </c>
      <c r="O876" s="4" t="s">
        <v>3396</v>
      </c>
      <c r="P876" s="4" t="s">
        <v>13128</v>
      </c>
    </row>
    <row r="877" spans="1:16" x14ac:dyDescent="0.35">
      <c r="A877" t="s">
        <v>3397</v>
      </c>
      <c r="B877" t="s">
        <v>3398</v>
      </c>
      <c r="C877" t="s">
        <v>16</v>
      </c>
      <c r="D877" s="6">
        <v>5469161.25</v>
      </c>
      <c r="E877" s="6">
        <v>2560161.25</v>
      </c>
      <c r="F877" s="6">
        <v>3.75</v>
      </c>
      <c r="G877" s="6">
        <v>3.7100000381469727</v>
      </c>
      <c r="H877" s="6" t="e">
        <v>#N/A</v>
      </c>
      <c r="I877" s="6">
        <v>-0.984870058537615</v>
      </c>
      <c r="J877" s="6">
        <v>0</v>
      </c>
      <c r="K877" s="6">
        <v>77.575387976526358</v>
      </c>
      <c r="L877" t="s">
        <v>17</v>
      </c>
      <c r="M877" t="s">
        <v>18</v>
      </c>
      <c r="N877" s="4" t="s">
        <v>13287</v>
      </c>
      <c r="O877" s="4" t="s">
        <v>13288</v>
      </c>
      <c r="P877" s="4" t="s">
        <v>233</v>
      </c>
    </row>
    <row r="878" spans="1:16" x14ac:dyDescent="0.35">
      <c r="A878" t="s">
        <v>3399</v>
      </c>
      <c r="B878" t="s">
        <v>3400</v>
      </c>
      <c r="C878" t="s">
        <v>16</v>
      </c>
      <c r="D878" s="6">
        <v>47883694.289716005</v>
      </c>
      <c r="E878" s="6">
        <v>22801829.289716005</v>
      </c>
      <c r="F878" s="6">
        <v>1.2799999713897705</v>
      </c>
      <c r="G878" s="6">
        <v>1.3799999952316284</v>
      </c>
      <c r="H878" s="6" t="e">
        <v>#N/A</v>
      </c>
      <c r="I878" s="6">
        <v>-0.76506589399366964</v>
      </c>
      <c r="J878" s="6">
        <v>0</v>
      </c>
      <c r="K878" s="6">
        <v>29.485302535357313</v>
      </c>
      <c r="L878" t="s">
        <v>17</v>
      </c>
      <c r="M878" t="s">
        <v>18</v>
      </c>
      <c r="N878" s="4" t="s">
        <v>3401</v>
      </c>
      <c r="O878" s="4" t="s">
        <v>3402</v>
      </c>
      <c r="P878" s="4" t="s">
        <v>233</v>
      </c>
    </row>
    <row r="879" spans="1:16" x14ac:dyDescent="0.35">
      <c r="A879" t="s">
        <v>3403</v>
      </c>
      <c r="B879" t="s">
        <v>3404</v>
      </c>
      <c r="C879" t="s">
        <v>16</v>
      </c>
      <c r="D879" s="6">
        <v>356724501.75002766</v>
      </c>
      <c r="E879" s="6">
        <v>162218501.75002769</v>
      </c>
      <c r="F879" s="6">
        <v>7.1999998092651367</v>
      </c>
      <c r="G879" s="6">
        <v>7.3000001907348633</v>
      </c>
      <c r="H879" s="6" t="e">
        <v>#N/A</v>
      </c>
      <c r="I879" s="6">
        <v>-0.58425496301234203</v>
      </c>
      <c r="J879" s="6">
        <v>84327000</v>
      </c>
      <c r="K879" s="6">
        <v>15.886287625418063</v>
      </c>
      <c r="L879" t="s">
        <v>17</v>
      </c>
      <c r="M879" t="s">
        <v>18</v>
      </c>
      <c r="N879" s="4" t="s">
        <v>3405</v>
      </c>
      <c r="O879" s="4" t="s">
        <v>3406</v>
      </c>
      <c r="P879" s="4" t="s">
        <v>233</v>
      </c>
    </row>
    <row r="880" spans="1:16" x14ac:dyDescent="0.35">
      <c r="A880" t="s">
        <v>3407</v>
      </c>
      <c r="B880" t="s">
        <v>3408</v>
      </c>
      <c r="C880" t="s">
        <v>16</v>
      </c>
      <c r="D880" s="6">
        <v>3222327628.3899574</v>
      </c>
      <c r="E880" s="6">
        <v>8171627628.3899574</v>
      </c>
      <c r="F880" s="6">
        <v>25.350000381469727</v>
      </c>
      <c r="G880" s="6">
        <v>25.5</v>
      </c>
      <c r="H880" s="6">
        <v>41.997803823820831</v>
      </c>
      <c r="I880" s="6">
        <v>-0.27651865897085837</v>
      </c>
      <c r="J880" s="6">
        <v>2985300000</v>
      </c>
      <c r="K880" s="6">
        <v>-49.999999999999972</v>
      </c>
      <c r="L880" t="s">
        <v>17</v>
      </c>
      <c r="M880" t="s">
        <v>40</v>
      </c>
      <c r="N880" s="4" t="s">
        <v>3409</v>
      </c>
      <c r="O880" s="4" t="s">
        <v>3410</v>
      </c>
      <c r="P880" s="4" t="s">
        <v>233</v>
      </c>
    </row>
    <row r="881" spans="1:16" x14ac:dyDescent="0.35">
      <c r="A881" t="s">
        <v>3411</v>
      </c>
      <c r="B881" t="s">
        <v>3412</v>
      </c>
      <c r="C881" t="s">
        <v>16</v>
      </c>
      <c r="D881" s="6">
        <v>232230663.11488152</v>
      </c>
      <c r="E881" s="6">
        <v>61504663.114881516</v>
      </c>
      <c r="F881" s="6">
        <v>2.1700000762939453</v>
      </c>
      <c r="G881" s="6">
        <v>2.130000114440918</v>
      </c>
      <c r="H881" s="6" t="e">
        <v>#N/A</v>
      </c>
      <c r="I881" s="6">
        <v>0.76149328168885</v>
      </c>
      <c r="J881" s="6">
        <v>27080000</v>
      </c>
      <c r="K881" s="6">
        <v>68.674698795180717</v>
      </c>
      <c r="L881" t="s">
        <v>17</v>
      </c>
      <c r="M881" t="s">
        <v>87</v>
      </c>
      <c r="N881" s="4" t="s">
        <v>3413</v>
      </c>
      <c r="O881" s="4" t="s">
        <v>3414</v>
      </c>
      <c r="P881" s="4" t="s">
        <v>233</v>
      </c>
    </row>
    <row r="882" spans="1:16" x14ac:dyDescent="0.35">
      <c r="A882" t="s">
        <v>3415</v>
      </c>
      <c r="B882" t="s">
        <v>3416</v>
      </c>
      <c r="C882" t="s">
        <v>16</v>
      </c>
      <c r="D882" s="6">
        <v>649327342.16451645</v>
      </c>
      <c r="E882" s="6">
        <v>210659342.16451645</v>
      </c>
      <c r="F882" s="6">
        <v>8.3500003814697266</v>
      </c>
      <c r="G882" s="6">
        <v>8.1899995803833008</v>
      </c>
      <c r="H882" s="6" t="e">
        <v>#N/A</v>
      </c>
      <c r="I882" s="6">
        <v>-0.58968604927241519</v>
      </c>
      <c r="J882" s="6">
        <v>0</v>
      </c>
      <c r="K882" s="6">
        <v>-16.831683168316847</v>
      </c>
      <c r="L882" t="s">
        <v>17</v>
      </c>
      <c r="M882" t="s">
        <v>18</v>
      </c>
      <c r="N882" s="4" t="s">
        <v>3417</v>
      </c>
      <c r="O882" s="4" t="s">
        <v>3418</v>
      </c>
      <c r="P882" s="4" t="s">
        <v>233</v>
      </c>
    </row>
    <row r="883" spans="1:16" x14ac:dyDescent="0.35">
      <c r="A883" t="s">
        <v>3419</v>
      </c>
      <c r="B883" t="s">
        <v>3420</v>
      </c>
      <c r="C883" t="s">
        <v>16</v>
      </c>
      <c r="D883" s="6">
        <v>15906708.407314181</v>
      </c>
      <c r="E883" s="6">
        <v>-3482291.5926858187</v>
      </c>
      <c r="F883" s="6">
        <v>1.3600000143051147</v>
      </c>
      <c r="G883" s="6">
        <v>1.3350000381469727</v>
      </c>
      <c r="H883" s="6" t="e">
        <v>#N/A</v>
      </c>
      <c r="I883" s="6">
        <v>-0.20879481262818933</v>
      </c>
      <c r="J883" s="6">
        <v>2777000</v>
      </c>
      <c r="K883" s="6">
        <v>71.216309184733518</v>
      </c>
      <c r="L883" t="s">
        <v>17</v>
      </c>
      <c r="M883" t="s">
        <v>18</v>
      </c>
      <c r="N883" s="4" t="s">
        <v>3421</v>
      </c>
      <c r="O883" s="4" t="s">
        <v>3422</v>
      </c>
      <c r="P883" s="4" t="s">
        <v>233</v>
      </c>
    </row>
    <row r="884" spans="1:16" x14ac:dyDescent="0.35">
      <c r="A884" t="s">
        <v>3423</v>
      </c>
      <c r="B884" t="s">
        <v>3424</v>
      </c>
      <c r="C884" t="s">
        <v>16</v>
      </c>
      <c r="D884" s="6">
        <v>62176678.843065619</v>
      </c>
      <c r="E884" s="6">
        <v>-44814321.156934366</v>
      </c>
      <c r="F884" s="6">
        <v>0.79449999332427979</v>
      </c>
      <c r="G884" s="6">
        <v>0.76649999618530273</v>
      </c>
      <c r="H884" s="6">
        <v>4.6668585100372972</v>
      </c>
      <c r="I884" s="6">
        <v>-0.47978837145608888</v>
      </c>
      <c r="J884" s="6">
        <v>126617000</v>
      </c>
      <c r="K884" s="6" t="e">
        <v>#N/A</v>
      </c>
      <c r="L884" t="s">
        <v>17</v>
      </c>
      <c r="M884" t="s">
        <v>18</v>
      </c>
      <c r="N884" s="4" t="s">
        <v>3425</v>
      </c>
      <c r="O884" s="4" t="s">
        <v>3426</v>
      </c>
      <c r="P884" s="4" t="s">
        <v>233</v>
      </c>
    </row>
    <row r="885" spans="1:16" x14ac:dyDescent="0.35">
      <c r="A885" t="s">
        <v>3427</v>
      </c>
      <c r="B885" t="s">
        <v>3428</v>
      </c>
      <c r="C885" t="s">
        <v>16</v>
      </c>
      <c r="D885" s="6">
        <v>2312264735.3862572</v>
      </c>
      <c r="E885" s="6">
        <v>1373510735.3862572</v>
      </c>
      <c r="F885" s="6">
        <v>21.370000839233398</v>
      </c>
      <c r="G885" s="6">
        <v>20.850000381469727</v>
      </c>
      <c r="H885" s="6" t="e">
        <v>#N/A</v>
      </c>
      <c r="I885" s="6">
        <v>0.32630270664696681</v>
      </c>
      <c r="J885" s="6">
        <v>577738000</v>
      </c>
      <c r="K885" s="6">
        <v>24.73118279569891</v>
      </c>
      <c r="L885" t="s">
        <v>17</v>
      </c>
      <c r="M885" t="s">
        <v>27</v>
      </c>
      <c r="N885" s="4" t="s">
        <v>233</v>
      </c>
      <c r="O885" s="4" t="s">
        <v>3429</v>
      </c>
      <c r="P885" s="4" t="s">
        <v>13081</v>
      </c>
    </row>
    <row r="886" spans="1:16" x14ac:dyDescent="0.35">
      <c r="A886" t="s">
        <v>3430</v>
      </c>
      <c r="B886" t="s">
        <v>3431</v>
      </c>
      <c r="C886" t="s">
        <v>16</v>
      </c>
      <c r="D886" s="6">
        <v>491423202.692379</v>
      </c>
      <c r="E886" s="6">
        <v>77800202.692379057</v>
      </c>
      <c r="F886" s="6">
        <v>16.149999618530273</v>
      </c>
      <c r="G886" s="6">
        <v>12.550000190734863</v>
      </c>
      <c r="H886" s="6" t="e">
        <v>#N/A</v>
      </c>
      <c r="I886" s="6">
        <v>-0.2992742487644684</v>
      </c>
      <c r="J886" s="6">
        <v>57172000</v>
      </c>
      <c r="K886" s="6">
        <v>-12.177121771217699</v>
      </c>
      <c r="L886" t="s">
        <v>17</v>
      </c>
      <c r="M886" t="s">
        <v>18</v>
      </c>
      <c r="N886" s="4" t="s">
        <v>3432</v>
      </c>
      <c r="O886" s="4" t="s">
        <v>3433</v>
      </c>
      <c r="P886" s="4" t="s">
        <v>233</v>
      </c>
    </row>
    <row r="887" spans="1:16" x14ac:dyDescent="0.35">
      <c r="A887" t="s">
        <v>3434</v>
      </c>
      <c r="B887" t="s">
        <v>3435</v>
      </c>
      <c r="C887" t="s">
        <v>16</v>
      </c>
      <c r="D887" s="6">
        <v>32627787.754402939</v>
      </c>
      <c r="E887" s="6">
        <v>24423787.754402939</v>
      </c>
      <c r="F887" s="6">
        <v>0.36959999799728394</v>
      </c>
      <c r="G887" s="6">
        <v>0.36480000615119934</v>
      </c>
      <c r="H887" s="6" t="e">
        <v>#N/A</v>
      </c>
      <c r="I887" s="6">
        <v>-0.82726399850454602</v>
      </c>
      <c r="J887" s="6">
        <v>3023000</v>
      </c>
      <c r="K887" s="6">
        <v>49.695899733139846</v>
      </c>
      <c r="L887" t="s">
        <v>17</v>
      </c>
      <c r="M887" t="s">
        <v>27</v>
      </c>
      <c r="N887" s="4" t="s">
        <v>3436</v>
      </c>
      <c r="O887" s="4" t="s">
        <v>3437</v>
      </c>
      <c r="P887" s="4" t="s">
        <v>233</v>
      </c>
    </row>
    <row r="888" spans="1:16" x14ac:dyDescent="0.35">
      <c r="A888" t="s">
        <v>3438</v>
      </c>
      <c r="B888" t="s">
        <v>3439</v>
      </c>
      <c r="C888" t="s">
        <v>16</v>
      </c>
      <c r="D888" s="6">
        <v>1663990667.4273303</v>
      </c>
      <c r="E888" s="6">
        <v>1388086667.4273303</v>
      </c>
      <c r="F888" s="6">
        <v>10.909999847412109</v>
      </c>
      <c r="G888" s="6">
        <v>10.189999580383301</v>
      </c>
      <c r="H888" s="6" t="e">
        <v>#N/A</v>
      </c>
      <c r="I888" s="6">
        <v>1.7824692254478141</v>
      </c>
      <c r="J888" s="6">
        <v>53610000</v>
      </c>
      <c r="K888" s="6">
        <v>-27.586206896551712</v>
      </c>
      <c r="L888" t="s">
        <v>17</v>
      </c>
      <c r="M888" t="s">
        <v>87</v>
      </c>
      <c r="N888" s="4" t="s">
        <v>233</v>
      </c>
      <c r="O888" s="4" t="s">
        <v>3440</v>
      </c>
      <c r="P888" s="4" t="s">
        <v>13089</v>
      </c>
    </row>
    <row r="889" spans="1:16" x14ac:dyDescent="0.35">
      <c r="A889" t="s">
        <v>3441</v>
      </c>
      <c r="B889" t="s">
        <v>3442</v>
      </c>
      <c r="C889" t="s">
        <v>16</v>
      </c>
      <c r="D889" s="6">
        <v>241445094.28760147</v>
      </c>
      <c r="E889" s="6">
        <v>-58567905.712398589</v>
      </c>
      <c r="F889" s="6">
        <v>4.4200000762939453</v>
      </c>
      <c r="G889" s="6">
        <v>4.2399997711181641</v>
      </c>
      <c r="H889" s="6">
        <v>6.1953527514569524</v>
      </c>
      <c r="I889" s="6">
        <v>-0.4243572331529033</v>
      </c>
      <c r="J889" s="6">
        <v>163784000</v>
      </c>
      <c r="K889" s="6">
        <v>-44.776119402985067</v>
      </c>
      <c r="L889" t="s">
        <v>17</v>
      </c>
      <c r="M889" t="s">
        <v>18</v>
      </c>
      <c r="N889" s="4" t="s">
        <v>3443</v>
      </c>
      <c r="O889" s="4" t="s">
        <v>3444</v>
      </c>
      <c r="P889" s="4" t="s">
        <v>233</v>
      </c>
    </row>
    <row r="890" spans="1:16" x14ac:dyDescent="0.35">
      <c r="A890" t="s">
        <v>3445</v>
      </c>
      <c r="B890" t="s">
        <v>3446</v>
      </c>
      <c r="C890" t="s">
        <v>16</v>
      </c>
      <c r="D890" s="6">
        <v>6375225710.6954346</v>
      </c>
      <c r="E890" s="6">
        <v>6235953710.6954346</v>
      </c>
      <c r="F890" s="6">
        <v>131.55000305175781</v>
      </c>
      <c r="G890" s="6">
        <v>131</v>
      </c>
      <c r="H890" s="6" t="e">
        <v>#N/A</v>
      </c>
      <c r="I890" s="6">
        <v>0.34619932188989377</v>
      </c>
      <c r="J890" s="6">
        <v>338458000</v>
      </c>
      <c r="K890" s="6">
        <v>-44.150110375275915</v>
      </c>
      <c r="L890" t="s">
        <v>17</v>
      </c>
      <c r="M890" t="s">
        <v>87</v>
      </c>
      <c r="N890" s="4" t="s">
        <v>3447</v>
      </c>
      <c r="O890" s="4" t="s">
        <v>3448</v>
      </c>
      <c r="P890" s="4" t="s">
        <v>233</v>
      </c>
    </row>
    <row r="891" spans="1:16" x14ac:dyDescent="0.35">
      <c r="A891" t="s">
        <v>3449</v>
      </c>
      <c r="B891" t="s">
        <v>3450</v>
      </c>
      <c r="C891" t="s">
        <v>16</v>
      </c>
      <c r="D891" s="6">
        <v>3546444943.1413021</v>
      </c>
      <c r="E891" s="6">
        <v>3620028943.1413021</v>
      </c>
      <c r="F891" s="6">
        <v>28.510000228881836</v>
      </c>
      <c r="G891" s="6">
        <v>27.819999694824219</v>
      </c>
      <c r="H891" s="6" t="e">
        <v>#N/A</v>
      </c>
      <c r="I891" s="6">
        <v>-0.57819181436315037</v>
      </c>
      <c r="J891" s="6">
        <v>715217000</v>
      </c>
      <c r="K891" s="6">
        <v>61.333333333333336</v>
      </c>
      <c r="L891" t="s">
        <v>17</v>
      </c>
      <c r="M891" t="s">
        <v>18</v>
      </c>
      <c r="N891" s="4" t="s">
        <v>3451</v>
      </c>
      <c r="O891" s="4" t="s">
        <v>3452</v>
      </c>
      <c r="P891" s="4" t="s">
        <v>233</v>
      </c>
    </row>
    <row r="892" spans="1:16" x14ac:dyDescent="0.35">
      <c r="A892" t="s">
        <v>13385</v>
      </c>
      <c r="B892" t="s">
        <v>3453</v>
      </c>
      <c r="C892" t="s">
        <v>16</v>
      </c>
      <c r="D892" s="6">
        <v>24865631897.660515</v>
      </c>
      <c r="E892" s="6">
        <v>23265175897.660515</v>
      </c>
      <c r="F892" s="6">
        <v>223.30999755859375</v>
      </c>
      <c r="G892" s="6">
        <v>222.94999694824219</v>
      </c>
      <c r="H892" s="6" t="e">
        <v>#N/A</v>
      </c>
      <c r="I892" s="6">
        <v>0.52182058060905567</v>
      </c>
      <c r="J892" s="6">
        <v>3310731493.1522036</v>
      </c>
      <c r="K892" s="6" t="e">
        <v>#N/A</v>
      </c>
      <c r="L892" t="s">
        <v>17</v>
      </c>
      <c r="M892" t="s">
        <v>18</v>
      </c>
      <c r="N892" s="4" t="s">
        <v>13386</v>
      </c>
      <c r="O892" s="4" t="s">
        <v>13387</v>
      </c>
      <c r="P892" s="4" t="s">
        <v>233</v>
      </c>
    </row>
    <row r="893" spans="1:16" x14ac:dyDescent="0.35">
      <c r="A893" t="s">
        <v>3454</v>
      </c>
      <c r="B893" t="s">
        <v>3455</v>
      </c>
      <c r="C893" t="s">
        <v>16</v>
      </c>
      <c r="D893" s="6">
        <v>2756347682.1459846</v>
      </c>
      <c r="E893" s="6">
        <v>1984505682.1459846</v>
      </c>
      <c r="F893" s="6">
        <v>40.259998321533203</v>
      </c>
      <c r="G893" s="6">
        <v>39.669998168945313</v>
      </c>
      <c r="H893" s="6" t="e">
        <v>#N/A</v>
      </c>
      <c r="I893" s="6">
        <v>-4.222746072701633E-2</v>
      </c>
      <c r="J893" s="6">
        <v>35932000</v>
      </c>
      <c r="K893" s="6">
        <v>-5.0013317745242283</v>
      </c>
      <c r="L893" t="s">
        <v>17</v>
      </c>
      <c r="M893" t="s">
        <v>18</v>
      </c>
      <c r="N893" s="4" t="s">
        <v>233</v>
      </c>
      <c r="O893" s="4" t="s">
        <v>3456</v>
      </c>
      <c r="P893" s="4" t="s">
        <v>13129</v>
      </c>
    </row>
    <row r="894" spans="1:16" x14ac:dyDescent="0.35">
      <c r="A894" t="s">
        <v>3457</v>
      </c>
      <c r="B894" t="s">
        <v>3458</v>
      </c>
      <c r="C894" t="s">
        <v>16</v>
      </c>
      <c r="D894" s="6" t="e">
        <v>#N/A</v>
      </c>
      <c r="E894" s="6" t="e">
        <v>#N/A</v>
      </c>
      <c r="F894" s="6" t="e">
        <v>#N/A</v>
      </c>
      <c r="G894" s="6" t="e">
        <v>#N/A</v>
      </c>
      <c r="H894" s="6" t="e">
        <v>#N/A</v>
      </c>
      <c r="I894" s="6">
        <v>0</v>
      </c>
      <c r="J894" s="6">
        <v>360000</v>
      </c>
      <c r="K894" s="6">
        <v>-0.6075066243026338</v>
      </c>
      <c r="L894" t="s">
        <v>17</v>
      </c>
      <c r="M894" t="s">
        <v>40</v>
      </c>
      <c r="N894" s="4" t="s">
        <v>3459</v>
      </c>
      <c r="O894" s="4" t="s">
        <v>3460</v>
      </c>
      <c r="P894" s="4" t="s">
        <v>233</v>
      </c>
    </row>
    <row r="895" spans="1:16" x14ac:dyDescent="0.35">
      <c r="A895" t="s">
        <v>3461</v>
      </c>
      <c r="B895" t="s">
        <v>3462</v>
      </c>
      <c r="C895" t="s">
        <v>16</v>
      </c>
      <c r="D895" s="6">
        <v>1445.9690000000001</v>
      </c>
      <c r="E895" s="6">
        <v>-1768012.0309999993</v>
      </c>
      <c r="F895" s="6">
        <v>9.9999999747524271E-7</v>
      </c>
      <c r="G895" s="6">
        <v>9.9999999747524271E-7</v>
      </c>
      <c r="H895" s="6" t="e">
        <v>#N/A</v>
      </c>
      <c r="I895" s="6">
        <v>4.4408920985006262E-16</v>
      </c>
      <c r="J895" s="6">
        <v>0</v>
      </c>
      <c r="K895" s="6">
        <v>-445.42429025093395</v>
      </c>
      <c r="L895" t="s">
        <v>17</v>
      </c>
      <c r="M895" t="s">
        <v>87</v>
      </c>
      <c r="N895" s="4" t="s">
        <v>3463</v>
      </c>
      <c r="O895" s="4" t="s">
        <v>3464</v>
      </c>
      <c r="P895" s="4" t="s">
        <v>233</v>
      </c>
    </row>
    <row r="896" spans="1:16" x14ac:dyDescent="0.35">
      <c r="A896" t="s">
        <v>3465</v>
      </c>
      <c r="B896" t="s">
        <v>3466</v>
      </c>
      <c r="C896" t="s">
        <v>16</v>
      </c>
      <c r="D896" s="6">
        <v>71784210.097255945</v>
      </c>
      <c r="E896" s="6">
        <v>72412210.097255945</v>
      </c>
      <c r="F896" s="6">
        <v>2.5099999904632568</v>
      </c>
      <c r="G896" s="6">
        <v>2.4800000190734863</v>
      </c>
      <c r="H896" s="6" t="e">
        <v>#N/A</v>
      </c>
      <c r="I896" s="6">
        <v>-0.12206455393442484</v>
      </c>
      <c r="J896" s="6">
        <v>709000</v>
      </c>
      <c r="K896" s="6" t="e">
        <v>#N/A</v>
      </c>
      <c r="L896" t="s">
        <v>17</v>
      </c>
      <c r="M896" t="s">
        <v>18</v>
      </c>
      <c r="N896" s="4" t="s">
        <v>3467</v>
      </c>
      <c r="O896" s="4" t="s">
        <v>3468</v>
      </c>
      <c r="P896" s="4" t="s">
        <v>233</v>
      </c>
    </row>
    <row r="897" spans="1:16" x14ac:dyDescent="0.35">
      <c r="A897" t="s">
        <v>3469</v>
      </c>
      <c r="B897" t="s">
        <v>3470</v>
      </c>
      <c r="C897" t="s">
        <v>16</v>
      </c>
      <c r="D897" s="6">
        <v>696532765.69132948</v>
      </c>
      <c r="E897" s="6">
        <v>719843765.69132948</v>
      </c>
      <c r="F897" s="6">
        <v>1.1699999570846558</v>
      </c>
      <c r="G897" s="6">
        <v>1.1200000047683716</v>
      </c>
      <c r="H897" s="6" t="e">
        <v>#N/A</v>
      </c>
      <c r="I897" s="6">
        <v>0.9958755787927045</v>
      </c>
      <c r="J897" s="6">
        <v>22205000</v>
      </c>
      <c r="K897" s="6">
        <v>-140.45024052916415</v>
      </c>
      <c r="L897" t="s">
        <v>17</v>
      </c>
      <c r="M897" t="s">
        <v>27</v>
      </c>
      <c r="N897" s="4" t="s">
        <v>3471</v>
      </c>
      <c r="O897" s="4" t="s">
        <v>3472</v>
      </c>
      <c r="P897" s="4" t="s">
        <v>233</v>
      </c>
    </row>
    <row r="898" spans="1:16" x14ac:dyDescent="0.35">
      <c r="A898" t="s">
        <v>3473</v>
      </c>
      <c r="B898" t="s">
        <v>3474</v>
      </c>
      <c r="C898" t="s">
        <v>16</v>
      </c>
      <c r="D898" s="6">
        <v>1318917587.7334497</v>
      </c>
      <c r="E898" s="6">
        <v>1283696587.7334497</v>
      </c>
      <c r="F898" s="6">
        <v>21.440000534057617</v>
      </c>
      <c r="G898" s="6">
        <v>21.209999084472656</v>
      </c>
      <c r="H898" s="6" t="e">
        <v>#N/A</v>
      </c>
      <c r="I898" s="6">
        <v>1.59196150010309</v>
      </c>
      <c r="J898" s="6">
        <v>0</v>
      </c>
      <c r="K898" s="6">
        <v>11.201226850055161</v>
      </c>
      <c r="L898" t="s">
        <v>17</v>
      </c>
      <c r="M898" t="s">
        <v>27</v>
      </c>
      <c r="N898" s="4" t="s">
        <v>3475</v>
      </c>
      <c r="O898" s="4" t="s">
        <v>3476</v>
      </c>
      <c r="P898" s="4" t="s">
        <v>233</v>
      </c>
    </row>
    <row r="899" spans="1:16" x14ac:dyDescent="0.35">
      <c r="A899" t="s">
        <v>3477</v>
      </c>
      <c r="B899" t="s">
        <v>3478</v>
      </c>
      <c r="C899" t="s">
        <v>16</v>
      </c>
      <c r="D899" s="6">
        <v>6008969.5869510174</v>
      </c>
      <c r="E899" s="6">
        <v>1697969.5869510174</v>
      </c>
      <c r="F899" s="6">
        <v>0.49000000953674316</v>
      </c>
      <c r="G899" s="6">
        <v>0.46500000357627869</v>
      </c>
      <c r="H899" s="6" t="e">
        <v>#N/A</v>
      </c>
      <c r="I899" s="6">
        <v>-0.81211844081292139</v>
      </c>
      <c r="J899" s="6">
        <v>0</v>
      </c>
      <c r="K899" s="6">
        <v>93.554722460140425</v>
      </c>
      <c r="L899" t="s">
        <v>17</v>
      </c>
      <c r="M899" t="s">
        <v>18</v>
      </c>
      <c r="N899" s="4" t="s">
        <v>3479</v>
      </c>
      <c r="O899" s="4" t="s">
        <v>3480</v>
      </c>
      <c r="P899" s="4" t="s">
        <v>233</v>
      </c>
    </row>
    <row r="900" spans="1:16" x14ac:dyDescent="0.35">
      <c r="A900" t="s">
        <v>3481</v>
      </c>
      <c r="B900" t="s">
        <v>3482</v>
      </c>
      <c r="C900" t="s">
        <v>16</v>
      </c>
      <c r="D900" s="6">
        <v>98232242.533440098</v>
      </c>
      <c r="E900" s="6">
        <v>-128367757.46655987</v>
      </c>
      <c r="F900" s="6">
        <v>1.190000057220459</v>
      </c>
      <c r="G900" s="6">
        <v>1.1699999570846558</v>
      </c>
      <c r="H900" s="6" t="e">
        <v>#N/A</v>
      </c>
      <c r="I900" s="6">
        <v>-0.85285801506378056</v>
      </c>
      <c r="J900" s="6">
        <v>61758000</v>
      </c>
      <c r="K900" s="6">
        <v>5.1851851851851896</v>
      </c>
      <c r="L900" t="s">
        <v>17</v>
      </c>
      <c r="M900" t="s">
        <v>18</v>
      </c>
      <c r="N900" s="4" t="s">
        <v>3483</v>
      </c>
      <c r="O900" s="4" t="s">
        <v>3484</v>
      </c>
      <c r="P900" s="4" t="s">
        <v>233</v>
      </c>
    </row>
    <row r="901" spans="1:16" x14ac:dyDescent="0.35">
      <c r="A901" t="s">
        <v>3485</v>
      </c>
      <c r="B901" t="s">
        <v>3486</v>
      </c>
      <c r="C901" t="s">
        <v>16</v>
      </c>
      <c r="D901" s="6">
        <v>342171791.57015508</v>
      </c>
      <c r="E901" s="6">
        <v>300874791.57015508</v>
      </c>
      <c r="F901" s="6">
        <v>5.0399999618530273</v>
      </c>
      <c r="G901" s="6">
        <v>4.9499998092651367</v>
      </c>
      <c r="H901" s="6" t="e">
        <v>#N/A</v>
      </c>
      <c r="I901" s="6">
        <v>1.2154309321746322</v>
      </c>
      <c r="J901" s="6">
        <v>0</v>
      </c>
      <c r="K901" s="6">
        <v>-45.312499999999986</v>
      </c>
      <c r="L901" t="s">
        <v>17</v>
      </c>
      <c r="M901" t="s">
        <v>18</v>
      </c>
      <c r="N901" s="4" t="s">
        <v>3487</v>
      </c>
      <c r="O901" s="4" t="s">
        <v>3488</v>
      </c>
      <c r="P901" s="4" t="s">
        <v>233</v>
      </c>
    </row>
    <row r="902" spans="1:16" x14ac:dyDescent="0.35">
      <c r="A902" t="s">
        <v>3489</v>
      </c>
      <c r="B902" t="s">
        <v>3490</v>
      </c>
      <c r="C902" t="s">
        <v>16</v>
      </c>
      <c r="D902" s="6">
        <v>78118806.95009993</v>
      </c>
      <c r="E902" s="6">
        <v>55312806.95009993</v>
      </c>
      <c r="F902" s="6">
        <v>1.0299999713897705</v>
      </c>
      <c r="G902" s="6">
        <v>1.059999942779541</v>
      </c>
      <c r="H902" s="6" t="e">
        <v>#N/A</v>
      </c>
      <c r="I902" s="6">
        <v>-0.25302643061357832</v>
      </c>
      <c r="J902" s="6">
        <v>7703000</v>
      </c>
      <c r="K902" s="6">
        <v>26.229508196721309</v>
      </c>
      <c r="L902" t="s">
        <v>17</v>
      </c>
      <c r="M902" t="s">
        <v>87</v>
      </c>
      <c r="N902" s="4" t="s">
        <v>3491</v>
      </c>
      <c r="O902" s="4" t="s">
        <v>3492</v>
      </c>
      <c r="P902" s="4" t="s">
        <v>233</v>
      </c>
    </row>
    <row r="903" spans="1:16" x14ac:dyDescent="0.35">
      <c r="A903" t="s">
        <v>3493</v>
      </c>
      <c r="B903" t="s">
        <v>3494</v>
      </c>
      <c r="C903" t="s">
        <v>16</v>
      </c>
      <c r="D903" s="6">
        <v>55709891.765339613</v>
      </c>
      <c r="E903" s="6">
        <v>70520182.765339613</v>
      </c>
      <c r="F903" s="6">
        <v>1.7400000095367432</v>
      </c>
      <c r="G903" s="6">
        <v>1.6499999761581421</v>
      </c>
      <c r="H903" s="6" t="e">
        <v>#N/A</v>
      </c>
      <c r="I903" s="6">
        <v>-0.80017225422807015</v>
      </c>
      <c r="J903" s="6">
        <v>0</v>
      </c>
      <c r="K903" s="6">
        <v>15.416666666666673</v>
      </c>
      <c r="L903" t="s">
        <v>17</v>
      </c>
      <c r="M903" t="s">
        <v>18</v>
      </c>
      <c r="N903" s="4" t="s">
        <v>3495</v>
      </c>
      <c r="O903" s="4" t="s">
        <v>3496</v>
      </c>
      <c r="P903" s="4" t="s">
        <v>233</v>
      </c>
    </row>
    <row r="904" spans="1:16" x14ac:dyDescent="0.35">
      <c r="A904" t="s">
        <v>3497</v>
      </c>
      <c r="B904" t="s">
        <v>3498</v>
      </c>
      <c r="C904" t="s">
        <v>16</v>
      </c>
      <c r="D904" s="6">
        <v>1745475.8455036581</v>
      </c>
      <c r="E904" s="6">
        <v>-6763524.1544963401</v>
      </c>
      <c r="F904" s="6">
        <v>0.41999998688697815</v>
      </c>
      <c r="G904" s="6">
        <v>0.51010000705718994</v>
      </c>
      <c r="H904" s="6" t="e">
        <v>#N/A</v>
      </c>
      <c r="I904" s="6">
        <v>-0.94540792960591258</v>
      </c>
      <c r="J904" s="6">
        <v>0</v>
      </c>
      <c r="K904" s="6">
        <v>13.453292251209962</v>
      </c>
      <c r="L904" t="s">
        <v>17</v>
      </c>
      <c r="M904" t="s">
        <v>18</v>
      </c>
      <c r="N904" s="4" t="s">
        <v>3499</v>
      </c>
      <c r="O904" s="4" t="s">
        <v>3500</v>
      </c>
      <c r="P904" s="4" t="s">
        <v>233</v>
      </c>
    </row>
    <row r="905" spans="1:16" x14ac:dyDescent="0.35">
      <c r="A905" t="s">
        <v>3501</v>
      </c>
      <c r="B905" t="s">
        <v>3502</v>
      </c>
      <c r="C905" t="s">
        <v>16</v>
      </c>
      <c r="D905" s="6">
        <v>92603789.713077068</v>
      </c>
      <c r="E905" s="6">
        <v>71149789.713077068</v>
      </c>
      <c r="F905" s="6">
        <v>5.6500000953674316</v>
      </c>
      <c r="G905" s="6">
        <v>5.9000000953674316</v>
      </c>
      <c r="H905" s="6">
        <v>13.780488037481541</v>
      </c>
      <c r="I905" s="6">
        <v>0.34414850846870926</v>
      </c>
      <c r="J905" s="6">
        <v>41807000</v>
      </c>
      <c r="K905" s="6">
        <v>1266.6666666666667</v>
      </c>
      <c r="L905" t="s">
        <v>17</v>
      </c>
      <c r="M905" t="s">
        <v>27</v>
      </c>
      <c r="N905" s="4" t="s">
        <v>3503</v>
      </c>
      <c r="O905" s="4" t="s">
        <v>3504</v>
      </c>
      <c r="P905" s="4" t="s">
        <v>233</v>
      </c>
    </row>
    <row r="906" spans="1:16" x14ac:dyDescent="0.35">
      <c r="A906" t="s">
        <v>3505</v>
      </c>
      <c r="B906" t="s">
        <v>3506</v>
      </c>
      <c r="C906" t="s">
        <v>16</v>
      </c>
      <c r="D906" s="6" t="e">
        <v>#N/A</v>
      </c>
      <c r="E906" s="6" t="e">
        <v>#N/A</v>
      </c>
      <c r="F906" s="6" t="e">
        <v>#N/A</v>
      </c>
      <c r="G906" s="6" t="e">
        <v>#N/A</v>
      </c>
      <c r="H906" s="6" t="e">
        <v>#N/A</v>
      </c>
      <c r="I906" s="6">
        <v>0</v>
      </c>
      <c r="J906" s="6">
        <v>214564</v>
      </c>
      <c r="K906" s="6">
        <v>48.638881303707294</v>
      </c>
      <c r="L906" t="s">
        <v>17</v>
      </c>
      <c r="M906" t="s">
        <v>27</v>
      </c>
      <c r="N906" s="4" t="s">
        <v>3507</v>
      </c>
      <c r="O906" s="4" t="s">
        <v>3508</v>
      </c>
      <c r="P906" s="4" t="s">
        <v>233</v>
      </c>
    </row>
    <row r="907" spans="1:16" x14ac:dyDescent="0.35">
      <c r="A907" t="s">
        <v>3509</v>
      </c>
      <c r="B907" t="s">
        <v>3510</v>
      </c>
      <c r="C907" t="s">
        <v>16</v>
      </c>
      <c r="D907" s="6" t="e">
        <v>#N/A</v>
      </c>
      <c r="E907" s="6" t="e">
        <v>#N/A</v>
      </c>
      <c r="F907" s="6" t="e">
        <v>#N/A</v>
      </c>
      <c r="G907" s="6" t="e">
        <v>#N/A</v>
      </c>
      <c r="H907" s="6" t="e">
        <v>#N/A</v>
      </c>
      <c r="I907" s="6">
        <v>0</v>
      </c>
      <c r="J907" s="6">
        <v>0</v>
      </c>
      <c r="K907" s="6">
        <v>30.359049772664282</v>
      </c>
      <c r="L907" t="s">
        <v>17</v>
      </c>
      <c r="M907" t="s">
        <v>18</v>
      </c>
      <c r="N907" s="4" t="s">
        <v>3511</v>
      </c>
      <c r="O907" s="4" t="s">
        <v>3512</v>
      </c>
      <c r="P907" s="4" t="s">
        <v>233</v>
      </c>
    </row>
    <row r="908" spans="1:16" x14ac:dyDescent="0.35">
      <c r="A908" t="s">
        <v>13130</v>
      </c>
      <c r="B908" t="s">
        <v>13078</v>
      </c>
      <c r="C908" t="s">
        <v>16</v>
      </c>
      <c r="D908" s="6">
        <v>14905697.464337347</v>
      </c>
      <c r="E908" s="6">
        <v>-6609302.5356626529</v>
      </c>
      <c r="F908" s="6">
        <v>1.7300000190734863</v>
      </c>
      <c r="G908" s="6">
        <v>1.7782000303268433</v>
      </c>
      <c r="H908" s="6" t="e">
        <v>#N/A</v>
      </c>
      <c r="I908" s="6">
        <v>-0.65299521900990354</v>
      </c>
      <c r="J908" s="6">
        <v>0</v>
      </c>
      <c r="K908" s="6">
        <v>70.004052810090911</v>
      </c>
      <c r="L908" t="s">
        <v>17</v>
      </c>
      <c r="M908" t="s">
        <v>18</v>
      </c>
      <c r="N908" s="4" t="s">
        <v>13131</v>
      </c>
      <c r="O908" s="4" t="s">
        <v>13132</v>
      </c>
      <c r="P908" s="4" t="s">
        <v>233</v>
      </c>
    </row>
    <row r="909" spans="1:16" x14ac:dyDescent="0.35">
      <c r="A909" t="s">
        <v>3513</v>
      </c>
      <c r="B909" t="s">
        <v>3514</v>
      </c>
      <c r="C909" t="s">
        <v>16</v>
      </c>
      <c r="D909" s="6">
        <v>968579943.03128803</v>
      </c>
      <c r="E909" s="6">
        <v>125521943.03128803</v>
      </c>
      <c r="F909" s="6">
        <v>9.5100002288818359</v>
      </c>
      <c r="G909" s="6">
        <v>9.0100002288818359</v>
      </c>
      <c r="H909" s="6" t="e">
        <v>#N/A</v>
      </c>
      <c r="I909" s="6">
        <v>-0.67782649706783993</v>
      </c>
      <c r="J909" s="6">
        <v>43086000</v>
      </c>
      <c r="K909" s="6">
        <v>-1.6822429906542196</v>
      </c>
      <c r="L909" t="s">
        <v>17</v>
      </c>
      <c r="M909" t="s">
        <v>18</v>
      </c>
      <c r="N909" s="4" t="s">
        <v>3515</v>
      </c>
      <c r="O909" s="4" t="s">
        <v>3516</v>
      </c>
      <c r="P909" s="4" t="s">
        <v>233</v>
      </c>
    </row>
    <row r="910" spans="1:16" x14ac:dyDescent="0.35">
      <c r="A910" t="s">
        <v>3517</v>
      </c>
      <c r="B910" t="s">
        <v>3518</v>
      </c>
      <c r="C910" t="s">
        <v>16</v>
      </c>
      <c r="D910" s="6">
        <v>27471.347304818919</v>
      </c>
      <c r="E910" s="6">
        <v>208450471.34730482</v>
      </c>
      <c r="F910" s="6">
        <v>1.0000000474974513E-3</v>
      </c>
      <c r="G910" s="6">
        <v>1.0000000474974513E-3</v>
      </c>
      <c r="H910" s="6" t="e">
        <v>#N/A</v>
      </c>
      <c r="I910" s="6">
        <v>-0.99709675971261646</v>
      </c>
      <c r="J910" s="6">
        <v>64272000</v>
      </c>
      <c r="K910" s="6">
        <v>-7.0588235294652986</v>
      </c>
      <c r="L910" t="s">
        <v>17</v>
      </c>
      <c r="M910" t="s">
        <v>32</v>
      </c>
      <c r="N910" s="4" t="s">
        <v>3519</v>
      </c>
      <c r="O910" s="4" t="s">
        <v>3520</v>
      </c>
      <c r="P910" s="4" t="s">
        <v>233</v>
      </c>
    </row>
    <row r="911" spans="1:16" x14ac:dyDescent="0.35">
      <c r="A911" t="s">
        <v>3521</v>
      </c>
      <c r="B911" t="s">
        <v>3522</v>
      </c>
      <c r="C911" t="s">
        <v>16</v>
      </c>
      <c r="D911" s="6">
        <v>553727982.71179199</v>
      </c>
      <c r="E911" s="6">
        <v>953427982.71179199</v>
      </c>
      <c r="F911" s="6">
        <v>13.439999580383301</v>
      </c>
      <c r="G911" s="6">
        <v>13.239999771118164</v>
      </c>
      <c r="H911" s="6">
        <v>937.23846446187554</v>
      </c>
      <c r="I911" s="6">
        <v>-0.24351633510093607</v>
      </c>
      <c r="J911" s="6">
        <v>820800000</v>
      </c>
      <c r="K911" s="6" t="e">
        <v>#N/A</v>
      </c>
      <c r="L911" t="s">
        <v>17</v>
      </c>
      <c r="M911" t="s">
        <v>27</v>
      </c>
      <c r="N911" s="4" t="s">
        <v>3523</v>
      </c>
      <c r="O911" s="4" t="s">
        <v>3524</v>
      </c>
      <c r="P911" s="4" t="s">
        <v>233</v>
      </c>
    </row>
    <row r="912" spans="1:16" x14ac:dyDescent="0.35">
      <c r="A912" t="s">
        <v>3525</v>
      </c>
      <c r="B912" t="s">
        <v>3526</v>
      </c>
      <c r="C912" t="s">
        <v>16</v>
      </c>
      <c r="D912" s="6">
        <v>486722791.48268509</v>
      </c>
      <c r="E912" s="6">
        <v>282175791.48268509</v>
      </c>
      <c r="F912" s="6">
        <v>18.920000076293945</v>
      </c>
      <c r="G912" s="6">
        <v>18.229999542236328</v>
      </c>
      <c r="H912" s="6" t="e">
        <v>#N/A</v>
      </c>
      <c r="I912" s="6">
        <v>-9.8799812416411448E-2</v>
      </c>
      <c r="J912" s="6">
        <v>47938000</v>
      </c>
      <c r="K912" s="6">
        <v>-551.44473913043475</v>
      </c>
      <c r="L912" t="s">
        <v>17</v>
      </c>
      <c r="M912" t="s">
        <v>18</v>
      </c>
      <c r="N912" s="4" t="s">
        <v>3527</v>
      </c>
      <c r="O912" s="4" t="s">
        <v>3528</v>
      </c>
      <c r="P912" s="4" t="s">
        <v>233</v>
      </c>
    </row>
    <row r="913" spans="1:16" x14ac:dyDescent="0.35">
      <c r="A913" t="s">
        <v>3529</v>
      </c>
      <c r="B913" t="s">
        <v>3530</v>
      </c>
      <c r="C913" t="s">
        <v>16</v>
      </c>
      <c r="D913" s="6">
        <v>240058753.74819374</v>
      </c>
      <c r="E913" s="6">
        <v>189527568.26475722</v>
      </c>
      <c r="F913" s="6">
        <v>2.4200000762939453</v>
      </c>
      <c r="G913" s="6">
        <v>2.5499999523162842</v>
      </c>
      <c r="H913" s="6" t="e">
        <v>#N/A</v>
      </c>
      <c r="I913" s="6">
        <v>-0.16510456128182971</v>
      </c>
      <c r="J913" s="6">
        <v>40973000</v>
      </c>
      <c r="K913" s="6">
        <v>50.572277945382595</v>
      </c>
      <c r="L913" t="s">
        <v>17</v>
      </c>
      <c r="M913" t="s">
        <v>18</v>
      </c>
      <c r="N913" s="4" t="s">
        <v>233</v>
      </c>
      <c r="O913" s="4" t="s">
        <v>3531</v>
      </c>
      <c r="P913" s="4" t="s">
        <v>13133</v>
      </c>
    </row>
    <row r="914" spans="1:16" x14ac:dyDescent="0.35">
      <c r="A914" t="s">
        <v>3532</v>
      </c>
      <c r="B914" t="s">
        <v>3533</v>
      </c>
      <c r="C914" t="s">
        <v>16</v>
      </c>
      <c r="D914" s="6">
        <v>4939855.388717263</v>
      </c>
      <c r="E914" s="6">
        <v>6890855.3887172705</v>
      </c>
      <c r="F914" s="6">
        <v>0.18410000205039978</v>
      </c>
      <c r="G914" s="6">
        <v>0.17100000381469727</v>
      </c>
      <c r="H914" s="6" t="e">
        <v>#N/A</v>
      </c>
      <c r="I914" s="6">
        <v>-0.97355030894382377</v>
      </c>
      <c r="J914" s="6">
        <v>387000</v>
      </c>
      <c r="K914" s="6">
        <v>19.199999999999992</v>
      </c>
      <c r="L914" t="s">
        <v>17</v>
      </c>
      <c r="M914" t="s">
        <v>18</v>
      </c>
      <c r="N914" s="4" t="s">
        <v>3534</v>
      </c>
      <c r="O914" s="4" t="s">
        <v>3535</v>
      </c>
      <c r="P914" s="4" t="s">
        <v>233</v>
      </c>
    </row>
    <row r="915" spans="1:16" x14ac:dyDescent="0.35">
      <c r="A915" t="s">
        <v>3536</v>
      </c>
      <c r="B915" t="s">
        <v>3537</v>
      </c>
      <c r="C915" t="s">
        <v>16</v>
      </c>
      <c r="D915" s="6">
        <v>502181.51159403956</v>
      </c>
      <c r="E915" s="6">
        <v>4566456.5115940394</v>
      </c>
      <c r="F915" s="6">
        <v>6.99999975040555E-4</v>
      </c>
      <c r="G915" s="6">
        <v>5.0000002374872565E-4</v>
      </c>
      <c r="H915" s="6" t="e">
        <v>#N/A</v>
      </c>
      <c r="I915" s="6">
        <v>-0.46062697565328181</v>
      </c>
      <c r="J915" s="6">
        <v>34851</v>
      </c>
      <c r="K915" s="6">
        <v>63.639999999999993</v>
      </c>
      <c r="L915" t="s">
        <v>17</v>
      </c>
      <c r="M915" t="s">
        <v>87</v>
      </c>
      <c r="N915" s="4" t="s">
        <v>3538</v>
      </c>
      <c r="O915" s="4" t="s">
        <v>3539</v>
      </c>
      <c r="P915" s="4" t="s">
        <v>233</v>
      </c>
    </row>
    <row r="916" spans="1:16" x14ac:dyDescent="0.35">
      <c r="A916" t="s">
        <v>3540</v>
      </c>
      <c r="B916" t="s">
        <v>3541</v>
      </c>
      <c r="C916" t="s">
        <v>16</v>
      </c>
      <c r="D916" s="6">
        <v>10251166252.010923</v>
      </c>
      <c r="E916" s="6">
        <v>9731253252.0109234</v>
      </c>
      <c r="F916" s="6">
        <v>336.47000122070313</v>
      </c>
      <c r="G916" s="6">
        <v>327.02999877929688</v>
      </c>
      <c r="H916" s="6">
        <v>26.640538497284489</v>
      </c>
      <c r="I916" s="6">
        <v>3.7709756534114458E-2</v>
      </c>
      <c r="J916" s="6">
        <v>2109054000</v>
      </c>
      <c r="K916" s="6">
        <v>41.956521739130451</v>
      </c>
      <c r="L916" t="s">
        <v>17</v>
      </c>
      <c r="M916" t="s">
        <v>100</v>
      </c>
      <c r="N916" s="4" t="s">
        <v>3542</v>
      </c>
      <c r="O916" s="4" t="s">
        <v>3543</v>
      </c>
      <c r="P916" s="4" t="s">
        <v>233</v>
      </c>
    </row>
    <row r="917" spans="1:16" x14ac:dyDescent="0.35">
      <c r="A917" t="s">
        <v>3544</v>
      </c>
      <c r="B917" t="s">
        <v>3545</v>
      </c>
      <c r="C917" t="s">
        <v>16</v>
      </c>
      <c r="D917" s="6">
        <v>833457440.2396127</v>
      </c>
      <c r="E917" s="6">
        <v>1222968440.2396126</v>
      </c>
      <c r="F917" s="6">
        <v>10.270000457763672</v>
      </c>
      <c r="G917" s="6">
        <v>10.529999732971191</v>
      </c>
      <c r="H917" s="6">
        <v>78.297136152871317</v>
      </c>
      <c r="I917" s="6">
        <v>1.2374161811781224</v>
      </c>
      <c r="J917" s="6">
        <v>555061000</v>
      </c>
      <c r="K917" s="6">
        <v>69.191919191919197</v>
      </c>
      <c r="L917" t="s">
        <v>17</v>
      </c>
      <c r="M917" t="s">
        <v>27</v>
      </c>
      <c r="N917" s="4" t="s">
        <v>3546</v>
      </c>
      <c r="O917" s="4" t="s">
        <v>3547</v>
      </c>
      <c r="P917" s="4" t="s">
        <v>233</v>
      </c>
    </row>
    <row r="918" spans="1:16" x14ac:dyDescent="0.35">
      <c r="A918" t="s">
        <v>3548</v>
      </c>
      <c r="B918" t="s">
        <v>3549</v>
      </c>
      <c r="C918" t="s">
        <v>16</v>
      </c>
      <c r="D918" s="6">
        <v>2611811.9088492393</v>
      </c>
      <c r="E918" s="6">
        <v>-29054921.880708411</v>
      </c>
      <c r="F918" s="6">
        <v>0.3190000057220459</v>
      </c>
      <c r="G918" s="6">
        <v>0.2994999885559082</v>
      </c>
      <c r="H918" s="6" t="e">
        <v>#N/A</v>
      </c>
      <c r="I918" s="6">
        <v>-0.90300736560260253</v>
      </c>
      <c r="J918" s="6">
        <v>0</v>
      </c>
      <c r="K918" s="6">
        <v>67.433987808410109</v>
      </c>
      <c r="L918" t="s">
        <v>17</v>
      </c>
      <c r="M918" t="s">
        <v>18</v>
      </c>
      <c r="N918" s="4" t="s">
        <v>3550</v>
      </c>
      <c r="O918" s="4" t="s">
        <v>3551</v>
      </c>
      <c r="P918" s="4" t="s">
        <v>233</v>
      </c>
    </row>
    <row r="919" spans="1:16" x14ac:dyDescent="0.35">
      <c r="A919" t="s">
        <v>3552</v>
      </c>
      <c r="B919" t="s">
        <v>3553</v>
      </c>
      <c r="C919" t="s">
        <v>16</v>
      </c>
      <c r="D919" s="6">
        <v>2230157724.4327698</v>
      </c>
      <c r="E919" s="6">
        <v>1657776724.4327698</v>
      </c>
      <c r="F919" s="6">
        <v>37.419998168945313</v>
      </c>
      <c r="G919" s="6">
        <v>36.430000305175781</v>
      </c>
      <c r="H919" s="6">
        <v>14.067668484565909</v>
      </c>
      <c r="I919" s="6">
        <v>0.32171837264933423</v>
      </c>
      <c r="J919" s="6">
        <v>323795000</v>
      </c>
      <c r="K919" s="6" t="e">
        <v>#N/A</v>
      </c>
      <c r="L919" t="s">
        <v>17</v>
      </c>
      <c r="M919" t="s">
        <v>18</v>
      </c>
      <c r="N919" s="4" t="s">
        <v>3554</v>
      </c>
      <c r="O919" s="4" t="s">
        <v>3555</v>
      </c>
      <c r="P919" s="4" t="s">
        <v>233</v>
      </c>
    </row>
    <row r="920" spans="1:16" x14ac:dyDescent="0.35">
      <c r="A920" t="s">
        <v>3556</v>
      </c>
      <c r="B920" t="s">
        <v>3557</v>
      </c>
      <c r="C920" t="s">
        <v>16</v>
      </c>
      <c r="D920" s="6">
        <v>2338982.8246065974</v>
      </c>
      <c r="E920" s="6">
        <v>63812961.824606597</v>
      </c>
      <c r="F920" s="6">
        <v>0.49200001358985901</v>
      </c>
      <c r="G920" s="6">
        <v>0.49009999632835388</v>
      </c>
      <c r="H920" s="6" t="e">
        <v>#N/A</v>
      </c>
      <c r="I920" s="6">
        <v>-0.90978991642986884</v>
      </c>
      <c r="J920" s="6">
        <v>0</v>
      </c>
      <c r="K920" s="6">
        <v>91.295727858085684</v>
      </c>
      <c r="L920" t="s">
        <v>17</v>
      </c>
      <c r="M920" t="s">
        <v>18</v>
      </c>
      <c r="N920" s="4" t="s">
        <v>3558</v>
      </c>
      <c r="O920" s="4" t="s">
        <v>3559</v>
      </c>
      <c r="P920" s="4" t="s">
        <v>233</v>
      </c>
    </row>
    <row r="921" spans="1:16" x14ac:dyDescent="0.35">
      <c r="A921" t="s">
        <v>3560</v>
      </c>
      <c r="B921" t="s">
        <v>3561</v>
      </c>
      <c r="C921" t="s">
        <v>16</v>
      </c>
      <c r="D921" s="6">
        <v>7415939.4047266236</v>
      </c>
      <c r="E921" s="6">
        <v>40293939.404726624</v>
      </c>
      <c r="F921" s="6">
        <v>0.67000001668930054</v>
      </c>
      <c r="G921" s="6">
        <v>0.71139997243881226</v>
      </c>
      <c r="H921" s="6" t="e">
        <v>#N/A</v>
      </c>
      <c r="I921" s="6">
        <v>-0.64261095595182804</v>
      </c>
      <c r="J921" s="6">
        <v>4034000</v>
      </c>
      <c r="K921" s="6">
        <v>97.161944444444458</v>
      </c>
      <c r="L921" t="s">
        <v>17</v>
      </c>
      <c r="M921" t="s">
        <v>27</v>
      </c>
      <c r="N921" s="4" t="s">
        <v>3562</v>
      </c>
      <c r="O921" s="4" t="s">
        <v>3563</v>
      </c>
      <c r="P921" s="4" t="s">
        <v>233</v>
      </c>
    </row>
    <row r="922" spans="1:16" x14ac:dyDescent="0.35">
      <c r="A922" t="s">
        <v>3564</v>
      </c>
      <c r="B922" t="s">
        <v>3565</v>
      </c>
      <c r="C922" t="s">
        <v>16</v>
      </c>
      <c r="D922" s="6">
        <v>118083933.35853255</v>
      </c>
      <c r="E922" s="6">
        <v>154911114.16227928</v>
      </c>
      <c r="F922" s="6">
        <v>0.12049999833106995</v>
      </c>
      <c r="G922" s="6">
        <v>0.11999999731779099</v>
      </c>
      <c r="H922" s="6" t="e">
        <v>#N/A</v>
      </c>
      <c r="I922" s="6">
        <v>-0.11432706745813825</v>
      </c>
      <c r="J922" s="6" t="e">
        <v>#N/A</v>
      </c>
      <c r="K922" s="6" t="e">
        <v>#N/A</v>
      </c>
      <c r="L922" t="s">
        <v>17</v>
      </c>
      <c r="M922" t="s">
        <v>27</v>
      </c>
      <c r="N922" s="4" t="s">
        <v>3566</v>
      </c>
      <c r="O922" s="4" t="s">
        <v>3567</v>
      </c>
      <c r="P922" s="4" t="s">
        <v>233</v>
      </c>
    </row>
    <row r="923" spans="1:16" x14ac:dyDescent="0.35">
      <c r="A923" t="s">
        <v>3568</v>
      </c>
      <c r="B923" t="s">
        <v>3569</v>
      </c>
      <c r="C923" t="s">
        <v>16</v>
      </c>
      <c r="D923" s="6">
        <v>2417382.4113309383</v>
      </c>
      <c r="E923" s="6">
        <v>2371705.4113309383</v>
      </c>
      <c r="F923" s="6">
        <v>1.2999999523162842</v>
      </c>
      <c r="G923" s="6">
        <v>1.3300000429153442</v>
      </c>
      <c r="H923" s="6" t="e">
        <v>#N/A</v>
      </c>
      <c r="I923" s="6">
        <v>8.3096399036210133E-2</v>
      </c>
      <c r="J923" s="6">
        <v>3224146</v>
      </c>
      <c r="K923" s="6">
        <v>-91.683591532405984</v>
      </c>
      <c r="L923" t="s">
        <v>17</v>
      </c>
      <c r="M923" t="s">
        <v>32</v>
      </c>
      <c r="N923" s="4" t="s">
        <v>3570</v>
      </c>
      <c r="O923" s="4" t="s">
        <v>3571</v>
      </c>
      <c r="P923" s="4" t="s">
        <v>233</v>
      </c>
    </row>
    <row r="924" spans="1:16" x14ac:dyDescent="0.35">
      <c r="A924" t="s">
        <v>3572</v>
      </c>
      <c r="B924" t="s">
        <v>3573</v>
      </c>
      <c r="C924" t="s">
        <v>16</v>
      </c>
      <c r="D924" s="6">
        <v>252183.04990000001</v>
      </c>
      <c r="E924" s="6">
        <v>2311413.0499</v>
      </c>
      <c r="F924" s="6">
        <v>9.9999999747524271E-7</v>
      </c>
      <c r="G924" s="6">
        <v>9.9999999747524271E-7</v>
      </c>
      <c r="H924" s="6" t="e">
        <v>#N/A</v>
      </c>
      <c r="I924" s="6">
        <v>-0.99492709218424991</v>
      </c>
      <c r="J924" s="6">
        <v>93987</v>
      </c>
      <c r="K924" s="6">
        <v>-19.126984126984119</v>
      </c>
      <c r="L924" t="s">
        <v>17</v>
      </c>
      <c r="M924" t="s">
        <v>27</v>
      </c>
      <c r="N924" s="4" t="s">
        <v>3574</v>
      </c>
      <c r="O924" s="4" t="s">
        <v>3575</v>
      </c>
      <c r="P924" s="4" t="s">
        <v>233</v>
      </c>
    </row>
    <row r="925" spans="1:16" x14ac:dyDescent="0.35">
      <c r="A925" t="s">
        <v>3576</v>
      </c>
      <c r="B925" t="s">
        <v>3577</v>
      </c>
      <c r="C925" t="s">
        <v>16</v>
      </c>
      <c r="D925" s="6">
        <v>496118053.41770363</v>
      </c>
      <c r="E925" s="6">
        <v>-315277946.58229625</v>
      </c>
      <c r="F925" s="6">
        <v>16.219999313354492</v>
      </c>
      <c r="G925" s="6">
        <v>16.100000381469727</v>
      </c>
      <c r="H925" s="6" t="e">
        <v>#N/A</v>
      </c>
      <c r="I925" s="6">
        <v>-0.37939575811396986</v>
      </c>
      <c r="J925" s="6">
        <v>277761000</v>
      </c>
      <c r="K925" s="6">
        <v>-157.94392523364482</v>
      </c>
      <c r="L925" t="s">
        <v>17</v>
      </c>
      <c r="M925" t="s">
        <v>40</v>
      </c>
      <c r="N925" s="4" t="s">
        <v>3578</v>
      </c>
      <c r="O925" s="4" t="s">
        <v>3579</v>
      </c>
      <c r="P925" s="4" t="s">
        <v>233</v>
      </c>
    </row>
    <row r="926" spans="1:16" x14ac:dyDescent="0.35">
      <c r="A926" t="s">
        <v>3580</v>
      </c>
      <c r="B926" t="s">
        <v>3581</v>
      </c>
      <c r="C926" t="s">
        <v>16</v>
      </c>
      <c r="D926" s="6">
        <v>2033724.2897462847</v>
      </c>
      <c r="E926" s="6">
        <v>1481724.2897462847</v>
      </c>
      <c r="F926" s="6">
        <v>2.7860000133514404</v>
      </c>
      <c r="G926" s="6">
        <v>2.7000000476837158</v>
      </c>
      <c r="H926" s="6" t="e">
        <v>#N/A</v>
      </c>
      <c r="I926" s="6">
        <v>-0.73798908214014047</v>
      </c>
      <c r="J926" s="6">
        <v>8183000</v>
      </c>
      <c r="K926" s="6">
        <v>88.74128775417087</v>
      </c>
      <c r="L926" t="s">
        <v>17</v>
      </c>
      <c r="M926" t="s">
        <v>27</v>
      </c>
      <c r="N926" s="4" t="s">
        <v>3582</v>
      </c>
      <c r="O926" s="4" t="s">
        <v>3583</v>
      </c>
      <c r="P926" s="4" t="s">
        <v>233</v>
      </c>
    </row>
    <row r="927" spans="1:16" x14ac:dyDescent="0.35">
      <c r="A927" t="s">
        <v>3584</v>
      </c>
      <c r="B927" t="s">
        <v>3585</v>
      </c>
      <c r="C927" t="s">
        <v>16</v>
      </c>
      <c r="D927" s="6">
        <v>3714034658.7592692</v>
      </c>
      <c r="E927" s="6">
        <v>2033901658.7592692</v>
      </c>
      <c r="F927" s="6">
        <v>43.299999237060547</v>
      </c>
      <c r="G927" s="6">
        <v>40.669998168945313</v>
      </c>
      <c r="H927" s="6" t="e">
        <v>#N/A</v>
      </c>
      <c r="I927" s="6">
        <v>-0.43266233508613128</v>
      </c>
      <c r="J927" s="6">
        <v>37314000</v>
      </c>
      <c r="K927" s="6">
        <v>-123.71134020618557</v>
      </c>
      <c r="L927" t="s">
        <v>17</v>
      </c>
      <c r="M927" t="s">
        <v>18</v>
      </c>
      <c r="N927" s="4" t="s">
        <v>233</v>
      </c>
      <c r="O927" s="4" t="s">
        <v>3586</v>
      </c>
      <c r="P927" s="4" t="s">
        <v>13134</v>
      </c>
    </row>
    <row r="928" spans="1:16" x14ac:dyDescent="0.35">
      <c r="A928" t="s">
        <v>3587</v>
      </c>
      <c r="B928" t="s">
        <v>3588</v>
      </c>
      <c r="C928" t="s">
        <v>16</v>
      </c>
      <c r="D928" s="6" t="e">
        <v>#N/A</v>
      </c>
      <c r="E928" s="6" t="e">
        <v>#N/A</v>
      </c>
      <c r="F928" s="6">
        <v>9.9999999747524271E-7</v>
      </c>
      <c r="G928" s="6">
        <v>9.9999999747524271E-7</v>
      </c>
      <c r="H928" s="6" t="e">
        <v>#N/A</v>
      </c>
      <c r="I928" s="6">
        <v>0</v>
      </c>
      <c r="J928" s="6">
        <v>2898147</v>
      </c>
      <c r="K928" s="6">
        <v>75.807541009753805</v>
      </c>
      <c r="L928" t="s">
        <v>17</v>
      </c>
      <c r="M928" t="s">
        <v>87</v>
      </c>
      <c r="N928" s="4" t="s">
        <v>3589</v>
      </c>
      <c r="O928" s="4" t="s">
        <v>3590</v>
      </c>
      <c r="P928" s="4" t="s">
        <v>233</v>
      </c>
    </row>
    <row r="929" spans="1:16" x14ac:dyDescent="0.35">
      <c r="A929" t="s">
        <v>3591</v>
      </c>
      <c r="B929" t="s">
        <v>3592</v>
      </c>
      <c r="C929" t="s">
        <v>16</v>
      </c>
      <c r="D929" s="6">
        <v>3235305.8382911682</v>
      </c>
      <c r="E929" s="6">
        <v>940305.83829116821</v>
      </c>
      <c r="F929" s="6">
        <v>3.130000114440918</v>
      </c>
      <c r="G929" s="6">
        <v>3.0699999332427979</v>
      </c>
      <c r="H929" s="6" t="e">
        <v>#N/A</v>
      </c>
      <c r="I929" s="6">
        <v>-0.73601326868171568</v>
      </c>
      <c r="J929" s="6">
        <v>1651000</v>
      </c>
      <c r="K929" s="6">
        <v>95.12203026164147</v>
      </c>
      <c r="L929" t="s">
        <v>17</v>
      </c>
      <c r="M929" t="s">
        <v>87</v>
      </c>
      <c r="N929" s="4" t="s">
        <v>3593</v>
      </c>
      <c r="O929" s="4" t="s">
        <v>3594</v>
      </c>
      <c r="P929" s="4" t="s">
        <v>233</v>
      </c>
    </row>
    <row r="930" spans="1:16" x14ac:dyDescent="0.35">
      <c r="A930" t="s">
        <v>3595</v>
      </c>
      <c r="B930" t="s">
        <v>3596</v>
      </c>
      <c r="C930" t="s">
        <v>16</v>
      </c>
      <c r="D930" s="6">
        <v>3479402382.4715877</v>
      </c>
      <c r="E930" s="6">
        <v>3692733382.4715877</v>
      </c>
      <c r="F930" s="6">
        <v>111.16999816894531</v>
      </c>
      <c r="G930" s="6">
        <v>104.80999755859375</v>
      </c>
      <c r="H930" s="6" t="e">
        <v>#N/A</v>
      </c>
      <c r="I930" s="6">
        <v>-6.6875780940168328E-2</v>
      </c>
      <c r="J930" s="6">
        <v>560025000</v>
      </c>
      <c r="K930" s="6">
        <v>-40.462427745664726</v>
      </c>
      <c r="L930" t="s">
        <v>17</v>
      </c>
      <c r="M930" t="s">
        <v>27</v>
      </c>
      <c r="N930" s="4" t="s">
        <v>3597</v>
      </c>
      <c r="O930" s="4" t="s">
        <v>3598</v>
      </c>
      <c r="P930" s="4" t="s">
        <v>233</v>
      </c>
    </row>
    <row r="931" spans="1:16" x14ac:dyDescent="0.35">
      <c r="A931" t="s">
        <v>3599</v>
      </c>
      <c r="B931" t="s">
        <v>3600</v>
      </c>
      <c r="C931" t="s">
        <v>16</v>
      </c>
      <c r="D931" s="6">
        <v>624052698.68429184</v>
      </c>
      <c r="E931" s="6">
        <v>524348698.68429184</v>
      </c>
      <c r="F931" s="6">
        <v>8.5100002288818359</v>
      </c>
      <c r="G931" s="6">
        <v>8.0500001907348633</v>
      </c>
      <c r="H931" s="6" t="e">
        <v>#N/A</v>
      </c>
      <c r="I931" s="6">
        <v>0.78124753724933593</v>
      </c>
      <c r="J931" s="6">
        <v>0</v>
      </c>
      <c r="K931" s="6">
        <v>1.2920948718405856</v>
      </c>
      <c r="L931" t="s">
        <v>17</v>
      </c>
      <c r="M931" t="s">
        <v>87</v>
      </c>
      <c r="N931" s="4" t="s">
        <v>3601</v>
      </c>
      <c r="O931" s="4" t="s">
        <v>3602</v>
      </c>
      <c r="P931" s="4" t="s">
        <v>233</v>
      </c>
    </row>
    <row r="932" spans="1:16" x14ac:dyDescent="0.35">
      <c r="A932" t="s">
        <v>3603</v>
      </c>
      <c r="B932" t="s">
        <v>3604</v>
      </c>
      <c r="C932" t="s">
        <v>16</v>
      </c>
      <c r="D932" s="6">
        <v>163588870.34296989</v>
      </c>
      <c r="E932" s="6">
        <v>158885870.34296989</v>
      </c>
      <c r="F932" s="6">
        <v>3.3499999046325684</v>
      </c>
      <c r="G932" s="6">
        <v>3.0999999046325684</v>
      </c>
      <c r="H932" s="6" t="e">
        <v>#N/A</v>
      </c>
      <c r="I932" s="6">
        <v>0.68102320338360611</v>
      </c>
      <c r="J932" s="6">
        <v>47000</v>
      </c>
      <c r="K932" s="6">
        <v>68.877570498915404</v>
      </c>
      <c r="L932" t="s">
        <v>17</v>
      </c>
      <c r="M932" t="s">
        <v>18</v>
      </c>
      <c r="N932" s="4" t="s">
        <v>3605</v>
      </c>
      <c r="O932" s="4" t="s">
        <v>3606</v>
      </c>
      <c r="P932" s="4" t="s">
        <v>233</v>
      </c>
    </row>
    <row r="933" spans="1:16" x14ac:dyDescent="0.35">
      <c r="A933" t="s">
        <v>3607</v>
      </c>
      <c r="B933" t="s">
        <v>3608</v>
      </c>
      <c r="C933" t="s">
        <v>16</v>
      </c>
      <c r="D933" s="6">
        <v>66349578.961055517</v>
      </c>
      <c r="E933" s="6">
        <v>-2750421.0389444679</v>
      </c>
      <c r="F933" s="6">
        <v>1.7000000476837158</v>
      </c>
      <c r="G933" s="6">
        <v>1.7100000381469727</v>
      </c>
      <c r="H933" s="6" t="e">
        <v>#N/A</v>
      </c>
      <c r="I933" s="6">
        <v>0.25846640470209703</v>
      </c>
      <c r="J933" s="6">
        <v>1351000</v>
      </c>
      <c r="K933" s="6">
        <v>19.21182266009852</v>
      </c>
      <c r="L933" t="s">
        <v>17</v>
      </c>
      <c r="M933" t="s">
        <v>18</v>
      </c>
      <c r="N933" s="4" t="s">
        <v>233</v>
      </c>
      <c r="O933" s="4" t="s">
        <v>3609</v>
      </c>
      <c r="P933" s="4" t="s">
        <v>13135</v>
      </c>
    </row>
    <row r="934" spans="1:16" x14ac:dyDescent="0.35">
      <c r="A934" t="s">
        <v>3610</v>
      </c>
      <c r="B934" t="s">
        <v>3611</v>
      </c>
      <c r="C934" t="s">
        <v>16</v>
      </c>
      <c r="D934" s="6">
        <v>2587896.652166367</v>
      </c>
      <c r="E934" s="6">
        <v>-1920128.347833633</v>
      </c>
      <c r="F934" s="6">
        <v>4.820000171661377</v>
      </c>
      <c r="G934" s="6">
        <v>4.7300000190734863</v>
      </c>
      <c r="H934" s="6" t="e">
        <v>#N/A</v>
      </c>
      <c r="I934" s="6">
        <v>-0.99762692529087604</v>
      </c>
      <c r="J934" s="6">
        <v>0</v>
      </c>
      <c r="K934" s="6">
        <v>74.965391548210391</v>
      </c>
      <c r="L934" t="s">
        <v>17</v>
      </c>
      <c r="M934" t="s">
        <v>27</v>
      </c>
      <c r="N934" s="4" t="s">
        <v>13028</v>
      </c>
      <c r="O934" s="4" t="s">
        <v>13029</v>
      </c>
      <c r="P934" s="4" t="s">
        <v>233</v>
      </c>
    </row>
    <row r="935" spans="1:16" x14ac:dyDescent="0.35">
      <c r="A935" t="s">
        <v>3612</v>
      </c>
      <c r="B935" t="s">
        <v>3613</v>
      </c>
      <c r="C935" t="s">
        <v>16</v>
      </c>
      <c r="D935" s="6">
        <v>6729.7500000000009</v>
      </c>
      <c r="E935" s="6">
        <v>-29819.25</v>
      </c>
      <c r="F935" s="6" t="e">
        <v>#N/A</v>
      </c>
      <c r="G935" s="6" t="e">
        <v>#N/A</v>
      </c>
      <c r="H935" s="6" t="e">
        <v>#N/A</v>
      </c>
      <c r="I935" s="6">
        <v>0</v>
      </c>
      <c r="J935" s="6">
        <v>0</v>
      </c>
      <c r="K935" s="6" t="e">
        <v>#N/A</v>
      </c>
      <c r="L935" t="s">
        <v>17</v>
      </c>
      <c r="M935" t="s">
        <v>27</v>
      </c>
      <c r="N935" s="4" t="s">
        <v>3614</v>
      </c>
      <c r="O935" s="4" t="s">
        <v>3615</v>
      </c>
      <c r="P935" s="4" t="s">
        <v>233</v>
      </c>
    </row>
    <row r="936" spans="1:16" x14ac:dyDescent="0.35">
      <c r="A936" t="s">
        <v>3616</v>
      </c>
      <c r="B936" t="s">
        <v>3617</v>
      </c>
      <c r="C936" t="s">
        <v>16</v>
      </c>
      <c r="D936" s="6">
        <v>460156424.15113163</v>
      </c>
      <c r="E936" s="6">
        <v>472199424.15113163</v>
      </c>
      <c r="F936" s="6">
        <v>3.6600000858306885</v>
      </c>
      <c r="G936" s="6">
        <v>3.5099999904632568</v>
      </c>
      <c r="H936" s="6">
        <v>47.478207838193867</v>
      </c>
      <c r="I936" s="6">
        <v>-4.6749945497876366E-2</v>
      </c>
      <c r="J936" s="6">
        <v>455038000</v>
      </c>
      <c r="K936" s="6" t="e">
        <v>#N/A</v>
      </c>
      <c r="L936" t="s">
        <v>17</v>
      </c>
      <c r="M936" t="s">
        <v>18</v>
      </c>
      <c r="N936" s="4" t="s">
        <v>3618</v>
      </c>
      <c r="O936" s="4" t="s">
        <v>3619</v>
      </c>
      <c r="P936" s="4" t="s">
        <v>233</v>
      </c>
    </row>
    <row r="937" spans="1:16" x14ac:dyDescent="0.35">
      <c r="A937" t="s">
        <v>3620</v>
      </c>
      <c r="B937" t="s">
        <v>3621</v>
      </c>
      <c r="C937" t="s">
        <v>16</v>
      </c>
      <c r="D937" s="6">
        <v>2937991.2431330676</v>
      </c>
      <c r="E937" s="6">
        <v>8085816.2431330681</v>
      </c>
      <c r="F937" s="6">
        <v>0.75999999046325684</v>
      </c>
      <c r="G937" s="6">
        <v>0.74599999189376831</v>
      </c>
      <c r="H937" s="6" t="e">
        <v>#N/A</v>
      </c>
      <c r="I937" s="6">
        <v>-0.69742334684346607</v>
      </c>
      <c r="J937" s="6">
        <v>1258512</v>
      </c>
      <c r="K937" s="6">
        <v>48.932293872491989</v>
      </c>
      <c r="L937" t="s">
        <v>17</v>
      </c>
      <c r="M937" t="s">
        <v>18</v>
      </c>
      <c r="N937" s="4" t="s">
        <v>3622</v>
      </c>
      <c r="O937" s="4" t="s">
        <v>3623</v>
      </c>
      <c r="P937" s="4" t="s">
        <v>233</v>
      </c>
    </row>
    <row r="938" spans="1:16" x14ac:dyDescent="0.35">
      <c r="A938" t="s">
        <v>3624</v>
      </c>
      <c r="B938" t="s">
        <v>3625</v>
      </c>
      <c r="C938" t="s">
        <v>16</v>
      </c>
      <c r="D938" s="6">
        <v>19335210.384032182</v>
      </c>
      <c r="E938" s="6">
        <v>-43111789.615967818</v>
      </c>
      <c r="F938" s="6">
        <v>0.50459998846054077</v>
      </c>
      <c r="G938" s="6">
        <v>0.51980000734329224</v>
      </c>
      <c r="H938" s="6" t="e">
        <v>#N/A</v>
      </c>
      <c r="I938" s="6">
        <v>-0.82984752736217893</v>
      </c>
      <c r="J938" s="6">
        <v>0</v>
      </c>
      <c r="K938" s="6">
        <v>66.258741258741253</v>
      </c>
      <c r="L938" t="s">
        <v>17</v>
      </c>
      <c r="M938" t="s">
        <v>18</v>
      </c>
      <c r="N938" s="4" t="s">
        <v>3626</v>
      </c>
      <c r="O938" s="4" t="s">
        <v>3627</v>
      </c>
      <c r="P938" s="4" t="s">
        <v>233</v>
      </c>
    </row>
    <row r="939" spans="1:16" x14ac:dyDescent="0.35">
      <c r="A939" t="s">
        <v>3628</v>
      </c>
      <c r="B939" t="s">
        <v>3629</v>
      </c>
      <c r="C939" t="s">
        <v>16</v>
      </c>
      <c r="D939" s="6">
        <v>20102831.852855708</v>
      </c>
      <c r="E939" s="6">
        <v>21503573.852855708</v>
      </c>
      <c r="F939" s="6">
        <v>7.1299999952316284E-2</v>
      </c>
      <c r="G939" s="6">
        <v>7.8000001609325409E-2</v>
      </c>
      <c r="H939" s="6" t="e">
        <v>#N/A</v>
      </c>
      <c r="I939" s="6">
        <v>0.13136339978385569</v>
      </c>
      <c r="J939" s="6">
        <v>3320648</v>
      </c>
      <c r="K939" s="6">
        <v>-98.17333333333336</v>
      </c>
      <c r="L939" t="s">
        <v>17</v>
      </c>
      <c r="M939" t="s">
        <v>32</v>
      </c>
      <c r="N939" s="4" t="s">
        <v>3630</v>
      </c>
      <c r="O939" s="4" t="s">
        <v>3631</v>
      </c>
      <c r="P939" s="4" t="s">
        <v>233</v>
      </c>
    </row>
    <row r="940" spans="1:16" x14ac:dyDescent="0.35">
      <c r="A940" t="s">
        <v>3632</v>
      </c>
      <c r="B940" t="s">
        <v>3633</v>
      </c>
      <c r="C940" t="s">
        <v>16</v>
      </c>
      <c r="D940" s="6">
        <v>70326552.999999985</v>
      </c>
      <c r="E940" s="6">
        <v>53963552.999999985</v>
      </c>
      <c r="F940" s="6">
        <v>11</v>
      </c>
      <c r="G940" s="6">
        <v>10.920000076293945</v>
      </c>
      <c r="H940" s="6" t="e">
        <v>#N/A</v>
      </c>
      <c r="I940" s="6">
        <v>-0.35594926321690956</v>
      </c>
      <c r="J940" s="6">
        <v>0</v>
      </c>
      <c r="K940" s="6">
        <v>54.202445392858742</v>
      </c>
      <c r="L940" t="s">
        <v>17</v>
      </c>
      <c r="M940" t="s">
        <v>18</v>
      </c>
      <c r="N940" s="4" t="s">
        <v>3634</v>
      </c>
      <c r="O940" s="4" t="s">
        <v>3635</v>
      </c>
      <c r="P940" s="4" t="s">
        <v>233</v>
      </c>
    </row>
    <row r="941" spans="1:16" x14ac:dyDescent="0.35">
      <c r="A941" t="s">
        <v>3636</v>
      </c>
      <c r="B941" t="s">
        <v>3637</v>
      </c>
      <c r="C941" t="s">
        <v>16</v>
      </c>
      <c r="D941" s="6">
        <v>3044799.827</v>
      </c>
      <c r="E941" s="6">
        <v>3224661.827</v>
      </c>
      <c r="F941" s="6">
        <v>0.17299999999999999</v>
      </c>
      <c r="G941" s="6">
        <v>0.17299999999999999</v>
      </c>
      <c r="H941" s="6" t="e">
        <v>#N/A</v>
      </c>
      <c r="I941" s="6">
        <v>-6.7082275420669024E-2</v>
      </c>
      <c r="J941" s="6">
        <v>0</v>
      </c>
      <c r="K941" s="6">
        <v>76.001287963770821</v>
      </c>
      <c r="L941" t="s">
        <v>17</v>
      </c>
      <c r="M941" t="s">
        <v>18</v>
      </c>
      <c r="N941" s="4" t="s">
        <v>3638</v>
      </c>
      <c r="O941" s="4" t="s">
        <v>3639</v>
      </c>
      <c r="P941" s="4" t="s">
        <v>233</v>
      </c>
    </row>
    <row r="942" spans="1:16" x14ac:dyDescent="0.35">
      <c r="A942" t="s">
        <v>3640</v>
      </c>
      <c r="B942" t="s">
        <v>3641</v>
      </c>
      <c r="C942" t="s">
        <v>16</v>
      </c>
      <c r="D942" s="6">
        <v>209105733.68183613</v>
      </c>
      <c r="E942" s="6">
        <v>202717687.68183613</v>
      </c>
      <c r="F942" s="6">
        <v>6.2899999618530273</v>
      </c>
      <c r="G942" s="6">
        <v>5.9099998474121094</v>
      </c>
      <c r="H942" s="6" t="e">
        <v>#N/A</v>
      </c>
      <c r="I942" s="6">
        <v>0.70673757878799215</v>
      </c>
      <c r="J942" s="6">
        <v>25239125</v>
      </c>
      <c r="K942" s="6">
        <v>54</v>
      </c>
      <c r="L942" t="s">
        <v>17</v>
      </c>
      <c r="M942" t="s">
        <v>27</v>
      </c>
      <c r="N942" s="4" t="s">
        <v>3642</v>
      </c>
      <c r="O942" s="4" t="s">
        <v>3643</v>
      </c>
      <c r="P942" s="4" t="s">
        <v>233</v>
      </c>
    </row>
    <row r="943" spans="1:16" x14ac:dyDescent="0.35">
      <c r="A943" t="s">
        <v>3644</v>
      </c>
      <c r="B943" t="s">
        <v>3645</v>
      </c>
      <c r="C943" t="s">
        <v>16</v>
      </c>
      <c r="D943" s="6">
        <v>437607918.35066026</v>
      </c>
      <c r="E943" s="6">
        <v>306137918.35066032</v>
      </c>
      <c r="F943" s="6">
        <v>10.369999885559082</v>
      </c>
      <c r="G943" s="6">
        <v>10.060000419616699</v>
      </c>
      <c r="H943" s="6" t="e">
        <v>#N/A</v>
      </c>
      <c r="I943" s="6">
        <v>-0.46178159798788154</v>
      </c>
      <c r="J943" s="6">
        <v>89363000</v>
      </c>
      <c r="K943" s="6">
        <v>25.531914893617024</v>
      </c>
      <c r="L943" t="s">
        <v>17</v>
      </c>
      <c r="M943" t="s">
        <v>18</v>
      </c>
      <c r="N943" s="4" t="s">
        <v>233</v>
      </c>
      <c r="O943" s="4" t="s">
        <v>3646</v>
      </c>
      <c r="P943" s="4" t="s">
        <v>13084</v>
      </c>
    </row>
    <row r="944" spans="1:16" x14ac:dyDescent="0.35">
      <c r="A944" t="s">
        <v>3647</v>
      </c>
      <c r="B944" t="s">
        <v>3648</v>
      </c>
      <c r="C944" t="s">
        <v>16</v>
      </c>
      <c r="D944" s="6">
        <v>43820188.335688114</v>
      </c>
      <c r="E944" s="6">
        <v>-3816810.4143118858</v>
      </c>
      <c r="F944" s="6">
        <v>0.61710000038146973</v>
      </c>
      <c r="G944" s="6">
        <v>0.58259999752044678</v>
      </c>
      <c r="H944" s="6" t="e">
        <v>#N/A</v>
      </c>
      <c r="I944" s="6">
        <v>-0.84646628436489857</v>
      </c>
      <c r="J944" s="6">
        <v>631562</v>
      </c>
      <c r="K944" s="6">
        <v>31.884057971014499</v>
      </c>
      <c r="L944" t="s">
        <v>17</v>
      </c>
      <c r="M944" t="s">
        <v>18</v>
      </c>
      <c r="N944" s="4" t="s">
        <v>3649</v>
      </c>
      <c r="O944" s="4" t="s">
        <v>3650</v>
      </c>
      <c r="P944" s="4" t="s">
        <v>233</v>
      </c>
    </row>
    <row r="945" spans="1:16" x14ac:dyDescent="0.35">
      <c r="A945" t="s">
        <v>3651</v>
      </c>
      <c r="B945" t="s">
        <v>3652</v>
      </c>
      <c r="C945" t="s">
        <v>16</v>
      </c>
      <c r="D945" s="6">
        <v>21520653.639715191</v>
      </c>
      <c r="E945" s="6">
        <v>-13772702.360284809</v>
      </c>
      <c r="F945" s="6">
        <v>0.67400002479553223</v>
      </c>
      <c r="G945" s="6">
        <v>0.68000000715255737</v>
      </c>
      <c r="H945" s="6" t="e">
        <v>#N/A</v>
      </c>
      <c r="I945" s="6">
        <v>-0.44208392588133782</v>
      </c>
      <c r="J945" s="6">
        <v>7321012</v>
      </c>
      <c r="K945" s="6">
        <v>7.3197727196314997</v>
      </c>
      <c r="L945" t="s">
        <v>17</v>
      </c>
      <c r="M945" t="s">
        <v>27</v>
      </c>
      <c r="N945" s="4" t="s">
        <v>3653</v>
      </c>
      <c r="O945" s="4" t="s">
        <v>3654</v>
      </c>
      <c r="P945" s="4" t="s">
        <v>233</v>
      </c>
    </row>
    <row r="946" spans="1:16" x14ac:dyDescent="0.35">
      <c r="A946" t="s">
        <v>3655</v>
      </c>
      <c r="B946" t="s">
        <v>3656</v>
      </c>
      <c r="C946" t="s">
        <v>16</v>
      </c>
      <c r="D946" s="6">
        <v>1948584.0774297717</v>
      </c>
      <c r="E946" s="6">
        <v>-1606415.9225702283</v>
      </c>
      <c r="F946" s="6">
        <v>1.3200000524520874</v>
      </c>
      <c r="G946" s="6">
        <v>1.3600000143051147</v>
      </c>
      <c r="H946" s="6" t="e">
        <v>#N/A</v>
      </c>
      <c r="I946" s="6">
        <v>-0.8815079895323662</v>
      </c>
      <c r="J946" s="6">
        <v>0</v>
      </c>
      <c r="K946" s="6">
        <v>86.021784292266716</v>
      </c>
      <c r="L946" t="s">
        <v>17</v>
      </c>
      <c r="M946" t="s">
        <v>87</v>
      </c>
      <c r="N946" s="4" t="s">
        <v>3657</v>
      </c>
      <c r="O946" s="4" t="s">
        <v>3658</v>
      </c>
      <c r="P946" s="4" t="s">
        <v>233</v>
      </c>
    </row>
    <row r="947" spans="1:16" x14ac:dyDescent="0.35">
      <c r="A947" t="s">
        <v>3659</v>
      </c>
      <c r="B947" t="s">
        <v>3660</v>
      </c>
      <c r="C947" t="s">
        <v>16</v>
      </c>
      <c r="D947" s="6">
        <v>323.08370000000002</v>
      </c>
      <c r="E947" s="6" t="e">
        <v>#N/A</v>
      </c>
      <c r="F947" s="6">
        <v>9.9999999747524271E-7</v>
      </c>
      <c r="G947" s="6">
        <v>9.9999999747524271E-7</v>
      </c>
      <c r="H947" s="6" t="e">
        <v>#N/A</v>
      </c>
      <c r="I947" s="6">
        <v>-0.99492709218424991</v>
      </c>
      <c r="J947" s="6">
        <v>29557000</v>
      </c>
      <c r="K947" s="6" t="e">
        <v>#N/A</v>
      </c>
      <c r="L947" t="s">
        <v>17</v>
      </c>
      <c r="M947" t="s">
        <v>87</v>
      </c>
      <c r="N947" s="4" t="s">
        <v>233</v>
      </c>
      <c r="O947" s="4" t="s">
        <v>3661</v>
      </c>
      <c r="P947" s="4" t="s">
        <v>13136</v>
      </c>
    </row>
    <row r="948" spans="1:16" x14ac:dyDescent="0.35">
      <c r="A948" t="s">
        <v>3662</v>
      </c>
      <c r="B948" t="s">
        <v>3663</v>
      </c>
      <c r="C948" t="s">
        <v>16</v>
      </c>
      <c r="D948" s="6">
        <v>79715782.60805206</v>
      </c>
      <c r="E948" s="6">
        <v>-55408217.39194794</v>
      </c>
      <c r="F948" s="6">
        <v>0.64529997110366821</v>
      </c>
      <c r="G948" s="6">
        <v>0.6600000262260437</v>
      </c>
      <c r="H948" s="6" t="e">
        <v>#N/A</v>
      </c>
      <c r="I948" s="6">
        <v>-0.83498900024471767</v>
      </c>
      <c r="J948" s="6">
        <v>34837000</v>
      </c>
      <c r="K948" s="6">
        <v>65.730337078651672</v>
      </c>
      <c r="L948" t="s">
        <v>17</v>
      </c>
      <c r="M948" t="s">
        <v>18</v>
      </c>
      <c r="N948" s="4" t="s">
        <v>3664</v>
      </c>
      <c r="O948" s="4" t="s">
        <v>3665</v>
      </c>
      <c r="P948" s="4" t="s">
        <v>233</v>
      </c>
    </row>
    <row r="949" spans="1:16" x14ac:dyDescent="0.35">
      <c r="A949" t="s">
        <v>13405</v>
      </c>
      <c r="B949" t="s">
        <v>13404</v>
      </c>
      <c r="C949" t="s">
        <v>16</v>
      </c>
      <c r="D949" s="6">
        <v>49831663.266887426</v>
      </c>
      <c r="E949" s="6">
        <v>77184663.266887426</v>
      </c>
      <c r="F949" s="6">
        <v>2.2999999523162842</v>
      </c>
      <c r="G949" s="6">
        <v>2.2221000194549561</v>
      </c>
      <c r="H949" s="6" t="e">
        <v>#N/A</v>
      </c>
      <c r="I949" s="6">
        <v>-0.46912589072229427</v>
      </c>
      <c r="J949" s="6">
        <v>0</v>
      </c>
      <c r="K949" s="6">
        <v>-64.975154280489946</v>
      </c>
      <c r="L949" t="s">
        <v>17</v>
      </c>
      <c r="M949" t="s">
        <v>18</v>
      </c>
      <c r="N949" s="4" t="s">
        <v>13406</v>
      </c>
      <c r="O949" s="4" t="s">
        <v>13407</v>
      </c>
      <c r="P949" s="4" t="s">
        <v>233</v>
      </c>
    </row>
    <row r="950" spans="1:16" x14ac:dyDescent="0.35">
      <c r="A950" t="s">
        <v>3666</v>
      </c>
      <c r="B950" t="s">
        <v>3667</v>
      </c>
      <c r="C950" t="s">
        <v>16</v>
      </c>
      <c r="D950" s="6">
        <v>79076035.928997993</v>
      </c>
      <c r="E950" s="6">
        <v>73578329.928997993</v>
      </c>
      <c r="F950" s="6">
        <v>7.119999885559082</v>
      </c>
      <c r="G950" s="6">
        <v>6.9000000953674316</v>
      </c>
      <c r="H950" s="6" t="e">
        <v>#N/A</v>
      </c>
      <c r="I950" s="6">
        <v>1.7414496667681609</v>
      </c>
      <c r="J950" s="6">
        <v>2021771</v>
      </c>
      <c r="K950" s="6">
        <v>-11.705897241204749</v>
      </c>
      <c r="L950" t="s">
        <v>17</v>
      </c>
      <c r="M950" t="s">
        <v>87</v>
      </c>
      <c r="N950" s="4" t="s">
        <v>3668</v>
      </c>
      <c r="O950" s="4" t="s">
        <v>3669</v>
      </c>
      <c r="P950" s="4" t="s">
        <v>233</v>
      </c>
    </row>
    <row r="951" spans="1:16" x14ac:dyDescent="0.35">
      <c r="A951" t="s">
        <v>3670</v>
      </c>
      <c r="B951" t="s">
        <v>3671</v>
      </c>
      <c r="C951" t="s">
        <v>16</v>
      </c>
      <c r="D951" s="6">
        <v>3496.2994000000003</v>
      </c>
      <c r="E951" s="6">
        <v>14693496.299399998</v>
      </c>
      <c r="F951" s="6">
        <v>9.9999999747524271E-7</v>
      </c>
      <c r="G951" s="6">
        <v>9.9999999747524271E-7</v>
      </c>
      <c r="H951" s="6" t="e">
        <v>#N/A</v>
      </c>
      <c r="I951" s="6">
        <v>-0.99999919442516894</v>
      </c>
      <c r="J951" s="6">
        <v>15664000</v>
      </c>
      <c r="K951" s="6">
        <v>30.81756977496493</v>
      </c>
      <c r="L951" t="s">
        <v>17</v>
      </c>
      <c r="M951" t="s">
        <v>18</v>
      </c>
      <c r="N951" s="4" t="s">
        <v>3672</v>
      </c>
      <c r="O951" s="4" t="s">
        <v>3673</v>
      </c>
      <c r="P951" s="4" t="s">
        <v>233</v>
      </c>
    </row>
    <row r="952" spans="1:16" x14ac:dyDescent="0.35">
      <c r="A952" t="s">
        <v>3674</v>
      </c>
      <c r="B952" t="s">
        <v>3675</v>
      </c>
      <c r="C952" t="s">
        <v>16</v>
      </c>
      <c r="D952" s="6">
        <v>4557172.1304825544</v>
      </c>
      <c r="E952" s="6">
        <v>4835395.1304825544</v>
      </c>
      <c r="F952" s="6">
        <v>1.3500000238418579</v>
      </c>
      <c r="G952" s="6">
        <v>1.3438999652862549</v>
      </c>
      <c r="H952" s="6" t="e">
        <v>#N/A</v>
      </c>
      <c r="I952" s="6">
        <v>-0.66064813168365932</v>
      </c>
      <c r="J952" s="6">
        <v>0</v>
      </c>
      <c r="K952" s="6">
        <v>93.70310204058697</v>
      </c>
      <c r="L952" t="s">
        <v>17</v>
      </c>
      <c r="M952" t="s">
        <v>18</v>
      </c>
      <c r="N952" s="4" t="s">
        <v>3676</v>
      </c>
      <c r="O952" s="4" t="s">
        <v>3677</v>
      </c>
      <c r="P952" s="4" t="s">
        <v>233</v>
      </c>
    </row>
    <row r="953" spans="1:16" x14ac:dyDescent="0.35">
      <c r="A953" t="s">
        <v>3678</v>
      </c>
      <c r="B953" t="s">
        <v>3679</v>
      </c>
      <c r="C953" t="s">
        <v>16</v>
      </c>
      <c r="D953" s="6">
        <v>85721828.410624027</v>
      </c>
      <c r="E953" s="6">
        <v>106396828.41062403</v>
      </c>
      <c r="F953" s="6">
        <v>2.5299999713897705</v>
      </c>
      <c r="G953" s="6">
        <v>2.4500000476837158</v>
      </c>
      <c r="H953" s="6" t="e">
        <v>#N/A</v>
      </c>
      <c r="I953" s="6">
        <v>-0.86624695059754941</v>
      </c>
      <c r="J953" s="6">
        <v>4153000</v>
      </c>
      <c r="K953" s="6">
        <v>-71.734148204736442</v>
      </c>
      <c r="L953" t="s">
        <v>17</v>
      </c>
      <c r="M953" t="s">
        <v>18</v>
      </c>
      <c r="N953" s="4" t="s">
        <v>3680</v>
      </c>
      <c r="O953" s="4" t="s">
        <v>3681</v>
      </c>
      <c r="P953" s="4" t="s">
        <v>233</v>
      </c>
    </row>
    <row r="954" spans="1:16" x14ac:dyDescent="0.35">
      <c r="A954" t="s">
        <v>3682</v>
      </c>
      <c r="B954" t="s">
        <v>3683</v>
      </c>
      <c r="C954" t="s">
        <v>16</v>
      </c>
      <c r="D954" s="6">
        <v>83445418.721772194</v>
      </c>
      <c r="E954" s="6">
        <v>71282418.721772194</v>
      </c>
      <c r="F954" s="6">
        <v>7.440000057220459</v>
      </c>
      <c r="G954" s="6">
        <v>8.0200004577636719</v>
      </c>
      <c r="H954" s="6" t="e">
        <v>#N/A</v>
      </c>
      <c r="I954" s="6">
        <v>3.6111002800091496E-2</v>
      </c>
      <c r="J954" s="6">
        <v>0</v>
      </c>
      <c r="K954" s="6">
        <v>16.417572712690149</v>
      </c>
      <c r="L954" t="s">
        <v>17</v>
      </c>
      <c r="M954" t="s">
        <v>18</v>
      </c>
      <c r="N954" s="4" t="s">
        <v>3684</v>
      </c>
      <c r="O954" s="4" t="s">
        <v>3685</v>
      </c>
      <c r="P954" s="4" t="s">
        <v>233</v>
      </c>
    </row>
    <row r="955" spans="1:16" x14ac:dyDescent="0.35">
      <c r="A955" t="s">
        <v>3686</v>
      </c>
      <c r="B955" t="s">
        <v>3687</v>
      </c>
      <c r="C955" t="s">
        <v>16</v>
      </c>
      <c r="D955" s="6" t="e">
        <v>#N/A</v>
      </c>
      <c r="E955" s="6" t="e">
        <v>#N/A</v>
      </c>
      <c r="F955" s="6">
        <v>9.9999999747524271E-7</v>
      </c>
      <c r="G955" s="6">
        <v>9.9999999747524271E-7</v>
      </c>
      <c r="H955" s="6" t="e">
        <v>#N/A</v>
      </c>
      <c r="I955" s="6">
        <v>0</v>
      </c>
      <c r="J955" s="6">
        <v>0</v>
      </c>
      <c r="K955" s="6">
        <v>38.080495356037154</v>
      </c>
      <c r="L955" t="s">
        <v>17</v>
      </c>
      <c r="M955" t="s">
        <v>87</v>
      </c>
      <c r="N955" s="4" t="s">
        <v>3688</v>
      </c>
      <c r="O955" s="4" t="s">
        <v>3689</v>
      </c>
      <c r="P955" s="4" t="s">
        <v>233</v>
      </c>
    </row>
    <row r="956" spans="1:16" x14ac:dyDescent="0.35">
      <c r="A956" t="s">
        <v>3690</v>
      </c>
      <c r="B956" t="s">
        <v>3691</v>
      </c>
      <c r="C956" t="s">
        <v>16</v>
      </c>
      <c r="D956" s="6">
        <v>313.40540000000004</v>
      </c>
      <c r="E956" s="6">
        <v>17903856.178791586</v>
      </c>
      <c r="F956" s="6">
        <v>1E-4</v>
      </c>
      <c r="G956" s="6">
        <v>1E-4</v>
      </c>
      <c r="H956" s="6" t="e">
        <v>#N/A</v>
      </c>
      <c r="I956" s="6">
        <v>-0.99998290980063587</v>
      </c>
      <c r="J956" s="6" t="e">
        <v>#N/A</v>
      </c>
      <c r="K956" s="6" t="e">
        <v>#N/A</v>
      </c>
      <c r="L956" t="s">
        <v>17</v>
      </c>
      <c r="M956" t="s">
        <v>40</v>
      </c>
      <c r="N956" s="4" t="s">
        <v>3692</v>
      </c>
      <c r="O956" s="4" t="s">
        <v>3693</v>
      </c>
      <c r="P956" s="4" t="s">
        <v>233</v>
      </c>
    </row>
    <row r="957" spans="1:16" x14ac:dyDescent="0.35">
      <c r="A957" t="s">
        <v>3694</v>
      </c>
      <c r="B957" t="s">
        <v>3695</v>
      </c>
      <c r="C957" t="s">
        <v>16</v>
      </c>
      <c r="D957" s="6">
        <v>4048138.8189057112</v>
      </c>
      <c r="E957" s="6">
        <v>2559857.8189057112</v>
      </c>
      <c r="F957" s="6">
        <v>0.47580000758171082</v>
      </c>
      <c r="G957" s="6">
        <v>0.51010000705718994</v>
      </c>
      <c r="H957" s="6" t="e">
        <v>#N/A</v>
      </c>
      <c r="I957" s="6">
        <v>-0.90227729042949556</v>
      </c>
      <c r="J957" s="6">
        <v>0</v>
      </c>
      <c r="K957" s="6">
        <v>66.395114683780548</v>
      </c>
      <c r="L957" t="s">
        <v>17</v>
      </c>
      <c r="M957" t="s">
        <v>18</v>
      </c>
      <c r="N957" s="4" t="s">
        <v>3696</v>
      </c>
      <c r="O957" s="4" t="s">
        <v>3697</v>
      </c>
      <c r="P957" s="4" t="s">
        <v>233</v>
      </c>
    </row>
    <row r="958" spans="1:16" x14ac:dyDescent="0.35">
      <c r="A958" t="s">
        <v>3698</v>
      </c>
      <c r="B958" t="s">
        <v>3699</v>
      </c>
      <c r="C958" t="s">
        <v>16</v>
      </c>
      <c r="D958" s="6">
        <v>66186803.888673782</v>
      </c>
      <c r="E958" s="6">
        <v>4513803.8886737823</v>
      </c>
      <c r="F958" s="6">
        <v>2.6800000667572021</v>
      </c>
      <c r="G958" s="6">
        <v>2.690000057220459</v>
      </c>
      <c r="H958" s="6" t="e">
        <v>#N/A</v>
      </c>
      <c r="I958" s="6">
        <v>0.40920137585856509</v>
      </c>
      <c r="J958" s="6">
        <v>25070000</v>
      </c>
      <c r="K958" s="6">
        <v>3.3898305084745606</v>
      </c>
      <c r="L958" t="s">
        <v>17</v>
      </c>
      <c r="M958" t="s">
        <v>18</v>
      </c>
      <c r="N958" s="4" t="s">
        <v>3700</v>
      </c>
      <c r="O958" s="4" t="s">
        <v>3701</v>
      </c>
      <c r="P958" s="4" t="s">
        <v>233</v>
      </c>
    </row>
    <row r="959" spans="1:16" x14ac:dyDescent="0.35">
      <c r="A959" t="s">
        <v>3702</v>
      </c>
      <c r="B959" t="s">
        <v>3703</v>
      </c>
      <c r="C959" t="s">
        <v>16</v>
      </c>
      <c r="D959" s="6">
        <v>603218962.06494141</v>
      </c>
      <c r="E959" s="6">
        <v>604625962.06494141</v>
      </c>
      <c r="F959" s="6">
        <v>24.909999847412109</v>
      </c>
      <c r="G959" s="6">
        <v>23.75</v>
      </c>
      <c r="H959" s="6" t="e">
        <v>#N/A</v>
      </c>
      <c r="I959" s="6">
        <v>-0.14654736627117737</v>
      </c>
      <c r="J959" s="6">
        <v>189673000</v>
      </c>
      <c r="K959" s="6">
        <v>-25.510204081632676</v>
      </c>
      <c r="L959" t="s">
        <v>17</v>
      </c>
      <c r="M959" t="s">
        <v>27</v>
      </c>
      <c r="N959" s="4" t="s">
        <v>3704</v>
      </c>
      <c r="O959" s="4" t="s">
        <v>3705</v>
      </c>
      <c r="P959" s="4" t="s">
        <v>233</v>
      </c>
    </row>
    <row r="960" spans="1:16" x14ac:dyDescent="0.35">
      <c r="A960" t="s">
        <v>3706</v>
      </c>
      <c r="B960" t="s">
        <v>3707</v>
      </c>
      <c r="C960" t="s">
        <v>16</v>
      </c>
      <c r="D960" s="6">
        <v>3060711545.6414981</v>
      </c>
      <c r="E960" s="6">
        <v>2570317545.6414981</v>
      </c>
      <c r="F960" s="6">
        <v>27.969999313354492</v>
      </c>
      <c r="G960" s="6">
        <v>26.889999389648438</v>
      </c>
      <c r="H960" s="6" t="e">
        <v>#N/A</v>
      </c>
      <c r="I960" s="6">
        <v>0.53416922998619176</v>
      </c>
      <c r="J960" s="6">
        <v>355748000</v>
      </c>
      <c r="K960" s="6">
        <v>28.956089557876393</v>
      </c>
      <c r="L960" t="s">
        <v>17</v>
      </c>
      <c r="M960" t="s">
        <v>18</v>
      </c>
      <c r="N960" s="4" t="s">
        <v>3708</v>
      </c>
      <c r="O960" s="4" t="s">
        <v>3709</v>
      </c>
      <c r="P960" s="4" t="s">
        <v>233</v>
      </c>
    </row>
    <row r="961" spans="1:16" x14ac:dyDescent="0.35">
      <c r="A961" t="s">
        <v>3710</v>
      </c>
      <c r="B961" t="s">
        <v>3711</v>
      </c>
      <c r="C961" t="s">
        <v>16</v>
      </c>
      <c r="D961" s="6">
        <v>13771780.55085182</v>
      </c>
      <c r="E961" s="6">
        <v>11229780.55085182</v>
      </c>
      <c r="F961" s="6">
        <v>2.869999885559082</v>
      </c>
      <c r="G961" s="6">
        <v>2.9500000476837158</v>
      </c>
      <c r="H961" s="6" t="e">
        <v>#N/A</v>
      </c>
      <c r="I961" s="6">
        <v>-0.95546814415146841</v>
      </c>
      <c r="J961" s="6">
        <v>0</v>
      </c>
      <c r="K961" s="6">
        <v>76.986387361657208</v>
      </c>
      <c r="L961" t="s">
        <v>17</v>
      </c>
      <c r="M961" t="s">
        <v>18</v>
      </c>
      <c r="N961" s="4" t="s">
        <v>13414</v>
      </c>
      <c r="O961" s="4" t="s">
        <v>13415</v>
      </c>
      <c r="P961" s="4" t="s">
        <v>233</v>
      </c>
    </row>
    <row r="962" spans="1:16" x14ac:dyDescent="0.35">
      <c r="A962" t="s">
        <v>3712</v>
      </c>
      <c r="B962" t="s">
        <v>3713</v>
      </c>
      <c r="C962" t="s">
        <v>16</v>
      </c>
      <c r="D962" s="6">
        <v>4352046334.0085449</v>
      </c>
      <c r="E962" s="6">
        <v>3771198334.0085449</v>
      </c>
      <c r="F962" s="6">
        <v>151.32000732421875</v>
      </c>
      <c r="G962" s="6">
        <v>146.97999572753906</v>
      </c>
      <c r="H962" s="6">
        <v>54.584887693445467</v>
      </c>
      <c r="I962" s="6">
        <v>0.30488197966984965</v>
      </c>
      <c r="J962" s="6">
        <v>241518000</v>
      </c>
      <c r="K962" s="6" t="e">
        <v>#N/A</v>
      </c>
      <c r="L962" t="s">
        <v>17</v>
      </c>
      <c r="M962" t="s">
        <v>18</v>
      </c>
      <c r="N962" s="4" t="s">
        <v>3714</v>
      </c>
      <c r="O962" s="4" t="s">
        <v>3715</v>
      </c>
      <c r="P962" s="4" t="s">
        <v>233</v>
      </c>
    </row>
    <row r="963" spans="1:16" x14ac:dyDescent="0.35">
      <c r="A963" t="s">
        <v>3716</v>
      </c>
      <c r="B963" t="s">
        <v>3717</v>
      </c>
      <c r="C963" t="s">
        <v>16</v>
      </c>
      <c r="D963" s="6">
        <v>13656.395100000002</v>
      </c>
      <c r="E963" s="6">
        <v>-40742528.91448357</v>
      </c>
      <c r="F963" s="6">
        <v>9.9999999747524271E-7</v>
      </c>
      <c r="G963" s="6">
        <v>9.9999999747524271E-7</v>
      </c>
      <c r="H963" s="6" t="e">
        <v>#N/A</v>
      </c>
      <c r="I963" s="6">
        <v>1.1102230246251565E-15</v>
      </c>
      <c r="J963" s="6">
        <v>54658372</v>
      </c>
      <c r="K963" s="6" t="e">
        <v>#N/A</v>
      </c>
      <c r="L963" t="s">
        <v>17</v>
      </c>
      <c r="M963" t="s">
        <v>87</v>
      </c>
      <c r="N963" s="4" t="s">
        <v>3718</v>
      </c>
      <c r="O963" s="4" t="s">
        <v>3719</v>
      </c>
      <c r="P963" s="4" t="s">
        <v>233</v>
      </c>
    </row>
    <row r="964" spans="1:16" x14ac:dyDescent="0.35">
      <c r="A964" t="s">
        <v>3720</v>
      </c>
      <c r="B964" t="s">
        <v>3721</v>
      </c>
      <c r="C964" t="s">
        <v>16</v>
      </c>
      <c r="D964" s="6">
        <v>460777784.29447937</v>
      </c>
      <c r="E964" s="6">
        <v>293914184.29447937</v>
      </c>
      <c r="F964" s="6">
        <v>12.409999847412109</v>
      </c>
      <c r="G964" s="6">
        <v>11.930000305175781</v>
      </c>
      <c r="H964" s="6" t="e">
        <v>#N/A</v>
      </c>
      <c r="I964" s="6">
        <v>-0.22238231158871047</v>
      </c>
      <c r="J964" s="6">
        <v>0</v>
      </c>
      <c r="K964" s="6">
        <v>4.3956043956043995</v>
      </c>
      <c r="L964" t="s">
        <v>17</v>
      </c>
      <c r="M964" t="s">
        <v>18</v>
      </c>
      <c r="N964" s="4" t="s">
        <v>3722</v>
      </c>
      <c r="O964" s="4" t="s">
        <v>3723</v>
      </c>
      <c r="P964" s="4" t="s">
        <v>233</v>
      </c>
    </row>
    <row r="965" spans="1:16" x14ac:dyDescent="0.35">
      <c r="A965" t="s">
        <v>3724</v>
      </c>
      <c r="B965" t="s">
        <v>3725</v>
      </c>
      <c r="C965" t="s">
        <v>16</v>
      </c>
      <c r="D965" s="6">
        <v>3710659.1085383892</v>
      </c>
      <c r="E965" s="6">
        <v>1184968.1085383892</v>
      </c>
      <c r="F965" s="6">
        <v>0.93000000715255737</v>
      </c>
      <c r="G965" s="6">
        <v>1</v>
      </c>
      <c r="H965" s="6" t="e">
        <v>#N/A</v>
      </c>
      <c r="I965" s="6">
        <v>-0.88670798318803457</v>
      </c>
      <c r="J965" s="6">
        <v>1354043</v>
      </c>
      <c r="K965" s="6">
        <v>-100.91813705375462</v>
      </c>
      <c r="L965" t="s">
        <v>17</v>
      </c>
      <c r="M965" t="s">
        <v>40</v>
      </c>
      <c r="N965" s="4" t="s">
        <v>3726</v>
      </c>
      <c r="O965" s="4" t="s">
        <v>3727</v>
      </c>
      <c r="P965" s="4" t="s">
        <v>233</v>
      </c>
    </row>
    <row r="966" spans="1:16" x14ac:dyDescent="0.35">
      <c r="A966" t="s">
        <v>3728</v>
      </c>
      <c r="B966" t="s">
        <v>3729</v>
      </c>
      <c r="C966" t="s">
        <v>16</v>
      </c>
      <c r="D966" s="6">
        <v>16798144.448210005</v>
      </c>
      <c r="E966" s="6">
        <v>-9946855.5517899953</v>
      </c>
      <c r="F966" s="6">
        <v>0.6029999852180481</v>
      </c>
      <c r="G966" s="6">
        <v>0.61000001430511475</v>
      </c>
      <c r="H966" s="6" t="e">
        <v>#N/A</v>
      </c>
      <c r="I966" s="6">
        <v>-0.53517926211791933</v>
      </c>
      <c r="J966" s="6">
        <v>12007000</v>
      </c>
      <c r="K966" s="6">
        <v>66.998650598607654</v>
      </c>
      <c r="L966" t="s">
        <v>17</v>
      </c>
      <c r="M966" t="s">
        <v>87</v>
      </c>
      <c r="N966" s="4" t="s">
        <v>233</v>
      </c>
      <c r="O966" s="4" t="s">
        <v>3730</v>
      </c>
      <c r="P966" s="4" t="s">
        <v>13137</v>
      </c>
    </row>
    <row r="967" spans="1:16" x14ac:dyDescent="0.35">
      <c r="A967" t="s">
        <v>3731</v>
      </c>
      <c r="B967" t="s">
        <v>3732</v>
      </c>
      <c r="C967" t="s">
        <v>16</v>
      </c>
      <c r="D967" s="6">
        <v>2442126.2790231109</v>
      </c>
      <c r="E967" s="6">
        <v>36827126.279023111</v>
      </c>
      <c r="F967" s="6">
        <v>0.33660000562667847</v>
      </c>
      <c r="G967" s="6">
        <v>0.33509999513626099</v>
      </c>
      <c r="H967" s="6" t="e">
        <v>#N/A</v>
      </c>
      <c r="I967" s="6">
        <v>-0.71132671441097439</v>
      </c>
      <c r="J967" s="6">
        <v>67200000</v>
      </c>
      <c r="K967" s="6">
        <v>-15.562042912167525</v>
      </c>
      <c r="L967" t="s">
        <v>17</v>
      </c>
      <c r="M967" t="s">
        <v>27</v>
      </c>
      <c r="N967" s="4" t="s">
        <v>3733</v>
      </c>
      <c r="O967" s="4" t="s">
        <v>3734</v>
      </c>
      <c r="P967" s="4" t="s">
        <v>233</v>
      </c>
    </row>
    <row r="968" spans="1:16" x14ac:dyDescent="0.35">
      <c r="A968" t="s">
        <v>3735</v>
      </c>
      <c r="B968" t="s">
        <v>3736</v>
      </c>
      <c r="C968" t="s">
        <v>16</v>
      </c>
      <c r="D968" s="6">
        <v>3392872.0564365392</v>
      </c>
      <c r="E968" s="6">
        <v>-8410916.7215896882</v>
      </c>
      <c r="F968" s="6">
        <v>0.86000001430511475</v>
      </c>
      <c r="G968" s="6">
        <v>0.92299997806549072</v>
      </c>
      <c r="H968" s="6" t="e">
        <v>#N/A</v>
      </c>
      <c r="I968" s="6">
        <v>-0.88465280474939068</v>
      </c>
      <c r="J968" s="6">
        <v>0</v>
      </c>
      <c r="K968" s="6">
        <v>28.797056716417909</v>
      </c>
      <c r="L968" t="s">
        <v>17</v>
      </c>
      <c r="M968" t="s">
        <v>18</v>
      </c>
      <c r="N968" s="4" t="s">
        <v>3737</v>
      </c>
      <c r="O968" s="4" t="s">
        <v>3738</v>
      </c>
      <c r="P968" s="4" t="s">
        <v>233</v>
      </c>
    </row>
    <row r="969" spans="1:16" x14ac:dyDescent="0.35">
      <c r="A969" t="s">
        <v>3739</v>
      </c>
      <c r="B969" t="s">
        <v>3740</v>
      </c>
      <c r="C969" t="s">
        <v>16</v>
      </c>
      <c r="D969" s="6">
        <v>3542385419.6495819</v>
      </c>
      <c r="E969" s="6">
        <v>3398025419.6495819</v>
      </c>
      <c r="F969" s="6">
        <v>57.639999389648438</v>
      </c>
      <c r="G969" s="6">
        <v>56.389999389648438</v>
      </c>
      <c r="H969" s="6" t="e">
        <v>#N/A</v>
      </c>
      <c r="I969" s="6">
        <v>9.8877029671529559E-2</v>
      </c>
      <c r="J969" s="6">
        <v>112530000</v>
      </c>
      <c r="K969" s="6">
        <v>-33.230769230769234</v>
      </c>
      <c r="L969" t="s">
        <v>17</v>
      </c>
      <c r="M969" t="s">
        <v>18</v>
      </c>
      <c r="N969" s="4" t="s">
        <v>3741</v>
      </c>
      <c r="O969" s="4" t="s">
        <v>3742</v>
      </c>
      <c r="P969" s="4" t="s">
        <v>233</v>
      </c>
    </row>
    <row r="970" spans="1:16" x14ac:dyDescent="0.35">
      <c r="A970" t="s">
        <v>3743</v>
      </c>
      <c r="B970" t="s">
        <v>3744</v>
      </c>
      <c r="C970" t="s">
        <v>16</v>
      </c>
      <c r="D970" s="6">
        <v>5028165.0617938042</v>
      </c>
      <c r="E970" s="6">
        <v>-176180.93820619583</v>
      </c>
      <c r="F970" s="6">
        <v>0.77660000324249268</v>
      </c>
      <c r="G970" s="6">
        <v>0.7785000205039978</v>
      </c>
      <c r="H970" s="6" t="e">
        <v>#N/A</v>
      </c>
      <c r="I970" s="6">
        <v>-0.31282714506652054</v>
      </c>
      <c r="J970" s="6">
        <v>0</v>
      </c>
      <c r="K970" s="6">
        <v>53.143861697806663</v>
      </c>
      <c r="L970" t="s">
        <v>17</v>
      </c>
      <c r="M970" t="s">
        <v>87</v>
      </c>
      <c r="N970" s="4" t="s">
        <v>3745</v>
      </c>
      <c r="O970" s="4" t="s">
        <v>3746</v>
      </c>
      <c r="P970" s="4" t="s">
        <v>233</v>
      </c>
    </row>
    <row r="971" spans="1:16" x14ac:dyDescent="0.35">
      <c r="A971" t="s">
        <v>3747</v>
      </c>
      <c r="B971" t="s">
        <v>3748</v>
      </c>
      <c r="C971" t="s">
        <v>16</v>
      </c>
      <c r="D971" s="6">
        <v>58219518.829345711</v>
      </c>
      <c r="E971" s="6">
        <v>10988518.829345718</v>
      </c>
      <c r="F971" s="6">
        <v>3.3199999332427979</v>
      </c>
      <c r="G971" s="6">
        <v>3.0348000526428223</v>
      </c>
      <c r="H971" s="6" t="e">
        <v>#N/A</v>
      </c>
      <c r="I971" s="6">
        <v>-0.31475468785487504</v>
      </c>
      <c r="J971" s="6">
        <v>0</v>
      </c>
      <c r="K971" s="6">
        <v>37.949273660393516</v>
      </c>
      <c r="L971" t="s">
        <v>17</v>
      </c>
      <c r="M971" t="s">
        <v>27</v>
      </c>
      <c r="N971" s="4" t="s">
        <v>3749</v>
      </c>
      <c r="O971" s="4" t="s">
        <v>3750</v>
      </c>
      <c r="P971" s="4" t="s">
        <v>233</v>
      </c>
    </row>
    <row r="972" spans="1:16" x14ac:dyDescent="0.35">
      <c r="A972" t="s">
        <v>3751</v>
      </c>
      <c r="B972" t="s">
        <v>3752</v>
      </c>
      <c r="C972" t="s">
        <v>16</v>
      </c>
      <c r="D972" s="6">
        <v>55404707.872808985</v>
      </c>
      <c r="E972" s="6">
        <v>98892707.872808993</v>
      </c>
      <c r="F972" s="6">
        <v>5.5100002288818359</v>
      </c>
      <c r="G972" s="6">
        <v>5.5</v>
      </c>
      <c r="H972" s="6" t="e">
        <v>#N/A</v>
      </c>
      <c r="I972" s="6">
        <v>-0.72893288404358603</v>
      </c>
      <c r="J972" s="6">
        <v>75672000</v>
      </c>
      <c r="K972" s="6">
        <v>35.000000000000007</v>
      </c>
      <c r="L972" t="s">
        <v>17</v>
      </c>
      <c r="M972" t="s">
        <v>87</v>
      </c>
      <c r="N972" s="4" t="s">
        <v>13374</v>
      </c>
      <c r="O972" s="4" t="s">
        <v>13375</v>
      </c>
      <c r="P972" s="4" t="s">
        <v>233</v>
      </c>
    </row>
    <row r="973" spans="1:16" x14ac:dyDescent="0.35">
      <c r="A973" t="s">
        <v>13484</v>
      </c>
      <c r="B973" t="s">
        <v>3753</v>
      </c>
      <c r="C973" t="s">
        <v>16</v>
      </c>
      <c r="D973" s="6">
        <v>2818873.5</v>
      </c>
      <c r="E973" s="6">
        <v>73598873.5</v>
      </c>
      <c r="F973" s="6">
        <v>1.5</v>
      </c>
      <c r="G973" s="6">
        <v>1.4600000381469727</v>
      </c>
      <c r="H973" s="6" t="e">
        <v>#N/A</v>
      </c>
      <c r="I973" s="6">
        <v>-0.3048633408857846</v>
      </c>
      <c r="J973" s="6">
        <v>17199000</v>
      </c>
      <c r="K973" s="6" t="e">
        <v>#N/A</v>
      </c>
      <c r="L973" t="s">
        <v>17</v>
      </c>
      <c r="M973" t="s">
        <v>40</v>
      </c>
      <c r="N973" s="4" t="s">
        <v>13485</v>
      </c>
      <c r="O973" s="4" t="s">
        <v>13486</v>
      </c>
      <c r="P973" s="4" t="s">
        <v>233</v>
      </c>
    </row>
    <row r="974" spans="1:16" x14ac:dyDescent="0.35">
      <c r="A974" t="s">
        <v>3754</v>
      </c>
      <c r="B974" t="s">
        <v>3755</v>
      </c>
      <c r="C974" t="s">
        <v>16</v>
      </c>
      <c r="D974" s="6">
        <v>84255937.628701091</v>
      </c>
      <c r="E974" s="6">
        <v>61347937.628701091</v>
      </c>
      <c r="F974" s="6">
        <v>1.3300000429153442</v>
      </c>
      <c r="G974" s="6">
        <v>1.2599999904632568</v>
      </c>
      <c r="H974" s="6" t="e">
        <v>#N/A</v>
      </c>
      <c r="I974" s="6">
        <v>-0.47750294423918316</v>
      </c>
      <c r="J974" s="6">
        <v>9532000</v>
      </c>
      <c r="K974" s="6">
        <v>24.118529852668182</v>
      </c>
      <c r="L974" t="s">
        <v>17</v>
      </c>
      <c r="M974" t="s">
        <v>18</v>
      </c>
      <c r="N974" s="4" t="s">
        <v>3756</v>
      </c>
      <c r="O974" s="4" t="s">
        <v>3757</v>
      </c>
      <c r="P974" s="4" t="s">
        <v>233</v>
      </c>
    </row>
    <row r="975" spans="1:16" x14ac:dyDescent="0.35">
      <c r="A975" t="s">
        <v>3758</v>
      </c>
      <c r="B975" t="s">
        <v>3759</v>
      </c>
      <c r="C975" t="s">
        <v>16</v>
      </c>
      <c r="D975" s="6">
        <v>300138054.54830194</v>
      </c>
      <c r="E975" s="6">
        <v>215020847.54830194</v>
      </c>
      <c r="F975" s="6">
        <v>1.2599999904632568</v>
      </c>
      <c r="G975" s="6">
        <v>1.2000000476837158</v>
      </c>
      <c r="H975" s="6" t="e">
        <v>#N/A</v>
      </c>
      <c r="I975" s="6">
        <v>-0.29146630115058525</v>
      </c>
      <c r="J975" s="6">
        <v>2414338</v>
      </c>
      <c r="K975" s="6">
        <v>65</v>
      </c>
      <c r="L975" t="s">
        <v>17</v>
      </c>
      <c r="M975" t="s">
        <v>40</v>
      </c>
      <c r="N975" s="4" t="s">
        <v>3760</v>
      </c>
      <c r="O975" s="4" t="s">
        <v>3761</v>
      </c>
      <c r="P975" s="4" t="s">
        <v>233</v>
      </c>
    </row>
    <row r="976" spans="1:16" x14ac:dyDescent="0.35">
      <c r="A976" t="s">
        <v>3762</v>
      </c>
      <c r="B976" t="s">
        <v>3763</v>
      </c>
      <c r="C976" t="s">
        <v>16</v>
      </c>
      <c r="D976" s="6">
        <v>43963448.313191824</v>
      </c>
      <c r="E976" s="6">
        <v>-27704551.686808176</v>
      </c>
      <c r="F976" s="6">
        <v>0.80640000104904175</v>
      </c>
      <c r="G976" s="6">
        <v>0.81000000238418579</v>
      </c>
      <c r="H976" s="6">
        <v>11.520000014986319</v>
      </c>
      <c r="I976" s="6">
        <v>-0.46148759661200356</v>
      </c>
      <c r="J976" s="6">
        <v>106457000</v>
      </c>
      <c r="K976" s="6">
        <v>699.99999999999886</v>
      </c>
      <c r="L976" t="s">
        <v>17</v>
      </c>
      <c r="M976" t="s">
        <v>18</v>
      </c>
      <c r="N976" s="4" t="s">
        <v>3764</v>
      </c>
      <c r="O976" s="4" t="s">
        <v>3765</v>
      </c>
      <c r="P976" s="4" t="s">
        <v>233</v>
      </c>
    </row>
    <row r="977" spans="1:16" x14ac:dyDescent="0.35">
      <c r="A977" t="s">
        <v>3766</v>
      </c>
      <c r="B977" t="s">
        <v>3767</v>
      </c>
      <c r="C977" t="s">
        <v>16</v>
      </c>
      <c r="D977" s="6">
        <v>81981685.298068374</v>
      </c>
      <c r="E977" s="6">
        <v>25207685.298068359</v>
      </c>
      <c r="F977" s="6">
        <v>0.48069998621940613</v>
      </c>
      <c r="G977" s="6">
        <v>0.46000000834465027</v>
      </c>
      <c r="H977" s="6" t="e">
        <v>#N/A</v>
      </c>
      <c r="I977" s="6">
        <v>-0.52775580069765349</v>
      </c>
      <c r="J977" s="6">
        <v>1123000</v>
      </c>
      <c r="K977" s="6">
        <v>88.60759493670885</v>
      </c>
      <c r="L977" t="s">
        <v>17</v>
      </c>
      <c r="M977" t="s">
        <v>18</v>
      </c>
      <c r="N977" s="4" t="s">
        <v>3768</v>
      </c>
      <c r="O977" s="4" t="s">
        <v>3769</v>
      </c>
      <c r="P977" s="4" t="s">
        <v>233</v>
      </c>
    </row>
    <row r="978" spans="1:16" x14ac:dyDescent="0.35">
      <c r="A978" t="s">
        <v>3770</v>
      </c>
      <c r="B978" t="s">
        <v>3771</v>
      </c>
      <c r="C978" t="s">
        <v>16</v>
      </c>
      <c r="D978" s="6">
        <v>172638464.6860995</v>
      </c>
      <c r="E978" s="6">
        <v>133813464.6860995</v>
      </c>
      <c r="F978" s="6">
        <v>3.4500000476837158</v>
      </c>
      <c r="G978" s="6">
        <v>3.2799999713897705</v>
      </c>
      <c r="H978" s="6" t="e">
        <v>#N/A</v>
      </c>
      <c r="I978" s="6">
        <v>-0.39707056208507274</v>
      </c>
      <c r="J978" s="6">
        <v>30278000</v>
      </c>
      <c r="K978" s="6">
        <v>-38.686131386861298</v>
      </c>
      <c r="L978" t="s">
        <v>17</v>
      </c>
      <c r="M978" t="s">
        <v>87</v>
      </c>
      <c r="N978" s="4" t="s">
        <v>3772</v>
      </c>
      <c r="O978" s="4" t="s">
        <v>3773</v>
      </c>
      <c r="P978" s="4" t="s">
        <v>233</v>
      </c>
    </row>
    <row r="979" spans="1:16" x14ac:dyDescent="0.35">
      <c r="A979" t="s">
        <v>3774</v>
      </c>
      <c r="B979" t="s">
        <v>3775</v>
      </c>
      <c r="C979" t="s">
        <v>16</v>
      </c>
      <c r="D979" s="6">
        <v>334770.01</v>
      </c>
      <c r="E979" s="6">
        <v>8888770.0099999998</v>
      </c>
      <c r="F979" s="6">
        <v>9.9999999747524271E-7</v>
      </c>
      <c r="G979" s="6">
        <v>9.9999999747524271E-7</v>
      </c>
      <c r="H979" s="6" t="e">
        <v>#N/A</v>
      </c>
      <c r="I979" s="6">
        <v>-0.999951068329058</v>
      </c>
      <c r="J979" s="6">
        <v>4628000</v>
      </c>
      <c r="K979" s="6">
        <v>28.808877346240116</v>
      </c>
      <c r="L979" t="s">
        <v>17</v>
      </c>
      <c r="M979" t="s">
        <v>40</v>
      </c>
      <c r="N979" s="4" t="s">
        <v>233</v>
      </c>
      <c r="O979" s="4" t="s">
        <v>3776</v>
      </c>
      <c r="P979" s="4" t="s">
        <v>13138</v>
      </c>
    </row>
    <row r="980" spans="1:16" x14ac:dyDescent="0.35">
      <c r="A980" t="s">
        <v>3777</v>
      </c>
      <c r="B980" t="s">
        <v>3778</v>
      </c>
      <c r="C980" t="s">
        <v>16</v>
      </c>
      <c r="D980" s="6">
        <v>3576077.5175732374</v>
      </c>
      <c r="E980" s="6">
        <v>2398528.5175732374</v>
      </c>
      <c r="F980" s="6">
        <v>0.57099997997283936</v>
      </c>
      <c r="G980" s="6">
        <v>0.54919999837875366</v>
      </c>
      <c r="H980" s="6" t="e">
        <v>#N/A</v>
      </c>
      <c r="I980" s="6">
        <v>-0.21728307148891646</v>
      </c>
      <c r="J980" s="6">
        <v>19482167</v>
      </c>
      <c r="K980" s="6">
        <v>86.561561561561561</v>
      </c>
      <c r="L980" t="s">
        <v>17</v>
      </c>
      <c r="M980" t="s">
        <v>87</v>
      </c>
      <c r="N980" s="4" t="s">
        <v>3779</v>
      </c>
      <c r="O980" s="4" t="s">
        <v>3780</v>
      </c>
      <c r="P980" s="4" t="s">
        <v>233</v>
      </c>
    </row>
    <row r="981" spans="1:16" x14ac:dyDescent="0.35">
      <c r="A981" t="s">
        <v>3781</v>
      </c>
      <c r="B981" t="s">
        <v>3782</v>
      </c>
      <c r="C981" t="s">
        <v>16</v>
      </c>
      <c r="D981" s="6">
        <v>151330005.10911751</v>
      </c>
      <c r="E981" s="6">
        <v>119838720.71282482</v>
      </c>
      <c r="F981" s="6">
        <v>2.5699999332427979</v>
      </c>
      <c r="G981" s="6">
        <v>2.5</v>
      </c>
      <c r="H981" s="6" t="e">
        <v>#N/A</v>
      </c>
      <c r="I981" s="6">
        <v>0.55569104013469595</v>
      </c>
      <c r="J981" s="6">
        <v>168499</v>
      </c>
      <c r="K981" s="6">
        <v>-39.621557589589287</v>
      </c>
      <c r="L981" t="s">
        <v>17</v>
      </c>
      <c r="M981" t="s">
        <v>18</v>
      </c>
      <c r="N981" s="4" t="s">
        <v>233</v>
      </c>
      <c r="O981" s="4" t="s">
        <v>3783</v>
      </c>
      <c r="P981" s="4" t="s">
        <v>13139</v>
      </c>
    </row>
    <row r="982" spans="1:16" x14ac:dyDescent="0.35">
      <c r="A982" t="s">
        <v>3784</v>
      </c>
      <c r="B982" t="s">
        <v>3785</v>
      </c>
      <c r="C982" t="s">
        <v>16</v>
      </c>
      <c r="D982" s="6">
        <v>87660687.815113068</v>
      </c>
      <c r="E982" s="6">
        <v>81054687.815113068</v>
      </c>
      <c r="F982" s="6">
        <v>2.380000114440918</v>
      </c>
      <c r="G982" s="6">
        <v>2.3849999904632568</v>
      </c>
      <c r="H982" s="6" t="e">
        <v>#N/A</v>
      </c>
      <c r="I982" s="6">
        <v>1.4605000297449502</v>
      </c>
      <c r="J982" s="6">
        <v>99000</v>
      </c>
      <c r="K982" s="6">
        <v>25.462942854247196</v>
      </c>
      <c r="L982" t="s">
        <v>17</v>
      </c>
      <c r="M982" t="s">
        <v>18</v>
      </c>
      <c r="N982" s="4" t="s">
        <v>233</v>
      </c>
      <c r="O982" s="4" t="s">
        <v>3786</v>
      </c>
      <c r="P982" s="4" t="s">
        <v>13140</v>
      </c>
    </row>
    <row r="983" spans="1:16" x14ac:dyDescent="0.35">
      <c r="A983" t="s">
        <v>3787</v>
      </c>
      <c r="B983" t="s">
        <v>3788</v>
      </c>
      <c r="C983" t="s">
        <v>16</v>
      </c>
      <c r="D983" s="6">
        <v>300874983.85562032</v>
      </c>
      <c r="E983" s="6">
        <v>45842983.855620295</v>
      </c>
      <c r="F983" s="6">
        <v>7.809999942779541</v>
      </c>
      <c r="G983" s="6">
        <v>7.5900001525878906</v>
      </c>
      <c r="H983" s="6" t="e">
        <v>#N/A</v>
      </c>
      <c r="I983" s="6">
        <v>-0.67944428939486412</v>
      </c>
      <c r="J983" s="6">
        <v>133809000</v>
      </c>
      <c r="K983" s="6">
        <v>-6.0000000000000053</v>
      </c>
      <c r="L983" t="s">
        <v>17</v>
      </c>
      <c r="M983" t="s">
        <v>100</v>
      </c>
      <c r="N983" s="4" t="s">
        <v>3789</v>
      </c>
      <c r="O983" s="4" t="s">
        <v>3790</v>
      </c>
      <c r="P983" s="4" t="s">
        <v>233</v>
      </c>
    </row>
    <row r="984" spans="1:16" x14ac:dyDescent="0.35">
      <c r="A984" t="s">
        <v>13416</v>
      </c>
      <c r="B984" t="s">
        <v>3791</v>
      </c>
      <c r="C984" t="s">
        <v>16</v>
      </c>
      <c r="D984" s="6">
        <v>72168750</v>
      </c>
      <c r="E984" s="6">
        <v>-18010250</v>
      </c>
      <c r="F984" s="6">
        <v>150000</v>
      </c>
      <c r="G984" s="6">
        <v>150000</v>
      </c>
      <c r="H984" s="6" t="e">
        <v>#N/A</v>
      </c>
      <c r="I984" s="6">
        <v>0.13596680622878887</v>
      </c>
      <c r="J984" s="6">
        <v>0</v>
      </c>
      <c r="K984" s="6">
        <v>30.751127602055579</v>
      </c>
      <c r="L984" t="s">
        <v>17</v>
      </c>
      <c r="M984" t="s">
        <v>87</v>
      </c>
      <c r="N984" s="4" t="s">
        <v>13417</v>
      </c>
      <c r="O984" s="4" t="s">
        <v>13418</v>
      </c>
      <c r="P984" s="4" t="s">
        <v>233</v>
      </c>
    </row>
    <row r="985" spans="1:16" x14ac:dyDescent="0.35">
      <c r="A985" t="s">
        <v>3792</v>
      </c>
      <c r="B985" t="s">
        <v>3793</v>
      </c>
      <c r="C985" t="s">
        <v>16</v>
      </c>
      <c r="D985" s="6">
        <v>2996448167.7586055</v>
      </c>
      <c r="E985" s="6">
        <v>1766943167.7586055</v>
      </c>
      <c r="F985" s="6">
        <v>20.819999694824219</v>
      </c>
      <c r="G985" s="6">
        <v>20.129999160766602</v>
      </c>
      <c r="H985" s="6" t="e">
        <v>#N/A</v>
      </c>
      <c r="I985" s="6">
        <v>0.12201798681518361</v>
      </c>
      <c r="J985" s="6">
        <v>0</v>
      </c>
      <c r="K985" s="6">
        <v>-196.77419354838707</v>
      </c>
      <c r="L985" t="s">
        <v>17</v>
      </c>
      <c r="M985" t="s">
        <v>18</v>
      </c>
      <c r="N985" s="4" t="s">
        <v>3794</v>
      </c>
      <c r="O985" s="4" t="s">
        <v>3795</v>
      </c>
      <c r="P985" s="4" t="s">
        <v>233</v>
      </c>
    </row>
    <row r="986" spans="1:16" x14ac:dyDescent="0.35">
      <c r="A986" t="s">
        <v>3796</v>
      </c>
      <c r="B986" t="s">
        <v>3797</v>
      </c>
      <c r="C986" t="s">
        <v>16</v>
      </c>
      <c r="D986" s="6">
        <v>35556637.05202961</v>
      </c>
      <c r="E986" s="6">
        <v>39945637.05202961</v>
      </c>
      <c r="F986" s="6">
        <v>2.940000057220459</v>
      </c>
      <c r="G986" s="6">
        <v>3.059999942779541</v>
      </c>
      <c r="H986" s="6" t="e">
        <v>#N/A</v>
      </c>
      <c r="I986" s="6">
        <v>-0.38667907950683955</v>
      </c>
      <c r="J986" s="6">
        <v>0</v>
      </c>
      <c r="K986" s="6">
        <v>-76.228411723956697</v>
      </c>
      <c r="L986" t="s">
        <v>17</v>
      </c>
      <c r="M986" t="s">
        <v>87</v>
      </c>
      <c r="N986" s="4" t="s">
        <v>3798</v>
      </c>
      <c r="O986" s="4" t="s">
        <v>3799</v>
      </c>
      <c r="P986" s="4" t="s">
        <v>233</v>
      </c>
    </row>
    <row r="987" spans="1:16" x14ac:dyDescent="0.35">
      <c r="A987" t="s">
        <v>3800</v>
      </c>
      <c r="B987" t="s">
        <v>3801</v>
      </c>
      <c r="C987" t="s">
        <v>16</v>
      </c>
      <c r="D987" s="6">
        <v>1366103.786205411</v>
      </c>
      <c r="E987" s="6">
        <v>-8056786.2137945872</v>
      </c>
      <c r="F987" s="6">
        <v>0.39300000667572021</v>
      </c>
      <c r="G987" s="6">
        <v>0.38747501373291016</v>
      </c>
      <c r="H987" s="6" t="e">
        <v>#N/A</v>
      </c>
      <c r="I987" s="6">
        <v>-0.8083578144059328</v>
      </c>
      <c r="J987" s="6">
        <v>1928497</v>
      </c>
      <c r="K987" s="6">
        <v>83.928008998875143</v>
      </c>
      <c r="L987" t="s">
        <v>17</v>
      </c>
      <c r="M987" t="s">
        <v>87</v>
      </c>
      <c r="N987" s="4" t="s">
        <v>233</v>
      </c>
      <c r="O987" s="4" t="s">
        <v>3802</v>
      </c>
      <c r="P987" s="4" t="s">
        <v>13141</v>
      </c>
    </row>
    <row r="988" spans="1:16" x14ac:dyDescent="0.35">
      <c r="A988" t="s">
        <v>3803</v>
      </c>
      <c r="B988" t="s">
        <v>3804</v>
      </c>
      <c r="C988" t="s">
        <v>16</v>
      </c>
      <c r="D988" s="6">
        <v>7920951.2226734823</v>
      </c>
      <c r="E988" s="6">
        <v>3826052.2226734827</v>
      </c>
      <c r="F988" s="6">
        <v>6.070000171661377</v>
      </c>
      <c r="G988" s="6">
        <v>5.6153998374938965</v>
      </c>
      <c r="H988" s="6" t="e">
        <v>#N/A</v>
      </c>
      <c r="I988" s="6">
        <v>-0.64402152314457528</v>
      </c>
      <c r="J988" s="6">
        <v>4421405</v>
      </c>
      <c r="K988" s="6">
        <v>90.536106003625932</v>
      </c>
      <c r="L988" t="s">
        <v>17</v>
      </c>
      <c r="M988" t="s">
        <v>18</v>
      </c>
      <c r="N988" s="4" t="s">
        <v>13291</v>
      </c>
      <c r="O988" s="4" t="s">
        <v>13292</v>
      </c>
      <c r="P988" s="4" t="s">
        <v>233</v>
      </c>
    </row>
    <row r="989" spans="1:16" x14ac:dyDescent="0.35">
      <c r="A989" t="s">
        <v>3805</v>
      </c>
      <c r="B989" t="s">
        <v>3806</v>
      </c>
      <c r="C989" t="s">
        <v>16</v>
      </c>
      <c r="D989" s="6">
        <v>2576706.1413322762</v>
      </c>
      <c r="E989" s="6">
        <v>8400232.1413322762</v>
      </c>
      <c r="F989" s="6">
        <v>1.8500000238418579</v>
      </c>
      <c r="G989" s="6">
        <v>1.75</v>
      </c>
      <c r="H989" s="6" t="e">
        <v>#N/A</v>
      </c>
      <c r="I989" s="6">
        <v>-0.98774577211242165</v>
      </c>
      <c r="J989" s="6">
        <v>31832</v>
      </c>
      <c r="K989" s="6">
        <v>44.696969696969703</v>
      </c>
      <c r="L989" t="s">
        <v>17</v>
      </c>
      <c r="M989" t="s">
        <v>87</v>
      </c>
      <c r="N989" s="4" t="s">
        <v>13465</v>
      </c>
      <c r="O989" s="4" t="s">
        <v>13466</v>
      </c>
      <c r="P989" s="4" t="s">
        <v>233</v>
      </c>
    </row>
    <row r="990" spans="1:16" x14ac:dyDescent="0.35">
      <c r="A990" t="s">
        <v>3807</v>
      </c>
      <c r="B990" t="s">
        <v>3808</v>
      </c>
      <c r="C990" t="s">
        <v>16</v>
      </c>
      <c r="D990" s="6">
        <v>37026096.689319365</v>
      </c>
      <c r="E990" s="6">
        <v>-33035903.310680635</v>
      </c>
      <c r="F990" s="6">
        <v>2.5099999904632568</v>
      </c>
      <c r="G990" s="6">
        <v>2.4100000858306885</v>
      </c>
      <c r="H990" s="6" t="e">
        <v>#N/A</v>
      </c>
      <c r="I990" s="6">
        <v>0.21192202049339048</v>
      </c>
      <c r="J990" s="6">
        <v>493000</v>
      </c>
      <c r="K990" s="6">
        <v>90.722753590292285</v>
      </c>
      <c r="L990" t="s">
        <v>17</v>
      </c>
      <c r="M990" t="s">
        <v>87</v>
      </c>
      <c r="N990" s="4" t="s">
        <v>3809</v>
      </c>
      <c r="O990" s="4" t="s">
        <v>3810</v>
      </c>
      <c r="P990" s="4" t="s">
        <v>233</v>
      </c>
    </row>
    <row r="991" spans="1:16" x14ac:dyDescent="0.35">
      <c r="A991" t="s">
        <v>3811</v>
      </c>
      <c r="B991" t="s">
        <v>3812</v>
      </c>
      <c r="C991" t="s">
        <v>16</v>
      </c>
      <c r="D991" s="6">
        <v>141039761.56688949</v>
      </c>
      <c r="E991" s="6">
        <v>-5358238.4331105351</v>
      </c>
      <c r="F991" s="6">
        <v>3.5299999713897705</v>
      </c>
      <c r="G991" s="6">
        <v>3.2699999809265137</v>
      </c>
      <c r="H991" s="6" t="e">
        <v>#N/A</v>
      </c>
      <c r="I991" s="6">
        <v>-0.56158812258972546</v>
      </c>
      <c r="J991" s="6">
        <v>0</v>
      </c>
      <c r="K991" s="6">
        <v>22.497978119137851</v>
      </c>
      <c r="L991" t="s">
        <v>17</v>
      </c>
      <c r="M991" t="s">
        <v>18</v>
      </c>
      <c r="N991" s="4" t="s">
        <v>3813</v>
      </c>
      <c r="O991" s="4" t="s">
        <v>3814</v>
      </c>
      <c r="P991" s="4" t="s">
        <v>233</v>
      </c>
    </row>
    <row r="992" spans="1:16" x14ac:dyDescent="0.35">
      <c r="A992" t="s">
        <v>3815</v>
      </c>
      <c r="B992" t="s">
        <v>3816</v>
      </c>
      <c r="C992" t="s">
        <v>16</v>
      </c>
      <c r="D992" s="6">
        <v>306430738.4840641</v>
      </c>
      <c r="E992" s="6">
        <v>303915738.4840641</v>
      </c>
      <c r="F992" s="6">
        <v>7.869999885559082</v>
      </c>
      <c r="G992" s="6">
        <v>7.8499999046325684</v>
      </c>
      <c r="H992" s="6">
        <v>30.582584191714652</v>
      </c>
      <c r="I992" s="6">
        <v>-0.12329203709345182</v>
      </c>
      <c r="J992" s="6">
        <v>214301000</v>
      </c>
      <c r="K992" s="6">
        <v>12.692083333333327</v>
      </c>
      <c r="L992" t="s">
        <v>17</v>
      </c>
      <c r="M992" t="s">
        <v>40</v>
      </c>
      <c r="N992" s="4" t="s">
        <v>3817</v>
      </c>
      <c r="O992" s="4" t="s">
        <v>3818</v>
      </c>
      <c r="P992" s="4" t="s">
        <v>233</v>
      </c>
    </row>
    <row r="993" spans="1:16" x14ac:dyDescent="0.35">
      <c r="A993" t="s">
        <v>3819</v>
      </c>
      <c r="B993" t="s">
        <v>3820</v>
      </c>
      <c r="C993" t="s">
        <v>16</v>
      </c>
      <c r="D993" s="6">
        <v>2422983495.788322</v>
      </c>
      <c r="E993" s="6">
        <v>5053390495.7883224</v>
      </c>
      <c r="F993" s="6">
        <v>7.820000171661377</v>
      </c>
      <c r="G993" s="6">
        <v>7.8400001525878906</v>
      </c>
      <c r="H993" s="6" t="e">
        <v>#N/A</v>
      </c>
      <c r="I993" s="6">
        <v>0.33569252388686932</v>
      </c>
      <c r="J993" s="6">
        <v>2680420000</v>
      </c>
      <c r="K993" s="6" t="e">
        <v>#N/A</v>
      </c>
      <c r="L993" t="s">
        <v>17</v>
      </c>
      <c r="M993" t="s">
        <v>87</v>
      </c>
      <c r="N993" s="4" t="s">
        <v>3821</v>
      </c>
      <c r="O993" s="4" t="s">
        <v>3822</v>
      </c>
      <c r="P993" s="4" t="s">
        <v>233</v>
      </c>
    </row>
    <row r="994" spans="1:16" x14ac:dyDescent="0.35">
      <c r="A994" t="s">
        <v>3823</v>
      </c>
      <c r="B994" t="s">
        <v>3824</v>
      </c>
      <c r="C994" t="s">
        <v>16</v>
      </c>
      <c r="D994" s="6">
        <v>638.88758386034169</v>
      </c>
      <c r="E994" s="6">
        <v>-2505361.1124161398</v>
      </c>
      <c r="F994" s="6">
        <v>9.9999997473787516E-5</v>
      </c>
      <c r="G994" s="6">
        <v>9.9999997473787516E-5</v>
      </c>
      <c r="H994" s="6" t="e">
        <v>#N/A</v>
      </c>
      <c r="I994" s="6">
        <v>-0.99985116401323926</v>
      </c>
      <c r="J994" s="6">
        <v>327000</v>
      </c>
      <c r="K994" s="6">
        <v>10.154207240948782</v>
      </c>
      <c r="L994" t="s">
        <v>17</v>
      </c>
      <c r="M994" t="s">
        <v>27</v>
      </c>
      <c r="N994" s="4" t="s">
        <v>3825</v>
      </c>
      <c r="O994" s="4" t="s">
        <v>3826</v>
      </c>
      <c r="P994" s="4" t="s">
        <v>233</v>
      </c>
    </row>
    <row r="995" spans="1:16" x14ac:dyDescent="0.35">
      <c r="A995" t="s">
        <v>3827</v>
      </c>
      <c r="B995" t="s">
        <v>3828</v>
      </c>
      <c r="C995" t="s">
        <v>16</v>
      </c>
      <c r="D995" s="6">
        <v>902964504.67313957</v>
      </c>
      <c r="E995" s="6">
        <v>947804504.67313957</v>
      </c>
      <c r="F995" s="6">
        <v>14.260000228881836</v>
      </c>
      <c r="G995" s="6">
        <v>13.430000305175781</v>
      </c>
      <c r="H995" s="6" t="e">
        <v>#N/A</v>
      </c>
      <c r="I995" s="6">
        <v>3.8494145721056139E-2</v>
      </c>
      <c r="J995" s="6">
        <v>248326000</v>
      </c>
      <c r="K995" s="6">
        <v>18.309454558511987</v>
      </c>
      <c r="L995" t="s">
        <v>17</v>
      </c>
      <c r="M995" t="s">
        <v>87</v>
      </c>
      <c r="N995" s="4" t="s">
        <v>3829</v>
      </c>
      <c r="O995" s="4" t="s">
        <v>3830</v>
      </c>
      <c r="P995" s="4" t="s">
        <v>233</v>
      </c>
    </row>
    <row r="996" spans="1:16" x14ac:dyDescent="0.35">
      <c r="A996" t="s">
        <v>3831</v>
      </c>
      <c r="B996" t="s">
        <v>3832</v>
      </c>
      <c r="C996" t="s">
        <v>16</v>
      </c>
      <c r="D996" s="6">
        <v>71400433.490257278</v>
      </c>
      <c r="E996" s="6">
        <v>-112465566.50974272</v>
      </c>
      <c r="F996" s="6">
        <v>0.86650002002716064</v>
      </c>
      <c r="G996" s="6">
        <v>0.88999998569488525</v>
      </c>
      <c r="H996" s="6" t="e">
        <v>#N/A</v>
      </c>
      <c r="I996" s="6">
        <v>-0.72130180022138413</v>
      </c>
      <c r="J996" s="6" t="e">
        <v>#N/A</v>
      </c>
      <c r="K996" s="6">
        <v>48.955223880597011</v>
      </c>
      <c r="L996" t="s">
        <v>17</v>
      </c>
      <c r="M996" t="s">
        <v>18</v>
      </c>
      <c r="N996" s="4" t="s">
        <v>3833</v>
      </c>
      <c r="O996" s="4" t="s">
        <v>3834</v>
      </c>
      <c r="P996" s="4" t="s">
        <v>233</v>
      </c>
    </row>
    <row r="997" spans="1:16" x14ac:dyDescent="0.35">
      <c r="A997" t="s">
        <v>3835</v>
      </c>
      <c r="B997" t="s">
        <v>3836</v>
      </c>
      <c r="C997" t="s">
        <v>16</v>
      </c>
      <c r="D997" s="6">
        <v>26083067.606397629</v>
      </c>
      <c r="E997" s="6">
        <v>30518067.606397629</v>
      </c>
      <c r="F997" s="6">
        <v>10.010000228881836</v>
      </c>
      <c r="G997" s="6">
        <v>10.449999809265137</v>
      </c>
      <c r="H997" s="6" t="e">
        <v>#N/A</v>
      </c>
      <c r="I997" s="6">
        <v>2.3423658673827212</v>
      </c>
      <c r="J997" s="6">
        <v>500000</v>
      </c>
      <c r="K997" s="6" t="e">
        <v>#N/A</v>
      </c>
      <c r="L997" t="s">
        <v>17</v>
      </c>
      <c r="M997" t="s">
        <v>18</v>
      </c>
      <c r="N997" s="4" t="s">
        <v>3837</v>
      </c>
      <c r="O997" s="4" t="s">
        <v>3838</v>
      </c>
      <c r="P997" s="4" t="s">
        <v>233</v>
      </c>
    </row>
    <row r="998" spans="1:16" x14ac:dyDescent="0.35">
      <c r="A998" t="s">
        <v>3839</v>
      </c>
      <c r="B998" t="s">
        <v>3840</v>
      </c>
      <c r="C998" t="s">
        <v>16</v>
      </c>
      <c r="D998" s="6">
        <v>8716083.815013051</v>
      </c>
      <c r="E998" s="6">
        <v>73298083.815013051</v>
      </c>
      <c r="F998" s="6">
        <v>2.809999942779541</v>
      </c>
      <c r="G998" s="6">
        <v>2.5499999523162842</v>
      </c>
      <c r="H998" s="6" t="e">
        <v>#N/A</v>
      </c>
      <c r="I998" s="6">
        <v>-0.90934158266436149</v>
      </c>
      <c r="J998" s="6">
        <v>2276000</v>
      </c>
      <c r="K998" s="6">
        <v>70.572207084468673</v>
      </c>
      <c r="L998" t="s">
        <v>17</v>
      </c>
      <c r="M998" t="s">
        <v>18</v>
      </c>
      <c r="N998" s="4" t="s">
        <v>13490</v>
      </c>
      <c r="O998" s="4" t="s">
        <v>13491</v>
      </c>
      <c r="P998" s="4" t="s">
        <v>233</v>
      </c>
    </row>
    <row r="999" spans="1:16" x14ac:dyDescent="0.35">
      <c r="A999" t="s">
        <v>3841</v>
      </c>
      <c r="B999" t="s">
        <v>3842</v>
      </c>
      <c r="C999" t="s">
        <v>16</v>
      </c>
      <c r="D999" s="6">
        <v>1098139307.9999998</v>
      </c>
      <c r="E999" s="6">
        <v>54139307.999999762</v>
      </c>
      <c r="F999" s="6">
        <v>12</v>
      </c>
      <c r="G999" s="6">
        <v>11.720000267028809</v>
      </c>
      <c r="H999" s="6" t="e">
        <v>#N/A</v>
      </c>
      <c r="I999" s="6">
        <v>-0.27033013361161795</v>
      </c>
      <c r="J999" s="6">
        <v>263000000</v>
      </c>
      <c r="K999" s="6">
        <v>21.250000000000004</v>
      </c>
      <c r="L999" t="s">
        <v>17</v>
      </c>
      <c r="M999" t="s">
        <v>18</v>
      </c>
      <c r="N999" s="4" t="s">
        <v>3843</v>
      </c>
      <c r="O999" s="4" t="s">
        <v>3844</v>
      </c>
      <c r="P999" s="4" t="s">
        <v>233</v>
      </c>
    </row>
    <row r="1000" spans="1:16" x14ac:dyDescent="0.35">
      <c r="A1000" t="s">
        <v>3845</v>
      </c>
      <c r="B1000" t="s">
        <v>3846</v>
      </c>
      <c r="C1000" t="s">
        <v>16</v>
      </c>
      <c r="D1000" s="6">
        <v>32400665.705477949</v>
      </c>
      <c r="E1000" s="6">
        <v>-38280334.294522047</v>
      </c>
      <c r="F1000" s="6">
        <v>2.6600000858306885</v>
      </c>
      <c r="G1000" s="6">
        <v>2.8499999046325684</v>
      </c>
      <c r="H1000" s="6" t="e">
        <v>#N/A</v>
      </c>
      <c r="I1000" s="6">
        <v>-0.776192318598664</v>
      </c>
      <c r="J1000" s="6">
        <v>0</v>
      </c>
      <c r="K1000" s="6">
        <v>91.232845465802654</v>
      </c>
      <c r="L1000" t="s">
        <v>17</v>
      </c>
      <c r="M1000" t="s">
        <v>18</v>
      </c>
      <c r="N1000" s="4" t="s">
        <v>3847</v>
      </c>
      <c r="O1000" s="4" t="s">
        <v>3848</v>
      </c>
      <c r="P1000" s="4" t="s">
        <v>233</v>
      </c>
    </row>
    <row r="1001" spans="1:16" x14ac:dyDescent="0.35">
      <c r="A1001" t="s">
        <v>3849</v>
      </c>
      <c r="B1001" t="s">
        <v>3850</v>
      </c>
      <c r="C1001" t="s">
        <v>16</v>
      </c>
      <c r="D1001" s="6">
        <v>899158511.98402488</v>
      </c>
      <c r="E1001" s="6">
        <v>682039511.98402488</v>
      </c>
      <c r="F1001" s="6">
        <v>8.1400003433227539</v>
      </c>
      <c r="G1001" s="6">
        <v>8.2399997711181641</v>
      </c>
      <c r="H1001" s="6" t="e">
        <v>#N/A</v>
      </c>
      <c r="I1001" s="6">
        <v>0.40456433272978387</v>
      </c>
      <c r="J1001" s="6">
        <v>0</v>
      </c>
      <c r="K1001" s="6">
        <v>-5.9829059829059883</v>
      </c>
      <c r="L1001" t="s">
        <v>17</v>
      </c>
      <c r="M1001" t="s">
        <v>18</v>
      </c>
      <c r="N1001" s="4" t="s">
        <v>3851</v>
      </c>
      <c r="O1001" s="4" t="s">
        <v>3852</v>
      </c>
      <c r="P1001" s="4" t="s">
        <v>233</v>
      </c>
    </row>
    <row r="1002" spans="1:16" x14ac:dyDescent="0.35">
      <c r="A1002" t="s">
        <v>3853</v>
      </c>
      <c r="B1002" t="s">
        <v>3854</v>
      </c>
      <c r="C1002" t="s">
        <v>16</v>
      </c>
      <c r="D1002" s="6">
        <v>449922275.09583801</v>
      </c>
      <c r="E1002" s="6">
        <v>320246472.25168794</v>
      </c>
      <c r="F1002" s="6">
        <v>2.9000000953674316</v>
      </c>
      <c r="G1002" s="6">
        <v>2.9000000953674316</v>
      </c>
      <c r="H1002" s="6" t="e">
        <v>#N/A</v>
      </c>
      <c r="I1002" s="6">
        <v>-0.25390021908222737</v>
      </c>
      <c r="J1002" s="6">
        <v>961677.79859230749</v>
      </c>
      <c r="K1002" s="6">
        <v>-96.499306591698911</v>
      </c>
      <c r="L1002" t="s">
        <v>17</v>
      </c>
      <c r="M1002" t="s">
        <v>18</v>
      </c>
      <c r="N1002" s="4" t="s">
        <v>3855</v>
      </c>
      <c r="O1002" s="4" t="s">
        <v>3856</v>
      </c>
      <c r="P1002" s="4" t="s">
        <v>233</v>
      </c>
    </row>
    <row r="1003" spans="1:16" x14ac:dyDescent="0.35">
      <c r="A1003" t="s">
        <v>3857</v>
      </c>
      <c r="B1003" t="s">
        <v>3858</v>
      </c>
      <c r="C1003" t="s">
        <v>16</v>
      </c>
      <c r="D1003" s="6">
        <v>1204266230.8856916</v>
      </c>
      <c r="E1003" s="6">
        <v>3290728243.2916918</v>
      </c>
      <c r="F1003" s="6">
        <v>8.9499998092651367</v>
      </c>
      <c r="G1003" s="6">
        <v>9.0600004196166992</v>
      </c>
      <c r="H1003" s="6">
        <v>7.8937316794996146</v>
      </c>
      <c r="I1003" s="6">
        <v>0.17710558129632448</v>
      </c>
      <c r="J1003" s="6">
        <v>3262564000</v>
      </c>
      <c r="K1003" s="6">
        <v>48.443836947975747</v>
      </c>
      <c r="L1003" t="s">
        <v>17</v>
      </c>
      <c r="M1003" t="s">
        <v>40</v>
      </c>
      <c r="N1003" s="4" t="s">
        <v>3859</v>
      </c>
      <c r="O1003" s="4" t="s">
        <v>3860</v>
      </c>
      <c r="P1003" s="4" t="s">
        <v>233</v>
      </c>
    </row>
    <row r="1004" spans="1:16" x14ac:dyDescent="0.35">
      <c r="A1004" t="s">
        <v>3861</v>
      </c>
      <c r="B1004" t="s">
        <v>3862</v>
      </c>
      <c r="C1004" t="s">
        <v>16</v>
      </c>
      <c r="D1004" s="6">
        <v>32689679.964184761</v>
      </c>
      <c r="E1004" s="6">
        <v>28082679.964184761</v>
      </c>
      <c r="F1004" s="6">
        <v>1.940000057220459</v>
      </c>
      <c r="G1004" s="6">
        <v>1.9099999666213989</v>
      </c>
      <c r="H1004" s="6" t="e">
        <v>#N/A</v>
      </c>
      <c r="I1004" s="6">
        <v>7.7557266561782079E-2</v>
      </c>
      <c r="J1004" s="6" t="e">
        <v>#N/A</v>
      </c>
      <c r="K1004" s="6">
        <v>64.207650273224047</v>
      </c>
      <c r="L1004" t="s">
        <v>17</v>
      </c>
      <c r="M1004" t="s">
        <v>18</v>
      </c>
      <c r="N1004" s="4" t="s">
        <v>3863</v>
      </c>
      <c r="O1004" s="4" t="s">
        <v>3864</v>
      </c>
      <c r="P1004" s="4" t="s">
        <v>233</v>
      </c>
    </row>
    <row r="1005" spans="1:16" x14ac:dyDescent="0.35">
      <c r="A1005" t="s">
        <v>3865</v>
      </c>
      <c r="B1005" t="s">
        <v>3866</v>
      </c>
      <c r="C1005" t="s">
        <v>16</v>
      </c>
      <c r="D1005" s="6">
        <v>5548475640.0910797</v>
      </c>
      <c r="E1005" s="6">
        <v>5134722640.0910797</v>
      </c>
      <c r="F1005" s="6">
        <v>187.00999450683594</v>
      </c>
      <c r="G1005" s="6">
        <v>182.3800048828125</v>
      </c>
      <c r="H1005" s="6">
        <v>106.86285400390625</v>
      </c>
      <c r="I1005" s="6">
        <v>-4.7586431562914644E-2</v>
      </c>
      <c r="J1005" s="6">
        <v>802804000</v>
      </c>
      <c r="K1005" s="6" t="e">
        <v>#N/A</v>
      </c>
      <c r="L1005" t="s">
        <v>17</v>
      </c>
      <c r="M1005" t="s">
        <v>27</v>
      </c>
      <c r="N1005" s="4" t="s">
        <v>3867</v>
      </c>
      <c r="O1005" s="4" t="s">
        <v>3868</v>
      </c>
      <c r="P1005" s="4" t="s">
        <v>233</v>
      </c>
    </row>
    <row r="1006" spans="1:16" x14ac:dyDescent="0.35">
      <c r="A1006" t="s">
        <v>3869</v>
      </c>
      <c r="B1006" t="s">
        <v>3870</v>
      </c>
      <c r="C1006" t="s">
        <v>16</v>
      </c>
      <c r="D1006" s="6">
        <v>9491.4184999999998</v>
      </c>
      <c r="E1006" s="6">
        <v>16695491.418500001</v>
      </c>
      <c r="F1006" s="6">
        <v>5.0000000000000001E-4</v>
      </c>
      <c r="G1006" s="6">
        <v>5.0000000000000001E-4</v>
      </c>
      <c r="H1006" s="6" t="e">
        <v>#N/A</v>
      </c>
      <c r="I1006" s="6">
        <v>-0.98809161928622991</v>
      </c>
      <c r="J1006" s="6">
        <v>0</v>
      </c>
      <c r="K1006" s="6">
        <v>62.668539325842708</v>
      </c>
      <c r="L1006" t="s">
        <v>17</v>
      </c>
      <c r="M1006" t="s">
        <v>18</v>
      </c>
      <c r="N1006" s="4" t="s">
        <v>3871</v>
      </c>
      <c r="O1006" s="4" t="s">
        <v>3872</v>
      </c>
      <c r="P1006" s="4" t="s">
        <v>233</v>
      </c>
    </row>
    <row r="1007" spans="1:16" x14ac:dyDescent="0.35">
      <c r="A1007" t="s">
        <v>3873</v>
      </c>
      <c r="B1007" t="s">
        <v>3874</v>
      </c>
      <c r="C1007" t="s">
        <v>16</v>
      </c>
      <c r="D1007" s="6">
        <v>3481539899.1294289</v>
      </c>
      <c r="E1007" s="6">
        <v>3409080899.1294289</v>
      </c>
      <c r="F1007" s="6">
        <v>37.189998626708984</v>
      </c>
      <c r="G1007" s="6">
        <v>36.119998931884766</v>
      </c>
      <c r="H1007" s="6" t="e">
        <v>#N/A</v>
      </c>
      <c r="I1007" s="6">
        <v>1.3557330810668233</v>
      </c>
      <c r="J1007" s="6">
        <v>0</v>
      </c>
      <c r="K1007" s="6">
        <v>-18.439692319189053</v>
      </c>
      <c r="L1007" t="s">
        <v>17</v>
      </c>
      <c r="M1007" t="s">
        <v>18</v>
      </c>
      <c r="N1007" s="4" t="s">
        <v>3875</v>
      </c>
      <c r="O1007" s="4" t="s">
        <v>3876</v>
      </c>
      <c r="P1007" s="4" t="s">
        <v>233</v>
      </c>
    </row>
    <row r="1008" spans="1:16" x14ac:dyDescent="0.35">
      <c r="A1008" t="s">
        <v>3877</v>
      </c>
      <c r="B1008" t="s">
        <v>3878</v>
      </c>
      <c r="C1008" t="s">
        <v>16</v>
      </c>
      <c r="D1008" s="6">
        <v>1392046222.77688</v>
      </c>
      <c r="E1008" s="6">
        <v>1178861222.77688</v>
      </c>
      <c r="F1008" s="6">
        <v>19.280000686645508</v>
      </c>
      <c r="G1008" s="6">
        <v>19.209999084472656</v>
      </c>
      <c r="H1008" s="6" t="e">
        <v>#N/A</v>
      </c>
      <c r="I1008" s="6">
        <v>-6.1636913806488614E-2</v>
      </c>
      <c r="J1008" s="6">
        <v>384098000</v>
      </c>
      <c r="K1008" s="6">
        <v>-22.745727504484908</v>
      </c>
      <c r="L1008" t="s">
        <v>17</v>
      </c>
      <c r="M1008" t="s">
        <v>18</v>
      </c>
      <c r="N1008" s="4" t="s">
        <v>233</v>
      </c>
      <c r="O1008" s="4" t="s">
        <v>3879</v>
      </c>
      <c r="P1008" s="4" t="s">
        <v>13085</v>
      </c>
    </row>
    <row r="1009" spans="1:16" x14ac:dyDescent="0.35">
      <c r="A1009" t="s">
        <v>3880</v>
      </c>
      <c r="B1009" t="s">
        <v>3881</v>
      </c>
      <c r="C1009" t="s">
        <v>16</v>
      </c>
      <c r="D1009" s="6">
        <v>48759779.89572107</v>
      </c>
      <c r="E1009" s="6">
        <v>55772779.89572107</v>
      </c>
      <c r="F1009" s="6">
        <v>1.4099999666213989</v>
      </c>
      <c r="G1009" s="6">
        <v>1.309999942779541</v>
      </c>
      <c r="H1009" s="6" t="e">
        <v>#N/A</v>
      </c>
      <c r="I1009" s="6">
        <v>-0.10164706204156471</v>
      </c>
      <c r="J1009" s="6">
        <v>0</v>
      </c>
      <c r="K1009" s="6">
        <v>57.432432432432435</v>
      </c>
      <c r="L1009" t="s">
        <v>17</v>
      </c>
      <c r="M1009" t="s">
        <v>87</v>
      </c>
      <c r="N1009" s="4" t="s">
        <v>233</v>
      </c>
      <c r="O1009" s="4" t="s">
        <v>3882</v>
      </c>
      <c r="P1009" s="4" t="s">
        <v>13142</v>
      </c>
    </row>
    <row r="1010" spans="1:16" x14ac:dyDescent="0.35">
      <c r="A1010" t="s">
        <v>3883</v>
      </c>
      <c r="B1010" t="s">
        <v>3884</v>
      </c>
      <c r="C1010" t="s">
        <v>16</v>
      </c>
      <c r="D1010" s="6">
        <v>521598520.59173679</v>
      </c>
      <c r="E1010" s="6">
        <v>-83239479.408263206</v>
      </c>
      <c r="F1010" s="6">
        <v>1.9600000381469727</v>
      </c>
      <c r="G1010" s="6">
        <v>1.9099999666213989</v>
      </c>
      <c r="H1010" s="6" t="e">
        <v>#N/A</v>
      </c>
      <c r="I1010" s="6">
        <v>-0.71862357667086718</v>
      </c>
      <c r="J1010" s="6">
        <v>1292000</v>
      </c>
      <c r="K1010" s="6">
        <v>-21.06659109550905</v>
      </c>
      <c r="L1010" t="s">
        <v>17</v>
      </c>
      <c r="M1010" t="s">
        <v>18</v>
      </c>
      <c r="N1010" s="4" t="s">
        <v>3885</v>
      </c>
      <c r="O1010" s="4" t="s">
        <v>3886</v>
      </c>
      <c r="P1010" s="4" t="s">
        <v>233</v>
      </c>
    </row>
    <row r="1011" spans="1:16" x14ac:dyDescent="0.35">
      <c r="A1011" t="s">
        <v>3887</v>
      </c>
      <c r="B1011" t="s">
        <v>3888</v>
      </c>
      <c r="C1011" t="s">
        <v>16</v>
      </c>
      <c r="D1011" s="6">
        <v>23150.514600000002</v>
      </c>
      <c r="E1011" s="6">
        <v>6418806.5146000003</v>
      </c>
      <c r="F1011" s="6" t="e">
        <v>#N/A</v>
      </c>
      <c r="G1011" s="6" t="e">
        <v>#N/A</v>
      </c>
      <c r="H1011" s="6" t="e">
        <v>#N/A</v>
      </c>
      <c r="I1011" s="6">
        <v>145.61287429067906</v>
      </c>
      <c r="J1011" s="6">
        <v>236241</v>
      </c>
      <c r="K1011" s="6">
        <v>91.442614012608132</v>
      </c>
      <c r="L1011" t="s">
        <v>17</v>
      </c>
      <c r="M1011" t="s">
        <v>27</v>
      </c>
      <c r="N1011" s="4" t="s">
        <v>3889</v>
      </c>
      <c r="O1011" s="4" t="s">
        <v>3890</v>
      </c>
      <c r="P1011" s="4" t="s">
        <v>233</v>
      </c>
    </row>
    <row r="1012" spans="1:16" x14ac:dyDescent="0.35">
      <c r="A1012" t="s">
        <v>3891</v>
      </c>
      <c r="B1012" t="s">
        <v>3892</v>
      </c>
      <c r="C1012" t="s">
        <v>16</v>
      </c>
      <c r="D1012" s="6">
        <v>503307906.91197348</v>
      </c>
      <c r="E1012" s="6">
        <v>467169906.91197348</v>
      </c>
      <c r="F1012" s="6">
        <v>6.440000057220459</v>
      </c>
      <c r="G1012" s="6">
        <v>6.2800002098083496</v>
      </c>
      <c r="H1012" s="6" t="e">
        <v>#N/A</v>
      </c>
      <c r="I1012" s="6">
        <v>-3.8702013154876203E-2</v>
      </c>
      <c r="J1012" s="6">
        <v>13929000</v>
      </c>
      <c r="K1012" s="6">
        <v>47.179910842820036</v>
      </c>
      <c r="L1012" t="s">
        <v>17</v>
      </c>
      <c r="M1012" t="s">
        <v>18</v>
      </c>
      <c r="N1012" s="4" t="s">
        <v>233</v>
      </c>
      <c r="O1012" s="4" t="s">
        <v>3893</v>
      </c>
      <c r="P1012" s="4" t="s">
        <v>13088</v>
      </c>
    </row>
    <row r="1013" spans="1:16" x14ac:dyDescent="0.35">
      <c r="A1013" t="s">
        <v>3894</v>
      </c>
      <c r="B1013" t="s">
        <v>3895</v>
      </c>
      <c r="C1013" t="s">
        <v>16</v>
      </c>
      <c r="D1013" s="6">
        <v>81412486929.223511</v>
      </c>
      <c r="E1013" s="6">
        <v>105379486929.22351</v>
      </c>
      <c r="F1013" s="6">
        <v>292.69000244140625</v>
      </c>
      <c r="G1013" s="6">
        <v>295.6099853515625</v>
      </c>
      <c r="H1013" s="6">
        <v>13.253453190003061</v>
      </c>
      <c r="I1013" s="6">
        <v>-0.11748649926439014</v>
      </c>
      <c r="J1013" s="6">
        <v>247121000000</v>
      </c>
      <c r="K1013" s="6">
        <v>-31.018782014797956</v>
      </c>
      <c r="L1013" t="s">
        <v>17</v>
      </c>
      <c r="M1013" t="s">
        <v>40</v>
      </c>
      <c r="N1013" s="4" t="s">
        <v>3896</v>
      </c>
      <c r="O1013" s="4" t="s">
        <v>3897</v>
      </c>
      <c r="P1013" s="4" t="s">
        <v>233</v>
      </c>
    </row>
    <row r="1014" spans="1:16" x14ac:dyDescent="0.35">
      <c r="A1014" t="s">
        <v>3898</v>
      </c>
      <c r="B1014" t="s">
        <v>3899</v>
      </c>
      <c r="C1014" t="s">
        <v>16</v>
      </c>
      <c r="D1014" s="6">
        <v>9105922.2756996155</v>
      </c>
      <c r="E1014" s="6">
        <v>6233922.2756996155</v>
      </c>
      <c r="F1014" s="6">
        <v>3.3599998950958252</v>
      </c>
      <c r="G1014" s="6">
        <v>3.1500000953674316</v>
      </c>
      <c r="H1014" s="6">
        <v>7.2517565980105703</v>
      </c>
      <c r="I1014" s="6">
        <v>6.1437936029803186E-2</v>
      </c>
      <c r="J1014" s="6" t="e">
        <v>#N/A</v>
      </c>
      <c r="K1014" s="6" t="e">
        <v>#N/A</v>
      </c>
      <c r="L1014" t="s">
        <v>17</v>
      </c>
      <c r="M1014" t="s">
        <v>18</v>
      </c>
      <c r="N1014" s="4" t="s">
        <v>3900</v>
      </c>
      <c r="O1014" s="4" t="s">
        <v>3901</v>
      </c>
      <c r="P1014" s="4" t="s">
        <v>233</v>
      </c>
    </row>
    <row r="1015" spans="1:16" x14ac:dyDescent="0.35">
      <c r="A1015" t="s">
        <v>3902</v>
      </c>
      <c r="B1015" t="s">
        <v>3903</v>
      </c>
      <c r="C1015" t="s">
        <v>16</v>
      </c>
      <c r="D1015" s="6">
        <v>55.799918590375455</v>
      </c>
      <c r="E1015" s="6">
        <v>2466055.7999185906</v>
      </c>
      <c r="F1015" s="6">
        <v>9.9999999747524271E-7</v>
      </c>
      <c r="G1015" s="6">
        <v>9.9999999747524271E-7</v>
      </c>
      <c r="H1015" s="6" t="e">
        <v>#N/A</v>
      </c>
      <c r="I1015" s="6">
        <v>-0.99999622335052618</v>
      </c>
      <c r="J1015" s="6" t="e">
        <v>#N/A</v>
      </c>
      <c r="K1015" s="6" t="e">
        <v>#N/A</v>
      </c>
      <c r="L1015" t="s">
        <v>17</v>
      </c>
      <c r="M1015" t="s">
        <v>87</v>
      </c>
      <c r="N1015" s="4" t="s">
        <v>3904</v>
      </c>
      <c r="O1015" s="4" t="s">
        <v>3905</v>
      </c>
      <c r="P1015" s="4" t="s">
        <v>233</v>
      </c>
    </row>
    <row r="1016" spans="1:16" x14ac:dyDescent="0.35">
      <c r="A1016" t="s">
        <v>3906</v>
      </c>
      <c r="B1016" t="s">
        <v>3907</v>
      </c>
      <c r="C1016" t="s">
        <v>16</v>
      </c>
      <c r="D1016" s="6">
        <v>110692384.22390556</v>
      </c>
      <c r="E1016" s="6">
        <v>101786384.22390556</v>
      </c>
      <c r="F1016" s="6">
        <v>16.629999160766602</v>
      </c>
      <c r="G1016" s="6">
        <v>16.25</v>
      </c>
      <c r="H1016" s="6" t="e">
        <v>#N/A</v>
      </c>
      <c r="I1016" s="6">
        <v>1.3205160890618455</v>
      </c>
      <c r="J1016" s="6">
        <v>23327000</v>
      </c>
      <c r="K1016" s="6">
        <v>56.120264045705234</v>
      </c>
      <c r="L1016" t="s">
        <v>17</v>
      </c>
      <c r="M1016" t="s">
        <v>27</v>
      </c>
      <c r="N1016" s="4" t="s">
        <v>3908</v>
      </c>
      <c r="O1016" s="4" t="s">
        <v>3909</v>
      </c>
      <c r="P1016" s="4" t="s">
        <v>233</v>
      </c>
    </row>
    <row r="1017" spans="1:16" x14ac:dyDescent="0.35">
      <c r="A1017" t="s">
        <v>3910</v>
      </c>
      <c r="B1017" t="s">
        <v>3911</v>
      </c>
      <c r="C1017" t="s">
        <v>16</v>
      </c>
      <c r="D1017" s="6">
        <v>58867143.840765953</v>
      </c>
      <c r="E1017" s="6">
        <v>83021143.840765953</v>
      </c>
      <c r="F1017" s="6">
        <v>0.64999997615814209</v>
      </c>
      <c r="G1017" s="6">
        <v>0.64999997615814209</v>
      </c>
      <c r="H1017" s="6" t="e">
        <v>#N/A</v>
      </c>
      <c r="I1017" s="6">
        <v>-0.88628120294687984</v>
      </c>
      <c r="J1017" s="6">
        <v>9210000</v>
      </c>
      <c r="K1017" s="6">
        <v>-71.028037383177562</v>
      </c>
      <c r="L1017" t="s">
        <v>17</v>
      </c>
      <c r="M1017" t="s">
        <v>87</v>
      </c>
      <c r="N1017" s="4" t="s">
        <v>3912</v>
      </c>
      <c r="O1017" s="4" t="s">
        <v>3913</v>
      </c>
      <c r="P1017" s="4" t="s">
        <v>233</v>
      </c>
    </row>
    <row r="1018" spans="1:16" x14ac:dyDescent="0.35">
      <c r="A1018" t="s">
        <v>3914</v>
      </c>
      <c r="B1018" t="s">
        <v>3915</v>
      </c>
      <c r="C1018" t="s">
        <v>16</v>
      </c>
      <c r="D1018" s="6">
        <v>43047710.495821953</v>
      </c>
      <c r="E1018" s="6">
        <v>-92341289.504178047</v>
      </c>
      <c r="F1018" s="6">
        <v>5.9000000953674316</v>
      </c>
      <c r="G1018" s="6">
        <v>5.9699997901916504</v>
      </c>
      <c r="H1018" s="6" t="e">
        <v>#N/A</v>
      </c>
      <c r="I1018" s="6">
        <v>-0.32881267389254309</v>
      </c>
      <c r="J1018" s="6">
        <v>0</v>
      </c>
      <c r="K1018" s="6">
        <v>-213.11475409836063</v>
      </c>
      <c r="L1018" t="s">
        <v>17</v>
      </c>
      <c r="M1018" t="s">
        <v>18</v>
      </c>
      <c r="N1018" s="4" t="s">
        <v>13011</v>
      </c>
      <c r="O1018" s="4" t="s">
        <v>13012</v>
      </c>
      <c r="P1018" s="4" t="s">
        <v>233</v>
      </c>
    </row>
    <row r="1019" spans="1:16" x14ac:dyDescent="0.35">
      <c r="A1019" t="s">
        <v>3916</v>
      </c>
      <c r="B1019" t="s">
        <v>3917</v>
      </c>
      <c r="C1019" t="s">
        <v>16</v>
      </c>
      <c r="D1019" s="6">
        <v>681026171.42420769</v>
      </c>
      <c r="E1019" s="6">
        <v>400214171.42420769</v>
      </c>
      <c r="F1019" s="6">
        <v>23.010000228881836</v>
      </c>
      <c r="G1019" s="6">
        <v>22.760000228881836</v>
      </c>
      <c r="H1019" s="6" t="e">
        <v>#N/A</v>
      </c>
      <c r="I1019" s="6">
        <v>-9.4447493078575473E-3</v>
      </c>
      <c r="J1019" s="6">
        <v>5366000</v>
      </c>
      <c r="K1019" s="6">
        <v>85.78503885574338</v>
      </c>
      <c r="L1019" t="s">
        <v>17</v>
      </c>
      <c r="M1019" t="s">
        <v>18</v>
      </c>
      <c r="N1019" s="4" t="s">
        <v>3918</v>
      </c>
      <c r="O1019" s="4" t="s">
        <v>3919</v>
      </c>
      <c r="P1019" s="4" t="s">
        <v>233</v>
      </c>
    </row>
    <row r="1020" spans="1:16" x14ac:dyDescent="0.35">
      <c r="A1020" t="s">
        <v>3920</v>
      </c>
      <c r="B1020" t="s">
        <v>3921</v>
      </c>
      <c r="C1020" t="s">
        <v>16</v>
      </c>
      <c r="D1020" s="6">
        <v>582772073.43512344</v>
      </c>
      <c r="E1020" s="6">
        <v>426661073.43512344</v>
      </c>
      <c r="F1020" s="6">
        <v>31.600000381469727</v>
      </c>
      <c r="G1020" s="6">
        <v>31.069999694824219</v>
      </c>
      <c r="H1020" s="6" t="e">
        <v>#N/A</v>
      </c>
      <c r="I1020" s="6">
        <v>1.0217299958256958</v>
      </c>
      <c r="J1020" s="6">
        <v>0</v>
      </c>
      <c r="K1020" s="6">
        <v>-798.44407407387098</v>
      </c>
      <c r="L1020" t="s">
        <v>17</v>
      </c>
      <c r="M1020" t="s">
        <v>18</v>
      </c>
      <c r="N1020" s="4" t="s">
        <v>3922</v>
      </c>
      <c r="O1020" s="4" t="s">
        <v>3923</v>
      </c>
      <c r="P1020" s="4" t="s">
        <v>233</v>
      </c>
    </row>
    <row r="1021" spans="1:16" x14ac:dyDescent="0.35">
      <c r="A1021" t="s">
        <v>3924</v>
      </c>
      <c r="B1021" t="s">
        <v>3925</v>
      </c>
      <c r="C1021" t="s">
        <v>16</v>
      </c>
      <c r="D1021" s="6">
        <v>890116068.29727554</v>
      </c>
      <c r="E1021" s="6">
        <v>992338068.29727554</v>
      </c>
      <c r="F1021" s="6">
        <v>0.94929999113082886</v>
      </c>
      <c r="G1021" s="6">
        <v>0.92699998617172241</v>
      </c>
      <c r="H1021" s="6" t="e">
        <v>#N/A</v>
      </c>
      <c r="I1021" s="6">
        <v>-0.49677898207890991</v>
      </c>
      <c r="J1021" s="6">
        <v>829216000</v>
      </c>
      <c r="K1021" s="6">
        <v>86.486486486486484</v>
      </c>
      <c r="L1021" t="s">
        <v>17</v>
      </c>
      <c r="M1021" t="s">
        <v>87</v>
      </c>
      <c r="N1021" s="4" t="s">
        <v>3926</v>
      </c>
      <c r="O1021" s="4" t="s">
        <v>3927</v>
      </c>
      <c r="P1021" s="4" t="s">
        <v>233</v>
      </c>
    </row>
    <row r="1022" spans="1:16" x14ac:dyDescent="0.35">
      <c r="A1022" t="s">
        <v>3928</v>
      </c>
      <c r="B1022" t="s">
        <v>3929</v>
      </c>
      <c r="C1022" t="s">
        <v>16</v>
      </c>
      <c r="D1022" s="6">
        <v>844416147.00786209</v>
      </c>
      <c r="E1022" s="6">
        <v>1004052147.0078621</v>
      </c>
      <c r="F1022" s="6">
        <v>30.159999847412109</v>
      </c>
      <c r="G1022" s="6">
        <v>29.709999084472656</v>
      </c>
      <c r="H1022" s="6" t="e">
        <v>#N/A</v>
      </c>
      <c r="I1022" s="6">
        <v>-0.22986502439030554</v>
      </c>
      <c r="J1022" s="6">
        <v>153071000</v>
      </c>
      <c r="K1022" s="6">
        <v>7.8571428571428488</v>
      </c>
      <c r="L1022" t="s">
        <v>17</v>
      </c>
      <c r="M1022" t="s">
        <v>27</v>
      </c>
      <c r="N1022" s="4" t="s">
        <v>233</v>
      </c>
      <c r="O1022" s="4" t="s">
        <v>3930</v>
      </c>
      <c r="P1022" s="4" t="s">
        <v>13143</v>
      </c>
    </row>
    <row r="1023" spans="1:16" x14ac:dyDescent="0.35">
      <c r="A1023" t="s">
        <v>3931</v>
      </c>
      <c r="B1023" t="s">
        <v>3932</v>
      </c>
      <c r="C1023" t="s">
        <v>16</v>
      </c>
      <c r="D1023" s="6">
        <v>1062033827.0521193</v>
      </c>
      <c r="E1023" s="6">
        <v>717234827.05211926</v>
      </c>
      <c r="F1023" s="6">
        <v>13.789999961853027</v>
      </c>
      <c r="G1023" s="6">
        <v>12.359999656677246</v>
      </c>
      <c r="H1023" s="6" t="e">
        <v>#N/A</v>
      </c>
      <c r="I1023" s="6">
        <v>0.73198286949123426</v>
      </c>
      <c r="J1023" s="6">
        <v>0</v>
      </c>
      <c r="K1023" s="6">
        <v>2.8423539995142013</v>
      </c>
      <c r="L1023" t="s">
        <v>17</v>
      </c>
      <c r="M1023" t="s">
        <v>18</v>
      </c>
      <c r="N1023" s="4" t="s">
        <v>3933</v>
      </c>
      <c r="O1023" s="4" t="s">
        <v>3934</v>
      </c>
      <c r="P1023" s="4" t="s">
        <v>233</v>
      </c>
    </row>
    <row r="1024" spans="1:16" x14ac:dyDescent="0.35">
      <c r="A1024" t="s">
        <v>3935</v>
      </c>
      <c r="B1024" t="s">
        <v>3936</v>
      </c>
      <c r="C1024" t="s">
        <v>16</v>
      </c>
      <c r="D1024" s="6">
        <v>3265291761.7661667</v>
      </c>
      <c r="E1024" s="6">
        <v>2455162761.7661667</v>
      </c>
      <c r="F1024" s="6">
        <v>35.209999084472656</v>
      </c>
      <c r="G1024" s="6">
        <v>34.069999694824219</v>
      </c>
      <c r="H1024" s="6" t="e">
        <v>#N/A</v>
      </c>
      <c r="I1024" s="6">
        <v>-0.10380221999629979</v>
      </c>
      <c r="J1024" s="6">
        <v>1039000</v>
      </c>
      <c r="K1024" s="6">
        <v>-2.4725274725274811</v>
      </c>
      <c r="L1024" t="s">
        <v>17</v>
      </c>
      <c r="M1024" t="s">
        <v>18</v>
      </c>
      <c r="N1024" s="4" t="s">
        <v>3937</v>
      </c>
      <c r="O1024" s="4" t="s">
        <v>3938</v>
      </c>
      <c r="P1024" s="4" t="s">
        <v>233</v>
      </c>
    </row>
    <row r="1025" spans="1:16" x14ac:dyDescent="0.35">
      <c r="A1025" t="s">
        <v>3939</v>
      </c>
      <c r="B1025" t="s">
        <v>3940</v>
      </c>
      <c r="C1025" t="s">
        <v>16</v>
      </c>
      <c r="D1025" s="6">
        <v>23631390.490060985</v>
      </c>
      <c r="E1025" s="6">
        <v>-30081609.509939015</v>
      </c>
      <c r="F1025" s="6">
        <v>0.26449999213218689</v>
      </c>
      <c r="G1025" s="6">
        <v>0.26800000667572021</v>
      </c>
      <c r="H1025" s="6" t="e">
        <v>#N/A</v>
      </c>
      <c r="I1025" s="6">
        <v>-0.80884763044268904</v>
      </c>
      <c r="J1025" s="6">
        <v>0</v>
      </c>
      <c r="K1025" s="6">
        <v>-5.7291666666666838</v>
      </c>
      <c r="L1025" t="s">
        <v>17</v>
      </c>
      <c r="M1025" t="s">
        <v>18</v>
      </c>
      <c r="N1025" s="4" t="s">
        <v>3941</v>
      </c>
      <c r="O1025" s="4" t="s">
        <v>3942</v>
      </c>
      <c r="P1025" s="4" t="s">
        <v>233</v>
      </c>
    </row>
    <row r="1026" spans="1:16" x14ac:dyDescent="0.35">
      <c r="A1026" t="s">
        <v>3943</v>
      </c>
      <c r="B1026" t="s">
        <v>3944</v>
      </c>
      <c r="C1026" t="s">
        <v>16</v>
      </c>
      <c r="D1026" s="6">
        <v>309094083.83497304</v>
      </c>
      <c r="E1026" s="6">
        <v>268070083.83497304</v>
      </c>
      <c r="F1026" s="6">
        <v>3.3900001049041748</v>
      </c>
      <c r="G1026" s="6">
        <v>2.940000057220459</v>
      </c>
      <c r="H1026" s="6" t="e">
        <v>#N/A</v>
      </c>
      <c r="I1026" s="6">
        <v>0.22315155170828382</v>
      </c>
      <c r="J1026" s="6">
        <v>58900000</v>
      </c>
      <c r="K1026" s="6">
        <v>-114.28571428571428</v>
      </c>
      <c r="L1026" t="s">
        <v>17</v>
      </c>
      <c r="M1026" t="s">
        <v>87</v>
      </c>
      <c r="N1026" s="4" t="s">
        <v>3945</v>
      </c>
      <c r="O1026" s="4" t="s">
        <v>3946</v>
      </c>
      <c r="P1026" s="4" t="s">
        <v>233</v>
      </c>
    </row>
    <row r="1027" spans="1:16" x14ac:dyDescent="0.35">
      <c r="A1027" t="s">
        <v>3947</v>
      </c>
      <c r="B1027" t="s">
        <v>3948</v>
      </c>
      <c r="C1027" t="s">
        <v>16</v>
      </c>
      <c r="D1027" s="6">
        <v>1375768203.3251209</v>
      </c>
      <c r="E1027" s="6">
        <v>1174091203.3251209</v>
      </c>
      <c r="F1027" s="6">
        <v>16.254999160766602</v>
      </c>
      <c r="G1027" s="6">
        <v>15.970000267028809</v>
      </c>
      <c r="H1027" s="6" t="e">
        <v>#N/A</v>
      </c>
      <c r="I1027" s="6">
        <v>7.9124053609586076E-2</v>
      </c>
      <c r="J1027" s="6">
        <v>15610000</v>
      </c>
      <c r="K1027" s="6">
        <v>-84.804818576857926</v>
      </c>
      <c r="L1027" t="s">
        <v>17</v>
      </c>
      <c r="M1027" t="s">
        <v>87</v>
      </c>
      <c r="N1027" s="4" t="s">
        <v>3949</v>
      </c>
      <c r="O1027" s="4" t="s">
        <v>3950</v>
      </c>
      <c r="P1027" s="4" t="s">
        <v>233</v>
      </c>
    </row>
    <row r="1028" spans="1:16" x14ac:dyDescent="0.35">
      <c r="A1028" t="s">
        <v>3951</v>
      </c>
      <c r="B1028" t="s">
        <v>3952</v>
      </c>
      <c r="C1028" t="s">
        <v>16</v>
      </c>
      <c r="D1028" s="6">
        <v>12514269.839806417</v>
      </c>
      <c r="E1028" s="6">
        <v>23013269.839806415</v>
      </c>
      <c r="F1028" s="6">
        <v>5.369999885559082</v>
      </c>
      <c r="G1028" s="6">
        <v>5.3499999046325684</v>
      </c>
      <c r="H1028" s="6" t="e">
        <v>#N/A</v>
      </c>
      <c r="I1028" s="6">
        <v>-0.93064727532333491</v>
      </c>
      <c r="J1028" s="6">
        <v>33334000</v>
      </c>
      <c r="K1028" s="6">
        <v>62.196409201795539</v>
      </c>
      <c r="L1028" t="s">
        <v>17</v>
      </c>
      <c r="M1028" t="s">
        <v>100</v>
      </c>
      <c r="N1028" s="4" t="s">
        <v>13437</v>
      </c>
      <c r="O1028" s="4" t="s">
        <v>13438</v>
      </c>
      <c r="P1028" s="4" t="s">
        <v>233</v>
      </c>
    </row>
    <row r="1029" spans="1:16" x14ac:dyDescent="0.35">
      <c r="A1029" t="s">
        <v>3953</v>
      </c>
      <c r="B1029" t="s">
        <v>3954</v>
      </c>
      <c r="C1029" t="s">
        <v>16</v>
      </c>
      <c r="D1029" s="6">
        <v>1657472092.9084823</v>
      </c>
      <c r="E1029" s="6">
        <v>1672729041.9084823</v>
      </c>
      <c r="F1029" s="6">
        <v>9.6999998092651367</v>
      </c>
      <c r="G1029" s="6">
        <v>9.25</v>
      </c>
      <c r="H1029" s="6" t="e">
        <v>#N/A</v>
      </c>
      <c r="I1029" s="6">
        <v>0.76090443593585189</v>
      </c>
      <c r="J1029" s="6">
        <v>17520448</v>
      </c>
      <c r="K1029" s="6">
        <v>87.510110319403566</v>
      </c>
      <c r="L1029" t="s">
        <v>17</v>
      </c>
      <c r="M1029" t="s">
        <v>27</v>
      </c>
      <c r="N1029" s="4" t="s">
        <v>3955</v>
      </c>
      <c r="O1029" s="4" t="s">
        <v>3956</v>
      </c>
      <c r="P1029" s="4" t="s">
        <v>233</v>
      </c>
    </row>
    <row r="1030" spans="1:16" x14ac:dyDescent="0.35">
      <c r="A1030" t="s">
        <v>3957</v>
      </c>
      <c r="B1030" t="s">
        <v>3958</v>
      </c>
      <c r="C1030" t="s">
        <v>16</v>
      </c>
      <c r="D1030" s="6">
        <v>2989687.138017654</v>
      </c>
      <c r="E1030" s="6">
        <v>1892687.138017654</v>
      </c>
      <c r="F1030" s="6">
        <v>1.1499999761581421</v>
      </c>
      <c r="G1030" s="6">
        <v>1.0399999618530273</v>
      </c>
      <c r="H1030" s="6" t="e">
        <v>#N/A</v>
      </c>
      <c r="I1030" s="6">
        <v>-0.88995803624080938</v>
      </c>
      <c r="J1030" s="6">
        <v>388000</v>
      </c>
      <c r="K1030" s="6">
        <v>81.106774666807084</v>
      </c>
      <c r="L1030" t="s">
        <v>17</v>
      </c>
      <c r="M1030" t="s">
        <v>18</v>
      </c>
      <c r="N1030" s="4" t="s">
        <v>3959</v>
      </c>
      <c r="O1030" s="4" t="s">
        <v>3960</v>
      </c>
      <c r="P1030" s="4" t="s">
        <v>233</v>
      </c>
    </row>
    <row r="1031" spans="1:16" x14ac:dyDescent="0.35">
      <c r="A1031" t="s">
        <v>3961</v>
      </c>
      <c r="B1031" t="s">
        <v>3962</v>
      </c>
      <c r="C1031" t="s">
        <v>16</v>
      </c>
      <c r="D1031" s="6">
        <v>40903088.751995087</v>
      </c>
      <c r="E1031" s="6">
        <v>55182088.751995087</v>
      </c>
      <c r="F1031" s="6">
        <v>4.5999999046325684</v>
      </c>
      <c r="G1031" s="6">
        <v>4.5999999046325684</v>
      </c>
      <c r="H1031" s="6" t="e">
        <v>#N/A</v>
      </c>
      <c r="I1031" s="6">
        <v>-0.65750309836316301</v>
      </c>
      <c r="J1031" s="6">
        <v>126000</v>
      </c>
      <c r="K1031" s="6">
        <v>55.472534254481488</v>
      </c>
      <c r="L1031" t="s">
        <v>17</v>
      </c>
      <c r="M1031" t="s">
        <v>18</v>
      </c>
      <c r="N1031" s="4" t="s">
        <v>3963</v>
      </c>
      <c r="O1031" s="4" t="s">
        <v>3964</v>
      </c>
      <c r="P1031" s="4" t="s">
        <v>233</v>
      </c>
    </row>
    <row r="1032" spans="1:16" x14ac:dyDescent="0.35">
      <c r="A1032" t="s">
        <v>3965</v>
      </c>
      <c r="B1032" t="s">
        <v>3966</v>
      </c>
      <c r="C1032" t="s">
        <v>16</v>
      </c>
      <c r="D1032" s="6">
        <v>3178595.8049951796</v>
      </c>
      <c r="E1032" s="6">
        <v>2294595.8049951796</v>
      </c>
      <c r="F1032" s="6">
        <v>0.3596000075340271</v>
      </c>
      <c r="G1032" s="6">
        <v>0.36899998784065247</v>
      </c>
      <c r="H1032" s="6" t="e">
        <v>#N/A</v>
      </c>
      <c r="I1032" s="6">
        <v>-0.90950631346353128</v>
      </c>
      <c r="J1032" s="6">
        <v>399000</v>
      </c>
      <c r="K1032" s="6">
        <v>80.520973701776711</v>
      </c>
      <c r="L1032" t="s">
        <v>17</v>
      </c>
      <c r="M1032" t="s">
        <v>27</v>
      </c>
      <c r="N1032" s="4" t="s">
        <v>3967</v>
      </c>
      <c r="O1032" s="4" t="s">
        <v>3968</v>
      </c>
      <c r="P1032" s="4" t="s">
        <v>233</v>
      </c>
    </row>
    <row r="1033" spans="1:16" x14ac:dyDescent="0.35">
      <c r="A1033" t="s">
        <v>3969</v>
      </c>
      <c r="B1033" t="s">
        <v>3970</v>
      </c>
      <c r="C1033" t="s">
        <v>16</v>
      </c>
      <c r="D1033" s="6">
        <v>4457.4020999999993</v>
      </c>
      <c r="E1033" s="6">
        <v>4809457.4020999996</v>
      </c>
      <c r="F1033" s="6">
        <v>1E-4</v>
      </c>
      <c r="G1033" s="6">
        <v>1E-4</v>
      </c>
      <c r="H1033" s="6" t="e">
        <v>#N/A</v>
      </c>
      <c r="I1033" s="6">
        <v>-0.99854355321962773</v>
      </c>
      <c r="J1033" s="6">
        <v>22359000</v>
      </c>
      <c r="K1033" s="6">
        <v>91.213057222114699</v>
      </c>
      <c r="L1033" t="s">
        <v>17</v>
      </c>
      <c r="M1033" t="s">
        <v>18</v>
      </c>
      <c r="N1033" s="4" t="s">
        <v>3971</v>
      </c>
      <c r="O1033" s="4" t="s">
        <v>3972</v>
      </c>
      <c r="P1033" s="4" t="s">
        <v>233</v>
      </c>
    </row>
    <row r="1034" spans="1:16" x14ac:dyDescent="0.35">
      <c r="A1034" t="s">
        <v>3973</v>
      </c>
      <c r="B1034" t="s">
        <v>3974</v>
      </c>
      <c r="C1034" t="s">
        <v>16</v>
      </c>
      <c r="D1034" s="6">
        <v>87103102.352106914</v>
      </c>
      <c r="E1034" s="6">
        <v>81627285.352106914</v>
      </c>
      <c r="F1034" s="6">
        <v>1.8700000047683716</v>
      </c>
      <c r="G1034" s="6">
        <v>1.8899999856948853</v>
      </c>
      <c r="H1034" s="6" t="e">
        <v>#N/A</v>
      </c>
      <c r="I1034" s="6">
        <v>-0.57206538040235477</v>
      </c>
      <c r="J1034" s="6">
        <v>0</v>
      </c>
      <c r="K1034" s="6">
        <v>32.890173029965979</v>
      </c>
      <c r="L1034" t="s">
        <v>17</v>
      </c>
      <c r="M1034" t="s">
        <v>87</v>
      </c>
      <c r="N1034" s="4" t="s">
        <v>3975</v>
      </c>
      <c r="O1034" s="4" t="s">
        <v>3976</v>
      </c>
      <c r="P1034" s="4" t="s">
        <v>233</v>
      </c>
    </row>
    <row r="1035" spans="1:16" x14ac:dyDescent="0.35">
      <c r="A1035" t="s">
        <v>3977</v>
      </c>
      <c r="B1035" t="s">
        <v>3978</v>
      </c>
      <c r="C1035" t="s">
        <v>16</v>
      </c>
      <c r="D1035" s="6">
        <v>5625735011.6141891</v>
      </c>
      <c r="E1035" s="6">
        <v>9492735011.6141891</v>
      </c>
      <c r="F1035" s="6">
        <v>11.380000114440918</v>
      </c>
      <c r="G1035" s="6">
        <v>11.289999961853027</v>
      </c>
      <c r="H1035" s="6" t="e">
        <v>#N/A</v>
      </c>
      <c r="I1035" s="6">
        <v>-0.2955517439655817</v>
      </c>
      <c r="J1035" s="6">
        <v>4454000000</v>
      </c>
      <c r="K1035" s="6" t="e">
        <v>#N/A</v>
      </c>
      <c r="L1035" t="s">
        <v>17</v>
      </c>
      <c r="M1035" t="s">
        <v>87</v>
      </c>
      <c r="N1035" s="4" t="s">
        <v>3979</v>
      </c>
      <c r="O1035" s="4" t="s">
        <v>3980</v>
      </c>
      <c r="P1035" s="4" t="s">
        <v>233</v>
      </c>
    </row>
    <row r="1036" spans="1:16" x14ac:dyDescent="0.35">
      <c r="A1036" t="s">
        <v>3981</v>
      </c>
      <c r="B1036" t="s">
        <v>3982</v>
      </c>
      <c r="C1036" t="s">
        <v>16</v>
      </c>
      <c r="D1036" s="6">
        <v>3589939686.7995601</v>
      </c>
      <c r="E1036" s="6">
        <v>4068539686.7995601</v>
      </c>
      <c r="F1036" s="6">
        <v>20.860000610351563</v>
      </c>
      <c r="G1036" s="6">
        <v>20.770000457763672</v>
      </c>
      <c r="H1036" s="6" t="e">
        <v>#N/A</v>
      </c>
      <c r="I1036" s="6">
        <v>-8.4865369184413453E-2</v>
      </c>
      <c r="J1036" s="6">
        <v>2510600000</v>
      </c>
      <c r="K1036" s="6">
        <v>-983.33333333333337</v>
      </c>
      <c r="L1036" t="s">
        <v>17</v>
      </c>
      <c r="M1036" t="s">
        <v>27</v>
      </c>
      <c r="N1036" s="4" t="s">
        <v>3983</v>
      </c>
      <c r="O1036" s="4" t="s">
        <v>3984</v>
      </c>
      <c r="P1036" s="4" t="s">
        <v>233</v>
      </c>
    </row>
    <row r="1037" spans="1:16" x14ac:dyDescent="0.35">
      <c r="A1037" t="s">
        <v>3985</v>
      </c>
      <c r="B1037" t="s">
        <v>3986</v>
      </c>
      <c r="C1037" t="s">
        <v>16</v>
      </c>
      <c r="D1037" s="6">
        <v>438698732.09312439</v>
      </c>
      <c r="E1037" s="6">
        <v>422763732.09312439</v>
      </c>
      <c r="F1037" s="6">
        <v>16.979999542236328</v>
      </c>
      <c r="G1037" s="6">
        <v>16.780000686645508</v>
      </c>
      <c r="H1037" s="6" t="e">
        <v>#N/A</v>
      </c>
      <c r="I1037" s="6">
        <v>2.8361833888717207</v>
      </c>
      <c r="J1037" s="6">
        <v>34677000</v>
      </c>
      <c r="K1037" s="6" t="e">
        <v>#N/A</v>
      </c>
      <c r="L1037" t="s">
        <v>17</v>
      </c>
      <c r="M1037" t="s">
        <v>87</v>
      </c>
      <c r="N1037" s="4" t="s">
        <v>3987</v>
      </c>
      <c r="O1037" s="4" t="s">
        <v>3988</v>
      </c>
      <c r="P1037" s="4" t="s">
        <v>233</v>
      </c>
    </row>
    <row r="1038" spans="1:16" x14ac:dyDescent="0.35">
      <c r="A1038" t="s">
        <v>12980</v>
      </c>
      <c r="B1038" t="s">
        <v>3989</v>
      </c>
      <c r="C1038" t="s">
        <v>16</v>
      </c>
      <c r="D1038" s="6">
        <v>1181.0907101631385</v>
      </c>
      <c r="E1038" s="6">
        <v>46783181.090710163</v>
      </c>
      <c r="F1038" s="6">
        <v>9.9999999747524271E-7</v>
      </c>
      <c r="G1038" s="6">
        <v>9.9999999747524271E-7</v>
      </c>
      <c r="H1038" s="6" t="e">
        <v>#N/A</v>
      </c>
      <c r="I1038" s="6">
        <v>-0.99999953743457182</v>
      </c>
      <c r="J1038" s="6">
        <v>14609000</v>
      </c>
      <c r="K1038" s="6">
        <v>13.286111042761188</v>
      </c>
      <c r="L1038" t="s">
        <v>17</v>
      </c>
      <c r="M1038" t="s">
        <v>18</v>
      </c>
      <c r="N1038" s="4" t="s">
        <v>12981</v>
      </c>
      <c r="O1038" s="4" t="s">
        <v>12982</v>
      </c>
      <c r="P1038" s="4" t="s">
        <v>233</v>
      </c>
    </row>
    <row r="1039" spans="1:16" x14ac:dyDescent="0.35">
      <c r="A1039" t="s">
        <v>3990</v>
      </c>
      <c r="B1039" t="s">
        <v>3991</v>
      </c>
      <c r="C1039" t="s">
        <v>16</v>
      </c>
      <c r="D1039" s="6">
        <v>265599212.99144554</v>
      </c>
      <c r="E1039" s="6">
        <v>198552212.99144554</v>
      </c>
      <c r="F1039" s="6">
        <v>5.929999828338623</v>
      </c>
      <c r="G1039" s="6">
        <v>5.6700000762939453</v>
      </c>
      <c r="H1039" s="6" t="e">
        <v>#N/A</v>
      </c>
      <c r="I1039" s="6">
        <v>-0.58604827778729685</v>
      </c>
      <c r="J1039" s="6">
        <v>84553000</v>
      </c>
      <c r="K1039" s="6">
        <v>-21.757364629485586</v>
      </c>
      <c r="L1039" t="s">
        <v>17</v>
      </c>
      <c r="M1039" t="s">
        <v>18</v>
      </c>
      <c r="N1039" s="4" t="s">
        <v>3992</v>
      </c>
      <c r="O1039" s="4" t="s">
        <v>3993</v>
      </c>
      <c r="P1039" s="4" t="s">
        <v>233</v>
      </c>
    </row>
    <row r="1040" spans="1:16" x14ac:dyDescent="0.35">
      <c r="A1040" t="s">
        <v>3994</v>
      </c>
      <c r="B1040" t="s">
        <v>3995</v>
      </c>
      <c r="C1040" t="s">
        <v>16</v>
      </c>
      <c r="D1040" s="6">
        <v>132758548.42958154</v>
      </c>
      <c r="E1040" s="6">
        <v>-230631451.57041854</v>
      </c>
      <c r="F1040" s="6">
        <v>1.6100000143051147</v>
      </c>
      <c r="G1040" s="6">
        <v>1.6000000238418579</v>
      </c>
      <c r="H1040" s="6" t="e">
        <v>#N/A</v>
      </c>
      <c r="I1040" s="6">
        <v>-0.66908085898797265</v>
      </c>
      <c r="J1040" s="6">
        <v>160955000</v>
      </c>
      <c r="K1040" s="6">
        <v>44.235184565767696</v>
      </c>
      <c r="L1040" t="s">
        <v>17</v>
      </c>
      <c r="M1040" t="s">
        <v>18</v>
      </c>
      <c r="N1040" s="4" t="s">
        <v>3996</v>
      </c>
      <c r="O1040" s="4" t="s">
        <v>3997</v>
      </c>
      <c r="P1040" s="4" t="s">
        <v>233</v>
      </c>
    </row>
    <row r="1041" spans="1:16" x14ac:dyDescent="0.35">
      <c r="A1041" t="s">
        <v>3998</v>
      </c>
      <c r="B1041" t="s">
        <v>3999</v>
      </c>
      <c r="C1041" t="s">
        <v>16</v>
      </c>
      <c r="D1041" s="6">
        <v>1234455065.1187706</v>
      </c>
      <c r="E1041" s="6">
        <v>204755065.1187706</v>
      </c>
      <c r="F1041" s="6">
        <v>17.950000762939453</v>
      </c>
      <c r="G1041" s="6">
        <v>17.510000228881836</v>
      </c>
      <c r="H1041" s="6" t="e">
        <v>#N/A</v>
      </c>
      <c r="I1041" s="6">
        <v>-0.64827158331245649</v>
      </c>
      <c r="J1041" s="6">
        <v>263399999.99999997</v>
      </c>
      <c r="K1041" s="6">
        <v>58.157099697885194</v>
      </c>
      <c r="L1041" t="s">
        <v>17</v>
      </c>
      <c r="M1041" t="s">
        <v>87</v>
      </c>
      <c r="N1041" s="4" t="s">
        <v>4000</v>
      </c>
      <c r="O1041" s="4" t="s">
        <v>4001</v>
      </c>
      <c r="P1041" s="4" t="s">
        <v>233</v>
      </c>
    </row>
    <row r="1042" spans="1:16" x14ac:dyDescent="0.35">
      <c r="A1042" t="s">
        <v>4002</v>
      </c>
      <c r="B1042" t="s">
        <v>4003</v>
      </c>
      <c r="C1042" t="s">
        <v>16</v>
      </c>
      <c r="D1042" s="6">
        <v>202434480.16743562</v>
      </c>
      <c r="E1042" s="6">
        <v>171795480.16743562</v>
      </c>
      <c r="F1042" s="6">
        <v>9.130000114440918</v>
      </c>
      <c r="G1042" s="6">
        <v>8.5</v>
      </c>
      <c r="H1042" s="6" t="e">
        <v>#N/A</v>
      </c>
      <c r="I1042" s="6">
        <v>-0.26250042714777877</v>
      </c>
      <c r="J1042" s="6">
        <v>42000</v>
      </c>
      <c r="K1042" s="6">
        <v>-42.721368749885222</v>
      </c>
      <c r="L1042" t="s">
        <v>17</v>
      </c>
      <c r="M1042" t="s">
        <v>18</v>
      </c>
      <c r="N1042" s="4" t="s">
        <v>4004</v>
      </c>
      <c r="O1042" s="4" t="s">
        <v>4005</v>
      </c>
      <c r="P1042" s="4" t="s">
        <v>233</v>
      </c>
    </row>
    <row r="1043" spans="1:16" x14ac:dyDescent="0.35">
      <c r="A1043" t="s">
        <v>4006</v>
      </c>
      <c r="B1043" t="s">
        <v>4007</v>
      </c>
      <c r="C1043" t="s">
        <v>16</v>
      </c>
      <c r="D1043" s="6">
        <v>9640060.5852208119</v>
      </c>
      <c r="E1043" s="6">
        <v>-5089815.4147791881</v>
      </c>
      <c r="F1043" s="6">
        <v>1.2699999809265137</v>
      </c>
      <c r="G1043" s="6">
        <v>1.3300000429153442</v>
      </c>
      <c r="H1043" s="6" t="e">
        <v>#N/A</v>
      </c>
      <c r="I1043" s="6">
        <v>-0.16406338127803977</v>
      </c>
      <c r="J1043" s="6">
        <v>723337.5</v>
      </c>
      <c r="K1043" s="6">
        <v>62.393162393162399</v>
      </c>
      <c r="L1043" t="s">
        <v>17</v>
      </c>
      <c r="M1043" t="s">
        <v>18</v>
      </c>
      <c r="N1043" s="4" t="s">
        <v>233</v>
      </c>
      <c r="O1043" s="4" t="s">
        <v>4008</v>
      </c>
      <c r="P1043" s="4" t="s">
        <v>13144</v>
      </c>
    </row>
    <row r="1044" spans="1:16" x14ac:dyDescent="0.35">
      <c r="A1044" t="s">
        <v>4009</v>
      </c>
      <c r="B1044" t="s">
        <v>4010</v>
      </c>
      <c r="C1044" t="s">
        <v>16</v>
      </c>
      <c r="D1044" s="6">
        <v>5606908424.5305634</v>
      </c>
      <c r="E1044" s="6">
        <v>5947254424.5305634</v>
      </c>
      <c r="F1044" s="6">
        <v>45.380001068115234</v>
      </c>
      <c r="G1044" s="6">
        <v>42.5</v>
      </c>
      <c r="H1044" s="6" t="e">
        <v>#N/A</v>
      </c>
      <c r="I1044" s="6">
        <v>0.94993760428125196</v>
      </c>
      <c r="J1044" s="6">
        <v>692256000</v>
      </c>
      <c r="K1044" s="6">
        <v>-4.4334975369458052</v>
      </c>
      <c r="L1044" t="s">
        <v>17</v>
      </c>
      <c r="M1044" t="s">
        <v>40</v>
      </c>
      <c r="N1044" s="4" t="s">
        <v>4011</v>
      </c>
      <c r="O1044" s="4" t="s">
        <v>4012</v>
      </c>
      <c r="P1044" s="4" t="s">
        <v>233</v>
      </c>
    </row>
    <row r="1045" spans="1:16" x14ac:dyDescent="0.35">
      <c r="A1045" t="s">
        <v>4013</v>
      </c>
      <c r="B1045" t="s">
        <v>4014</v>
      </c>
      <c r="C1045" t="s">
        <v>16</v>
      </c>
      <c r="D1045" s="6">
        <v>262592620.21537399</v>
      </c>
      <c r="E1045" s="6">
        <v>138163620.21537399</v>
      </c>
      <c r="F1045" s="6">
        <v>4.9899997711181641</v>
      </c>
      <c r="G1045" s="6">
        <v>5.119999885559082</v>
      </c>
      <c r="H1045" s="6" t="e">
        <v>#N/A</v>
      </c>
      <c r="I1045" s="6">
        <v>-7.7430371429919709E-2</v>
      </c>
      <c r="J1045" s="6">
        <v>0</v>
      </c>
      <c r="K1045" s="6">
        <v>29.536679536679532</v>
      </c>
      <c r="L1045" t="s">
        <v>17</v>
      </c>
      <c r="M1045" t="s">
        <v>18</v>
      </c>
      <c r="N1045" s="4" t="s">
        <v>4015</v>
      </c>
      <c r="O1045" s="4" t="s">
        <v>4016</v>
      </c>
      <c r="P1045" s="4" t="s">
        <v>233</v>
      </c>
    </row>
    <row r="1046" spans="1:16" x14ac:dyDescent="0.35">
      <c r="A1046" t="s">
        <v>4017</v>
      </c>
      <c r="B1046" t="s">
        <v>4018</v>
      </c>
      <c r="C1046" t="s">
        <v>16</v>
      </c>
      <c r="D1046" s="6" t="e">
        <v>#N/A</v>
      </c>
      <c r="E1046" s="6" t="e">
        <v>#N/A</v>
      </c>
      <c r="F1046" s="6" t="e">
        <v>#N/A</v>
      </c>
      <c r="G1046" s="6" t="e">
        <v>#N/A</v>
      </c>
      <c r="H1046" s="6" t="e">
        <v>#N/A</v>
      </c>
      <c r="I1046" s="6">
        <v>0</v>
      </c>
      <c r="J1046" s="6">
        <v>0</v>
      </c>
      <c r="K1046" s="6">
        <v>-380.3516819571866</v>
      </c>
      <c r="L1046" t="s">
        <v>17</v>
      </c>
      <c r="M1046" t="s">
        <v>32</v>
      </c>
      <c r="N1046" s="4" t="s">
        <v>4019</v>
      </c>
      <c r="O1046" s="4" t="s">
        <v>4020</v>
      </c>
      <c r="P1046" s="4" t="s">
        <v>233</v>
      </c>
    </row>
    <row r="1047" spans="1:16" x14ac:dyDescent="0.35">
      <c r="A1047" t="s">
        <v>4021</v>
      </c>
      <c r="B1047" t="s">
        <v>4022</v>
      </c>
      <c r="C1047" t="s">
        <v>16</v>
      </c>
      <c r="D1047" s="6">
        <v>2228.1208037129322</v>
      </c>
      <c r="E1047" s="6">
        <v>38990228.120803714</v>
      </c>
      <c r="F1047" s="6">
        <v>9.9999999747524271E-7</v>
      </c>
      <c r="G1047" s="6">
        <v>9.9999999747524271E-7</v>
      </c>
      <c r="H1047" s="6" t="e">
        <v>#N/A</v>
      </c>
      <c r="I1047" s="6">
        <v>-0.99661431277333323</v>
      </c>
      <c r="J1047" s="6">
        <v>36919000</v>
      </c>
      <c r="K1047" s="6">
        <v>20.454545454545446</v>
      </c>
      <c r="L1047" t="s">
        <v>17</v>
      </c>
      <c r="M1047" t="s">
        <v>87</v>
      </c>
      <c r="N1047" s="4" t="s">
        <v>233</v>
      </c>
      <c r="O1047" s="4" t="s">
        <v>4023</v>
      </c>
      <c r="P1047" s="4" t="s">
        <v>13145</v>
      </c>
    </row>
    <row r="1048" spans="1:16" x14ac:dyDescent="0.35">
      <c r="A1048" t="s">
        <v>4024</v>
      </c>
      <c r="B1048" t="s">
        <v>4025</v>
      </c>
      <c r="C1048" t="s">
        <v>16</v>
      </c>
      <c r="D1048" s="6">
        <v>299831079.13226116</v>
      </c>
      <c r="E1048" s="6">
        <v>100791079.13226119</v>
      </c>
      <c r="F1048" s="6">
        <v>1.4299999475479126</v>
      </c>
      <c r="G1048" s="6">
        <v>1.3600000143051147</v>
      </c>
      <c r="H1048" s="6" t="e">
        <v>#N/A</v>
      </c>
      <c r="I1048" s="6">
        <v>-0.7107121772785151</v>
      </c>
      <c r="J1048" s="6">
        <v>43000</v>
      </c>
      <c r="K1048" s="6">
        <v>30.357142857142872</v>
      </c>
      <c r="L1048" t="s">
        <v>17</v>
      </c>
      <c r="M1048" t="s">
        <v>18</v>
      </c>
      <c r="N1048" s="4" t="s">
        <v>4026</v>
      </c>
      <c r="O1048" s="4" t="s">
        <v>4027</v>
      </c>
      <c r="P1048" s="4" t="s">
        <v>233</v>
      </c>
    </row>
    <row r="1049" spans="1:16" x14ac:dyDescent="0.35">
      <c r="A1049" t="s">
        <v>4028</v>
      </c>
      <c r="B1049" t="s">
        <v>4029</v>
      </c>
      <c r="C1049" t="s">
        <v>16</v>
      </c>
      <c r="D1049" s="6">
        <v>2053178.3081490996</v>
      </c>
      <c r="E1049" s="6">
        <v>55619748.308149099</v>
      </c>
      <c r="F1049" s="6">
        <v>0.61000001430511475</v>
      </c>
      <c r="G1049" s="6">
        <v>0.55400002002716064</v>
      </c>
      <c r="H1049" s="6" t="e">
        <v>#N/A</v>
      </c>
      <c r="I1049" s="6">
        <v>-0.6779491894216908</v>
      </c>
      <c r="J1049" s="6">
        <v>72050</v>
      </c>
      <c r="K1049" s="6">
        <v>81.846264245075105</v>
      </c>
      <c r="L1049" t="s">
        <v>17</v>
      </c>
      <c r="M1049" t="s">
        <v>40</v>
      </c>
      <c r="N1049" s="4" t="s">
        <v>4030</v>
      </c>
      <c r="O1049" s="4" t="s">
        <v>4031</v>
      </c>
      <c r="P1049" s="4" t="s">
        <v>233</v>
      </c>
    </row>
    <row r="1050" spans="1:16" x14ac:dyDescent="0.35">
      <c r="A1050" t="s">
        <v>4032</v>
      </c>
      <c r="B1050" t="s">
        <v>4033</v>
      </c>
      <c r="C1050" t="s">
        <v>16</v>
      </c>
      <c r="D1050" s="6">
        <v>31108210.657366987</v>
      </c>
      <c r="E1050" s="6">
        <v>5728210.6573669836</v>
      </c>
      <c r="F1050" s="6">
        <v>0.87800002098083496</v>
      </c>
      <c r="G1050" s="6">
        <v>0.8399999737739563</v>
      </c>
      <c r="H1050" s="6" t="e">
        <v>#N/A</v>
      </c>
      <c r="I1050" s="6">
        <v>-0.47645353661563261</v>
      </c>
      <c r="J1050" s="6">
        <v>45914000</v>
      </c>
      <c r="K1050" s="6">
        <v>42.921847840620408</v>
      </c>
      <c r="L1050" t="s">
        <v>17</v>
      </c>
      <c r="M1050" t="s">
        <v>18</v>
      </c>
      <c r="N1050" s="4" t="s">
        <v>4034</v>
      </c>
      <c r="O1050" s="4" t="s">
        <v>4035</v>
      </c>
      <c r="P1050" s="4" t="s">
        <v>233</v>
      </c>
    </row>
    <row r="1051" spans="1:16" x14ac:dyDescent="0.35">
      <c r="A1051" t="s">
        <v>4036</v>
      </c>
      <c r="B1051" t="s">
        <v>4037</v>
      </c>
      <c r="C1051" t="s">
        <v>16</v>
      </c>
      <c r="D1051" s="6">
        <v>680237234.58333778</v>
      </c>
      <c r="E1051" s="6">
        <v>567956234.58333778</v>
      </c>
      <c r="F1051" s="6">
        <v>16.219999313354492</v>
      </c>
      <c r="G1051" s="6">
        <v>16.260000228881836</v>
      </c>
      <c r="H1051" s="6" t="e">
        <v>#N/A</v>
      </c>
      <c r="I1051" s="6">
        <v>-0.24779157975318256</v>
      </c>
      <c r="J1051" s="6">
        <v>157035000</v>
      </c>
      <c r="K1051" s="6">
        <v>22.689075630252109</v>
      </c>
      <c r="L1051" t="s">
        <v>17</v>
      </c>
      <c r="M1051" t="s">
        <v>27</v>
      </c>
      <c r="N1051" s="4" t="s">
        <v>4038</v>
      </c>
      <c r="O1051" s="4" t="s">
        <v>4039</v>
      </c>
      <c r="P1051" s="4" t="s">
        <v>233</v>
      </c>
    </row>
    <row r="1052" spans="1:16" x14ac:dyDescent="0.35">
      <c r="A1052" t="s">
        <v>4040</v>
      </c>
      <c r="B1052" t="s">
        <v>4041</v>
      </c>
      <c r="C1052" t="s">
        <v>16</v>
      </c>
      <c r="D1052" s="6">
        <v>2706372248.8257065</v>
      </c>
      <c r="E1052" s="6">
        <v>2518161248.8257065</v>
      </c>
      <c r="F1052" s="6">
        <v>45.369998931884766</v>
      </c>
      <c r="G1052" s="6">
        <v>45.330001831054688</v>
      </c>
      <c r="H1052" s="6" t="e">
        <v>#N/A</v>
      </c>
      <c r="I1052" s="6">
        <v>0.1168742058043557</v>
      </c>
      <c r="J1052" s="6">
        <v>330189000</v>
      </c>
      <c r="K1052" s="6">
        <v>6.3711911357340831</v>
      </c>
      <c r="L1052" t="s">
        <v>17</v>
      </c>
      <c r="M1052" t="s">
        <v>18</v>
      </c>
      <c r="N1052" s="4" t="s">
        <v>4042</v>
      </c>
      <c r="O1052" s="4" t="s">
        <v>4043</v>
      </c>
      <c r="P1052" s="4" t="s">
        <v>233</v>
      </c>
    </row>
    <row r="1053" spans="1:16" x14ac:dyDescent="0.35">
      <c r="A1053" t="s">
        <v>4044</v>
      </c>
      <c r="B1053" t="s">
        <v>4045</v>
      </c>
      <c r="C1053" t="s">
        <v>16</v>
      </c>
      <c r="D1053" s="6">
        <v>7456108.6162791252</v>
      </c>
      <c r="E1053" s="6">
        <v>-566654.38372087386</v>
      </c>
      <c r="F1053" s="6">
        <v>1.0800000429153442</v>
      </c>
      <c r="G1053" s="6">
        <v>1.0199999809265137</v>
      </c>
      <c r="H1053" s="6" t="e">
        <v>#N/A</v>
      </c>
      <c r="I1053" s="6">
        <v>-0.21116633394248385</v>
      </c>
      <c r="J1053" s="6">
        <v>0</v>
      </c>
      <c r="K1053" s="6">
        <v>35.106623667320051</v>
      </c>
      <c r="L1053" t="s">
        <v>17</v>
      </c>
      <c r="M1053" t="s">
        <v>87</v>
      </c>
      <c r="N1053" s="4" t="s">
        <v>4046</v>
      </c>
      <c r="O1053" s="4" t="s">
        <v>4047</v>
      </c>
      <c r="P1053" s="4" t="s">
        <v>233</v>
      </c>
    </row>
    <row r="1054" spans="1:16" x14ac:dyDescent="0.35">
      <c r="A1054" t="s">
        <v>4048</v>
      </c>
      <c r="B1054" t="s">
        <v>4049</v>
      </c>
      <c r="C1054" t="s">
        <v>16</v>
      </c>
      <c r="D1054" s="6">
        <v>11750411800.166462</v>
      </c>
      <c r="E1054" s="6">
        <v>6208411800.1664619</v>
      </c>
      <c r="F1054" s="6">
        <v>30.534999847412109</v>
      </c>
      <c r="G1054" s="6">
        <v>30.969999313354492</v>
      </c>
      <c r="H1054" s="6" t="e">
        <v>#N/A</v>
      </c>
      <c r="I1054" s="6">
        <v>-0.65590584712915279</v>
      </c>
      <c r="J1054" s="6">
        <v>5081000000</v>
      </c>
      <c r="K1054" s="6">
        <v>36.542669584245068</v>
      </c>
      <c r="L1054" t="s">
        <v>17</v>
      </c>
      <c r="M1054" t="s">
        <v>18</v>
      </c>
      <c r="N1054" s="4" t="s">
        <v>4050</v>
      </c>
      <c r="O1054" s="4" t="s">
        <v>4051</v>
      </c>
      <c r="P1054" s="4" t="s">
        <v>233</v>
      </c>
    </row>
    <row r="1055" spans="1:16" x14ac:dyDescent="0.35">
      <c r="A1055" t="s">
        <v>4052</v>
      </c>
      <c r="B1055" t="s">
        <v>4053</v>
      </c>
      <c r="C1055" t="s">
        <v>16</v>
      </c>
      <c r="D1055" s="6">
        <v>2071053178.3189485</v>
      </c>
      <c r="E1055" s="6">
        <v>3218588178.3189487</v>
      </c>
      <c r="F1055" s="6">
        <v>14.510000228881836</v>
      </c>
      <c r="G1055" s="6">
        <v>14.880000114440918</v>
      </c>
      <c r="H1055" s="6" t="e">
        <v>#N/A</v>
      </c>
      <c r="I1055" s="6">
        <v>-0.15625074617951951</v>
      </c>
      <c r="J1055" s="6" t="e">
        <v>#N/A</v>
      </c>
      <c r="K1055" s="6" t="e">
        <v>#N/A</v>
      </c>
      <c r="L1055" t="s">
        <v>17</v>
      </c>
      <c r="M1055" t="s">
        <v>40</v>
      </c>
      <c r="N1055" s="4" t="s">
        <v>4054</v>
      </c>
      <c r="O1055" s="4" t="s">
        <v>4055</v>
      </c>
      <c r="P1055" s="4" t="s">
        <v>233</v>
      </c>
    </row>
    <row r="1056" spans="1:16" x14ac:dyDescent="0.35">
      <c r="A1056" t="s">
        <v>4056</v>
      </c>
      <c r="B1056" t="s">
        <v>4057</v>
      </c>
      <c r="C1056" t="s">
        <v>16</v>
      </c>
      <c r="D1056" s="6">
        <v>21527730437.757523</v>
      </c>
      <c r="E1056" s="6">
        <v>23704890437.757523</v>
      </c>
      <c r="F1056" s="6">
        <v>219.11000061035156</v>
      </c>
      <c r="G1056" s="6">
        <v>220.75999450683594</v>
      </c>
      <c r="H1056" s="6">
        <v>32.49620261315556</v>
      </c>
      <c r="I1056" s="6">
        <v>-1.6509180827352754E-2</v>
      </c>
      <c r="J1056" s="6">
        <v>5398371000</v>
      </c>
      <c r="K1056" s="6">
        <v>8.333333333333341</v>
      </c>
      <c r="L1056" t="s">
        <v>17</v>
      </c>
      <c r="M1056" t="s">
        <v>27</v>
      </c>
      <c r="N1056" s="4" t="s">
        <v>233</v>
      </c>
      <c r="O1056" s="4" t="s">
        <v>4058</v>
      </c>
      <c r="P1056" s="4" t="s">
        <v>13146</v>
      </c>
    </row>
    <row r="1057" spans="1:16" x14ac:dyDescent="0.35">
      <c r="A1057" t="s">
        <v>4059</v>
      </c>
      <c r="B1057" t="s">
        <v>4060</v>
      </c>
      <c r="C1057" t="s">
        <v>16</v>
      </c>
      <c r="D1057" s="6">
        <v>287787249.66786903</v>
      </c>
      <c r="E1057" s="6">
        <v>164379249.66786903</v>
      </c>
      <c r="F1057" s="6">
        <v>1.2699999809265137</v>
      </c>
      <c r="G1057" s="6">
        <v>1.2400000095367432</v>
      </c>
      <c r="H1057" s="6" t="e">
        <v>#N/A</v>
      </c>
      <c r="I1057" s="6">
        <v>0.44173598675125691</v>
      </c>
      <c r="J1057" s="6">
        <v>105322000</v>
      </c>
      <c r="K1057" s="6">
        <v>81.920903954802256</v>
      </c>
      <c r="L1057" t="s">
        <v>17</v>
      </c>
      <c r="M1057" t="s">
        <v>18</v>
      </c>
      <c r="N1057" s="4" t="s">
        <v>4061</v>
      </c>
      <c r="O1057" s="4" t="s">
        <v>4062</v>
      </c>
      <c r="P1057" s="4" t="s">
        <v>233</v>
      </c>
    </row>
    <row r="1058" spans="1:16" x14ac:dyDescent="0.35">
      <c r="A1058" t="s">
        <v>4063</v>
      </c>
      <c r="B1058" t="s">
        <v>4064</v>
      </c>
      <c r="C1058" t="s">
        <v>16</v>
      </c>
      <c r="D1058" s="6">
        <v>160609470.79906285</v>
      </c>
      <c r="E1058" s="6">
        <v>-261953529.20093715</v>
      </c>
      <c r="F1058" s="6">
        <v>1.6399999856948853</v>
      </c>
      <c r="G1058" s="6">
        <v>1.5700000524520874</v>
      </c>
      <c r="H1058" s="6" t="e">
        <v>#N/A</v>
      </c>
      <c r="I1058" s="6">
        <v>-0.74751594083836892</v>
      </c>
      <c r="J1058" s="6">
        <v>61508000</v>
      </c>
      <c r="K1058" s="6">
        <v>-0.59171597633136153</v>
      </c>
      <c r="L1058" t="s">
        <v>17</v>
      </c>
      <c r="M1058" t="s">
        <v>18</v>
      </c>
      <c r="N1058" s="4" t="s">
        <v>4065</v>
      </c>
      <c r="O1058" s="4" t="s">
        <v>4066</v>
      </c>
      <c r="P1058" s="4" t="s">
        <v>233</v>
      </c>
    </row>
    <row r="1059" spans="1:16" x14ac:dyDescent="0.35">
      <c r="A1059" t="s">
        <v>4067</v>
      </c>
      <c r="B1059" t="s">
        <v>4068</v>
      </c>
      <c r="C1059" t="s">
        <v>16</v>
      </c>
      <c r="D1059" s="6">
        <v>37201194.393493414</v>
      </c>
      <c r="E1059" s="6">
        <v>17809194.393493414</v>
      </c>
      <c r="F1059" s="6">
        <v>2.0099999904632568</v>
      </c>
      <c r="G1059" s="6">
        <v>1.9600000381469727</v>
      </c>
      <c r="H1059" s="6" t="e">
        <v>#N/A</v>
      </c>
      <c r="I1059" s="6">
        <v>2.338952619258222</v>
      </c>
      <c r="J1059" s="6" t="e">
        <v>#N/A</v>
      </c>
      <c r="K1059" s="6">
        <v>81.421919328974951</v>
      </c>
      <c r="L1059" t="s">
        <v>17</v>
      </c>
      <c r="M1059" t="s">
        <v>18</v>
      </c>
      <c r="N1059" s="4" t="s">
        <v>4069</v>
      </c>
      <c r="O1059" s="4" t="s">
        <v>4070</v>
      </c>
      <c r="P1059" s="4" t="s">
        <v>233</v>
      </c>
    </row>
    <row r="1060" spans="1:16" x14ac:dyDescent="0.35">
      <c r="A1060" t="s">
        <v>4071</v>
      </c>
      <c r="B1060" t="s">
        <v>4072</v>
      </c>
      <c r="C1060" t="s">
        <v>16</v>
      </c>
      <c r="D1060" s="6" t="e">
        <v>#N/A</v>
      </c>
      <c r="E1060" s="6" t="e">
        <v>#N/A</v>
      </c>
      <c r="F1060" s="6">
        <v>9.9999999747524271E-7</v>
      </c>
      <c r="G1060" s="6">
        <v>9.9999999747524271E-7</v>
      </c>
      <c r="H1060" s="6" t="e">
        <v>#N/A</v>
      </c>
      <c r="I1060" s="6">
        <v>1.1071144001562061E-12</v>
      </c>
      <c r="J1060" s="6">
        <v>1104000</v>
      </c>
      <c r="K1060" s="6">
        <v>11.475409836065566</v>
      </c>
      <c r="L1060" t="s">
        <v>17</v>
      </c>
      <c r="M1060" t="s">
        <v>87</v>
      </c>
      <c r="N1060" s="4" t="s">
        <v>4073</v>
      </c>
      <c r="O1060" s="4" t="s">
        <v>4074</v>
      </c>
      <c r="P1060" s="4" t="s">
        <v>233</v>
      </c>
    </row>
    <row r="1061" spans="1:16" x14ac:dyDescent="0.35">
      <c r="A1061" t="s">
        <v>4075</v>
      </c>
      <c r="B1061" t="s">
        <v>4076</v>
      </c>
      <c r="C1061" t="s">
        <v>16</v>
      </c>
      <c r="D1061" s="6">
        <v>12290290905.112562</v>
      </c>
      <c r="E1061" s="6">
        <v>16272190905.112562</v>
      </c>
      <c r="F1061" s="6">
        <v>18.049999237060547</v>
      </c>
      <c r="G1061" s="6">
        <v>18.090000152587891</v>
      </c>
      <c r="H1061" s="6">
        <v>27.871109219331814</v>
      </c>
      <c r="I1061" s="6">
        <v>-0.19942367539649808</v>
      </c>
      <c r="J1061" s="6">
        <v>6783600000</v>
      </c>
      <c r="K1061" s="6">
        <v>118.75000000000001</v>
      </c>
      <c r="L1061" t="s">
        <v>17</v>
      </c>
      <c r="M1061" t="s">
        <v>100</v>
      </c>
      <c r="N1061" s="4" t="s">
        <v>4077</v>
      </c>
      <c r="O1061" s="4" t="s">
        <v>4078</v>
      </c>
      <c r="P1061" s="4" t="s">
        <v>233</v>
      </c>
    </row>
    <row r="1062" spans="1:16" x14ac:dyDescent="0.35">
      <c r="A1062" t="s">
        <v>4079</v>
      </c>
      <c r="B1062" t="s">
        <v>4080</v>
      </c>
      <c r="C1062" t="s">
        <v>16</v>
      </c>
      <c r="D1062" s="6">
        <v>38892270.446824551</v>
      </c>
      <c r="E1062" s="6">
        <v>-51830729.553175449</v>
      </c>
      <c r="F1062" s="6">
        <v>5.070000171661377</v>
      </c>
      <c r="G1062" s="6">
        <v>4.9000000953674316</v>
      </c>
      <c r="H1062" s="6">
        <v>9.4781239889280027</v>
      </c>
      <c r="I1062" s="6">
        <v>-0.54847542700924046</v>
      </c>
      <c r="J1062" s="6">
        <v>75096000</v>
      </c>
      <c r="K1062" s="6" t="e">
        <v>#N/A</v>
      </c>
      <c r="L1062" t="s">
        <v>17</v>
      </c>
      <c r="M1062" t="s">
        <v>18</v>
      </c>
      <c r="N1062" s="4" t="s">
        <v>4081</v>
      </c>
      <c r="O1062" s="4" t="s">
        <v>4082</v>
      </c>
      <c r="P1062" s="4" t="s">
        <v>233</v>
      </c>
    </row>
    <row r="1063" spans="1:16" x14ac:dyDescent="0.35">
      <c r="A1063" t="s">
        <v>13505</v>
      </c>
      <c r="B1063" t="s">
        <v>13492</v>
      </c>
      <c r="C1063" t="s">
        <v>16</v>
      </c>
      <c r="D1063" s="6">
        <v>39258687.885000028</v>
      </c>
      <c r="E1063" s="6">
        <v>143831687.88500002</v>
      </c>
      <c r="F1063" s="6">
        <v>7.5000002980232239E-2</v>
      </c>
      <c r="G1063" s="6">
        <v>7.5000002980232239E-2</v>
      </c>
      <c r="H1063" s="6" t="e">
        <v>#N/A</v>
      </c>
      <c r="I1063" s="6">
        <v>-0.57043525303110876</v>
      </c>
      <c r="J1063" s="6" t="e">
        <v>#N/A</v>
      </c>
      <c r="K1063" s="6" t="e">
        <v>#N/A</v>
      </c>
      <c r="L1063" t="s">
        <v>17</v>
      </c>
      <c r="M1063" t="s">
        <v>87</v>
      </c>
      <c r="N1063" s="4" t="s">
        <v>13506</v>
      </c>
      <c r="O1063" s="4" t="s">
        <v>13493</v>
      </c>
      <c r="P1063" s="4" t="s">
        <v>233</v>
      </c>
    </row>
    <row r="1064" spans="1:16" x14ac:dyDescent="0.35">
      <c r="A1064" t="s">
        <v>4083</v>
      </c>
      <c r="B1064" t="s">
        <v>4084</v>
      </c>
      <c r="C1064" t="s">
        <v>16</v>
      </c>
      <c r="D1064" s="6">
        <v>18701500.718451265</v>
      </c>
      <c r="E1064" s="6">
        <v>-38223499.281548738</v>
      </c>
      <c r="F1064" s="6">
        <v>1.8899999856948853</v>
      </c>
      <c r="G1064" s="6">
        <v>1.690000057220459</v>
      </c>
      <c r="H1064" s="6" t="e">
        <v>#N/A</v>
      </c>
      <c r="I1064" s="6">
        <v>-0.71523793004550162</v>
      </c>
      <c r="J1064" s="6">
        <v>49999000</v>
      </c>
      <c r="K1064" s="6">
        <v>57.965864213922117</v>
      </c>
      <c r="L1064" t="s">
        <v>17</v>
      </c>
      <c r="M1064" t="s">
        <v>18</v>
      </c>
      <c r="N1064" s="4" t="s">
        <v>4085</v>
      </c>
      <c r="O1064" s="4" t="s">
        <v>4086</v>
      </c>
      <c r="P1064" s="4" t="s">
        <v>233</v>
      </c>
    </row>
    <row r="1065" spans="1:16" x14ac:dyDescent="0.35">
      <c r="A1065" t="s">
        <v>4087</v>
      </c>
      <c r="B1065" t="s">
        <v>4088</v>
      </c>
      <c r="C1065" t="s">
        <v>16</v>
      </c>
      <c r="D1065" s="6">
        <v>429605504.44029331</v>
      </c>
      <c r="E1065" s="6">
        <v>221849504.44029331</v>
      </c>
      <c r="F1065" s="6">
        <v>15.859999656677246</v>
      </c>
      <c r="G1065" s="6">
        <v>15.710000038146973</v>
      </c>
      <c r="H1065" s="6" t="e">
        <v>#N/A</v>
      </c>
      <c r="I1065" s="6">
        <v>-0.61792739147527875</v>
      </c>
      <c r="J1065" s="6">
        <v>160399000</v>
      </c>
      <c r="K1065" s="6" t="e">
        <v>#N/A</v>
      </c>
      <c r="L1065" t="s">
        <v>17</v>
      </c>
      <c r="M1065" t="s">
        <v>18</v>
      </c>
      <c r="N1065" s="4" t="s">
        <v>4089</v>
      </c>
      <c r="O1065" s="4" t="s">
        <v>4090</v>
      </c>
      <c r="P1065" s="4" t="s">
        <v>233</v>
      </c>
    </row>
    <row r="1066" spans="1:16" x14ac:dyDescent="0.35">
      <c r="A1066" t="s">
        <v>4091</v>
      </c>
      <c r="B1066" t="s">
        <v>4092</v>
      </c>
      <c r="C1066" t="s">
        <v>16</v>
      </c>
      <c r="D1066" s="6">
        <v>121054350.14285088</v>
      </c>
      <c r="E1066" s="6">
        <v>98653350.142850876</v>
      </c>
      <c r="F1066" s="6">
        <v>2.2699999809265137</v>
      </c>
      <c r="G1066" s="6">
        <v>2.25</v>
      </c>
      <c r="H1066" s="6" t="e">
        <v>#N/A</v>
      </c>
      <c r="I1066" s="6">
        <v>0.39137837260251596</v>
      </c>
      <c r="J1066" s="6">
        <v>0</v>
      </c>
      <c r="K1066" s="6">
        <v>41.587246376811599</v>
      </c>
      <c r="L1066" t="s">
        <v>17</v>
      </c>
      <c r="M1066" t="s">
        <v>87</v>
      </c>
      <c r="N1066" s="4" t="s">
        <v>4093</v>
      </c>
      <c r="O1066" s="4" t="s">
        <v>4094</v>
      </c>
      <c r="P1066" s="4" t="s">
        <v>233</v>
      </c>
    </row>
    <row r="1067" spans="1:16" x14ac:dyDescent="0.35">
      <c r="A1067" t="s">
        <v>4095</v>
      </c>
      <c r="B1067" t="s">
        <v>4096</v>
      </c>
      <c r="C1067" t="s">
        <v>16</v>
      </c>
      <c r="D1067" s="6">
        <v>62983759.231943965</v>
      </c>
      <c r="E1067" s="6">
        <v>-33912240.768056035</v>
      </c>
      <c r="F1067" s="6">
        <v>0.54129999876022339</v>
      </c>
      <c r="G1067" s="6">
        <v>0.57999998331069946</v>
      </c>
      <c r="H1067" s="6" t="e">
        <v>#N/A</v>
      </c>
      <c r="I1067" s="6">
        <v>-0.80718206918886626</v>
      </c>
      <c r="J1067" s="6">
        <v>10449000</v>
      </c>
      <c r="K1067" s="6">
        <v>-12.406349138366165</v>
      </c>
      <c r="L1067" t="s">
        <v>17</v>
      </c>
      <c r="M1067" t="s">
        <v>18</v>
      </c>
      <c r="N1067" s="4" t="s">
        <v>4097</v>
      </c>
      <c r="O1067" s="4" t="s">
        <v>4098</v>
      </c>
      <c r="P1067" s="4" t="s">
        <v>233</v>
      </c>
    </row>
    <row r="1068" spans="1:16" x14ac:dyDescent="0.35">
      <c r="A1068" t="s">
        <v>4099</v>
      </c>
      <c r="B1068" t="s">
        <v>4100</v>
      </c>
      <c r="C1068" t="s">
        <v>16</v>
      </c>
      <c r="D1068" s="6">
        <v>61602299.15091908</v>
      </c>
      <c r="E1068" s="6">
        <v>29205299.150919087</v>
      </c>
      <c r="F1068" s="6">
        <v>1.3999999761581421</v>
      </c>
      <c r="G1068" s="6">
        <v>1.4199999570846558</v>
      </c>
      <c r="H1068" s="6" t="e">
        <v>#N/A</v>
      </c>
      <c r="I1068" s="6">
        <v>7.6705024467356608E-2</v>
      </c>
      <c r="J1068" s="6">
        <v>0</v>
      </c>
      <c r="K1068" s="6">
        <v>-47.389551629008317</v>
      </c>
      <c r="L1068" t="s">
        <v>17</v>
      </c>
      <c r="M1068" t="s">
        <v>18</v>
      </c>
      <c r="N1068" s="4" t="s">
        <v>4101</v>
      </c>
      <c r="O1068" s="4" t="s">
        <v>4102</v>
      </c>
      <c r="P1068" s="4" t="s">
        <v>233</v>
      </c>
    </row>
    <row r="1069" spans="1:16" x14ac:dyDescent="0.35">
      <c r="A1069" t="s">
        <v>4103</v>
      </c>
      <c r="B1069" t="s">
        <v>4104</v>
      </c>
      <c r="C1069" t="s">
        <v>16</v>
      </c>
      <c r="D1069" s="6">
        <v>2333196549.1762156</v>
      </c>
      <c r="E1069" s="6">
        <v>2521248549.1762156</v>
      </c>
      <c r="F1069" s="6">
        <v>69.519996643066406</v>
      </c>
      <c r="G1069" s="6">
        <v>67</v>
      </c>
      <c r="H1069" s="6">
        <v>73.957443237304688</v>
      </c>
      <c r="I1069" s="6">
        <v>-0.20940147932512609</v>
      </c>
      <c r="J1069" s="6">
        <v>401090000</v>
      </c>
      <c r="K1069" s="6" t="e">
        <v>#N/A</v>
      </c>
      <c r="L1069" t="s">
        <v>17</v>
      </c>
      <c r="M1069" t="s">
        <v>27</v>
      </c>
      <c r="N1069" s="4" t="s">
        <v>4105</v>
      </c>
      <c r="O1069" s="4" t="s">
        <v>4106</v>
      </c>
      <c r="P1069" s="4" t="s">
        <v>233</v>
      </c>
    </row>
    <row r="1070" spans="1:16" x14ac:dyDescent="0.35">
      <c r="A1070" t="s">
        <v>4107</v>
      </c>
      <c r="B1070" t="s">
        <v>4108</v>
      </c>
      <c r="C1070" t="s">
        <v>16</v>
      </c>
      <c r="D1070" s="6">
        <v>356215235.52596569</v>
      </c>
      <c r="E1070" s="6">
        <v>291835235.52596569</v>
      </c>
      <c r="F1070" s="6">
        <v>4.0500001907348633</v>
      </c>
      <c r="G1070" s="6">
        <v>3.9000000953674316</v>
      </c>
      <c r="H1070" s="6" t="e">
        <v>#N/A</v>
      </c>
      <c r="I1070" s="6">
        <v>1.2829667518507044</v>
      </c>
      <c r="J1070" s="6">
        <v>0</v>
      </c>
      <c r="K1070" s="6">
        <v>-62.962962962962962</v>
      </c>
      <c r="L1070" t="s">
        <v>17</v>
      </c>
      <c r="M1070" t="s">
        <v>87</v>
      </c>
      <c r="N1070" s="4" t="s">
        <v>4109</v>
      </c>
      <c r="O1070" s="4" t="s">
        <v>4110</v>
      </c>
      <c r="P1070" s="4" t="s">
        <v>233</v>
      </c>
    </row>
    <row r="1071" spans="1:16" x14ac:dyDescent="0.35">
      <c r="A1071" t="s">
        <v>4111</v>
      </c>
      <c r="B1071" t="s">
        <v>4112</v>
      </c>
      <c r="C1071" t="s">
        <v>16</v>
      </c>
      <c r="D1071" s="6">
        <v>156959295.6788387</v>
      </c>
      <c r="E1071" s="6">
        <v>157195791.6788387</v>
      </c>
      <c r="F1071" s="6">
        <v>3.130000114440918</v>
      </c>
      <c r="G1071" s="6">
        <v>3.3399999141693115</v>
      </c>
      <c r="H1071" s="6" t="e">
        <v>#N/A</v>
      </c>
      <c r="I1071" s="6">
        <v>-0.37068792841274423</v>
      </c>
      <c r="J1071" s="6">
        <v>0</v>
      </c>
      <c r="K1071" s="6">
        <v>-10.51470588235294</v>
      </c>
      <c r="L1071" t="s">
        <v>17</v>
      </c>
      <c r="M1071" t="s">
        <v>100</v>
      </c>
      <c r="N1071" s="4" t="s">
        <v>4113</v>
      </c>
      <c r="O1071" s="4" t="s">
        <v>4114</v>
      </c>
      <c r="P1071" s="4" t="s">
        <v>233</v>
      </c>
    </row>
    <row r="1072" spans="1:16" x14ac:dyDescent="0.35">
      <c r="A1072" t="s">
        <v>4115</v>
      </c>
      <c r="B1072" t="s">
        <v>4116</v>
      </c>
      <c r="C1072" t="s">
        <v>16</v>
      </c>
      <c r="D1072" s="6">
        <v>585864304.5276947</v>
      </c>
      <c r="E1072" s="6">
        <v>104397304.5276947</v>
      </c>
      <c r="F1072" s="6">
        <v>12.319999694824219</v>
      </c>
      <c r="G1072" s="6">
        <v>11.520000457763672</v>
      </c>
      <c r="H1072" s="6" t="e">
        <v>#N/A</v>
      </c>
      <c r="I1072" s="6">
        <v>-0.29209728545133584</v>
      </c>
      <c r="J1072" s="6">
        <v>36898000</v>
      </c>
      <c r="K1072" s="6">
        <v>33.935742971887542</v>
      </c>
      <c r="L1072" t="s">
        <v>17</v>
      </c>
      <c r="M1072" t="s">
        <v>18</v>
      </c>
      <c r="N1072" s="4" t="s">
        <v>4117</v>
      </c>
      <c r="O1072" s="4" t="s">
        <v>4118</v>
      </c>
      <c r="P1072" s="4" t="s">
        <v>233</v>
      </c>
    </row>
    <row r="1073" spans="1:16" x14ac:dyDescent="0.35">
      <c r="A1073" t="s">
        <v>4119</v>
      </c>
      <c r="B1073" t="s">
        <v>4120</v>
      </c>
      <c r="C1073" t="s">
        <v>16</v>
      </c>
      <c r="D1073" s="6">
        <v>1897178053.9922295</v>
      </c>
      <c r="E1073" s="6">
        <v>995945053.99222946</v>
      </c>
      <c r="F1073" s="6">
        <v>21.950000762939453</v>
      </c>
      <c r="G1073" s="6">
        <v>21.030000686645508</v>
      </c>
      <c r="H1073" s="6" t="e">
        <v>#N/A</v>
      </c>
      <c r="I1073" s="6">
        <v>-0.52678481690066392</v>
      </c>
      <c r="J1073" s="6">
        <v>3923000</v>
      </c>
      <c r="K1073" s="6">
        <v>-19.487179487179496</v>
      </c>
      <c r="L1073" t="s">
        <v>17</v>
      </c>
      <c r="M1073" t="s">
        <v>18</v>
      </c>
      <c r="N1073" s="4" t="s">
        <v>4121</v>
      </c>
      <c r="O1073" s="4" t="s">
        <v>4122</v>
      </c>
      <c r="P1073" s="4" t="s">
        <v>233</v>
      </c>
    </row>
    <row r="1074" spans="1:16" x14ac:dyDescent="0.35">
      <c r="A1074" t="s">
        <v>4123</v>
      </c>
      <c r="B1074" t="s">
        <v>4124</v>
      </c>
      <c r="C1074" t="s">
        <v>16</v>
      </c>
      <c r="D1074" s="6">
        <v>19501054.902528763</v>
      </c>
      <c r="E1074" s="6">
        <v>-50418945.097471237</v>
      </c>
      <c r="F1074" s="6">
        <v>0.69630002975463867</v>
      </c>
      <c r="G1074" s="6">
        <v>0.77999997138977051</v>
      </c>
      <c r="H1074" s="6" t="e">
        <v>#N/A</v>
      </c>
      <c r="I1074" s="6">
        <v>-0.49449084109363384</v>
      </c>
      <c r="J1074" s="6">
        <v>0</v>
      </c>
      <c r="K1074" s="6">
        <v>11.237363326722992</v>
      </c>
      <c r="L1074" t="s">
        <v>17</v>
      </c>
      <c r="M1074" t="s">
        <v>18</v>
      </c>
      <c r="N1074" s="4" t="s">
        <v>4125</v>
      </c>
      <c r="O1074" s="4" t="s">
        <v>4126</v>
      </c>
      <c r="P1074" s="4" t="s">
        <v>233</v>
      </c>
    </row>
    <row r="1075" spans="1:16" x14ac:dyDescent="0.35">
      <c r="A1075" t="s">
        <v>4127</v>
      </c>
      <c r="B1075" t="s">
        <v>4128</v>
      </c>
      <c r="C1075" t="s">
        <v>16</v>
      </c>
      <c r="D1075" s="6">
        <v>331011263.00173086</v>
      </c>
      <c r="E1075" s="6">
        <v>308087263.00173086</v>
      </c>
      <c r="F1075" s="6">
        <v>5.440000057220459</v>
      </c>
      <c r="G1075" s="6">
        <v>5.4099998474121094</v>
      </c>
      <c r="H1075" s="6" t="e">
        <v>#N/A</v>
      </c>
      <c r="I1075" s="6">
        <v>-0.468865627113487</v>
      </c>
      <c r="J1075" s="6">
        <v>302062000</v>
      </c>
      <c r="K1075" s="6">
        <v>39.461883408071742</v>
      </c>
      <c r="L1075" t="s">
        <v>17</v>
      </c>
      <c r="M1075" t="s">
        <v>32</v>
      </c>
      <c r="N1075" s="4" t="s">
        <v>4129</v>
      </c>
      <c r="O1075" s="4" t="s">
        <v>4130</v>
      </c>
      <c r="P1075" s="4" t="s">
        <v>233</v>
      </c>
    </row>
    <row r="1076" spans="1:16" x14ac:dyDescent="0.35">
      <c r="A1076" t="s">
        <v>4131</v>
      </c>
      <c r="B1076" t="s">
        <v>4132</v>
      </c>
      <c r="C1076" t="s">
        <v>16</v>
      </c>
      <c r="D1076" s="6">
        <v>44758568.006475806</v>
      </c>
      <c r="E1076" s="6">
        <v>74771568.006475806</v>
      </c>
      <c r="F1076" s="6">
        <v>1.8799999952316284</v>
      </c>
      <c r="G1076" s="6">
        <v>1.9700000286102295</v>
      </c>
      <c r="H1076" s="6">
        <v>0.51090024570269799</v>
      </c>
      <c r="I1076" s="6">
        <v>-0.54048552222321722</v>
      </c>
      <c r="J1076" s="6">
        <v>48200000</v>
      </c>
      <c r="K1076" s="6">
        <v>93.717605648400323</v>
      </c>
      <c r="L1076" t="s">
        <v>17</v>
      </c>
      <c r="M1076" t="s">
        <v>18</v>
      </c>
      <c r="N1076" s="4" t="s">
        <v>4133</v>
      </c>
      <c r="O1076" s="4" t="s">
        <v>4134</v>
      </c>
      <c r="P1076" s="4" t="s">
        <v>233</v>
      </c>
    </row>
    <row r="1077" spans="1:16" x14ac:dyDescent="0.35">
      <c r="A1077" t="s">
        <v>4135</v>
      </c>
      <c r="B1077" t="s">
        <v>4136</v>
      </c>
      <c r="C1077" t="s">
        <v>16</v>
      </c>
      <c r="D1077" s="6">
        <v>890653218.65229034</v>
      </c>
      <c r="E1077" s="6">
        <v>1280994218.6522903</v>
      </c>
      <c r="F1077" s="6">
        <v>25.930000305175781</v>
      </c>
      <c r="G1077" s="6">
        <v>26.049999237060547</v>
      </c>
      <c r="H1077" s="6">
        <v>34.969279232558222</v>
      </c>
      <c r="I1077" s="6">
        <v>0.62761898023407192</v>
      </c>
      <c r="J1077" s="6">
        <v>652302000</v>
      </c>
      <c r="K1077" s="6">
        <v>66.666666666666686</v>
      </c>
      <c r="L1077" t="s">
        <v>17</v>
      </c>
      <c r="M1077" t="s">
        <v>40</v>
      </c>
      <c r="N1077" s="4" t="s">
        <v>4137</v>
      </c>
      <c r="O1077" s="4" t="s">
        <v>4138</v>
      </c>
      <c r="P1077" s="4" t="s">
        <v>233</v>
      </c>
    </row>
    <row r="1078" spans="1:16" x14ac:dyDescent="0.35">
      <c r="A1078" t="s">
        <v>4139</v>
      </c>
      <c r="B1078" t="s">
        <v>4140</v>
      </c>
      <c r="C1078" t="s">
        <v>16</v>
      </c>
      <c r="D1078" s="6">
        <v>3264722210.6259251</v>
      </c>
      <c r="E1078" s="6">
        <v>2629495210.6259251</v>
      </c>
      <c r="F1078" s="6">
        <v>19.219999313354492</v>
      </c>
      <c r="G1078" s="6">
        <v>19.079999923706055</v>
      </c>
      <c r="H1078" s="6" t="e">
        <v>#N/A</v>
      </c>
      <c r="I1078" s="6">
        <v>-0.47522534266267735</v>
      </c>
      <c r="J1078" s="6">
        <v>0</v>
      </c>
      <c r="K1078" s="6">
        <v>-42.391304347826107</v>
      </c>
      <c r="L1078" t="s">
        <v>17</v>
      </c>
      <c r="M1078" t="s">
        <v>18</v>
      </c>
      <c r="N1078" s="4" t="s">
        <v>4141</v>
      </c>
      <c r="O1078" s="4" t="s">
        <v>4142</v>
      </c>
      <c r="P1078" s="4" t="s">
        <v>233</v>
      </c>
    </row>
    <row r="1079" spans="1:16" x14ac:dyDescent="0.35">
      <c r="A1079" t="s">
        <v>4143</v>
      </c>
      <c r="B1079" t="s">
        <v>4144</v>
      </c>
      <c r="C1079" t="s">
        <v>16</v>
      </c>
      <c r="D1079" s="6">
        <v>329220060.65995789</v>
      </c>
      <c r="E1079" s="6">
        <v>229080060.65995789</v>
      </c>
      <c r="F1079" s="6">
        <v>4.6599998474121094</v>
      </c>
      <c r="G1079" s="6">
        <v>4.6399998664855957</v>
      </c>
      <c r="H1079" s="6" t="e">
        <v>#N/A</v>
      </c>
      <c r="I1079" s="6">
        <v>2.4657895984885028</v>
      </c>
      <c r="J1079" s="6">
        <v>87489000</v>
      </c>
      <c r="K1079" s="6">
        <v>29.411764705882341</v>
      </c>
      <c r="L1079" t="s">
        <v>17</v>
      </c>
      <c r="M1079" t="s">
        <v>100</v>
      </c>
      <c r="N1079" s="4" t="s">
        <v>4145</v>
      </c>
      <c r="O1079" s="4" t="s">
        <v>4146</v>
      </c>
      <c r="P1079" s="4" t="s">
        <v>233</v>
      </c>
    </row>
    <row r="1080" spans="1:16" x14ac:dyDescent="0.35">
      <c r="A1080" t="s">
        <v>4147</v>
      </c>
      <c r="B1080" t="s">
        <v>4148</v>
      </c>
      <c r="C1080" t="s">
        <v>16</v>
      </c>
      <c r="D1080" s="6">
        <v>543441196.14317894</v>
      </c>
      <c r="E1080" s="6">
        <v>277339196.14317894</v>
      </c>
      <c r="F1080" s="6">
        <v>10.260000228881836</v>
      </c>
      <c r="G1080" s="6">
        <v>10.029999732971191</v>
      </c>
      <c r="H1080" s="6" t="e">
        <v>#N/A</v>
      </c>
      <c r="I1080" s="6">
        <v>1.056176201139051</v>
      </c>
      <c r="J1080" s="6">
        <v>16742000</v>
      </c>
      <c r="K1080" s="6">
        <v>13.259171292497113</v>
      </c>
      <c r="L1080" t="s">
        <v>17</v>
      </c>
      <c r="M1080" t="s">
        <v>18</v>
      </c>
      <c r="N1080" s="4" t="s">
        <v>4149</v>
      </c>
      <c r="O1080" s="4" t="s">
        <v>4150</v>
      </c>
      <c r="P1080" s="4" t="s">
        <v>233</v>
      </c>
    </row>
    <row r="1081" spans="1:16" x14ac:dyDescent="0.35">
      <c r="A1081" t="s">
        <v>4151</v>
      </c>
      <c r="B1081" t="s">
        <v>4152</v>
      </c>
      <c r="C1081" t="s">
        <v>16</v>
      </c>
      <c r="D1081" s="6">
        <v>1114225147.4485531</v>
      </c>
      <c r="E1081" s="6">
        <v>947434147.44855309</v>
      </c>
      <c r="F1081" s="6">
        <v>7.5500001907348633</v>
      </c>
      <c r="G1081" s="6">
        <v>7.5500001907348633</v>
      </c>
      <c r="H1081" s="6" t="e">
        <v>#N/A</v>
      </c>
      <c r="I1081" s="6">
        <v>0.92257430435788756</v>
      </c>
      <c r="J1081" s="6">
        <v>178957000</v>
      </c>
      <c r="K1081" s="6">
        <v>30.769230769230766</v>
      </c>
      <c r="L1081" t="s">
        <v>17</v>
      </c>
      <c r="M1081" t="s">
        <v>100</v>
      </c>
      <c r="N1081" s="4" t="s">
        <v>4153</v>
      </c>
      <c r="O1081" s="4" t="s">
        <v>4154</v>
      </c>
      <c r="P1081" s="4" t="s">
        <v>233</v>
      </c>
    </row>
    <row r="1082" spans="1:16" x14ac:dyDescent="0.35">
      <c r="A1082" t="s">
        <v>4155</v>
      </c>
      <c r="B1082" t="s">
        <v>4156</v>
      </c>
      <c r="C1082" t="s">
        <v>16</v>
      </c>
      <c r="D1082" s="6">
        <v>3786.4383043465209</v>
      </c>
      <c r="E1082" s="6">
        <v>148955786.43830431</v>
      </c>
      <c r="F1082" s="6">
        <v>1.9999999494757503E-4</v>
      </c>
      <c r="G1082" s="6">
        <v>1.9999999494757503E-4</v>
      </c>
      <c r="H1082" s="6">
        <v>3.9380232884380631E-4</v>
      </c>
      <c r="I1082" s="6">
        <v>-0.99941679303751418</v>
      </c>
      <c r="J1082" s="6">
        <v>87853000</v>
      </c>
      <c r="K1082" s="6">
        <v>77.381455778870617</v>
      </c>
      <c r="L1082" t="s">
        <v>17</v>
      </c>
      <c r="M1082" t="s">
        <v>32</v>
      </c>
      <c r="N1082" s="4" t="s">
        <v>4157</v>
      </c>
      <c r="O1082" s="4" t="s">
        <v>4158</v>
      </c>
      <c r="P1082" s="4" t="s">
        <v>233</v>
      </c>
    </row>
    <row r="1083" spans="1:16" x14ac:dyDescent="0.35">
      <c r="A1083" t="s">
        <v>4159</v>
      </c>
      <c r="B1083" t="s">
        <v>4160</v>
      </c>
      <c r="C1083" t="s">
        <v>16</v>
      </c>
      <c r="D1083" s="6">
        <v>3759504361.6525378</v>
      </c>
      <c r="E1083" s="6">
        <v>3008792361.6525378</v>
      </c>
      <c r="F1083" s="6">
        <v>49.439998626708984</v>
      </c>
      <c r="G1083" s="6">
        <v>49.209999084472656</v>
      </c>
      <c r="H1083" s="6" t="e">
        <v>#N/A</v>
      </c>
      <c r="I1083" s="6">
        <v>1.2545705727701888</v>
      </c>
      <c r="J1083" s="6">
        <v>0</v>
      </c>
      <c r="K1083" s="6">
        <v>-59.574468085106382</v>
      </c>
      <c r="L1083" t="s">
        <v>17</v>
      </c>
      <c r="M1083" t="s">
        <v>18</v>
      </c>
      <c r="N1083" s="4" t="s">
        <v>4161</v>
      </c>
      <c r="O1083" s="4" t="s">
        <v>4162</v>
      </c>
      <c r="P1083" s="4" t="s">
        <v>233</v>
      </c>
    </row>
    <row r="1084" spans="1:16" x14ac:dyDescent="0.35">
      <c r="A1084" t="s">
        <v>4163</v>
      </c>
      <c r="B1084" t="s">
        <v>4164</v>
      </c>
      <c r="C1084" t="s">
        <v>16</v>
      </c>
      <c r="D1084" s="6">
        <v>6038224318.0877762</v>
      </c>
      <c r="E1084" s="6">
        <v>7513179318.0877762</v>
      </c>
      <c r="F1084" s="6">
        <v>31.950000762939453</v>
      </c>
      <c r="G1084" s="6">
        <v>30.5</v>
      </c>
      <c r="H1084" s="6" t="e">
        <v>#N/A</v>
      </c>
      <c r="I1084" s="6">
        <v>-0.10351843693204577</v>
      </c>
      <c r="J1084" s="6">
        <v>217765000</v>
      </c>
      <c r="K1084" s="6">
        <v>38.205128205128197</v>
      </c>
      <c r="L1084" t="s">
        <v>17</v>
      </c>
      <c r="M1084" t="s">
        <v>18</v>
      </c>
      <c r="N1084" s="4" t="s">
        <v>4165</v>
      </c>
      <c r="O1084" s="4" t="s">
        <v>4166</v>
      </c>
      <c r="P1084" s="4" t="s">
        <v>233</v>
      </c>
    </row>
    <row r="1085" spans="1:16" x14ac:dyDescent="0.35">
      <c r="A1085" t="s">
        <v>4167</v>
      </c>
      <c r="B1085" t="s">
        <v>4168</v>
      </c>
      <c r="C1085" t="s">
        <v>16</v>
      </c>
      <c r="D1085" s="6">
        <v>12625.279799668582</v>
      </c>
      <c r="E1085" s="6">
        <v>-609788.72020033142</v>
      </c>
      <c r="F1085" s="6">
        <v>3.0000001424923539E-4</v>
      </c>
      <c r="G1085" s="6">
        <v>3.0000001424923539E-4</v>
      </c>
      <c r="H1085" s="6" t="e">
        <v>#N/A</v>
      </c>
      <c r="I1085" s="6">
        <v>-0.91609895749241477</v>
      </c>
      <c r="J1085" s="6">
        <v>0</v>
      </c>
      <c r="K1085" s="6">
        <v>64.743589743589737</v>
      </c>
      <c r="L1085" t="s">
        <v>17</v>
      </c>
      <c r="M1085" t="s">
        <v>18</v>
      </c>
      <c r="N1085" s="4" t="s">
        <v>4169</v>
      </c>
      <c r="O1085" s="4" t="s">
        <v>4170</v>
      </c>
      <c r="P1085" s="4" t="s">
        <v>233</v>
      </c>
    </row>
    <row r="1086" spans="1:16" x14ac:dyDescent="0.35">
      <c r="A1086" t="s">
        <v>4171</v>
      </c>
      <c r="B1086" t="s">
        <v>4172</v>
      </c>
      <c r="C1086" t="s">
        <v>16</v>
      </c>
      <c r="D1086" s="6">
        <v>192021630.07360506</v>
      </c>
      <c r="E1086" s="6">
        <v>-56067369.926394969</v>
      </c>
      <c r="F1086" s="6">
        <v>3.559999942779541</v>
      </c>
      <c r="G1086" s="6">
        <v>3.369999885559082</v>
      </c>
      <c r="H1086" s="6" t="e">
        <v>#N/A</v>
      </c>
      <c r="I1086" s="6">
        <v>-0.61412975055933394</v>
      </c>
      <c r="J1086" s="6">
        <v>80871000</v>
      </c>
      <c r="K1086" s="6">
        <v>82.738095238095241</v>
      </c>
      <c r="L1086" t="s">
        <v>17</v>
      </c>
      <c r="M1086" t="s">
        <v>87</v>
      </c>
      <c r="N1086" s="4" t="s">
        <v>4173</v>
      </c>
      <c r="O1086" s="4" t="s">
        <v>4174</v>
      </c>
      <c r="P1086" s="4" t="s">
        <v>233</v>
      </c>
    </row>
    <row r="1087" spans="1:16" x14ac:dyDescent="0.35">
      <c r="A1087" t="s">
        <v>4175</v>
      </c>
      <c r="B1087" t="s">
        <v>4176</v>
      </c>
      <c r="C1087" t="s">
        <v>16</v>
      </c>
      <c r="D1087" s="6">
        <v>1652467668.9980617</v>
      </c>
      <c r="E1087" s="6">
        <v>1591746668.9980617</v>
      </c>
      <c r="F1087" s="6">
        <v>28.430000305175781</v>
      </c>
      <c r="G1087" s="6">
        <v>28.069999694824219</v>
      </c>
      <c r="H1087" s="6" t="e">
        <v>#N/A</v>
      </c>
      <c r="I1087" s="6">
        <v>-1.247038026252667E-2</v>
      </c>
      <c r="J1087" s="6">
        <v>405137000</v>
      </c>
      <c r="K1087" s="6">
        <v>45.149253731343272</v>
      </c>
      <c r="L1087" t="s">
        <v>17</v>
      </c>
      <c r="M1087" t="s">
        <v>32</v>
      </c>
      <c r="N1087" s="4" t="s">
        <v>4177</v>
      </c>
      <c r="O1087" s="4" t="s">
        <v>4178</v>
      </c>
      <c r="P1087" s="4" t="s">
        <v>233</v>
      </c>
    </row>
    <row r="1088" spans="1:16" x14ac:dyDescent="0.35">
      <c r="A1088" t="s">
        <v>4179</v>
      </c>
      <c r="B1088" t="s">
        <v>4180</v>
      </c>
      <c r="C1088" t="s">
        <v>16</v>
      </c>
      <c r="D1088" s="6">
        <v>2434792457.6393433</v>
      </c>
      <c r="E1088" s="6">
        <v>2467999457.6393433</v>
      </c>
      <c r="F1088" s="6">
        <v>50.720001220703125</v>
      </c>
      <c r="G1088" s="6">
        <v>49.340000152587891</v>
      </c>
      <c r="H1088" s="6" t="e">
        <v>#N/A</v>
      </c>
      <c r="I1088" s="6">
        <v>0.69218038748375976</v>
      </c>
      <c r="J1088" s="6">
        <v>307028000</v>
      </c>
      <c r="K1088" s="6">
        <v>51.574113503956141</v>
      </c>
      <c r="L1088" t="s">
        <v>17</v>
      </c>
      <c r="M1088" t="s">
        <v>18</v>
      </c>
      <c r="N1088" s="4" t="s">
        <v>4181</v>
      </c>
      <c r="O1088" s="4" t="s">
        <v>4182</v>
      </c>
      <c r="P1088" s="4" t="s">
        <v>233</v>
      </c>
    </row>
    <row r="1089" spans="1:16" x14ac:dyDescent="0.35">
      <c r="A1089" t="s">
        <v>4183</v>
      </c>
      <c r="B1089" t="s">
        <v>4184</v>
      </c>
      <c r="C1089" t="s">
        <v>16</v>
      </c>
      <c r="D1089" s="6">
        <v>780003343.53393734</v>
      </c>
      <c r="E1089" s="6">
        <v>526958343.53393734</v>
      </c>
      <c r="F1089" s="6">
        <v>27.850000381469727</v>
      </c>
      <c r="G1089" s="6">
        <v>27.700000762939453</v>
      </c>
      <c r="H1089" s="6">
        <v>139.2500019073486</v>
      </c>
      <c r="I1089" s="6">
        <v>0.13173007633216116</v>
      </c>
      <c r="J1089" s="6">
        <v>311878000</v>
      </c>
      <c r="K1089" s="6" t="e">
        <v>#N/A</v>
      </c>
      <c r="L1089" t="s">
        <v>17</v>
      </c>
      <c r="M1089" t="s">
        <v>40</v>
      </c>
      <c r="N1089" s="4" t="s">
        <v>4185</v>
      </c>
      <c r="O1089" s="4" t="s">
        <v>4186</v>
      </c>
      <c r="P1089" s="4" t="s">
        <v>233</v>
      </c>
    </row>
    <row r="1090" spans="1:16" x14ac:dyDescent="0.35">
      <c r="A1090" t="s">
        <v>4187</v>
      </c>
      <c r="B1090" t="s">
        <v>4188</v>
      </c>
      <c r="C1090" t="s">
        <v>16</v>
      </c>
      <c r="D1090" s="6">
        <v>5967120.0115293264</v>
      </c>
      <c r="E1090" s="6">
        <v>-974816.98847067356</v>
      </c>
      <c r="F1090" s="6">
        <v>0.10379999876022339</v>
      </c>
      <c r="G1090" s="6">
        <v>0.10509999841451645</v>
      </c>
      <c r="H1090" s="6" t="e">
        <v>#N/A</v>
      </c>
      <c r="I1090" s="6">
        <v>-0.99298532686697882</v>
      </c>
      <c r="J1090" s="6">
        <v>0</v>
      </c>
      <c r="K1090" s="6">
        <v>81.70044903508871</v>
      </c>
      <c r="L1090" t="s">
        <v>17</v>
      </c>
      <c r="M1090" t="s">
        <v>87</v>
      </c>
      <c r="N1090" s="4" t="s">
        <v>4189</v>
      </c>
      <c r="O1090" s="4" t="s">
        <v>4190</v>
      </c>
      <c r="P1090" s="4" t="s">
        <v>233</v>
      </c>
    </row>
    <row r="1091" spans="1:16" x14ac:dyDescent="0.35">
      <c r="A1091" t="s">
        <v>4191</v>
      </c>
      <c r="B1091" t="s">
        <v>4192</v>
      </c>
      <c r="C1091" t="s">
        <v>16</v>
      </c>
      <c r="D1091" s="6">
        <v>50274474.493318558</v>
      </c>
      <c r="E1091" s="6">
        <v>37637844.493318558</v>
      </c>
      <c r="F1091" s="6">
        <v>2.5799999237060547</v>
      </c>
      <c r="G1091" s="6">
        <v>2.5199999809265137</v>
      </c>
      <c r="H1091" s="6" t="e">
        <v>#N/A</v>
      </c>
      <c r="I1091" s="6">
        <v>-0.75543215813766595</v>
      </c>
      <c r="J1091" s="6">
        <v>0</v>
      </c>
      <c r="K1091" s="6">
        <v>12.250264987145936</v>
      </c>
      <c r="L1091" t="s">
        <v>17</v>
      </c>
      <c r="M1091" t="s">
        <v>18</v>
      </c>
      <c r="N1091" s="4" t="s">
        <v>4193</v>
      </c>
      <c r="O1091" s="4" t="s">
        <v>4194</v>
      </c>
      <c r="P1091" s="4" t="s">
        <v>233</v>
      </c>
    </row>
    <row r="1092" spans="1:16" x14ac:dyDescent="0.35">
      <c r="A1092" t="s">
        <v>4195</v>
      </c>
      <c r="B1092" t="s">
        <v>4196</v>
      </c>
      <c r="C1092" t="s">
        <v>16</v>
      </c>
      <c r="D1092" s="6">
        <v>153127916.07379675</v>
      </c>
      <c r="E1092" s="6">
        <v>60342916.073796749</v>
      </c>
      <c r="F1092" s="6">
        <v>1.1599999666213989</v>
      </c>
      <c r="G1092" s="6">
        <v>1.1499999761581421</v>
      </c>
      <c r="H1092" s="6" t="e">
        <v>#N/A</v>
      </c>
      <c r="I1092" s="6">
        <v>-0.95576738710643394</v>
      </c>
      <c r="J1092" s="6">
        <v>0</v>
      </c>
      <c r="K1092" s="6">
        <v>3.8194444444444553</v>
      </c>
      <c r="L1092" t="s">
        <v>17</v>
      </c>
      <c r="M1092" t="s">
        <v>18</v>
      </c>
      <c r="N1092" s="4" t="s">
        <v>4197</v>
      </c>
      <c r="O1092" s="4" t="s">
        <v>4198</v>
      </c>
      <c r="P1092" s="4" t="s">
        <v>233</v>
      </c>
    </row>
    <row r="1093" spans="1:16" x14ac:dyDescent="0.35">
      <c r="A1093" t="s">
        <v>4199</v>
      </c>
      <c r="B1093" t="s">
        <v>4200</v>
      </c>
      <c r="C1093" t="s">
        <v>16</v>
      </c>
      <c r="D1093" s="6">
        <v>482772835.35342979</v>
      </c>
      <c r="E1093" s="6">
        <v>674164633.34285378</v>
      </c>
      <c r="F1093" s="6">
        <v>1.8200000524520874</v>
      </c>
      <c r="G1093" s="6">
        <v>1.7999999523162842</v>
      </c>
      <c r="H1093" s="6" t="e">
        <v>#N/A</v>
      </c>
      <c r="I1093" s="6">
        <v>0.31784374565073636</v>
      </c>
      <c r="J1093" s="6">
        <v>909006000</v>
      </c>
      <c r="K1093" s="6">
        <v>55.413335528369124</v>
      </c>
      <c r="L1093" t="s">
        <v>17</v>
      </c>
      <c r="M1093" t="s">
        <v>87</v>
      </c>
      <c r="N1093" s="4" t="s">
        <v>4201</v>
      </c>
      <c r="O1093" s="4" t="s">
        <v>4202</v>
      </c>
      <c r="P1093" s="4" t="s">
        <v>233</v>
      </c>
    </row>
    <row r="1094" spans="1:16" x14ac:dyDescent="0.35">
      <c r="A1094" t="s">
        <v>4203</v>
      </c>
      <c r="B1094" t="s">
        <v>4204</v>
      </c>
      <c r="C1094" t="s">
        <v>16</v>
      </c>
      <c r="D1094" s="6">
        <v>1313963233.8447573</v>
      </c>
      <c r="E1094" s="6">
        <v>725313233.84475732</v>
      </c>
      <c r="F1094" s="6">
        <v>18.889999389648438</v>
      </c>
      <c r="G1094" s="6">
        <v>18.309999465942383</v>
      </c>
      <c r="H1094" s="6">
        <v>8.3894514922469465</v>
      </c>
      <c r="I1094" s="6">
        <v>-0.28624162830177358</v>
      </c>
      <c r="J1094" s="6">
        <v>394818000</v>
      </c>
      <c r="K1094" s="6">
        <v>-3.3755274261603403</v>
      </c>
      <c r="L1094" t="s">
        <v>17</v>
      </c>
      <c r="M1094" t="s">
        <v>27</v>
      </c>
      <c r="N1094" s="4" t="s">
        <v>233</v>
      </c>
      <c r="O1094" s="4" t="s">
        <v>4205</v>
      </c>
      <c r="P1094" s="4" t="s">
        <v>13147</v>
      </c>
    </row>
    <row r="1095" spans="1:16" x14ac:dyDescent="0.35">
      <c r="A1095" t="s">
        <v>4206</v>
      </c>
      <c r="B1095" t="s">
        <v>4207</v>
      </c>
      <c r="C1095" t="s">
        <v>16</v>
      </c>
      <c r="D1095" s="6">
        <v>308299717.35351557</v>
      </c>
      <c r="E1095" s="6">
        <v>302279633.35351557</v>
      </c>
      <c r="F1095" s="6">
        <v>50.520000457763672</v>
      </c>
      <c r="G1095" s="6">
        <v>51.209999084472656</v>
      </c>
      <c r="H1095" s="6" t="e">
        <v>#N/A</v>
      </c>
      <c r="I1095" s="6">
        <v>29.241886909757117</v>
      </c>
      <c r="J1095" s="6">
        <v>0</v>
      </c>
      <c r="K1095" s="6">
        <v>44.338470534419052</v>
      </c>
      <c r="L1095" t="s">
        <v>17</v>
      </c>
      <c r="M1095" t="s">
        <v>18</v>
      </c>
      <c r="N1095" s="4" t="s">
        <v>4208</v>
      </c>
      <c r="O1095" s="4" t="s">
        <v>4209</v>
      </c>
      <c r="P1095" s="4" t="s">
        <v>233</v>
      </c>
    </row>
    <row r="1096" spans="1:16" x14ac:dyDescent="0.35">
      <c r="A1096" t="s">
        <v>4210</v>
      </c>
      <c r="B1096" t="s">
        <v>4211</v>
      </c>
      <c r="C1096" t="s">
        <v>16</v>
      </c>
      <c r="D1096" s="6">
        <v>120782.29829999998</v>
      </c>
      <c r="E1096" s="6">
        <v>271227782.29830003</v>
      </c>
      <c r="F1096" s="6">
        <v>9.9999999747524271E-7</v>
      </c>
      <c r="G1096" s="6">
        <v>3.9999998989515007E-4</v>
      </c>
      <c r="H1096" s="6" t="e">
        <v>#N/A</v>
      </c>
      <c r="I1096" s="6">
        <v>-0.99943294957408957</v>
      </c>
      <c r="J1096" s="6">
        <v>414876000</v>
      </c>
      <c r="K1096" s="6">
        <v>21.42857142857142</v>
      </c>
      <c r="L1096" t="s">
        <v>17</v>
      </c>
      <c r="M1096" t="s">
        <v>27</v>
      </c>
      <c r="N1096" s="4" t="s">
        <v>4212</v>
      </c>
      <c r="O1096" s="4" t="s">
        <v>4213</v>
      </c>
      <c r="P1096" s="4" t="s">
        <v>233</v>
      </c>
    </row>
    <row r="1097" spans="1:16" x14ac:dyDescent="0.35">
      <c r="A1097" t="s">
        <v>4214</v>
      </c>
      <c r="B1097" t="s">
        <v>4215</v>
      </c>
      <c r="C1097" t="s">
        <v>16</v>
      </c>
      <c r="D1097" s="6">
        <v>4409625879.0362854</v>
      </c>
      <c r="E1097" s="6">
        <v>3918412879.0362854</v>
      </c>
      <c r="F1097" s="6">
        <v>59.279998779296875</v>
      </c>
      <c r="G1097" s="6">
        <v>57.505001068115234</v>
      </c>
      <c r="H1097" s="6" t="e">
        <v>#N/A</v>
      </c>
      <c r="I1097" s="6">
        <v>0.29032054438719213</v>
      </c>
      <c r="J1097" s="6">
        <v>135487000</v>
      </c>
      <c r="K1097" s="6">
        <v>20.536137936702207</v>
      </c>
      <c r="L1097" t="s">
        <v>17</v>
      </c>
      <c r="M1097" t="s">
        <v>18</v>
      </c>
      <c r="N1097" s="4" t="s">
        <v>4216</v>
      </c>
      <c r="O1097" s="4" t="s">
        <v>4217</v>
      </c>
      <c r="P1097" s="4" t="s">
        <v>233</v>
      </c>
    </row>
    <row r="1098" spans="1:16" x14ac:dyDescent="0.35">
      <c r="A1098" t="s">
        <v>4218</v>
      </c>
      <c r="B1098" t="s">
        <v>4219</v>
      </c>
      <c r="C1098" t="s">
        <v>16</v>
      </c>
      <c r="D1098" s="6">
        <v>1452653376</v>
      </c>
      <c r="E1098" s="6" t="e">
        <v>#N/A</v>
      </c>
      <c r="F1098" s="6">
        <v>12</v>
      </c>
      <c r="G1098" s="6">
        <v>11.590000152587891</v>
      </c>
      <c r="H1098" s="6" t="e">
        <v>#N/A</v>
      </c>
      <c r="I1098" s="6">
        <v>-0.75470798425193542</v>
      </c>
      <c r="J1098" s="6">
        <v>610800000</v>
      </c>
      <c r="K1098" s="6">
        <v>30.275229357798171</v>
      </c>
      <c r="L1098" t="s">
        <v>17</v>
      </c>
      <c r="M1098" t="s">
        <v>100</v>
      </c>
      <c r="N1098" s="4" t="s">
        <v>4220</v>
      </c>
      <c r="O1098" s="4" t="s">
        <v>4221</v>
      </c>
      <c r="P1098" s="4" t="s">
        <v>233</v>
      </c>
    </row>
    <row r="1099" spans="1:16" x14ac:dyDescent="0.35">
      <c r="A1099" t="s">
        <v>4222</v>
      </c>
      <c r="B1099" t="s">
        <v>4223</v>
      </c>
      <c r="C1099" t="s">
        <v>16</v>
      </c>
      <c r="D1099" s="6">
        <v>82060569.496452674</v>
      </c>
      <c r="E1099" s="6">
        <v>-90869430.503547326</v>
      </c>
      <c r="F1099" s="6">
        <v>1.3799999952316284</v>
      </c>
      <c r="G1099" s="6">
        <v>1.2799999713897705</v>
      </c>
      <c r="H1099" s="6" t="e">
        <v>#N/A</v>
      </c>
      <c r="I1099" s="6">
        <v>-0.91977069601968076</v>
      </c>
      <c r="J1099" s="6">
        <v>2918000</v>
      </c>
      <c r="K1099" s="6">
        <v>27.054108216432876</v>
      </c>
      <c r="L1099" t="s">
        <v>17</v>
      </c>
      <c r="M1099" t="s">
        <v>18</v>
      </c>
      <c r="N1099" s="4" t="s">
        <v>4224</v>
      </c>
      <c r="O1099" s="4" t="s">
        <v>4225</v>
      </c>
      <c r="P1099" s="4" t="s">
        <v>233</v>
      </c>
    </row>
    <row r="1100" spans="1:16" x14ac:dyDescent="0.35">
      <c r="A1100" t="s">
        <v>4226</v>
      </c>
      <c r="B1100" t="s">
        <v>4227</v>
      </c>
      <c r="C1100" t="s">
        <v>16</v>
      </c>
      <c r="D1100" s="6">
        <v>10124322176.097267</v>
      </c>
      <c r="E1100" s="6">
        <v>9881609176.0972672</v>
      </c>
      <c r="F1100" s="6">
        <v>46.340000152587891</v>
      </c>
      <c r="G1100" s="6">
        <v>43</v>
      </c>
      <c r="H1100" s="6">
        <v>104.29209021375578</v>
      </c>
      <c r="I1100" s="6">
        <v>3.6377512406752883</v>
      </c>
      <c r="J1100" s="6">
        <v>1241994000</v>
      </c>
      <c r="K1100" s="6" t="e">
        <v>#N/A</v>
      </c>
      <c r="L1100" t="s">
        <v>17</v>
      </c>
      <c r="M1100" t="s">
        <v>40</v>
      </c>
      <c r="N1100" s="4" t="s">
        <v>4228</v>
      </c>
      <c r="O1100" s="4" t="s">
        <v>4229</v>
      </c>
      <c r="P1100" s="4" t="s">
        <v>233</v>
      </c>
    </row>
    <row r="1101" spans="1:16" x14ac:dyDescent="0.35">
      <c r="A1101" t="s">
        <v>4230</v>
      </c>
      <c r="B1101" t="s">
        <v>4231</v>
      </c>
      <c r="C1101" t="s">
        <v>16</v>
      </c>
      <c r="D1101" s="6">
        <v>1254630245.9175491</v>
      </c>
      <c r="E1101" s="6">
        <v>186991245.91754925</v>
      </c>
      <c r="F1101" s="6">
        <v>9.1099996566772461</v>
      </c>
      <c r="G1101" s="6">
        <v>8.9099998474121094</v>
      </c>
      <c r="H1101" s="6" t="e">
        <v>#N/A</v>
      </c>
      <c r="I1101" s="6">
        <v>-6.4510861217391913E-2</v>
      </c>
      <c r="J1101" s="6">
        <v>78618000</v>
      </c>
      <c r="K1101" s="6">
        <v>12.694877505567934</v>
      </c>
      <c r="L1101" t="s">
        <v>17</v>
      </c>
      <c r="M1101" t="s">
        <v>18</v>
      </c>
      <c r="N1101" s="4" t="s">
        <v>4232</v>
      </c>
      <c r="O1101" s="4" t="s">
        <v>4233</v>
      </c>
      <c r="P1101" s="4" t="s">
        <v>233</v>
      </c>
    </row>
    <row r="1102" spans="1:16" x14ac:dyDescent="0.35">
      <c r="A1102" t="s">
        <v>4234</v>
      </c>
      <c r="B1102" t="s">
        <v>4235</v>
      </c>
      <c r="C1102" t="s">
        <v>16</v>
      </c>
      <c r="D1102" s="6">
        <v>143100635.00420806</v>
      </c>
      <c r="E1102" s="6">
        <v>-122288364.99579194</v>
      </c>
      <c r="F1102" s="6">
        <v>1.4800000190734863</v>
      </c>
      <c r="G1102" s="6">
        <v>1.4099999666213989</v>
      </c>
      <c r="H1102" s="6" t="e">
        <v>#N/A</v>
      </c>
      <c r="I1102" s="6">
        <v>-0.66641386658216595</v>
      </c>
      <c r="J1102" s="6">
        <v>70717000</v>
      </c>
      <c r="K1102" s="6">
        <v>-8.6363636363636545</v>
      </c>
      <c r="L1102" t="s">
        <v>17</v>
      </c>
      <c r="M1102" t="s">
        <v>18</v>
      </c>
      <c r="N1102" s="4" t="s">
        <v>233</v>
      </c>
      <c r="O1102" s="4" t="s">
        <v>4236</v>
      </c>
      <c r="P1102" s="4" t="s">
        <v>13086</v>
      </c>
    </row>
    <row r="1103" spans="1:16" x14ac:dyDescent="0.35">
      <c r="A1103" t="s">
        <v>4237</v>
      </c>
      <c r="B1103" t="s">
        <v>4238</v>
      </c>
      <c r="C1103" t="s">
        <v>16</v>
      </c>
      <c r="D1103" s="6">
        <v>18641717.652818915</v>
      </c>
      <c r="E1103" s="6">
        <v>-6296844.3471810855</v>
      </c>
      <c r="F1103" s="6">
        <v>3.4300000667572021</v>
      </c>
      <c r="G1103" s="6">
        <v>3.4000000953674316</v>
      </c>
      <c r="H1103" s="6" t="e">
        <v>#N/A</v>
      </c>
      <c r="I1103" s="6">
        <v>-0.46314836541292559</v>
      </c>
      <c r="J1103" s="6">
        <v>1310839</v>
      </c>
      <c r="K1103" s="6">
        <v>29.573934837092732</v>
      </c>
      <c r="L1103" t="s">
        <v>17</v>
      </c>
      <c r="M1103" t="s">
        <v>18</v>
      </c>
      <c r="N1103" s="4" t="s">
        <v>4239</v>
      </c>
      <c r="O1103" s="4" t="s">
        <v>4240</v>
      </c>
      <c r="P1103" s="4" t="s">
        <v>233</v>
      </c>
    </row>
    <row r="1104" spans="1:16" x14ac:dyDescent="0.35">
      <c r="A1104" t="s">
        <v>4241</v>
      </c>
      <c r="B1104" t="s">
        <v>4242</v>
      </c>
      <c r="C1104" t="s">
        <v>16</v>
      </c>
      <c r="D1104" s="6">
        <v>278705794.49999994</v>
      </c>
      <c r="E1104" s="6">
        <v>183493794.49999994</v>
      </c>
      <c r="F1104" s="6">
        <v>29.75</v>
      </c>
      <c r="G1104" s="6">
        <v>29.649999618530273</v>
      </c>
      <c r="H1104" s="6" t="e">
        <v>#N/A</v>
      </c>
      <c r="I1104" s="6">
        <v>-0.45818197460289389</v>
      </c>
      <c r="J1104" s="6">
        <v>0</v>
      </c>
      <c r="K1104" s="6">
        <v>99.026214041655521</v>
      </c>
      <c r="L1104" t="s">
        <v>17</v>
      </c>
      <c r="M1104" t="s">
        <v>18</v>
      </c>
      <c r="N1104" s="4" t="s">
        <v>4243</v>
      </c>
      <c r="O1104" s="4" t="s">
        <v>4244</v>
      </c>
      <c r="P1104" s="4" t="s">
        <v>233</v>
      </c>
    </row>
    <row r="1105" spans="1:16" x14ac:dyDescent="0.35">
      <c r="A1105" t="s">
        <v>4245</v>
      </c>
      <c r="B1105" t="s">
        <v>4246</v>
      </c>
      <c r="C1105" t="s">
        <v>16</v>
      </c>
      <c r="D1105" s="6">
        <v>26599132344.053722</v>
      </c>
      <c r="E1105" s="6">
        <v>9053407723.343401</v>
      </c>
      <c r="F1105" s="6">
        <v>111.88999938964844</v>
      </c>
      <c r="G1105" s="6">
        <v>114</v>
      </c>
      <c r="H1105" s="6" t="e">
        <v>#N/A</v>
      </c>
      <c r="I1105" s="6">
        <v>0.19152243043852413</v>
      </c>
      <c r="J1105" s="6">
        <v>3040100000</v>
      </c>
      <c r="K1105" s="6" t="e">
        <v>#N/A</v>
      </c>
      <c r="L1105" t="s">
        <v>17</v>
      </c>
      <c r="M1105" t="s">
        <v>18</v>
      </c>
      <c r="N1105" s="4" t="s">
        <v>4247</v>
      </c>
      <c r="O1105" s="4" t="s">
        <v>4248</v>
      </c>
      <c r="P1105" s="4" t="s">
        <v>233</v>
      </c>
    </row>
    <row r="1106" spans="1:16" x14ac:dyDescent="0.35">
      <c r="A1106" t="s">
        <v>4249</v>
      </c>
      <c r="B1106" t="s">
        <v>4250</v>
      </c>
      <c r="C1106" t="s">
        <v>16</v>
      </c>
      <c r="D1106" s="6">
        <v>1875074978.3200722</v>
      </c>
      <c r="E1106" s="6">
        <v>1658851978.3200722</v>
      </c>
      <c r="F1106" s="6">
        <v>22.020000457763672</v>
      </c>
      <c r="G1106" s="6">
        <v>22.360000610351563</v>
      </c>
      <c r="H1106" s="6">
        <v>39.786145780922652</v>
      </c>
      <c r="I1106" s="6">
        <v>-0.4700063446564865</v>
      </c>
      <c r="J1106" s="6">
        <v>1138730000</v>
      </c>
      <c r="K1106" s="6">
        <v>10.714285714285703</v>
      </c>
      <c r="L1106" t="s">
        <v>17</v>
      </c>
      <c r="M1106" t="s">
        <v>40</v>
      </c>
      <c r="N1106" s="4" t="s">
        <v>4251</v>
      </c>
      <c r="O1106" s="4" t="s">
        <v>4252</v>
      </c>
      <c r="P1106" s="4" t="s">
        <v>233</v>
      </c>
    </row>
    <row r="1107" spans="1:16" x14ac:dyDescent="0.35">
      <c r="A1107" t="s">
        <v>4253</v>
      </c>
      <c r="B1107" t="s">
        <v>4254</v>
      </c>
      <c r="C1107" t="s">
        <v>16</v>
      </c>
      <c r="D1107" s="6">
        <v>2365756738.1197281</v>
      </c>
      <c r="E1107" s="6">
        <v>1602064738.1197281</v>
      </c>
      <c r="F1107" s="6">
        <v>28.569999694824219</v>
      </c>
      <c r="G1107" s="6">
        <v>26.360000610351563</v>
      </c>
      <c r="H1107" s="6" t="e">
        <v>#N/A</v>
      </c>
      <c r="I1107" s="6">
        <v>-0.14424565317319271</v>
      </c>
      <c r="J1107" s="6">
        <v>349643000</v>
      </c>
      <c r="K1107" s="6">
        <v>57.821585944268207</v>
      </c>
      <c r="L1107" t="s">
        <v>17</v>
      </c>
      <c r="M1107" t="s">
        <v>18</v>
      </c>
      <c r="N1107" s="4" t="s">
        <v>4255</v>
      </c>
      <c r="O1107" s="4" t="s">
        <v>4256</v>
      </c>
      <c r="P1107" s="4" t="s">
        <v>233</v>
      </c>
    </row>
    <row r="1108" spans="1:16" x14ac:dyDescent="0.35">
      <c r="A1108" t="s">
        <v>4257</v>
      </c>
      <c r="B1108" t="s">
        <v>4258</v>
      </c>
      <c r="C1108" t="s">
        <v>16</v>
      </c>
      <c r="D1108" s="6">
        <v>11946990.000000002</v>
      </c>
      <c r="E1108" s="6">
        <v>254251461.52267456</v>
      </c>
      <c r="F1108" s="6">
        <v>0.25</v>
      </c>
      <c r="G1108" s="6">
        <v>0.25999999046325684</v>
      </c>
      <c r="H1108" s="6" t="e">
        <v>#N/A</v>
      </c>
      <c r="I1108" s="6">
        <v>-0.51826778436493082</v>
      </c>
      <c r="J1108" s="6">
        <v>682587000</v>
      </c>
      <c r="K1108" s="6">
        <v>69.892473118279568</v>
      </c>
      <c r="L1108" t="s">
        <v>17</v>
      </c>
      <c r="M1108" t="s">
        <v>40</v>
      </c>
      <c r="N1108" s="4" t="s">
        <v>4259</v>
      </c>
      <c r="O1108" s="4" t="s">
        <v>4260</v>
      </c>
      <c r="P1108" s="4" t="s">
        <v>233</v>
      </c>
    </row>
    <row r="1109" spans="1:16" x14ac:dyDescent="0.35">
      <c r="A1109" t="s">
        <v>4261</v>
      </c>
      <c r="B1109" t="s">
        <v>4262</v>
      </c>
      <c r="C1109" t="s">
        <v>16</v>
      </c>
      <c r="D1109" s="6">
        <v>124797219.27980566</v>
      </c>
      <c r="E1109" s="6">
        <v>-42990780.72019434</v>
      </c>
      <c r="F1109" s="6">
        <v>2.4800000190734863</v>
      </c>
      <c r="G1109" s="6">
        <v>2.3599998950958252</v>
      </c>
      <c r="H1109" s="6" t="e">
        <v>#N/A</v>
      </c>
      <c r="I1109" s="6">
        <v>-0.90017175254640935</v>
      </c>
      <c r="J1109" s="6" t="e">
        <v>#N/A</v>
      </c>
      <c r="K1109" s="6">
        <v>-7.4490691412270671</v>
      </c>
      <c r="L1109" t="s">
        <v>17</v>
      </c>
      <c r="M1109" t="s">
        <v>18</v>
      </c>
      <c r="N1109" s="4" t="s">
        <v>4263</v>
      </c>
      <c r="O1109" s="4" t="s">
        <v>4264</v>
      </c>
      <c r="P1109" s="4" t="s">
        <v>233</v>
      </c>
    </row>
    <row r="1110" spans="1:16" x14ac:dyDescent="0.35">
      <c r="A1110" t="s">
        <v>4265</v>
      </c>
      <c r="B1110" t="s">
        <v>4266</v>
      </c>
      <c r="C1110" t="s">
        <v>16</v>
      </c>
      <c r="D1110" s="6">
        <v>226640901.25072953</v>
      </c>
      <c r="E1110" s="6">
        <v>-299196098.74927056</v>
      </c>
      <c r="F1110" s="6">
        <v>4.5500001907348633</v>
      </c>
      <c r="G1110" s="6">
        <v>4.570000171661377</v>
      </c>
      <c r="H1110" s="6" t="e">
        <v>#N/A</v>
      </c>
      <c r="I1110" s="6">
        <v>-0.83581405392944308</v>
      </c>
      <c r="J1110" s="6" t="e">
        <v>#N/A</v>
      </c>
      <c r="K1110" s="6">
        <v>-3.4315391512942282</v>
      </c>
      <c r="L1110" t="s">
        <v>17</v>
      </c>
      <c r="M1110" t="s">
        <v>18</v>
      </c>
      <c r="N1110" s="4" t="s">
        <v>4267</v>
      </c>
      <c r="O1110" s="4" t="s">
        <v>4268</v>
      </c>
      <c r="P1110" s="4" t="s">
        <v>233</v>
      </c>
    </row>
    <row r="1111" spans="1:16" x14ac:dyDescent="0.35">
      <c r="A1111" t="s">
        <v>4269</v>
      </c>
      <c r="B1111" t="s">
        <v>4270</v>
      </c>
      <c r="C1111" t="s">
        <v>16</v>
      </c>
      <c r="D1111" s="6">
        <v>374708038.224195</v>
      </c>
      <c r="E1111" s="6">
        <v>236633038.224195</v>
      </c>
      <c r="F1111" s="6">
        <v>5.4800000190734863</v>
      </c>
      <c r="G1111" s="6">
        <v>5.3000001907348633</v>
      </c>
      <c r="H1111" s="6" t="e">
        <v>#N/A</v>
      </c>
      <c r="I1111" s="6">
        <v>-0.14604814618174355</v>
      </c>
      <c r="J1111" s="6">
        <v>26270000</v>
      </c>
      <c r="K1111" s="6">
        <v>-48.952879581151805</v>
      </c>
      <c r="L1111" t="s">
        <v>17</v>
      </c>
      <c r="M1111" t="s">
        <v>87</v>
      </c>
      <c r="N1111" s="4" t="s">
        <v>4271</v>
      </c>
      <c r="O1111" s="4" t="s">
        <v>4272</v>
      </c>
      <c r="P1111" s="4" t="s">
        <v>233</v>
      </c>
    </row>
    <row r="1112" spans="1:16" x14ac:dyDescent="0.35">
      <c r="A1112" t="s">
        <v>4273</v>
      </c>
      <c r="B1112" t="s">
        <v>4274</v>
      </c>
      <c r="C1112" t="s">
        <v>16</v>
      </c>
      <c r="D1112" s="6">
        <v>3018495.5325313658</v>
      </c>
      <c r="E1112" s="6">
        <v>-5436504.4674686342</v>
      </c>
      <c r="F1112" s="6">
        <v>3.9999999105930328E-2</v>
      </c>
      <c r="G1112" s="6">
        <v>4.075000062584877E-2</v>
      </c>
      <c r="H1112" s="6" t="e">
        <v>#N/A</v>
      </c>
      <c r="I1112" s="6">
        <v>-0.76759121626726645</v>
      </c>
      <c r="J1112" s="6">
        <v>0</v>
      </c>
      <c r="K1112" s="6">
        <v>81.481481481481481</v>
      </c>
      <c r="L1112" t="s">
        <v>17</v>
      </c>
      <c r="M1112" t="s">
        <v>18</v>
      </c>
      <c r="N1112" s="4" t="s">
        <v>4275</v>
      </c>
      <c r="O1112" s="4" t="s">
        <v>4276</v>
      </c>
      <c r="P1112" s="4" t="s">
        <v>233</v>
      </c>
    </row>
    <row r="1113" spans="1:16" x14ac:dyDescent="0.35">
      <c r="A1113" t="s">
        <v>4277</v>
      </c>
      <c r="B1113" t="s">
        <v>4278</v>
      </c>
      <c r="C1113" t="s">
        <v>16</v>
      </c>
      <c r="D1113" s="6">
        <v>3871695.6505</v>
      </c>
      <c r="E1113" s="6">
        <v>27884500.484491091</v>
      </c>
      <c r="F1113" s="6">
        <v>0.14030000000000001</v>
      </c>
      <c r="G1113" s="6">
        <v>0.14030000000000001</v>
      </c>
      <c r="H1113" s="6" t="e">
        <v>#N/A</v>
      </c>
      <c r="I1113" s="6">
        <v>-0.85384336819212325</v>
      </c>
      <c r="J1113" s="6">
        <v>48004500</v>
      </c>
      <c r="K1113" s="6">
        <v>43.20585028470385</v>
      </c>
      <c r="L1113" t="s">
        <v>17</v>
      </c>
      <c r="M1113" t="s">
        <v>40</v>
      </c>
      <c r="N1113" s="4" t="s">
        <v>233</v>
      </c>
      <c r="O1113" s="4" t="s">
        <v>4279</v>
      </c>
      <c r="P1113" s="4" t="s">
        <v>13148</v>
      </c>
    </row>
    <row r="1114" spans="1:16" x14ac:dyDescent="0.35">
      <c r="A1114" t="s">
        <v>4280</v>
      </c>
      <c r="B1114" t="s">
        <v>4281</v>
      </c>
      <c r="C1114" t="s">
        <v>16</v>
      </c>
      <c r="D1114" s="6">
        <v>1454239145.0315094</v>
      </c>
      <c r="E1114" s="6">
        <v>1068033145.0315094</v>
      </c>
      <c r="F1114" s="6">
        <v>11.010000228881836</v>
      </c>
      <c r="G1114" s="6">
        <v>10.930000305175781</v>
      </c>
      <c r="H1114" s="6" t="e">
        <v>#N/A</v>
      </c>
      <c r="I1114" s="6">
        <v>0.17326027976952996</v>
      </c>
      <c r="J1114" s="6">
        <v>0</v>
      </c>
      <c r="K1114" s="6">
        <v>-46.231155778894482</v>
      </c>
      <c r="L1114" t="s">
        <v>17</v>
      </c>
      <c r="M1114" t="s">
        <v>18</v>
      </c>
      <c r="N1114" s="4" t="s">
        <v>4282</v>
      </c>
      <c r="O1114" s="4" t="s">
        <v>4283</v>
      </c>
      <c r="P1114" s="4" t="s">
        <v>233</v>
      </c>
    </row>
    <row r="1115" spans="1:16" x14ac:dyDescent="0.35">
      <c r="A1115" t="s">
        <v>4284</v>
      </c>
      <c r="B1115" t="s">
        <v>4285</v>
      </c>
      <c r="C1115" t="s">
        <v>16</v>
      </c>
      <c r="D1115" s="6">
        <v>100440527.77181266</v>
      </c>
      <c r="E1115" s="6">
        <v>124109527.77181266</v>
      </c>
      <c r="F1115" s="6">
        <v>2.5499999523162842</v>
      </c>
      <c r="G1115" s="6">
        <v>2.5999999046325684</v>
      </c>
      <c r="H1115" s="6" t="e">
        <v>#N/A</v>
      </c>
      <c r="I1115" s="6">
        <v>-0.65717292630117297</v>
      </c>
      <c r="J1115" s="6">
        <v>68649000</v>
      </c>
      <c r="K1115" s="6">
        <v>17.961165048543695</v>
      </c>
      <c r="L1115" t="s">
        <v>17</v>
      </c>
      <c r="M1115" t="s">
        <v>27</v>
      </c>
      <c r="N1115" s="4" t="s">
        <v>4286</v>
      </c>
      <c r="O1115" s="4" t="s">
        <v>4287</v>
      </c>
      <c r="P1115" s="4" t="s">
        <v>233</v>
      </c>
    </row>
    <row r="1116" spans="1:16" x14ac:dyDescent="0.35">
      <c r="A1116" t="s">
        <v>4288</v>
      </c>
      <c r="B1116" t="s">
        <v>4289</v>
      </c>
      <c r="C1116" t="s">
        <v>16</v>
      </c>
      <c r="D1116" s="6">
        <v>82357424.536462784</v>
      </c>
      <c r="E1116" s="6">
        <v>-8075575.4635372162</v>
      </c>
      <c r="F1116" s="6">
        <v>5.4899997711181641</v>
      </c>
      <c r="G1116" s="6">
        <v>5.3299999237060547</v>
      </c>
      <c r="H1116" s="6" t="e">
        <v>#N/A</v>
      </c>
      <c r="I1116" s="6">
        <v>-0.67700736405578188</v>
      </c>
      <c r="J1116" s="6">
        <v>0</v>
      </c>
      <c r="K1116" s="6">
        <v>42.876144578313244</v>
      </c>
      <c r="L1116" t="s">
        <v>17</v>
      </c>
      <c r="M1116" t="s">
        <v>18</v>
      </c>
      <c r="N1116" s="4" t="s">
        <v>4290</v>
      </c>
      <c r="O1116" s="4" t="s">
        <v>4291</v>
      </c>
      <c r="P1116" s="4" t="s">
        <v>233</v>
      </c>
    </row>
    <row r="1117" spans="1:16" x14ac:dyDescent="0.35">
      <c r="A1117" t="s">
        <v>4292</v>
      </c>
      <c r="B1117" t="s">
        <v>4293</v>
      </c>
      <c r="C1117" t="s">
        <v>16</v>
      </c>
      <c r="D1117" s="6">
        <v>77417035.720213413</v>
      </c>
      <c r="E1117" s="6">
        <v>-126109964.27978662</v>
      </c>
      <c r="F1117" s="6">
        <v>0.95929998159408569</v>
      </c>
      <c r="G1117" s="6">
        <v>0.96990001201629639</v>
      </c>
      <c r="H1117" s="6" t="e">
        <v>#N/A</v>
      </c>
      <c r="I1117" s="6">
        <v>-0.4661383778805982</v>
      </c>
      <c r="J1117" s="6">
        <v>1104811.0512096777</v>
      </c>
      <c r="K1117" s="6">
        <v>84.591498337482903</v>
      </c>
      <c r="L1117" t="s">
        <v>17</v>
      </c>
      <c r="M1117" t="s">
        <v>18</v>
      </c>
      <c r="N1117" s="4" t="s">
        <v>4294</v>
      </c>
      <c r="O1117" s="4" t="s">
        <v>4295</v>
      </c>
      <c r="P1117" s="4" t="s">
        <v>233</v>
      </c>
    </row>
    <row r="1118" spans="1:16" x14ac:dyDescent="0.35">
      <c r="A1118" t="s">
        <v>13421</v>
      </c>
      <c r="B1118" t="s">
        <v>13422</v>
      </c>
      <c r="C1118" t="s">
        <v>16</v>
      </c>
      <c r="D1118" s="6">
        <v>244956.51052479522</v>
      </c>
      <c r="E1118" s="6">
        <v>32114872.732734013</v>
      </c>
      <c r="F1118" s="6">
        <v>0.11999999731779099</v>
      </c>
      <c r="G1118" s="6">
        <v>0.11999999731779099</v>
      </c>
      <c r="H1118" s="6" t="e">
        <v>#N/A</v>
      </c>
      <c r="I1118" s="6">
        <v>-0.96663275815687522</v>
      </c>
      <c r="J1118" s="6">
        <v>13529500</v>
      </c>
      <c r="K1118" s="6">
        <v>72.656671664167902</v>
      </c>
      <c r="L1118" t="s">
        <v>17</v>
      </c>
      <c r="M1118" t="s">
        <v>18</v>
      </c>
      <c r="N1118" s="4" t="s">
        <v>13423</v>
      </c>
      <c r="O1118" s="4" t="s">
        <v>13424</v>
      </c>
      <c r="P1118" s="4" t="s">
        <v>233</v>
      </c>
    </row>
    <row r="1119" spans="1:16" x14ac:dyDescent="0.35">
      <c r="A1119" t="s">
        <v>4296</v>
      </c>
      <c r="B1119" t="s">
        <v>13013</v>
      </c>
      <c r="C1119" t="s">
        <v>16</v>
      </c>
      <c r="D1119" s="6">
        <v>1028775561.0180825</v>
      </c>
      <c r="E1119" s="6">
        <v>1026706129.0180825</v>
      </c>
      <c r="F1119" s="6">
        <v>10.581700325012207</v>
      </c>
      <c r="G1119" s="6">
        <v>10.316800117492676</v>
      </c>
      <c r="H1119" s="6">
        <v>12.093371800013951</v>
      </c>
      <c r="I1119" s="6">
        <v>2.469549676840864</v>
      </c>
      <c r="J1119" s="6">
        <v>48064942</v>
      </c>
      <c r="K1119" s="6">
        <v>0</v>
      </c>
      <c r="L1119" t="s">
        <v>17</v>
      </c>
      <c r="M1119" t="s">
        <v>87</v>
      </c>
      <c r="N1119" s="4" t="s">
        <v>233</v>
      </c>
      <c r="O1119" s="4" t="s">
        <v>4297</v>
      </c>
      <c r="P1119" s="4" t="s">
        <v>13149</v>
      </c>
    </row>
    <row r="1120" spans="1:16" x14ac:dyDescent="0.35">
      <c r="A1120" t="s">
        <v>4298</v>
      </c>
      <c r="B1120" t="s">
        <v>4299</v>
      </c>
      <c r="C1120" t="s">
        <v>16</v>
      </c>
      <c r="D1120" s="6">
        <v>435.93080898746121</v>
      </c>
      <c r="E1120" s="6">
        <v>15774435.930808987</v>
      </c>
      <c r="F1120" s="6">
        <v>9.9999999747524271E-7</v>
      </c>
      <c r="G1120" s="6">
        <v>9.9999999747524271E-7</v>
      </c>
      <c r="H1120" s="6" t="e">
        <v>#N/A</v>
      </c>
      <c r="I1120" s="6">
        <v>-0.99995887781147597</v>
      </c>
      <c r="J1120" s="6">
        <v>310000</v>
      </c>
      <c r="K1120" s="6" t="e">
        <v>#N/A</v>
      </c>
      <c r="L1120" t="s">
        <v>17</v>
      </c>
      <c r="M1120" t="s">
        <v>87</v>
      </c>
      <c r="N1120" s="4" t="s">
        <v>4300</v>
      </c>
      <c r="O1120" s="4" t="s">
        <v>4301</v>
      </c>
      <c r="P1120" s="4" t="s">
        <v>233</v>
      </c>
    </row>
    <row r="1121" spans="1:16" x14ac:dyDescent="0.35">
      <c r="A1121" t="s">
        <v>4302</v>
      </c>
      <c r="B1121" t="s">
        <v>4303</v>
      </c>
      <c r="C1121" t="s">
        <v>16</v>
      </c>
      <c r="D1121" s="6">
        <v>1546159051.5748968</v>
      </c>
      <c r="E1121" s="6">
        <v>1423776051.5748968</v>
      </c>
      <c r="F1121" s="6">
        <v>13.210000038146973</v>
      </c>
      <c r="G1121" s="6">
        <v>11.199999809265137</v>
      </c>
      <c r="H1121" s="6" t="e">
        <v>#N/A</v>
      </c>
      <c r="I1121" s="6">
        <v>0.97092177518728628</v>
      </c>
      <c r="J1121" s="6">
        <v>138708000</v>
      </c>
      <c r="K1121" s="6">
        <v>59.12761431994857</v>
      </c>
      <c r="L1121" t="s">
        <v>17</v>
      </c>
      <c r="M1121" t="s">
        <v>18</v>
      </c>
      <c r="N1121" s="4" t="s">
        <v>4304</v>
      </c>
      <c r="O1121" s="4" t="s">
        <v>4305</v>
      </c>
      <c r="P1121" s="4" t="s">
        <v>233</v>
      </c>
    </row>
    <row r="1122" spans="1:16" x14ac:dyDescent="0.35">
      <c r="A1122" t="s">
        <v>4306</v>
      </c>
      <c r="B1122" t="s">
        <v>4307</v>
      </c>
      <c r="C1122" t="s">
        <v>16</v>
      </c>
      <c r="D1122" s="6">
        <v>1738410225.089462</v>
      </c>
      <c r="E1122" s="6">
        <v>1469875225.089462</v>
      </c>
      <c r="F1122" s="6">
        <v>23.860000610351563</v>
      </c>
      <c r="G1122" s="6">
        <v>23.940000534057617</v>
      </c>
      <c r="H1122" s="6" t="e">
        <v>#N/A</v>
      </c>
      <c r="I1122" s="6">
        <v>-0.16269341168051676</v>
      </c>
      <c r="J1122" s="6">
        <v>193348000</v>
      </c>
      <c r="K1122" s="6" t="e">
        <v>#N/A</v>
      </c>
      <c r="L1122" t="s">
        <v>17</v>
      </c>
      <c r="M1122" t="s">
        <v>32</v>
      </c>
      <c r="N1122" s="4" t="s">
        <v>4308</v>
      </c>
      <c r="O1122" s="4" t="s">
        <v>4309</v>
      </c>
      <c r="P1122" s="4" t="s">
        <v>233</v>
      </c>
    </row>
    <row r="1123" spans="1:16" x14ac:dyDescent="0.35">
      <c r="A1123" t="s">
        <v>4310</v>
      </c>
      <c r="B1123" t="s">
        <v>4311</v>
      </c>
      <c r="C1123" t="s">
        <v>16</v>
      </c>
      <c r="D1123" s="6">
        <v>7195016.0029212087</v>
      </c>
      <c r="E1123" s="6">
        <v>11848970.002921209</v>
      </c>
      <c r="F1123" s="6">
        <v>9.1200001537799835E-2</v>
      </c>
      <c r="G1123" s="6">
        <v>0.10000000149011612</v>
      </c>
      <c r="H1123" s="6" t="e">
        <v>#N/A</v>
      </c>
      <c r="I1123" s="6">
        <v>-0.99937290206833906</v>
      </c>
      <c r="J1123" s="6" t="e">
        <v>#N/A</v>
      </c>
      <c r="K1123" s="6" t="e">
        <v>#N/A</v>
      </c>
      <c r="L1123" t="s">
        <v>17</v>
      </c>
      <c r="M1123" t="s">
        <v>18</v>
      </c>
      <c r="N1123" s="4" t="s">
        <v>4312</v>
      </c>
      <c r="O1123" s="4" t="s">
        <v>4313</v>
      </c>
      <c r="P1123" s="4" t="s">
        <v>233</v>
      </c>
    </row>
    <row r="1124" spans="1:16" x14ac:dyDescent="0.35">
      <c r="A1124" t="s">
        <v>4314</v>
      </c>
      <c r="B1124" t="s">
        <v>13394</v>
      </c>
      <c r="C1124" t="s">
        <v>16</v>
      </c>
      <c r="D1124" s="6">
        <v>7741625808</v>
      </c>
      <c r="E1124" s="6">
        <v>6278850808</v>
      </c>
      <c r="F1124" s="6">
        <v>42</v>
      </c>
      <c r="G1124" s="6">
        <v>40.729999542236328</v>
      </c>
      <c r="H1124" s="6" t="e">
        <v>#N/A</v>
      </c>
      <c r="I1124" s="6">
        <v>0.37270409286531292</v>
      </c>
      <c r="J1124" s="6">
        <v>742000</v>
      </c>
      <c r="K1124" s="6">
        <v>-10.134785276073623</v>
      </c>
      <c r="L1124" t="s">
        <v>17</v>
      </c>
      <c r="M1124" t="s">
        <v>18</v>
      </c>
      <c r="N1124" s="4" t="s">
        <v>4315</v>
      </c>
      <c r="O1124" s="4" t="s">
        <v>4316</v>
      </c>
      <c r="P1124" s="4" t="s">
        <v>233</v>
      </c>
    </row>
    <row r="1125" spans="1:16" x14ac:dyDescent="0.35">
      <c r="A1125" t="s">
        <v>4317</v>
      </c>
      <c r="B1125" t="s">
        <v>4318</v>
      </c>
      <c r="C1125" t="s">
        <v>16</v>
      </c>
      <c r="D1125" s="6">
        <v>127882241.84036279</v>
      </c>
      <c r="E1125" s="6">
        <v>38199241.840362787</v>
      </c>
      <c r="F1125" s="6">
        <v>2.2599999904632568</v>
      </c>
      <c r="G1125" s="6">
        <v>2.1700000762939453</v>
      </c>
      <c r="H1125" s="6" t="e">
        <v>#N/A</v>
      </c>
      <c r="I1125" s="6">
        <v>-0.47833346970934731</v>
      </c>
      <c r="J1125" s="6">
        <v>0</v>
      </c>
      <c r="K1125" s="6">
        <v>37.558685446009385</v>
      </c>
      <c r="L1125" t="s">
        <v>17</v>
      </c>
      <c r="M1125" t="s">
        <v>18</v>
      </c>
      <c r="N1125" s="4" t="s">
        <v>4319</v>
      </c>
      <c r="O1125" s="4" t="s">
        <v>4320</v>
      </c>
      <c r="P1125" s="4" t="s">
        <v>233</v>
      </c>
    </row>
    <row r="1126" spans="1:16" x14ac:dyDescent="0.35">
      <c r="A1126" t="s">
        <v>4321</v>
      </c>
      <c r="B1126" t="s">
        <v>4322</v>
      </c>
      <c r="C1126" t="s">
        <v>16</v>
      </c>
      <c r="D1126" s="6">
        <v>437107466.01387978</v>
      </c>
      <c r="E1126" s="6">
        <v>4888305466.0138798</v>
      </c>
      <c r="F1126" s="6">
        <v>27.030000686645508</v>
      </c>
      <c r="G1126" s="6">
        <v>24.270000457763672</v>
      </c>
      <c r="H1126" s="6" t="e">
        <v>#N/A</v>
      </c>
      <c r="I1126" s="6">
        <v>-0.406389250006709</v>
      </c>
      <c r="J1126" s="6">
        <v>942614000</v>
      </c>
      <c r="K1126" s="6">
        <v>-112.52613620903242</v>
      </c>
      <c r="L1126" t="s">
        <v>17</v>
      </c>
      <c r="M1126" t="s">
        <v>32</v>
      </c>
      <c r="N1126" s="4" t="s">
        <v>4323</v>
      </c>
      <c r="O1126" s="4" t="s">
        <v>4324</v>
      </c>
      <c r="P1126" s="4" t="s">
        <v>233</v>
      </c>
    </row>
    <row r="1127" spans="1:16" x14ac:dyDescent="0.35">
      <c r="A1127" t="s">
        <v>4325</v>
      </c>
      <c r="B1127" t="s">
        <v>4326</v>
      </c>
      <c r="C1127" t="s">
        <v>16</v>
      </c>
      <c r="D1127" s="6">
        <v>32075750.630181313</v>
      </c>
      <c r="E1127" s="6">
        <v>-26932249.36981868</v>
      </c>
      <c r="F1127" s="6">
        <v>0.51929998397827148</v>
      </c>
      <c r="G1127" s="6">
        <v>0.51899999380111694</v>
      </c>
      <c r="H1127" s="6" t="e">
        <v>#N/A</v>
      </c>
      <c r="I1127" s="6">
        <v>-0.47976944676922162</v>
      </c>
      <c r="J1127" s="6">
        <v>0</v>
      </c>
      <c r="K1127" s="6">
        <v>42.833004294287846</v>
      </c>
      <c r="L1127" t="s">
        <v>17</v>
      </c>
      <c r="M1127" t="s">
        <v>18</v>
      </c>
      <c r="N1127" s="4" t="s">
        <v>4327</v>
      </c>
      <c r="O1127" s="4" t="s">
        <v>4328</v>
      </c>
      <c r="P1127" s="4" t="s">
        <v>233</v>
      </c>
    </row>
    <row r="1128" spans="1:16" x14ac:dyDescent="0.35">
      <c r="A1128" t="s">
        <v>4329</v>
      </c>
      <c r="B1128" t="s">
        <v>4330</v>
      </c>
      <c r="C1128" t="s">
        <v>16</v>
      </c>
      <c r="D1128" s="6">
        <v>1077344573.0234144</v>
      </c>
      <c r="E1128" s="6">
        <v>785510573.02341437</v>
      </c>
      <c r="F1128" s="6">
        <v>22.049999237060547</v>
      </c>
      <c r="G1128" s="6">
        <v>20.979999542236328</v>
      </c>
      <c r="H1128" s="6" t="e">
        <v>#N/A</v>
      </c>
      <c r="I1128" s="6">
        <v>0.32569036999686918</v>
      </c>
      <c r="J1128" s="6">
        <v>0</v>
      </c>
      <c r="K1128" s="6" t="e">
        <v>#N/A</v>
      </c>
      <c r="L1128" t="s">
        <v>17</v>
      </c>
      <c r="M1128" t="s">
        <v>87</v>
      </c>
      <c r="N1128" s="4" t="s">
        <v>4331</v>
      </c>
      <c r="O1128" s="4" t="s">
        <v>4332</v>
      </c>
      <c r="P1128" s="4" t="s">
        <v>233</v>
      </c>
    </row>
    <row r="1129" spans="1:16" x14ac:dyDescent="0.35">
      <c r="A1129" t="s">
        <v>4333</v>
      </c>
      <c r="B1129" t="s">
        <v>4334</v>
      </c>
      <c r="C1129" t="s">
        <v>16</v>
      </c>
      <c r="D1129" s="6">
        <v>2799475.5625</v>
      </c>
      <c r="E1129" s="6">
        <v>-5647524.4375000019</v>
      </c>
      <c r="F1129" s="6">
        <v>1.25</v>
      </c>
      <c r="G1129" s="6">
        <v>1.3799999952316284</v>
      </c>
      <c r="H1129" s="6" t="e">
        <v>#N/A</v>
      </c>
      <c r="I1129" s="6">
        <v>-0.96333218461567605</v>
      </c>
      <c r="J1129" s="6">
        <v>0</v>
      </c>
      <c r="K1129" s="6">
        <v>55.411255411255418</v>
      </c>
      <c r="L1129" t="s">
        <v>17</v>
      </c>
      <c r="M1129" t="s">
        <v>18</v>
      </c>
      <c r="N1129" s="4" t="s">
        <v>13441</v>
      </c>
      <c r="O1129" s="4" t="s">
        <v>13442</v>
      </c>
      <c r="P1129" s="4" t="s">
        <v>233</v>
      </c>
    </row>
    <row r="1130" spans="1:16" x14ac:dyDescent="0.35">
      <c r="A1130" t="s">
        <v>4335</v>
      </c>
      <c r="B1130" t="s">
        <v>4336</v>
      </c>
      <c r="C1130" t="s">
        <v>16</v>
      </c>
      <c r="D1130" s="6">
        <v>4680402165.4068604</v>
      </c>
      <c r="E1130" s="6">
        <v>4601588165.4068604</v>
      </c>
      <c r="F1130" s="6">
        <v>79.919998168945313</v>
      </c>
      <c r="G1130" s="6">
        <v>79.860000610351563</v>
      </c>
      <c r="H1130" s="6" t="e">
        <v>#N/A</v>
      </c>
      <c r="I1130" s="6">
        <v>0.37696134617803301</v>
      </c>
      <c r="J1130" s="6">
        <v>574498000</v>
      </c>
      <c r="K1130" s="6">
        <v>-2600</v>
      </c>
      <c r="L1130" t="s">
        <v>17</v>
      </c>
      <c r="M1130" t="s">
        <v>27</v>
      </c>
      <c r="N1130" s="4" t="s">
        <v>4337</v>
      </c>
      <c r="O1130" s="4" t="s">
        <v>4338</v>
      </c>
      <c r="P1130" s="4" t="s">
        <v>233</v>
      </c>
    </row>
    <row r="1131" spans="1:16" x14ac:dyDescent="0.35">
      <c r="A1131" t="s">
        <v>4339</v>
      </c>
      <c r="B1131" t="s">
        <v>4340</v>
      </c>
      <c r="C1131" t="s">
        <v>16</v>
      </c>
      <c r="D1131" s="6">
        <v>236807530.57181832</v>
      </c>
      <c r="E1131" s="6">
        <v>299914014.84733462</v>
      </c>
      <c r="F1131" s="6">
        <v>10.199999809265137</v>
      </c>
      <c r="G1131" s="6">
        <v>10.694999694824219</v>
      </c>
      <c r="H1131" s="6" t="e">
        <v>#N/A</v>
      </c>
      <c r="I1131" s="6">
        <v>2.5665006786762934</v>
      </c>
      <c r="J1131" s="6">
        <v>0</v>
      </c>
      <c r="K1131" s="6">
        <v>61.825497041301055</v>
      </c>
      <c r="L1131" t="s">
        <v>17</v>
      </c>
      <c r="M1131" t="s">
        <v>18</v>
      </c>
      <c r="N1131" s="4" t="s">
        <v>4341</v>
      </c>
      <c r="O1131" s="4" t="s">
        <v>4342</v>
      </c>
      <c r="P1131" s="4" t="s">
        <v>233</v>
      </c>
    </row>
    <row r="1132" spans="1:16" x14ac:dyDescent="0.35">
      <c r="A1132" t="s">
        <v>4343</v>
      </c>
      <c r="B1132" t="s">
        <v>4344</v>
      </c>
      <c r="C1132" t="s">
        <v>16</v>
      </c>
      <c r="D1132" s="6">
        <v>565001174.10908842</v>
      </c>
      <c r="E1132" s="6">
        <v>577414174.10908842</v>
      </c>
      <c r="F1132" s="6">
        <v>6.9000000953674316</v>
      </c>
      <c r="G1132" s="6">
        <v>6.8899998664855957</v>
      </c>
      <c r="H1132" s="6" t="e">
        <v>#N/A</v>
      </c>
      <c r="I1132" s="6">
        <v>-0.50335894087799327</v>
      </c>
      <c r="J1132" s="6">
        <v>446718000</v>
      </c>
      <c r="K1132" s="6">
        <v>-36.363636363636367</v>
      </c>
      <c r="L1132" t="s">
        <v>17</v>
      </c>
      <c r="M1132" t="s">
        <v>40</v>
      </c>
      <c r="N1132" s="4" t="s">
        <v>4345</v>
      </c>
      <c r="O1132" s="4" t="s">
        <v>4346</v>
      </c>
      <c r="P1132" s="4" t="s">
        <v>233</v>
      </c>
    </row>
    <row r="1133" spans="1:16" x14ac:dyDescent="0.35">
      <c r="A1133" t="s">
        <v>4347</v>
      </c>
      <c r="B1133" t="s">
        <v>4348</v>
      </c>
      <c r="C1133" t="s">
        <v>16</v>
      </c>
      <c r="D1133" s="6">
        <v>276810040.82805824</v>
      </c>
      <c r="E1133" s="6">
        <v>224840040.82805824</v>
      </c>
      <c r="F1133" s="6">
        <v>7.0100002288818359</v>
      </c>
      <c r="G1133" s="6">
        <v>6.690000057220459</v>
      </c>
      <c r="H1133" s="6" t="e">
        <v>#N/A</v>
      </c>
      <c r="I1133" s="6">
        <v>-0.5205370522052809</v>
      </c>
      <c r="J1133" s="6">
        <v>79302000</v>
      </c>
      <c r="K1133" s="6">
        <v>9.2592592592592808</v>
      </c>
      <c r="L1133" t="s">
        <v>17</v>
      </c>
      <c r="M1133" t="s">
        <v>27</v>
      </c>
      <c r="N1133" s="4" t="s">
        <v>4349</v>
      </c>
      <c r="O1133" s="4" t="s">
        <v>4350</v>
      </c>
      <c r="P1133" s="4" t="s">
        <v>233</v>
      </c>
    </row>
    <row r="1134" spans="1:16" x14ac:dyDescent="0.35">
      <c r="A1134" t="s">
        <v>4351</v>
      </c>
      <c r="B1134" t="s">
        <v>4352</v>
      </c>
      <c r="C1134" t="s">
        <v>16</v>
      </c>
      <c r="D1134" s="6">
        <v>666857664.04042244</v>
      </c>
      <c r="E1134" s="6">
        <v>394488664.04042244</v>
      </c>
      <c r="F1134" s="6">
        <v>9.4499998092651367</v>
      </c>
      <c r="G1134" s="6">
        <v>9.4700002670288086</v>
      </c>
      <c r="H1134" s="6" t="e">
        <v>#N/A</v>
      </c>
      <c r="I1134" s="6">
        <v>-0.21198583884658806</v>
      </c>
      <c r="J1134" s="6">
        <v>0</v>
      </c>
      <c r="K1134" s="6">
        <v>9.5477386934673323</v>
      </c>
      <c r="L1134" t="s">
        <v>17</v>
      </c>
      <c r="M1134" t="s">
        <v>18</v>
      </c>
      <c r="N1134" s="4" t="s">
        <v>4353</v>
      </c>
      <c r="O1134" s="4" t="s">
        <v>4354</v>
      </c>
      <c r="P1134" s="4" t="s">
        <v>233</v>
      </c>
    </row>
    <row r="1135" spans="1:16" x14ac:dyDescent="0.35">
      <c r="A1135" t="s">
        <v>4355</v>
      </c>
      <c r="B1135" t="s">
        <v>4356</v>
      </c>
      <c r="C1135" t="s">
        <v>16</v>
      </c>
      <c r="D1135" s="6">
        <v>2742362.0804107543</v>
      </c>
      <c r="E1135" s="6">
        <v>-6206037.9195892457</v>
      </c>
      <c r="F1135" s="6">
        <v>2.3399999141693115</v>
      </c>
      <c r="G1135" s="6">
        <v>2.309999942779541</v>
      </c>
      <c r="H1135" s="6" t="e">
        <v>#N/A</v>
      </c>
      <c r="I1135" s="6">
        <v>-0.87191313457400077</v>
      </c>
      <c r="J1135" s="6" t="e">
        <v>#N/A</v>
      </c>
      <c r="K1135" s="6">
        <v>16.000000000000014</v>
      </c>
      <c r="L1135" t="s">
        <v>17</v>
      </c>
      <c r="M1135" t="s">
        <v>87</v>
      </c>
      <c r="N1135" s="4" t="s">
        <v>233</v>
      </c>
      <c r="O1135" s="4" t="s">
        <v>4357</v>
      </c>
      <c r="P1135" s="4" t="s">
        <v>13150</v>
      </c>
    </row>
    <row r="1136" spans="1:16" x14ac:dyDescent="0.35">
      <c r="A1136" t="s">
        <v>4358</v>
      </c>
      <c r="B1136" t="s">
        <v>4359</v>
      </c>
      <c r="C1136" t="s">
        <v>16</v>
      </c>
      <c r="D1136" s="6">
        <v>71607337.16455698</v>
      </c>
      <c r="E1136" s="6">
        <v>75578337.16455698</v>
      </c>
      <c r="F1136" s="6">
        <v>0.94770002365112305</v>
      </c>
      <c r="G1136" s="6">
        <v>0.97000002861022949</v>
      </c>
      <c r="H1136" s="6" t="e">
        <v>#N/A</v>
      </c>
      <c r="I1136" s="6">
        <v>-0.52280257199525448</v>
      </c>
      <c r="J1136" s="6">
        <v>324239000</v>
      </c>
      <c r="K1136" s="6" t="e">
        <v>#N/A</v>
      </c>
      <c r="L1136" t="s">
        <v>17</v>
      </c>
      <c r="M1136" t="s">
        <v>40</v>
      </c>
      <c r="N1136" s="4" t="s">
        <v>4360</v>
      </c>
      <c r="O1136" s="4" t="s">
        <v>4361</v>
      </c>
      <c r="P1136" s="4" t="s">
        <v>233</v>
      </c>
    </row>
    <row r="1137" spans="1:16" x14ac:dyDescent="0.35">
      <c r="A1137" t="s">
        <v>4362</v>
      </c>
      <c r="B1137" t="s">
        <v>4363</v>
      </c>
      <c r="C1137" t="s">
        <v>16</v>
      </c>
      <c r="D1137" s="6">
        <v>12862428.050488474</v>
      </c>
      <c r="E1137" s="6">
        <v>-3439571.9495115336</v>
      </c>
      <c r="F1137" s="6">
        <v>0.19650000333786011</v>
      </c>
      <c r="G1137" s="6">
        <v>0.19460000097751617</v>
      </c>
      <c r="H1137" s="6" t="e">
        <v>#N/A</v>
      </c>
      <c r="I1137" s="6">
        <v>-0.95929546491873419</v>
      </c>
      <c r="J1137" s="6">
        <v>1471000</v>
      </c>
      <c r="K1137" s="6">
        <v>4.191204874196834</v>
      </c>
      <c r="L1137" t="s">
        <v>17</v>
      </c>
      <c r="M1137" t="s">
        <v>87</v>
      </c>
      <c r="N1137" s="4" t="s">
        <v>4364</v>
      </c>
      <c r="O1137" s="4" t="s">
        <v>4365</v>
      </c>
      <c r="P1137" s="4" t="s">
        <v>233</v>
      </c>
    </row>
    <row r="1138" spans="1:16" x14ac:dyDescent="0.35">
      <c r="A1138" t="s">
        <v>4366</v>
      </c>
      <c r="B1138" t="s">
        <v>4367</v>
      </c>
      <c r="C1138" t="s">
        <v>16</v>
      </c>
      <c r="D1138" s="6">
        <v>153933270.11675835</v>
      </c>
      <c r="E1138" s="6">
        <v>-194052729.88324165</v>
      </c>
      <c r="F1138" s="6">
        <v>2.1600000858306885</v>
      </c>
      <c r="G1138" s="6">
        <v>2.0199999809265137</v>
      </c>
      <c r="H1138" s="6" t="e">
        <v>#N/A</v>
      </c>
      <c r="I1138" s="6">
        <v>-0.81131377250852799</v>
      </c>
      <c r="J1138" s="6">
        <v>40560000</v>
      </c>
      <c r="K1138" s="6">
        <v>45.879851622826983</v>
      </c>
      <c r="L1138" t="s">
        <v>17</v>
      </c>
      <c r="M1138" t="s">
        <v>18</v>
      </c>
      <c r="N1138" s="4" t="s">
        <v>4368</v>
      </c>
      <c r="O1138" s="4" t="s">
        <v>4369</v>
      </c>
      <c r="P1138" s="4" t="s">
        <v>233</v>
      </c>
    </row>
    <row r="1139" spans="1:16" x14ac:dyDescent="0.35">
      <c r="A1139" t="s">
        <v>4370</v>
      </c>
      <c r="B1139" t="s">
        <v>4371</v>
      </c>
      <c r="C1139" t="s">
        <v>16</v>
      </c>
      <c r="D1139" s="6">
        <v>2242714202.8537388</v>
      </c>
      <c r="E1139" s="6">
        <v>1956630202.8537388</v>
      </c>
      <c r="F1139" s="6">
        <v>4.4699997901916504</v>
      </c>
      <c r="G1139" s="6">
        <v>4.4000000953674316</v>
      </c>
      <c r="H1139" s="6" t="e">
        <v>#N/A</v>
      </c>
      <c r="I1139" s="6">
        <v>3.3646963183426761</v>
      </c>
      <c r="J1139" s="6">
        <v>1544419000</v>
      </c>
      <c r="K1139" s="6">
        <v>58.465538515776487</v>
      </c>
      <c r="L1139" t="s">
        <v>17</v>
      </c>
      <c r="M1139" t="s">
        <v>40</v>
      </c>
      <c r="N1139" s="4" t="s">
        <v>4372</v>
      </c>
      <c r="O1139" s="4" t="s">
        <v>4373</v>
      </c>
      <c r="P1139" s="4" t="s">
        <v>233</v>
      </c>
    </row>
    <row r="1140" spans="1:16" x14ac:dyDescent="0.35">
      <c r="A1140" t="s">
        <v>4374</v>
      </c>
      <c r="B1140" t="s">
        <v>4375</v>
      </c>
      <c r="C1140" t="s">
        <v>16</v>
      </c>
      <c r="D1140" s="6">
        <v>413175564.07382482</v>
      </c>
      <c r="E1140" s="6">
        <v>-98222435.926175117</v>
      </c>
      <c r="F1140" s="6">
        <v>10.199999809265137</v>
      </c>
      <c r="G1140" s="6">
        <v>10.25</v>
      </c>
      <c r="H1140" s="6" t="e">
        <v>#N/A</v>
      </c>
      <c r="I1140" s="6">
        <v>-0.82130362631813858</v>
      </c>
      <c r="J1140" s="6">
        <v>651000</v>
      </c>
      <c r="K1140" s="6">
        <v>-5.2525252525252482</v>
      </c>
      <c r="L1140" t="s">
        <v>17</v>
      </c>
      <c r="M1140" t="s">
        <v>18</v>
      </c>
      <c r="N1140" s="4" t="s">
        <v>4376</v>
      </c>
      <c r="O1140" s="4" t="s">
        <v>4377</v>
      </c>
      <c r="P1140" s="4" t="s">
        <v>233</v>
      </c>
    </row>
    <row r="1141" spans="1:16" x14ac:dyDescent="0.35">
      <c r="A1141" t="s">
        <v>4378</v>
      </c>
      <c r="B1141" t="s">
        <v>4379</v>
      </c>
      <c r="C1141" t="s">
        <v>16</v>
      </c>
      <c r="D1141" s="6">
        <v>21662579.018571373</v>
      </c>
      <c r="E1141" s="6">
        <v>23815579.018571373</v>
      </c>
      <c r="F1141" s="6">
        <v>3.190000057220459</v>
      </c>
      <c r="G1141" s="6">
        <v>3.2400000095367432</v>
      </c>
      <c r="H1141" s="6" t="e">
        <v>#N/A</v>
      </c>
      <c r="I1141" s="6">
        <v>0.4101758854410551</v>
      </c>
      <c r="J1141" s="6">
        <v>6727000</v>
      </c>
      <c r="K1141" s="6">
        <v>-19.695479719220874</v>
      </c>
      <c r="L1141" t="s">
        <v>17</v>
      </c>
      <c r="M1141" t="s">
        <v>27</v>
      </c>
      <c r="N1141" s="4" t="s">
        <v>4380</v>
      </c>
      <c r="O1141" s="4" t="s">
        <v>4381</v>
      </c>
      <c r="P1141" s="4" t="s">
        <v>233</v>
      </c>
    </row>
    <row r="1142" spans="1:16" x14ac:dyDescent="0.35">
      <c r="A1142" t="s">
        <v>4382</v>
      </c>
      <c r="B1142" t="s">
        <v>4383</v>
      </c>
      <c r="C1142" t="s">
        <v>16</v>
      </c>
      <c r="D1142" s="6">
        <v>82359153.002536297</v>
      </c>
      <c r="E1142" s="6">
        <v>35005153.002536289</v>
      </c>
      <c r="F1142" s="6">
        <v>0.86260002851486206</v>
      </c>
      <c r="G1142" s="6">
        <v>0.85970002412796021</v>
      </c>
      <c r="H1142" s="6" t="e">
        <v>#N/A</v>
      </c>
      <c r="I1142" s="6">
        <v>-1.8463365152444622E-3</v>
      </c>
      <c r="J1142" s="6">
        <v>125763000</v>
      </c>
      <c r="K1142" s="6">
        <v>51.655629139072843</v>
      </c>
      <c r="L1142" t="s">
        <v>17</v>
      </c>
      <c r="M1142" t="s">
        <v>87</v>
      </c>
      <c r="N1142" s="4" t="s">
        <v>4384</v>
      </c>
      <c r="O1142" s="4" t="s">
        <v>4385</v>
      </c>
      <c r="P1142" s="4" t="s">
        <v>233</v>
      </c>
    </row>
    <row r="1143" spans="1:16" x14ac:dyDescent="0.35">
      <c r="A1143" t="s">
        <v>4386</v>
      </c>
      <c r="B1143" t="s">
        <v>4387</v>
      </c>
      <c r="C1143" t="s">
        <v>16</v>
      </c>
      <c r="D1143" s="6">
        <v>51874526.632893085</v>
      </c>
      <c r="E1143" s="6">
        <v>24112005.632893085</v>
      </c>
      <c r="F1143" s="6">
        <v>4.809999942779541</v>
      </c>
      <c r="G1143" s="6">
        <v>4.6599998474121094</v>
      </c>
      <c r="H1143" s="6" t="e">
        <v>#N/A</v>
      </c>
      <c r="I1143" s="6">
        <v>0.16981349861607775</v>
      </c>
      <c r="J1143" s="6">
        <v>0</v>
      </c>
      <c r="K1143" s="6">
        <v>-26.845935936864496</v>
      </c>
      <c r="L1143" t="s">
        <v>17</v>
      </c>
      <c r="M1143" t="s">
        <v>18</v>
      </c>
      <c r="N1143" s="4" t="s">
        <v>4388</v>
      </c>
      <c r="O1143" s="4" t="s">
        <v>4389</v>
      </c>
      <c r="P1143" s="4" t="s">
        <v>233</v>
      </c>
    </row>
    <row r="1144" spans="1:16" x14ac:dyDescent="0.35">
      <c r="A1144" t="s">
        <v>4390</v>
      </c>
      <c r="B1144" t="s">
        <v>4391</v>
      </c>
      <c r="C1144" t="s">
        <v>16</v>
      </c>
      <c r="D1144" s="6">
        <v>1028512583.8809586</v>
      </c>
      <c r="E1144" s="6">
        <v>955784583.88095856</v>
      </c>
      <c r="F1144" s="6">
        <v>4.3400001525878906</v>
      </c>
      <c r="G1144" s="6">
        <v>3.9800000190734863</v>
      </c>
      <c r="H1144" s="6" t="e">
        <v>#N/A</v>
      </c>
      <c r="I1144" s="6">
        <v>3.2381009330748682</v>
      </c>
      <c r="J1144" s="6">
        <v>76220000</v>
      </c>
      <c r="K1144" s="6">
        <v>24.590163934426251</v>
      </c>
      <c r="L1144" t="s">
        <v>17</v>
      </c>
      <c r="M1144" t="s">
        <v>27</v>
      </c>
      <c r="N1144" s="4" t="s">
        <v>4392</v>
      </c>
      <c r="O1144" s="4" t="s">
        <v>4393</v>
      </c>
      <c r="P1144" s="4" t="s">
        <v>233</v>
      </c>
    </row>
    <row r="1145" spans="1:16" x14ac:dyDescent="0.35">
      <c r="A1145" t="s">
        <v>4394</v>
      </c>
      <c r="B1145" t="s">
        <v>4395</v>
      </c>
      <c r="C1145" t="s">
        <v>16</v>
      </c>
      <c r="D1145" s="6">
        <v>226865449.2137661</v>
      </c>
      <c r="E1145" s="6">
        <v>179322449.2137661</v>
      </c>
      <c r="F1145" s="6">
        <v>8.6099996566772461</v>
      </c>
      <c r="G1145" s="6">
        <v>8.6099996566772461</v>
      </c>
      <c r="H1145" s="6" t="e">
        <v>#N/A</v>
      </c>
      <c r="I1145" s="6">
        <v>-0.50648316232485824</v>
      </c>
      <c r="J1145" s="6">
        <v>50143000</v>
      </c>
      <c r="K1145" s="6">
        <v>-30.841121495327087</v>
      </c>
      <c r="L1145" t="s">
        <v>17</v>
      </c>
      <c r="M1145" t="s">
        <v>18</v>
      </c>
      <c r="N1145" s="4" t="s">
        <v>4396</v>
      </c>
      <c r="O1145" s="4" t="s">
        <v>4397</v>
      </c>
      <c r="P1145" s="4" t="s">
        <v>233</v>
      </c>
    </row>
    <row r="1146" spans="1:16" x14ac:dyDescent="0.35">
      <c r="A1146" t="s">
        <v>4398</v>
      </c>
      <c r="B1146" t="s">
        <v>4399</v>
      </c>
      <c r="C1146" t="s">
        <v>16</v>
      </c>
      <c r="D1146" s="6">
        <v>165521856.30103612</v>
      </c>
      <c r="E1146" s="6">
        <v>-208917143.69896382</v>
      </c>
      <c r="F1146" s="6">
        <v>2.7200000286102295</v>
      </c>
      <c r="G1146" s="6">
        <v>2.5699999332427979</v>
      </c>
      <c r="H1146" s="6" t="e">
        <v>#N/A</v>
      </c>
      <c r="I1146" s="6">
        <v>-0.84170404968581392</v>
      </c>
      <c r="J1146" s="6">
        <v>0</v>
      </c>
      <c r="K1146" s="6">
        <v>-19.713261648745529</v>
      </c>
      <c r="L1146" t="s">
        <v>17</v>
      </c>
      <c r="M1146" t="s">
        <v>87</v>
      </c>
      <c r="N1146" s="4" t="s">
        <v>4400</v>
      </c>
      <c r="O1146" s="4" t="s">
        <v>4401</v>
      </c>
      <c r="P1146" s="4" t="s">
        <v>233</v>
      </c>
    </row>
    <row r="1147" spans="1:16" x14ac:dyDescent="0.35">
      <c r="A1147" t="s">
        <v>4402</v>
      </c>
      <c r="B1147" t="s">
        <v>4403</v>
      </c>
      <c r="C1147" t="s">
        <v>16</v>
      </c>
      <c r="D1147" s="6">
        <v>1824185.5189132693</v>
      </c>
      <c r="E1147" s="6">
        <v>53926185.518913269</v>
      </c>
      <c r="F1147" s="6">
        <v>1.1799999475479126</v>
      </c>
      <c r="G1147" s="6">
        <v>1.3799999952316284</v>
      </c>
      <c r="H1147" s="6" t="e">
        <v>#N/A</v>
      </c>
      <c r="I1147" s="6">
        <v>-0.31224993868138828</v>
      </c>
      <c r="J1147" s="6">
        <v>0</v>
      </c>
      <c r="K1147" s="6">
        <v>95.199171754247018</v>
      </c>
      <c r="L1147" t="s">
        <v>17</v>
      </c>
      <c r="M1147" t="s">
        <v>18</v>
      </c>
      <c r="N1147" s="4" t="s">
        <v>4404</v>
      </c>
      <c r="O1147" s="4" t="s">
        <v>4405</v>
      </c>
      <c r="P1147" s="4" t="s">
        <v>233</v>
      </c>
    </row>
    <row r="1148" spans="1:16" x14ac:dyDescent="0.35">
      <c r="A1148" t="s">
        <v>4406</v>
      </c>
      <c r="B1148" t="s">
        <v>4407</v>
      </c>
      <c r="C1148" t="s">
        <v>16</v>
      </c>
      <c r="D1148" s="6">
        <v>6525148595.2780533</v>
      </c>
      <c r="E1148" s="6">
        <v>5658756595.2780533</v>
      </c>
      <c r="F1148" s="6">
        <v>35.869998931884766</v>
      </c>
      <c r="G1148" s="6">
        <v>34.459999084472656</v>
      </c>
      <c r="H1148" s="6" t="e">
        <v>#N/A</v>
      </c>
      <c r="I1148" s="6">
        <v>-0.40606424163032773</v>
      </c>
      <c r="J1148" s="6">
        <v>520183000</v>
      </c>
      <c r="K1148" s="6">
        <v>34.591152174704924</v>
      </c>
      <c r="L1148" t="s">
        <v>17</v>
      </c>
      <c r="M1148" t="s">
        <v>18</v>
      </c>
      <c r="N1148" s="4" t="s">
        <v>4408</v>
      </c>
      <c r="O1148" s="4" t="s">
        <v>4409</v>
      </c>
      <c r="P1148" s="4" t="s">
        <v>233</v>
      </c>
    </row>
    <row r="1149" spans="1:16" x14ac:dyDescent="0.35">
      <c r="A1149" t="s">
        <v>4410</v>
      </c>
      <c r="B1149" t="s">
        <v>4411</v>
      </c>
      <c r="C1149" t="s">
        <v>16</v>
      </c>
      <c r="D1149" s="6">
        <v>15221937.126824535</v>
      </c>
      <c r="E1149" s="6" t="e">
        <v>#N/A</v>
      </c>
      <c r="F1149" s="6">
        <v>0.10000000149011612</v>
      </c>
      <c r="G1149" s="6">
        <v>0.10000000149011612</v>
      </c>
      <c r="H1149" s="6" t="e">
        <v>#N/A</v>
      </c>
      <c r="I1149" s="6">
        <v>-0.37419687331420937</v>
      </c>
      <c r="J1149" s="6" t="e">
        <v>#N/A</v>
      </c>
      <c r="K1149" s="6" t="e">
        <v>#N/A</v>
      </c>
      <c r="L1149" t="s">
        <v>17</v>
      </c>
      <c r="M1149" t="s">
        <v>18</v>
      </c>
      <c r="N1149" s="4" t="s">
        <v>4412</v>
      </c>
      <c r="O1149" s="4" t="s">
        <v>4413</v>
      </c>
      <c r="P1149" s="4" t="s">
        <v>233</v>
      </c>
    </row>
    <row r="1150" spans="1:16" x14ac:dyDescent="0.35">
      <c r="A1150" t="s">
        <v>4414</v>
      </c>
      <c r="B1150" t="s">
        <v>4415</v>
      </c>
      <c r="C1150" t="s">
        <v>16</v>
      </c>
      <c r="D1150" s="6">
        <v>66739004.800000004</v>
      </c>
      <c r="E1150" s="6">
        <v>90583235.802490294</v>
      </c>
      <c r="F1150" s="6">
        <v>6.5</v>
      </c>
      <c r="G1150" s="6">
        <v>5.5900001525878906</v>
      </c>
      <c r="H1150" s="6" t="e">
        <v>#N/A</v>
      </c>
      <c r="I1150" s="6">
        <v>-0.19157385885771183</v>
      </c>
      <c r="J1150" s="6">
        <v>510885000</v>
      </c>
      <c r="K1150" s="6">
        <v>57.892512301013021</v>
      </c>
      <c r="L1150" t="s">
        <v>17</v>
      </c>
      <c r="M1150" t="s">
        <v>18</v>
      </c>
      <c r="N1150" s="4" t="s">
        <v>4416</v>
      </c>
      <c r="O1150" s="4" t="s">
        <v>4417</v>
      </c>
      <c r="P1150" s="4" t="s">
        <v>233</v>
      </c>
    </row>
    <row r="1151" spans="1:16" x14ac:dyDescent="0.35">
      <c r="A1151" t="s">
        <v>4418</v>
      </c>
      <c r="B1151" t="s">
        <v>4419</v>
      </c>
      <c r="C1151" t="s">
        <v>16</v>
      </c>
      <c r="D1151" s="6">
        <v>18642495508.739773</v>
      </c>
      <c r="E1151" s="6">
        <v>28721680508.739773</v>
      </c>
      <c r="F1151" s="6">
        <v>32.340000152587891</v>
      </c>
      <c r="G1151" s="6">
        <v>32.270000457763672</v>
      </c>
      <c r="H1151" s="6">
        <v>27.178206467461695</v>
      </c>
      <c r="I1151" s="6">
        <v>0.14708111221323317</v>
      </c>
      <c r="J1151" s="6">
        <v>2263576000</v>
      </c>
      <c r="K1151" s="6">
        <v>-24.406260230262244</v>
      </c>
      <c r="L1151" t="s">
        <v>17</v>
      </c>
      <c r="M1151" t="s">
        <v>87</v>
      </c>
      <c r="N1151" s="4" t="s">
        <v>233</v>
      </c>
      <c r="O1151" s="4" t="s">
        <v>4420</v>
      </c>
      <c r="P1151" s="4" t="s">
        <v>13151</v>
      </c>
    </row>
    <row r="1152" spans="1:16" x14ac:dyDescent="0.35">
      <c r="A1152" t="s">
        <v>4421</v>
      </c>
      <c r="B1152" t="s">
        <v>4422</v>
      </c>
      <c r="C1152" t="s">
        <v>16</v>
      </c>
      <c r="D1152" s="6">
        <v>10646453531.103666</v>
      </c>
      <c r="E1152" s="6">
        <v>8493947531.1036663</v>
      </c>
      <c r="F1152" s="6">
        <v>85.419998168945313</v>
      </c>
      <c r="G1152" s="6">
        <v>85</v>
      </c>
      <c r="H1152" s="6" t="e">
        <v>#N/A</v>
      </c>
      <c r="I1152" s="6">
        <v>0.1175760653147262</v>
      </c>
      <c r="J1152" s="6">
        <v>0</v>
      </c>
      <c r="K1152" s="6">
        <v>-37.757397011614302</v>
      </c>
      <c r="L1152" t="s">
        <v>17</v>
      </c>
      <c r="M1152" t="s">
        <v>18</v>
      </c>
      <c r="N1152" s="4" t="s">
        <v>4423</v>
      </c>
      <c r="O1152" s="4" t="s">
        <v>4424</v>
      </c>
      <c r="P1152" s="4" t="s">
        <v>233</v>
      </c>
    </row>
    <row r="1153" spans="1:16" x14ac:dyDescent="0.35">
      <c r="A1153" t="s">
        <v>4425</v>
      </c>
      <c r="B1153" t="s">
        <v>4426</v>
      </c>
      <c r="C1153" t="s">
        <v>16</v>
      </c>
      <c r="D1153" s="6">
        <v>41344757.996424079</v>
      </c>
      <c r="E1153" s="6">
        <v>-49646242.003575936</v>
      </c>
      <c r="F1153" s="6">
        <v>0.61900001764297485</v>
      </c>
      <c r="G1153" s="6">
        <v>0.63660001754760742</v>
      </c>
      <c r="H1153" s="6" t="e">
        <v>#N/A</v>
      </c>
      <c r="I1153" s="6">
        <v>-0.69997822639689466</v>
      </c>
      <c r="J1153" s="6">
        <v>18582000</v>
      </c>
      <c r="K1153" s="6">
        <v>-10.606060606060627</v>
      </c>
      <c r="L1153" t="s">
        <v>17</v>
      </c>
      <c r="M1153" t="s">
        <v>18</v>
      </c>
      <c r="N1153" s="4" t="s">
        <v>4427</v>
      </c>
      <c r="O1153" s="4" t="s">
        <v>4428</v>
      </c>
      <c r="P1153" s="4" t="s">
        <v>233</v>
      </c>
    </row>
    <row r="1154" spans="1:16" x14ac:dyDescent="0.35">
      <c r="A1154" t="s">
        <v>4429</v>
      </c>
      <c r="B1154" t="s">
        <v>4430</v>
      </c>
      <c r="C1154" t="s">
        <v>16</v>
      </c>
      <c r="D1154" s="6">
        <v>3797615551.0074215</v>
      </c>
      <c r="E1154" s="6">
        <v>2220427551.0074215</v>
      </c>
      <c r="F1154" s="6">
        <v>31.829999923706055</v>
      </c>
      <c r="G1154" s="6">
        <v>32.950000762939453</v>
      </c>
      <c r="H1154" s="6" t="e">
        <v>#N/A</v>
      </c>
      <c r="I1154" s="6">
        <v>1.1844520971568278</v>
      </c>
      <c r="J1154" s="6">
        <v>10117000</v>
      </c>
      <c r="K1154" s="6">
        <v>3.6789297658862981</v>
      </c>
      <c r="L1154" t="s">
        <v>17</v>
      </c>
      <c r="M1154" t="s">
        <v>18</v>
      </c>
      <c r="N1154" s="4" t="s">
        <v>4431</v>
      </c>
      <c r="O1154" s="4" t="s">
        <v>4432</v>
      </c>
      <c r="P1154" s="4" t="s">
        <v>233</v>
      </c>
    </row>
    <row r="1155" spans="1:16" x14ac:dyDescent="0.35">
      <c r="A1155" t="s">
        <v>4433</v>
      </c>
      <c r="B1155" t="s">
        <v>4434</v>
      </c>
      <c r="C1155" t="s">
        <v>16</v>
      </c>
      <c r="D1155" s="6">
        <v>699340323.90637445</v>
      </c>
      <c r="E1155" s="6">
        <v>575432323.90637445</v>
      </c>
      <c r="F1155" s="6">
        <v>4.1399998664855957</v>
      </c>
      <c r="G1155" s="6">
        <v>3.9600000381469727</v>
      </c>
      <c r="H1155" s="6" t="e">
        <v>#N/A</v>
      </c>
      <c r="I1155" s="6">
        <v>0.74417513323216666</v>
      </c>
      <c r="J1155" s="6">
        <v>150045000</v>
      </c>
      <c r="K1155" s="6">
        <v>76.470588235294116</v>
      </c>
      <c r="L1155" t="s">
        <v>17</v>
      </c>
      <c r="M1155" t="s">
        <v>40</v>
      </c>
      <c r="N1155" s="4" t="s">
        <v>4435</v>
      </c>
      <c r="O1155" s="4" t="s">
        <v>4436</v>
      </c>
      <c r="P1155" s="4" t="s">
        <v>233</v>
      </c>
    </row>
    <row r="1156" spans="1:16" x14ac:dyDescent="0.35">
      <c r="A1156" t="s">
        <v>13378</v>
      </c>
      <c r="B1156" t="s">
        <v>4437</v>
      </c>
      <c r="C1156" t="s">
        <v>16</v>
      </c>
      <c r="D1156" s="6">
        <v>587951.23843407631</v>
      </c>
      <c r="E1156" s="6">
        <v>37037951.238434076</v>
      </c>
      <c r="F1156" s="6">
        <v>0.12999999523162842</v>
      </c>
      <c r="G1156" s="6">
        <v>0.15700000524520874</v>
      </c>
      <c r="H1156" s="6" t="e">
        <v>#N/A</v>
      </c>
      <c r="I1156" s="6">
        <v>-0.9843651029672561</v>
      </c>
      <c r="J1156" s="6">
        <v>892000</v>
      </c>
      <c r="K1156" s="6">
        <v>93.202573221757319</v>
      </c>
      <c r="L1156" t="s">
        <v>17</v>
      </c>
      <c r="M1156" t="s">
        <v>18</v>
      </c>
      <c r="N1156" s="4" t="s">
        <v>13379</v>
      </c>
      <c r="O1156" s="4" t="s">
        <v>13380</v>
      </c>
      <c r="P1156" s="4" t="s">
        <v>233</v>
      </c>
    </row>
    <row r="1157" spans="1:16" x14ac:dyDescent="0.35">
      <c r="A1157" t="s">
        <v>4438</v>
      </c>
      <c r="B1157" t="s">
        <v>4439</v>
      </c>
      <c r="C1157" t="s">
        <v>16</v>
      </c>
      <c r="D1157" s="6">
        <v>48887313.18646574</v>
      </c>
      <c r="E1157" s="6">
        <v>-127981686.81353429</v>
      </c>
      <c r="F1157" s="6">
        <v>1.1499999761581421</v>
      </c>
      <c r="G1157" s="6">
        <v>1.1499999761581421</v>
      </c>
      <c r="H1157" s="6" t="e">
        <v>#N/A</v>
      </c>
      <c r="I1157" s="6">
        <v>-0.8625126442185046</v>
      </c>
      <c r="J1157" s="6">
        <v>66524000</v>
      </c>
      <c r="K1157" s="6">
        <v>14.214455327028498</v>
      </c>
      <c r="L1157" t="s">
        <v>17</v>
      </c>
      <c r="M1157" t="s">
        <v>18</v>
      </c>
      <c r="N1157" s="4" t="s">
        <v>4440</v>
      </c>
      <c r="O1157" s="4" t="s">
        <v>4441</v>
      </c>
      <c r="P1157" s="4" t="s">
        <v>233</v>
      </c>
    </row>
    <row r="1158" spans="1:16" x14ac:dyDescent="0.35">
      <c r="A1158" t="s">
        <v>4442</v>
      </c>
      <c r="B1158" t="s">
        <v>4443</v>
      </c>
      <c r="C1158" t="s">
        <v>16</v>
      </c>
      <c r="D1158" s="6">
        <v>7958.3302000000003</v>
      </c>
      <c r="E1158" s="6">
        <v>40045958.330200002</v>
      </c>
      <c r="F1158" s="6">
        <v>9.9999999747524271E-7</v>
      </c>
      <c r="G1158" s="6">
        <v>9.9999999747524271E-7</v>
      </c>
      <c r="H1158" s="6" t="e">
        <v>#N/A</v>
      </c>
      <c r="I1158" s="6">
        <v>-4.6473935810809053E-13</v>
      </c>
      <c r="J1158" s="6">
        <v>25767000</v>
      </c>
      <c r="K1158" s="6">
        <v>95.895408938887201</v>
      </c>
      <c r="L1158" t="s">
        <v>17</v>
      </c>
      <c r="M1158" t="s">
        <v>18</v>
      </c>
      <c r="N1158" s="4" t="s">
        <v>4444</v>
      </c>
      <c r="O1158" s="4" t="s">
        <v>4445</v>
      </c>
      <c r="P1158" s="4" t="s">
        <v>233</v>
      </c>
    </row>
    <row r="1159" spans="1:16" x14ac:dyDescent="0.35">
      <c r="A1159" t="s">
        <v>4446</v>
      </c>
      <c r="B1159" t="s">
        <v>4447</v>
      </c>
      <c r="C1159" t="s">
        <v>16</v>
      </c>
      <c r="D1159" s="6">
        <v>769651667.34214425</v>
      </c>
      <c r="E1159" s="6">
        <v>231708667.34214425</v>
      </c>
      <c r="F1159" s="6">
        <v>2.2799999713897705</v>
      </c>
      <c r="G1159" s="6">
        <v>2.2100000381469727</v>
      </c>
      <c r="H1159" s="6" t="e">
        <v>#N/A</v>
      </c>
      <c r="I1159" s="6">
        <v>0.29453861417622473</v>
      </c>
      <c r="J1159" s="6">
        <v>2162000</v>
      </c>
      <c r="K1159" s="6">
        <v>-471.05263157894734</v>
      </c>
      <c r="L1159" t="s">
        <v>17</v>
      </c>
      <c r="M1159" t="s">
        <v>87</v>
      </c>
      <c r="N1159" s="4" t="s">
        <v>4448</v>
      </c>
      <c r="O1159" s="4" t="s">
        <v>4449</v>
      </c>
      <c r="P1159" s="4" t="s">
        <v>233</v>
      </c>
    </row>
    <row r="1160" spans="1:16" x14ac:dyDescent="0.35">
      <c r="A1160" t="s">
        <v>4450</v>
      </c>
      <c r="B1160" t="s">
        <v>4451</v>
      </c>
      <c r="C1160" t="s">
        <v>16</v>
      </c>
      <c r="D1160" s="6">
        <v>146077316.06902742</v>
      </c>
      <c r="E1160" s="6">
        <v>-51528683.930972576</v>
      </c>
      <c r="F1160" s="6">
        <v>2.0699999332427979</v>
      </c>
      <c r="G1160" s="6">
        <v>2.0099999904632568</v>
      </c>
      <c r="H1160" s="6" t="e">
        <v>#N/A</v>
      </c>
      <c r="I1160" s="6">
        <v>-0.81612498010008494</v>
      </c>
      <c r="J1160" s="6">
        <v>0</v>
      </c>
      <c r="K1160" s="6">
        <v>24.800000000000004</v>
      </c>
      <c r="L1160" t="s">
        <v>17</v>
      </c>
      <c r="M1160" t="s">
        <v>18</v>
      </c>
      <c r="N1160" s="4" t="s">
        <v>4452</v>
      </c>
      <c r="O1160" s="4" t="s">
        <v>4453</v>
      </c>
      <c r="P1160" s="4" t="s">
        <v>233</v>
      </c>
    </row>
    <row r="1161" spans="1:16" x14ac:dyDescent="0.35">
      <c r="A1161" t="s">
        <v>4454</v>
      </c>
      <c r="B1161" t="s">
        <v>4455</v>
      </c>
      <c r="C1161" t="s">
        <v>16</v>
      </c>
      <c r="D1161" s="6">
        <v>157341499.92000103</v>
      </c>
      <c r="E1161" s="6">
        <v>151519132.92000103</v>
      </c>
      <c r="F1161" s="6">
        <v>11.970000267028809</v>
      </c>
      <c r="G1161" s="6">
        <v>11.850000381469727</v>
      </c>
      <c r="H1161" s="6" t="e">
        <v>#N/A</v>
      </c>
      <c r="I1161" s="6">
        <v>0.36372077271701353</v>
      </c>
      <c r="J1161" s="6">
        <v>0</v>
      </c>
      <c r="K1161" s="6">
        <v>-13.649667443386209</v>
      </c>
      <c r="L1161" t="s">
        <v>17</v>
      </c>
      <c r="M1161" t="s">
        <v>18</v>
      </c>
      <c r="N1161" s="4" t="s">
        <v>4456</v>
      </c>
      <c r="O1161" s="4" t="s">
        <v>4457</v>
      </c>
      <c r="P1161" s="4" t="s">
        <v>233</v>
      </c>
    </row>
    <row r="1162" spans="1:16" x14ac:dyDescent="0.35">
      <c r="A1162" t="s">
        <v>4458</v>
      </c>
      <c r="B1162" t="s">
        <v>4459</v>
      </c>
      <c r="C1162" t="s">
        <v>16</v>
      </c>
      <c r="D1162" s="6">
        <v>629359920.48371172</v>
      </c>
      <c r="E1162" s="6">
        <v>-160434079.51628816</v>
      </c>
      <c r="F1162" s="6">
        <v>3.7599999904632568</v>
      </c>
      <c r="G1162" s="6">
        <v>3.630000114440918</v>
      </c>
      <c r="H1162" s="6" t="e">
        <v>#N/A</v>
      </c>
      <c r="I1162" s="6">
        <v>-0.60195338388868747</v>
      </c>
      <c r="J1162" s="6">
        <v>10007000</v>
      </c>
      <c r="K1162" s="6">
        <v>2.9739776951672892</v>
      </c>
      <c r="L1162" t="s">
        <v>17</v>
      </c>
      <c r="M1162" t="s">
        <v>18</v>
      </c>
      <c r="N1162" s="4" t="s">
        <v>4460</v>
      </c>
      <c r="O1162" s="4" t="s">
        <v>4461</v>
      </c>
      <c r="P1162" s="4" t="s">
        <v>233</v>
      </c>
    </row>
    <row r="1163" spans="1:16" x14ac:dyDescent="0.35">
      <c r="A1163" t="s">
        <v>4462</v>
      </c>
      <c r="B1163" t="s">
        <v>4463</v>
      </c>
      <c r="C1163" t="s">
        <v>16</v>
      </c>
      <c r="D1163" s="6">
        <v>266332260.8263416</v>
      </c>
      <c r="E1163" s="6">
        <v>-216849739.1736584</v>
      </c>
      <c r="F1163" s="6">
        <v>7.2899999618530273</v>
      </c>
      <c r="G1163" s="6">
        <v>7.119999885559082</v>
      </c>
      <c r="H1163" s="6" t="e">
        <v>#N/A</v>
      </c>
      <c r="I1163" s="6">
        <v>-0.32738019337705559</v>
      </c>
      <c r="J1163" s="6">
        <v>35000000</v>
      </c>
      <c r="K1163" s="6">
        <v>-82.783970677474841</v>
      </c>
      <c r="L1163" t="s">
        <v>17</v>
      </c>
      <c r="M1163" t="s">
        <v>18</v>
      </c>
      <c r="N1163" s="4" t="s">
        <v>4464</v>
      </c>
      <c r="O1163" s="4" t="s">
        <v>4465</v>
      </c>
      <c r="P1163" s="4" t="s">
        <v>233</v>
      </c>
    </row>
    <row r="1164" spans="1:16" x14ac:dyDescent="0.35">
      <c r="A1164" t="s">
        <v>4466</v>
      </c>
      <c r="B1164" t="s">
        <v>4467</v>
      </c>
      <c r="C1164" t="s">
        <v>16</v>
      </c>
      <c r="D1164" s="6">
        <v>56435124.046485893</v>
      </c>
      <c r="E1164" s="6">
        <v>-82303875.953514099</v>
      </c>
      <c r="F1164" s="6">
        <v>1.0700000524520874</v>
      </c>
      <c r="G1164" s="6">
        <v>1.0099999904632568</v>
      </c>
      <c r="H1164" s="6" t="e">
        <v>#N/A</v>
      </c>
      <c r="I1164" s="6">
        <v>-0.92810238977463289</v>
      </c>
      <c r="J1164" s="6">
        <v>0</v>
      </c>
      <c r="K1164" s="6">
        <v>16.526610644257708</v>
      </c>
      <c r="L1164" t="s">
        <v>17</v>
      </c>
      <c r="M1164" t="s">
        <v>18</v>
      </c>
      <c r="N1164" s="4" t="s">
        <v>4468</v>
      </c>
      <c r="O1164" s="4" t="s">
        <v>4469</v>
      </c>
      <c r="P1164" s="4" t="s">
        <v>233</v>
      </c>
    </row>
    <row r="1165" spans="1:16" x14ac:dyDescent="0.35">
      <c r="A1165" t="s">
        <v>4470</v>
      </c>
      <c r="B1165" t="s">
        <v>4471</v>
      </c>
      <c r="C1165" t="s">
        <v>16</v>
      </c>
      <c r="D1165" s="6">
        <v>70425994.77076149</v>
      </c>
      <c r="E1165" s="6">
        <v>-12919005.22923851</v>
      </c>
      <c r="F1165" s="6">
        <v>11.920000076293945</v>
      </c>
      <c r="G1165" s="6">
        <v>12.159999847412109</v>
      </c>
      <c r="H1165" s="6" t="e">
        <v>#N/A</v>
      </c>
      <c r="I1165" s="6">
        <v>-6.6584124501076758E-3</v>
      </c>
      <c r="J1165" s="6">
        <v>0</v>
      </c>
      <c r="K1165" s="6" t="e">
        <v>#N/A</v>
      </c>
      <c r="L1165" t="s">
        <v>17</v>
      </c>
      <c r="M1165" t="s">
        <v>27</v>
      </c>
      <c r="N1165" s="4" t="s">
        <v>4472</v>
      </c>
      <c r="O1165" s="4" t="s">
        <v>4473</v>
      </c>
      <c r="P1165" s="4" t="s">
        <v>233</v>
      </c>
    </row>
    <row r="1166" spans="1:16" x14ac:dyDescent="0.35">
      <c r="A1166" t="s">
        <v>4474</v>
      </c>
      <c r="B1166" t="s">
        <v>4475</v>
      </c>
      <c r="C1166" t="s">
        <v>16</v>
      </c>
      <c r="D1166" s="6">
        <v>1689161.6980419157</v>
      </c>
      <c r="E1166" s="6" t="e">
        <v>#N/A</v>
      </c>
      <c r="F1166" s="6">
        <v>2.8599998950958252</v>
      </c>
      <c r="G1166" s="6">
        <v>2.9100000858306885</v>
      </c>
      <c r="H1166" s="6" t="e">
        <v>#N/A</v>
      </c>
      <c r="I1166" s="6">
        <v>-0.94439166831947297</v>
      </c>
      <c r="J1166" s="6" t="e">
        <v>#N/A</v>
      </c>
      <c r="K1166" s="6">
        <v>32.293986636971042</v>
      </c>
      <c r="L1166" t="s">
        <v>17</v>
      </c>
      <c r="M1166" t="s">
        <v>87</v>
      </c>
      <c r="N1166" s="4" t="s">
        <v>233</v>
      </c>
      <c r="O1166" s="4" t="s">
        <v>4476</v>
      </c>
      <c r="P1166" s="4" t="s">
        <v>13152</v>
      </c>
    </row>
    <row r="1167" spans="1:16" x14ac:dyDescent="0.35">
      <c r="A1167" t="s">
        <v>4477</v>
      </c>
      <c r="B1167" t="s">
        <v>4478</v>
      </c>
      <c r="C1167" t="s">
        <v>16</v>
      </c>
      <c r="D1167" s="6">
        <v>616216896.16403103</v>
      </c>
      <c r="E1167" s="6">
        <v>180545642.7613976</v>
      </c>
      <c r="F1167" s="6">
        <v>5.070000171661377</v>
      </c>
      <c r="G1167" s="6">
        <v>4.9099998474121094</v>
      </c>
      <c r="H1167" s="6" t="e">
        <v>#N/A</v>
      </c>
      <c r="I1167" s="6">
        <v>-0.55775926483610982</v>
      </c>
      <c r="J1167" s="6">
        <v>115504000</v>
      </c>
      <c r="K1167" s="6">
        <v>46.614473402821048</v>
      </c>
      <c r="L1167" t="s">
        <v>17</v>
      </c>
      <c r="M1167" t="s">
        <v>18</v>
      </c>
      <c r="N1167" s="4" t="s">
        <v>233</v>
      </c>
      <c r="O1167" s="4" t="s">
        <v>4479</v>
      </c>
      <c r="P1167" s="4" t="s">
        <v>13153</v>
      </c>
    </row>
    <row r="1168" spans="1:16" x14ac:dyDescent="0.35">
      <c r="A1168" t="s">
        <v>4480</v>
      </c>
      <c r="B1168" t="s">
        <v>4481</v>
      </c>
      <c r="C1168" t="s">
        <v>16</v>
      </c>
      <c r="D1168" s="6">
        <v>1313600761.7420673</v>
      </c>
      <c r="E1168" s="6">
        <v>732320761.74206734</v>
      </c>
      <c r="F1168" s="6">
        <v>17.309999465942383</v>
      </c>
      <c r="G1168" s="6">
        <v>16.770000457763672</v>
      </c>
      <c r="H1168" s="6" t="e">
        <v>#N/A</v>
      </c>
      <c r="I1168" s="6">
        <v>0.84428980062837722</v>
      </c>
      <c r="J1168" s="6">
        <v>54549000</v>
      </c>
      <c r="K1168" s="6">
        <v>-8.6792452830188687</v>
      </c>
      <c r="L1168" t="s">
        <v>17</v>
      </c>
      <c r="M1168" t="s">
        <v>18</v>
      </c>
      <c r="N1168" s="4" t="s">
        <v>4482</v>
      </c>
      <c r="O1168" s="4" t="s">
        <v>4483</v>
      </c>
      <c r="P1168" s="4" t="s">
        <v>233</v>
      </c>
    </row>
    <row r="1169" spans="1:16" x14ac:dyDescent="0.35">
      <c r="A1169" t="s">
        <v>4484</v>
      </c>
      <c r="B1169" t="s">
        <v>4485</v>
      </c>
      <c r="C1169" t="s">
        <v>16</v>
      </c>
      <c r="D1169" s="6">
        <v>337254.27</v>
      </c>
      <c r="E1169" s="6">
        <v>12773.270000000019</v>
      </c>
      <c r="F1169" s="6">
        <v>9.9999999747524271E-7</v>
      </c>
      <c r="G1169" s="6">
        <v>9.9999999747524271E-7</v>
      </c>
      <c r="H1169" s="6" t="e">
        <v>#N/A</v>
      </c>
      <c r="I1169" s="6">
        <v>-0.99999763440849421</v>
      </c>
      <c r="J1169" s="6">
        <v>0</v>
      </c>
      <c r="K1169" s="6">
        <v>83.356449236615973</v>
      </c>
      <c r="L1169" t="s">
        <v>17</v>
      </c>
      <c r="M1169" t="s">
        <v>87</v>
      </c>
      <c r="N1169" s="4" t="s">
        <v>4486</v>
      </c>
      <c r="O1169" s="4" t="s">
        <v>4487</v>
      </c>
      <c r="P1169" s="4" t="s">
        <v>233</v>
      </c>
    </row>
    <row r="1170" spans="1:16" x14ac:dyDescent="0.35">
      <c r="A1170" t="s">
        <v>4488</v>
      </c>
      <c r="B1170" t="s">
        <v>4489</v>
      </c>
      <c r="C1170" t="s">
        <v>16</v>
      </c>
      <c r="D1170" s="6">
        <v>86724268.831605688</v>
      </c>
      <c r="E1170" s="6">
        <v>1908268.8316056877</v>
      </c>
      <c r="F1170" s="6">
        <v>1.3500000238418579</v>
      </c>
      <c r="G1170" s="6">
        <v>1.2799999713897705</v>
      </c>
      <c r="H1170" s="6" t="e">
        <v>#N/A</v>
      </c>
      <c r="I1170" s="6">
        <v>-0.7706502058956799</v>
      </c>
      <c r="J1170" s="6">
        <v>0</v>
      </c>
      <c r="K1170" s="6">
        <v>-6.5677162951294772</v>
      </c>
      <c r="L1170" t="s">
        <v>17</v>
      </c>
      <c r="M1170" t="s">
        <v>18</v>
      </c>
      <c r="N1170" s="4" t="s">
        <v>4490</v>
      </c>
      <c r="O1170" s="4" t="s">
        <v>4491</v>
      </c>
      <c r="P1170" s="4" t="s">
        <v>233</v>
      </c>
    </row>
    <row r="1171" spans="1:16" x14ac:dyDescent="0.35">
      <c r="A1171" t="s">
        <v>4492</v>
      </c>
      <c r="B1171" t="s">
        <v>4493</v>
      </c>
      <c r="C1171" t="s">
        <v>16</v>
      </c>
      <c r="D1171" s="6">
        <v>319780515</v>
      </c>
      <c r="E1171" s="6">
        <v>9271515</v>
      </c>
      <c r="F1171" s="6">
        <v>3</v>
      </c>
      <c r="G1171" s="6">
        <v>3.0499999523162842</v>
      </c>
      <c r="H1171" s="6" t="e">
        <v>#N/A</v>
      </c>
      <c r="I1171" s="6">
        <v>-0.44661744402714665</v>
      </c>
      <c r="J1171" s="6">
        <v>0</v>
      </c>
      <c r="K1171" s="6">
        <v>44.736842105263165</v>
      </c>
      <c r="L1171" t="s">
        <v>17</v>
      </c>
      <c r="M1171" t="s">
        <v>18</v>
      </c>
      <c r="N1171" s="4" t="s">
        <v>4494</v>
      </c>
      <c r="O1171" s="4" t="s">
        <v>4495</v>
      </c>
      <c r="P1171" s="4" t="s">
        <v>233</v>
      </c>
    </row>
    <row r="1172" spans="1:16" x14ac:dyDescent="0.35">
      <c r="A1172" t="s">
        <v>4496</v>
      </c>
      <c r="B1172" t="s">
        <v>4497</v>
      </c>
      <c r="C1172" t="s">
        <v>16</v>
      </c>
      <c r="D1172" s="6">
        <v>48990354.880434796</v>
      </c>
      <c r="E1172" s="6">
        <v>-72860645.119565204</v>
      </c>
      <c r="F1172" s="6">
        <v>9.75</v>
      </c>
      <c r="G1172" s="6">
        <v>10</v>
      </c>
      <c r="H1172" s="6" t="e">
        <v>#N/A</v>
      </c>
      <c r="I1172" s="6">
        <v>-0.39539198166742051</v>
      </c>
      <c r="J1172" s="6">
        <v>0</v>
      </c>
      <c r="K1172" s="6">
        <v>49.28888863036169</v>
      </c>
      <c r="L1172" t="s">
        <v>17</v>
      </c>
      <c r="M1172" t="s">
        <v>18</v>
      </c>
      <c r="N1172" s="4" t="s">
        <v>13419</v>
      </c>
      <c r="O1172" s="4" t="s">
        <v>13420</v>
      </c>
      <c r="P1172" s="4" t="s">
        <v>233</v>
      </c>
    </row>
    <row r="1173" spans="1:16" x14ac:dyDescent="0.35">
      <c r="A1173" t="s">
        <v>4498</v>
      </c>
      <c r="B1173" t="s">
        <v>4499</v>
      </c>
      <c r="C1173" t="s">
        <v>16</v>
      </c>
      <c r="D1173" s="6">
        <v>1465702.9066673853</v>
      </c>
      <c r="E1173" s="6">
        <v>24652702.906667382</v>
      </c>
      <c r="F1173" s="6">
        <v>4.8999998718500137E-2</v>
      </c>
      <c r="G1173" s="6">
        <v>4.6000000089406967E-2</v>
      </c>
      <c r="H1173" s="6">
        <v>5.0672337885743331E-2</v>
      </c>
      <c r="I1173" s="6">
        <v>-0.75145404789581693</v>
      </c>
      <c r="J1173" s="6" t="e">
        <v>#N/A</v>
      </c>
      <c r="K1173" s="6" t="e">
        <v>#N/A</v>
      </c>
      <c r="L1173" t="s">
        <v>17</v>
      </c>
      <c r="M1173" t="s">
        <v>27</v>
      </c>
      <c r="N1173" s="4" t="s">
        <v>4500</v>
      </c>
      <c r="O1173" s="4" t="s">
        <v>4501</v>
      </c>
      <c r="P1173" s="4" t="s">
        <v>233</v>
      </c>
    </row>
    <row r="1174" spans="1:16" x14ac:dyDescent="0.35">
      <c r="A1174" t="s">
        <v>4502</v>
      </c>
      <c r="B1174" t="s">
        <v>4503</v>
      </c>
      <c r="C1174" t="s">
        <v>16</v>
      </c>
      <c r="D1174" s="6">
        <v>202612090.67979813</v>
      </c>
      <c r="E1174" s="6">
        <v>115085090.67979813</v>
      </c>
      <c r="F1174" s="6">
        <v>5.3299999237060547</v>
      </c>
      <c r="G1174" s="6">
        <v>5.2600002288818359</v>
      </c>
      <c r="H1174" s="6" t="e">
        <v>#N/A</v>
      </c>
      <c r="I1174" s="6">
        <v>-0.25602226653870985</v>
      </c>
      <c r="J1174" s="6">
        <v>2760000</v>
      </c>
      <c r="K1174" s="6">
        <v>33.928571428571438</v>
      </c>
      <c r="L1174" t="s">
        <v>17</v>
      </c>
      <c r="M1174" t="s">
        <v>27</v>
      </c>
      <c r="N1174" s="4" t="s">
        <v>4504</v>
      </c>
      <c r="O1174" s="4" t="s">
        <v>4505</v>
      </c>
      <c r="P1174" s="4" t="s">
        <v>233</v>
      </c>
    </row>
    <row r="1175" spans="1:16" x14ac:dyDescent="0.35">
      <c r="A1175" t="s">
        <v>4506</v>
      </c>
      <c r="B1175" t="s">
        <v>4507</v>
      </c>
      <c r="C1175" t="s">
        <v>16</v>
      </c>
      <c r="D1175" s="6">
        <v>200902346.99367821</v>
      </c>
      <c r="E1175" s="6">
        <v>62112346.993678242</v>
      </c>
      <c r="F1175" s="6">
        <v>1.6000000238418579</v>
      </c>
      <c r="G1175" s="6">
        <v>1.5900000333786011</v>
      </c>
      <c r="H1175" s="6" t="e">
        <v>#N/A</v>
      </c>
      <c r="I1175" s="6">
        <v>-0.45671972790293602</v>
      </c>
      <c r="J1175" s="6">
        <v>0</v>
      </c>
      <c r="K1175" s="6">
        <v>-10.869565217391301</v>
      </c>
      <c r="L1175" t="s">
        <v>17</v>
      </c>
      <c r="M1175" t="s">
        <v>100</v>
      </c>
      <c r="N1175" s="4" t="s">
        <v>4508</v>
      </c>
      <c r="O1175" s="4" t="s">
        <v>4509</v>
      </c>
      <c r="P1175" s="4" t="s">
        <v>233</v>
      </c>
    </row>
    <row r="1176" spans="1:16" x14ac:dyDescent="0.35">
      <c r="A1176" t="s">
        <v>4510</v>
      </c>
      <c r="B1176" t="s">
        <v>4511</v>
      </c>
      <c r="C1176" t="s">
        <v>16</v>
      </c>
      <c r="D1176" s="6">
        <v>206445211.26884294</v>
      </c>
      <c r="E1176" s="6">
        <v>203346775.26884294</v>
      </c>
      <c r="F1176" s="6">
        <v>2.2599999904632568</v>
      </c>
      <c r="G1176" s="6">
        <v>2.25</v>
      </c>
      <c r="H1176" s="6" t="e">
        <v>#N/A</v>
      </c>
      <c r="I1176" s="6">
        <v>-0.11688680795866357</v>
      </c>
      <c r="J1176" s="6">
        <v>1</v>
      </c>
      <c r="K1176" s="6">
        <v>47.165851254915154</v>
      </c>
      <c r="L1176" t="s">
        <v>17</v>
      </c>
      <c r="M1176" t="s">
        <v>18</v>
      </c>
      <c r="N1176" s="4" t="s">
        <v>4512</v>
      </c>
      <c r="O1176" s="4" t="s">
        <v>4513</v>
      </c>
      <c r="P1176" s="4" t="s">
        <v>233</v>
      </c>
    </row>
    <row r="1177" spans="1:16" x14ac:dyDescent="0.35">
      <c r="A1177" t="s">
        <v>4514</v>
      </c>
      <c r="B1177" t="s">
        <v>4515</v>
      </c>
      <c r="C1177" t="s">
        <v>16</v>
      </c>
      <c r="D1177" s="6">
        <v>823150721.26210213</v>
      </c>
      <c r="E1177" s="6">
        <v>426228275.67254663</v>
      </c>
      <c r="F1177" s="6">
        <v>3.6700000762939453</v>
      </c>
      <c r="G1177" s="6">
        <v>3.5399999618530273</v>
      </c>
      <c r="H1177" s="6" t="e">
        <v>#N/A</v>
      </c>
      <c r="I1177" s="6">
        <v>5.1431472039503268E-2</v>
      </c>
      <c r="J1177" s="6" t="e">
        <v>#N/A</v>
      </c>
      <c r="K1177" s="6" t="e">
        <v>#N/A</v>
      </c>
      <c r="L1177" t="s">
        <v>17</v>
      </c>
      <c r="M1177" t="s">
        <v>18</v>
      </c>
      <c r="N1177" s="4" t="s">
        <v>233</v>
      </c>
      <c r="O1177" s="4" t="s">
        <v>4516</v>
      </c>
      <c r="P1177" s="4" t="s">
        <v>13154</v>
      </c>
    </row>
    <row r="1178" spans="1:16" x14ac:dyDescent="0.35">
      <c r="A1178" t="s">
        <v>4517</v>
      </c>
      <c r="B1178" t="s">
        <v>4518</v>
      </c>
      <c r="C1178" t="s">
        <v>16</v>
      </c>
      <c r="D1178" s="6">
        <v>1839364606.0304871</v>
      </c>
      <c r="E1178" s="6">
        <v>1353789606.0304871</v>
      </c>
      <c r="F1178" s="6">
        <v>53.639999389648438</v>
      </c>
      <c r="G1178" s="6">
        <v>53.189998626708984</v>
      </c>
      <c r="H1178" s="6" t="e">
        <v>#N/A</v>
      </c>
      <c r="I1178" s="6">
        <v>-0.22241082623584174</v>
      </c>
      <c r="J1178" s="6">
        <v>0</v>
      </c>
      <c r="K1178" s="6">
        <v>82.686542443064184</v>
      </c>
      <c r="L1178" t="s">
        <v>17</v>
      </c>
      <c r="M1178" t="s">
        <v>18</v>
      </c>
      <c r="N1178" s="4" t="s">
        <v>4519</v>
      </c>
      <c r="O1178" s="4" t="s">
        <v>4520</v>
      </c>
      <c r="P1178" s="4" t="s">
        <v>233</v>
      </c>
    </row>
    <row r="1179" spans="1:16" x14ac:dyDescent="0.35">
      <c r="A1179" t="s">
        <v>4521</v>
      </c>
      <c r="B1179" t="s">
        <v>4522</v>
      </c>
      <c r="C1179" t="s">
        <v>16</v>
      </c>
      <c r="D1179" s="6">
        <v>2158064287.1822853</v>
      </c>
      <c r="E1179" s="6">
        <v>1930435287.1822853</v>
      </c>
      <c r="F1179" s="6">
        <v>37.840000152587891</v>
      </c>
      <c r="G1179" s="6">
        <v>37.340000152587891</v>
      </c>
      <c r="H1179" s="6">
        <v>13.335969567130039</v>
      </c>
      <c r="I1179" s="6">
        <v>9.4636202136877179E-2</v>
      </c>
      <c r="J1179" s="6">
        <v>681879000</v>
      </c>
      <c r="K1179" s="6">
        <v>-14.682539682539687</v>
      </c>
      <c r="L1179" t="s">
        <v>17</v>
      </c>
      <c r="M1179" t="s">
        <v>87</v>
      </c>
      <c r="N1179" s="4" t="s">
        <v>4523</v>
      </c>
      <c r="O1179" s="4" t="s">
        <v>4524</v>
      </c>
      <c r="P1179" s="4" t="s">
        <v>233</v>
      </c>
    </row>
    <row r="1180" spans="1:16" x14ac:dyDescent="0.35">
      <c r="A1180" t="s">
        <v>4525</v>
      </c>
      <c r="B1180" t="s">
        <v>4526</v>
      </c>
      <c r="C1180" t="s">
        <v>16</v>
      </c>
      <c r="D1180" s="6">
        <v>404021986.77062988</v>
      </c>
      <c r="E1180" s="6">
        <v>355119986.77062988</v>
      </c>
      <c r="F1180" s="6">
        <v>6.9899997711181641</v>
      </c>
      <c r="G1180" s="6">
        <v>6.9000000953674316</v>
      </c>
      <c r="H1180" s="6" t="e">
        <v>#N/A</v>
      </c>
      <c r="I1180" s="6">
        <v>5.2563069986104383E-2</v>
      </c>
      <c r="J1180" s="6">
        <v>10680000</v>
      </c>
      <c r="K1180" s="6">
        <v>55.361684419018715</v>
      </c>
      <c r="L1180" t="s">
        <v>17</v>
      </c>
      <c r="M1180" t="s">
        <v>40</v>
      </c>
      <c r="N1180" s="4" t="s">
        <v>233</v>
      </c>
      <c r="O1180" s="4" t="s">
        <v>4527</v>
      </c>
      <c r="P1180" s="4" t="s">
        <v>13155</v>
      </c>
    </row>
    <row r="1181" spans="1:16" x14ac:dyDescent="0.35">
      <c r="A1181" t="s">
        <v>4528</v>
      </c>
      <c r="B1181" t="s">
        <v>4529</v>
      </c>
      <c r="C1181" t="s">
        <v>16</v>
      </c>
      <c r="D1181" s="6">
        <v>264247836.37766457</v>
      </c>
      <c r="E1181" s="6">
        <v>8595836.3776645362</v>
      </c>
      <c r="F1181" s="6">
        <v>2.4600000381469727</v>
      </c>
      <c r="G1181" s="6">
        <v>2.4500000476837158</v>
      </c>
      <c r="H1181" s="6" t="e">
        <v>#N/A</v>
      </c>
      <c r="I1181" s="6">
        <v>-0.80057380075122364</v>
      </c>
      <c r="J1181" s="6">
        <v>43384000</v>
      </c>
      <c r="K1181" s="6">
        <v>-6.3063063063062916</v>
      </c>
      <c r="L1181" t="s">
        <v>17</v>
      </c>
      <c r="M1181" t="s">
        <v>18</v>
      </c>
      <c r="N1181" s="4" t="s">
        <v>4530</v>
      </c>
      <c r="O1181" s="4" t="s">
        <v>4531</v>
      </c>
      <c r="P1181" s="4" t="s">
        <v>233</v>
      </c>
    </row>
    <row r="1182" spans="1:16" x14ac:dyDescent="0.35">
      <c r="A1182" t="s">
        <v>4532</v>
      </c>
      <c r="B1182" t="s">
        <v>4533</v>
      </c>
      <c r="C1182" t="s">
        <v>16</v>
      </c>
      <c r="D1182" s="6">
        <v>2276499479.9239659</v>
      </c>
      <c r="E1182" s="6">
        <v>1453725479.9239659</v>
      </c>
      <c r="F1182" s="6">
        <v>35.150001525878906</v>
      </c>
      <c r="G1182" s="6">
        <v>33.560001373291016</v>
      </c>
      <c r="H1182" s="6" t="e">
        <v>#N/A</v>
      </c>
      <c r="I1182" s="6">
        <v>-3.4512934886469226E-2</v>
      </c>
      <c r="J1182" s="6">
        <v>87563000</v>
      </c>
      <c r="K1182" s="6">
        <v>18.623797909407678</v>
      </c>
      <c r="L1182" t="s">
        <v>17</v>
      </c>
      <c r="M1182" t="s">
        <v>18</v>
      </c>
      <c r="N1182" s="4" t="s">
        <v>4534</v>
      </c>
      <c r="O1182" s="4" t="s">
        <v>4535</v>
      </c>
      <c r="P1182" s="4" t="s">
        <v>233</v>
      </c>
    </row>
    <row r="1183" spans="1:16" x14ac:dyDescent="0.35">
      <c r="A1183" t="s">
        <v>4536</v>
      </c>
      <c r="B1183" t="s">
        <v>4537</v>
      </c>
      <c r="C1183" t="s">
        <v>16</v>
      </c>
      <c r="D1183" s="6">
        <v>2219693.984375</v>
      </c>
      <c r="E1183" s="6">
        <v>1682672.984375</v>
      </c>
      <c r="F1183" s="6">
        <v>4.25</v>
      </c>
      <c r="G1183" s="6">
        <v>3.9000000953674316</v>
      </c>
      <c r="H1183" s="6" t="e">
        <v>#N/A</v>
      </c>
      <c r="I1183" s="6">
        <v>-0.90314153756680049</v>
      </c>
      <c r="J1183" s="6">
        <v>0</v>
      </c>
      <c r="K1183" s="6" t="e">
        <v>#N/A</v>
      </c>
      <c r="L1183" t="s">
        <v>17</v>
      </c>
      <c r="M1183" t="s">
        <v>18</v>
      </c>
      <c r="N1183" s="4" t="s">
        <v>13443</v>
      </c>
      <c r="O1183" s="4" t="s">
        <v>13444</v>
      </c>
      <c r="P1183" s="4" t="s">
        <v>233</v>
      </c>
    </row>
    <row r="1184" spans="1:16" x14ac:dyDescent="0.35">
      <c r="A1184" t="s">
        <v>13300</v>
      </c>
      <c r="B1184" t="s">
        <v>4538</v>
      </c>
      <c r="C1184" t="s">
        <v>16</v>
      </c>
      <c r="D1184" s="6">
        <v>19602472.715022564</v>
      </c>
      <c r="E1184" s="6">
        <v>1150274472.7150226</v>
      </c>
      <c r="F1184" s="6">
        <v>2.7699999809265137</v>
      </c>
      <c r="G1184" s="6">
        <v>2.809999942779541</v>
      </c>
      <c r="H1184" s="6" t="e">
        <v>#N/A</v>
      </c>
      <c r="I1184" s="6">
        <v>-0.85517085368010737</v>
      </c>
      <c r="J1184" s="6">
        <v>10734000</v>
      </c>
      <c r="K1184" s="6">
        <v>34.924409528518211</v>
      </c>
      <c r="L1184" t="s">
        <v>17</v>
      </c>
      <c r="M1184" t="s">
        <v>40</v>
      </c>
      <c r="N1184" s="4" t="s">
        <v>13057</v>
      </c>
      <c r="O1184" s="4" t="s">
        <v>13058</v>
      </c>
      <c r="P1184" s="4" t="s">
        <v>233</v>
      </c>
    </row>
    <row r="1185" spans="1:16" x14ac:dyDescent="0.35">
      <c r="A1185" t="s">
        <v>4539</v>
      </c>
      <c r="B1185" t="s">
        <v>4540</v>
      </c>
      <c r="C1185" t="s">
        <v>16</v>
      </c>
      <c r="D1185" s="6">
        <v>2087.7559999999999</v>
      </c>
      <c r="E1185" s="6">
        <v>-4741912.2439999999</v>
      </c>
      <c r="F1185" s="6">
        <v>1E-3</v>
      </c>
      <c r="G1185" s="6">
        <v>8.9999999999999998E-4</v>
      </c>
      <c r="H1185" s="6" t="e">
        <v>#N/A</v>
      </c>
      <c r="I1185" s="6">
        <v>-0.99973840655550628</v>
      </c>
      <c r="J1185" s="6">
        <v>17417000</v>
      </c>
      <c r="K1185" s="6">
        <v>57.24399460929039</v>
      </c>
      <c r="L1185" t="s">
        <v>17</v>
      </c>
      <c r="M1185" t="s">
        <v>87</v>
      </c>
      <c r="N1185" s="4" t="s">
        <v>4541</v>
      </c>
      <c r="O1185" s="4" t="s">
        <v>4542</v>
      </c>
      <c r="P1185" s="4" t="s">
        <v>233</v>
      </c>
    </row>
    <row r="1186" spans="1:16" x14ac:dyDescent="0.35">
      <c r="A1186" t="s">
        <v>4543</v>
      </c>
      <c r="B1186" t="s">
        <v>4544</v>
      </c>
      <c r="C1186" t="s">
        <v>16</v>
      </c>
      <c r="D1186" s="6">
        <v>515959391.24999994</v>
      </c>
      <c r="E1186" s="6">
        <v>387434391.25</v>
      </c>
      <c r="F1186" s="6">
        <v>3.75</v>
      </c>
      <c r="G1186" s="6">
        <v>3.6600000858306885</v>
      </c>
      <c r="H1186" s="6" t="e">
        <v>#N/A</v>
      </c>
      <c r="I1186" s="6">
        <v>1.3095124466873931</v>
      </c>
      <c r="J1186" s="6">
        <v>850000</v>
      </c>
      <c r="K1186" s="6">
        <v>-11.219408190305044</v>
      </c>
      <c r="L1186" t="s">
        <v>17</v>
      </c>
      <c r="M1186" t="s">
        <v>18</v>
      </c>
      <c r="N1186" s="4" t="s">
        <v>4545</v>
      </c>
      <c r="O1186" s="4" t="s">
        <v>4546</v>
      </c>
      <c r="P1186" s="4" t="s">
        <v>233</v>
      </c>
    </row>
    <row r="1187" spans="1:16" x14ac:dyDescent="0.35">
      <c r="A1187" t="s">
        <v>4547</v>
      </c>
      <c r="B1187" t="s">
        <v>4548</v>
      </c>
      <c r="C1187" t="s">
        <v>16</v>
      </c>
      <c r="D1187" s="6">
        <v>290845.4706160127</v>
      </c>
      <c r="E1187" s="6">
        <v>-13416257.529383991</v>
      </c>
      <c r="F1187" s="6">
        <v>0.18449999392032623</v>
      </c>
      <c r="G1187" s="6">
        <v>0.17299999296665192</v>
      </c>
      <c r="H1187" s="6" t="e">
        <v>#N/A</v>
      </c>
      <c r="I1187" s="6">
        <v>-0.99063203157173552</v>
      </c>
      <c r="J1187" s="6">
        <v>32308735</v>
      </c>
      <c r="K1187" s="6">
        <v>29.166666666666668</v>
      </c>
      <c r="L1187" t="s">
        <v>17</v>
      </c>
      <c r="M1187" t="s">
        <v>87</v>
      </c>
      <c r="N1187" s="4" t="s">
        <v>233</v>
      </c>
      <c r="O1187" s="4" t="s">
        <v>13059</v>
      </c>
      <c r="P1187" s="4" t="s">
        <v>13156</v>
      </c>
    </row>
    <row r="1188" spans="1:16" x14ac:dyDescent="0.35">
      <c r="A1188" t="s">
        <v>4549</v>
      </c>
      <c r="B1188" t="s">
        <v>4550</v>
      </c>
      <c r="C1188" t="s">
        <v>16</v>
      </c>
      <c r="D1188" s="6">
        <v>191427300.45856476</v>
      </c>
      <c r="E1188" s="6">
        <v>99652847.853404522</v>
      </c>
      <c r="F1188" s="6">
        <v>4.1100001335144043</v>
      </c>
      <c r="G1188" s="6">
        <v>4.2100000381469727</v>
      </c>
      <c r="H1188" s="6" t="e">
        <v>#N/A</v>
      </c>
      <c r="I1188" s="6">
        <v>-0.81889100108813706</v>
      </c>
      <c r="J1188" s="6">
        <v>16245000</v>
      </c>
      <c r="K1188" s="6">
        <v>27.306398231346289</v>
      </c>
      <c r="L1188" t="s">
        <v>17</v>
      </c>
      <c r="M1188" t="s">
        <v>18</v>
      </c>
      <c r="N1188" s="4" t="s">
        <v>4551</v>
      </c>
      <c r="O1188" s="4" t="s">
        <v>4552</v>
      </c>
      <c r="P1188" s="4" t="s">
        <v>233</v>
      </c>
    </row>
    <row r="1189" spans="1:16" x14ac:dyDescent="0.35">
      <c r="A1189" t="s">
        <v>4553</v>
      </c>
      <c r="B1189" t="s">
        <v>4554</v>
      </c>
      <c r="C1189" t="s">
        <v>16</v>
      </c>
      <c r="D1189" s="6">
        <v>41884718.483677626</v>
      </c>
      <c r="E1189" s="6">
        <v>68335718.483677626</v>
      </c>
      <c r="F1189" s="6">
        <v>0.77999997138977051</v>
      </c>
      <c r="G1189" s="6">
        <v>0.77319997549057007</v>
      </c>
      <c r="H1189" s="6" t="e">
        <v>#N/A</v>
      </c>
      <c r="I1189" s="6">
        <v>-0.77494436517004328</v>
      </c>
      <c r="J1189" s="6">
        <v>114729000</v>
      </c>
      <c r="K1189" s="6">
        <v>23.119777158774376</v>
      </c>
      <c r="L1189" t="s">
        <v>17</v>
      </c>
      <c r="M1189" t="s">
        <v>27</v>
      </c>
      <c r="N1189" s="4" t="s">
        <v>4555</v>
      </c>
      <c r="O1189" s="4" t="s">
        <v>4556</v>
      </c>
      <c r="P1189" s="4" t="s">
        <v>233</v>
      </c>
    </row>
    <row r="1190" spans="1:16" x14ac:dyDescent="0.35">
      <c r="A1190" t="s">
        <v>4557</v>
      </c>
      <c r="B1190" t="s">
        <v>4558</v>
      </c>
      <c r="C1190" t="s">
        <v>16</v>
      </c>
      <c r="D1190" s="6">
        <v>4499669.7358584404</v>
      </c>
      <c r="E1190" s="6">
        <v>863945669.73585832</v>
      </c>
      <c r="F1190" s="6">
        <v>1.0199999809265137</v>
      </c>
      <c r="G1190" s="6">
        <v>0.98000001907348633</v>
      </c>
      <c r="H1190" s="6" t="e">
        <v>#N/A</v>
      </c>
      <c r="I1190" s="6">
        <v>-0.85225391155068408</v>
      </c>
      <c r="J1190" s="6">
        <v>699016000</v>
      </c>
      <c r="K1190" s="6">
        <v>73.652082892379113</v>
      </c>
      <c r="L1190" t="s">
        <v>17</v>
      </c>
      <c r="M1190" t="s">
        <v>40</v>
      </c>
      <c r="N1190" s="4" t="s">
        <v>4559</v>
      </c>
      <c r="O1190" s="4" t="s">
        <v>4560</v>
      </c>
      <c r="P1190" s="4" t="s">
        <v>233</v>
      </c>
    </row>
    <row r="1191" spans="1:16" x14ac:dyDescent="0.35">
      <c r="A1191" t="s">
        <v>4561</v>
      </c>
      <c r="B1191" t="s">
        <v>4562</v>
      </c>
      <c r="C1191" t="s">
        <v>16</v>
      </c>
      <c r="D1191" s="6">
        <v>1416582143.1241264</v>
      </c>
      <c r="E1191" s="6">
        <v>717766143.12412643</v>
      </c>
      <c r="F1191" s="6">
        <v>13.920000076293945</v>
      </c>
      <c r="G1191" s="6">
        <v>13.100000381469727</v>
      </c>
      <c r="H1191" s="6" t="e">
        <v>#N/A</v>
      </c>
      <c r="I1191" s="6">
        <v>-0.42652316575963167</v>
      </c>
      <c r="J1191" s="6">
        <v>0</v>
      </c>
      <c r="K1191" s="6">
        <v>0.85878296448187685</v>
      </c>
      <c r="L1191" t="s">
        <v>17</v>
      </c>
      <c r="M1191" t="s">
        <v>18</v>
      </c>
      <c r="N1191" s="4" t="s">
        <v>4563</v>
      </c>
      <c r="O1191" s="4" t="s">
        <v>4564</v>
      </c>
      <c r="P1191" s="4" t="s">
        <v>233</v>
      </c>
    </row>
    <row r="1192" spans="1:16" x14ac:dyDescent="0.35">
      <c r="A1192" t="s">
        <v>4565</v>
      </c>
      <c r="B1192" t="s">
        <v>4566</v>
      </c>
      <c r="C1192" t="s">
        <v>16</v>
      </c>
      <c r="D1192" s="6">
        <v>189199926.10405195</v>
      </c>
      <c r="E1192" s="6" t="e">
        <v>#N/A</v>
      </c>
      <c r="F1192" s="6">
        <v>12.350000381469727</v>
      </c>
      <c r="G1192" s="6">
        <v>11.319999694824219</v>
      </c>
      <c r="H1192" s="6" t="e">
        <v>#N/A</v>
      </c>
      <c r="I1192" s="6">
        <v>-0.46675458374825396</v>
      </c>
      <c r="J1192" s="6">
        <v>254364000</v>
      </c>
      <c r="K1192" s="6">
        <v>70.847523109243696</v>
      </c>
      <c r="L1192" t="s">
        <v>17</v>
      </c>
      <c r="M1192" t="s">
        <v>32</v>
      </c>
      <c r="N1192" s="4" t="s">
        <v>4567</v>
      </c>
      <c r="O1192" s="4" t="s">
        <v>4568</v>
      </c>
      <c r="P1192" s="4" t="s">
        <v>233</v>
      </c>
    </row>
    <row r="1193" spans="1:16" x14ac:dyDescent="0.35">
      <c r="A1193" t="s">
        <v>4569</v>
      </c>
      <c r="B1193" t="s">
        <v>4570</v>
      </c>
      <c r="C1193" t="s">
        <v>16</v>
      </c>
      <c r="D1193" s="6">
        <v>17362413.813877702</v>
      </c>
      <c r="E1193" s="6">
        <v>-50179586.186122298</v>
      </c>
      <c r="F1193" s="6">
        <v>0.44900000095367432</v>
      </c>
      <c r="G1193" s="6">
        <v>0.44999998807907104</v>
      </c>
      <c r="H1193" s="6" t="e">
        <v>#N/A</v>
      </c>
      <c r="I1193" s="6">
        <v>-0.86066943120669492</v>
      </c>
      <c r="J1193" s="6">
        <v>0</v>
      </c>
      <c r="K1193" s="6">
        <v>10.076892124964349</v>
      </c>
      <c r="L1193" t="s">
        <v>17</v>
      </c>
      <c r="M1193" t="s">
        <v>87</v>
      </c>
      <c r="N1193" s="4" t="s">
        <v>4571</v>
      </c>
      <c r="O1193" s="4" t="s">
        <v>4572</v>
      </c>
      <c r="P1193" s="4" t="s">
        <v>233</v>
      </c>
    </row>
    <row r="1194" spans="1:16" x14ac:dyDescent="0.35">
      <c r="A1194" t="s">
        <v>4573</v>
      </c>
      <c r="B1194" t="s">
        <v>4574</v>
      </c>
      <c r="C1194" t="s">
        <v>16</v>
      </c>
      <c r="D1194" s="6">
        <v>1860236777.2959824</v>
      </c>
      <c r="E1194" s="6">
        <v>1981026777.2959824</v>
      </c>
      <c r="F1194" s="6">
        <v>4.8299999237060547</v>
      </c>
      <c r="G1194" s="6">
        <v>4.8600001335144043</v>
      </c>
      <c r="H1194" s="6">
        <v>210.5033743171085</v>
      </c>
      <c r="I1194" s="6">
        <v>-0.27086245780597584</v>
      </c>
      <c r="J1194" s="6">
        <v>790385000</v>
      </c>
      <c r="K1194" s="6" t="e">
        <v>#N/A</v>
      </c>
      <c r="L1194" t="s">
        <v>17</v>
      </c>
      <c r="M1194" t="s">
        <v>32</v>
      </c>
      <c r="N1194" s="4" t="s">
        <v>4575</v>
      </c>
      <c r="O1194" s="4" t="s">
        <v>4576</v>
      </c>
      <c r="P1194" s="4" t="s">
        <v>233</v>
      </c>
    </row>
    <row r="1195" spans="1:16" x14ac:dyDescent="0.35">
      <c r="A1195" t="s">
        <v>4577</v>
      </c>
      <c r="B1195" t="s">
        <v>4578</v>
      </c>
      <c r="C1195" t="s">
        <v>16</v>
      </c>
      <c r="D1195" s="6">
        <v>392801133</v>
      </c>
      <c r="E1195" s="6">
        <v>205653132.99999997</v>
      </c>
      <c r="F1195" s="6">
        <v>4.25</v>
      </c>
      <c r="G1195" s="6">
        <v>4.070000171661377</v>
      </c>
      <c r="H1195" s="6" t="e">
        <v>#N/A</v>
      </c>
      <c r="I1195" s="6">
        <v>-0.62255446570013406</v>
      </c>
      <c r="J1195" s="6" t="e">
        <v>#N/A</v>
      </c>
      <c r="K1195" s="6">
        <v>15.057915057915048</v>
      </c>
      <c r="L1195" t="s">
        <v>17</v>
      </c>
      <c r="M1195" t="s">
        <v>18</v>
      </c>
      <c r="N1195" s="4" t="s">
        <v>4579</v>
      </c>
      <c r="O1195" s="4" t="s">
        <v>4580</v>
      </c>
      <c r="P1195" s="4" t="s">
        <v>233</v>
      </c>
    </row>
    <row r="1196" spans="1:16" x14ac:dyDescent="0.35">
      <c r="A1196" t="s">
        <v>4581</v>
      </c>
      <c r="B1196" t="s">
        <v>4582</v>
      </c>
      <c r="C1196" t="s">
        <v>16</v>
      </c>
      <c r="D1196" s="6">
        <v>9565037.8113164902</v>
      </c>
      <c r="E1196" s="6">
        <v>7525218.8113164902</v>
      </c>
      <c r="F1196" s="6">
        <v>7.179999828338623</v>
      </c>
      <c r="G1196" s="6">
        <v>7.2899999618530273</v>
      </c>
      <c r="H1196" s="6" t="e">
        <v>#N/A</v>
      </c>
      <c r="I1196" s="6">
        <v>-0.31319691676285488</v>
      </c>
      <c r="J1196" s="6">
        <v>0</v>
      </c>
      <c r="K1196" s="6">
        <v>20.606060606060609</v>
      </c>
      <c r="L1196" t="s">
        <v>17</v>
      </c>
      <c r="M1196" t="s">
        <v>18</v>
      </c>
      <c r="N1196" s="4" t="s">
        <v>4583</v>
      </c>
      <c r="O1196" s="4" t="s">
        <v>4584</v>
      </c>
      <c r="P1196" s="4" t="s">
        <v>233</v>
      </c>
    </row>
    <row r="1197" spans="1:16" x14ac:dyDescent="0.35">
      <c r="A1197" t="s">
        <v>4585</v>
      </c>
      <c r="B1197" t="s">
        <v>4586</v>
      </c>
      <c r="C1197" t="s">
        <v>16</v>
      </c>
      <c r="D1197" s="6">
        <v>14431859992.168686</v>
      </c>
      <c r="E1197" s="6">
        <v>13952638992.168686</v>
      </c>
      <c r="F1197" s="6">
        <v>19.569999694824219</v>
      </c>
      <c r="G1197" s="6">
        <v>18.700000762939453</v>
      </c>
      <c r="H1197" s="6" t="e">
        <v>#N/A</v>
      </c>
      <c r="I1197" s="6">
        <v>3.1742046381130153</v>
      </c>
      <c r="J1197" s="6">
        <v>0</v>
      </c>
      <c r="K1197" s="6">
        <v>81.81496774193549</v>
      </c>
      <c r="L1197" t="s">
        <v>17</v>
      </c>
      <c r="M1197" t="s">
        <v>18</v>
      </c>
      <c r="N1197" s="4" t="s">
        <v>4587</v>
      </c>
      <c r="O1197" s="4" t="s">
        <v>4588</v>
      </c>
      <c r="P1197" s="4" t="s">
        <v>233</v>
      </c>
    </row>
    <row r="1198" spans="1:16" x14ac:dyDescent="0.35">
      <c r="A1198" t="s">
        <v>4589</v>
      </c>
      <c r="B1198" t="s">
        <v>4590</v>
      </c>
      <c r="C1198" t="s">
        <v>16</v>
      </c>
      <c r="D1198" s="6">
        <v>327909294.48622918</v>
      </c>
      <c r="E1198" s="6">
        <v>233239294.48622918</v>
      </c>
      <c r="F1198" s="6">
        <v>1.6000000238418579</v>
      </c>
      <c r="G1198" s="6">
        <v>1.6000000238418579</v>
      </c>
      <c r="H1198" s="6" t="e">
        <v>#N/A</v>
      </c>
      <c r="I1198" s="6">
        <v>-5.3112854319119052E-2</v>
      </c>
      <c r="J1198" s="6">
        <v>9915000</v>
      </c>
      <c r="K1198" s="6">
        <v>97.517868217054257</v>
      </c>
      <c r="L1198" t="s">
        <v>17</v>
      </c>
      <c r="M1198" t="s">
        <v>18</v>
      </c>
      <c r="N1198" s="4" t="s">
        <v>4591</v>
      </c>
      <c r="O1198" s="4" t="s">
        <v>4592</v>
      </c>
      <c r="P1198" s="4" t="s">
        <v>233</v>
      </c>
    </row>
    <row r="1199" spans="1:16" x14ac:dyDescent="0.35">
      <c r="A1199" t="s">
        <v>4593</v>
      </c>
      <c r="B1199" t="s">
        <v>4594</v>
      </c>
      <c r="C1199" t="s">
        <v>16</v>
      </c>
      <c r="D1199" s="6">
        <v>33974430.58285284</v>
      </c>
      <c r="E1199" s="6">
        <v>19371430.58285284</v>
      </c>
      <c r="F1199" s="6">
        <v>2.5199999809265137</v>
      </c>
      <c r="G1199" s="6">
        <v>2.559999942779541</v>
      </c>
      <c r="H1199" s="6" t="e">
        <v>#N/A</v>
      </c>
      <c r="I1199" s="6">
        <v>-0.55672933734086094</v>
      </c>
      <c r="J1199" s="6">
        <v>0</v>
      </c>
      <c r="K1199" s="6">
        <v>94.807165013174028</v>
      </c>
      <c r="L1199" t="s">
        <v>17</v>
      </c>
      <c r="M1199" t="s">
        <v>87</v>
      </c>
      <c r="N1199" s="4" t="s">
        <v>4595</v>
      </c>
      <c r="O1199" s="4" t="s">
        <v>4596</v>
      </c>
      <c r="P1199" s="4" t="s">
        <v>233</v>
      </c>
    </row>
    <row r="1200" spans="1:16" x14ac:dyDescent="0.35">
      <c r="A1200" t="s">
        <v>4597</v>
      </c>
      <c r="B1200" t="s">
        <v>4598</v>
      </c>
      <c r="C1200" t="s">
        <v>16</v>
      </c>
      <c r="D1200" s="6">
        <v>859873278.86003494</v>
      </c>
      <c r="E1200" s="6">
        <v>622131278.86003494</v>
      </c>
      <c r="F1200" s="6">
        <v>10.399999618530273</v>
      </c>
      <c r="G1200" s="6">
        <v>10</v>
      </c>
      <c r="H1200" s="6" t="e">
        <v>#N/A</v>
      </c>
      <c r="I1200" s="6">
        <v>-0.55551689649101799</v>
      </c>
      <c r="J1200" s="6">
        <v>10129000</v>
      </c>
      <c r="K1200" s="6">
        <v>-234.15496708258851</v>
      </c>
      <c r="L1200" t="s">
        <v>17</v>
      </c>
      <c r="M1200" t="s">
        <v>18</v>
      </c>
      <c r="N1200" s="4" t="s">
        <v>4599</v>
      </c>
      <c r="O1200" s="4" t="s">
        <v>4600</v>
      </c>
      <c r="P1200" s="4" t="s">
        <v>233</v>
      </c>
    </row>
    <row r="1201" spans="1:16" x14ac:dyDescent="0.35">
      <c r="A1201" t="s">
        <v>4601</v>
      </c>
      <c r="B1201" t="s">
        <v>4602</v>
      </c>
      <c r="C1201" t="s">
        <v>16</v>
      </c>
      <c r="D1201" s="6">
        <v>125207616.35851191</v>
      </c>
      <c r="E1201" s="6">
        <v>129020616.35851191</v>
      </c>
      <c r="F1201" s="6">
        <v>10.779999732971191</v>
      </c>
      <c r="G1201" s="6">
        <v>9.7200002670288086</v>
      </c>
      <c r="H1201" s="6" t="e">
        <v>#N/A</v>
      </c>
      <c r="I1201" s="6">
        <v>1.3129597562748154</v>
      </c>
      <c r="J1201" s="6">
        <v>48868000</v>
      </c>
      <c r="K1201" s="6">
        <v>-20.396285197359205</v>
      </c>
      <c r="L1201" t="s">
        <v>17</v>
      </c>
      <c r="M1201" t="s">
        <v>27</v>
      </c>
      <c r="N1201" s="4" t="s">
        <v>4603</v>
      </c>
      <c r="O1201" s="4" t="s">
        <v>4604</v>
      </c>
      <c r="P1201" s="4" t="s">
        <v>233</v>
      </c>
    </row>
    <row r="1202" spans="1:16" x14ac:dyDescent="0.35">
      <c r="A1202" t="s">
        <v>4605</v>
      </c>
      <c r="B1202" t="s">
        <v>4606</v>
      </c>
      <c r="C1202" t="s">
        <v>16</v>
      </c>
      <c r="D1202" s="6">
        <v>279717195.36406326</v>
      </c>
      <c r="E1202" s="6">
        <v>97198195.364063263</v>
      </c>
      <c r="F1202" s="6">
        <v>1.9600000381469727</v>
      </c>
      <c r="G1202" s="6">
        <v>1.8550000190734863</v>
      </c>
      <c r="H1202" s="6" t="e">
        <v>#N/A</v>
      </c>
      <c r="I1202" s="6">
        <v>0.11330894317083295</v>
      </c>
      <c r="J1202" s="6">
        <v>2266000</v>
      </c>
      <c r="K1202" s="6">
        <v>15.789473684210526</v>
      </c>
      <c r="L1202" t="s">
        <v>17</v>
      </c>
      <c r="M1202" t="s">
        <v>100</v>
      </c>
      <c r="N1202" s="4" t="s">
        <v>4607</v>
      </c>
      <c r="O1202" s="4" t="s">
        <v>4608</v>
      </c>
      <c r="P1202" s="4" t="s">
        <v>233</v>
      </c>
    </row>
    <row r="1203" spans="1:16" x14ac:dyDescent="0.35">
      <c r="A1203" t="s">
        <v>4609</v>
      </c>
      <c r="B1203" t="s">
        <v>4610</v>
      </c>
      <c r="C1203" t="s">
        <v>16</v>
      </c>
      <c r="D1203" s="6">
        <v>232943561.33405614</v>
      </c>
      <c r="E1203" s="6">
        <v>15638561.334056169</v>
      </c>
      <c r="F1203" s="6">
        <v>3.2999999523162842</v>
      </c>
      <c r="G1203" s="6">
        <v>3.2100000381469727</v>
      </c>
      <c r="H1203" s="6" t="e">
        <v>#N/A</v>
      </c>
      <c r="I1203" s="6">
        <v>-0.51087693046087845</v>
      </c>
      <c r="J1203" s="6">
        <v>33668000</v>
      </c>
      <c r="K1203" s="6">
        <v>38.238365374858013</v>
      </c>
      <c r="L1203" t="s">
        <v>17</v>
      </c>
      <c r="M1203" t="s">
        <v>18</v>
      </c>
      <c r="N1203" s="4" t="s">
        <v>4611</v>
      </c>
      <c r="O1203" s="4" t="s">
        <v>4612</v>
      </c>
      <c r="P1203" s="4" t="s">
        <v>233</v>
      </c>
    </row>
    <row r="1204" spans="1:16" x14ac:dyDescent="0.35">
      <c r="A1204" t="s">
        <v>4613</v>
      </c>
      <c r="B1204" t="s">
        <v>4614</v>
      </c>
      <c r="C1204" t="s">
        <v>16</v>
      </c>
      <c r="D1204" s="6">
        <v>112630693.08648396</v>
      </c>
      <c r="E1204" s="6">
        <v>120665693.08648396</v>
      </c>
      <c r="F1204" s="6">
        <v>2.809999942779541</v>
      </c>
      <c r="G1204" s="6">
        <v>2.6600000858306885</v>
      </c>
      <c r="H1204" s="6" t="e">
        <v>#N/A</v>
      </c>
      <c r="I1204" s="6">
        <v>-0.24606561343705136</v>
      </c>
      <c r="J1204" s="6">
        <v>24782000</v>
      </c>
      <c r="K1204" s="6">
        <v>-44.132079207920796</v>
      </c>
      <c r="L1204" t="s">
        <v>17</v>
      </c>
      <c r="M1204" t="s">
        <v>18</v>
      </c>
      <c r="N1204" s="4" t="s">
        <v>4615</v>
      </c>
      <c r="O1204" s="4" t="s">
        <v>4616</v>
      </c>
      <c r="P1204" s="4" t="s">
        <v>233</v>
      </c>
    </row>
    <row r="1205" spans="1:16" x14ac:dyDescent="0.35">
      <c r="A1205" t="s">
        <v>4617</v>
      </c>
      <c r="B1205" t="s">
        <v>4618</v>
      </c>
      <c r="C1205" t="s">
        <v>16</v>
      </c>
      <c r="D1205" s="6">
        <v>1949645078.6244202</v>
      </c>
      <c r="E1205" s="6">
        <v>1949286078.6244202</v>
      </c>
      <c r="F1205" s="6">
        <v>70.970001220703125</v>
      </c>
      <c r="G1205" s="6">
        <v>65.75</v>
      </c>
      <c r="H1205" s="6" t="e">
        <v>#N/A</v>
      </c>
      <c r="I1205" s="6">
        <v>15.847604251335454</v>
      </c>
      <c r="J1205" s="6">
        <v>267228000</v>
      </c>
      <c r="K1205" s="6">
        <v>97.55289034957616</v>
      </c>
      <c r="L1205" t="s">
        <v>17</v>
      </c>
      <c r="M1205" t="s">
        <v>40</v>
      </c>
      <c r="N1205" s="4" t="s">
        <v>4619</v>
      </c>
      <c r="O1205" s="4" t="s">
        <v>4620</v>
      </c>
      <c r="P1205" s="4" t="s">
        <v>233</v>
      </c>
    </row>
    <row r="1206" spans="1:16" x14ac:dyDescent="0.35">
      <c r="A1206" t="s">
        <v>4621</v>
      </c>
      <c r="B1206" t="s">
        <v>4622</v>
      </c>
      <c r="C1206" t="s">
        <v>16</v>
      </c>
      <c r="D1206" s="6">
        <v>56810255.251688004</v>
      </c>
      <c r="E1206" s="6">
        <v>-30505744.748311982</v>
      </c>
      <c r="F1206" s="6">
        <v>1.190000057220459</v>
      </c>
      <c r="G1206" s="6">
        <v>1.1799999475479126</v>
      </c>
      <c r="H1206" s="6" t="e">
        <v>#N/A</v>
      </c>
      <c r="I1206" s="6">
        <v>-0.86615494398466797</v>
      </c>
      <c r="J1206" s="6">
        <v>6435000</v>
      </c>
      <c r="K1206" s="6">
        <v>28.504672897196251</v>
      </c>
      <c r="L1206" t="s">
        <v>17</v>
      </c>
      <c r="M1206" t="s">
        <v>18</v>
      </c>
      <c r="N1206" s="4" t="s">
        <v>4623</v>
      </c>
      <c r="O1206" s="4" t="s">
        <v>4624</v>
      </c>
      <c r="P1206" s="4" t="s">
        <v>233</v>
      </c>
    </row>
    <row r="1207" spans="1:16" x14ac:dyDescent="0.35">
      <c r="A1207" t="s">
        <v>4625</v>
      </c>
      <c r="B1207" t="s">
        <v>4626</v>
      </c>
      <c r="C1207" t="s">
        <v>16</v>
      </c>
      <c r="D1207" s="6">
        <v>16950586.761553913</v>
      </c>
      <c r="E1207" s="6">
        <v>-40149413.238446087</v>
      </c>
      <c r="F1207" s="6">
        <v>0.41040000319480896</v>
      </c>
      <c r="G1207" s="6">
        <v>0.39120000600814819</v>
      </c>
      <c r="H1207" s="6" t="e">
        <v>#N/A</v>
      </c>
      <c r="I1207" s="6">
        <v>-0.90633305888398175</v>
      </c>
      <c r="J1207" s="6">
        <v>7101000</v>
      </c>
      <c r="K1207" s="6">
        <v>36.14206533933924</v>
      </c>
      <c r="L1207" t="s">
        <v>17</v>
      </c>
      <c r="M1207" t="s">
        <v>18</v>
      </c>
      <c r="N1207" s="4" t="s">
        <v>4627</v>
      </c>
      <c r="O1207" s="4" t="s">
        <v>4628</v>
      </c>
      <c r="P1207" s="4" t="s">
        <v>233</v>
      </c>
    </row>
    <row r="1208" spans="1:16" x14ac:dyDescent="0.35">
      <c r="A1208" t="s">
        <v>4629</v>
      </c>
      <c r="B1208" t="s">
        <v>4630</v>
      </c>
      <c r="C1208" t="s">
        <v>16</v>
      </c>
      <c r="D1208" s="6">
        <v>58536723.682861686</v>
      </c>
      <c r="E1208" s="6">
        <v>-40522276.317138314</v>
      </c>
      <c r="F1208" s="6">
        <v>0.97009998559951782</v>
      </c>
      <c r="G1208" s="6">
        <v>0.95999997854232788</v>
      </c>
      <c r="H1208" s="6" t="e">
        <v>#N/A</v>
      </c>
      <c r="I1208" s="6">
        <v>-0.12571430384637938</v>
      </c>
      <c r="J1208" s="6">
        <v>9864000</v>
      </c>
      <c r="K1208" s="6">
        <v>31.250000000000007</v>
      </c>
      <c r="L1208" t="s">
        <v>17</v>
      </c>
      <c r="M1208" t="s">
        <v>18</v>
      </c>
      <c r="N1208" s="4" t="s">
        <v>4631</v>
      </c>
      <c r="O1208" s="4" t="s">
        <v>4632</v>
      </c>
      <c r="P1208" s="4" t="s">
        <v>233</v>
      </c>
    </row>
    <row r="1209" spans="1:16" x14ac:dyDescent="0.35">
      <c r="A1209" t="s">
        <v>4633</v>
      </c>
      <c r="B1209" t="s">
        <v>4634</v>
      </c>
      <c r="C1209" t="s">
        <v>16</v>
      </c>
      <c r="D1209" s="6">
        <v>70376097.540248647</v>
      </c>
      <c r="E1209" s="6">
        <v>-114293902.45975138</v>
      </c>
      <c r="F1209" s="6">
        <v>1.3600000143051147</v>
      </c>
      <c r="G1209" s="6">
        <v>1.3999999761581421</v>
      </c>
      <c r="H1209" s="6" t="e">
        <v>#N/A</v>
      </c>
      <c r="I1209" s="6">
        <v>-0.18517171473960226</v>
      </c>
      <c r="J1209" s="6">
        <v>0</v>
      </c>
      <c r="K1209" s="6">
        <v>36.256642138893476</v>
      </c>
      <c r="L1209" t="s">
        <v>17</v>
      </c>
      <c r="M1209" t="s">
        <v>18</v>
      </c>
      <c r="N1209" s="4" t="s">
        <v>4635</v>
      </c>
      <c r="O1209" s="4" t="s">
        <v>4636</v>
      </c>
      <c r="P1209" s="4" t="s">
        <v>233</v>
      </c>
    </row>
    <row r="1210" spans="1:16" x14ac:dyDescent="0.35">
      <c r="A1210" t="s">
        <v>4637</v>
      </c>
      <c r="B1210" t="s">
        <v>4638</v>
      </c>
      <c r="C1210" t="s">
        <v>16</v>
      </c>
      <c r="D1210" s="6">
        <v>49855614.523101918</v>
      </c>
      <c r="E1210" s="6">
        <v>-85993385.476898074</v>
      </c>
      <c r="F1210" s="6">
        <v>0.90600001811981201</v>
      </c>
      <c r="G1210" s="6">
        <v>0.9100000262260437</v>
      </c>
      <c r="H1210" s="6" t="e">
        <v>#N/A</v>
      </c>
      <c r="I1210" s="6">
        <v>-0.71765698041801551</v>
      </c>
      <c r="J1210" s="6">
        <v>3000000</v>
      </c>
      <c r="K1210" s="6">
        <v>17.81787154524508</v>
      </c>
      <c r="L1210" t="s">
        <v>17</v>
      </c>
      <c r="M1210" t="s">
        <v>18</v>
      </c>
      <c r="N1210" s="4" t="s">
        <v>4639</v>
      </c>
      <c r="O1210" s="4" t="s">
        <v>4640</v>
      </c>
      <c r="P1210" s="4" t="s">
        <v>233</v>
      </c>
    </row>
    <row r="1211" spans="1:16" x14ac:dyDescent="0.35">
      <c r="A1211" t="s">
        <v>4641</v>
      </c>
      <c r="B1211" t="s">
        <v>4642</v>
      </c>
      <c r="C1211" t="s">
        <v>16</v>
      </c>
      <c r="D1211" s="6">
        <v>75048875.047223568</v>
      </c>
      <c r="E1211" s="6">
        <v>68636604.047223568</v>
      </c>
      <c r="F1211" s="6">
        <v>4.679999828338623</v>
      </c>
      <c r="G1211" s="6">
        <v>4.7300000190734863</v>
      </c>
      <c r="H1211" s="6" t="e">
        <v>#N/A</v>
      </c>
      <c r="I1211" s="6">
        <v>5.6274921067125616E-2</v>
      </c>
      <c r="J1211" s="6">
        <v>78571000</v>
      </c>
      <c r="K1211" s="6">
        <v>73.416504201671543</v>
      </c>
      <c r="L1211" t="s">
        <v>17</v>
      </c>
      <c r="M1211" t="s">
        <v>27</v>
      </c>
      <c r="N1211" s="4" t="s">
        <v>4643</v>
      </c>
      <c r="O1211" s="4" t="s">
        <v>4644</v>
      </c>
      <c r="P1211" s="4" t="s">
        <v>233</v>
      </c>
    </row>
    <row r="1212" spans="1:16" x14ac:dyDescent="0.35">
      <c r="A1212" t="s">
        <v>4645</v>
      </c>
      <c r="B1212" t="s">
        <v>4646</v>
      </c>
      <c r="C1212" t="s">
        <v>16</v>
      </c>
      <c r="D1212" s="6">
        <v>75381632.751203537</v>
      </c>
      <c r="E1212" s="6">
        <v>9592632.751203537</v>
      </c>
      <c r="F1212" s="6">
        <v>21.010000228881836</v>
      </c>
      <c r="G1212" s="6">
        <v>25.540000915527344</v>
      </c>
      <c r="H1212" s="6" t="e">
        <v>#N/A</v>
      </c>
      <c r="I1212" s="6">
        <v>0.23516743236655069</v>
      </c>
      <c r="J1212" s="6">
        <v>5997000</v>
      </c>
      <c r="K1212" s="6">
        <v>77.940831674114321</v>
      </c>
      <c r="L1212" t="s">
        <v>17</v>
      </c>
      <c r="M1212" t="s">
        <v>18</v>
      </c>
      <c r="N1212" s="4" t="s">
        <v>4647</v>
      </c>
      <c r="O1212" s="4" t="s">
        <v>4648</v>
      </c>
      <c r="P1212" s="4" t="s">
        <v>233</v>
      </c>
    </row>
    <row r="1213" spans="1:16" x14ac:dyDescent="0.35">
      <c r="A1213" t="s">
        <v>4649</v>
      </c>
      <c r="B1213" t="s">
        <v>4650</v>
      </c>
      <c r="C1213" t="s">
        <v>16</v>
      </c>
      <c r="D1213" s="6">
        <v>1591666184.2389908</v>
      </c>
      <c r="E1213" s="6">
        <v>1182153184.2389908</v>
      </c>
      <c r="F1213" s="6">
        <v>85.400001525878906</v>
      </c>
      <c r="G1213" s="6">
        <v>81.269996643066406</v>
      </c>
      <c r="H1213" s="6" t="e">
        <v>#N/A</v>
      </c>
      <c r="I1213" s="6">
        <v>0.90926810169076444</v>
      </c>
      <c r="J1213" s="6">
        <v>1605000</v>
      </c>
      <c r="K1213" s="6">
        <v>69.481481481481509</v>
      </c>
      <c r="L1213" t="s">
        <v>17</v>
      </c>
      <c r="M1213" t="s">
        <v>18</v>
      </c>
      <c r="N1213" s="4" t="s">
        <v>4651</v>
      </c>
      <c r="O1213" s="4" t="s">
        <v>4652</v>
      </c>
      <c r="P1213" s="4" t="s">
        <v>233</v>
      </c>
    </row>
    <row r="1214" spans="1:16" x14ac:dyDescent="0.35">
      <c r="A1214" t="s">
        <v>4653</v>
      </c>
      <c r="B1214" t="s">
        <v>4654</v>
      </c>
      <c r="C1214" t="s">
        <v>16</v>
      </c>
      <c r="D1214" s="6">
        <v>2000415264.5655975</v>
      </c>
      <c r="E1214" s="6">
        <v>1755171264.5655975</v>
      </c>
      <c r="F1214" s="6">
        <v>52.330001831054688</v>
      </c>
      <c r="G1214" s="6">
        <v>50.650001525878906</v>
      </c>
      <c r="H1214" s="6" t="e">
        <v>#N/A</v>
      </c>
      <c r="I1214" s="6">
        <v>0.6954692750184881</v>
      </c>
      <c r="J1214" s="6">
        <v>129621000</v>
      </c>
      <c r="K1214" s="6">
        <v>2.1262015610522815</v>
      </c>
      <c r="L1214" t="s">
        <v>17</v>
      </c>
      <c r="M1214" t="s">
        <v>87</v>
      </c>
      <c r="N1214" s="4" t="s">
        <v>4655</v>
      </c>
      <c r="O1214" s="4" t="s">
        <v>4656</v>
      </c>
      <c r="P1214" s="4" t="s">
        <v>233</v>
      </c>
    </row>
    <row r="1215" spans="1:16" x14ac:dyDescent="0.35">
      <c r="A1215" t="s">
        <v>4657</v>
      </c>
      <c r="B1215" t="s">
        <v>4658</v>
      </c>
      <c r="C1215" t="s">
        <v>16</v>
      </c>
      <c r="D1215" s="6">
        <v>498403608.96115875</v>
      </c>
      <c r="E1215" s="6">
        <v>495156608.96115875</v>
      </c>
      <c r="F1215" s="6">
        <v>3.9600000381469727</v>
      </c>
      <c r="G1215" s="6">
        <v>3.940000057220459</v>
      </c>
      <c r="H1215" s="6" t="e">
        <v>#N/A</v>
      </c>
      <c r="I1215" s="6">
        <v>2.3191552145361838E-2</v>
      </c>
      <c r="J1215" s="6">
        <v>0</v>
      </c>
      <c r="K1215" s="6">
        <v>-54.022988505747136</v>
      </c>
      <c r="L1215" t="s">
        <v>17</v>
      </c>
      <c r="M1215" t="s">
        <v>18</v>
      </c>
      <c r="N1215" s="4" t="s">
        <v>4659</v>
      </c>
      <c r="O1215" s="4" t="s">
        <v>4660</v>
      </c>
      <c r="P1215" s="4" t="s">
        <v>233</v>
      </c>
    </row>
    <row r="1216" spans="1:16" x14ac:dyDescent="0.35">
      <c r="A1216" t="s">
        <v>4661</v>
      </c>
      <c r="B1216" t="s">
        <v>4662</v>
      </c>
      <c r="C1216" t="s">
        <v>16</v>
      </c>
      <c r="D1216" s="6">
        <v>2835900636.2439728</v>
      </c>
      <c r="E1216" s="6">
        <v>2352662862.2439728</v>
      </c>
      <c r="F1216" s="6">
        <v>44.270000457763672</v>
      </c>
      <c r="G1216" s="6">
        <v>42.659999847412109</v>
      </c>
      <c r="H1216" s="6" t="e">
        <v>#N/A</v>
      </c>
      <c r="I1216" s="6">
        <v>-0.3060704771685836</v>
      </c>
      <c r="J1216" s="6">
        <v>0</v>
      </c>
      <c r="K1216" s="6">
        <v>-35.714188024117135</v>
      </c>
      <c r="L1216" t="s">
        <v>17</v>
      </c>
      <c r="M1216" t="s">
        <v>18</v>
      </c>
      <c r="N1216" s="4" t="s">
        <v>4663</v>
      </c>
      <c r="O1216" s="4" t="s">
        <v>4664</v>
      </c>
      <c r="P1216" s="4" t="s">
        <v>233</v>
      </c>
    </row>
    <row r="1217" spans="1:16" x14ac:dyDescent="0.35">
      <c r="A1217" t="s">
        <v>4665</v>
      </c>
      <c r="B1217" t="s">
        <v>4666</v>
      </c>
      <c r="C1217" t="s">
        <v>16</v>
      </c>
      <c r="D1217" s="6">
        <v>136739256.95317894</v>
      </c>
      <c r="E1217" s="6">
        <v>167289256.95317894</v>
      </c>
      <c r="F1217" s="6">
        <v>0.93999999761581421</v>
      </c>
      <c r="G1217" s="6">
        <v>0.99000000953674316</v>
      </c>
      <c r="H1217" s="6" t="e">
        <v>#N/A</v>
      </c>
      <c r="I1217" s="6">
        <v>-0.42942656479759511</v>
      </c>
      <c r="J1217" s="6">
        <v>65562000</v>
      </c>
      <c r="K1217" s="6">
        <v>56.666666666666664</v>
      </c>
      <c r="L1217" t="s">
        <v>17</v>
      </c>
      <c r="M1217" t="s">
        <v>40</v>
      </c>
      <c r="N1217" s="4" t="s">
        <v>4667</v>
      </c>
      <c r="O1217" s="4" t="s">
        <v>4668</v>
      </c>
      <c r="P1217" s="4" t="s">
        <v>233</v>
      </c>
    </row>
    <row r="1218" spans="1:16" x14ac:dyDescent="0.35">
      <c r="A1218" t="s">
        <v>4669</v>
      </c>
      <c r="B1218" t="s">
        <v>4670</v>
      </c>
      <c r="C1218" t="s">
        <v>16</v>
      </c>
      <c r="D1218" s="6">
        <v>306979558.21928072</v>
      </c>
      <c r="E1218" s="6">
        <v>78652558.21928072</v>
      </c>
      <c r="F1218" s="6">
        <v>5.5199999809265137</v>
      </c>
      <c r="G1218" s="6">
        <v>5.320000171661377</v>
      </c>
      <c r="H1218" s="6" t="e">
        <v>#N/A</v>
      </c>
      <c r="I1218" s="6">
        <v>-0.11367172108296153</v>
      </c>
      <c r="J1218" s="6">
        <v>25515000</v>
      </c>
      <c r="K1218" s="6">
        <v>21.949980637377696</v>
      </c>
      <c r="L1218" t="s">
        <v>17</v>
      </c>
      <c r="M1218" t="s">
        <v>18</v>
      </c>
      <c r="N1218" s="4" t="s">
        <v>4671</v>
      </c>
      <c r="O1218" s="4" t="s">
        <v>4672</v>
      </c>
      <c r="P1218" s="4" t="s">
        <v>233</v>
      </c>
    </row>
    <row r="1219" spans="1:16" x14ac:dyDescent="0.35">
      <c r="A1219" t="s">
        <v>4673</v>
      </c>
      <c r="B1219" t="s">
        <v>4674</v>
      </c>
      <c r="C1219" t="s">
        <v>16</v>
      </c>
      <c r="D1219" s="6">
        <v>6071319.4658370018</v>
      </c>
      <c r="E1219" s="6">
        <v>-13574680.534162998</v>
      </c>
      <c r="F1219" s="6">
        <v>4.6100001335144043</v>
      </c>
      <c r="G1219" s="6">
        <v>4.4800000190734863</v>
      </c>
      <c r="H1219" s="6" t="e">
        <v>#N/A</v>
      </c>
      <c r="I1219" s="6">
        <v>-0.71401311898375597</v>
      </c>
      <c r="J1219" s="6">
        <v>0</v>
      </c>
      <c r="K1219" s="6">
        <v>56.241080517108166</v>
      </c>
      <c r="L1219" t="s">
        <v>17</v>
      </c>
      <c r="M1219" t="s">
        <v>18</v>
      </c>
      <c r="N1219" s="4" t="s">
        <v>4675</v>
      </c>
      <c r="O1219" s="4" t="s">
        <v>4676</v>
      </c>
      <c r="P1219" s="4" t="s">
        <v>233</v>
      </c>
    </row>
    <row r="1220" spans="1:16" x14ac:dyDescent="0.35">
      <c r="A1220" t="s">
        <v>4677</v>
      </c>
      <c r="B1220" t="s">
        <v>4678</v>
      </c>
      <c r="C1220" t="s">
        <v>16</v>
      </c>
      <c r="D1220" s="6">
        <v>262680104.62947252</v>
      </c>
      <c r="E1220" s="6">
        <v>-217507895.37052748</v>
      </c>
      <c r="F1220" s="6">
        <v>3.1099998950958252</v>
      </c>
      <c r="G1220" s="6">
        <v>2.940000057220459</v>
      </c>
      <c r="H1220" s="6" t="e">
        <v>#N/A</v>
      </c>
      <c r="I1220" s="6">
        <v>-0.24820490701723874</v>
      </c>
      <c r="J1220" s="6">
        <v>0</v>
      </c>
      <c r="K1220" s="6">
        <v>-31.012658227848132</v>
      </c>
      <c r="L1220" t="s">
        <v>17</v>
      </c>
      <c r="M1220" t="s">
        <v>87</v>
      </c>
      <c r="N1220" s="4" t="s">
        <v>4679</v>
      </c>
      <c r="O1220" s="4" t="s">
        <v>4680</v>
      </c>
      <c r="P1220" s="4" t="s">
        <v>233</v>
      </c>
    </row>
    <row r="1221" spans="1:16" x14ac:dyDescent="0.35">
      <c r="A1221" t="s">
        <v>4681</v>
      </c>
      <c r="B1221" t="s">
        <v>4682</v>
      </c>
      <c r="C1221" t="s">
        <v>16</v>
      </c>
      <c r="D1221" s="6">
        <v>884733.75</v>
      </c>
      <c r="E1221" s="6">
        <v>12163733.749999998</v>
      </c>
      <c r="F1221" s="6">
        <v>0.03</v>
      </c>
      <c r="G1221" s="6">
        <v>0.03</v>
      </c>
      <c r="H1221" s="6" t="e">
        <v>#N/A</v>
      </c>
      <c r="I1221" s="6">
        <v>-0.30163900144116362</v>
      </c>
      <c r="J1221" s="6">
        <v>12120000</v>
      </c>
      <c r="K1221" s="6">
        <v>10.697107080222315</v>
      </c>
      <c r="L1221" t="s">
        <v>17</v>
      </c>
      <c r="M1221" t="s">
        <v>18</v>
      </c>
      <c r="N1221" s="4" t="s">
        <v>4683</v>
      </c>
      <c r="O1221" s="4" t="s">
        <v>4684</v>
      </c>
      <c r="P1221" s="4" t="s">
        <v>233</v>
      </c>
    </row>
    <row r="1222" spans="1:16" x14ac:dyDescent="0.35">
      <c r="A1222" t="s">
        <v>4685</v>
      </c>
      <c r="B1222" t="s">
        <v>4686</v>
      </c>
      <c r="C1222" t="s">
        <v>16</v>
      </c>
      <c r="D1222" s="6">
        <v>4921806.9869819283</v>
      </c>
      <c r="E1222" s="6">
        <v>4787782.9869819283</v>
      </c>
      <c r="F1222" s="6">
        <v>0.26840001344680786</v>
      </c>
      <c r="G1222" s="6">
        <v>0.27009999752044678</v>
      </c>
      <c r="H1222" s="6" t="e">
        <v>#N/A</v>
      </c>
      <c r="I1222" s="6">
        <v>-0.92476781728978519</v>
      </c>
      <c r="J1222" s="6">
        <v>0</v>
      </c>
      <c r="K1222" s="6">
        <v>24.234316590915931</v>
      </c>
      <c r="L1222" t="s">
        <v>17</v>
      </c>
      <c r="M1222" t="s">
        <v>87</v>
      </c>
      <c r="N1222" s="4" t="s">
        <v>4687</v>
      </c>
      <c r="O1222" s="4" t="s">
        <v>4688</v>
      </c>
      <c r="P1222" s="4" t="s">
        <v>233</v>
      </c>
    </row>
    <row r="1223" spans="1:16" x14ac:dyDescent="0.35">
      <c r="A1223" t="s">
        <v>4689</v>
      </c>
      <c r="B1223" t="s">
        <v>4690</v>
      </c>
      <c r="C1223" t="s">
        <v>16</v>
      </c>
      <c r="D1223" s="6">
        <v>26150863.211321831</v>
      </c>
      <c r="E1223" s="6">
        <v>21482863.211321831</v>
      </c>
      <c r="F1223" s="6">
        <v>3.880000114440918</v>
      </c>
      <c r="G1223" s="6">
        <v>3.8599998950958252</v>
      </c>
      <c r="H1223" s="6" t="e">
        <v>#N/A</v>
      </c>
      <c r="I1223" s="6">
        <v>-0.24455593829148392</v>
      </c>
      <c r="J1223" s="6">
        <v>14581000</v>
      </c>
      <c r="K1223" s="6">
        <v>53.716381043203469</v>
      </c>
      <c r="L1223" t="s">
        <v>17</v>
      </c>
      <c r="M1223" t="s">
        <v>40</v>
      </c>
      <c r="N1223" s="4" t="s">
        <v>4691</v>
      </c>
      <c r="O1223" s="4" t="s">
        <v>4692</v>
      </c>
      <c r="P1223" s="4" t="s">
        <v>233</v>
      </c>
    </row>
    <row r="1224" spans="1:16" x14ac:dyDescent="0.35">
      <c r="A1224" t="s">
        <v>4693</v>
      </c>
      <c r="B1224" t="s">
        <v>4694</v>
      </c>
      <c r="C1224" t="s">
        <v>16</v>
      </c>
      <c r="D1224" s="6">
        <v>39906780.940320961</v>
      </c>
      <c r="E1224" s="6">
        <v>40702011.940320961</v>
      </c>
      <c r="F1224" s="6">
        <v>12.310000419616699</v>
      </c>
      <c r="G1224" s="6">
        <v>11.5</v>
      </c>
      <c r="H1224" s="6" t="e">
        <v>#N/A</v>
      </c>
      <c r="I1224" s="6">
        <v>0.36630511936834798</v>
      </c>
      <c r="J1224" s="6">
        <v>0</v>
      </c>
      <c r="K1224" s="6">
        <v>79.814791424707423</v>
      </c>
      <c r="L1224" t="s">
        <v>17</v>
      </c>
      <c r="M1224" t="s">
        <v>18</v>
      </c>
      <c r="N1224" s="4" t="s">
        <v>13376</v>
      </c>
      <c r="O1224" s="4" t="s">
        <v>13377</v>
      </c>
      <c r="P1224" s="4" t="s">
        <v>233</v>
      </c>
    </row>
    <row r="1225" spans="1:16" x14ac:dyDescent="0.35">
      <c r="A1225" t="s">
        <v>4695</v>
      </c>
      <c r="B1225" t="s">
        <v>4696</v>
      </c>
      <c r="C1225" t="s">
        <v>16</v>
      </c>
      <c r="D1225" s="6">
        <v>66128276.617429733</v>
      </c>
      <c r="E1225" s="6">
        <v>-73844723.382570267</v>
      </c>
      <c r="F1225" s="6">
        <v>2.4649999141693115</v>
      </c>
      <c r="G1225" s="6">
        <v>2.4700000286102295</v>
      </c>
      <c r="H1225" s="6" t="e">
        <v>#N/A</v>
      </c>
      <c r="I1225" s="6">
        <v>-0.83911094781392415</v>
      </c>
      <c r="J1225" s="6">
        <v>219638000</v>
      </c>
      <c r="K1225" s="6">
        <v>-102.89855072463767</v>
      </c>
      <c r="L1225" t="s">
        <v>17</v>
      </c>
      <c r="M1225" t="s">
        <v>40</v>
      </c>
      <c r="N1225" s="4" t="s">
        <v>12960</v>
      </c>
      <c r="O1225" s="4" t="s">
        <v>12961</v>
      </c>
      <c r="P1225" s="4" t="s">
        <v>233</v>
      </c>
    </row>
    <row r="1226" spans="1:16" x14ac:dyDescent="0.35">
      <c r="A1226" t="s">
        <v>4697</v>
      </c>
      <c r="B1226" t="s">
        <v>4698</v>
      </c>
      <c r="C1226" t="s">
        <v>16</v>
      </c>
      <c r="D1226" s="6">
        <v>21085377.717046499</v>
      </c>
      <c r="E1226" s="6">
        <v>22556377.717046499</v>
      </c>
      <c r="F1226" s="6">
        <v>0.29089999198913574</v>
      </c>
      <c r="G1226" s="6">
        <v>0.28110000491142273</v>
      </c>
      <c r="H1226" s="6" t="e">
        <v>#N/A</v>
      </c>
      <c r="I1226" s="6">
        <v>-0.75664291952410445</v>
      </c>
      <c r="J1226" s="6">
        <v>0</v>
      </c>
      <c r="K1226" s="6">
        <v>32.923930127564823</v>
      </c>
      <c r="L1226" t="s">
        <v>17</v>
      </c>
      <c r="M1226" t="s">
        <v>18</v>
      </c>
      <c r="N1226" s="4" t="s">
        <v>4699</v>
      </c>
      <c r="O1226" s="4" t="s">
        <v>4700</v>
      </c>
      <c r="P1226" s="4" t="s">
        <v>233</v>
      </c>
    </row>
    <row r="1227" spans="1:16" x14ac:dyDescent="0.35">
      <c r="A1227" t="s">
        <v>4701</v>
      </c>
      <c r="B1227" t="s">
        <v>4702</v>
      </c>
      <c r="C1227" t="s">
        <v>16</v>
      </c>
      <c r="D1227" s="6">
        <v>31945514.092060085</v>
      </c>
      <c r="E1227" s="6">
        <v>-718485.90793991461</v>
      </c>
      <c r="F1227" s="6">
        <v>9.8299999237060547</v>
      </c>
      <c r="G1227" s="6">
        <v>10.010000228881836</v>
      </c>
      <c r="H1227" s="6" t="e">
        <v>#N/A</v>
      </c>
      <c r="I1227" s="6">
        <v>7.4106535600438672E-2</v>
      </c>
      <c r="J1227" s="6">
        <v>0</v>
      </c>
      <c r="K1227" s="6">
        <v>-36.730769230769063</v>
      </c>
      <c r="L1227" t="s">
        <v>17</v>
      </c>
      <c r="M1227" t="s">
        <v>18</v>
      </c>
      <c r="N1227" s="4" t="s">
        <v>4703</v>
      </c>
      <c r="O1227" s="4" t="s">
        <v>4704</v>
      </c>
      <c r="P1227" s="4" t="s">
        <v>233</v>
      </c>
    </row>
    <row r="1228" spans="1:16" x14ac:dyDescent="0.35">
      <c r="A1228" t="s">
        <v>4705</v>
      </c>
      <c r="B1228" t="s">
        <v>4706</v>
      </c>
      <c r="C1228" t="s">
        <v>16</v>
      </c>
      <c r="D1228" s="6">
        <v>4913351.4064940214</v>
      </c>
      <c r="E1228" s="6">
        <v>298351.40649402142</v>
      </c>
      <c r="F1228" s="6">
        <v>0.55000001192092896</v>
      </c>
      <c r="G1228" s="6">
        <v>0.48519998788833618</v>
      </c>
      <c r="H1228" s="6" t="e">
        <v>#N/A</v>
      </c>
      <c r="I1228" s="6">
        <v>-0.96471316673829788</v>
      </c>
      <c r="J1228" s="6">
        <v>0</v>
      </c>
      <c r="K1228" s="6">
        <v>96.977100801916194</v>
      </c>
      <c r="L1228" t="s">
        <v>17</v>
      </c>
      <c r="M1228" t="s">
        <v>18</v>
      </c>
      <c r="N1228" s="4" t="s">
        <v>4707</v>
      </c>
      <c r="O1228" s="4" t="s">
        <v>4708</v>
      </c>
      <c r="P1228" s="4" t="s">
        <v>233</v>
      </c>
    </row>
    <row r="1229" spans="1:16" x14ac:dyDescent="0.35">
      <c r="A1229" t="s">
        <v>4709</v>
      </c>
      <c r="B1229" t="s">
        <v>4710</v>
      </c>
      <c r="C1229" t="s">
        <v>16</v>
      </c>
      <c r="D1229" s="6">
        <v>1111593941.7838612</v>
      </c>
      <c r="E1229" s="6">
        <v>1086486941.7838612</v>
      </c>
      <c r="F1229" s="6">
        <v>4.2600002288818359</v>
      </c>
      <c r="G1229" s="6">
        <v>4.1599998474121094</v>
      </c>
      <c r="H1229" s="6" t="e">
        <v>#N/A</v>
      </c>
      <c r="I1229" s="6">
        <v>-0.22491365932153928</v>
      </c>
      <c r="J1229" s="6">
        <v>276920000</v>
      </c>
      <c r="K1229" s="6" t="e">
        <v>#N/A</v>
      </c>
      <c r="L1229" t="s">
        <v>17</v>
      </c>
      <c r="M1229" t="s">
        <v>100</v>
      </c>
      <c r="N1229" s="4" t="s">
        <v>4711</v>
      </c>
      <c r="O1229" s="4" t="s">
        <v>4712</v>
      </c>
      <c r="P1229" s="4" t="s">
        <v>233</v>
      </c>
    </row>
    <row r="1230" spans="1:16" x14ac:dyDescent="0.35">
      <c r="A1230" t="s">
        <v>4713</v>
      </c>
      <c r="B1230" t="s">
        <v>4714</v>
      </c>
      <c r="C1230" t="s">
        <v>16</v>
      </c>
      <c r="D1230" s="6">
        <v>337565345.01004928</v>
      </c>
      <c r="E1230" s="6">
        <v>124501345.01004928</v>
      </c>
      <c r="F1230" s="6">
        <v>4.940000057220459</v>
      </c>
      <c r="G1230" s="6">
        <v>5.1100001335144043</v>
      </c>
      <c r="H1230" s="6" t="e">
        <v>#N/A</v>
      </c>
      <c r="I1230" s="6">
        <v>-0.70178082591450819</v>
      </c>
      <c r="J1230" s="6">
        <v>0</v>
      </c>
      <c r="K1230" s="6">
        <v>5.6034482758620454</v>
      </c>
      <c r="L1230" t="s">
        <v>17</v>
      </c>
      <c r="M1230" t="s">
        <v>18</v>
      </c>
      <c r="N1230" s="4" t="s">
        <v>4715</v>
      </c>
      <c r="O1230" s="4" t="s">
        <v>4716</v>
      </c>
      <c r="P1230" s="4" t="s">
        <v>233</v>
      </c>
    </row>
    <row r="1231" spans="1:16" x14ac:dyDescent="0.35">
      <c r="A1231" t="s">
        <v>4717</v>
      </c>
      <c r="B1231" t="s">
        <v>4718</v>
      </c>
      <c r="C1231" t="s">
        <v>16</v>
      </c>
      <c r="D1231" s="6">
        <v>1130267085.371995</v>
      </c>
      <c r="E1231" s="6">
        <v>925745085.37199497</v>
      </c>
      <c r="F1231" s="6">
        <v>11.630000114440918</v>
      </c>
      <c r="G1231" s="6">
        <v>11.359999656677246</v>
      </c>
      <c r="H1231" s="6" t="e">
        <v>#N/A</v>
      </c>
      <c r="I1231" s="6">
        <v>0.55709103357146494</v>
      </c>
      <c r="J1231" s="6">
        <v>2568000</v>
      </c>
      <c r="K1231" s="6" t="e">
        <v>#N/A</v>
      </c>
      <c r="L1231" t="s">
        <v>17</v>
      </c>
      <c r="M1231" t="s">
        <v>18</v>
      </c>
      <c r="N1231" s="4" t="s">
        <v>4719</v>
      </c>
      <c r="O1231" s="4" t="s">
        <v>4720</v>
      </c>
      <c r="P1231" s="4" t="s">
        <v>233</v>
      </c>
    </row>
    <row r="1232" spans="1:16" x14ac:dyDescent="0.35">
      <c r="A1232" t="s">
        <v>4721</v>
      </c>
      <c r="B1232" t="s">
        <v>4722</v>
      </c>
      <c r="C1232" t="s">
        <v>16</v>
      </c>
      <c r="D1232" s="6">
        <v>12652085216.519558</v>
      </c>
      <c r="E1232" s="6">
        <v>26756085216.519558</v>
      </c>
      <c r="F1232" s="6">
        <v>10.600000381469727</v>
      </c>
      <c r="G1232" s="6">
        <v>10.600000381469727</v>
      </c>
      <c r="H1232" s="6">
        <v>8.9644840529189764</v>
      </c>
      <c r="I1232" s="6">
        <v>-7.6421869251404817E-2</v>
      </c>
      <c r="J1232" s="6">
        <v>15048500000</v>
      </c>
      <c r="K1232" s="6" t="e">
        <v>#N/A</v>
      </c>
      <c r="L1232" t="s">
        <v>17</v>
      </c>
      <c r="M1232" t="s">
        <v>87</v>
      </c>
      <c r="N1232" s="4" t="s">
        <v>4723</v>
      </c>
      <c r="O1232" s="4" t="s">
        <v>4724</v>
      </c>
      <c r="P1232" s="4" t="s">
        <v>233</v>
      </c>
    </row>
    <row r="1233" spans="1:16" x14ac:dyDescent="0.35">
      <c r="A1233" t="s">
        <v>4725</v>
      </c>
      <c r="B1233" t="s">
        <v>4726</v>
      </c>
      <c r="C1233" t="s">
        <v>16</v>
      </c>
      <c r="D1233" s="6">
        <v>132674759.99999999</v>
      </c>
      <c r="E1233" s="6">
        <v>-88426240.000000045</v>
      </c>
      <c r="F1233" s="6">
        <v>2.25</v>
      </c>
      <c r="G1233" s="6">
        <v>2.2100000381469727</v>
      </c>
      <c r="H1233" s="6" t="e">
        <v>#N/A</v>
      </c>
      <c r="I1233" s="6">
        <v>0.26323594862569988</v>
      </c>
      <c r="J1233" s="6">
        <v>14608000</v>
      </c>
      <c r="K1233" s="6">
        <v>9.7222222222222143</v>
      </c>
      <c r="L1233" t="s">
        <v>17</v>
      </c>
      <c r="M1233" t="s">
        <v>100</v>
      </c>
      <c r="N1233" s="4" t="s">
        <v>4727</v>
      </c>
      <c r="O1233" s="4" t="s">
        <v>4728</v>
      </c>
      <c r="P1233" s="4" t="s">
        <v>233</v>
      </c>
    </row>
    <row r="1234" spans="1:16" x14ac:dyDescent="0.35">
      <c r="A1234" t="s">
        <v>4729</v>
      </c>
      <c r="B1234" t="s">
        <v>4730</v>
      </c>
      <c r="C1234" t="s">
        <v>16</v>
      </c>
      <c r="D1234" s="6">
        <v>3792570695.552403</v>
      </c>
      <c r="E1234" s="6">
        <v>5843438695.5524035</v>
      </c>
      <c r="F1234" s="6">
        <v>13.390000343322754</v>
      </c>
      <c r="G1234" s="6">
        <v>13.579999923706055</v>
      </c>
      <c r="H1234" s="6">
        <v>35.868314117818315</v>
      </c>
      <c r="I1234" s="6">
        <v>-0.16944741794140872</v>
      </c>
      <c r="J1234" s="6">
        <v>1120477000</v>
      </c>
      <c r="K1234" s="6" t="e">
        <v>#N/A</v>
      </c>
      <c r="L1234" t="s">
        <v>17</v>
      </c>
      <c r="M1234" t="s">
        <v>100</v>
      </c>
      <c r="N1234" s="4" t="s">
        <v>4731</v>
      </c>
      <c r="O1234" s="4" t="s">
        <v>4732</v>
      </c>
      <c r="P1234" s="4" t="s">
        <v>233</v>
      </c>
    </row>
    <row r="1235" spans="1:16" x14ac:dyDescent="0.35">
      <c r="A1235" t="s">
        <v>4733</v>
      </c>
      <c r="B1235" t="s">
        <v>4734</v>
      </c>
      <c r="C1235" t="s">
        <v>16</v>
      </c>
      <c r="D1235" s="6">
        <v>24358766.053746372</v>
      </c>
      <c r="E1235" s="6">
        <v>-84652233.946253642</v>
      </c>
      <c r="F1235" s="6">
        <v>0.41980001330375671</v>
      </c>
      <c r="G1235" s="6">
        <v>0.38999998569488525</v>
      </c>
      <c r="H1235" s="6" t="e">
        <v>#N/A</v>
      </c>
      <c r="I1235" s="6">
        <v>-0.84655948220030508</v>
      </c>
      <c r="J1235" s="6">
        <v>11000000</v>
      </c>
      <c r="K1235" s="6">
        <v>36.144955510834272</v>
      </c>
      <c r="L1235" t="s">
        <v>17</v>
      </c>
      <c r="M1235" t="s">
        <v>18</v>
      </c>
      <c r="N1235" s="4" t="s">
        <v>4735</v>
      </c>
      <c r="O1235" s="4" t="s">
        <v>4736</v>
      </c>
      <c r="P1235" s="4" t="s">
        <v>233</v>
      </c>
    </row>
    <row r="1236" spans="1:16" x14ac:dyDescent="0.35">
      <c r="A1236" t="s">
        <v>4737</v>
      </c>
      <c r="B1236" t="s">
        <v>4738</v>
      </c>
      <c r="C1236" t="s">
        <v>16</v>
      </c>
      <c r="D1236" s="6">
        <v>1838636.6378685236</v>
      </c>
      <c r="E1236" s="6">
        <v>1275157.6378685236</v>
      </c>
      <c r="F1236" s="6">
        <v>1.9099999666213989</v>
      </c>
      <c r="G1236" s="6">
        <v>1.9199999570846558</v>
      </c>
      <c r="H1236" s="6" t="e">
        <v>#N/A</v>
      </c>
      <c r="I1236" s="6">
        <v>-0.78640368670298377</v>
      </c>
      <c r="J1236" s="6">
        <v>10390704</v>
      </c>
      <c r="K1236" s="6">
        <v>15.818435191759464</v>
      </c>
      <c r="L1236" t="s">
        <v>17</v>
      </c>
      <c r="M1236" t="s">
        <v>32</v>
      </c>
      <c r="N1236" s="4" t="s">
        <v>4739</v>
      </c>
      <c r="O1236" s="4" t="s">
        <v>4740</v>
      </c>
      <c r="P1236" s="4" t="s">
        <v>233</v>
      </c>
    </row>
    <row r="1237" spans="1:16" x14ac:dyDescent="0.35">
      <c r="A1237" t="s">
        <v>4741</v>
      </c>
      <c r="B1237" t="s">
        <v>4742</v>
      </c>
      <c r="C1237" t="s">
        <v>16</v>
      </c>
      <c r="D1237" s="6">
        <v>2198915921.0171924</v>
      </c>
      <c r="E1237" s="6">
        <v>2276946921.0171924</v>
      </c>
      <c r="F1237" s="6">
        <v>13.659999847412109</v>
      </c>
      <c r="G1237" s="6">
        <v>13.569999694824219</v>
      </c>
      <c r="H1237" s="6" t="e">
        <v>#N/A</v>
      </c>
      <c r="I1237" s="6">
        <v>-0.23588194377358163</v>
      </c>
      <c r="J1237" s="6">
        <v>372797000</v>
      </c>
      <c r="K1237" s="6">
        <v>4.7619047619047654</v>
      </c>
      <c r="L1237" t="s">
        <v>17</v>
      </c>
      <c r="M1237" t="s">
        <v>32</v>
      </c>
      <c r="N1237" s="4" t="s">
        <v>4743</v>
      </c>
      <c r="O1237" s="4" t="s">
        <v>4744</v>
      </c>
      <c r="P1237" s="4" t="s">
        <v>233</v>
      </c>
    </row>
    <row r="1238" spans="1:16" x14ac:dyDescent="0.35">
      <c r="A1238" t="s">
        <v>4745</v>
      </c>
      <c r="B1238" t="s">
        <v>4746</v>
      </c>
      <c r="C1238" t="s">
        <v>16</v>
      </c>
      <c r="D1238" s="6">
        <v>77851110.994204745</v>
      </c>
      <c r="E1238" s="6">
        <v>28534466.994204745</v>
      </c>
      <c r="F1238" s="6">
        <v>2.5099999904632568</v>
      </c>
      <c r="G1238" s="6">
        <v>2.5999999046325684</v>
      </c>
      <c r="H1238" s="6" t="e">
        <v>#N/A</v>
      </c>
      <c r="I1238" s="6">
        <v>-8.0374999445090523E-2</v>
      </c>
      <c r="J1238" s="6">
        <v>19709723</v>
      </c>
      <c r="K1238" s="6">
        <v>-180.00000000000009</v>
      </c>
      <c r="L1238" t="s">
        <v>17</v>
      </c>
      <c r="M1238" t="s">
        <v>32</v>
      </c>
      <c r="N1238" s="4" t="s">
        <v>4747</v>
      </c>
      <c r="O1238" s="4" t="s">
        <v>4748</v>
      </c>
      <c r="P1238" s="4" t="s">
        <v>233</v>
      </c>
    </row>
    <row r="1239" spans="1:16" x14ac:dyDescent="0.35">
      <c r="A1239" t="s">
        <v>4749</v>
      </c>
      <c r="B1239" t="s">
        <v>4750</v>
      </c>
      <c r="C1239" t="s">
        <v>16</v>
      </c>
      <c r="D1239" s="6">
        <v>915635439.83167648</v>
      </c>
      <c r="E1239" s="6">
        <v>340294439.83167648</v>
      </c>
      <c r="F1239" s="6">
        <v>3.0999999046325684</v>
      </c>
      <c r="G1239" s="6">
        <v>2.9000000953674316</v>
      </c>
      <c r="H1239" s="6" t="e">
        <v>#N/A</v>
      </c>
      <c r="I1239" s="6">
        <v>-0.43135567792483542</v>
      </c>
      <c r="J1239" s="6">
        <v>32962000</v>
      </c>
      <c r="K1239" s="6">
        <v>-32.549300950918031</v>
      </c>
      <c r="L1239" t="s">
        <v>17</v>
      </c>
      <c r="M1239" t="s">
        <v>100</v>
      </c>
      <c r="N1239" s="4" t="s">
        <v>4751</v>
      </c>
      <c r="O1239" s="4" t="s">
        <v>4752</v>
      </c>
      <c r="P1239" s="4" t="s">
        <v>233</v>
      </c>
    </row>
    <row r="1240" spans="1:16" x14ac:dyDescent="0.35">
      <c r="A1240" t="s">
        <v>4753</v>
      </c>
      <c r="B1240" t="s">
        <v>4754</v>
      </c>
      <c r="C1240" t="s">
        <v>16</v>
      </c>
      <c r="D1240" s="6">
        <v>545970218.76770496</v>
      </c>
      <c r="E1240" s="6">
        <v>513188168.76770496</v>
      </c>
      <c r="F1240" s="6">
        <v>5.3499999046325684</v>
      </c>
      <c r="G1240" s="6">
        <v>5.3400001525878906</v>
      </c>
      <c r="H1240" s="6">
        <v>18.625409601077031</v>
      </c>
      <c r="I1240" s="6">
        <v>0.41028052331928944</v>
      </c>
      <c r="J1240" s="6">
        <v>694968328</v>
      </c>
      <c r="K1240" s="6">
        <v>286.54564657733181</v>
      </c>
      <c r="L1240" t="s">
        <v>17</v>
      </c>
      <c r="M1240" t="s">
        <v>40</v>
      </c>
      <c r="N1240" s="4" t="s">
        <v>4755</v>
      </c>
      <c r="O1240" s="4" t="s">
        <v>4756</v>
      </c>
      <c r="P1240" s="4" t="s">
        <v>233</v>
      </c>
    </row>
    <row r="1241" spans="1:16" x14ac:dyDescent="0.35">
      <c r="A1241" t="s">
        <v>4757</v>
      </c>
      <c r="B1241" t="s">
        <v>4758</v>
      </c>
      <c r="C1241" t="s">
        <v>16</v>
      </c>
      <c r="D1241" s="6">
        <v>2716569.2992799431</v>
      </c>
      <c r="E1241" s="6">
        <v>7330904.2992799431</v>
      </c>
      <c r="F1241" s="6">
        <v>0.23999999463558197</v>
      </c>
      <c r="G1241" s="6">
        <v>0.24709999561309814</v>
      </c>
      <c r="H1241" s="6" t="e">
        <v>#N/A</v>
      </c>
      <c r="I1241" s="6">
        <v>-0.82774340225034304</v>
      </c>
      <c r="J1241" s="6" t="e">
        <v>#N/A</v>
      </c>
      <c r="K1241" s="6">
        <v>-7.2343209239707109</v>
      </c>
      <c r="L1241" t="s">
        <v>17</v>
      </c>
      <c r="M1241" t="s">
        <v>87</v>
      </c>
      <c r="N1241" s="4" t="s">
        <v>4759</v>
      </c>
      <c r="O1241" s="4" t="s">
        <v>4760</v>
      </c>
      <c r="P1241" s="4" t="s">
        <v>233</v>
      </c>
    </row>
    <row r="1242" spans="1:16" x14ac:dyDescent="0.35">
      <c r="A1242" t="s">
        <v>4761</v>
      </c>
      <c r="B1242" t="s">
        <v>4762</v>
      </c>
      <c r="C1242" t="s">
        <v>16</v>
      </c>
      <c r="D1242" s="6">
        <v>4256624.9622094631</v>
      </c>
      <c r="E1242" s="6">
        <v>-15054682.037790537</v>
      </c>
      <c r="F1242" s="6">
        <v>3.1400001049041748</v>
      </c>
      <c r="G1242" s="6">
        <v>3.1400001049041748</v>
      </c>
      <c r="H1242" s="6" t="e">
        <v>#N/A</v>
      </c>
      <c r="I1242" s="6">
        <v>-0.2605651575179293</v>
      </c>
      <c r="J1242" s="6">
        <v>0</v>
      </c>
      <c r="K1242" s="6">
        <v>22.470957584284996</v>
      </c>
      <c r="L1242" t="s">
        <v>17</v>
      </c>
      <c r="M1242" t="s">
        <v>18</v>
      </c>
      <c r="N1242" s="4" t="s">
        <v>4763</v>
      </c>
      <c r="O1242" s="4" t="s">
        <v>4764</v>
      </c>
      <c r="P1242" s="4" t="s">
        <v>233</v>
      </c>
    </row>
    <row r="1243" spans="1:16" x14ac:dyDescent="0.35">
      <c r="A1243" t="s">
        <v>4765</v>
      </c>
      <c r="B1243" t="s">
        <v>4766</v>
      </c>
      <c r="C1243" t="s">
        <v>16</v>
      </c>
      <c r="D1243" s="6">
        <v>15782058.892068863</v>
      </c>
      <c r="E1243" s="6">
        <v>-10098324.107931137</v>
      </c>
      <c r="F1243" s="6">
        <v>1.7100000381469727</v>
      </c>
      <c r="G1243" s="6">
        <v>1.6499999761581421</v>
      </c>
      <c r="H1243" s="6" t="e">
        <v>#N/A</v>
      </c>
      <c r="I1243" s="6">
        <v>-0.7067083445677188</v>
      </c>
      <c r="J1243" s="6">
        <v>1512723</v>
      </c>
      <c r="K1243" s="6">
        <v>-3.1460006157526585</v>
      </c>
      <c r="L1243" t="s">
        <v>17</v>
      </c>
      <c r="M1243" t="s">
        <v>18</v>
      </c>
      <c r="N1243" s="4" t="s">
        <v>4767</v>
      </c>
      <c r="O1243" s="4" t="s">
        <v>4768</v>
      </c>
      <c r="P1243" s="4" t="s">
        <v>233</v>
      </c>
    </row>
    <row r="1244" spans="1:16" x14ac:dyDescent="0.35">
      <c r="A1244" t="s">
        <v>4769</v>
      </c>
      <c r="B1244" t="s">
        <v>4770</v>
      </c>
      <c r="C1244" t="s">
        <v>16</v>
      </c>
      <c r="D1244" s="6">
        <v>82239755.013979375</v>
      </c>
      <c r="E1244" s="6">
        <v>84564755.013979375</v>
      </c>
      <c r="F1244" s="6">
        <v>0.33799999952316284</v>
      </c>
      <c r="G1244" s="6">
        <v>0.3425000011920929</v>
      </c>
      <c r="H1244" s="6" t="e">
        <v>#N/A</v>
      </c>
      <c r="I1244" s="6">
        <v>-0.79426220227187161</v>
      </c>
      <c r="J1244" s="6">
        <v>55152000</v>
      </c>
      <c r="K1244" s="6">
        <v>5.0354932211091903</v>
      </c>
      <c r="L1244" t="s">
        <v>17</v>
      </c>
      <c r="M1244" t="s">
        <v>87</v>
      </c>
      <c r="N1244" s="4" t="s">
        <v>4771</v>
      </c>
      <c r="O1244" s="4" t="s">
        <v>4772</v>
      </c>
      <c r="P1244" s="4" t="s">
        <v>233</v>
      </c>
    </row>
    <row r="1245" spans="1:16" x14ac:dyDescent="0.35">
      <c r="A1245" t="s">
        <v>4773</v>
      </c>
      <c r="B1245" t="s">
        <v>4774</v>
      </c>
      <c r="C1245" t="s">
        <v>16</v>
      </c>
      <c r="D1245" s="6">
        <v>575870914.76085758</v>
      </c>
      <c r="E1245" s="6">
        <v>238914.76085758209</v>
      </c>
      <c r="F1245" s="6">
        <v>9.8900003433227539</v>
      </c>
      <c r="G1245" s="6">
        <v>9.6000003814697266</v>
      </c>
      <c r="H1245" s="6" t="e">
        <v>#N/A</v>
      </c>
      <c r="I1245" s="6">
        <v>-0.47909108617470675</v>
      </c>
      <c r="J1245" s="6">
        <v>0</v>
      </c>
      <c r="K1245" s="6">
        <v>24.064171122994651</v>
      </c>
      <c r="L1245" t="s">
        <v>17</v>
      </c>
      <c r="M1245" t="s">
        <v>18</v>
      </c>
      <c r="N1245" s="4" t="s">
        <v>4775</v>
      </c>
      <c r="O1245" s="4" t="s">
        <v>4776</v>
      </c>
      <c r="P1245" s="4" t="s">
        <v>233</v>
      </c>
    </row>
    <row r="1246" spans="1:16" x14ac:dyDescent="0.35">
      <c r="A1246" t="s">
        <v>4777</v>
      </c>
      <c r="B1246" t="s">
        <v>4778</v>
      </c>
      <c r="C1246" t="s">
        <v>16</v>
      </c>
      <c r="D1246" s="6">
        <v>940.8818</v>
      </c>
      <c r="E1246" s="6">
        <v>-25329059.1182</v>
      </c>
      <c r="F1246" s="6">
        <v>2.0000000000000001E-4</v>
      </c>
      <c r="G1246" s="6">
        <v>2.0000000000000001E-4</v>
      </c>
      <c r="H1246" s="6" t="e">
        <v>#N/A</v>
      </c>
      <c r="I1246" s="6">
        <v>-0.99998086885209614</v>
      </c>
      <c r="J1246" s="6">
        <v>0</v>
      </c>
      <c r="K1246" s="6">
        <v>39.162790697674417</v>
      </c>
      <c r="L1246" t="s">
        <v>17</v>
      </c>
      <c r="M1246" t="s">
        <v>18</v>
      </c>
      <c r="N1246" s="4" t="s">
        <v>4779</v>
      </c>
      <c r="O1246" s="4" t="s">
        <v>4780</v>
      </c>
      <c r="P1246" s="4" t="s">
        <v>233</v>
      </c>
    </row>
    <row r="1247" spans="1:16" x14ac:dyDescent="0.35">
      <c r="A1247" t="s">
        <v>4781</v>
      </c>
      <c r="B1247" t="s">
        <v>4782</v>
      </c>
      <c r="C1247" t="s">
        <v>16</v>
      </c>
      <c r="D1247" s="6">
        <v>10923171.881835936</v>
      </c>
      <c r="E1247" s="6">
        <v>7587696.8818359356</v>
      </c>
      <c r="F1247" s="6">
        <v>2.4900000095367432</v>
      </c>
      <c r="G1247" s="6">
        <v>2.0999999046325684</v>
      </c>
      <c r="H1247" s="6" t="e">
        <v>#N/A</v>
      </c>
      <c r="I1247" s="6">
        <v>-0.58400157840384503</v>
      </c>
      <c r="J1247" s="6">
        <v>3275708</v>
      </c>
      <c r="K1247" s="6">
        <v>94.166860968904075</v>
      </c>
      <c r="L1247" t="s">
        <v>17</v>
      </c>
      <c r="M1247" t="s">
        <v>27</v>
      </c>
      <c r="N1247" s="4" t="s">
        <v>4783</v>
      </c>
      <c r="O1247" s="4" t="s">
        <v>4784</v>
      </c>
      <c r="P1247" s="4" t="s">
        <v>233</v>
      </c>
    </row>
    <row r="1248" spans="1:16" x14ac:dyDescent="0.35">
      <c r="A1248" t="s">
        <v>4785</v>
      </c>
      <c r="B1248" t="s">
        <v>4786</v>
      </c>
      <c r="C1248" t="s">
        <v>16</v>
      </c>
      <c r="D1248" s="6">
        <v>37944106.613340847</v>
      </c>
      <c r="E1248" s="6">
        <v>46180106.613340847</v>
      </c>
      <c r="F1248" s="6">
        <v>4.5999999046325684</v>
      </c>
      <c r="G1248" s="6">
        <v>4.4699997901916504</v>
      </c>
      <c r="H1248" s="6" t="e">
        <v>#N/A</v>
      </c>
      <c r="I1248" s="6">
        <v>-0.45147923108114474</v>
      </c>
      <c r="J1248" s="6">
        <v>421000</v>
      </c>
      <c r="K1248" s="6">
        <v>40.459963775746594</v>
      </c>
      <c r="L1248" t="s">
        <v>17</v>
      </c>
      <c r="M1248" t="s">
        <v>18</v>
      </c>
      <c r="N1248" s="4" t="s">
        <v>4787</v>
      </c>
      <c r="O1248" s="4" t="s">
        <v>4788</v>
      </c>
      <c r="P1248" s="4" t="s">
        <v>233</v>
      </c>
    </row>
    <row r="1249" spans="1:16" x14ac:dyDescent="0.35">
      <c r="A1249" t="s">
        <v>4789</v>
      </c>
      <c r="B1249" t="s">
        <v>4790</v>
      </c>
      <c r="C1249" t="s">
        <v>16</v>
      </c>
      <c r="D1249" s="6">
        <v>15486360.823559761</v>
      </c>
      <c r="E1249" s="6">
        <v>12125360.823559761</v>
      </c>
      <c r="F1249" s="6">
        <v>2.619999885559082</v>
      </c>
      <c r="G1249" s="6">
        <v>2.6700000762939453</v>
      </c>
      <c r="H1249" s="6" t="e">
        <v>#N/A</v>
      </c>
      <c r="I1249" s="6">
        <v>-0.87482381384237906</v>
      </c>
      <c r="J1249" s="6">
        <v>73000</v>
      </c>
      <c r="K1249" s="6">
        <v>17.346938775510207</v>
      </c>
      <c r="L1249" t="s">
        <v>17</v>
      </c>
      <c r="M1249" t="s">
        <v>18</v>
      </c>
      <c r="N1249" s="4" t="s">
        <v>13408</v>
      </c>
      <c r="O1249" s="4" t="s">
        <v>13409</v>
      </c>
      <c r="P1249" s="4" t="s">
        <v>233</v>
      </c>
    </row>
    <row r="1250" spans="1:16" x14ac:dyDescent="0.35">
      <c r="A1250" t="s">
        <v>4791</v>
      </c>
      <c r="B1250" t="s">
        <v>4792</v>
      </c>
      <c r="C1250" t="s">
        <v>16</v>
      </c>
      <c r="D1250" s="6">
        <v>72949614.65489988</v>
      </c>
      <c r="E1250" s="6">
        <v>297978614.6548999</v>
      </c>
      <c r="F1250" s="6">
        <v>0.20299999415874481</v>
      </c>
      <c r="G1250" s="6">
        <v>0.19499999284744263</v>
      </c>
      <c r="H1250" s="6" t="e">
        <v>#N/A</v>
      </c>
      <c r="I1250" s="6">
        <v>-0.80762377902930615</v>
      </c>
      <c r="J1250" s="6">
        <v>1476630000</v>
      </c>
      <c r="K1250" s="6">
        <v>89.033189033189032</v>
      </c>
      <c r="L1250" t="s">
        <v>17</v>
      </c>
      <c r="M1250" t="s">
        <v>40</v>
      </c>
      <c r="N1250" s="4" t="s">
        <v>4793</v>
      </c>
      <c r="O1250" s="4" t="s">
        <v>4794</v>
      </c>
      <c r="P1250" s="4" t="s">
        <v>233</v>
      </c>
    </row>
    <row r="1251" spans="1:16" x14ac:dyDescent="0.35">
      <c r="A1251" t="s">
        <v>4795</v>
      </c>
      <c r="B1251" t="s">
        <v>4796</v>
      </c>
      <c r="C1251" t="s">
        <v>16</v>
      </c>
      <c r="D1251" s="6">
        <v>8212192.4689736348</v>
      </c>
      <c r="E1251" s="6">
        <v>16923192.468973637</v>
      </c>
      <c r="F1251" s="6">
        <v>1.8400000333786011</v>
      </c>
      <c r="G1251" s="6">
        <v>1.809999942779541</v>
      </c>
      <c r="H1251" s="6" t="e">
        <v>#N/A</v>
      </c>
      <c r="I1251" s="6">
        <v>-0.91766087367056792</v>
      </c>
      <c r="J1251" s="6">
        <v>0</v>
      </c>
      <c r="K1251" s="6">
        <v>18.243243243243242</v>
      </c>
      <c r="L1251" t="s">
        <v>17</v>
      </c>
      <c r="M1251" t="s">
        <v>27</v>
      </c>
      <c r="N1251" s="4" t="s">
        <v>4797</v>
      </c>
      <c r="O1251" s="4" t="s">
        <v>4798</v>
      </c>
      <c r="P1251" s="4" t="s">
        <v>233</v>
      </c>
    </row>
    <row r="1252" spans="1:16" x14ac:dyDescent="0.35">
      <c r="A1252" t="s">
        <v>4799</v>
      </c>
      <c r="B1252" t="s">
        <v>4800</v>
      </c>
      <c r="C1252" t="s">
        <v>16</v>
      </c>
      <c r="D1252" s="6">
        <v>92952032.493581772</v>
      </c>
      <c r="E1252" s="6">
        <v>17769032.493581772</v>
      </c>
      <c r="F1252" s="6">
        <v>1.2000000476837158</v>
      </c>
      <c r="G1252" s="6">
        <v>1.125</v>
      </c>
      <c r="H1252" s="6" t="e">
        <v>#N/A</v>
      </c>
      <c r="I1252" s="6">
        <v>0.12114407706522612</v>
      </c>
      <c r="J1252" s="6">
        <v>11032000</v>
      </c>
      <c r="K1252" s="6">
        <v>40.384615384615387</v>
      </c>
      <c r="L1252" t="s">
        <v>17</v>
      </c>
      <c r="M1252" t="s">
        <v>27</v>
      </c>
      <c r="N1252" s="4" t="s">
        <v>4801</v>
      </c>
      <c r="O1252" s="4" t="s">
        <v>4802</v>
      </c>
      <c r="P1252" s="4" t="s">
        <v>233</v>
      </c>
    </row>
    <row r="1253" spans="1:16" x14ac:dyDescent="0.35">
      <c r="A1253" t="s">
        <v>4803</v>
      </c>
      <c r="B1253" t="s">
        <v>4804</v>
      </c>
      <c r="C1253" t="s">
        <v>16</v>
      </c>
      <c r="D1253" s="6">
        <v>634083625.59667754</v>
      </c>
      <c r="E1253" s="6">
        <v>531160625.59667754</v>
      </c>
      <c r="F1253" s="6">
        <v>2.8399999141693115</v>
      </c>
      <c r="G1253" s="6">
        <v>2.690000057220459</v>
      </c>
      <c r="H1253" s="6" t="e">
        <v>#N/A</v>
      </c>
      <c r="I1253" s="6">
        <v>-0.54822396099347537</v>
      </c>
      <c r="J1253" s="6">
        <v>0</v>
      </c>
      <c r="K1253" s="6">
        <v>2.7777777777777803</v>
      </c>
      <c r="L1253" t="s">
        <v>17</v>
      </c>
      <c r="M1253" t="s">
        <v>18</v>
      </c>
      <c r="N1253" s="4" t="s">
        <v>4805</v>
      </c>
      <c r="O1253" s="4" t="s">
        <v>4806</v>
      </c>
      <c r="P1253" s="4" t="s">
        <v>233</v>
      </c>
    </row>
    <row r="1254" spans="1:16" x14ac:dyDescent="0.35">
      <c r="A1254" t="s">
        <v>4807</v>
      </c>
      <c r="B1254" t="s">
        <v>4808</v>
      </c>
      <c r="C1254" t="s">
        <v>16</v>
      </c>
      <c r="D1254" s="6">
        <v>1478968654.4796181</v>
      </c>
      <c r="E1254" s="6">
        <v>1120374654.4796181</v>
      </c>
      <c r="F1254" s="6">
        <v>29.559999465942383</v>
      </c>
      <c r="G1254" s="6">
        <v>28.270000457763672</v>
      </c>
      <c r="H1254" s="6" t="e">
        <v>#N/A</v>
      </c>
      <c r="I1254" s="6">
        <v>-0.60232457201622158</v>
      </c>
      <c r="J1254" s="6">
        <v>249428000</v>
      </c>
      <c r="K1254" s="6">
        <v>1.7391304347826104</v>
      </c>
      <c r="L1254" t="s">
        <v>17</v>
      </c>
      <c r="M1254" t="s">
        <v>18</v>
      </c>
      <c r="N1254" s="4" t="s">
        <v>4809</v>
      </c>
      <c r="O1254" s="4" t="s">
        <v>4810</v>
      </c>
      <c r="P1254" s="4" t="s">
        <v>233</v>
      </c>
    </row>
    <row r="1255" spans="1:16" x14ac:dyDescent="0.35">
      <c r="A1255" t="s">
        <v>4811</v>
      </c>
      <c r="B1255" t="s">
        <v>4812</v>
      </c>
      <c r="C1255" t="s">
        <v>16</v>
      </c>
      <c r="D1255" s="6">
        <v>18413140.993925154</v>
      </c>
      <c r="E1255" s="6">
        <v>-63556859.006074846</v>
      </c>
      <c r="F1255" s="6">
        <v>0.48109999299049377</v>
      </c>
      <c r="G1255" s="6">
        <v>0.46500000357627869</v>
      </c>
      <c r="H1255" s="6" t="e">
        <v>#N/A</v>
      </c>
      <c r="I1255" s="6">
        <v>-0.55355174865916856</v>
      </c>
      <c r="J1255" s="6">
        <v>9779000</v>
      </c>
      <c r="K1255" s="6">
        <v>9.640034431902647</v>
      </c>
      <c r="L1255" t="s">
        <v>17</v>
      </c>
      <c r="M1255" t="s">
        <v>18</v>
      </c>
      <c r="N1255" s="4" t="s">
        <v>4813</v>
      </c>
      <c r="O1255" s="4" t="s">
        <v>4814</v>
      </c>
      <c r="P1255" s="4" t="s">
        <v>233</v>
      </c>
    </row>
    <row r="1256" spans="1:16" x14ac:dyDescent="0.35">
      <c r="A1256" t="s">
        <v>4815</v>
      </c>
      <c r="B1256" t="s">
        <v>4816</v>
      </c>
      <c r="C1256" t="s">
        <v>16</v>
      </c>
      <c r="D1256" s="6">
        <v>368634643.66064066</v>
      </c>
      <c r="E1256" s="6">
        <v>-2837356.3393594027</v>
      </c>
      <c r="F1256" s="6">
        <v>4.3400001525878906</v>
      </c>
      <c r="G1256" s="6">
        <v>4.2300000190734863</v>
      </c>
      <c r="H1256" s="6" t="e">
        <v>#N/A</v>
      </c>
      <c r="I1256" s="6">
        <v>-0.3800728505356531</v>
      </c>
      <c r="J1256" s="6">
        <v>0</v>
      </c>
      <c r="K1256" s="6">
        <v>7.0866141732283348</v>
      </c>
      <c r="L1256" t="s">
        <v>17</v>
      </c>
      <c r="M1256" t="s">
        <v>87</v>
      </c>
      <c r="N1256" s="4" t="s">
        <v>4817</v>
      </c>
      <c r="O1256" s="4" t="s">
        <v>4818</v>
      </c>
      <c r="P1256" s="4" t="s">
        <v>233</v>
      </c>
    </row>
    <row r="1257" spans="1:16" x14ac:dyDescent="0.35">
      <c r="A1257" t="s">
        <v>4819</v>
      </c>
      <c r="B1257" t="s">
        <v>4820</v>
      </c>
      <c r="C1257" t="s">
        <v>16</v>
      </c>
      <c r="D1257" s="6">
        <v>11780905.961977957</v>
      </c>
      <c r="E1257" s="6">
        <v>-30752094.038022041</v>
      </c>
      <c r="F1257" s="6">
        <v>0.46840000152587891</v>
      </c>
      <c r="G1257" s="6">
        <v>0.4779999852180481</v>
      </c>
      <c r="H1257" s="6" t="e">
        <v>#N/A</v>
      </c>
      <c r="I1257" s="6">
        <v>-0.42440568726499883</v>
      </c>
      <c r="J1257" s="6">
        <v>0</v>
      </c>
      <c r="K1257" s="6">
        <v>9.896318644129547</v>
      </c>
      <c r="L1257" t="s">
        <v>17</v>
      </c>
      <c r="M1257" t="s">
        <v>18</v>
      </c>
      <c r="N1257" s="4" t="s">
        <v>4821</v>
      </c>
      <c r="O1257" s="4" t="s">
        <v>4822</v>
      </c>
      <c r="P1257" s="4" t="s">
        <v>233</v>
      </c>
    </row>
    <row r="1258" spans="1:16" x14ac:dyDescent="0.35">
      <c r="A1258" t="s">
        <v>4823</v>
      </c>
      <c r="B1258" t="s">
        <v>4824</v>
      </c>
      <c r="C1258" t="s">
        <v>16</v>
      </c>
      <c r="D1258" s="6">
        <v>172197482.70499882</v>
      </c>
      <c r="E1258" s="6">
        <v>142242482.70499882</v>
      </c>
      <c r="F1258" s="6">
        <v>1.3799999952316284</v>
      </c>
      <c r="G1258" s="6">
        <v>1.3200000524520874</v>
      </c>
      <c r="H1258" s="6" t="e">
        <v>#N/A</v>
      </c>
      <c r="I1258" s="6">
        <v>-0.38035394199977213</v>
      </c>
      <c r="J1258" s="6">
        <v>0</v>
      </c>
      <c r="K1258" s="6">
        <v>13.128742972942458</v>
      </c>
      <c r="L1258" t="s">
        <v>17</v>
      </c>
      <c r="M1258" t="s">
        <v>18</v>
      </c>
      <c r="N1258" s="4" t="s">
        <v>4825</v>
      </c>
      <c r="O1258" s="4" t="s">
        <v>4826</v>
      </c>
      <c r="P1258" s="4" t="s">
        <v>233</v>
      </c>
    </row>
    <row r="1259" spans="1:16" x14ac:dyDescent="0.35">
      <c r="A1259" t="s">
        <v>4827</v>
      </c>
      <c r="B1259" t="s">
        <v>4828</v>
      </c>
      <c r="C1259" t="s">
        <v>16</v>
      </c>
      <c r="D1259" s="6">
        <v>955936525.90461349</v>
      </c>
      <c r="E1259" s="6">
        <v>611801355.84604657</v>
      </c>
      <c r="F1259" s="6">
        <v>17.700000762939453</v>
      </c>
      <c r="G1259" s="6">
        <v>17.579999923706055</v>
      </c>
      <c r="H1259" s="6" t="e">
        <v>#N/A</v>
      </c>
      <c r="I1259" s="6">
        <v>-0.38608671735982525</v>
      </c>
      <c r="J1259" s="6">
        <v>0</v>
      </c>
      <c r="K1259" s="6">
        <v>14.854918951764038</v>
      </c>
      <c r="L1259" t="s">
        <v>17</v>
      </c>
      <c r="M1259" t="s">
        <v>87</v>
      </c>
      <c r="N1259" s="4" t="s">
        <v>233</v>
      </c>
      <c r="O1259" s="4" t="s">
        <v>4829</v>
      </c>
      <c r="P1259" s="4" t="s">
        <v>13157</v>
      </c>
    </row>
    <row r="1260" spans="1:16" x14ac:dyDescent="0.35">
      <c r="A1260" t="s">
        <v>4830</v>
      </c>
      <c r="B1260" t="s">
        <v>4831</v>
      </c>
      <c r="C1260" t="s">
        <v>16</v>
      </c>
      <c r="D1260" s="6">
        <v>4740.3397999999997</v>
      </c>
      <c r="E1260" s="6">
        <v>-5387259.6601999989</v>
      </c>
      <c r="F1260" s="6">
        <v>1E-4</v>
      </c>
      <c r="G1260" s="6">
        <v>1E-4</v>
      </c>
      <c r="H1260" s="6" t="e">
        <v>#N/A</v>
      </c>
      <c r="I1260" s="6">
        <v>-0.99939968742362528</v>
      </c>
      <c r="J1260" s="6">
        <v>0</v>
      </c>
      <c r="K1260" s="6">
        <v>45.659163987138264</v>
      </c>
      <c r="L1260" t="s">
        <v>17</v>
      </c>
      <c r="M1260" t="s">
        <v>32</v>
      </c>
      <c r="N1260" s="4" t="s">
        <v>4832</v>
      </c>
      <c r="O1260" s="4" t="s">
        <v>4833</v>
      </c>
      <c r="P1260" s="4" t="s">
        <v>233</v>
      </c>
    </row>
    <row r="1261" spans="1:16" x14ac:dyDescent="0.35">
      <c r="A1261" t="s">
        <v>4834</v>
      </c>
      <c r="B1261" t="s">
        <v>4835</v>
      </c>
      <c r="C1261" t="s">
        <v>16</v>
      </c>
      <c r="D1261" s="6">
        <v>77363034.830992699</v>
      </c>
      <c r="E1261" s="6">
        <v>164642408.8309927</v>
      </c>
      <c r="F1261" s="6">
        <v>1.7519999742507935</v>
      </c>
      <c r="G1261" s="6">
        <v>1.75</v>
      </c>
      <c r="H1261" s="6" t="e">
        <v>#N/A</v>
      </c>
      <c r="I1261" s="6">
        <v>-0.5096580874027361</v>
      </c>
      <c r="J1261" s="6">
        <v>700913</v>
      </c>
      <c r="K1261" s="6" t="e">
        <v>#N/A</v>
      </c>
      <c r="L1261" t="s">
        <v>17</v>
      </c>
      <c r="M1261" t="s">
        <v>18</v>
      </c>
      <c r="N1261" s="4" t="s">
        <v>4836</v>
      </c>
      <c r="O1261" s="4" t="s">
        <v>4837</v>
      </c>
      <c r="P1261" s="4" t="s">
        <v>233</v>
      </c>
    </row>
    <row r="1262" spans="1:16" x14ac:dyDescent="0.35">
      <c r="A1262" t="s">
        <v>4838</v>
      </c>
      <c r="B1262" t="s">
        <v>4839</v>
      </c>
      <c r="C1262" t="s">
        <v>16</v>
      </c>
      <c r="D1262" s="6">
        <v>23293737.528219823</v>
      </c>
      <c r="E1262" s="6">
        <v>2114737.5282198228</v>
      </c>
      <c r="F1262" s="6">
        <v>1.5700000524520874</v>
      </c>
      <c r="G1262" s="6">
        <v>1.440000057220459</v>
      </c>
      <c r="H1262" s="6" t="e">
        <v>#N/A</v>
      </c>
      <c r="I1262" s="6">
        <v>-0.7161394589672927</v>
      </c>
      <c r="J1262" s="6">
        <v>1852000</v>
      </c>
      <c r="K1262" s="6">
        <v>62.116701729661244</v>
      </c>
      <c r="L1262" t="s">
        <v>17</v>
      </c>
      <c r="M1262" t="s">
        <v>18</v>
      </c>
      <c r="N1262" s="4" t="s">
        <v>4840</v>
      </c>
      <c r="O1262" s="4" t="s">
        <v>4841</v>
      </c>
      <c r="P1262" s="4" t="s">
        <v>233</v>
      </c>
    </row>
    <row r="1263" spans="1:16" x14ac:dyDescent="0.35">
      <c r="A1263" t="s">
        <v>4842</v>
      </c>
      <c r="B1263" t="s">
        <v>4843</v>
      </c>
      <c r="C1263" t="s">
        <v>16</v>
      </c>
      <c r="D1263" s="6">
        <v>154808.481</v>
      </c>
      <c r="E1263" s="6">
        <v>-4298089.5190000003</v>
      </c>
      <c r="F1263" s="6">
        <v>0.111</v>
      </c>
      <c r="G1263" s="6">
        <v>0.111</v>
      </c>
      <c r="H1263" s="6" t="e">
        <v>#N/A</v>
      </c>
      <c r="I1263" s="6">
        <v>-0.98869501212300503</v>
      </c>
      <c r="J1263" s="6">
        <v>0</v>
      </c>
      <c r="K1263" s="6">
        <v>58.13417559751656</v>
      </c>
      <c r="L1263" t="s">
        <v>17</v>
      </c>
      <c r="M1263" t="s">
        <v>18</v>
      </c>
      <c r="N1263" s="4" t="s">
        <v>4844</v>
      </c>
      <c r="O1263" s="4" t="s">
        <v>4845</v>
      </c>
      <c r="P1263" s="4" t="s">
        <v>233</v>
      </c>
    </row>
    <row r="1264" spans="1:16" x14ac:dyDescent="0.35">
      <c r="A1264" t="s">
        <v>4846</v>
      </c>
      <c r="B1264" t="s">
        <v>4847</v>
      </c>
      <c r="C1264" t="s">
        <v>16</v>
      </c>
      <c r="D1264" s="6">
        <v>6691703.9777999995</v>
      </c>
      <c r="E1264" s="6">
        <v>-34372296.022199996</v>
      </c>
      <c r="F1264" s="6">
        <v>1.71</v>
      </c>
      <c r="G1264" s="6">
        <v>1.71</v>
      </c>
      <c r="H1264" s="6" t="e">
        <v>#N/A</v>
      </c>
      <c r="I1264" s="6">
        <v>-0.78041978218572083</v>
      </c>
      <c r="J1264" s="6">
        <v>408000</v>
      </c>
      <c r="K1264" s="6">
        <v>41.521935607271878</v>
      </c>
      <c r="L1264" t="s">
        <v>17</v>
      </c>
      <c r="M1264" t="s">
        <v>27</v>
      </c>
      <c r="N1264" s="4" t="s">
        <v>4848</v>
      </c>
      <c r="O1264" s="4" t="s">
        <v>4849</v>
      </c>
      <c r="P1264" s="4" t="s">
        <v>233</v>
      </c>
    </row>
    <row r="1265" spans="1:16" x14ac:dyDescent="0.35">
      <c r="A1265" t="s">
        <v>4850</v>
      </c>
      <c r="B1265" t="s">
        <v>4851</v>
      </c>
      <c r="C1265" t="s">
        <v>16</v>
      </c>
      <c r="D1265" s="6">
        <v>10876014.839061469</v>
      </c>
      <c r="E1265" s="6">
        <v>26713014.839061469</v>
      </c>
      <c r="F1265" s="6">
        <v>0.13600000739097595</v>
      </c>
      <c r="G1265" s="6">
        <v>0.12720000743865967</v>
      </c>
      <c r="H1265" s="6">
        <v>0.18196439571229825</v>
      </c>
      <c r="I1265" s="6">
        <v>-0.98468085399396199</v>
      </c>
      <c r="J1265" s="6">
        <v>0</v>
      </c>
      <c r="K1265" s="6" t="e">
        <v>#N/A</v>
      </c>
      <c r="L1265" t="s">
        <v>17</v>
      </c>
      <c r="M1265" t="s">
        <v>18</v>
      </c>
      <c r="N1265" s="4" t="s">
        <v>4852</v>
      </c>
      <c r="O1265" s="4" t="s">
        <v>4853</v>
      </c>
      <c r="P1265" s="4" t="s">
        <v>233</v>
      </c>
    </row>
    <row r="1266" spans="1:16" x14ac:dyDescent="0.35">
      <c r="A1266" t="s">
        <v>4854</v>
      </c>
      <c r="B1266" t="s">
        <v>4855</v>
      </c>
      <c r="C1266" t="s">
        <v>16</v>
      </c>
      <c r="D1266" s="6">
        <v>171066508.25127316</v>
      </c>
      <c r="E1266" s="6">
        <v>199439528.25127316</v>
      </c>
      <c r="F1266" s="6">
        <v>5.6100001335144043</v>
      </c>
      <c r="G1266" s="6">
        <v>5.5</v>
      </c>
      <c r="H1266" s="6" t="e">
        <v>#N/A</v>
      </c>
      <c r="I1266" s="6">
        <v>-0.4086231827199166</v>
      </c>
      <c r="J1266" s="6">
        <v>18511000</v>
      </c>
      <c r="K1266" s="6" t="e">
        <v>#N/A</v>
      </c>
      <c r="L1266" t="s">
        <v>17</v>
      </c>
      <c r="M1266" t="s">
        <v>18</v>
      </c>
      <c r="N1266" s="4" t="s">
        <v>4856</v>
      </c>
      <c r="O1266" s="4" t="s">
        <v>4857</v>
      </c>
      <c r="P1266" s="4" t="s">
        <v>233</v>
      </c>
    </row>
    <row r="1267" spans="1:16" x14ac:dyDescent="0.35">
      <c r="A1267" t="s">
        <v>4858</v>
      </c>
      <c r="B1267" t="s">
        <v>4859</v>
      </c>
      <c r="C1267" t="s">
        <v>16</v>
      </c>
      <c r="D1267" s="6">
        <v>45441225.031527042</v>
      </c>
      <c r="E1267" s="6">
        <v>41940225.031527042</v>
      </c>
      <c r="F1267" s="6">
        <v>2.1800000667572021</v>
      </c>
      <c r="G1267" s="6">
        <v>2.0799999237060547</v>
      </c>
      <c r="H1267" s="6" t="e">
        <v>#N/A</v>
      </c>
      <c r="I1267" s="6">
        <v>4.5957057526455625E-3</v>
      </c>
      <c r="J1267" s="6">
        <v>18056000</v>
      </c>
      <c r="K1267" s="6" t="e">
        <v>#N/A</v>
      </c>
      <c r="L1267" t="s">
        <v>17</v>
      </c>
      <c r="M1267" t="s">
        <v>27</v>
      </c>
      <c r="N1267" s="4" t="s">
        <v>4860</v>
      </c>
      <c r="O1267" s="4" t="s">
        <v>4861</v>
      </c>
      <c r="P1267" s="4" t="s">
        <v>233</v>
      </c>
    </row>
    <row r="1268" spans="1:16" x14ac:dyDescent="0.35">
      <c r="A1268" t="s">
        <v>4862</v>
      </c>
      <c r="B1268" t="s">
        <v>4863</v>
      </c>
      <c r="C1268" t="s">
        <v>16</v>
      </c>
      <c r="D1268" s="6">
        <v>472234407.86405373</v>
      </c>
      <c r="E1268" s="6">
        <v>614127407.86405373</v>
      </c>
      <c r="F1268" s="6">
        <v>8.3900003433227539</v>
      </c>
      <c r="G1268" s="6">
        <v>8.3900003433227539</v>
      </c>
      <c r="H1268" s="6">
        <v>20.451294338532904</v>
      </c>
      <c r="I1268" s="6">
        <v>-0.20380348268460902</v>
      </c>
      <c r="J1268" s="6">
        <v>201068000</v>
      </c>
      <c r="K1268" s="6">
        <v>-87.951931818181819</v>
      </c>
      <c r="L1268" t="s">
        <v>17</v>
      </c>
      <c r="M1268" t="s">
        <v>87</v>
      </c>
      <c r="N1268" s="4" t="s">
        <v>4864</v>
      </c>
      <c r="O1268" s="4" t="s">
        <v>4865</v>
      </c>
      <c r="P1268" s="4" t="s">
        <v>233</v>
      </c>
    </row>
    <row r="1269" spans="1:16" x14ac:dyDescent="0.35">
      <c r="A1269" t="s">
        <v>4866</v>
      </c>
      <c r="B1269" t="s">
        <v>4867</v>
      </c>
      <c r="C1269" t="s">
        <v>16</v>
      </c>
      <c r="D1269" s="6">
        <v>457123880.3374185</v>
      </c>
      <c r="E1269" s="6">
        <v>506175880.3374185</v>
      </c>
      <c r="F1269" s="6">
        <v>3.380000114440918</v>
      </c>
      <c r="G1269" s="6">
        <v>3.369999885559082</v>
      </c>
      <c r="H1269" s="6" t="e">
        <v>#N/A</v>
      </c>
      <c r="I1269" s="6">
        <v>-0.42527454508424867</v>
      </c>
      <c r="J1269" s="6">
        <v>806613000</v>
      </c>
      <c r="K1269" s="6">
        <v>23.999999999999989</v>
      </c>
      <c r="L1269" t="s">
        <v>17</v>
      </c>
      <c r="M1269" t="s">
        <v>40</v>
      </c>
      <c r="N1269" s="4" t="s">
        <v>4868</v>
      </c>
      <c r="O1269" s="4" t="s">
        <v>4869</v>
      </c>
      <c r="P1269" s="4" t="s">
        <v>233</v>
      </c>
    </row>
    <row r="1270" spans="1:16" x14ac:dyDescent="0.35">
      <c r="A1270" t="s">
        <v>4870</v>
      </c>
      <c r="B1270" t="s">
        <v>4871</v>
      </c>
      <c r="C1270" t="s">
        <v>16</v>
      </c>
      <c r="D1270" s="6">
        <v>28545258.974254727</v>
      </c>
      <c r="E1270" s="6">
        <v>24889258.974254727</v>
      </c>
      <c r="F1270" s="6">
        <v>1.4099999666213989</v>
      </c>
      <c r="G1270" s="6">
        <v>1.4099999666213989</v>
      </c>
      <c r="H1270" s="6" t="e">
        <v>#N/A</v>
      </c>
      <c r="I1270" s="6">
        <v>9.2757629311047474E-2</v>
      </c>
      <c r="J1270" s="6">
        <v>316000</v>
      </c>
      <c r="K1270" s="6" t="e">
        <v>#N/A</v>
      </c>
      <c r="L1270" t="s">
        <v>17</v>
      </c>
      <c r="M1270" t="s">
        <v>27</v>
      </c>
      <c r="N1270" s="4" t="s">
        <v>4872</v>
      </c>
      <c r="O1270" s="4" t="s">
        <v>4873</v>
      </c>
      <c r="P1270" s="4" t="s">
        <v>233</v>
      </c>
    </row>
    <row r="1271" spans="1:16" x14ac:dyDescent="0.35">
      <c r="A1271" t="s">
        <v>4874</v>
      </c>
      <c r="B1271" t="s">
        <v>4875</v>
      </c>
      <c r="C1271" t="s">
        <v>16</v>
      </c>
      <c r="D1271" s="6">
        <v>300178750.55089188</v>
      </c>
      <c r="E1271" s="6">
        <v>377777750.55089188</v>
      </c>
      <c r="F1271" s="6">
        <v>4.6599998474121094</v>
      </c>
      <c r="G1271" s="6">
        <v>4.8499999046325684</v>
      </c>
      <c r="H1271" s="6">
        <v>9.3046470272292918</v>
      </c>
      <c r="I1271" s="6">
        <v>-6.3791997783116949E-3</v>
      </c>
      <c r="J1271" s="6">
        <v>193060000</v>
      </c>
      <c r="K1271" s="6" t="e">
        <v>#N/A</v>
      </c>
      <c r="L1271" t="s">
        <v>17</v>
      </c>
      <c r="M1271" t="s">
        <v>87</v>
      </c>
      <c r="N1271" s="4" t="s">
        <v>4876</v>
      </c>
      <c r="O1271" s="4" t="s">
        <v>4877</v>
      </c>
      <c r="P1271" s="4" t="s">
        <v>233</v>
      </c>
    </row>
    <row r="1272" spans="1:16" x14ac:dyDescent="0.35">
      <c r="A1272" t="s">
        <v>4878</v>
      </c>
      <c r="B1272" t="s">
        <v>4879</v>
      </c>
      <c r="C1272" t="s">
        <v>16</v>
      </c>
      <c r="D1272" s="6">
        <v>134657442</v>
      </c>
      <c r="E1272" s="6">
        <v>418951840</v>
      </c>
      <c r="F1272" s="6">
        <v>4.5</v>
      </c>
      <c r="G1272" s="6">
        <v>4.8499999046325684</v>
      </c>
      <c r="H1272" s="6" t="e">
        <v>#N/A</v>
      </c>
      <c r="I1272" s="6">
        <v>-0.22359976994316755</v>
      </c>
      <c r="J1272" s="6">
        <v>1592782000</v>
      </c>
      <c r="K1272" s="6">
        <v>-328.41976768092115</v>
      </c>
      <c r="L1272" t="s">
        <v>17</v>
      </c>
      <c r="M1272" t="s">
        <v>40</v>
      </c>
      <c r="N1272" s="4" t="s">
        <v>4880</v>
      </c>
      <c r="O1272" s="4" t="s">
        <v>4881</v>
      </c>
      <c r="P1272" s="4" t="s">
        <v>233</v>
      </c>
    </row>
    <row r="1273" spans="1:16" x14ac:dyDescent="0.35">
      <c r="A1273" t="s">
        <v>4882</v>
      </c>
      <c r="B1273" t="s">
        <v>4883</v>
      </c>
      <c r="C1273" t="s">
        <v>16</v>
      </c>
      <c r="D1273" s="6">
        <v>66577920.427037224</v>
      </c>
      <c r="E1273" s="6">
        <v>50810665.427037224</v>
      </c>
      <c r="F1273" s="6">
        <v>2.5099999904632568</v>
      </c>
      <c r="G1273" s="6">
        <v>2.3499999046325684</v>
      </c>
      <c r="H1273" s="6" t="e">
        <v>#N/A</v>
      </c>
      <c r="I1273" s="6">
        <v>-0.47397040479443575</v>
      </c>
      <c r="J1273" s="6">
        <v>55180</v>
      </c>
      <c r="K1273" s="6">
        <v>-15.54054054054054</v>
      </c>
      <c r="L1273" t="s">
        <v>17</v>
      </c>
      <c r="M1273" t="s">
        <v>18</v>
      </c>
      <c r="N1273" s="4" t="s">
        <v>4884</v>
      </c>
      <c r="O1273" s="4" t="s">
        <v>4885</v>
      </c>
      <c r="P1273" s="4" t="s">
        <v>233</v>
      </c>
    </row>
    <row r="1274" spans="1:16" x14ac:dyDescent="0.35">
      <c r="A1274" t="s">
        <v>4886</v>
      </c>
      <c r="B1274" t="s">
        <v>4887</v>
      </c>
      <c r="C1274" t="s">
        <v>16</v>
      </c>
      <c r="D1274" s="6">
        <v>40882435.937484384</v>
      </c>
      <c r="E1274" s="6">
        <v>40841633.937484384</v>
      </c>
      <c r="F1274" s="6">
        <v>1.1299999952316284</v>
      </c>
      <c r="G1274" s="6">
        <v>1.160099983215332</v>
      </c>
      <c r="H1274" s="6" t="e">
        <v>#N/A</v>
      </c>
      <c r="I1274" s="6">
        <v>1.7968344518884072E-2</v>
      </c>
      <c r="J1274" s="6">
        <v>0</v>
      </c>
      <c r="K1274" s="6">
        <v>-124.18838117225904</v>
      </c>
      <c r="L1274" t="s">
        <v>17</v>
      </c>
      <c r="M1274" t="s">
        <v>18</v>
      </c>
      <c r="N1274" s="4" t="s">
        <v>4888</v>
      </c>
      <c r="O1274" s="4" t="s">
        <v>4889</v>
      </c>
      <c r="P1274" s="4" t="s">
        <v>233</v>
      </c>
    </row>
    <row r="1275" spans="1:16" x14ac:dyDescent="0.35">
      <c r="A1275" t="s">
        <v>4890</v>
      </c>
      <c r="B1275" t="s">
        <v>4891</v>
      </c>
      <c r="C1275" t="s">
        <v>16</v>
      </c>
      <c r="D1275" s="6">
        <v>37836878.429608338</v>
      </c>
      <c r="E1275" s="6">
        <v>60712878.42960833</v>
      </c>
      <c r="F1275" s="6">
        <v>0.84179997444152832</v>
      </c>
      <c r="G1275" s="6">
        <v>0.51349997520446777</v>
      </c>
      <c r="H1275" s="6" t="e">
        <v>#N/A</v>
      </c>
      <c r="I1275" s="6">
        <v>-0.47944012873579955</v>
      </c>
      <c r="J1275" s="6">
        <v>0</v>
      </c>
      <c r="K1275" s="6">
        <v>-215.25506052371401</v>
      </c>
      <c r="L1275" t="s">
        <v>17</v>
      </c>
      <c r="M1275" t="s">
        <v>18</v>
      </c>
      <c r="N1275" s="4" t="s">
        <v>4892</v>
      </c>
      <c r="O1275" s="4" t="s">
        <v>4893</v>
      </c>
      <c r="P1275" s="4" t="s">
        <v>233</v>
      </c>
    </row>
    <row r="1276" spans="1:16" x14ac:dyDescent="0.35">
      <c r="A1276" t="s">
        <v>4894</v>
      </c>
      <c r="B1276" t="s">
        <v>4895</v>
      </c>
      <c r="C1276" t="s">
        <v>16</v>
      </c>
      <c r="D1276" s="6">
        <v>50712151.080735207</v>
      </c>
      <c r="E1276" s="6">
        <v>-468728007.63008636</v>
      </c>
      <c r="F1276" s="6">
        <v>0.91780000925064087</v>
      </c>
      <c r="G1276" s="6">
        <v>0.94494998455047607</v>
      </c>
      <c r="H1276" s="6" t="e">
        <v>#N/A</v>
      </c>
      <c r="I1276" s="6">
        <v>-0.27951003982222267</v>
      </c>
      <c r="J1276" s="6">
        <v>0</v>
      </c>
      <c r="K1276" s="6">
        <v>83.215510193152525</v>
      </c>
      <c r="L1276" t="s">
        <v>17</v>
      </c>
      <c r="M1276" t="s">
        <v>18</v>
      </c>
      <c r="N1276" s="4" t="s">
        <v>4896</v>
      </c>
      <c r="O1276" s="4" t="s">
        <v>4897</v>
      </c>
      <c r="P1276" s="4" t="s">
        <v>233</v>
      </c>
    </row>
    <row r="1277" spans="1:16" x14ac:dyDescent="0.35">
      <c r="A1277" t="s">
        <v>4898</v>
      </c>
      <c r="B1277" t="s">
        <v>4899</v>
      </c>
      <c r="C1277" t="s">
        <v>16</v>
      </c>
      <c r="D1277" s="6">
        <v>7505564.034081459</v>
      </c>
      <c r="E1277" s="6">
        <v>5782183.034081459</v>
      </c>
      <c r="F1277" s="6">
        <v>10.779999732971191</v>
      </c>
      <c r="G1277" s="6">
        <v>10.510000228881836</v>
      </c>
      <c r="H1277" s="6" t="e">
        <v>#N/A</v>
      </c>
      <c r="I1277" s="6">
        <v>-0.5376307359339727</v>
      </c>
      <c r="J1277" s="6">
        <v>0</v>
      </c>
      <c r="K1277" s="6">
        <v>98.645844454481988</v>
      </c>
      <c r="L1277" t="s">
        <v>17</v>
      </c>
      <c r="M1277" t="s">
        <v>18</v>
      </c>
      <c r="N1277" s="4" t="s">
        <v>13289</v>
      </c>
      <c r="O1277" s="4" t="s">
        <v>13290</v>
      </c>
      <c r="P1277" s="4" t="s">
        <v>233</v>
      </c>
    </row>
    <row r="1278" spans="1:16" x14ac:dyDescent="0.35">
      <c r="A1278" t="s">
        <v>4900</v>
      </c>
      <c r="B1278" t="s">
        <v>4901</v>
      </c>
      <c r="C1278" t="s">
        <v>16</v>
      </c>
      <c r="D1278" s="6">
        <v>24873268.502470016</v>
      </c>
      <c r="E1278" s="6">
        <v>37827268.502470016</v>
      </c>
      <c r="F1278" s="6">
        <v>15.489999771118164</v>
      </c>
      <c r="G1278" s="6">
        <v>15.699999809265137</v>
      </c>
      <c r="H1278" s="6" t="e">
        <v>#N/A</v>
      </c>
      <c r="I1278" s="6">
        <v>4.8552732729445438</v>
      </c>
      <c r="J1278" s="6">
        <v>0</v>
      </c>
      <c r="K1278" s="6">
        <v>90.957639279751916</v>
      </c>
      <c r="L1278" t="s">
        <v>17</v>
      </c>
      <c r="M1278" t="s">
        <v>18</v>
      </c>
      <c r="N1278" s="4" t="s">
        <v>4902</v>
      </c>
      <c r="O1278" s="4" t="s">
        <v>4903</v>
      </c>
      <c r="P1278" s="4" t="s">
        <v>233</v>
      </c>
    </row>
    <row r="1279" spans="1:16" x14ac:dyDescent="0.35">
      <c r="A1279" t="s">
        <v>4904</v>
      </c>
      <c r="B1279" t="s">
        <v>4905</v>
      </c>
      <c r="C1279" t="s">
        <v>16</v>
      </c>
      <c r="D1279" s="6">
        <v>125101254.28788567</v>
      </c>
      <c r="E1279" s="6">
        <v>90093254.287885666</v>
      </c>
      <c r="F1279" s="6">
        <v>19.170000076293945</v>
      </c>
      <c r="G1279" s="6">
        <v>19</v>
      </c>
      <c r="H1279" s="6" t="e">
        <v>#N/A</v>
      </c>
      <c r="I1279" s="6">
        <v>0.63207927436981004</v>
      </c>
      <c r="J1279" s="6">
        <v>0</v>
      </c>
      <c r="K1279" s="6">
        <v>61.837050809543101</v>
      </c>
      <c r="L1279" t="s">
        <v>17</v>
      </c>
      <c r="M1279" t="s">
        <v>18</v>
      </c>
      <c r="N1279" s="4" t="s">
        <v>4906</v>
      </c>
      <c r="O1279" s="4" t="s">
        <v>4907</v>
      </c>
      <c r="P1279" s="4" t="s">
        <v>233</v>
      </c>
    </row>
    <row r="1280" spans="1:16" x14ac:dyDescent="0.35">
      <c r="A1280" t="s">
        <v>4908</v>
      </c>
      <c r="B1280" t="s">
        <v>4909</v>
      </c>
      <c r="C1280" t="s">
        <v>16</v>
      </c>
      <c r="D1280" s="6">
        <v>24711741.717321932</v>
      </c>
      <c r="E1280" s="6">
        <v>-47882258.282678068</v>
      </c>
      <c r="F1280" s="6">
        <v>0.93999999761581421</v>
      </c>
      <c r="G1280" s="6">
        <v>0.90499997138977051</v>
      </c>
      <c r="H1280" s="6" t="e">
        <v>#N/A</v>
      </c>
      <c r="I1280" s="6">
        <v>-0.46194426676801614</v>
      </c>
      <c r="J1280" s="6">
        <v>7345000</v>
      </c>
      <c r="K1280" s="6">
        <v>46.354166666666664</v>
      </c>
      <c r="L1280" t="s">
        <v>17</v>
      </c>
      <c r="M1280" t="s">
        <v>18</v>
      </c>
      <c r="N1280" s="4" t="s">
        <v>233</v>
      </c>
      <c r="O1280" s="4" t="s">
        <v>4910</v>
      </c>
      <c r="P1280" s="4" t="s">
        <v>13158</v>
      </c>
    </row>
    <row r="1281" spans="1:16" x14ac:dyDescent="0.35">
      <c r="A1281" t="s">
        <v>4911</v>
      </c>
      <c r="B1281" t="s">
        <v>4912</v>
      </c>
      <c r="C1281" t="s">
        <v>16</v>
      </c>
      <c r="D1281" s="6">
        <v>2783427358.1115069</v>
      </c>
      <c r="E1281" s="6">
        <v>2623718358.1115069</v>
      </c>
      <c r="F1281" s="6">
        <v>14.520000457763672</v>
      </c>
      <c r="G1281" s="6">
        <v>14.25</v>
      </c>
      <c r="H1281" s="6" t="e">
        <v>#N/A</v>
      </c>
      <c r="I1281" s="6">
        <v>1.0940214943110527</v>
      </c>
      <c r="J1281" s="6">
        <v>2467707000</v>
      </c>
      <c r="K1281" s="6">
        <v>9.4117647058823604</v>
      </c>
      <c r="L1281" t="s">
        <v>17</v>
      </c>
      <c r="M1281" t="s">
        <v>40</v>
      </c>
      <c r="N1281" s="4" t="s">
        <v>4913</v>
      </c>
      <c r="O1281" s="4" t="s">
        <v>4914</v>
      </c>
      <c r="P1281" s="4" t="s">
        <v>233</v>
      </c>
    </row>
    <row r="1282" spans="1:16" x14ac:dyDescent="0.35">
      <c r="A1282" t="s">
        <v>4915</v>
      </c>
      <c r="B1282" t="s">
        <v>4916</v>
      </c>
      <c r="C1282" t="s">
        <v>16</v>
      </c>
      <c r="D1282" s="6">
        <v>2447698200.5708027</v>
      </c>
      <c r="E1282" s="6">
        <v>1959602200.5708027</v>
      </c>
      <c r="F1282" s="6">
        <v>25.850000381469727</v>
      </c>
      <c r="G1282" s="6">
        <v>25.5</v>
      </c>
      <c r="H1282" s="6" t="e">
        <v>#N/A</v>
      </c>
      <c r="I1282" s="6">
        <v>0.36295931853294072</v>
      </c>
      <c r="J1282" s="6">
        <v>0</v>
      </c>
      <c r="K1282" s="6">
        <v>-5.6338028169014134</v>
      </c>
      <c r="L1282" t="s">
        <v>17</v>
      </c>
      <c r="M1282" t="s">
        <v>87</v>
      </c>
      <c r="N1282" s="4" t="s">
        <v>4917</v>
      </c>
      <c r="O1282" s="4" t="s">
        <v>4918</v>
      </c>
      <c r="P1282" s="4" t="s">
        <v>233</v>
      </c>
    </row>
    <row r="1283" spans="1:16" x14ac:dyDescent="0.35">
      <c r="A1283" t="s">
        <v>4919</v>
      </c>
      <c r="B1283" t="s">
        <v>4920</v>
      </c>
      <c r="C1283" t="s">
        <v>16</v>
      </c>
      <c r="D1283" s="6">
        <v>14086834.726826308</v>
      </c>
      <c r="E1283" s="6">
        <v>7581834.7268263083</v>
      </c>
      <c r="F1283" s="6">
        <v>0.89999997615814209</v>
      </c>
      <c r="G1283" s="6">
        <v>0.89999997615814209</v>
      </c>
      <c r="H1283" s="6" t="e">
        <v>#N/A</v>
      </c>
      <c r="I1283" s="6">
        <v>1.1092797197269633E-3</v>
      </c>
      <c r="J1283" s="6" t="e">
        <v>#N/A</v>
      </c>
      <c r="K1283" s="6">
        <v>27.652335402871856</v>
      </c>
      <c r="L1283" t="s">
        <v>17</v>
      </c>
      <c r="M1283" t="s">
        <v>27</v>
      </c>
      <c r="N1283" s="4" t="s">
        <v>233</v>
      </c>
      <c r="O1283" s="4" t="s">
        <v>4921</v>
      </c>
      <c r="P1283" s="4" t="s">
        <v>13159</v>
      </c>
    </row>
    <row r="1284" spans="1:16" x14ac:dyDescent="0.35">
      <c r="A1284" t="s">
        <v>4922</v>
      </c>
      <c r="B1284" t="s">
        <v>4923</v>
      </c>
      <c r="C1284" t="s">
        <v>16</v>
      </c>
      <c r="D1284" s="6">
        <v>208365419.93986195</v>
      </c>
      <c r="E1284" s="6">
        <v>-71098580.060138047</v>
      </c>
      <c r="F1284" s="6">
        <v>3.6800000667572021</v>
      </c>
      <c r="G1284" s="6">
        <v>3.7799999713897705</v>
      </c>
      <c r="H1284" s="6" t="e">
        <v>#N/A</v>
      </c>
      <c r="I1284" s="6">
        <v>0.5315436572630472</v>
      </c>
      <c r="J1284" s="6">
        <v>0</v>
      </c>
      <c r="K1284" s="6">
        <v>-4.3859649122807056</v>
      </c>
      <c r="L1284" t="s">
        <v>17</v>
      </c>
      <c r="M1284" t="s">
        <v>18</v>
      </c>
      <c r="N1284" s="4" t="s">
        <v>4924</v>
      </c>
      <c r="O1284" s="4" t="s">
        <v>4925</v>
      </c>
      <c r="P1284" s="4" t="s">
        <v>233</v>
      </c>
    </row>
    <row r="1285" spans="1:16" x14ac:dyDescent="0.35">
      <c r="A1285" t="s">
        <v>4926</v>
      </c>
      <c r="B1285" t="s">
        <v>4927</v>
      </c>
      <c r="C1285" t="s">
        <v>16</v>
      </c>
      <c r="D1285" s="6">
        <v>79754979.703843102</v>
      </c>
      <c r="E1285" s="6">
        <v>-49884020.296156913</v>
      </c>
      <c r="F1285" s="6">
        <v>1.4600000381469727</v>
      </c>
      <c r="G1285" s="6">
        <v>1.4299999475479126</v>
      </c>
      <c r="H1285" s="6" t="e">
        <v>#N/A</v>
      </c>
      <c r="I1285" s="6">
        <v>6.5508213631500833E-2</v>
      </c>
      <c r="J1285" s="6">
        <v>658000</v>
      </c>
      <c r="K1285" s="6">
        <v>24.07407407407408</v>
      </c>
      <c r="L1285" t="s">
        <v>17</v>
      </c>
      <c r="M1285" t="s">
        <v>87</v>
      </c>
      <c r="N1285" s="4" t="s">
        <v>4928</v>
      </c>
      <c r="O1285" s="4" t="s">
        <v>4929</v>
      </c>
      <c r="P1285" s="4" t="s">
        <v>233</v>
      </c>
    </row>
    <row r="1286" spans="1:16" x14ac:dyDescent="0.35">
      <c r="A1286" t="s">
        <v>4930</v>
      </c>
      <c r="B1286" t="s">
        <v>4931</v>
      </c>
      <c r="C1286" t="s">
        <v>16</v>
      </c>
      <c r="D1286" s="6">
        <v>45793805.659682274</v>
      </c>
      <c r="E1286" s="6">
        <v>512724173.69274521</v>
      </c>
      <c r="F1286" s="6">
        <v>2.4000000953674316</v>
      </c>
      <c r="G1286" s="6">
        <v>2.3199999332427979</v>
      </c>
      <c r="H1286" s="6" t="e">
        <v>#N/A</v>
      </c>
      <c r="I1286" s="6">
        <v>-0.41062311710497901</v>
      </c>
      <c r="J1286" s="6">
        <v>573418256</v>
      </c>
      <c r="K1286" s="6">
        <v>-32.953971335123768</v>
      </c>
      <c r="L1286" t="s">
        <v>17</v>
      </c>
      <c r="M1286" t="s">
        <v>18</v>
      </c>
      <c r="N1286" s="4" t="s">
        <v>233</v>
      </c>
      <c r="O1286" s="4" t="s">
        <v>4932</v>
      </c>
      <c r="P1286" s="4" t="s">
        <v>13160</v>
      </c>
    </row>
    <row r="1287" spans="1:16" x14ac:dyDescent="0.35">
      <c r="A1287" t="s">
        <v>4933</v>
      </c>
      <c r="B1287" t="s">
        <v>4934</v>
      </c>
      <c r="C1287" t="s">
        <v>16</v>
      </c>
      <c r="D1287" s="6">
        <v>8764874.5715206861</v>
      </c>
      <c r="E1287" s="6">
        <v>6700265.5715206861</v>
      </c>
      <c r="F1287" s="6">
        <v>0.29100000858306885</v>
      </c>
      <c r="G1287" s="6">
        <v>0.27000001072883606</v>
      </c>
      <c r="H1287" s="6" t="e">
        <v>#N/A</v>
      </c>
      <c r="I1287" s="6">
        <v>-0.91014496683344581</v>
      </c>
      <c r="J1287" s="6">
        <v>0</v>
      </c>
      <c r="K1287" s="6" t="e">
        <v>#N/A</v>
      </c>
      <c r="L1287" t="s">
        <v>17</v>
      </c>
      <c r="M1287" t="s">
        <v>18</v>
      </c>
      <c r="N1287" s="4" t="s">
        <v>4935</v>
      </c>
      <c r="O1287" s="4" t="s">
        <v>4936</v>
      </c>
      <c r="P1287" s="4" t="s">
        <v>233</v>
      </c>
    </row>
    <row r="1288" spans="1:16" x14ac:dyDescent="0.35">
      <c r="A1288" t="s">
        <v>13451</v>
      </c>
      <c r="B1288" t="s">
        <v>4937</v>
      </c>
      <c r="C1288" t="s">
        <v>16</v>
      </c>
      <c r="D1288" s="6">
        <v>8710024.8582395595</v>
      </c>
      <c r="E1288" s="6">
        <v>11791878.858239559</v>
      </c>
      <c r="F1288" s="6">
        <v>0.32100000977516174</v>
      </c>
      <c r="G1288" s="6">
        <v>0.34000000357627869</v>
      </c>
      <c r="H1288" s="6" t="e">
        <v>#N/A</v>
      </c>
      <c r="I1288" s="6">
        <v>-0.97034765099794407</v>
      </c>
      <c r="J1288" s="6">
        <v>4032168</v>
      </c>
      <c r="K1288" s="6">
        <v>-24.36785873109163</v>
      </c>
      <c r="L1288" t="s">
        <v>17</v>
      </c>
      <c r="M1288" t="s">
        <v>27</v>
      </c>
      <c r="N1288" s="4" t="s">
        <v>13452</v>
      </c>
      <c r="O1288" s="4" t="s">
        <v>13453</v>
      </c>
      <c r="P1288" s="4" t="s">
        <v>233</v>
      </c>
    </row>
    <row r="1289" spans="1:16" x14ac:dyDescent="0.35">
      <c r="A1289" t="s">
        <v>4938</v>
      </c>
      <c r="B1289" t="s">
        <v>4939</v>
      </c>
      <c r="C1289" t="s">
        <v>16</v>
      </c>
      <c r="D1289" s="6">
        <v>28555024.620504376</v>
      </c>
      <c r="E1289" s="6">
        <v>28508016.620504376</v>
      </c>
      <c r="F1289" s="6">
        <v>0.93400001525878906</v>
      </c>
      <c r="G1289" s="6">
        <v>0.93629997968673706</v>
      </c>
      <c r="H1289" s="6" t="e">
        <v>#N/A</v>
      </c>
      <c r="I1289" s="6">
        <v>-3.3037281093034054E-2</v>
      </c>
      <c r="J1289" s="6">
        <v>1021651.0000000001</v>
      </c>
      <c r="K1289" s="6">
        <v>-275.18998778718299</v>
      </c>
      <c r="L1289" t="s">
        <v>17</v>
      </c>
      <c r="M1289" t="s">
        <v>32</v>
      </c>
      <c r="N1289" s="4" t="s">
        <v>4940</v>
      </c>
      <c r="O1289" s="4" t="s">
        <v>4941</v>
      </c>
      <c r="P1289" s="4" t="s">
        <v>233</v>
      </c>
    </row>
    <row r="1290" spans="1:16" x14ac:dyDescent="0.35">
      <c r="A1290" t="s">
        <v>4942</v>
      </c>
      <c r="B1290" t="s">
        <v>4943</v>
      </c>
      <c r="C1290" t="s">
        <v>16</v>
      </c>
      <c r="D1290" s="6">
        <v>1470903679.1448414</v>
      </c>
      <c r="E1290" s="6">
        <v>1034051679.1448414</v>
      </c>
      <c r="F1290" s="6">
        <v>3.5699999332427979</v>
      </c>
      <c r="G1290" s="6">
        <v>3.3499999046325684</v>
      </c>
      <c r="H1290" s="6" t="e">
        <v>#N/A</v>
      </c>
      <c r="I1290" s="6">
        <v>-0.51984124339779147</v>
      </c>
      <c r="J1290" s="6">
        <v>4316363000</v>
      </c>
      <c r="K1290" s="6">
        <v>-118.18181818181819</v>
      </c>
      <c r="L1290" t="s">
        <v>17</v>
      </c>
      <c r="M1290" t="s">
        <v>40</v>
      </c>
      <c r="N1290" s="4" t="s">
        <v>4944</v>
      </c>
      <c r="O1290" s="4" t="s">
        <v>4945</v>
      </c>
      <c r="P1290" s="4" t="s">
        <v>233</v>
      </c>
    </row>
    <row r="1291" spans="1:16" x14ac:dyDescent="0.35">
      <c r="A1291" t="s">
        <v>4946</v>
      </c>
      <c r="B1291" t="s">
        <v>4947</v>
      </c>
      <c r="C1291" t="s">
        <v>16</v>
      </c>
      <c r="D1291" s="6">
        <v>3785821413.3783574</v>
      </c>
      <c r="E1291" s="6">
        <v>11771821413.378357</v>
      </c>
      <c r="F1291" s="6">
        <v>14.699999809265137</v>
      </c>
      <c r="G1291" s="6">
        <v>14.840000152587891</v>
      </c>
      <c r="H1291" s="6">
        <v>2.4963581715764209</v>
      </c>
      <c r="I1291" s="6">
        <v>-7.2248952605793892E-2</v>
      </c>
      <c r="J1291" s="6">
        <v>6409000000</v>
      </c>
      <c r="K1291" s="6">
        <v>120.43478260869568</v>
      </c>
      <c r="L1291" t="s">
        <v>17</v>
      </c>
      <c r="M1291" t="s">
        <v>87</v>
      </c>
      <c r="N1291" s="4" t="s">
        <v>4948</v>
      </c>
      <c r="O1291" s="4" t="s">
        <v>4949</v>
      </c>
      <c r="P1291" s="4" t="s">
        <v>233</v>
      </c>
    </row>
    <row r="1292" spans="1:16" x14ac:dyDescent="0.35">
      <c r="A1292" t="s">
        <v>4950</v>
      </c>
      <c r="B1292" t="s">
        <v>4951</v>
      </c>
      <c r="C1292" t="s">
        <v>16</v>
      </c>
      <c r="D1292" s="6">
        <v>72699820.105708122</v>
      </c>
      <c r="E1292" s="6">
        <v>-3303179.8942918777</v>
      </c>
      <c r="F1292" s="6">
        <v>5.4499998092651367</v>
      </c>
      <c r="G1292" s="6">
        <v>5.5</v>
      </c>
      <c r="H1292" s="6" t="e">
        <v>#N/A</v>
      </c>
      <c r="I1292" s="6">
        <v>-0.67841377642871836</v>
      </c>
      <c r="J1292" s="6">
        <v>0</v>
      </c>
      <c r="K1292" s="6">
        <v>48.737352941176482</v>
      </c>
      <c r="L1292" t="s">
        <v>17</v>
      </c>
      <c r="M1292" t="s">
        <v>18</v>
      </c>
      <c r="N1292" s="4" t="s">
        <v>4952</v>
      </c>
      <c r="O1292" s="4" t="s">
        <v>4953</v>
      </c>
      <c r="P1292" s="4" t="s">
        <v>233</v>
      </c>
    </row>
    <row r="1293" spans="1:16" x14ac:dyDescent="0.35">
      <c r="A1293" t="s">
        <v>4954</v>
      </c>
      <c r="B1293" t="s">
        <v>4955</v>
      </c>
      <c r="C1293" t="s">
        <v>16</v>
      </c>
      <c r="D1293" s="6">
        <v>3258622206.819458</v>
      </c>
      <c r="E1293" s="6">
        <v>2921600206.819458</v>
      </c>
      <c r="F1293" s="6">
        <v>8.3400001525878906</v>
      </c>
      <c r="G1293" s="6">
        <v>7.429999828338623</v>
      </c>
      <c r="H1293" s="6" t="e">
        <v>#N/A</v>
      </c>
      <c r="I1293" s="6">
        <v>-0.23709451982197416</v>
      </c>
      <c r="J1293" s="6">
        <v>65184000</v>
      </c>
      <c r="K1293" s="6">
        <v>-6.1643835616438105</v>
      </c>
      <c r="L1293" t="s">
        <v>17</v>
      </c>
      <c r="M1293" t="s">
        <v>18</v>
      </c>
      <c r="N1293" s="4" t="s">
        <v>4956</v>
      </c>
      <c r="O1293" s="4" t="s">
        <v>4957</v>
      </c>
      <c r="P1293" s="4" t="s">
        <v>233</v>
      </c>
    </row>
    <row r="1294" spans="1:16" x14ac:dyDescent="0.35">
      <c r="A1294" t="s">
        <v>4958</v>
      </c>
      <c r="B1294" t="s">
        <v>4959</v>
      </c>
      <c r="C1294" t="s">
        <v>16</v>
      </c>
      <c r="D1294" s="6">
        <v>48668118.964100361</v>
      </c>
      <c r="E1294" s="6">
        <v>51351049.964100361</v>
      </c>
      <c r="F1294" s="6">
        <v>3.7400000095367432</v>
      </c>
      <c r="G1294" s="6">
        <v>3.809999942779541</v>
      </c>
      <c r="H1294" s="6" t="e">
        <v>#N/A</v>
      </c>
      <c r="I1294" s="6">
        <v>-0.5003843949401805</v>
      </c>
      <c r="J1294" s="6">
        <v>0</v>
      </c>
      <c r="K1294" s="6">
        <v>-100</v>
      </c>
      <c r="L1294" t="s">
        <v>17</v>
      </c>
      <c r="M1294" t="s">
        <v>87</v>
      </c>
      <c r="N1294" s="4" t="s">
        <v>233</v>
      </c>
      <c r="O1294" s="4" t="s">
        <v>4960</v>
      </c>
      <c r="P1294" s="4" t="s">
        <v>13161</v>
      </c>
    </row>
    <row r="1295" spans="1:16" x14ac:dyDescent="0.35">
      <c r="A1295" t="s">
        <v>4961</v>
      </c>
      <c r="B1295" t="s">
        <v>4962</v>
      </c>
      <c r="C1295" t="s">
        <v>16</v>
      </c>
      <c r="D1295" s="6">
        <v>111021985.1126733</v>
      </c>
      <c r="E1295" s="6">
        <v>156645985.11267331</v>
      </c>
      <c r="F1295" s="6">
        <v>2.2400000095367432</v>
      </c>
      <c r="G1295" s="6">
        <v>2.25</v>
      </c>
      <c r="H1295" s="6" t="e">
        <v>#N/A</v>
      </c>
      <c r="I1295" s="6">
        <v>-0.61997537422653348</v>
      </c>
      <c r="J1295" s="6">
        <v>86815000</v>
      </c>
      <c r="K1295" s="6">
        <v>32.95454545454546</v>
      </c>
      <c r="L1295" t="s">
        <v>17</v>
      </c>
      <c r="M1295" t="s">
        <v>100</v>
      </c>
      <c r="N1295" s="4" t="s">
        <v>4963</v>
      </c>
      <c r="O1295" s="4" t="s">
        <v>4964</v>
      </c>
      <c r="P1295" s="4" t="s">
        <v>233</v>
      </c>
    </row>
    <row r="1296" spans="1:16" x14ac:dyDescent="0.35">
      <c r="A1296" t="s">
        <v>4965</v>
      </c>
      <c r="B1296" t="s">
        <v>4966</v>
      </c>
      <c r="C1296" t="s">
        <v>16</v>
      </c>
      <c r="D1296" s="6">
        <v>126110631.4511981</v>
      </c>
      <c r="E1296" s="6">
        <v>-40459368.548801929</v>
      </c>
      <c r="F1296" s="6">
        <v>3.4800000190734863</v>
      </c>
      <c r="G1296" s="6">
        <v>3.4000000953674316</v>
      </c>
      <c r="H1296" s="6" t="e">
        <v>#N/A</v>
      </c>
      <c r="I1296" s="6">
        <v>-0.80438773832247512</v>
      </c>
      <c r="J1296" s="6">
        <v>0</v>
      </c>
      <c r="K1296" s="6">
        <v>-22.857142857142865</v>
      </c>
      <c r="L1296" t="s">
        <v>17</v>
      </c>
      <c r="M1296" t="s">
        <v>18</v>
      </c>
      <c r="N1296" s="4" t="s">
        <v>4967</v>
      </c>
      <c r="O1296" s="4" t="s">
        <v>4968</v>
      </c>
      <c r="P1296" s="4" t="s">
        <v>233</v>
      </c>
    </row>
    <row r="1297" spans="1:16" x14ac:dyDescent="0.35">
      <c r="A1297" t="s">
        <v>4969</v>
      </c>
      <c r="B1297" t="s">
        <v>4970</v>
      </c>
      <c r="C1297" t="s">
        <v>16</v>
      </c>
      <c r="D1297" s="6">
        <v>611757286.94844055</v>
      </c>
      <c r="E1297" s="6">
        <v>599284286.94844055</v>
      </c>
      <c r="F1297" s="6">
        <v>9.8199996948242188</v>
      </c>
      <c r="G1297" s="6">
        <v>9.7899999618530273</v>
      </c>
      <c r="H1297" s="6" t="e">
        <v>#N/A</v>
      </c>
      <c r="I1297" s="6">
        <v>-0.38002079751673967</v>
      </c>
      <c r="J1297" s="6">
        <v>202861000</v>
      </c>
      <c r="K1297" s="6">
        <v>-25.316455696202539</v>
      </c>
      <c r="L1297" t="s">
        <v>17</v>
      </c>
      <c r="M1297" t="s">
        <v>27</v>
      </c>
      <c r="N1297" s="4" t="s">
        <v>4971</v>
      </c>
      <c r="O1297" s="4" t="s">
        <v>4972</v>
      </c>
      <c r="P1297" s="4" t="s">
        <v>233</v>
      </c>
    </row>
    <row r="1298" spans="1:16" x14ac:dyDescent="0.35">
      <c r="A1298" t="s">
        <v>4973</v>
      </c>
      <c r="B1298" t="s">
        <v>4974</v>
      </c>
      <c r="C1298" t="s">
        <v>16</v>
      </c>
      <c r="D1298" s="6">
        <v>904293795.19070005</v>
      </c>
      <c r="E1298" s="6">
        <v>2158902795.1907001</v>
      </c>
      <c r="F1298" s="6">
        <v>4.679999828338623</v>
      </c>
      <c r="G1298" s="6">
        <v>4.75</v>
      </c>
      <c r="H1298" s="6" t="e">
        <v>#N/A</v>
      </c>
      <c r="I1298" s="6">
        <v>0.85400433971034451</v>
      </c>
      <c r="J1298" s="6">
        <v>1983475000</v>
      </c>
      <c r="K1298" s="6">
        <v>81.621621621621628</v>
      </c>
      <c r="L1298" t="s">
        <v>17</v>
      </c>
      <c r="M1298" t="s">
        <v>40</v>
      </c>
      <c r="N1298" s="4" t="s">
        <v>4975</v>
      </c>
      <c r="O1298" s="4" t="s">
        <v>4976</v>
      </c>
      <c r="P1298" s="4" t="s">
        <v>233</v>
      </c>
    </row>
    <row r="1299" spans="1:16" x14ac:dyDescent="0.35">
      <c r="A1299" t="s">
        <v>4977</v>
      </c>
      <c r="B1299" t="s">
        <v>4978</v>
      </c>
      <c r="C1299" t="s">
        <v>16</v>
      </c>
      <c r="D1299" s="6">
        <v>59162014.990887165</v>
      </c>
      <c r="E1299" s="6">
        <v>57757803.990887165</v>
      </c>
      <c r="F1299" s="6">
        <v>1.440000057220459</v>
      </c>
      <c r="G1299" s="6">
        <v>1.4099999666213989</v>
      </c>
      <c r="H1299" s="6" t="e">
        <v>#N/A</v>
      </c>
      <c r="I1299" s="6">
        <v>-0.41377700963103525</v>
      </c>
      <c r="J1299" s="6">
        <v>0</v>
      </c>
      <c r="K1299" s="6">
        <v>34.323156341537107</v>
      </c>
      <c r="L1299" t="s">
        <v>17</v>
      </c>
      <c r="M1299" t="s">
        <v>87</v>
      </c>
      <c r="N1299" s="4" t="s">
        <v>4979</v>
      </c>
      <c r="O1299" s="4" t="s">
        <v>4980</v>
      </c>
      <c r="P1299" s="4" t="s">
        <v>233</v>
      </c>
    </row>
    <row r="1300" spans="1:16" x14ac:dyDescent="0.35">
      <c r="A1300" t="s">
        <v>4981</v>
      </c>
      <c r="B1300" t="s">
        <v>4982</v>
      </c>
      <c r="C1300" t="s">
        <v>16</v>
      </c>
      <c r="D1300" s="6">
        <v>2896832636.4569855</v>
      </c>
      <c r="E1300" s="6">
        <v>2528308636.4569855</v>
      </c>
      <c r="F1300" s="6">
        <v>24.139999389648438</v>
      </c>
      <c r="G1300" s="6">
        <v>23.620000839233398</v>
      </c>
      <c r="H1300" s="6">
        <v>241.39999389648438</v>
      </c>
      <c r="I1300" s="6">
        <v>0.11570777644907682</v>
      </c>
      <c r="J1300" s="6">
        <v>1716318000</v>
      </c>
      <c r="K1300" s="6">
        <v>-66.198879646501737</v>
      </c>
      <c r="L1300" t="s">
        <v>17</v>
      </c>
      <c r="M1300" t="s">
        <v>40</v>
      </c>
      <c r="N1300" s="4" t="s">
        <v>4983</v>
      </c>
      <c r="O1300" s="4" t="s">
        <v>4984</v>
      </c>
      <c r="P1300" s="4" t="s">
        <v>233</v>
      </c>
    </row>
    <row r="1301" spans="1:16" x14ac:dyDescent="0.35">
      <c r="A1301" t="s">
        <v>4985</v>
      </c>
      <c r="B1301" t="s">
        <v>4986</v>
      </c>
      <c r="C1301" t="s">
        <v>16</v>
      </c>
      <c r="D1301" s="6">
        <v>89384728.661487564</v>
      </c>
      <c r="E1301" s="6">
        <v>229877728.66148758</v>
      </c>
      <c r="F1301" s="6">
        <v>3.6800000667572021</v>
      </c>
      <c r="G1301" s="6">
        <v>3.7899999618530273</v>
      </c>
      <c r="H1301" s="6" t="e">
        <v>#N/A</v>
      </c>
      <c r="I1301" s="6">
        <v>-0.87308626613559481</v>
      </c>
      <c r="J1301" s="6">
        <v>33491999.999999996</v>
      </c>
      <c r="K1301" s="6">
        <v>53.318077803203657</v>
      </c>
      <c r="L1301" t="s">
        <v>17</v>
      </c>
      <c r="M1301" t="s">
        <v>18</v>
      </c>
      <c r="N1301" s="4" t="s">
        <v>4987</v>
      </c>
      <c r="O1301" s="4" t="s">
        <v>4988</v>
      </c>
      <c r="P1301" s="4" t="s">
        <v>233</v>
      </c>
    </row>
    <row r="1302" spans="1:16" x14ac:dyDescent="0.35">
      <c r="A1302" t="s">
        <v>4989</v>
      </c>
      <c r="B1302" t="s">
        <v>4990</v>
      </c>
      <c r="C1302" t="s">
        <v>16</v>
      </c>
      <c r="D1302" s="6">
        <v>42642161.058109291</v>
      </c>
      <c r="E1302" s="6">
        <v>-86260838.941890717</v>
      </c>
      <c r="F1302" s="6">
        <v>1.059999942779541</v>
      </c>
      <c r="G1302" s="6">
        <v>1.0700000524520874</v>
      </c>
      <c r="H1302" s="6" t="e">
        <v>#N/A</v>
      </c>
      <c r="I1302" s="6">
        <v>-0.58210615505138985</v>
      </c>
      <c r="J1302" s="6">
        <v>802000</v>
      </c>
      <c r="K1302" s="6" t="e">
        <v>#N/A</v>
      </c>
      <c r="L1302" t="s">
        <v>17</v>
      </c>
      <c r="M1302" t="s">
        <v>18</v>
      </c>
      <c r="N1302" s="4" t="s">
        <v>4991</v>
      </c>
      <c r="O1302" s="4" t="s">
        <v>4992</v>
      </c>
      <c r="P1302" s="4" t="s">
        <v>233</v>
      </c>
    </row>
    <row r="1303" spans="1:16" x14ac:dyDescent="0.35">
      <c r="A1303" t="s">
        <v>4993</v>
      </c>
      <c r="B1303" t="s">
        <v>4994</v>
      </c>
      <c r="C1303" t="s">
        <v>16</v>
      </c>
      <c r="D1303" s="6">
        <v>67735991.710025311</v>
      </c>
      <c r="E1303" s="6">
        <v>-54007008.289974689</v>
      </c>
      <c r="F1303" s="6">
        <v>1.5199999809265137</v>
      </c>
      <c r="G1303" s="6">
        <v>1.5199999809265137</v>
      </c>
      <c r="H1303" s="6" t="e">
        <v>#N/A</v>
      </c>
      <c r="I1303" s="6">
        <v>-0.7506870061008295</v>
      </c>
      <c r="J1303" s="6">
        <v>19943000</v>
      </c>
      <c r="K1303" s="6">
        <v>43.548387096774192</v>
      </c>
      <c r="L1303" t="s">
        <v>17</v>
      </c>
      <c r="M1303" t="s">
        <v>18</v>
      </c>
      <c r="N1303" s="4" t="s">
        <v>4995</v>
      </c>
      <c r="O1303" s="4" t="s">
        <v>4996</v>
      </c>
      <c r="P1303" s="4" t="s">
        <v>233</v>
      </c>
    </row>
    <row r="1304" spans="1:16" x14ac:dyDescent="0.35">
      <c r="A1304" t="s">
        <v>4997</v>
      </c>
      <c r="B1304" t="s">
        <v>4998</v>
      </c>
      <c r="C1304" t="s">
        <v>16</v>
      </c>
      <c r="D1304" s="6">
        <v>1810990.5435732603</v>
      </c>
      <c r="E1304" s="6">
        <v>-14438381.456426742</v>
      </c>
      <c r="F1304" s="6">
        <v>1.4299999475479126</v>
      </c>
      <c r="G1304" s="6">
        <v>1.4099999666213989</v>
      </c>
      <c r="H1304" s="6" t="e">
        <v>#N/A</v>
      </c>
      <c r="I1304" s="6">
        <v>-0.75750651889983267</v>
      </c>
      <c r="J1304" s="6" t="e">
        <v>#N/A</v>
      </c>
      <c r="K1304" s="6">
        <v>-14.909090909090899</v>
      </c>
      <c r="L1304" t="s">
        <v>17</v>
      </c>
      <c r="M1304" t="s">
        <v>18</v>
      </c>
      <c r="N1304" s="4" t="s">
        <v>4999</v>
      </c>
      <c r="O1304" s="4" t="s">
        <v>5000</v>
      </c>
      <c r="P1304" s="4" t="s">
        <v>233</v>
      </c>
    </row>
    <row r="1305" spans="1:16" x14ac:dyDescent="0.35">
      <c r="A1305" t="s">
        <v>5001</v>
      </c>
      <c r="B1305" t="s">
        <v>5002</v>
      </c>
      <c r="C1305" t="s">
        <v>16</v>
      </c>
      <c r="D1305" s="6">
        <v>339251718.56174475</v>
      </c>
      <c r="E1305" s="6">
        <v>57617718.561744809</v>
      </c>
      <c r="F1305" s="6">
        <v>13.229999542236328</v>
      </c>
      <c r="G1305" s="6">
        <v>12.659999847412109</v>
      </c>
      <c r="H1305" s="6" t="e">
        <v>#N/A</v>
      </c>
      <c r="I1305" s="6">
        <v>-0.64353997931613116</v>
      </c>
      <c r="J1305" s="6">
        <v>0</v>
      </c>
      <c r="K1305" s="6">
        <v>99.078310890312466</v>
      </c>
      <c r="L1305" t="s">
        <v>17</v>
      </c>
      <c r="M1305" t="s">
        <v>18</v>
      </c>
      <c r="N1305" s="4" t="s">
        <v>5003</v>
      </c>
      <c r="O1305" s="4" t="s">
        <v>5004</v>
      </c>
      <c r="P1305" s="4" t="s">
        <v>233</v>
      </c>
    </row>
    <row r="1306" spans="1:16" x14ac:dyDescent="0.35">
      <c r="A1306" t="s">
        <v>5005</v>
      </c>
      <c r="B1306" t="s">
        <v>5006</v>
      </c>
      <c r="C1306" t="s">
        <v>16</v>
      </c>
      <c r="D1306" s="6">
        <v>146488825.8907747</v>
      </c>
      <c r="E1306" s="6">
        <v>-23352174.109225273</v>
      </c>
      <c r="F1306" s="6">
        <v>4.5500001907348633</v>
      </c>
      <c r="G1306" s="6">
        <v>4.6599998474121094</v>
      </c>
      <c r="H1306" s="6" t="e">
        <v>#N/A</v>
      </c>
      <c r="I1306" s="6">
        <v>-0.43108158073677771</v>
      </c>
      <c r="J1306" s="6" t="e">
        <v>#N/A</v>
      </c>
      <c r="K1306" s="6">
        <v>96.052125791523267</v>
      </c>
      <c r="L1306" t="s">
        <v>17</v>
      </c>
      <c r="M1306" t="s">
        <v>18</v>
      </c>
      <c r="N1306" s="4" t="s">
        <v>5007</v>
      </c>
      <c r="O1306" s="4" t="s">
        <v>5008</v>
      </c>
      <c r="P1306" s="4" t="s">
        <v>233</v>
      </c>
    </row>
    <row r="1307" spans="1:16" x14ac:dyDescent="0.35">
      <c r="A1307" t="s">
        <v>5009</v>
      </c>
      <c r="B1307" t="s">
        <v>5010</v>
      </c>
      <c r="C1307" t="s">
        <v>16</v>
      </c>
      <c r="D1307" s="6">
        <v>427896101.79855824</v>
      </c>
      <c r="E1307" s="6">
        <v>328637101.79855824</v>
      </c>
      <c r="F1307" s="6">
        <v>2.5499999523162842</v>
      </c>
      <c r="G1307" s="6">
        <v>2.2000000476837158</v>
      </c>
      <c r="H1307" s="6" t="e">
        <v>#N/A</v>
      </c>
      <c r="I1307" s="6">
        <v>0.35525376579558743</v>
      </c>
      <c r="J1307" s="6">
        <v>331000</v>
      </c>
      <c r="K1307" s="6">
        <v>-92.857142857142875</v>
      </c>
      <c r="L1307" t="s">
        <v>17</v>
      </c>
      <c r="M1307" t="s">
        <v>87</v>
      </c>
      <c r="N1307" s="4" t="s">
        <v>233</v>
      </c>
      <c r="O1307" s="4" t="s">
        <v>5011</v>
      </c>
      <c r="P1307" s="4" t="s">
        <v>13162</v>
      </c>
    </row>
    <row r="1308" spans="1:16" x14ac:dyDescent="0.35">
      <c r="A1308" t="s">
        <v>5012</v>
      </c>
      <c r="B1308" t="s">
        <v>5013</v>
      </c>
      <c r="C1308" t="s">
        <v>16</v>
      </c>
      <c r="D1308" s="6">
        <v>2373218568</v>
      </c>
      <c r="E1308" s="6">
        <v>1939489568</v>
      </c>
      <c r="F1308" s="6">
        <v>18</v>
      </c>
      <c r="G1308" s="6">
        <v>16.950000762939453</v>
      </c>
      <c r="H1308" s="6" t="e">
        <v>#N/A</v>
      </c>
      <c r="I1308" s="6">
        <v>0.87178243264595046</v>
      </c>
      <c r="J1308" s="6">
        <v>6853000</v>
      </c>
      <c r="K1308" s="6">
        <v>6.7073170731707386</v>
      </c>
      <c r="L1308" t="s">
        <v>17</v>
      </c>
      <c r="M1308" t="s">
        <v>18</v>
      </c>
      <c r="N1308" s="4" t="s">
        <v>5014</v>
      </c>
      <c r="O1308" s="4" t="s">
        <v>5015</v>
      </c>
      <c r="P1308" s="4" t="s">
        <v>233</v>
      </c>
    </row>
    <row r="1309" spans="1:16" x14ac:dyDescent="0.35">
      <c r="A1309" t="s">
        <v>5016</v>
      </c>
      <c r="B1309" t="s">
        <v>5017</v>
      </c>
      <c r="C1309" t="s">
        <v>16</v>
      </c>
      <c r="D1309" s="6">
        <v>2187811432.8383441</v>
      </c>
      <c r="E1309" s="6">
        <v>2080792432.8383441</v>
      </c>
      <c r="F1309" s="6">
        <v>34.549999237060547</v>
      </c>
      <c r="G1309" s="6">
        <v>33.220001220703125</v>
      </c>
      <c r="H1309" s="6" t="e">
        <v>#N/A</v>
      </c>
      <c r="I1309" s="6">
        <v>-0.22979009975120701</v>
      </c>
      <c r="J1309" s="6">
        <v>0</v>
      </c>
      <c r="K1309" s="6">
        <v>32.835820895522389</v>
      </c>
      <c r="L1309" t="s">
        <v>17</v>
      </c>
      <c r="M1309" t="s">
        <v>18</v>
      </c>
      <c r="N1309" s="4" t="s">
        <v>5018</v>
      </c>
      <c r="O1309" s="4" t="s">
        <v>5019</v>
      </c>
      <c r="P1309" s="4" t="s">
        <v>233</v>
      </c>
    </row>
    <row r="1310" spans="1:16" x14ac:dyDescent="0.35">
      <c r="A1310" t="s">
        <v>5020</v>
      </c>
      <c r="B1310" t="s">
        <v>5021</v>
      </c>
      <c r="C1310" t="s">
        <v>16</v>
      </c>
      <c r="D1310" s="6">
        <v>112611947.74120188</v>
      </c>
      <c r="E1310" s="6">
        <v>13000947.741201878</v>
      </c>
      <c r="F1310" s="6">
        <v>2.1099998950958252</v>
      </c>
      <c r="G1310" s="6">
        <v>2.0999999046325684</v>
      </c>
      <c r="H1310" s="6" t="e">
        <v>#N/A</v>
      </c>
      <c r="I1310" s="6">
        <v>-0.64377520783253273</v>
      </c>
      <c r="J1310" s="6">
        <v>21049000</v>
      </c>
      <c r="K1310" s="6">
        <v>50.545454545454547</v>
      </c>
      <c r="L1310" t="s">
        <v>17</v>
      </c>
      <c r="M1310" t="s">
        <v>18</v>
      </c>
      <c r="N1310" s="4" t="s">
        <v>5022</v>
      </c>
      <c r="O1310" s="4" t="s">
        <v>5023</v>
      </c>
      <c r="P1310" s="4" t="s">
        <v>233</v>
      </c>
    </row>
    <row r="1311" spans="1:16" x14ac:dyDescent="0.35">
      <c r="A1311" t="s">
        <v>5024</v>
      </c>
      <c r="B1311" t="s">
        <v>5025</v>
      </c>
      <c r="C1311" t="s">
        <v>16</v>
      </c>
      <c r="D1311" s="6">
        <v>1223265557.7609425</v>
      </c>
      <c r="E1311" s="6">
        <v>667497557.76094246</v>
      </c>
      <c r="F1311" s="6">
        <v>12.130000114440918</v>
      </c>
      <c r="G1311" s="6">
        <v>11.689999580383301</v>
      </c>
      <c r="H1311" s="6" t="e">
        <v>#N/A</v>
      </c>
      <c r="I1311" s="6">
        <v>-0.22733455089969778</v>
      </c>
      <c r="J1311" s="6" t="e">
        <v>#N/A</v>
      </c>
      <c r="K1311" s="6">
        <v>55.535467158878291</v>
      </c>
      <c r="L1311" t="s">
        <v>17</v>
      </c>
      <c r="M1311" t="s">
        <v>18</v>
      </c>
      <c r="N1311" s="4" t="s">
        <v>5026</v>
      </c>
      <c r="O1311" s="4" t="s">
        <v>5027</v>
      </c>
      <c r="P1311" s="4" t="s">
        <v>233</v>
      </c>
    </row>
    <row r="1312" spans="1:16" x14ac:dyDescent="0.35">
      <c r="A1312" t="s">
        <v>5028</v>
      </c>
      <c r="B1312" t="s">
        <v>5029</v>
      </c>
      <c r="C1312" t="s">
        <v>16</v>
      </c>
      <c r="D1312" s="6">
        <v>19559301.771145821</v>
      </c>
      <c r="E1312" s="6">
        <v>21299301.771145817</v>
      </c>
      <c r="F1312" s="6">
        <v>4.0500001907348633</v>
      </c>
      <c r="G1312" s="6">
        <v>4</v>
      </c>
      <c r="H1312" s="6" t="e">
        <v>#N/A</v>
      </c>
      <c r="I1312" s="6">
        <v>-6.8997116547597992E-2</v>
      </c>
      <c r="J1312" s="6">
        <v>2561000</v>
      </c>
      <c r="K1312" s="6">
        <v>28.251121076233176</v>
      </c>
      <c r="L1312" t="s">
        <v>17</v>
      </c>
      <c r="M1312" t="s">
        <v>18</v>
      </c>
      <c r="N1312" s="4" t="s">
        <v>5030</v>
      </c>
      <c r="O1312" s="4" t="s">
        <v>5031</v>
      </c>
      <c r="P1312" s="4" t="s">
        <v>233</v>
      </c>
    </row>
    <row r="1313" spans="1:16" x14ac:dyDescent="0.35">
      <c r="A1313" t="s">
        <v>5032</v>
      </c>
      <c r="B1313" t="s">
        <v>5033</v>
      </c>
      <c r="C1313" t="s">
        <v>16</v>
      </c>
      <c r="D1313" s="6">
        <v>50461405.811523438</v>
      </c>
      <c r="E1313" s="6">
        <v>-12879594.188476555</v>
      </c>
      <c r="F1313" s="6">
        <v>19.889999389648438</v>
      </c>
      <c r="G1313" s="6">
        <v>19.930000305175781</v>
      </c>
      <c r="H1313" s="6" t="e">
        <v>#N/A</v>
      </c>
      <c r="I1313" s="6">
        <v>0.29804015604824663</v>
      </c>
      <c r="J1313" s="6">
        <v>2666000</v>
      </c>
      <c r="K1313" s="6">
        <v>8.6253541666667193</v>
      </c>
      <c r="L1313" t="s">
        <v>17</v>
      </c>
      <c r="M1313" t="s">
        <v>100</v>
      </c>
      <c r="N1313" s="4" t="s">
        <v>5034</v>
      </c>
      <c r="O1313" s="4" t="s">
        <v>5035</v>
      </c>
      <c r="P1313" s="4" t="s">
        <v>233</v>
      </c>
    </row>
    <row r="1314" spans="1:16" x14ac:dyDescent="0.35">
      <c r="A1314" t="s">
        <v>5036</v>
      </c>
      <c r="B1314" t="s">
        <v>5037</v>
      </c>
      <c r="C1314" t="s">
        <v>16</v>
      </c>
      <c r="D1314" s="6">
        <v>30225978.961072441</v>
      </c>
      <c r="E1314" s="6">
        <v>29852293.961072441</v>
      </c>
      <c r="F1314" s="6">
        <v>1.3200000524520874</v>
      </c>
      <c r="G1314" s="6">
        <v>1.25</v>
      </c>
      <c r="H1314" s="6" t="e">
        <v>#N/A</v>
      </c>
      <c r="I1314" s="6">
        <v>0.19940242079884074</v>
      </c>
      <c r="J1314" s="6">
        <v>1260643</v>
      </c>
      <c r="K1314" s="6">
        <v>15.306418731397409</v>
      </c>
      <c r="L1314" t="s">
        <v>17</v>
      </c>
      <c r="M1314" t="s">
        <v>27</v>
      </c>
      <c r="N1314" s="4" t="s">
        <v>5038</v>
      </c>
      <c r="O1314" s="4" t="s">
        <v>5039</v>
      </c>
      <c r="P1314" s="4" t="s">
        <v>233</v>
      </c>
    </row>
    <row r="1315" spans="1:16" x14ac:dyDescent="0.35">
      <c r="A1315" t="s">
        <v>5040</v>
      </c>
      <c r="B1315" t="s">
        <v>5041</v>
      </c>
      <c r="C1315" t="s">
        <v>16</v>
      </c>
      <c r="D1315" s="6">
        <v>3285730.0664801598</v>
      </c>
      <c r="E1315" s="6">
        <v>3162810.0664801598</v>
      </c>
      <c r="F1315" s="6">
        <v>1.309999942779541</v>
      </c>
      <c r="G1315" s="6">
        <v>1.2599999904632568</v>
      </c>
      <c r="H1315" s="6" t="e">
        <v>#N/A</v>
      </c>
      <c r="I1315" s="6">
        <v>-0.77854851903287581</v>
      </c>
      <c r="J1315" s="6">
        <v>0</v>
      </c>
      <c r="K1315" s="6" t="e">
        <v>#N/A</v>
      </c>
      <c r="L1315" t="s">
        <v>17</v>
      </c>
      <c r="M1315" t="s">
        <v>18</v>
      </c>
      <c r="N1315" s="4" t="s">
        <v>5042</v>
      </c>
      <c r="O1315" s="4" t="s">
        <v>5043</v>
      </c>
      <c r="P1315" s="4" t="s">
        <v>233</v>
      </c>
    </row>
    <row r="1316" spans="1:16" x14ac:dyDescent="0.35">
      <c r="A1316" t="s">
        <v>5044</v>
      </c>
      <c r="B1316" t="s">
        <v>5045</v>
      </c>
      <c r="C1316" t="s">
        <v>16</v>
      </c>
      <c r="D1316" s="6">
        <v>3007551205.6479645</v>
      </c>
      <c r="E1316" s="6">
        <v>3436844205.6479645</v>
      </c>
      <c r="F1316" s="6">
        <v>7.8600001335144043</v>
      </c>
      <c r="G1316" s="6">
        <v>7.820000171661377</v>
      </c>
      <c r="H1316" s="6" t="e">
        <v>#N/A</v>
      </c>
      <c r="I1316" s="6">
        <v>0.12410319617613785</v>
      </c>
      <c r="J1316" s="6">
        <v>1055665000</v>
      </c>
      <c r="K1316" s="6">
        <v>16.393442622950818</v>
      </c>
      <c r="L1316" t="s">
        <v>17</v>
      </c>
      <c r="M1316" t="s">
        <v>40</v>
      </c>
      <c r="N1316" s="4" t="s">
        <v>5046</v>
      </c>
      <c r="O1316" s="4" t="s">
        <v>5047</v>
      </c>
      <c r="P1316" s="4" t="s">
        <v>233</v>
      </c>
    </row>
    <row r="1317" spans="1:16" x14ac:dyDescent="0.35">
      <c r="A1317" t="s">
        <v>5048</v>
      </c>
      <c r="B1317" t="s">
        <v>5049</v>
      </c>
      <c r="C1317" t="s">
        <v>16</v>
      </c>
      <c r="D1317" s="6">
        <v>60736078.837831497</v>
      </c>
      <c r="E1317" s="6">
        <v>1376367078.8378315</v>
      </c>
      <c r="F1317" s="6">
        <v>7.3299999237060547</v>
      </c>
      <c r="G1317" s="6">
        <v>7.3299999237060547</v>
      </c>
      <c r="H1317" s="6" t="e">
        <v>#N/A</v>
      </c>
      <c r="I1317" s="6">
        <v>1.379319836398607E-2</v>
      </c>
      <c r="J1317" s="6">
        <v>1160802000</v>
      </c>
      <c r="K1317" s="6">
        <v>28.130081300813</v>
      </c>
      <c r="L1317" t="s">
        <v>17</v>
      </c>
      <c r="M1317" t="s">
        <v>40</v>
      </c>
      <c r="N1317" s="4" t="s">
        <v>5050</v>
      </c>
      <c r="O1317" s="4" t="s">
        <v>5051</v>
      </c>
      <c r="P1317" s="4" t="s">
        <v>233</v>
      </c>
    </row>
    <row r="1318" spans="1:16" x14ac:dyDescent="0.35">
      <c r="A1318" t="s">
        <v>5052</v>
      </c>
      <c r="B1318" t="s">
        <v>5053</v>
      </c>
      <c r="C1318" t="s">
        <v>16</v>
      </c>
      <c r="D1318" s="6">
        <v>2151245761.5016174</v>
      </c>
      <c r="E1318" s="6">
        <v>1516645761.5016174</v>
      </c>
      <c r="F1318" s="6">
        <v>36.779998779296875</v>
      </c>
      <c r="G1318" s="6">
        <v>35.450000762939453</v>
      </c>
      <c r="H1318" s="6" t="e">
        <v>#N/A</v>
      </c>
      <c r="I1318" s="6">
        <v>3.254863037166051</v>
      </c>
      <c r="J1318" s="6">
        <v>13049000</v>
      </c>
      <c r="K1318" s="6">
        <v>20.945945945945951</v>
      </c>
      <c r="L1318" t="s">
        <v>17</v>
      </c>
      <c r="M1318" t="s">
        <v>18</v>
      </c>
      <c r="N1318" s="4" t="s">
        <v>5054</v>
      </c>
      <c r="O1318" s="4" t="s">
        <v>5055</v>
      </c>
      <c r="P1318" s="4" t="s">
        <v>233</v>
      </c>
    </row>
    <row r="1319" spans="1:16" x14ac:dyDescent="0.35">
      <c r="A1319" t="s">
        <v>5056</v>
      </c>
      <c r="B1319" t="s">
        <v>5057</v>
      </c>
      <c r="C1319" t="s">
        <v>16</v>
      </c>
      <c r="D1319" s="6">
        <v>88009455.824753761</v>
      </c>
      <c r="E1319" s="6">
        <v>87976709.824753761</v>
      </c>
      <c r="F1319" s="6">
        <v>1.2300000190734863</v>
      </c>
      <c r="G1319" s="6">
        <v>1.1799999475479126</v>
      </c>
      <c r="H1319" s="6" t="e">
        <v>#N/A</v>
      </c>
      <c r="I1319" s="6">
        <v>-0.88720367691786994</v>
      </c>
      <c r="J1319" s="6" t="e">
        <v>#N/A</v>
      </c>
      <c r="K1319" s="6" t="e">
        <v>#N/A</v>
      </c>
      <c r="L1319" t="s">
        <v>17</v>
      </c>
      <c r="M1319" t="s">
        <v>18</v>
      </c>
      <c r="N1319" s="4" t="s">
        <v>5058</v>
      </c>
      <c r="O1319" s="4" t="s">
        <v>5059</v>
      </c>
      <c r="P1319" s="4" t="s">
        <v>233</v>
      </c>
    </row>
    <row r="1320" spans="1:16" x14ac:dyDescent="0.35">
      <c r="A1320" t="s">
        <v>5060</v>
      </c>
      <c r="B1320" t="s">
        <v>5061</v>
      </c>
      <c r="C1320" t="s">
        <v>16</v>
      </c>
      <c r="D1320" s="6">
        <v>60230279.827117927</v>
      </c>
      <c r="E1320" s="6">
        <v>51322279.827117927</v>
      </c>
      <c r="F1320" s="6">
        <v>0.53159999847412109</v>
      </c>
      <c r="G1320" s="6">
        <v>0.52999997138977051</v>
      </c>
      <c r="H1320" s="6" t="e">
        <v>#N/A</v>
      </c>
      <c r="I1320" s="6">
        <v>-0.49277186616236412</v>
      </c>
      <c r="J1320" s="6">
        <v>675000</v>
      </c>
      <c r="K1320" s="6">
        <v>-6.6666666666666732</v>
      </c>
      <c r="L1320" t="s">
        <v>17</v>
      </c>
      <c r="M1320" t="s">
        <v>18</v>
      </c>
      <c r="N1320" s="4" t="s">
        <v>5062</v>
      </c>
      <c r="O1320" s="4" t="s">
        <v>5063</v>
      </c>
      <c r="P1320" s="4" t="s">
        <v>233</v>
      </c>
    </row>
    <row r="1321" spans="1:16" x14ac:dyDescent="0.35">
      <c r="A1321" t="s">
        <v>5064</v>
      </c>
      <c r="B1321" t="s">
        <v>5065</v>
      </c>
      <c r="C1321" t="s">
        <v>16</v>
      </c>
      <c r="D1321" s="6">
        <v>5921748.9113391628</v>
      </c>
      <c r="E1321" s="6">
        <v>5545700.9113391628</v>
      </c>
      <c r="F1321" s="6">
        <v>1.0900000333786011</v>
      </c>
      <c r="G1321" s="6">
        <v>1.0900000333786011</v>
      </c>
      <c r="H1321" s="6" t="e">
        <v>#N/A</v>
      </c>
      <c r="I1321" s="6">
        <v>-0.88082923541291536</v>
      </c>
      <c r="J1321" s="6">
        <v>0</v>
      </c>
      <c r="K1321" s="6">
        <v>-553.33333333333258</v>
      </c>
      <c r="L1321" t="s">
        <v>17</v>
      </c>
      <c r="M1321" t="s">
        <v>18</v>
      </c>
      <c r="N1321" s="4" t="s">
        <v>5066</v>
      </c>
      <c r="O1321" s="4" t="s">
        <v>5067</v>
      </c>
      <c r="P1321" s="4" t="s">
        <v>233</v>
      </c>
    </row>
    <row r="1322" spans="1:16" x14ac:dyDescent="0.35">
      <c r="A1322" t="s">
        <v>5068</v>
      </c>
      <c r="B1322" t="s">
        <v>5069</v>
      </c>
      <c r="C1322" t="s">
        <v>16</v>
      </c>
      <c r="D1322" s="6">
        <v>16797555.635107517</v>
      </c>
      <c r="E1322" s="6">
        <v>19534833.635107517</v>
      </c>
      <c r="F1322" s="6">
        <v>0.4000999927520752</v>
      </c>
      <c r="G1322" s="6">
        <v>0.38400000333786011</v>
      </c>
      <c r="H1322" s="6" t="e">
        <v>#N/A</v>
      </c>
      <c r="I1322" s="6">
        <v>-0.64492336598394684</v>
      </c>
      <c r="J1322" s="6">
        <v>2841794</v>
      </c>
      <c r="K1322" s="6">
        <v>-66.666666666666657</v>
      </c>
      <c r="L1322" t="s">
        <v>17</v>
      </c>
      <c r="M1322" t="s">
        <v>18</v>
      </c>
      <c r="N1322" s="4" t="s">
        <v>5070</v>
      </c>
      <c r="O1322" s="4" t="s">
        <v>5071</v>
      </c>
      <c r="P1322" s="4" t="s">
        <v>233</v>
      </c>
    </row>
    <row r="1323" spans="1:16" x14ac:dyDescent="0.35">
      <c r="A1323" t="s">
        <v>5072</v>
      </c>
      <c r="B1323" t="s">
        <v>5073</v>
      </c>
      <c r="C1323" t="s">
        <v>16</v>
      </c>
      <c r="D1323" s="6">
        <v>14533105.880633354</v>
      </c>
      <c r="E1323" s="6">
        <v>7058917.8806333542</v>
      </c>
      <c r="F1323" s="6">
        <v>0.74400001764297485</v>
      </c>
      <c r="G1323" s="6">
        <v>0.73809999227523804</v>
      </c>
      <c r="H1323" s="6" t="e">
        <v>#N/A</v>
      </c>
      <c r="I1323" s="6">
        <v>-0.75022308393994874</v>
      </c>
      <c r="J1323" s="6">
        <v>0</v>
      </c>
      <c r="K1323" s="6">
        <v>-2.6785714285714111</v>
      </c>
      <c r="L1323" t="s">
        <v>17</v>
      </c>
      <c r="M1323" t="s">
        <v>18</v>
      </c>
      <c r="N1323" s="4" t="s">
        <v>5074</v>
      </c>
      <c r="O1323" s="4" t="s">
        <v>5075</v>
      </c>
      <c r="P1323" s="4" t="s">
        <v>233</v>
      </c>
    </row>
    <row r="1324" spans="1:16" x14ac:dyDescent="0.35">
      <c r="A1324" t="s">
        <v>5076</v>
      </c>
      <c r="B1324" t="s">
        <v>5077</v>
      </c>
      <c r="C1324" t="s">
        <v>16</v>
      </c>
      <c r="D1324" s="6">
        <v>14106557686.342299</v>
      </c>
      <c r="E1324" s="6">
        <v>13274564686.342299</v>
      </c>
      <c r="F1324" s="6">
        <v>75.180000305175781</v>
      </c>
      <c r="G1324" s="6">
        <v>74.360000610351563</v>
      </c>
      <c r="H1324" s="6">
        <v>74.349295625155918</v>
      </c>
      <c r="I1324" s="6">
        <v>1.4620698411690869</v>
      </c>
      <c r="J1324" s="6">
        <v>550168000</v>
      </c>
      <c r="K1324" s="6">
        <v>47.945205479452049</v>
      </c>
      <c r="L1324" t="s">
        <v>17</v>
      </c>
      <c r="M1324" t="s">
        <v>32</v>
      </c>
      <c r="N1324" s="4" t="s">
        <v>5078</v>
      </c>
      <c r="O1324" s="4" t="s">
        <v>5079</v>
      </c>
      <c r="P1324" s="4" t="s">
        <v>233</v>
      </c>
    </row>
    <row r="1325" spans="1:16" x14ac:dyDescent="0.35">
      <c r="A1325" t="s">
        <v>5080</v>
      </c>
      <c r="B1325" t="s">
        <v>5081</v>
      </c>
      <c r="C1325" t="s">
        <v>16</v>
      </c>
      <c r="D1325" s="6">
        <v>680697270.37033081</v>
      </c>
      <c r="E1325" s="6">
        <v>131654270.37033081</v>
      </c>
      <c r="F1325" s="6">
        <v>8.0399999618530273</v>
      </c>
      <c r="G1325" s="6">
        <v>7.630000114440918</v>
      </c>
      <c r="H1325" s="6" t="e">
        <v>#N/A</v>
      </c>
      <c r="I1325" s="6">
        <v>-0.40050049100032881</v>
      </c>
      <c r="J1325" s="6">
        <v>11758000</v>
      </c>
      <c r="K1325" s="6">
        <v>-7.2164948453608231</v>
      </c>
      <c r="L1325" t="s">
        <v>17</v>
      </c>
      <c r="M1325" t="s">
        <v>18</v>
      </c>
      <c r="N1325" s="4" t="s">
        <v>5082</v>
      </c>
      <c r="O1325" s="4" t="s">
        <v>5083</v>
      </c>
      <c r="P1325" s="4" t="s">
        <v>233</v>
      </c>
    </row>
    <row r="1326" spans="1:16" x14ac:dyDescent="0.35">
      <c r="A1326" t="s">
        <v>5084</v>
      </c>
      <c r="B1326" t="s">
        <v>5085</v>
      </c>
      <c r="C1326" t="s">
        <v>16</v>
      </c>
      <c r="D1326" s="6">
        <v>586026.89328661561</v>
      </c>
      <c r="E1326" s="6">
        <v>45108026.893286616</v>
      </c>
      <c r="F1326" s="6">
        <v>0.33000001311302185</v>
      </c>
      <c r="G1326" s="6">
        <v>0.35989999771118164</v>
      </c>
      <c r="H1326" s="6" t="e">
        <v>#N/A</v>
      </c>
      <c r="I1326" s="6">
        <v>-0.94400352572269197</v>
      </c>
      <c r="J1326" s="6">
        <v>27509000</v>
      </c>
      <c r="K1326" s="6">
        <v>0.6060606060606164</v>
      </c>
      <c r="L1326" t="s">
        <v>17</v>
      </c>
      <c r="M1326" t="s">
        <v>100</v>
      </c>
      <c r="N1326" s="4" t="s">
        <v>5086</v>
      </c>
      <c r="O1326" s="4" t="s">
        <v>5087</v>
      </c>
      <c r="P1326" s="4" t="s">
        <v>233</v>
      </c>
    </row>
    <row r="1327" spans="1:16" x14ac:dyDescent="0.35">
      <c r="A1327" t="s">
        <v>5088</v>
      </c>
      <c r="B1327" t="s">
        <v>5089</v>
      </c>
      <c r="C1327" t="s">
        <v>16</v>
      </c>
      <c r="D1327" s="6">
        <v>449051787.45664501</v>
      </c>
      <c r="E1327" s="6">
        <v>1471975787.456645</v>
      </c>
      <c r="F1327" s="6">
        <v>1.5399999618530273</v>
      </c>
      <c r="G1327" s="6">
        <v>1.5499999523162842</v>
      </c>
      <c r="H1327" s="6" t="e">
        <v>#N/A</v>
      </c>
      <c r="I1327" s="6">
        <v>0.16617536848043502</v>
      </c>
      <c r="J1327" s="6">
        <v>0</v>
      </c>
      <c r="K1327" s="6">
        <v>5.7011864406779527</v>
      </c>
      <c r="L1327" t="s">
        <v>17</v>
      </c>
      <c r="M1327" t="s">
        <v>18</v>
      </c>
      <c r="N1327" s="4" t="s">
        <v>233</v>
      </c>
      <c r="O1327" s="4" t="s">
        <v>5090</v>
      </c>
      <c r="P1327" s="4" t="s">
        <v>13082</v>
      </c>
    </row>
    <row r="1328" spans="1:16" x14ac:dyDescent="0.35">
      <c r="A1328" t="s">
        <v>5091</v>
      </c>
      <c r="B1328" t="s">
        <v>5092</v>
      </c>
      <c r="C1328" t="s">
        <v>16</v>
      </c>
      <c r="D1328" s="6">
        <v>868394029.99999988</v>
      </c>
      <c r="E1328" s="6">
        <v>707808029.99999988</v>
      </c>
      <c r="F1328" s="6">
        <v>14</v>
      </c>
      <c r="G1328" s="6">
        <v>14.159999847412109</v>
      </c>
      <c r="H1328" s="6" t="e">
        <v>#N/A</v>
      </c>
      <c r="I1328" s="6">
        <v>0.64674687219675042</v>
      </c>
      <c r="J1328" s="6">
        <v>0</v>
      </c>
      <c r="K1328" s="6">
        <v>-57.407407407407419</v>
      </c>
      <c r="L1328" t="s">
        <v>17</v>
      </c>
      <c r="M1328" t="s">
        <v>87</v>
      </c>
      <c r="N1328" s="4" t="s">
        <v>233</v>
      </c>
      <c r="O1328" s="4" t="s">
        <v>5093</v>
      </c>
      <c r="P1328" s="4" t="s">
        <v>13163</v>
      </c>
    </row>
    <row r="1329" spans="1:16" x14ac:dyDescent="0.35">
      <c r="A1329" t="s">
        <v>5094</v>
      </c>
      <c r="B1329" t="s">
        <v>5095</v>
      </c>
      <c r="C1329" t="s">
        <v>16</v>
      </c>
      <c r="D1329" s="6">
        <v>36600605.450783372</v>
      </c>
      <c r="E1329" s="6">
        <v>-16369394.549216628</v>
      </c>
      <c r="F1329" s="6">
        <v>0.61909997463226318</v>
      </c>
      <c r="G1329" s="6">
        <v>0.60110002756118774</v>
      </c>
      <c r="H1329" s="6" t="e">
        <v>#N/A</v>
      </c>
      <c r="I1329" s="6">
        <v>-0.78634934725281513</v>
      </c>
      <c r="J1329" s="6">
        <v>0</v>
      </c>
      <c r="K1329" s="6">
        <v>67.237163814180931</v>
      </c>
      <c r="L1329" t="s">
        <v>17</v>
      </c>
      <c r="M1329" t="s">
        <v>18</v>
      </c>
      <c r="N1329" s="4" t="s">
        <v>5096</v>
      </c>
      <c r="O1329" s="4" t="s">
        <v>5097</v>
      </c>
      <c r="P1329" s="4" t="s">
        <v>233</v>
      </c>
    </row>
    <row r="1330" spans="1:16" x14ac:dyDescent="0.35">
      <c r="A1330" t="s">
        <v>5098</v>
      </c>
      <c r="B1330" t="s">
        <v>5099</v>
      </c>
      <c r="C1330" t="s">
        <v>16</v>
      </c>
      <c r="D1330" s="6">
        <v>429126906.61763477</v>
      </c>
      <c r="E1330" s="6">
        <v>431100906.61763477</v>
      </c>
      <c r="F1330" s="6">
        <v>8.0500001907348633</v>
      </c>
      <c r="G1330" s="6">
        <v>8.4899997711181641</v>
      </c>
      <c r="H1330" s="6" t="e">
        <v>#N/A</v>
      </c>
      <c r="I1330" s="6">
        <v>1.3483023902825213</v>
      </c>
      <c r="J1330" s="6">
        <v>36684000</v>
      </c>
      <c r="K1330" s="6">
        <v>31.360946745562131</v>
      </c>
      <c r="L1330" t="s">
        <v>17</v>
      </c>
      <c r="M1330" t="s">
        <v>100</v>
      </c>
      <c r="N1330" s="4" t="s">
        <v>5100</v>
      </c>
      <c r="O1330" s="4" t="s">
        <v>5101</v>
      </c>
      <c r="P1330" s="4" t="s">
        <v>233</v>
      </c>
    </row>
    <row r="1331" spans="1:16" x14ac:dyDescent="0.35">
      <c r="A1331" t="s">
        <v>5102</v>
      </c>
      <c r="B1331" t="s">
        <v>5103</v>
      </c>
      <c r="C1331" t="s">
        <v>16</v>
      </c>
      <c r="D1331" s="6">
        <v>683122161.4763031</v>
      </c>
      <c r="E1331" s="6">
        <v>499225161.4763031</v>
      </c>
      <c r="F1331" s="6">
        <v>24.840000152587891</v>
      </c>
      <c r="G1331" s="6">
        <v>24.450000762939453</v>
      </c>
      <c r="H1331" s="6" t="e">
        <v>#N/A</v>
      </c>
      <c r="I1331" s="6">
        <v>0.26993823073592438</v>
      </c>
      <c r="J1331" s="6">
        <v>0</v>
      </c>
      <c r="K1331" s="6">
        <v>-19.021739130434781</v>
      </c>
      <c r="L1331" t="s">
        <v>17</v>
      </c>
      <c r="M1331" t="s">
        <v>18</v>
      </c>
      <c r="N1331" s="4" t="s">
        <v>5104</v>
      </c>
      <c r="O1331" s="4" t="s">
        <v>5105</v>
      </c>
      <c r="P1331" s="4" t="s">
        <v>233</v>
      </c>
    </row>
    <row r="1332" spans="1:16" x14ac:dyDescent="0.35">
      <c r="A1332" t="s">
        <v>5106</v>
      </c>
      <c r="B1332" t="s">
        <v>5107</v>
      </c>
      <c r="C1332" t="s">
        <v>16</v>
      </c>
      <c r="D1332" s="6">
        <v>369451008.60631371</v>
      </c>
      <c r="E1332" s="6" t="e">
        <v>#N/A</v>
      </c>
      <c r="F1332" s="6">
        <v>14.699999809265137</v>
      </c>
      <c r="G1332" s="6">
        <v>14.25</v>
      </c>
      <c r="H1332" s="6" t="e">
        <v>#N/A</v>
      </c>
      <c r="I1332" s="6">
        <v>-0.37657591175307503</v>
      </c>
      <c r="J1332" s="6">
        <v>51292000</v>
      </c>
      <c r="K1332" s="6">
        <v>-33.165829145728637</v>
      </c>
      <c r="L1332" t="s">
        <v>17</v>
      </c>
      <c r="M1332" t="s">
        <v>27</v>
      </c>
      <c r="N1332" s="4" t="s">
        <v>5108</v>
      </c>
      <c r="O1332" s="4" t="s">
        <v>5109</v>
      </c>
      <c r="P1332" s="4" t="s">
        <v>233</v>
      </c>
    </row>
    <row r="1333" spans="1:16" x14ac:dyDescent="0.35">
      <c r="A1333" t="s">
        <v>13427</v>
      </c>
      <c r="B1333" t="s">
        <v>13428</v>
      </c>
      <c r="C1333" t="s">
        <v>16</v>
      </c>
      <c r="D1333" s="6">
        <v>92914773.455532074</v>
      </c>
      <c r="E1333" s="6">
        <v>130553850.00431247</v>
      </c>
      <c r="F1333" s="6">
        <v>5.8000001907348633</v>
      </c>
      <c r="G1333" s="6">
        <v>5.8299999237060547</v>
      </c>
      <c r="H1333" s="6" t="e">
        <v>#N/A</v>
      </c>
      <c r="I1333" s="6">
        <v>-0.57127771854527332</v>
      </c>
      <c r="J1333" s="6">
        <v>0</v>
      </c>
      <c r="K1333" s="6" t="e">
        <v>#N/A</v>
      </c>
      <c r="L1333" t="s">
        <v>17</v>
      </c>
      <c r="M1333" t="s">
        <v>18</v>
      </c>
      <c r="N1333" s="4" t="s">
        <v>13429</v>
      </c>
      <c r="O1333" s="4" t="s">
        <v>13430</v>
      </c>
      <c r="P1333" s="4" t="s">
        <v>233</v>
      </c>
    </row>
    <row r="1334" spans="1:16" x14ac:dyDescent="0.35">
      <c r="A1334" t="s">
        <v>5110</v>
      </c>
      <c r="B1334" t="s">
        <v>5111</v>
      </c>
      <c r="C1334" t="s">
        <v>16</v>
      </c>
      <c r="D1334" s="6">
        <v>70742558.226844072</v>
      </c>
      <c r="E1334" s="6">
        <v>-51021441.773155928</v>
      </c>
      <c r="F1334" s="6">
        <v>2.4500000476837158</v>
      </c>
      <c r="G1334" s="6">
        <v>2.4600000381469727</v>
      </c>
      <c r="H1334" s="6" t="e">
        <v>#N/A</v>
      </c>
      <c r="I1334" s="6">
        <v>-0.87920447253028355</v>
      </c>
      <c r="J1334" s="6">
        <v>0</v>
      </c>
      <c r="K1334" s="6">
        <v>-36.666666666666664</v>
      </c>
      <c r="L1334" t="s">
        <v>17</v>
      </c>
      <c r="M1334" t="s">
        <v>18</v>
      </c>
      <c r="N1334" s="4" t="s">
        <v>5112</v>
      </c>
      <c r="O1334" s="4" t="s">
        <v>5113</v>
      </c>
      <c r="P1334" s="4" t="s">
        <v>233</v>
      </c>
    </row>
    <row r="1335" spans="1:16" x14ac:dyDescent="0.35">
      <c r="A1335" t="s">
        <v>5114</v>
      </c>
      <c r="B1335" t="s">
        <v>5115</v>
      </c>
      <c r="C1335" t="s">
        <v>16</v>
      </c>
      <c r="D1335" s="6">
        <v>82309296.146482706</v>
      </c>
      <c r="E1335" s="6">
        <v>-193474703.85351729</v>
      </c>
      <c r="F1335" s="6">
        <v>1.3700000047683716</v>
      </c>
      <c r="G1335" s="6">
        <v>1.3200000524520874</v>
      </c>
      <c r="H1335" s="6" t="e">
        <v>#N/A</v>
      </c>
      <c r="I1335" s="6">
        <v>-0.58385011392419495</v>
      </c>
      <c r="J1335" s="6">
        <v>0</v>
      </c>
      <c r="K1335" s="6">
        <v>-1.8867924528301903</v>
      </c>
      <c r="L1335" t="s">
        <v>17</v>
      </c>
      <c r="M1335" t="s">
        <v>18</v>
      </c>
      <c r="N1335" s="4" t="s">
        <v>5116</v>
      </c>
      <c r="O1335" s="4" t="s">
        <v>5117</v>
      </c>
      <c r="P1335" s="4" t="s">
        <v>233</v>
      </c>
    </row>
    <row r="1336" spans="1:16" x14ac:dyDescent="0.35">
      <c r="A1336" t="s">
        <v>5118</v>
      </c>
      <c r="B1336" t="s">
        <v>5119</v>
      </c>
      <c r="C1336" t="s">
        <v>16</v>
      </c>
      <c r="D1336" s="6">
        <v>6161906.8722510347</v>
      </c>
      <c r="E1336" s="6">
        <v>-1276228.1277489653</v>
      </c>
      <c r="F1336" s="6">
        <v>1.1499999761581421</v>
      </c>
      <c r="G1336" s="6">
        <v>1.0800000429153442</v>
      </c>
      <c r="H1336" s="6" t="e">
        <v>#N/A</v>
      </c>
      <c r="I1336" s="6">
        <v>-0.82665159715975811</v>
      </c>
      <c r="J1336" s="6">
        <v>0</v>
      </c>
      <c r="K1336" s="6">
        <v>80.818965517241381</v>
      </c>
      <c r="L1336" t="s">
        <v>17</v>
      </c>
      <c r="M1336" t="s">
        <v>18</v>
      </c>
      <c r="N1336" s="4" t="s">
        <v>5120</v>
      </c>
      <c r="O1336" s="4" t="s">
        <v>5121</v>
      </c>
      <c r="P1336" s="4" t="s">
        <v>233</v>
      </c>
    </row>
    <row r="1337" spans="1:16" x14ac:dyDescent="0.35">
      <c r="A1337" t="s">
        <v>5122</v>
      </c>
      <c r="B1337" t="s">
        <v>5123</v>
      </c>
      <c r="C1337" t="s">
        <v>16</v>
      </c>
      <c r="D1337" s="6">
        <v>150118720.27513409</v>
      </c>
      <c r="E1337" s="6">
        <v>76083720.275134102</v>
      </c>
      <c r="F1337" s="6">
        <v>4.2899999618530273</v>
      </c>
      <c r="G1337" s="6">
        <v>4.0799999237060547</v>
      </c>
      <c r="H1337" s="6" t="e">
        <v>#N/A</v>
      </c>
      <c r="I1337" s="6">
        <v>-0.5164736682732225</v>
      </c>
      <c r="J1337" s="6">
        <v>94000</v>
      </c>
      <c r="K1337" s="6">
        <v>18.745655737704929</v>
      </c>
      <c r="L1337" t="s">
        <v>17</v>
      </c>
      <c r="M1337" t="s">
        <v>18</v>
      </c>
      <c r="N1337" s="4" t="s">
        <v>5124</v>
      </c>
      <c r="O1337" s="4" t="s">
        <v>5125</v>
      </c>
      <c r="P1337" s="4" t="s">
        <v>233</v>
      </c>
    </row>
    <row r="1338" spans="1:16" x14ac:dyDescent="0.35">
      <c r="A1338" t="s">
        <v>5126</v>
      </c>
      <c r="B1338" t="s">
        <v>5127</v>
      </c>
      <c r="C1338" t="s">
        <v>16</v>
      </c>
      <c r="D1338" s="6">
        <v>94920518.132968664</v>
      </c>
      <c r="E1338" s="6">
        <v>-75519481.867031336</v>
      </c>
      <c r="F1338" s="6">
        <v>1.4099999666213989</v>
      </c>
      <c r="G1338" s="6">
        <v>1.3899999856948853</v>
      </c>
      <c r="H1338" s="6" t="e">
        <v>#N/A</v>
      </c>
      <c r="I1338" s="6">
        <v>-0.6640806719795046</v>
      </c>
      <c r="J1338" s="6">
        <v>0</v>
      </c>
      <c r="K1338" s="6">
        <v>89.518647571105504</v>
      </c>
      <c r="L1338" t="s">
        <v>17</v>
      </c>
      <c r="M1338" t="s">
        <v>18</v>
      </c>
      <c r="N1338" s="4" t="s">
        <v>233</v>
      </c>
      <c r="O1338" s="4" t="s">
        <v>5128</v>
      </c>
      <c r="P1338" s="4" t="s">
        <v>13091</v>
      </c>
    </row>
    <row r="1339" spans="1:16" x14ac:dyDescent="0.35">
      <c r="A1339" t="s">
        <v>5129</v>
      </c>
      <c r="B1339" t="s">
        <v>5130</v>
      </c>
      <c r="C1339" t="s">
        <v>16</v>
      </c>
      <c r="D1339" s="6">
        <v>156832384.79808331</v>
      </c>
      <c r="E1339" s="6">
        <v>-342729615.20191658</v>
      </c>
      <c r="F1339" s="6">
        <v>0.53680002689361572</v>
      </c>
      <c r="G1339" s="6">
        <v>0.53100001811981201</v>
      </c>
      <c r="H1339" s="6" t="e">
        <v>#N/A</v>
      </c>
      <c r="I1339" s="6">
        <v>-0.72089112369545916</v>
      </c>
      <c r="J1339" s="6">
        <v>130000</v>
      </c>
      <c r="K1339" s="6">
        <v>-25.675675675675684</v>
      </c>
      <c r="L1339" t="s">
        <v>17</v>
      </c>
      <c r="M1339" t="s">
        <v>18</v>
      </c>
      <c r="N1339" s="4" t="s">
        <v>5131</v>
      </c>
      <c r="O1339" s="4" t="s">
        <v>5132</v>
      </c>
      <c r="P1339" s="4" t="s">
        <v>233</v>
      </c>
    </row>
    <row r="1340" spans="1:16" x14ac:dyDescent="0.35">
      <c r="A1340" t="s">
        <v>5133</v>
      </c>
      <c r="B1340" t="s">
        <v>5134</v>
      </c>
      <c r="C1340" t="s">
        <v>16</v>
      </c>
      <c r="D1340" s="6">
        <v>63576212.659931652</v>
      </c>
      <c r="E1340" s="6">
        <v>-60990787.340068348</v>
      </c>
      <c r="F1340" s="6">
        <v>0.74769997596740723</v>
      </c>
      <c r="G1340" s="6">
        <v>0.70999997854232788</v>
      </c>
      <c r="H1340" s="6" t="e">
        <v>#N/A</v>
      </c>
      <c r="I1340" s="6">
        <v>-0.83874520101328953</v>
      </c>
      <c r="J1340" s="6">
        <v>2235000</v>
      </c>
      <c r="K1340" s="6">
        <v>-1.3215859030836918</v>
      </c>
      <c r="L1340" t="s">
        <v>17</v>
      </c>
      <c r="M1340" t="s">
        <v>18</v>
      </c>
      <c r="N1340" s="4" t="s">
        <v>5135</v>
      </c>
      <c r="O1340" s="4" t="s">
        <v>5136</v>
      </c>
      <c r="P1340" s="4" t="s">
        <v>233</v>
      </c>
    </row>
    <row r="1341" spans="1:16" x14ac:dyDescent="0.35">
      <c r="A1341" t="s">
        <v>5137</v>
      </c>
      <c r="B1341" t="s">
        <v>5138</v>
      </c>
      <c r="C1341" t="s">
        <v>16</v>
      </c>
      <c r="D1341" s="6">
        <v>387665825.8845616</v>
      </c>
      <c r="E1341" s="6">
        <v>201291825.88456157</v>
      </c>
      <c r="F1341" s="6">
        <v>6.309999942779541</v>
      </c>
      <c r="G1341" s="6">
        <v>6.070000171661377</v>
      </c>
      <c r="H1341" s="6" t="e">
        <v>#N/A</v>
      </c>
      <c r="I1341" s="6">
        <v>0.35295626205688313</v>
      </c>
      <c r="J1341" s="6">
        <v>0</v>
      </c>
      <c r="K1341" s="6">
        <v>-14.347826086956525</v>
      </c>
      <c r="L1341" t="s">
        <v>17</v>
      </c>
      <c r="M1341" t="s">
        <v>18</v>
      </c>
      <c r="N1341" s="4" t="s">
        <v>5139</v>
      </c>
      <c r="O1341" s="4" t="s">
        <v>5140</v>
      </c>
      <c r="P1341" s="4" t="s">
        <v>233</v>
      </c>
    </row>
    <row r="1342" spans="1:16" x14ac:dyDescent="0.35">
      <c r="A1342" t="s">
        <v>5141</v>
      </c>
      <c r="B1342" t="s">
        <v>5142</v>
      </c>
      <c r="C1342" t="s">
        <v>16</v>
      </c>
      <c r="D1342" s="6">
        <v>142617684.52998781</v>
      </c>
      <c r="E1342" s="6">
        <v>56751226.529987812</v>
      </c>
      <c r="F1342" s="6">
        <v>4.059999942779541</v>
      </c>
      <c r="G1342" s="6">
        <v>4.0300002098083496</v>
      </c>
      <c r="H1342" s="6" t="e">
        <v>#N/A</v>
      </c>
      <c r="I1342" s="6">
        <v>1.7542490257110832</v>
      </c>
      <c r="J1342" s="6" t="e">
        <v>#N/A</v>
      </c>
      <c r="K1342" s="6" t="e">
        <v>#N/A</v>
      </c>
      <c r="L1342" t="s">
        <v>17</v>
      </c>
      <c r="M1342" t="s">
        <v>40</v>
      </c>
      <c r="N1342" s="4" t="s">
        <v>233</v>
      </c>
      <c r="O1342" s="4" t="s">
        <v>5143</v>
      </c>
      <c r="P1342" s="4" t="s">
        <v>13164</v>
      </c>
    </row>
    <row r="1343" spans="1:16" x14ac:dyDescent="0.35">
      <c r="A1343" t="s">
        <v>5144</v>
      </c>
      <c r="B1343" t="s">
        <v>5145</v>
      </c>
      <c r="C1343" t="s">
        <v>16</v>
      </c>
      <c r="D1343" s="6">
        <v>129931814.05579756</v>
      </c>
      <c r="E1343" s="6">
        <v>31406814.055797577</v>
      </c>
      <c r="F1343" s="6">
        <v>2.559999942779541</v>
      </c>
      <c r="G1343" s="6">
        <v>2.6099998950958252</v>
      </c>
      <c r="H1343" s="6" t="e">
        <v>#N/A</v>
      </c>
      <c r="I1343" s="6">
        <v>-0.4289681940645923</v>
      </c>
      <c r="J1343" s="6">
        <v>81056000</v>
      </c>
      <c r="K1343" s="6">
        <v>36.666666666666671</v>
      </c>
      <c r="L1343" t="s">
        <v>17</v>
      </c>
      <c r="M1343" t="s">
        <v>27</v>
      </c>
      <c r="N1343" s="4" t="s">
        <v>5146</v>
      </c>
      <c r="O1343" s="4" t="s">
        <v>5147</v>
      </c>
      <c r="P1343" s="4" t="s">
        <v>233</v>
      </c>
    </row>
    <row r="1344" spans="1:16" x14ac:dyDescent="0.35">
      <c r="A1344" t="s">
        <v>5148</v>
      </c>
      <c r="B1344" t="s">
        <v>5149</v>
      </c>
      <c r="C1344" t="s">
        <v>16</v>
      </c>
      <c r="D1344" s="6">
        <v>140291560.04959366</v>
      </c>
      <c r="E1344" s="6">
        <v>55584560.049593657</v>
      </c>
      <c r="F1344" s="6">
        <v>3.2599999904632568</v>
      </c>
      <c r="G1344" s="6">
        <v>3</v>
      </c>
      <c r="H1344" s="6" t="e">
        <v>#N/A</v>
      </c>
      <c r="I1344" s="6">
        <v>2.3497121448636054</v>
      </c>
      <c r="J1344" s="6">
        <v>22519000</v>
      </c>
      <c r="K1344" s="6">
        <v>14.685314685314683</v>
      </c>
      <c r="L1344" t="s">
        <v>17</v>
      </c>
      <c r="M1344" t="s">
        <v>100</v>
      </c>
      <c r="N1344" s="4" t="s">
        <v>5150</v>
      </c>
      <c r="O1344" s="4" t="s">
        <v>5151</v>
      </c>
      <c r="P1344" s="4" t="s">
        <v>233</v>
      </c>
    </row>
    <row r="1345" spans="1:16" x14ac:dyDescent="0.35">
      <c r="A1345" t="s">
        <v>5152</v>
      </c>
      <c r="B1345" t="s">
        <v>5153</v>
      </c>
      <c r="C1345" t="s">
        <v>16</v>
      </c>
      <c r="D1345" s="6">
        <v>443881847.56963611</v>
      </c>
      <c r="E1345" s="6">
        <v>187390847.56963608</v>
      </c>
      <c r="F1345" s="6">
        <v>1.5700000524520874</v>
      </c>
      <c r="G1345" s="6">
        <v>1.5499999523162842</v>
      </c>
      <c r="H1345" s="6" t="e">
        <v>#N/A</v>
      </c>
      <c r="I1345" s="6">
        <v>-0.14171719539054928</v>
      </c>
      <c r="J1345" s="6">
        <v>0</v>
      </c>
      <c r="K1345" s="6">
        <v>58.29145728643217</v>
      </c>
      <c r="L1345" t="s">
        <v>17</v>
      </c>
      <c r="M1345" t="s">
        <v>18</v>
      </c>
      <c r="N1345" s="4" t="s">
        <v>5154</v>
      </c>
      <c r="O1345" s="4" t="s">
        <v>5155</v>
      </c>
      <c r="P1345" s="4" t="s">
        <v>233</v>
      </c>
    </row>
    <row r="1346" spans="1:16" x14ac:dyDescent="0.35">
      <c r="A1346" t="s">
        <v>5156</v>
      </c>
      <c r="B1346" t="s">
        <v>5157</v>
      </c>
      <c r="C1346" t="s">
        <v>16</v>
      </c>
      <c r="D1346" s="6">
        <v>360169929.38473219</v>
      </c>
      <c r="E1346" s="6">
        <v>326993929.38473219</v>
      </c>
      <c r="F1346" s="6">
        <v>8.5500001907348633</v>
      </c>
      <c r="G1346" s="6">
        <v>8.1099996566772461</v>
      </c>
      <c r="H1346" s="6" t="e">
        <v>#N/A</v>
      </c>
      <c r="I1346" s="6">
        <v>5.1206242615330533</v>
      </c>
      <c r="J1346" s="6">
        <v>0</v>
      </c>
      <c r="K1346" s="6">
        <v>-101.53846153846153</v>
      </c>
      <c r="L1346" t="s">
        <v>17</v>
      </c>
      <c r="M1346" t="s">
        <v>18</v>
      </c>
      <c r="N1346" s="4" t="s">
        <v>5158</v>
      </c>
      <c r="O1346" s="4" t="s">
        <v>5159</v>
      </c>
      <c r="P1346" s="4" t="s">
        <v>233</v>
      </c>
    </row>
    <row r="1347" spans="1:16" x14ac:dyDescent="0.35">
      <c r="A1347" t="s">
        <v>5160</v>
      </c>
      <c r="B1347" t="s">
        <v>5161</v>
      </c>
      <c r="C1347" t="s">
        <v>16</v>
      </c>
      <c r="D1347" s="6">
        <v>573130211.12160301</v>
      </c>
      <c r="E1347" s="6">
        <v>458051211.12160301</v>
      </c>
      <c r="F1347" s="6">
        <v>4.9899997711181641</v>
      </c>
      <c r="G1347" s="6">
        <v>4.8400001525878906</v>
      </c>
      <c r="H1347" s="6" t="e">
        <v>#N/A</v>
      </c>
      <c r="I1347" s="6">
        <v>9.8835113480250314E-2</v>
      </c>
      <c r="J1347" s="6">
        <v>4207000</v>
      </c>
      <c r="K1347" s="6">
        <v>19.827586206896552</v>
      </c>
      <c r="L1347" t="s">
        <v>17</v>
      </c>
      <c r="M1347" t="s">
        <v>18</v>
      </c>
      <c r="N1347" s="4" t="s">
        <v>5162</v>
      </c>
      <c r="O1347" s="4" t="s">
        <v>5163</v>
      </c>
      <c r="P1347" s="4" t="s">
        <v>233</v>
      </c>
    </row>
    <row r="1348" spans="1:16" x14ac:dyDescent="0.35">
      <c r="A1348" t="s">
        <v>5164</v>
      </c>
      <c r="B1348" t="s">
        <v>5165</v>
      </c>
      <c r="C1348" t="s">
        <v>16</v>
      </c>
      <c r="D1348" s="6">
        <v>116812962.77568913</v>
      </c>
      <c r="E1348" s="6">
        <v>-228483037.22431087</v>
      </c>
      <c r="F1348" s="6">
        <v>1.2899999618530273</v>
      </c>
      <c r="G1348" s="6">
        <v>1.2599999904632568</v>
      </c>
      <c r="H1348" s="6" t="e">
        <v>#N/A</v>
      </c>
      <c r="I1348" s="6">
        <v>-0.81822721732833092</v>
      </c>
      <c r="J1348" s="6">
        <v>34477000</v>
      </c>
      <c r="K1348" s="6">
        <v>15.853658536585368</v>
      </c>
      <c r="L1348" t="s">
        <v>17</v>
      </c>
      <c r="M1348" t="s">
        <v>18</v>
      </c>
      <c r="N1348" s="4" t="s">
        <v>5166</v>
      </c>
      <c r="O1348" s="4" t="s">
        <v>5167</v>
      </c>
      <c r="P1348" s="4" t="s">
        <v>233</v>
      </c>
    </row>
    <row r="1349" spans="1:16" x14ac:dyDescent="0.35">
      <c r="A1349" t="s">
        <v>5168</v>
      </c>
      <c r="B1349" t="s">
        <v>5169</v>
      </c>
      <c r="C1349" t="s">
        <v>16</v>
      </c>
      <c r="D1349" s="6">
        <v>30078500.83914113</v>
      </c>
      <c r="E1349" s="6">
        <v>-79458499.16085887</v>
      </c>
      <c r="F1349" s="6">
        <v>0.72500002384185791</v>
      </c>
      <c r="G1349" s="6">
        <v>0.73000001907348633</v>
      </c>
      <c r="H1349" s="6" t="e">
        <v>#N/A</v>
      </c>
      <c r="I1349" s="6">
        <v>-0.5622633487879376</v>
      </c>
      <c r="J1349" s="6">
        <v>0</v>
      </c>
      <c r="K1349" s="6">
        <v>11.961722488038268</v>
      </c>
      <c r="L1349" t="s">
        <v>17</v>
      </c>
      <c r="M1349" t="s">
        <v>18</v>
      </c>
      <c r="N1349" s="4" t="s">
        <v>5170</v>
      </c>
      <c r="O1349" s="4" t="s">
        <v>5171</v>
      </c>
      <c r="P1349" s="4" t="s">
        <v>233</v>
      </c>
    </row>
    <row r="1350" spans="1:16" x14ac:dyDescent="0.35">
      <c r="A1350" t="s">
        <v>5172</v>
      </c>
      <c r="B1350" t="s">
        <v>5173</v>
      </c>
      <c r="C1350" t="s">
        <v>16</v>
      </c>
      <c r="D1350" s="6">
        <v>669815168.23132503</v>
      </c>
      <c r="E1350" s="6">
        <v>404559168.23132503</v>
      </c>
      <c r="F1350" s="6">
        <v>5.1999998092651367</v>
      </c>
      <c r="G1350" s="6">
        <v>5.1599998474121094</v>
      </c>
      <c r="H1350" s="6" t="e">
        <v>#N/A</v>
      </c>
      <c r="I1350" s="6">
        <v>-0.39731265460436183</v>
      </c>
      <c r="J1350" s="6">
        <v>201211000</v>
      </c>
      <c r="K1350" s="6">
        <v>24.13637063852731</v>
      </c>
      <c r="L1350" t="s">
        <v>17</v>
      </c>
      <c r="M1350" t="s">
        <v>100</v>
      </c>
      <c r="N1350" s="4" t="s">
        <v>5174</v>
      </c>
      <c r="O1350" s="4" t="s">
        <v>5175</v>
      </c>
      <c r="P1350" s="4" t="s">
        <v>233</v>
      </c>
    </row>
    <row r="1351" spans="1:16" x14ac:dyDescent="0.35">
      <c r="A1351" t="s">
        <v>5176</v>
      </c>
      <c r="B1351" t="s">
        <v>5177</v>
      </c>
      <c r="C1351" t="s">
        <v>16</v>
      </c>
      <c r="D1351" s="6">
        <v>248145157.28618857</v>
      </c>
      <c r="E1351" s="6">
        <v>143495157.28618857</v>
      </c>
      <c r="F1351" s="6">
        <v>3.7999999523162842</v>
      </c>
      <c r="G1351" s="6">
        <v>3.7100000381469727</v>
      </c>
      <c r="H1351" s="6" t="e">
        <v>#N/A</v>
      </c>
      <c r="I1351" s="6">
        <v>-0.22709699597833122</v>
      </c>
      <c r="J1351" s="6">
        <v>62371000</v>
      </c>
      <c r="K1351" s="6">
        <v>10.294117647058831</v>
      </c>
      <c r="L1351" t="s">
        <v>17</v>
      </c>
      <c r="M1351" t="s">
        <v>32</v>
      </c>
      <c r="N1351" s="4" t="s">
        <v>233</v>
      </c>
      <c r="O1351" s="4" t="s">
        <v>5178</v>
      </c>
      <c r="P1351" s="4" t="s">
        <v>13165</v>
      </c>
    </row>
    <row r="1352" spans="1:16" x14ac:dyDescent="0.35">
      <c r="A1352" t="s">
        <v>5179</v>
      </c>
      <c r="B1352" t="s">
        <v>5180</v>
      </c>
      <c r="C1352" t="s">
        <v>16</v>
      </c>
      <c r="D1352" s="6">
        <v>9761325.4115710258</v>
      </c>
      <c r="E1352" s="6">
        <v>13739325.411571026</v>
      </c>
      <c r="F1352" s="6">
        <v>1.1000000238418579</v>
      </c>
      <c r="G1352" s="6">
        <v>1.0800000429153442</v>
      </c>
      <c r="H1352" s="6" t="e">
        <v>#N/A</v>
      </c>
      <c r="I1352" s="6">
        <v>0.54744368531912491</v>
      </c>
      <c r="J1352" s="6">
        <v>34071000</v>
      </c>
      <c r="K1352" s="6" t="e">
        <v>#N/A</v>
      </c>
      <c r="L1352" t="s">
        <v>17</v>
      </c>
      <c r="M1352" t="s">
        <v>87</v>
      </c>
      <c r="N1352" s="4" t="s">
        <v>5181</v>
      </c>
      <c r="O1352" s="4" t="s">
        <v>5182</v>
      </c>
      <c r="P1352" s="4" t="s">
        <v>233</v>
      </c>
    </row>
    <row r="1353" spans="1:16" x14ac:dyDescent="0.35">
      <c r="A1353" t="s">
        <v>5183</v>
      </c>
      <c r="B1353" t="s">
        <v>5184</v>
      </c>
      <c r="C1353" t="s">
        <v>16</v>
      </c>
      <c r="D1353" s="6">
        <v>56511816.988660812</v>
      </c>
      <c r="E1353" s="6">
        <v>-24690909.011339188</v>
      </c>
      <c r="F1353" s="6">
        <v>1.8200000524520874</v>
      </c>
      <c r="G1353" s="6">
        <v>1.7899999618530273</v>
      </c>
      <c r="H1353" s="6" t="e">
        <v>#N/A</v>
      </c>
      <c r="I1353" s="6">
        <v>-0.72534511727414408</v>
      </c>
      <c r="J1353" s="6">
        <v>0</v>
      </c>
      <c r="K1353" s="6">
        <v>1.5706806282722527</v>
      </c>
      <c r="L1353" t="s">
        <v>17</v>
      </c>
      <c r="M1353" t="s">
        <v>18</v>
      </c>
      <c r="N1353" s="4" t="s">
        <v>5185</v>
      </c>
      <c r="O1353" s="4" t="s">
        <v>5186</v>
      </c>
      <c r="P1353" s="4" t="s">
        <v>233</v>
      </c>
    </row>
    <row r="1354" spans="1:16" x14ac:dyDescent="0.35">
      <c r="A1354" t="s">
        <v>5187</v>
      </c>
      <c r="B1354" t="s">
        <v>5188</v>
      </c>
      <c r="C1354" t="s">
        <v>16</v>
      </c>
      <c r="D1354" s="6">
        <v>71100411.410112143</v>
      </c>
      <c r="E1354" s="6">
        <v>-21117588.589887843</v>
      </c>
      <c r="F1354" s="6">
        <v>0.89749997854232788</v>
      </c>
      <c r="G1354" s="6">
        <v>0.95999997854232788</v>
      </c>
      <c r="H1354" s="6" t="e">
        <v>#N/A</v>
      </c>
      <c r="I1354" s="6">
        <v>-0.84063123309436538</v>
      </c>
      <c r="J1354" s="6">
        <v>0</v>
      </c>
      <c r="K1354" s="6">
        <v>39.130434782608695</v>
      </c>
      <c r="L1354" t="s">
        <v>17</v>
      </c>
      <c r="M1354" t="s">
        <v>18</v>
      </c>
      <c r="N1354" s="4" t="s">
        <v>5189</v>
      </c>
      <c r="O1354" s="4" t="s">
        <v>5190</v>
      </c>
      <c r="P1354" s="4" t="s">
        <v>233</v>
      </c>
    </row>
    <row r="1355" spans="1:16" x14ac:dyDescent="0.35">
      <c r="A1355" t="s">
        <v>5191</v>
      </c>
      <c r="B1355" t="s">
        <v>5192</v>
      </c>
      <c r="C1355" t="s">
        <v>16</v>
      </c>
      <c r="D1355" s="6">
        <v>1285712418.1250668</v>
      </c>
      <c r="E1355" s="6">
        <v>1161542418.1250668</v>
      </c>
      <c r="F1355" s="6">
        <v>31.899999618530273</v>
      </c>
      <c r="G1355" s="6">
        <v>31.549999237060547</v>
      </c>
      <c r="H1355" s="6" t="e">
        <v>#N/A</v>
      </c>
      <c r="I1355" s="6">
        <v>-0.37161851417989367</v>
      </c>
      <c r="J1355" s="6">
        <v>89077000</v>
      </c>
      <c r="K1355" s="6">
        <v>41.493775933609967</v>
      </c>
      <c r="L1355" t="s">
        <v>17</v>
      </c>
      <c r="M1355" t="s">
        <v>27</v>
      </c>
      <c r="N1355" s="4" t="s">
        <v>5193</v>
      </c>
      <c r="O1355" s="4" t="s">
        <v>5194</v>
      </c>
      <c r="P1355" s="4" t="s">
        <v>233</v>
      </c>
    </row>
    <row r="1356" spans="1:16" x14ac:dyDescent="0.35">
      <c r="A1356" t="s">
        <v>5195</v>
      </c>
      <c r="B1356" t="s">
        <v>5196</v>
      </c>
      <c r="C1356" t="s">
        <v>16</v>
      </c>
      <c r="D1356" s="6">
        <v>89926165.474743351</v>
      </c>
      <c r="E1356" s="6">
        <v>95909165.474743351</v>
      </c>
      <c r="F1356" s="6">
        <v>1.690000057220459</v>
      </c>
      <c r="G1356" s="6">
        <v>1.4600000381469727</v>
      </c>
      <c r="H1356" s="6" t="e">
        <v>#N/A</v>
      </c>
      <c r="I1356" s="6">
        <v>-0.52564237678943637</v>
      </c>
      <c r="J1356" s="6">
        <v>0</v>
      </c>
      <c r="K1356" s="6">
        <v>24.822695035460995</v>
      </c>
      <c r="L1356" t="s">
        <v>17</v>
      </c>
      <c r="M1356" t="s">
        <v>87</v>
      </c>
      <c r="N1356" s="4" t="s">
        <v>5197</v>
      </c>
      <c r="O1356" s="4" t="s">
        <v>5198</v>
      </c>
      <c r="P1356" s="4" t="s">
        <v>233</v>
      </c>
    </row>
    <row r="1357" spans="1:16" x14ac:dyDescent="0.35">
      <c r="A1357" t="s">
        <v>5199</v>
      </c>
      <c r="B1357" t="s">
        <v>5200</v>
      </c>
      <c r="C1357" t="s">
        <v>16</v>
      </c>
      <c r="D1357" s="6">
        <v>14395214.851986647</v>
      </c>
      <c r="E1357" s="6">
        <v>69394214.851986647</v>
      </c>
      <c r="F1357" s="6">
        <v>0.25999999046325684</v>
      </c>
      <c r="G1357" s="6">
        <v>0.22920000553131104</v>
      </c>
      <c r="H1357" s="6" t="e">
        <v>#N/A</v>
      </c>
      <c r="I1357" s="6">
        <v>-0.93547791820032411</v>
      </c>
      <c r="J1357" s="6">
        <v>3094000</v>
      </c>
      <c r="K1357" s="6">
        <v>15.887850467289722</v>
      </c>
      <c r="L1357" t="s">
        <v>17</v>
      </c>
      <c r="M1357" t="s">
        <v>18</v>
      </c>
      <c r="N1357" s="4" t="s">
        <v>5201</v>
      </c>
      <c r="O1357" s="4" t="s">
        <v>5202</v>
      </c>
      <c r="P1357" s="4" t="s">
        <v>233</v>
      </c>
    </row>
    <row r="1358" spans="1:16" x14ac:dyDescent="0.35">
      <c r="A1358" t="s">
        <v>5203</v>
      </c>
      <c r="B1358" t="s">
        <v>5204</v>
      </c>
      <c r="C1358" t="s">
        <v>16</v>
      </c>
      <c r="D1358" s="6">
        <v>5276507.3602999998</v>
      </c>
      <c r="E1358" s="6">
        <v>10778575.360299999</v>
      </c>
      <c r="F1358" s="6">
        <v>4.5475000000000002E-2</v>
      </c>
      <c r="G1358" s="6">
        <v>4.5475000000000002E-2</v>
      </c>
      <c r="H1358" s="6" t="e">
        <v>#N/A</v>
      </c>
      <c r="I1358" s="6">
        <v>-0.43068452805315782</v>
      </c>
      <c r="J1358" s="6">
        <v>13379709</v>
      </c>
      <c r="K1358" s="6">
        <v>55.46476709267408</v>
      </c>
      <c r="L1358" t="s">
        <v>17</v>
      </c>
      <c r="M1358" t="s">
        <v>87</v>
      </c>
      <c r="N1358" s="4" t="s">
        <v>5205</v>
      </c>
      <c r="O1358" s="4" t="s">
        <v>5206</v>
      </c>
      <c r="P1358" s="4" t="s">
        <v>233</v>
      </c>
    </row>
    <row r="1359" spans="1:16" x14ac:dyDescent="0.35">
      <c r="A1359" t="s">
        <v>5207</v>
      </c>
      <c r="B1359" t="s">
        <v>5208</v>
      </c>
      <c r="C1359" t="s">
        <v>16</v>
      </c>
      <c r="D1359" s="6">
        <v>181816370.91850519</v>
      </c>
      <c r="E1359" s="6">
        <v>-16659629.081494808</v>
      </c>
      <c r="F1359" s="6">
        <v>1.5199999809265137</v>
      </c>
      <c r="G1359" s="6">
        <v>1.5499999523162842</v>
      </c>
      <c r="H1359" s="6" t="e">
        <v>#N/A</v>
      </c>
      <c r="I1359" s="6">
        <v>-0.63448513154089647</v>
      </c>
      <c r="J1359" s="6">
        <v>0</v>
      </c>
      <c r="K1359" s="6">
        <v>18.834080717488785</v>
      </c>
      <c r="L1359" t="s">
        <v>17</v>
      </c>
      <c r="M1359" t="s">
        <v>18</v>
      </c>
      <c r="N1359" s="4" t="s">
        <v>5209</v>
      </c>
      <c r="O1359" s="4" t="s">
        <v>5210</v>
      </c>
      <c r="P1359" s="4" t="s">
        <v>233</v>
      </c>
    </row>
    <row r="1360" spans="1:16" x14ac:dyDescent="0.35">
      <c r="A1360" t="s">
        <v>5211</v>
      </c>
      <c r="B1360" t="s">
        <v>5212</v>
      </c>
      <c r="C1360" t="s">
        <v>16</v>
      </c>
      <c r="D1360" s="6">
        <v>101507876.95890427</v>
      </c>
      <c r="E1360" s="6">
        <v>-4941123.0410957336</v>
      </c>
      <c r="F1360" s="6">
        <v>1.5099999904632568</v>
      </c>
      <c r="G1360" s="6">
        <v>1.5099999904632568</v>
      </c>
      <c r="H1360" s="6" t="e">
        <v>#N/A</v>
      </c>
      <c r="I1360" s="6">
        <v>-0.41836786186218666</v>
      </c>
      <c r="J1360" s="6">
        <v>0</v>
      </c>
      <c r="K1360" s="6">
        <v>24.418604651162788</v>
      </c>
      <c r="L1360" t="s">
        <v>17</v>
      </c>
      <c r="M1360" t="s">
        <v>18</v>
      </c>
      <c r="N1360" s="4" t="s">
        <v>5213</v>
      </c>
      <c r="O1360" s="4" t="s">
        <v>5214</v>
      </c>
      <c r="P1360" s="4" t="s">
        <v>233</v>
      </c>
    </row>
    <row r="1361" spans="1:16" x14ac:dyDescent="0.35">
      <c r="A1361" t="s">
        <v>5215</v>
      </c>
      <c r="B1361" t="s">
        <v>5216</v>
      </c>
      <c r="C1361" t="s">
        <v>16</v>
      </c>
      <c r="D1361" s="6">
        <v>25244560.668398142</v>
      </c>
      <c r="E1361" s="6">
        <v>-3983439.3316018581</v>
      </c>
      <c r="F1361" s="6">
        <v>0.60759997367858887</v>
      </c>
      <c r="G1361" s="6">
        <v>0.57419997453689575</v>
      </c>
      <c r="H1361" s="6" t="e">
        <v>#N/A</v>
      </c>
      <c r="I1361" s="6">
        <v>-0.72030982824688494</v>
      </c>
      <c r="J1361" s="6">
        <v>0</v>
      </c>
      <c r="K1361" s="6">
        <v>5.494505494505499</v>
      </c>
      <c r="L1361" t="s">
        <v>17</v>
      </c>
      <c r="M1361" t="s">
        <v>87</v>
      </c>
      <c r="N1361" s="4" t="s">
        <v>5217</v>
      </c>
      <c r="O1361" s="4" t="s">
        <v>5218</v>
      </c>
      <c r="P1361" s="4" t="s">
        <v>233</v>
      </c>
    </row>
    <row r="1362" spans="1:16" x14ac:dyDescent="0.35">
      <c r="A1362" t="s">
        <v>5219</v>
      </c>
      <c r="B1362" t="s">
        <v>5220</v>
      </c>
      <c r="C1362" t="s">
        <v>16</v>
      </c>
      <c r="D1362" s="6">
        <v>6516392.7904395461</v>
      </c>
      <c r="E1362" s="6">
        <v>19354392.790439546</v>
      </c>
      <c r="F1362" s="6">
        <v>0.17380000650882721</v>
      </c>
      <c r="G1362" s="6">
        <v>0.18089999258518219</v>
      </c>
      <c r="H1362" s="6" t="e">
        <v>#N/A</v>
      </c>
      <c r="I1362" s="6">
        <v>-0.69935651993677239</v>
      </c>
      <c r="J1362" s="6">
        <v>0</v>
      </c>
      <c r="K1362" s="6">
        <v>75.512643745007239</v>
      </c>
      <c r="L1362" t="s">
        <v>17</v>
      </c>
      <c r="M1362" t="s">
        <v>18</v>
      </c>
      <c r="N1362" s="4" t="s">
        <v>5221</v>
      </c>
      <c r="O1362" s="4" t="s">
        <v>5222</v>
      </c>
      <c r="P1362" s="4" t="s">
        <v>233</v>
      </c>
    </row>
    <row r="1363" spans="1:16" x14ac:dyDescent="0.35">
      <c r="A1363" t="s">
        <v>5223</v>
      </c>
      <c r="B1363" t="s">
        <v>5224</v>
      </c>
      <c r="C1363" t="s">
        <v>16</v>
      </c>
      <c r="D1363" s="6">
        <v>41255691.132881641</v>
      </c>
      <c r="E1363" s="6">
        <v>40082691.132881641</v>
      </c>
      <c r="F1363" s="6">
        <v>1.1599999666213989</v>
      </c>
      <c r="G1363" s="6">
        <v>1.1499999761581421</v>
      </c>
      <c r="H1363" s="6" t="e">
        <v>#N/A</v>
      </c>
      <c r="I1363" s="6">
        <v>-0.24616986821446585</v>
      </c>
      <c r="J1363" s="6">
        <v>0</v>
      </c>
      <c r="K1363" s="6">
        <v>9.1743119266055118</v>
      </c>
      <c r="L1363" t="s">
        <v>17</v>
      </c>
      <c r="M1363" t="s">
        <v>18</v>
      </c>
      <c r="N1363" s="4" t="s">
        <v>5225</v>
      </c>
      <c r="O1363" s="4" t="s">
        <v>5226</v>
      </c>
      <c r="P1363" s="4" t="s">
        <v>233</v>
      </c>
    </row>
    <row r="1364" spans="1:16" x14ac:dyDescent="0.35">
      <c r="A1364" t="s">
        <v>5227</v>
      </c>
      <c r="B1364" t="s">
        <v>5228</v>
      </c>
      <c r="C1364" t="s">
        <v>16</v>
      </c>
      <c r="D1364" s="6">
        <v>432014913.23153853</v>
      </c>
      <c r="E1364" s="6">
        <v>396472913.23153853</v>
      </c>
      <c r="F1364" s="6">
        <v>3.5699999332427979</v>
      </c>
      <c r="G1364" s="6">
        <v>3.5399999618530273</v>
      </c>
      <c r="H1364" s="6" t="e">
        <v>#N/A</v>
      </c>
      <c r="I1364" s="6">
        <v>-0.35014218657754836</v>
      </c>
      <c r="J1364" s="6">
        <v>20409000</v>
      </c>
      <c r="K1364" s="6">
        <v>-46.381773108251714</v>
      </c>
      <c r="L1364" t="s">
        <v>17</v>
      </c>
      <c r="M1364" t="s">
        <v>100</v>
      </c>
      <c r="N1364" s="4" t="s">
        <v>5229</v>
      </c>
      <c r="O1364" s="4" t="s">
        <v>5230</v>
      </c>
      <c r="P1364" s="4" t="s">
        <v>233</v>
      </c>
    </row>
    <row r="1365" spans="1:16" x14ac:dyDescent="0.35">
      <c r="A1365" t="s">
        <v>5231</v>
      </c>
      <c r="B1365" t="s">
        <v>5232</v>
      </c>
      <c r="C1365" t="s">
        <v>16</v>
      </c>
      <c r="D1365" s="6">
        <v>5772309741.3753586</v>
      </c>
      <c r="E1365" s="6">
        <v>5052404741.3753586</v>
      </c>
      <c r="F1365" s="6">
        <v>81.239997863769531</v>
      </c>
      <c r="G1365" s="6">
        <v>81.279998779296875</v>
      </c>
      <c r="H1365" s="6" t="e">
        <v>#N/A</v>
      </c>
      <c r="I1365" s="6">
        <v>-2.7573650297687324E-2</v>
      </c>
      <c r="J1365" s="6">
        <v>0</v>
      </c>
      <c r="K1365" s="6">
        <v>-31.515151515151516</v>
      </c>
      <c r="L1365" t="s">
        <v>17</v>
      </c>
      <c r="M1365" t="s">
        <v>18</v>
      </c>
      <c r="N1365" s="4" t="s">
        <v>5233</v>
      </c>
      <c r="O1365" s="4" t="s">
        <v>5234</v>
      </c>
      <c r="P1365" s="4" t="s">
        <v>233</v>
      </c>
    </row>
    <row r="1366" spans="1:16" x14ac:dyDescent="0.35">
      <c r="A1366" t="s">
        <v>5235</v>
      </c>
      <c r="B1366" t="s">
        <v>5236</v>
      </c>
      <c r="C1366" t="s">
        <v>16</v>
      </c>
      <c r="D1366" s="6">
        <v>59998650.494049549</v>
      </c>
      <c r="E1366" s="6">
        <v>45548823.494049549</v>
      </c>
      <c r="F1366" s="6">
        <v>0.80000001192092896</v>
      </c>
      <c r="G1366" s="6">
        <v>0.78259998559951782</v>
      </c>
      <c r="H1366" s="6" t="e">
        <v>#N/A</v>
      </c>
      <c r="I1366" s="6">
        <v>-0.29756619945136553</v>
      </c>
      <c r="J1366" s="6">
        <v>0</v>
      </c>
      <c r="K1366" s="6">
        <v>-61.290322580645153</v>
      </c>
      <c r="L1366" t="s">
        <v>17</v>
      </c>
      <c r="M1366" t="s">
        <v>87</v>
      </c>
      <c r="N1366" s="4" t="s">
        <v>5237</v>
      </c>
      <c r="O1366" s="4" t="s">
        <v>5238</v>
      </c>
      <c r="P1366" s="4" t="s">
        <v>233</v>
      </c>
    </row>
    <row r="1367" spans="1:16" x14ac:dyDescent="0.35">
      <c r="A1367" t="s">
        <v>5239</v>
      </c>
      <c r="B1367" t="s">
        <v>5240</v>
      </c>
      <c r="C1367" t="s">
        <v>16</v>
      </c>
      <c r="D1367" s="6">
        <v>10571277.925840855</v>
      </c>
      <c r="E1367" s="6">
        <v>3298580.9258408546</v>
      </c>
      <c r="F1367" s="6">
        <v>0.74849998950958252</v>
      </c>
      <c r="G1367" s="6">
        <v>0.80099999904632568</v>
      </c>
      <c r="H1367" s="6" t="e">
        <v>#N/A</v>
      </c>
      <c r="I1367" s="6">
        <v>-0.5561139736823234</v>
      </c>
      <c r="J1367" s="6">
        <v>0</v>
      </c>
      <c r="K1367" s="6">
        <v>5.1199039245348521</v>
      </c>
      <c r="L1367" t="s">
        <v>17</v>
      </c>
      <c r="M1367" t="s">
        <v>18</v>
      </c>
      <c r="N1367" s="4" t="s">
        <v>5241</v>
      </c>
      <c r="O1367" s="4" t="s">
        <v>5242</v>
      </c>
      <c r="P1367" s="4" t="s">
        <v>233</v>
      </c>
    </row>
    <row r="1368" spans="1:16" x14ac:dyDescent="0.35">
      <c r="A1368" t="s">
        <v>5243</v>
      </c>
      <c r="B1368" t="s">
        <v>5244</v>
      </c>
      <c r="C1368" t="s">
        <v>16</v>
      </c>
      <c r="D1368" s="6">
        <v>36360576.316100001</v>
      </c>
      <c r="E1368" s="6" t="e">
        <v>#N/A</v>
      </c>
      <c r="F1368" s="6">
        <v>2.0099</v>
      </c>
      <c r="G1368" s="6">
        <v>2.0099</v>
      </c>
      <c r="H1368" s="6" t="e">
        <v>#N/A</v>
      </c>
      <c r="I1368" s="6">
        <v>-0.43373932898627177</v>
      </c>
      <c r="J1368" s="6" t="e">
        <v>#N/A</v>
      </c>
      <c r="K1368" s="6" t="e">
        <v>#N/A</v>
      </c>
      <c r="L1368" t="s">
        <v>17</v>
      </c>
      <c r="M1368" t="s">
        <v>27</v>
      </c>
      <c r="N1368" s="4" t="s">
        <v>5245</v>
      </c>
      <c r="O1368" s="4" t="s">
        <v>5246</v>
      </c>
      <c r="P1368" s="4" t="s">
        <v>233</v>
      </c>
    </row>
    <row r="1369" spans="1:16" x14ac:dyDescent="0.35">
      <c r="A1369" t="s">
        <v>5247</v>
      </c>
      <c r="B1369" t="s">
        <v>5248</v>
      </c>
      <c r="C1369" t="s">
        <v>16</v>
      </c>
      <c r="D1369" s="6">
        <v>6013912.1176340571</v>
      </c>
      <c r="E1369" s="6">
        <v>-1942928.34397671</v>
      </c>
      <c r="F1369" s="6">
        <v>1.4099999666213989</v>
      </c>
      <c r="G1369" s="6">
        <v>1.3899999856948853</v>
      </c>
      <c r="H1369" s="6" t="e">
        <v>#N/A</v>
      </c>
      <c r="I1369" s="6">
        <v>-7.217802923868144E-2</v>
      </c>
      <c r="J1369" s="6">
        <v>0</v>
      </c>
      <c r="K1369" s="6">
        <v>88.172326268141177</v>
      </c>
      <c r="L1369" t="s">
        <v>17</v>
      </c>
      <c r="M1369" t="s">
        <v>87</v>
      </c>
      <c r="N1369" s="4" t="s">
        <v>5249</v>
      </c>
      <c r="O1369" s="4" t="s">
        <v>5250</v>
      </c>
      <c r="P1369" s="4" t="s">
        <v>233</v>
      </c>
    </row>
    <row r="1370" spans="1:16" x14ac:dyDescent="0.35">
      <c r="A1370" t="s">
        <v>5251</v>
      </c>
      <c r="B1370" t="s">
        <v>5252</v>
      </c>
      <c r="C1370" t="s">
        <v>16</v>
      </c>
      <c r="D1370" s="6">
        <v>7735014.014840126</v>
      </c>
      <c r="E1370" s="6">
        <v>-21793734.985159874</v>
      </c>
      <c r="F1370" s="6">
        <v>0.32310000061988831</v>
      </c>
      <c r="G1370" s="6">
        <v>0.34070000052452087</v>
      </c>
      <c r="H1370" s="6">
        <v>0.65938775636711899</v>
      </c>
      <c r="I1370" s="6">
        <v>-0.64977294538813291</v>
      </c>
      <c r="J1370" s="6">
        <v>97098915</v>
      </c>
      <c r="K1370" s="6">
        <v>81.481481481481467</v>
      </c>
      <c r="L1370" t="s">
        <v>17</v>
      </c>
      <c r="M1370" t="s">
        <v>27</v>
      </c>
      <c r="N1370" s="4" t="s">
        <v>233</v>
      </c>
      <c r="O1370" s="4" t="s">
        <v>5253</v>
      </c>
      <c r="P1370" s="4" t="s">
        <v>13166</v>
      </c>
    </row>
    <row r="1371" spans="1:16" x14ac:dyDescent="0.35">
      <c r="A1371" t="s">
        <v>5254</v>
      </c>
      <c r="B1371" t="s">
        <v>5255</v>
      </c>
      <c r="C1371" t="s">
        <v>16</v>
      </c>
      <c r="D1371" s="6">
        <v>609260009.70964897</v>
      </c>
      <c r="E1371" s="6">
        <v>412287009.70964897</v>
      </c>
      <c r="F1371" s="6">
        <v>12.039999961853027</v>
      </c>
      <c r="G1371" s="6">
        <v>11.979999542236328</v>
      </c>
      <c r="H1371" s="6" t="e">
        <v>#N/A</v>
      </c>
      <c r="I1371" s="6">
        <v>-0.37793245799932362</v>
      </c>
      <c r="J1371" s="6">
        <v>0</v>
      </c>
      <c r="K1371" s="6">
        <v>-22.72727272727273</v>
      </c>
      <c r="L1371" t="s">
        <v>17</v>
      </c>
      <c r="M1371" t="s">
        <v>18</v>
      </c>
      <c r="N1371" s="4" t="s">
        <v>5256</v>
      </c>
      <c r="O1371" s="4" t="s">
        <v>5257</v>
      </c>
      <c r="P1371" s="4" t="s">
        <v>233</v>
      </c>
    </row>
    <row r="1372" spans="1:16" x14ac:dyDescent="0.35">
      <c r="A1372" t="s">
        <v>5258</v>
      </c>
      <c r="B1372" t="s">
        <v>5259</v>
      </c>
      <c r="C1372" t="s">
        <v>16</v>
      </c>
      <c r="D1372" s="6">
        <v>810951068.21786678</v>
      </c>
      <c r="E1372" s="6">
        <v>852311068.21786678</v>
      </c>
      <c r="F1372" s="6">
        <v>5.2399997711181641</v>
      </c>
      <c r="G1372" s="6">
        <v>5.25</v>
      </c>
      <c r="H1372" s="6">
        <v>6.2846763884675747</v>
      </c>
      <c r="I1372" s="6">
        <v>-0.45439658408781025</v>
      </c>
      <c r="J1372" s="6">
        <v>251415000</v>
      </c>
      <c r="K1372" s="6">
        <v>-2883.3333333333335</v>
      </c>
      <c r="L1372" t="s">
        <v>17</v>
      </c>
      <c r="M1372" t="s">
        <v>32</v>
      </c>
      <c r="N1372" s="4" t="s">
        <v>5260</v>
      </c>
      <c r="O1372" s="4" t="s">
        <v>5261</v>
      </c>
      <c r="P1372" s="4" t="s">
        <v>233</v>
      </c>
    </row>
    <row r="1373" spans="1:16" x14ac:dyDescent="0.35">
      <c r="A1373" t="s">
        <v>5262</v>
      </c>
      <c r="B1373" t="s">
        <v>5263</v>
      </c>
      <c r="C1373" t="s">
        <v>16</v>
      </c>
      <c r="D1373" s="6">
        <v>5489266.9436807632</v>
      </c>
      <c r="E1373" s="6">
        <v>28250715.387516931</v>
      </c>
      <c r="F1373" s="6">
        <v>0.52999997138977051</v>
      </c>
      <c r="G1373" s="6">
        <v>0.5185999870300293</v>
      </c>
      <c r="H1373" s="6" t="e">
        <v>#N/A</v>
      </c>
      <c r="I1373" s="6">
        <v>-0.85282055989824612</v>
      </c>
      <c r="J1373" s="6">
        <v>11724154.820570409</v>
      </c>
      <c r="K1373" s="6">
        <v>-1492.1822716638596</v>
      </c>
      <c r="L1373" t="s">
        <v>17</v>
      </c>
      <c r="M1373" t="s">
        <v>87</v>
      </c>
      <c r="N1373" s="4" t="s">
        <v>233</v>
      </c>
      <c r="O1373" s="4" t="s">
        <v>5264</v>
      </c>
      <c r="P1373" s="4" t="s">
        <v>13167</v>
      </c>
    </row>
    <row r="1374" spans="1:16" x14ac:dyDescent="0.35">
      <c r="A1374" t="s">
        <v>5265</v>
      </c>
      <c r="B1374" t="s">
        <v>5266</v>
      </c>
      <c r="C1374" t="s">
        <v>16</v>
      </c>
      <c r="D1374" s="6">
        <v>3105395.8637019396</v>
      </c>
      <c r="E1374" s="6">
        <v>5300395.8637019396</v>
      </c>
      <c r="F1374" s="6">
        <v>0.54799997806549072</v>
      </c>
      <c r="G1374" s="6">
        <v>0.57999998331069946</v>
      </c>
      <c r="H1374" s="6" t="e">
        <v>#N/A</v>
      </c>
      <c r="I1374" s="6">
        <v>-0.84308045175958735</v>
      </c>
      <c r="J1374" s="6">
        <v>33203000.000000004</v>
      </c>
      <c r="K1374" s="6">
        <v>88.854961832061079</v>
      </c>
      <c r="L1374" t="s">
        <v>17</v>
      </c>
      <c r="M1374" t="s">
        <v>32</v>
      </c>
      <c r="N1374" s="4" t="s">
        <v>5267</v>
      </c>
      <c r="O1374" s="4" t="s">
        <v>5268</v>
      </c>
      <c r="P1374" s="4" t="s">
        <v>233</v>
      </c>
    </row>
    <row r="1375" spans="1:16" x14ac:dyDescent="0.35">
      <c r="A1375" t="s">
        <v>5269</v>
      </c>
      <c r="B1375" t="s">
        <v>5270</v>
      </c>
      <c r="C1375" t="s">
        <v>16</v>
      </c>
      <c r="D1375" s="6" t="e">
        <v>#N/A</v>
      </c>
      <c r="E1375" s="6" t="e">
        <v>#N/A</v>
      </c>
      <c r="F1375" s="6">
        <v>9.9999999747524271E-7</v>
      </c>
      <c r="G1375" s="6">
        <v>9.9999999747524271E-7</v>
      </c>
      <c r="H1375" s="6" t="e">
        <v>#N/A</v>
      </c>
      <c r="I1375" s="6">
        <v>-0.99999586182873967</v>
      </c>
      <c r="J1375" s="6">
        <v>70936000</v>
      </c>
      <c r="K1375" s="6">
        <v>-86.259541984732806</v>
      </c>
      <c r="L1375" t="s">
        <v>17</v>
      </c>
      <c r="M1375" t="s">
        <v>27</v>
      </c>
      <c r="N1375" s="4" t="s">
        <v>5271</v>
      </c>
      <c r="O1375" s="4" t="s">
        <v>5272</v>
      </c>
      <c r="P1375" s="4" t="s">
        <v>233</v>
      </c>
    </row>
    <row r="1376" spans="1:16" x14ac:dyDescent="0.35">
      <c r="A1376" t="s">
        <v>5273</v>
      </c>
      <c r="B1376" t="s">
        <v>5274</v>
      </c>
      <c r="C1376" t="s">
        <v>16</v>
      </c>
      <c r="D1376" s="6">
        <v>3602562488.1994634</v>
      </c>
      <c r="E1376" s="6">
        <v>3424544488.1994634</v>
      </c>
      <c r="F1376" s="6">
        <v>66.230003356933594</v>
      </c>
      <c r="G1376" s="6">
        <v>65</v>
      </c>
      <c r="H1376" s="6" t="e">
        <v>#N/A</v>
      </c>
      <c r="I1376" s="6">
        <v>0.30999653552251827</v>
      </c>
      <c r="J1376" s="6">
        <v>136191000</v>
      </c>
      <c r="K1376" s="6">
        <v>-14.285714285714299</v>
      </c>
      <c r="L1376" t="s">
        <v>17</v>
      </c>
      <c r="M1376" t="s">
        <v>27</v>
      </c>
      <c r="N1376" s="4" t="s">
        <v>5275</v>
      </c>
      <c r="O1376" s="4" t="s">
        <v>5276</v>
      </c>
      <c r="P1376" s="4" t="s">
        <v>233</v>
      </c>
    </row>
    <row r="1377" spans="1:16" x14ac:dyDescent="0.35">
      <c r="A1377" t="s">
        <v>5277</v>
      </c>
      <c r="B1377" t="s">
        <v>5278</v>
      </c>
      <c r="C1377" t="s">
        <v>16</v>
      </c>
      <c r="D1377" s="6">
        <v>59730653.054301746</v>
      </c>
      <c r="E1377" s="6">
        <v>43541653.054301746</v>
      </c>
      <c r="F1377" s="6">
        <v>2.2400000095367432</v>
      </c>
      <c r="G1377" s="6">
        <v>2.2799999713897705</v>
      </c>
      <c r="H1377" s="6" t="e">
        <v>#N/A</v>
      </c>
      <c r="I1377" s="6">
        <v>0.20368954493100655</v>
      </c>
      <c r="J1377" s="6">
        <v>0</v>
      </c>
      <c r="K1377" s="6">
        <v>54.716981132075475</v>
      </c>
      <c r="L1377" t="s">
        <v>17</v>
      </c>
      <c r="M1377" t="s">
        <v>27</v>
      </c>
      <c r="N1377" s="4" t="s">
        <v>5279</v>
      </c>
      <c r="O1377" s="4" t="s">
        <v>5280</v>
      </c>
      <c r="P1377" s="4" t="s">
        <v>233</v>
      </c>
    </row>
    <row r="1378" spans="1:16" x14ac:dyDescent="0.35">
      <c r="A1378" t="s">
        <v>5281</v>
      </c>
      <c r="B1378" t="s">
        <v>5282</v>
      </c>
      <c r="C1378" t="s">
        <v>16</v>
      </c>
      <c r="D1378" s="6">
        <v>14519293.098731516</v>
      </c>
      <c r="E1378" s="6">
        <v>17977118.098731514</v>
      </c>
      <c r="F1378" s="6">
        <v>4.5199999809265137</v>
      </c>
      <c r="G1378" s="6">
        <v>4.6500000953674316</v>
      </c>
      <c r="H1378" s="6" t="e">
        <v>#N/A</v>
      </c>
      <c r="I1378" s="6">
        <v>-0.66268900770140138</v>
      </c>
      <c r="J1378" s="6">
        <v>0</v>
      </c>
      <c r="K1378" s="6">
        <v>16.666666666666671</v>
      </c>
      <c r="L1378" t="s">
        <v>17</v>
      </c>
      <c r="M1378" t="s">
        <v>87</v>
      </c>
      <c r="N1378" s="4" t="s">
        <v>5283</v>
      </c>
      <c r="O1378" s="4" t="s">
        <v>5284</v>
      </c>
      <c r="P1378" s="4" t="s">
        <v>233</v>
      </c>
    </row>
    <row r="1379" spans="1:16" x14ac:dyDescent="0.35">
      <c r="A1379" t="s">
        <v>5285</v>
      </c>
      <c r="B1379" t="s">
        <v>5286</v>
      </c>
      <c r="C1379" t="s">
        <v>16</v>
      </c>
      <c r="D1379" s="6">
        <v>37173317.52953396</v>
      </c>
      <c r="E1379" s="6">
        <v>33806088.52953396</v>
      </c>
      <c r="F1379" s="6">
        <v>9.380000114440918</v>
      </c>
      <c r="G1379" s="6">
        <v>9.9399995803833008</v>
      </c>
      <c r="H1379" s="6" t="e">
        <v>#N/A</v>
      </c>
      <c r="I1379" s="6">
        <v>-2.7566389138411473E-3</v>
      </c>
      <c r="J1379" s="6">
        <v>0</v>
      </c>
      <c r="K1379" s="6">
        <v>21.686746987951796</v>
      </c>
      <c r="L1379" t="s">
        <v>17</v>
      </c>
      <c r="M1379" t="s">
        <v>18</v>
      </c>
      <c r="N1379" s="4" t="s">
        <v>13445</v>
      </c>
      <c r="O1379" s="4" t="s">
        <v>13446</v>
      </c>
      <c r="P1379" s="4" t="s">
        <v>233</v>
      </c>
    </row>
    <row r="1380" spans="1:16" x14ac:dyDescent="0.35">
      <c r="A1380" t="s">
        <v>5287</v>
      </c>
      <c r="B1380" t="s">
        <v>5288</v>
      </c>
      <c r="C1380" t="s">
        <v>16</v>
      </c>
      <c r="D1380" s="6">
        <v>5453879.2555215349</v>
      </c>
      <c r="E1380" s="6">
        <v>7461223.2555215349</v>
      </c>
      <c r="F1380" s="6">
        <v>1.7999999523162842</v>
      </c>
      <c r="G1380" s="6">
        <v>1.8300000429153442</v>
      </c>
      <c r="H1380" s="6" t="e">
        <v>#N/A</v>
      </c>
      <c r="I1380" s="6">
        <v>-0.99638032405476451</v>
      </c>
      <c r="J1380" s="6">
        <v>0</v>
      </c>
      <c r="K1380" s="6">
        <v>-18.33619471403712</v>
      </c>
      <c r="L1380" t="s">
        <v>17</v>
      </c>
      <c r="M1380" t="s">
        <v>18</v>
      </c>
      <c r="N1380" s="4" t="s">
        <v>13392</v>
      </c>
      <c r="O1380" s="4" t="s">
        <v>13393</v>
      </c>
      <c r="P1380" s="4" t="s">
        <v>233</v>
      </c>
    </row>
    <row r="1381" spans="1:16" x14ac:dyDescent="0.35">
      <c r="A1381" t="s">
        <v>5289</v>
      </c>
      <c r="B1381" t="s">
        <v>5290</v>
      </c>
      <c r="C1381" t="s">
        <v>16</v>
      </c>
      <c r="D1381" s="6">
        <v>54740197.892333269</v>
      </c>
      <c r="E1381" s="6">
        <v>37028669.892333269</v>
      </c>
      <c r="F1381" s="6">
        <v>1.9900000095367432</v>
      </c>
      <c r="G1381" s="6">
        <v>1.9600000381469727</v>
      </c>
      <c r="H1381" s="6" t="e">
        <v>#N/A</v>
      </c>
      <c r="I1381" s="6">
        <v>-0.34890820676204326</v>
      </c>
      <c r="J1381" s="6">
        <v>0</v>
      </c>
      <c r="K1381" s="6">
        <v>-50.847457627118651</v>
      </c>
      <c r="L1381" t="s">
        <v>17</v>
      </c>
      <c r="M1381" t="s">
        <v>18</v>
      </c>
      <c r="N1381" s="4" t="s">
        <v>5291</v>
      </c>
      <c r="O1381" s="4" t="s">
        <v>5292</v>
      </c>
      <c r="P1381" s="4" t="s">
        <v>233</v>
      </c>
    </row>
    <row r="1382" spans="1:16" x14ac:dyDescent="0.35">
      <c r="A1382" t="s">
        <v>5293</v>
      </c>
      <c r="B1382" t="s">
        <v>5294</v>
      </c>
      <c r="C1382" t="s">
        <v>16</v>
      </c>
      <c r="D1382" s="6">
        <v>76116131.418671846</v>
      </c>
      <c r="E1382" s="6">
        <v>-21850868.581328154</v>
      </c>
      <c r="F1382" s="6">
        <v>1.2799999713897705</v>
      </c>
      <c r="G1382" s="6">
        <v>1.2599999904632568</v>
      </c>
      <c r="H1382" s="6" t="e">
        <v>#N/A</v>
      </c>
      <c r="I1382" s="6">
        <v>-0.72899014503238391</v>
      </c>
      <c r="J1382" s="6">
        <v>0</v>
      </c>
      <c r="K1382" s="6">
        <v>49.315068493150676</v>
      </c>
      <c r="L1382" t="s">
        <v>17</v>
      </c>
      <c r="M1382" t="s">
        <v>18</v>
      </c>
      <c r="N1382" s="4" t="s">
        <v>5295</v>
      </c>
      <c r="O1382" s="4" t="s">
        <v>5296</v>
      </c>
      <c r="P1382" s="4" t="s">
        <v>233</v>
      </c>
    </row>
    <row r="1383" spans="1:16" x14ac:dyDescent="0.35">
      <c r="A1383" t="s">
        <v>5297</v>
      </c>
      <c r="B1383" t="s">
        <v>5298</v>
      </c>
      <c r="C1383" t="s">
        <v>16</v>
      </c>
      <c r="D1383" s="6">
        <v>73808562.521593794</v>
      </c>
      <c r="E1383" s="6">
        <v>128304562.52159379</v>
      </c>
      <c r="F1383" s="6">
        <v>1.3300000429153442</v>
      </c>
      <c r="G1383" s="6">
        <v>1.2799999713897705</v>
      </c>
      <c r="H1383" s="6" t="e">
        <v>#N/A</v>
      </c>
      <c r="I1383" s="6">
        <v>6.3819706193270598E-2</v>
      </c>
      <c r="J1383" s="6">
        <v>4189000</v>
      </c>
      <c r="K1383" s="6">
        <v>19.406135080779652</v>
      </c>
      <c r="L1383" t="s">
        <v>17</v>
      </c>
      <c r="M1383" t="s">
        <v>27</v>
      </c>
      <c r="N1383" s="4" t="s">
        <v>5299</v>
      </c>
      <c r="O1383" s="4" t="s">
        <v>5300</v>
      </c>
      <c r="P1383" s="4" t="s">
        <v>233</v>
      </c>
    </row>
    <row r="1384" spans="1:16" x14ac:dyDescent="0.35">
      <c r="A1384" t="s">
        <v>5301</v>
      </c>
      <c r="B1384" t="s">
        <v>5302</v>
      </c>
      <c r="C1384" t="s">
        <v>16</v>
      </c>
      <c r="D1384" s="6">
        <v>4477922.8277180195</v>
      </c>
      <c r="E1384" s="6">
        <v>7353922.8277180195</v>
      </c>
      <c r="F1384" s="6">
        <v>1.0099999904632568</v>
      </c>
      <c r="G1384" s="6">
        <v>1</v>
      </c>
      <c r="H1384" s="6" t="e">
        <v>#N/A</v>
      </c>
      <c r="I1384" s="6">
        <v>-0.99591763343044193</v>
      </c>
      <c r="J1384" s="6">
        <v>0</v>
      </c>
      <c r="K1384" s="6">
        <v>99.668390433096647</v>
      </c>
      <c r="L1384" t="s">
        <v>17</v>
      </c>
      <c r="M1384" t="s">
        <v>18</v>
      </c>
      <c r="N1384" s="4" t="s">
        <v>5303</v>
      </c>
      <c r="O1384" s="4" t="s">
        <v>5304</v>
      </c>
      <c r="P1384" s="4" t="s">
        <v>233</v>
      </c>
    </row>
    <row r="1385" spans="1:16" x14ac:dyDescent="0.35">
      <c r="A1385" t="s">
        <v>5305</v>
      </c>
      <c r="B1385" t="s">
        <v>5306</v>
      </c>
      <c r="C1385" t="s">
        <v>16</v>
      </c>
      <c r="D1385" s="6">
        <v>6627128.7871406684</v>
      </c>
      <c r="E1385" s="6">
        <v>3601128.7871406684</v>
      </c>
      <c r="F1385" s="6">
        <v>0.69999998807907104</v>
      </c>
      <c r="G1385" s="6">
        <v>0.38539999723434448</v>
      </c>
      <c r="H1385" s="6" t="e">
        <v>#N/A</v>
      </c>
      <c r="I1385" s="6">
        <v>-0.43911215245649049</v>
      </c>
      <c r="J1385" s="6">
        <v>1176000</v>
      </c>
      <c r="K1385" s="6">
        <v>90</v>
      </c>
      <c r="L1385" t="s">
        <v>17</v>
      </c>
      <c r="M1385" t="s">
        <v>27</v>
      </c>
      <c r="N1385" s="4" t="s">
        <v>5307</v>
      </c>
      <c r="O1385" s="4" t="s">
        <v>5308</v>
      </c>
      <c r="P1385" s="4" t="s">
        <v>233</v>
      </c>
    </row>
    <row r="1386" spans="1:16" x14ac:dyDescent="0.35">
      <c r="A1386" t="s">
        <v>5309</v>
      </c>
      <c r="B1386" t="s">
        <v>5310</v>
      </c>
      <c r="C1386" t="s">
        <v>16</v>
      </c>
      <c r="D1386" s="6">
        <v>1093387753.8904552</v>
      </c>
      <c r="E1386" s="6">
        <v>1165855753.8904552</v>
      </c>
      <c r="F1386" s="6">
        <v>13.060000419616699</v>
      </c>
      <c r="G1386" s="6">
        <v>13.050000190734863</v>
      </c>
      <c r="H1386" s="6" t="e">
        <v>#N/A</v>
      </c>
      <c r="I1386" s="6">
        <v>-0.10214047603126453</v>
      </c>
      <c r="J1386" s="6">
        <v>244995000</v>
      </c>
      <c r="K1386" s="6">
        <v>13.083132897495759</v>
      </c>
      <c r="L1386" t="s">
        <v>17</v>
      </c>
      <c r="M1386" t="s">
        <v>27</v>
      </c>
      <c r="N1386" s="4" t="s">
        <v>5311</v>
      </c>
      <c r="O1386" s="4" t="s">
        <v>5312</v>
      </c>
      <c r="P1386" s="4" t="s">
        <v>233</v>
      </c>
    </row>
    <row r="1387" spans="1:16" x14ac:dyDescent="0.35">
      <c r="A1387" t="s">
        <v>5313</v>
      </c>
      <c r="B1387" t="s">
        <v>5314</v>
      </c>
      <c r="C1387" t="s">
        <v>16</v>
      </c>
      <c r="D1387" s="6">
        <v>126411783.99647474</v>
      </c>
      <c r="E1387" s="6">
        <v>126219605.99647474</v>
      </c>
      <c r="F1387" s="6">
        <v>0.80750000476837158</v>
      </c>
      <c r="G1387" s="6">
        <v>0.8399999737739563</v>
      </c>
      <c r="H1387" s="6">
        <v>146.80083349574534</v>
      </c>
      <c r="I1387" s="6">
        <v>-0.90220699535944604</v>
      </c>
      <c r="J1387" s="6">
        <v>16193763</v>
      </c>
      <c r="K1387" s="6">
        <v>-38.888888888888893</v>
      </c>
      <c r="L1387" t="s">
        <v>17</v>
      </c>
      <c r="M1387" t="s">
        <v>27</v>
      </c>
      <c r="N1387" s="4" t="s">
        <v>233</v>
      </c>
      <c r="O1387" s="4" t="s">
        <v>5315</v>
      </c>
      <c r="P1387" s="4" t="s">
        <v>13168</v>
      </c>
    </row>
    <row r="1388" spans="1:16" x14ac:dyDescent="0.35">
      <c r="A1388" t="s">
        <v>5316</v>
      </c>
      <c r="B1388" t="s">
        <v>5317</v>
      </c>
      <c r="C1388" t="s">
        <v>16</v>
      </c>
      <c r="D1388" s="6" t="e">
        <v>#N/A</v>
      </c>
      <c r="E1388" s="6" t="e">
        <v>#N/A</v>
      </c>
      <c r="F1388" s="6" t="e">
        <v>#N/A</v>
      </c>
      <c r="G1388" s="6" t="e">
        <v>#N/A</v>
      </c>
      <c r="H1388" s="6" t="e">
        <v>#N/A</v>
      </c>
      <c r="I1388" s="6">
        <v>-0.99999855877661181</v>
      </c>
      <c r="J1388" s="6">
        <v>51693000</v>
      </c>
      <c r="K1388" s="6">
        <v>74.452121212121213</v>
      </c>
      <c r="L1388" t="s">
        <v>17</v>
      </c>
      <c r="M1388" t="s">
        <v>27</v>
      </c>
      <c r="N1388" s="4" t="s">
        <v>5318</v>
      </c>
      <c r="O1388" s="4" t="s">
        <v>5319</v>
      </c>
      <c r="P1388" s="4" t="s">
        <v>233</v>
      </c>
    </row>
    <row r="1389" spans="1:16" x14ac:dyDescent="0.35">
      <c r="A1389" t="s">
        <v>5320</v>
      </c>
      <c r="B1389" t="s">
        <v>5321</v>
      </c>
      <c r="C1389" t="s">
        <v>16</v>
      </c>
      <c r="D1389" s="6">
        <v>41573019</v>
      </c>
      <c r="E1389" s="6">
        <v>46593019</v>
      </c>
      <c r="F1389" s="6">
        <v>1.5</v>
      </c>
      <c r="G1389" s="6">
        <v>1.190000057220459</v>
      </c>
      <c r="H1389" s="6" t="e">
        <v>#N/A</v>
      </c>
      <c r="I1389" s="6">
        <v>-0.73952618733911835</v>
      </c>
      <c r="J1389" s="6">
        <v>0</v>
      </c>
      <c r="K1389" s="6">
        <v>3.8216063586596749</v>
      </c>
      <c r="L1389" t="s">
        <v>17</v>
      </c>
      <c r="M1389" t="s">
        <v>18</v>
      </c>
      <c r="N1389" s="4" t="s">
        <v>5322</v>
      </c>
      <c r="O1389" s="4" t="s">
        <v>5323</v>
      </c>
      <c r="P1389" s="4" t="s">
        <v>233</v>
      </c>
    </row>
    <row r="1390" spans="1:16" x14ac:dyDescent="0.35">
      <c r="A1390" t="s">
        <v>5324</v>
      </c>
      <c r="B1390" t="s">
        <v>5325</v>
      </c>
      <c r="C1390" t="s">
        <v>16</v>
      </c>
      <c r="D1390" s="6">
        <v>3654793.142337441</v>
      </c>
      <c r="E1390" s="6">
        <v>-7280558.8576625586</v>
      </c>
      <c r="F1390" s="6">
        <v>1.8899999856948853</v>
      </c>
      <c r="G1390" s="6">
        <v>1.9099999666213989</v>
      </c>
      <c r="H1390" s="6" t="e">
        <v>#N/A</v>
      </c>
      <c r="I1390" s="6">
        <v>-0.67172533948297186</v>
      </c>
      <c r="J1390" s="6">
        <v>0</v>
      </c>
      <c r="K1390" s="6">
        <v>61.92</v>
      </c>
      <c r="L1390" t="s">
        <v>17</v>
      </c>
      <c r="M1390" t="s">
        <v>18</v>
      </c>
      <c r="N1390" s="4" t="s">
        <v>5326</v>
      </c>
      <c r="O1390" s="4" t="s">
        <v>5327</v>
      </c>
      <c r="P1390" s="4" t="s">
        <v>233</v>
      </c>
    </row>
    <row r="1391" spans="1:16" x14ac:dyDescent="0.35">
      <c r="A1391" t="s">
        <v>13481</v>
      </c>
      <c r="B1391" t="s">
        <v>5328</v>
      </c>
      <c r="C1391" t="s">
        <v>16</v>
      </c>
      <c r="D1391" s="6">
        <v>169236274.49999997</v>
      </c>
      <c r="E1391" s="6">
        <v>440666274.49999988</v>
      </c>
      <c r="F1391" s="6">
        <v>1.5</v>
      </c>
      <c r="G1391" s="6">
        <v>1.4500000476837158</v>
      </c>
      <c r="H1391" s="6">
        <v>2.6564140889119505</v>
      </c>
      <c r="I1391" s="6">
        <v>-0.46337136005668689</v>
      </c>
      <c r="J1391" s="6">
        <v>414096000</v>
      </c>
      <c r="K1391" s="6">
        <v>809.88347826086977</v>
      </c>
      <c r="L1391" t="s">
        <v>17</v>
      </c>
      <c r="M1391" t="s">
        <v>87</v>
      </c>
      <c r="N1391" s="4" t="s">
        <v>233</v>
      </c>
      <c r="O1391" s="4" t="s">
        <v>13482</v>
      </c>
      <c r="P1391" s="4" t="s">
        <v>13483</v>
      </c>
    </row>
    <row r="1392" spans="1:16" x14ac:dyDescent="0.35">
      <c r="A1392" t="s">
        <v>5329</v>
      </c>
      <c r="B1392" t="s">
        <v>5330</v>
      </c>
      <c r="C1392" t="s">
        <v>16</v>
      </c>
      <c r="D1392" s="6">
        <v>114551280.87717474</v>
      </c>
      <c r="E1392" s="6">
        <v>-125162719.12282526</v>
      </c>
      <c r="F1392" s="6">
        <v>1.6200000047683716</v>
      </c>
      <c r="G1392" s="6">
        <v>1.6200000047683716</v>
      </c>
      <c r="H1392" s="6" t="e">
        <v>#N/A</v>
      </c>
      <c r="I1392" s="6">
        <v>-0.33532218087554433</v>
      </c>
      <c r="J1392" s="6">
        <v>0</v>
      </c>
      <c r="K1392" s="6">
        <v>-59.420289855072468</v>
      </c>
      <c r="L1392" t="s">
        <v>17</v>
      </c>
      <c r="M1392" t="s">
        <v>87</v>
      </c>
      <c r="N1392" s="4" t="s">
        <v>5331</v>
      </c>
      <c r="O1392" s="4" t="s">
        <v>5332</v>
      </c>
      <c r="P1392" s="4" t="s">
        <v>233</v>
      </c>
    </row>
    <row r="1393" spans="1:16" x14ac:dyDescent="0.35">
      <c r="A1393" t="s">
        <v>5333</v>
      </c>
      <c r="B1393" t="s">
        <v>5334</v>
      </c>
      <c r="C1393" t="s">
        <v>16</v>
      </c>
      <c r="D1393" s="6">
        <v>7449456042.1027308</v>
      </c>
      <c r="E1393" s="6">
        <v>2749760042.1027317</v>
      </c>
      <c r="F1393" s="6">
        <v>10.439999580383301</v>
      </c>
      <c r="G1393" s="6">
        <v>10.350000381469727</v>
      </c>
      <c r="H1393" s="6" t="e">
        <v>#N/A</v>
      </c>
      <c r="I1393" s="6">
        <v>-3.945253377532254E-2</v>
      </c>
      <c r="J1393" s="6">
        <v>97555000</v>
      </c>
      <c r="K1393" s="6" t="e">
        <v>#N/A</v>
      </c>
      <c r="L1393" t="s">
        <v>17</v>
      </c>
      <c r="M1393" t="s">
        <v>18</v>
      </c>
      <c r="N1393" s="4" t="s">
        <v>233</v>
      </c>
      <c r="O1393" s="4" t="s">
        <v>5335</v>
      </c>
      <c r="P1393" s="4" t="s">
        <v>13169</v>
      </c>
    </row>
    <row r="1394" spans="1:16" x14ac:dyDescent="0.35">
      <c r="A1394" t="s">
        <v>5336</v>
      </c>
      <c r="B1394" t="s">
        <v>5337</v>
      </c>
      <c r="C1394" t="s">
        <v>16</v>
      </c>
      <c r="D1394" s="6">
        <v>329350199.27205086</v>
      </c>
      <c r="E1394" s="6">
        <v>425570199.27205086</v>
      </c>
      <c r="F1394" s="6">
        <v>5.690000057220459</v>
      </c>
      <c r="G1394" s="6">
        <v>5.25</v>
      </c>
      <c r="H1394" s="6" t="e">
        <v>#N/A</v>
      </c>
      <c r="I1394" s="6">
        <v>-0.19810664205394712</v>
      </c>
      <c r="J1394" s="6">
        <v>188780000</v>
      </c>
      <c r="K1394" s="6">
        <v>-7.6923076923076987</v>
      </c>
      <c r="L1394" t="s">
        <v>17</v>
      </c>
      <c r="M1394" t="s">
        <v>40</v>
      </c>
      <c r="N1394" s="4" t="s">
        <v>5338</v>
      </c>
      <c r="O1394" s="4" t="s">
        <v>5339</v>
      </c>
      <c r="P1394" s="4" t="s">
        <v>233</v>
      </c>
    </row>
    <row r="1395" spans="1:16" x14ac:dyDescent="0.35">
      <c r="A1395" t="s">
        <v>5340</v>
      </c>
      <c r="B1395" t="s">
        <v>5341</v>
      </c>
      <c r="C1395" t="s">
        <v>16</v>
      </c>
      <c r="D1395" s="6">
        <v>533711619.00598711</v>
      </c>
      <c r="E1395" s="6">
        <v>735274619.00598717</v>
      </c>
      <c r="F1395" s="6">
        <v>3.5799999237060547</v>
      </c>
      <c r="G1395" s="6">
        <v>3.4900000095367432</v>
      </c>
      <c r="H1395" s="6" t="e">
        <v>#N/A</v>
      </c>
      <c r="I1395" s="6">
        <v>0.21291767995536981</v>
      </c>
      <c r="J1395" s="6">
        <v>187361000</v>
      </c>
      <c r="K1395" s="6">
        <v>-2.4671622769447927E-14</v>
      </c>
      <c r="L1395" t="s">
        <v>17</v>
      </c>
      <c r="M1395" t="s">
        <v>87</v>
      </c>
      <c r="N1395" s="4" t="s">
        <v>5342</v>
      </c>
      <c r="O1395" s="4" t="s">
        <v>5343</v>
      </c>
      <c r="P1395" s="4" t="s">
        <v>233</v>
      </c>
    </row>
    <row r="1396" spans="1:16" x14ac:dyDescent="0.35">
      <c r="A1396" t="s">
        <v>5344</v>
      </c>
      <c r="B1396" t="s">
        <v>5345</v>
      </c>
      <c r="C1396" t="s">
        <v>16</v>
      </c>
      <c r="D1396" s="6">
        <v>166762994.88566494</v>
      </c>
      <c r="E1396" s="6">
        <v>149593994.88566494</v>
      </c>
      <c r="F1396" s="6">
        <v>6.8600001335144043</v>
      </c>
      <c r="G1396" s="6">
        <v>6.380000114440918</v>
      </c>
      <c r="H1396" s="6" t="e">
        <v>#N/A</v>
      </c>
      <c r="I1396" s="6">
        <v>-0.10533345999643073</v>
      </c>
      <c r="J1396" s="6">
        <v>0</v>
      </c>
      <c r="K1396" s="6">
        <v>21.495182678654341</v>
      </c>
      <c r="L1396" t="s">
        <v>17</v>
      </c>
      <c r="M1396" t="s">
        <v>18</v>
      </c>
      <c r="N1396" s="4" t="s">
        <v>5346</v>
      </c>
      <c r="O1396" s="4" t="s">
        <v>5347</v>
      </c>
      <c r="P1396" s="4" t="s">
        <v>233</v>
      </c>
    </row>
    <row r="1397" spans="1:16" x14ac:dyDescent="0.35">
      <c r="A1397" t="s">
        <v>5348</v>
      </c>
      <c r="B1397" t="s">
        <v>5349</v>
      </c>
      <c r="C1397" t="s">
        <v>16</v>
      </c>
      <c r="D1397" s="6">
        <v>395615614.53099436</v>
      </c>
      <c r="E1397" s="6">
        <v>189022614.53099439</v>
      </c>
      <c r="F1397" s="6">
        <v>7.9200000762939453</v>
      </c>
      <c r="G1397" s="6">
        <v>7.5900001525878906</v>
      </c>
      <c r="H1397" s="6" t="e">
        <v>#N/A</v>
      </c>
      <c r="I1397" s="6">
        <v>-0.10883007979122106</v>
      </c>
      <c r="J1397" s="6">
        <v>0</v>
      </c>
      <c r="K1397" s="6">
        <v>1.5306122448979607</v>
      </c>
      <c r="L1397" t="s">
        <v>17</v>
      </c>
      <c r="M1397" t="s">
        <v>18</v>
      </c>
      <c r="N1397" s="4" t="s">
        <v>5350</v>
      </c>
      <c r="O1397" s="4" t="s">
        <v>5351</v>
      </c>
      <c r="P1397" s="4" t="s">
        <v>233</v>
      </c>
    </row>
    <row r="1398" spans="1:16" x14ac:dyDescent="0.35">
      <c r="A1398" t="s">
        <v>5352</v>
      </c>
      <c r="B1398" t="s">
        <v>5353</v>
      </c>
      <c r="C1398" t="s">
        <v>16</v>
      </c>
      <c r="D1398" s="6">
        <v>12674.768079808418</v>
      </c>
      <c r="E1398" s="6">
        <v>-30382325.23192019</v>
      </c>
      <c r="F1398" s="6">
        <v>9.9999997473787516E-5</v>
      </c>
      <c r="G1398" s="6">
        <v>9.9999997473787516E-5</v>
      </c>
      <c r="H1398" s="6" t="e">
        <v>#N/A</v>
      </c>
      <c r="I1398" s="6">
        <v>-0.9998516369255509</v>
      </c>
      <c r="J1398" s="6">
        <v>0</v>
      </c>
      <c r="K1398" s="6">
        <v>24.999999999999996</v>
      </c>
      <c r="L1398" t="s">
        <v>17</v>
      </c>
      <c r="M1398" t="s">
        <v>18</v>
      </c>
      <c r="N1398" s="4" t="s">
        <v>5354</v>
      </c>
      <c r="O1398" s="4" t="s">
        <v>5355</v>
      </c>
      <c r="P1398" s="4" t="s">
        <v>233</v>
      </c>
    </row>
    <row r="1399" spans="1:16" x14ac:dyDescent="0.35">
      <c r="A1399" t="s">
        <v>13301</v>
      </c>
      <c r="B1399" t="s">
        <v>5356</v>
      </c>
      <c r="C1399" t="s">
        <v>16</v>
      </c>
      <c r="D1399" s="6">
        <v>940610.25</v>
      </c>
      <c r="E1399" s="6">
        <v>-5674389.7500000019</v>
      </c>
      <c r="F1399" s="6">
        <v>2.25</v>
      </c>
      <c r="G1399" s="6">
        <v>2.25</v>
      </c>
      <c r="H1399" s="6" t="e">
        <v>#N/A</v>
      </c>
      <c r="I1399" s="6">
        <v>-0.93329159347920254</v>
      </c>
      <c r="J1399" s="6">
        <v>43865000</v>
      </c>
      <c r="K1399" s="6">
        <v>48.818897637795274</v>
      </c>
      <c r="L1399" t="s">
        <v>17</v>
      </c>
      <c r="M1399" t="s">
        <v>27</v>
      </c>
      <c r="N1399" s="4" t="s">
        <v>13302</v>
      </c>
      <c r="O1399" s="4" t="s">
        <v>13303</v>
      </c>
      <c r="P1399" s="4" t="s">
        <v>233</v>
      </c>
    </row>
    <row r="1400" spans="1:16" x14ac:dyDescent="0.35">
      <c r="A1400" t="s">
        <v>5357</v>
      </c>
      <c r="B1400" t="s">
        <v>5358</v>
      </c>
      <c r="C1400" t="s">
        <v>16</v>
      </c>
      <c r="D1400" s="6">
        <v>474859467.04795361</v>
      </c>
      <c r="E1400" s="6">
        <v>191120467.04795355</v>
      </c>
      <c r="F1400" s="6">
        <v>12.689999580383301</v>
      </c>
      <c r="G1400" s="6">
        <v>12.010000228881836</v>
      </c>
      <c r="H1400" s="6" t="e">
        <v>#N/A</v>
      </c>
      <c r="I1400" s="6">
        <v>-0.16307249457013695</v>
      </c>
      <c r="J1400" s="6">
        <v>129013000</v>
      </c>
      <c r="K1400" s="6">
        <v>93.377483443708613</v>
      </c>
      <c r="L1400" t="s">
        <v>17</v>
      </c>
      <c r="M1400" t="s">
        <v>18</v>
      </c>
      <c r="N1400" s="4" t="s">
        <v>5359</v>
      </c>
      <c r="O1400" s="4" t="s">
        <v>5360</v>
      </c>
      <c r="P1400" s="4" t="s">
        <v>233</v>
      </c>
    </row>
    <row r="1401" spans="1:16" x14ac:dyDescent="0.35">
      <c r="A1401" t="s">
        <v>5361</v>
      </c>
      <c r="B1401" t="s">
        <v>5362</v>
      </c>
      <c r="C1401" t="s">
        <v>16</v>
      </c>
      <c r="D1401" s="6">
        <v>7972225.6866202354</v>
      </c>
      <c r="E1401" s="6">
        <v>20161624.686620235</v>
      </c>
      <c r="F1401" s="6">
        <v>0.54809999465942383</v>
      </c>
      <c r="G1401" s="6">
        <v>0.56000000238418579</v>
      </c>
      <c r="H1401" s="6" t="e">
        <v>#N/A</v>
      </c>
      <c r="I1401" s="6">
        <v>-0.9163374456004364</v>
      </c>
      <c r="J1401" s="6">
        <v>58465</v>
      </c>
      <c r="K1401" s="6">
        <v>-99.090909090909065</v>
      </c>
      <c r="L1401" t="s">
        <v>17</v>
      </c>
      <c r="M1401" t="s">
        <v>18</v>
      </c>
      <c r="N1401" s="4" t="s">
        <v>5363</v>
      </c>
      <c r="O1401" s="4" t="s">
        <v>5364</v>
      </c>
      <c r="P1401" s="4" t="s">
        <v>233</v>
      </c>
    </row>
    <row r="1402" spans="1:16" x14ac:dyDescent="0.35">
      <c r="A1402" t="s">
        <v>5365</v>
      </c>
      <c r="B1402" t="s">
        <v>5366</v>
      </c>
      <c r="C1402" t="s">
        <v>16</v>
      </c>
      <c r="D1402" s="6" t="e">
        <v>#N/A</v>
      </c>
      <c r="E1402" s="6" t="e">
        <v>#N/A</v>
      </c>
      <c r="F1402" s="6">
        <v>9.9999999747524271E-7</v>
      </c>
      <c r="G1402" s="6">
        <v>9.9999999747524271E-7</v>
      </c>
      <c r="H1402" s="6" t="e">
        <v>#N/A</v>
      </c>
      <c r="I1402" s="6">
        <v>4.4408920985006262E-16</v>
      </c>
      <c r="J1402" s="6">
        <v>1109669000</v>
      </c>
      <c r="K1402" s="6">
        <v>93.067821067821072</v>
      </c>
      <c r="L1402" t="s">
        <v>17</v>
      </c>
      <c r="M1402" t="s">
        <v>32</v>
      </c>
      <c r="N1402" s="4" t="s">
        <v>233</v>
      </c>
      <c r="O1402" s="4" t="s">
        <v>5367</v>
      </c>
      <c r="P1402" s="4" t="s">
        <v>13170</v>
      </c>
    </row>
    <row r="1403" spans="1:16" x14ac:dyDescent="0.35">
      <c r="A1403" t="s">
        <v>5368</v>
      </c>
      <c r="B1403" t="s">
        <v>5369</v>
      </c>
      <c r="C1403" t="s">
        <v>16</v>
      </c>
      <c r="D1403" s="6">
        <v>25536663.48296928</v>
      </c>
      <c r="E1403" s="6" t="e">
        <v>#N/A</v>
      </c>
      <c r="F1403" s="6">
        <v>7.5799999237060547</v>
      </c>
      <c r="G1403" s="6">
        <v>7.8000001907348633</v>
      </c>
      <c r="H1403" s="6" t="e">
        <v>#N/A</v>
      </c>
      <c r="I1403" s="6">
        <v>-0.81335933153704876</v>
      </c>
      <c r="J1403" s="6">
        <v>895479</v>
      </c>
      <c r="K1403" s="6">
        <v>12.903225806451625</v>
      </c>
      <c r="L1403" t="s">
        <v>17</v>
      </c>
      <c r="M1403" t="s">
        <v>18</v>
      </c>
      <c r="N1403" s="4" t="s">
        <v>233</v>
      </c>
      <c r="O1403" s="4" t="s">
        <v>5370</v>
      </c>
      <c r="P1403" s="4" t="s">
        <v>13283</v>
      </c>
    </row>
    <row r="1404" spans="1:16" x14ac:dyDescent="0.35">
      <c r="A1404" t="s">
        <v>5371</v>
      </c>
      <c r="B1404" t="s">
        <v>5372</v>
      </c>
      <c r="C1404" t="s">
        <v>16</v>
      </c>
      <c r="D1404" s="6">
        <v>77109635.166427612</v>
      </c>
      <c r="E1404" s="6" t="e">
        <v>#N/A</v>
      </c>
      <c r="F1404" s="6">
        <v>0.74800002574920654</v>
      </c>
      <c r="G1404" s="6">
        <v>0.70999997854232788</v>
      </c>
      <c r="H1404" s="6" t="e">
        <v>#N/A</v>
      </c>
      <c r="I1404" s="6">
        <v>0.41934039055924877</v>
      </c>
      <c r="J1404" s="6" t="e">
        <v>#N/A</v>
      </c>
      <c r="K1404" s="6" t="e">
        <v>#N/A</v>
      </c>
      <c r="L1404" t="s">
        <v>17</v>
      </c>
      <c r="M1404" t="s">
        <v>18</v>
      </c>
      <c r="N1404" s="4" t="s">
        <v>233</v>
      </c>
      <c r="O1404" s="4" t="s">
        <v>5373</v>
      </c>
      <c r="P1404" s="4" t="s">
        <v>13171</v>
      </c>
    </row>
    <row r="1405" spans="1:16" x14ac:dyDescent="0.35">
      <c r="A1405" t="s">
        <v>13311</v>
      </c>
      <c r="B1405" t="s">
        <v>13312</v>
      </c>
      <c r="C1405" t="s">
        <v>16</v>
      </c>
      <c r="D1405" s="6">
        <v>29214156.213222746</v>
      </c>
      <c r="E1405" s="6">
        <v>30929063.213222746</v>
      </c>
      <c r="F1405" s="6">
        <v>0.88249999284744263</v>
      </c>
      <c r="G1405" s="6">
        <v>0.88999998569488525</v>
      </c>
      <c r="H1405" s="6" t="e">
        <v>#N/A</v>
      </c>
      <c r="I1405" s="6">
        <v>-0.9995293543352084</v>
      </c>
      <c r="J1405" s="6" t="e">
        <v>#N/A</v>
      </c>
      <c r="K1405" s="6" t="e">
        <v>#N/A</v>
      </c>
      <c r="L1405" t="s">
        <v>17</v>
      </c>
      <c r="M1405" t="s">
        <v>87</v>
      </c>
      <c r="N1405" s="4" t="s">
        <v>13313</v>
      </c>
      <c r="O1405" s="4" t="s">
        <v>13314</v>
      </c>
      <c r="P1405" s="4" t="s">
        <v>233</v>
      </c>
    </row>
    <row r="1406" spans="1:16" x14ac:dyDescent="0.35">
      <c r="A1406" t="s">
        <v>5374</v>
      </c>
      <c r="B1406" t="s">
        <v>5375</v>
      </c>
      <c r="C1406" t="s">
        <v>16</v>
      </c>
      <c r="D1406" s="6">
        <v>27256713.869390965</v>
      </c>
      <c r="E1406" s="6">
        <v>26693364.869390965</v>
      </c>
      <c r="F1406" s="6">
        <v>1.7400000095367432</v>
      </c>
      <c r="G1406" s="6">
        <v>1.7200000286102295</v>
      </c>
      <c r="H1406" s="6" t="e">
        <v>#N/A</v>
      </c>
      <c r="I1406" s="6">
        <v>-0.85176913452459768</v>
      </c>
      <c r="J1406" s="6" t="e">
        <v>#N/A</v>
      </c>
      <c r="K1406" s="6">
        <v>-689.65425317352583</v>
      </c>
      <c r="L1406" t="s">
        <v>17</v>
      </c>
      <c r="M1406" t="s">
        <v>32</v>
      </c>
      <c r="N1406" s="4" t="s">
        <v>5376</v>
      </c>
      <c r="O1406" s="4" t="s">
        <v>5377</v>
      </c>
      <c r="P1406" s="4" t="s">
        <v>233</v>
      </c>
    </row>
    <row r="1407" spans="1:16" x14ac:dyDescent="0.35">
      <c r="A1407" t="s">
        <v>5378</v>
      </c>
      <c r="B1407" t="s">
        <v>5379</v>
      </c>
      <c r="C1407" t="s">
        <v>16</v>
      </c>
      <c r="D1407" s="6">
        <v>123296329.21184066</v>
      </c>
      <c r="E1407" s="6">
        <v>158164329.21184066</v>
      </c>
      <c r="F1407" s="6">
        <v>2.3900001049041748</v>
      </c>
      <c r="G1407" s="6">
        <v>2.2999999523162842</v>
      </c>
      <c r="H1407" s="6" t="e">
        <v>#N/A</v>
      </c>
      <c r="I1407" s="6">
        <v>-0.59528201161185623</v>
      </c>
      <c r="J1407" s="6">
        <v>100387000</v>
      </c>
      <c r="K1407" s="6">
        <v>38.008415147265076</v>
      </c>
      <c r="L1407" t="s">
        <v>17</v>
      </c>
      <c r="M1407" t="s">
        <v>18</v>
      </c>
      <c r="N1407" s="4" t="s">
        <v>5380</v>
      </c>
      <c r="O1407" s="4" t="s">
        <v>5381</v>
      </c>
      <c r="P1407" s="4" t="s">
        <v>233</v>
      </c>
    </row>
    <row r="1408" spans="1:16" x14ac:dyDescent="0.35">
      <c r="A1408" t="s">
        <v>5382</v>
      </c>
      <c r="B1408" t="s">
        <v>5383</v>
      </c>
      <c r="C1408" t="s">
        <v>16</v>
      </c>
      <c r="D1408" s="6">
        <v>60300801.350713007</v>
      </c>
      <c r="E1408" s="6">
        <v>-18559198.649286993</v>
      </c>
      <c r="F1408" s="6">
        <v>0.91530001163482666</v>
      </c>
      <c r="G1408" s="6">
        <v>0.92000001668930054</v>
      </c>
      <c r="H1408" s="6" t="e">
        <v>#N/A</v>
      </c>
      <c r="I1408" s="6">
        <v>-0.45749415410370819</v>
      </c>
      <c r="J1408" s="6">
        <v>0</v>
      </c>
      <c r="K1408" s="6">
        <v>44.45280760744788</v>
      </c>
      <c r="L1408" t="s">
        <v>17</v>
      </c>
      <c r="M1408" t="s">
        <v>18</v>
      </c>
      <c r="N1408" s="4" t="s">
        <v>5384</v>
      </c>
      <c r="O1408" s="4" t="s">
        <v>5385</v>
      </c>
      <c r="P1408" s="4" t="s">
        <v>233</v>
      </c>
    </row>
    <row r="1409" spans="1:16" x14ac:dyDescent="0.35">
      <c r="A1409" t="s">
        <v>5386</v>
      </c>
      <c r="B1409" t="s">
        <v>5387</v>
      </c>
      <c r="C1409" t="s">
        <v>16</v>
      </c>
      <c r="D1409" s="6">
        <v>290585064.17703426</v>
      </c>
      <c r="E1409" s="6">
        <v>297006447.17703426</v>
      </c>
      <c r="F1409" s="6">
        <v>1.6599999666213989</v>
      </c>
      <c r="G1409" s="6">
        <v>1.5099999904632568</v>
      </c>
      <c r="H1409" s="6">
        <v>61.148560305794369</v>
      </c>
      <c r="I1409" s="6">
        <v>-0.651714691820799</v>
      </c>
      <c r="J1409" s="6">
        <v>0</v>
      </c>
      <c r="K1409" s="6">
        <v>87.217214582515297</v>
      </c>
      <c r="L1409" t="s">
        <v>17</v>
      </c>
      <c r="M1409" t="s">
        <v>18</v>
      </c>
      <c r="N1409" s="4" t="s">
        <v>5388</v>
      </c>
      <c r="O1409" s="4" t="s">
        <v>5389</v>
      </c>
      <c r="P1409" s="4" t="s">
        <v>233</v>
      </c>
    </row>
    <row r="1410" spans="1:16" x14ac:dyDescent="0.35">
      <c r="A1410" t="s">
        <v>5390</v>
      </c>
      <c r="B1410" t="s">
        <v>5391</v>
      </c>
      <c r="C1410" t="s">
        <v>16</v>
      </c>
      <c r="D1410" s="6">
        <v>23962939.682996035</v>
      </c>
      <c r="E1410" s="6" t="e">
        <v>#N/A</v>
      </c>
      <c r="F1410" s="6">
        <v>1.1570999622344971</v>
      </c>
      <c r="G1410" s="6">
        <v>1.1499999761581421</v>
      </c>
      <c r="H1410" s="6" t="e">
        <v>#N/A</v>
      </c>
      <c r="I1410" s="6">
        <v>-9.2229993136775823E-2</v>
      </c>
      <c r="J1410" s="6" t="e">
        <v>#N/A</v>
      </c>
      <c r="K1410" s="6">
        <v>22.429906542056084</v>
      </c>
      <c r="L1410" t="s">
        <v>17</v>
      </c>
      <c r="M1410" t="s">
        <v>18</v>
      </c>
      <c r="N1410" s="4" t="s">
        <v>233</v>
      </c>
      <c r="O1410" s="4" t="s">
        <v>5392</v>
      </c>
      <c r="P1410" s="4" t="s">
        <v>13172</v>
      </c>
    </row>
    <row r="1411" spans="1:16" x14ac:dyDescent="0.35">
      <c r="A1411" t="s">
        <v>5393</v>
      </c>
      <c r="B1411" t="s">
        <v>5394</v>
      </c>
      <c r="C1411" t="s">
        <v>16</v>
      </c>
      <c r="D1411" s="6">
        <v>65057950.358433716</v>
      </c>
      <c r="E1411" s="6">
        <v>32905950.358433716</v>
      </c>
      <c r="F1411" s="6">
        <v>1.4800000190734863</v>
      </c>
      <c r="G1411" s="6">
        <v>1.3500000238418579</v>
      </c>
      <c r="H1411" s="6" t="e">
        <v>#N/A</v>
      </c>
      <c r="I1411" s="6">
        <v>1.3326533396352418</v>
      </c>
      <c r="J1411" s="6">
        <v>0</v>
      </c>
      <c r="K1411" s="6">
        <v>13.664596273291938</v>
      </c>
      <c r="L1411" t="s">
        <v>17</v>
      </c>
      <c r="M1411" t="s">
        <v>18</v>
      </c>
      <c r="N1411" s="4" t="s">
        <v>5395</v>
      </c>
      <c r="O1411" s="4" t="s">
        <v>5396</v>
      </c>
      <c r="P1411" s="4" t="s">
        <v>233</v>
      </c>
    </row>
    <row r="1412" spans="1:16" x14ac:dyDescent="0.35">
      <c r="A1412" t="s">
        <v>5397</v>
      </c>
      <c r="B1412" t="s">
        <v>5398</v>
      </c>
      <c r="C1412" t="s">
        <v>16</v>
      </c>
      <c r="D1412" s="6">
        <v>3773319686.3747916</v>
      </c>
      <c r="E1412" s="6">
        <v>7458648686.3747921</v>
      </c>
      <c r="F1412" s="6">
        <v>21.670000076293945</v>
      </c>
      <c r="G1412" s="6">
        <v>21.739999771118164</v>
      </c>
      <c r="H1412" s="6" t="e">
        <v>#N/A</v>
      </c>
      <c r="I1412" s="6">
        <v>0.90420736728087725</v>
      </c>
      <c r="J1412" s="6">
        <v>8826175000</v>
      </c>
      <c r="K1412" s="6">
        <v>-186.49772980501396</v>
      </c>
      <c r="L1412" t="s">
        <v>17</v>
      </c>
      <c r="M1412" t="s">
        <v>40</v>
      </c>
      <c r="N1412" s="4" t="s">
        <v>5399</v>
      </c>
      <c r="O1412" s="4" t="s">
        <v>5400</v>
      </c>
      <c r="P1412" s="4" t="s">
        <v>233</v>
      </c>
    </row>
    <row r="1413" spans="1:16" x14ac:dyDescent="0.35">
      <c r="A1413" t="s">
        <v>5401</v>
      </c>
      <c r="B1413" t="s">
        <v>5402</v>
      </c>
      <c r="C1413" t="s">
        <v>16</v>
      </c>
      <c r="D1413" s="6">
        <v>21612527.922051758</v>
      </c>
      <c r="E1413" s="6">
        <v>-242637472.07794824</v>
      </c>
      <c r="F1413" s="6">
        <v>0.20000000298023224</v>
      </c>
      <c r="G1413" s="6">
        <v>0.20000000298023224</v>
      </c>
      <c r="H1413" s="6" t="e">
        <v>#N/A</v>
      </c>
      <c r="I1413" s="6">
        <v>-0.26665262914908616</v>
      </c>
      <c r="J1413" s="6" t="e">
        <v>#N/A</v>
      </c>
      <c r="K1413" s="6">
        <v>82.136602451838868</v>
      </c>
      <c r="L1413" t="s">
        <v>17</v>
      </c>
      <c r="M1413" t="s">
        <v>18</v>
      </c>
      <c r="N1413" s="4" t="s">
        <v>5403</v>
      </c>
      <c r="O1413" s="4" t="s">
        <v>5404</v>
      </c>
      <c r="P1413" s="4" t="s">
        <v>233</v>
      </c>
    </row>
    <row r="1414" spans="1:16" x14ac:dyDescent="0.35">
      <c r="A1414" t="s">
        <v>5405</v>
      </c>
      <c r="B1414" t="s">
        <v>5406</v>
      </c>
      <c r="C1414" t="s">
        <v>16</v>
      </c>
      <c r="D1414" s="6">
        <v>109045461.53711699</v>
      </c>
      <c r="E1414" s="6">
        <v>99336461.537116989</v>
      </c>
      <c r="F1414" s="6">
        <v>5.2199997901916504</v>
      </c>
      <c r="G1414" s="6">
        <v>5.0100002288818359</v>
      </c>
      <c r="H1414" s="6" t="e">
        <v>#N/A</v>
      </c>
      <c r="I1414" s="6">
        <v>5.4392399545424519E-2</v>
      </c>
      <c r="J1414" s="6">
        <v>79181000</v>
      </c>
      <c r="K1414" s="6">
        <v>87.573964497041416</v>
      </c>
      <c r="L1414" t="s">
        <v>17</v>
      </c>
      <c r="M1414" t="s">
        <v>87</v>
      </c>
      <c r="N1414" s="4" t="s">
        <v>5407</v>
      </c>
      <c r="O1414" s="4" t="s">
        <v>5408</v>
      </c>
      <c r="P1414" s="4" t="s">
        <v>233</v>
      </c>
    </row>
    <row r="1415" spans="1:16" x14ac:dyDescent="0.35">
      <c r="A1415" t="s">
        <v>5409</v>
      </c>
      <c r="B1415" t="s">
        <v>5410</v>
      </c>
      <c r="C1415" t="s">
        <v>16</v>
      </c>
      <c r="D1415" s="6">
        <v>1754432.6791381836</v>
      </c>
      <c r="E1415" s="6">
        <v>-605633.23600115394</v>
      </c>
      <c r="F1415" s="6">
        <v>3.4200000762939453</v>
      </c>
      <c r="G1415" s="6">
        <v>3.4000000953674316</v>
      </c>
      <c r="H1415" s="6" t="e">
        <v>#N/A</v>
      </c>
      <c r="I1415" s="6">
        <v>-0.98017811321267889</v>
      </c>
      <c r="J1415" s="6">
        <v>3844532</v>
      </c>
      <c r="K1415" s="6">
        <v>94.228571428571428</v>
      </c>
      <c r="L1415" t="s">
        <v>17</v>
      </c>
      <c r="M1415" t="s">
        <v>18</v>
      </c>
      <c r="N1415" s="4" t="s">
        <v>13494</v>
      </c>
      <c r="O1415" s="4" t="s">
        <v>13495</v>
      </c>
      <c r="P1415" s="4" t="s">
        <v>233</v>
      </c>
    </row>
    <row r="1416" spans="1:16" x14ac:dyDescent="0.35">
      <c r="A1416" t="s">
        <v>5411</v>
      </c>
      <c r="B1416" t="s">
        <v>5412</v>
      </c>
      <c r="C1416" t="s">
        <v>16</v>
      </c>
      <c r="D1416" s="6">
        <v>32173247.028608322</v>
      </c>
      <c r="E1416" s="6">
        <v>17555247.028608322</v>
      </c>
      <c r="F1416" s="6">
        <v>2.130000114440918</v>
      </c>
      <c r="G1416" s="6">
        <v>2.3499999046325684</v>
      </c>
      <c r="H1416" s="6" t="e">
        <v>#N/A</v>
      </c>
      <c r="I1416" s="6">
        <v>-0.31877273210071311</v>
      </c>
      <c r="J1416" s="6">
        <v>0</v>
      </c>
      <c r="K1416" s="6" t="e">
        <v>#N/A</v>
      </c>
      <c r="L1416" t="s">
        <v>17</v>
      </c>
      <c r="M1416" t="s">
        <v>18</v>
      </c>
      <c r="N1416" s="4" t="s">
        <v>5413</v>
      </c>
      <c r="O1416" s="4" t="s">
        <v>5414</v>
      </c>
      <c r="P1416" s="4" t="s">
        <v>233</v>
      </c>
    </row>
    <row r="1417" spans="1:16" x14ac:dyDescent="0.35">
      <c r="A1417" t="s">
        <v>5415</v>
      </c>
      <c r="B1417" t="s">
        <v>5416</v>
      </c>
      <c r="C1417" t="s">
        <v>16</v>
      </c>
      <c r="D1417" s="6">
        <v>67061148.901107058</v>
      </c>
      <c r="E1417" s="6">
        <v>489362.90110707283</v>
      </c>
      <c r="F1417" s="6">
        <v>5.5799999237060547</v>
      </c>
      <c r="G1417" s="6">
        <v>5.2081999778747559</v>
      </c>
      <c r="H1417" s="6" t="e">
        <v>#N/A</v>
      </c>
      <c r="I1417" s="6">
        <v>0.18667743407478121</v>
      </c>
      <c r="J1417" s="6">
        <v>25561362</v>
      </c>
      <c r="K1417" s="6">
        <v>-9.5500694757002265</v>
      </c>
      <c r="L1417" t="s">
        <v>17</v>
      </c>
      <c r="M1417" t="s">
        <v>40</v>
      </c>
      <c r="N1417" s="4" t="s">
        <v>233</v>
      </c>
      <c r="O1417" s="4" t="s">
        <v>5417</v>
      </c>
      <c r="P1417" s="4" t="s">
        <v>13173</v>
      </c>
    </row>
    <row r="1418" spans="1:16" x14ac:dyDescent="0.35">
      <c r="A1418" t="s">
        <v>5418</v>
      </c>
      <c r="B1418" t="s">
        <v>5419</v>
      </c>
      <c r="C1418" t="s">
        <v>16</v>
      </c>
      <c r="D1418" s="6">
        <v>69952733.156434536</v>
      </c>
      <c r="E1418" s="6" t="e">
        <v>#N/A</v>
      </c>
      <c r="F1418" s="6">
        <v>3.8399999141693115</v>
      </c>
      <c r="G1418" s="6">
        <v>3.9000000953674316</v>
      </c>
      <c r="H1418" s="6" t="e">
        <v>#N/A</v>
      </c>
      <c r="I1418" s="6">
        <v>-3.9892941345939126E-2</v>
      </c>
      <c r="J1418" s="6" t="e">
        <v>#N/A</v>
      </c>
      <c r="K1418" s="6">
        <v>-36.170212765957459</v>
      </c>
      <c r="L1418" t="s">
        <v>17</v>
      </c>
      <c r="M1418" t="s">
        <v>18</v>
      </c>
      <c r="N1418" s="4" t="s">
        <v>5420</v>
      </c>
      <c r="O1418" s="4" t="s">
        <v>5421</v>
      </c>
      <c r="P1418" s="4" t="s">
        <v>233</v>
      </c>
    </row>
    <row r="1419" spans="1:16" x14ac:dyDescent="0.35">
      <c r="A1419" t="s">
        <v>5422</v>
      </c>
      <c r="B1419" t="s">
        <v>5423</v>
      </c>
      <c r="C1419" t="s">
        <v>16</v>
      </c>
      <c r="D1419" s="6">
        <v>27803937.143957134</v>
      </c>
      <c r="E1419" s="6">
        <v>26541815.143957134</v>
      </c>
      <c r="F1419" s="6">
        <v>0.53320002555847168</v>
      </c>
      <c r="G1419" s="6">
        <v>0.53530001640319824</v>
      </c>
      <c r="H1419" s="6" t="e">
        <v>#N/A</v>
      </c>
      <c r="I1419" s="6">
        <v>-0.72275784527534315</v>
      </c>
      <c r="J1419" s="6">
        <v>35688</v>
      </c>
      <c r="K1419" s="6">
        <v>80.353999999999999</v>
      </c>
      <c r="L1419" t="s">
        <v>17</v>
      </c>
      <c r="M1419" t="s">
        <v>18</v>
      </c>
      <c r="N1419" s="4" t="s">
        <v>5424</v>
      </c>
      <c r="O1419" s="4" t="s">
        <v>5425</v>
      </c>
      <c r="P1419" s="4" t="s">
        <v>233</v>
      </c>
    </row>
    <row r="1420" spans="1:16" x14ac:dyDescent="0.35">
      <c r="A1420" t="s">
        <v>5426</v>
      </c>
      <c r="B1420" t="s">
        <v>5427</v>
      </c>
      <c r="C1420" t="s">
        <v>16</v>
      </c>
      <c r="D1420" s="6">
        <v>66523.097999999984</v>
      </c>
      <c r="E1420" s="6">
        <v>-771476.902</v>
      </c>
      <c r="F1420" s="6">
        <v>2E-3</v>
      </c>
      <c r="G1420" s="6">
        <v>2E-3</v>
      </c>
      <c r="H1420" s="6" t="e">
        <v>#N/A</v>
      </c>
      <c r="I1420" s="6">
        <v>-0.99981111263973443</v>
      </c>
      <c r="J1420" s="6">
        <v>0</v>
      </c>
      <c r="K1420" s="6" t="e">
        <v>#N/A</v>
      </c>
      <c r="L1420" t="s">
        <v>17</v>
      </c>
      <c r="M1420" t="s">
        <v>27</v>
      </c>
      <c r="N1420" s="4" t="s">
        <v>233</v>
      </c>
      <c r="O1420" s="4" t="s">
        <v>5428</v>
      </c>
      <c r="P1420" s="4" t="s">
        <v>13174</v>
      </c>
    </row>
    <row r="1421" spans="1:16" x14ac:dyDescent="0.35">
      <c r="A1421" t="s">
        <v>5429</v>
      </c>
      <c r="B1421" t="s">
        <v>5430</v>
      </c>
      <c r="C1421" t="s">
        <v>16</v>
      </c>
      <c r="D1421" s="6">
        <v>149121893.19662476</v>
      </c>
      <c r="E1421" s="6" t="e">
        <v>#N/A</v>
      </c>
      <c r="F1421" s="6">
        <v>4.9699001312255859</v>
      </c>
      <c r="G1421" s="6">
        <v>4.9699001312255859</v>
      </c>
      <c r="H1421" s="6" t="e">
        <v>#N/A</v>
      </c>
      <c r="I1421" s="6">
        <v>-5.679386377166018E-2</v>
      </c>
      <c r="J1421" s="6" t="e">
        <v>#N/A</v>
      </c>
      <c r="K1421" s="6" t="e">
        <v>#N/A</v>
      </c>
      <c r="L1421" t="s">
        <v>17</v>
      </c>
      <c r="M1421" t="s">
        <v>40</v>
      </c>
      <c r="N1421" s="4" t="s">
        <v>5431</v>
      </c>
      <c r="O1421" s="4" t="s">
        <v>5432</v>
      </c>
      <c r="P1421" s="4" t="s">
        <v>233</v>
      </c>
    </row>
    <row r="1422" spans="1:16" x14ac:dyDescent="0.35">
      <c r="A1422" t="s">
        <v>13315</v>
      </c>
      <c r="B1422" t="s">
        <v>13316</v>
      </c>
      <c r="C1422" t="s">
        <v>16</v>
      </c>
      <c r="D1422" s="6">
        <v>51550039.029506922</v>
      </c>
      <c r="E1422" s="6">
        <v>51536442.029506922</v>
      </c>
      <c r="F1422" s="6">
        <v>0.99199998378753662</v>
      </c>
      <c r="G1422" s="6">
        <v>0.9603000283241272</v>
      </c>
      <c r="H1422" s="6" t="e">
        <v>#N/A</v>
      </c>
      <c r="I1422" s="6">
        <v>-0.90554169887946001</v>
      </c>
      <c r="J1422" s="6">
        <v>0</v>
      </c>
      <c r="K1422" s="6" t="e">
        <v>#N/A</v>
      </c>
      <c r="L1422" t="s">
        <v>17</v>
      </c>
      <c r="M1422" t="s">
        <v>18</v>
      </c>
      <c r="N1422" s="4" t="s">
        <v>13317</v>
      </c>
      <c r="O1422" s="4" t="s">
        <v>13318</v>
      </c>
      <c r="P1422" s="4" t="s">
        <v>233</v>
      </c>
    </row>
    <row r="1423" spans="1:16" x14ac:dyDescent="0.35">
      <c r="A1423" t="s">
        <v>5433</v>
      </c>
      <c r="B1423" t="s">
        <v>5434</v>
      </c>
      <c r="C1423" t="s">
        <v>16</v>
      </c>
      <c r="D1423" s="6">
        <v>109965816.98914288</v>
      </c>
      <c r="E1423" s="6">
        <v>11873816.98914288</v>
      </c>
      <c r="F1423" s="6">
        <v>2.690000057220459</v>
      </c>
      <c r="G1423" s="6">
        <v>2.6400001049041748</v>
      </c>
      <c r="H1423" s="6" t="e">
        <v>#N/A</v>
      </c>
      <c r="I1423" s="6">
        <v>-0.19891811564125705</v>
      </c>
      <c r="J1423" s="6">
        <v>0</v>
      </c>
      <c r="K1423" s="6">
        <v>-1.0893109340357865</v>
      </c>
      <c r="L1423" t="s">
        <v>17</v>
      </c>
      <c r="M1423" t="s">
        <v>18</v>
      </c>
      <c r="N1423" s="4" t="s">
        <v>5435</v>
      </c>
      <c r="O1423" s="4" t="s">
        <v>5436</v>
      </c>
      <c r="P1423" s="4" t="s">
        <v>233</v>
      </c>
    </row>
    <row r="1424" spans="1:16" x14ac:dyDescent="0.35">
      <c r="A1424" t="s">
        <v>5437</v>
      </c>
      <c r="B1424" t="s">
        <v>5438</v>
      </c>
      <c r="C1424" t="s">
        <v>16</v>
      </c>
      <c r="D1424" s="6">
        <v>42039133.821850538</v>
      </c>
      <c r="E1424" s="6">
        <v>39095163.821850538</v>
      </c>
      <c r="F1424" s="6">
        <v>3.1600000858306885</v>
      </c>
      <c r="G1424" s="6">
        <v>3.3199999332427979</v>
      </c>
      <c r="H1424" s="6" t="e">
        <v>#N/A</v>
      </c>
      <c r="I1424" s="6">
        <v>9.5534947607490448</v>
      </c>
      <c r="J1424" s="6">
        <v>110748</v>
      </c>
      <c r="K1424" s="6">
        <v>-110</v>
      </c>
      <c r="L1424" t="s">
        <v>17</v>
      </c>
      <c r="M1424" t="s">
        <v>27</v>
      </c>
      <c r="N1424" s="4" t="s">
        <v>5439</v>
      </c>
      <c r="O1424" s="4" t="s">
        <v>5440</v>
      </c>
      <c r="P1424" s="4" t="s">
        <v>233</v>
      </c>
    </row>
    <row r="1425" spans="1:16" x14ac:dyDescent="0.35">
      <c r="A1425" t="s">
        <v>5441</v>
      </c>
      <c r="B1425" t="s">
        <v>5442</v>
      </c>
      <c r="C1425" t="s">
        <v>16</v>
      </c>
      <c r="D1425" s="6">
        <v>302479925.99843615</v>
      </c>
      <c r="E1425" s="6">
        <v>-64645074.001563787</v>
      </c>
      <c r="F1425" s="6">
        <v>3.5299999713897705</v>
      </c>
      <c r="G1425" s="6">
        <v>3.3199999332427979</v>
      </c>
      <c r="H1425" s="6">
        <v>5.0428571019853869</v>
      </c>
      <c r="I1425" s="6">
        <v>-0.78186114616783686</v>
      </c>
      <c r="J1425" s="6">
        <v>380786000</v>
      </c>
      <c r="K1425" s="6" t="e">
        <v>#N/A</v>
      </c>
      <c r="L1425" t="s">
        <v>17</v>
      </c>
      <c r="M1425" t="s">
        <v>87</v>
      </c>
      <c r="N1425" s="4" t="s">
        <v>5443</v>
      </c>
      <c r="O1425" s="4" t="s">
        <v>5444</v>
      </c>
      <c r="P1425" s="4" t="s">
        <v>233</v>
      </c>
    </row>
    <row r="1426" spans="1:16" x14ac:dyDescent="0.35">
      <c r="A1426" t="s">
        <v>5445</v>
      </c>
      <c r="B1426" t="s">
        <v>5446</v>
      </c>
      <c r="C1426" t="s">
        <v>16</v>
      </c>
      <c r="D1426" s="6">
        <v>4754346.3056116095</v>
      </c>
      <c r="E1426" s="6">
        <v>4859001.3056116095</v>
      </c>
      <c r="F1426" s="6">
        <v>4.679999828338623</v>
      </c>
      <c r="G1426" s="6">
        <v>4.2100000381469727</v>
      </c>
      <c r="H1426" s="6" t="e">
        <v>#N/A</v>
      </c>
      <c r="I1426" s="6">
        <v>-0.99254793109521233</v>
      </c>
      <c r="J1426" s="6">
        <v>75404</v>
      </c>
      <c r="K1426" s="6">
        <v>55.284552845528452</v>
      </c>
      <c r="L1426" t="s">
        <v>17</v>
      </c>
      <c r="M1426" t="s">
        <v>32</v>
      </c>
      <c r="N1426" s="4" t="s">
        <v>13459</v>
      </c>
      <c r="O1426" s="4" t="s">
        <v>13460</v>
      </c>
      <c r="P1426" s="4" t="s">
        <v>233</v>
      </c>
    </row>
    <row r="1427" spans="1:16" x14ac:dyDescent="0.35">
      <c r="A1427" t="s">
        <v>5447</v>
      </c>
      <c r="B1427" t="s">
        <v>5448</v>
      </c>
      <c r="C1427" t="s">
        <v>16</v>
      </c>
      <c r="D1427" s="6">
        <v>3423737656.789742</v>
      </c>
      <c r="E1427" s="6">
        <v>2812387656.789742</v>
      </c>
      <c r="F1427" s="6">
        <v>63.314998626708984</v>
      </c>
      <c r="G1427" s="6">
        <v>61.330001831054688</v>
      </c>
      <c r="H1427" s="6" t="e">
        <v>#N/A</v>
      </c>
      <c r="I1427" s="6">
        <v>-1.9383705404179552E-2</v>
      </c>
      <c r="J1427" s="6">
        <v>155818000</v>
      </c>
      <c r="K1427" s="6">
        <v>72.117744544540997</v>
      </c>
      <c r="L1427" t="s">
        <v>17</v>
      </c>
      <c r="M1427" t="s">
        <v>18</v>
      </c>
      <c r="N1427" s="4" t="s">
        <v>5449</v>
      </c>
      <c r="O1427" s="4" t="s">
        <v>5450</v>
      </c>
      <c r="P1427" s="4" t="s">
        <v>233</v>
      </c>
    </row>
    <row r="1428" spans="1:16" x14ac:dyDescent="0.35">
      <c r="A1428" t="s">
        <v>5451</v>
      </c>
      <c r="B1428" t="s">
        <v>5452</v>
      </c>
      <c r="C1428" t="s">
        <v>16</v>
      </c>
      <c r="D1428" s="6">
        <v>413838284.58175665</v>
      </c>
      <c r="E1428" s="6">
        <v>980938284.58175659</v>
      </c>
      <c r="F1428" s="6">
        <v>8.2299995422363281</v>
      </c>
      <c r="G1428" s="6">
        <v>8.1999998092651367</v>
      </c>
      <c r="H1428" s="6" t="e">
        <v>#N/A</v>
      </c>
      <c r="I1428" s="6">
        <v>-0.1012655800649418</v>
      </c>
      <c r="J1428" s="6">
        <v>1037200000</v>
      </c>
      <c r="K1428" s="6">
        <v>-73.134328358208961</v>
      </c>
      <c r="L1428" t="s">
        <v>17</v>
      </c>
      <c r="M1428" t="s">
        <v>40</v>
      </c>
      <c r="N1428" s="4" t="s">
        <v>5453</v>
      </c>
      <c r="O1428" s="4" t="s">
        <v>5454</v>
      </c>
      <c r="P1428" s="4" t="s">
        <v>233</v>
      </c>
    </row>
    <row r="1429" spans="1:16" x14ac:dyDescent="0.35">
      <c r="A1429" t="s">
        <v>5455</v>
      </c>
      <c r="B1429" t="s">
        <v>5456</v>
      </c>
      <c r="C1429" t="s">
        <v>16</v>
      </c>
      <c r="D1429" s="6">
        <v>8823.1479999999992</v>
      </c>
      <c r="E1429" s="6">
        <v>123749.14800000009</v>
      </c>
      <c r="F1429" s="6">
        <v>5.0000000000000001E-3</v>
      </c>
      <c r="G1429" s="6">
        <v>5.0000000000000001E-3</v>
      </c>
      <c r="H1429" s="6" t="e">
        <v>#N/A</v>
      </c>
      <c r="I1429" s="6">
        <v>-0.99803473546389865</v>
      </c>
      <c r="J1429" s="6">
        <v>16731</v>
      </c>
      <c r="K1429" s="6">
        <v>7.603884892086338</v>
      </c>
      <c r="L1429" t="s">
        <v>17</v>
      </c>
      <c r="M1429" t="s">
        <v>87</v>
      </c>
      <c r="N1429" s="4" t="s">
        <v>5457</v>
      </c>
      <c r="O1429" s="4" t="s">
        <v>5458</v>
      </c>
      <c r="P1429" s="4" t="s">
        <v>233</v>
      </c>
    </row>
    <row r="1430" spans="1:16" x14ac:dyDescent="0.35">
      <c r="A1430" t="s">
        <v>5459</v>
      </c>
      <c r="B1430" t="s">
        <v>5460</v>
      </c>
      <c r="C1430" t="s">
        <v>16</v>
      </c>
      <c r="D1430" s="6">
        <v>2231429.9971172805</v>
      </c>
      <c r="E1430" s="6">
        <v>2979549.9971172805</v>
      </c>
      <c r="F1430" s="6">
        <v>1.7200000286102295</v>
      </c>
      <c r="G1430" s="6">
        <v>1.7300000190734863</v>
      </c>
      <c r="H1430" s="6" t="e">
        <v>#N/A</v>
      </c>
      <c r="I1430" s="6">
        <v>-0.94297531206156482</v>
      </c>
      <c r="J1430" s="6">
        <v>2619682</v>
      </c>
      <c r="K1430" s="6">
        <v>44</v>
      </c>
      <c r="L1430" t="s">
        <v>17</v>
      </c>
      <c r="M1430" t="s">
        <v>87</v>
      </c>
      <c r="N1430" s="4" t="s">
        <v>13049</v>
      </c>
      <c r="O1430" s="4" t="s">
        <v>13050</v>
      </c>
      <c r="P1430" s="4" t="s">
        <v>233</v>
      </c>
    </row>
    <row r="1431" spans="1:16" x14ac:dyDescent="0.35">
      <c r="A1431" t="s">
        <v>5461</v>
      </c>
      <c r="B1431" t="s">
        <v>5462</v>
      </c>
      <c r="C1431" t="s">
        <v>16</v>
      </c>
      <c r="D1431" s="6">
        <v>358785323</v>
      </c>
      <c r="E1431" s="6">
        <v>521735323</v>
      </c>
      <c r="F1431" s="6">
        <v>13</v>
      </c>
      <c r="G1431" s="6">
        <v>12.930000305175781</v>
      </c>
      <c r="H1431" s="6" t="e">
        <v>#N/A</v>
      </c>
      <c r="I1431" s="6">
        <v>-0.33801117389497437</v>
      </c>
      <c r="J1431" s="6">
        <v>451294000</v>
      </c>
      <c r="K1431" s="6">
        <v>49.408284023668642</v>
      </c>
      <c r="L1431" t="s">
        <v>17</v>
      </c>
      <c r="M1431" t="s">
        <v>27</v>
      </c>
      <c r="N1431" s="4" t="s">
        <v>5463</v>
      </c>
      <c r="O1431" s="4" t="s">
        <v>5464</v>
      </c>
      <c r="P1431" s="4" t="s">
        <v>233</v>
      </c>
    </row>
    <row r="1432" spans="1:16" x14ac:dyDescent="0.35">
      <c r="A1432" t="s">
        <v>5465</v>
      </c>
      <c r="B1432" t="s">
        <v>5466</v>
      </c>
      <c r="C1432" t="s">
        <v>16</v>
      </c>
      <c r="D1432" s="6">
        <v>3776072.3593065734</v>
      </c>
      <c r="E1432" s="6">
        <v>4080072.3593065734</v>
      </c>
      <c r="F1432" s="6">
        <v>1.7799999713897705</v>
      </c>
      <c r="G1432" s="6">
        <v>1.8500000238418579</v>
      </c>
      <c r="H1432" s="6" t="e">
        <v>#N/A</v>
      </c>
      <c r="I1432" s="6">
        <v>-0.99348477436736293</v>
      </c>
      <c r="J1432" s="6">
        <v>0</v>
      </c>
      <c r="K1432" s="6" t="e">
        <v>#N/A</v>
      </c>
      <c r="L1432" t="s">
        <v>17</v>
      </c>
      <c r="M1432" t="s">
        <v>100</v>
      </c>
      <c r="N1432" s="4" t="s">
        <v>13433</v>
      </c>
      <c r="O1432" s="4" t="s">
        <v>13434</v>
      </c>
      <c r="P1432" s="4" t="s">
        <v>233</v>
      </c>
    </row>
    <row r="1433" spans="1:16" x14ac:dyDescent="0.35">
      <c r="A1433" t="s">
        <v>5467</v>
      </c>
      <c r="B1433" t="s">
        <v>5468</v>
      </c>
      <c r="C1433" t="s">
        <v>16</v>
      </c>
      <c r="D1433" s="6">
        <v>3687623.7397387619</v>
      </c>
      <c r="E1433" s="6" t="e">
        <v>#N/A</v>
      </c>
      <c r="F1433" s="6">
        <v>0.32499998807907104</v>
      </c>
      <c r="G1433" s="6">
        <v>0.28999999165534973</v>
      </c>
      <c r="H1433" s="6" t="e">
        <v>#N/A</v>
      </c>
      <c r="I1433" s="6">
        <v>-0.44981207558462288</v>
      </c>
      <c r="J1433" s="6" t="e">
        <v>#N/A</v>
      </c>
      <c r="K1433" s="6" t="e">
        <v>#N/A</v>
      </c>
      <c r="L1433" t="s">
        <v>17</v>
      </c>
      <c r="M1433" t="s">
        <v>18</v>
      </c>
      <c r="N1433" s="4" t="s">
        <v>5469</v>
      </c>
      <c r="O1433" s="4" t="s">
        <v>5470</v>
      </c>
      <c r="P1433" s="4" t="s">
        <v>233</v>
      </c>
    </row>
    <row r="1434" spans="1:16" x14ac:dyDescent="0.35">
      <c r="A1434" t="s">
        <v>5471</v>
      </c>
      <c r="B1434" t="s">
        <v>5472</v>
      </c>
      <c r="C1434" t="s">
        <v>16</v>
      </c>
      <c r="D1434" s="6">
        <v>36881585.569408894</v>
      </c>
      <c r="E1434" s="6" t="e">
        <v>#N/A</v>
      </c>
      <c r="F1434" s="6">
        <v>1.0900000333786011</v>
      </c>
      <c r="G1434" s="6">
        <v>1.0800000429153442</v>
      </c>
      <c r="H1434" s="6" t="e">
        <v>#N/A</v>
      </c>
      <c r="I1434" s="6">
        <v>-0.24768945903645601</v>
      </c>
      <c r="J1434" s="6">
        <v>0</v>
      </c>
      <c r="K1434" s="6" t="e">
        <v>#N/A</v>
      </c>
      <c r="L1434" t="s">
        <v>17</v>
      </c>
      <c r="M1434" t="s">
        <v>18</v>
      </c>
      <c r="N1434" s="4" t="s">
        <v>233</v>
      </c>
      <c r="O1434" s="4" t="s">
        <v>5473</v>
      </c>
      <c r="P1434" s="4" t="s">
        <v>13175</v>
      </c>
    </row>
    <row r="1435" spans="1:16" x14ac:dyDescent="0.35">
      <c r="A1435" t="s">
        <v>5474</v>
      </c>
      <c r="B1435" t="s">
        <v>5475</v>
      </c>
      <c r="C1435" t="s">
        <v>16</v>
      </c>
      <c r="D1435" s="6">
        <v>32567991.09731555</v>
      </c>
      <c r="E1435" s="6">
        <v>-60858008.902684435</v>
      </c>
      <c r="F1435" s="6">
        <v>1.0900000333786011</v>
      </c>
      <c r="G1435" s="6">
        <v>1.1100000143051147</v>
      </c>
      <c r="H1435" s="6" t="e">
        <v>#N/A</v>
      </c>
      <c r="I1435" s="6">
        <v>-0.78537153044889463</v>
      </c>
      <c r="J1435" s="6">
        <v>0</v>
      </c>
      <c r="K1435" s="6">
        <v>28.671328671328666</v>
      </c>
      <c r="L1435" t="s">
        <v>17</v>
      </c>
      <c r="M1435" t="s">
        <v>87</v>
      </c>
      <c r="N1435" s="4" t="s">
        <v>5476</v>
      </c>
      <c r="O1435" s="4" t="s">
        <v>5477</v>
      </c>
      <c r="P1435" s="4" t="s">
        <v>233</v>
      </c>
    </row>
    <row r="1436" spans="1:16" x14ac:dyDescent="0.35">
      <c r="A1436" t="s">
        <v>5478</v>
      </c>
      <c r="B1436" t="s">
        <v>5479</v>
      </c>
      <c r="C1436" t="s">
        <v>16</v>
      </c>
      <c r="D1436" s="6">
        <v>211484165.65309879</v>
      </c>
      <c r="E1436" s="6">
        <v>142972165.65309879</v>
      </c>
      <c r="F1436" s="6">
        <v>3.0299999713897705</v>
      </c>
      <c r="G1436" s="6">
        <v>3.0499999523162842</v>
      </c>
      <c r="H1436" s="6" t="e">
        <v>#N/A</v>
      </c>
      <c r="I1436" s="6">
        <v>-3.7993164632091347E-2</v>
      </c>
      <c r="J1436" s="6">
        <v>0</v>
      </c>
      <c r="K1436" s="6">
        <v>20.754716981132081</v>
      </c>
      <c r="L1436" t="s">
        <v>17</v>
      </c>
      <c r="M1436" t="s">
        <v>27</v>
      </c>
      <c r="N1436" s="4" t="s">
        <v>233</v>
      </c>
      <c r="O1436" s="4" t="s">
        <v>5480</v>
      </c>
      <c r="P1436" s="4" t="s">
        <v>13176</v>
      </c>
    </row>
    <row r="1437" spans="1:16" x14ac:dyDescent="0.35">
      <c r="A1437" t="s">
        <v>5481</v>
      </c>
      <c r="B1437" t="s">
        <v>5482</v>
      </c>
      <c r="C1437" t="s">
        <v>16</v>
      </c>
      <c r="D1437" s="6">
        <v>9242716.5787553769</v>
      </c>
      <c r="E1437" s="6">
        <v>9070181.5787553769</v>
      </c>
      <c r="F1437" s="6">
        <v>0.34130001068115234</v>
      </c>
      <c r="G1437" s="6">
        <v>0.32100000977516174</v>
      </c>
      <c r="H1437" s="6" t="e">
        <v>#N/A</v>
      </c>
      <c r="I1437" s="6">
        <v>-0.96836138851393727</v>
      </c>
      <c r="J1437" s="6">
        <v>0</v>
      </c>
      <c r="K1437" s="6" t="e">
        <v>#N/A</v>
      </c>
      <c r="L1437" t="s">
        <v>17</v>
      </c>
      <c r="M1437" t="s">
        <v>18</v>
      </c>
      <c r="N1437" s="4" t="s">
        <v>5483</v>
      </c>
      <c r="O1437" s="4" t="s">
        <v>5484</v>
      </c>
      <c r="P1437" s="4" t="s">
        <v>233</v>
      </c>
    </row>
    <row r="1438" spans="1:16" x14ac:dyDescent="0.35">
      <c r="A1438" t="s">
        <v>5485</v>
      </c>
      <c r="B1438" t="s">
        <v>5486</v>
      </c>
      <c r="C1438" t="s">
        <v>16</v>
      </c>
      <c r="D1438" s="6">
        <v>24987841.536893845</v>
      </c>
      <c r="E1438" s="6">
        <v>37045841.536893845</v>
      </c>
      <c r="F1438" s="6">
        <v>0.60920000076293945</v>
      </c>
      <c r="G1438" s="6">
        <v>0.65700000524520874</v>
      </c>
      <c r="H1438" s="6" t="e">
        <v>#N/A</v>
      </c>
      <c r="I1438" s="6">
        <v>-0.61824414625284496</v>
      </c>
      <c r="J1438" s="6" t="e">
        <v>#N/A</v>
      </c>
      <c r="K1438" s="6" t="e">
        <v>#N/A</v>
      </c>
      <c r="L1438" t="s">
        <v>17</v>
      </c>
      <c r="M1438" t="s">
        <v>27</v>
      </c>
      <c r="N1438" s="4" t="s">
        <v>5487</v>
      </c>
      <c r="O1438" s="4" t="s">
        <v>5488</v>
      </c>
      <c r="P1438" s="4" t="s">
        <v>233</v>
      </c>
    </row>
    <row r="1439" spans="1:16" x14ac:dyDescent="0.35">
      <c r="A1439" t="s">
        <v>5489</v>
      </c>
      <c r="B1439" t="s">
        <v>5490</v>
      </c>
      <c r="C1439" t="s">
        <v>16</v>
      </c>
      <c r="D1439" s="6">
        <v>966194341.86835861</v>
      </c>
      <c r="E1439" s="6">
        <v>2333594341.8683586</v>
      </c>
      <c r="F1439" s="6">
        <v>16.620000839233398</v>
      </c>
      <c r="G1439" s="6">
        <v>17.200000762939453</v>
      </c>
      <c r="H1439" s="6">
        <v>8.5538536803357097</v>
      </c>
      <c r="I1439" s="6">
        <v>0.15471445114372839</v>
      </c>
      <c r="J1439" s="6">
        <v>1107700000</v>
      </c>
      <c r="K1439" s="6">
        <v>4.1666666666666705</v>
      </c>
      <c r="L1439" t="s">
        <v>17</v>
      </c>
      <c r="M1439" t="s">
        <v>27</v>
      </c>
      <c r="N1439" s="4" t="s">
        <v>5491</v>
      </c>
      <c r="O1439" s="4" t="s">
        <v>5492</v>
      </c>
      <c r="P1439" s="4" t="s">
        <v>233</v>
      </c>
    </row>
    <row r="1440" spans="1:16" x14ac:dyDescent="0.35">
      <c r="A1440" t="s">
        <v>5493</v>
      </c>
      <c r="B1440" t="s">
        <v>5494</v>
      </c>
      <c r="C1440" t="s">
        <v>16</v>
      </c>
      <c r="D1440" s="6">
        <v>8857590.0743675213</v>
      </c>
      <c r="E1440" s="6">
        <v>5264664.0743675213</v>
      </c>
      <c r="F1440" s="6">
        <v>2.0399999618530273</v>
      </c>
      <c r="G1440" s="6">
        <v>1.8999999761581421</v>
      </c>
      <c r="H1440" s="6" t="e">
        <v>#N/A</v>
      </c>
      <c r="I1440" s="6">
        <v>1.3670503310604447</v>
      </c>
      <c r="J1440" s="6">
        <v>156419</v>
      </c>
      <c r="K1440" s="6">
        <v>34.117647058823529</v>
      </c>
      <c r="L1440" t="s">
        <v>17</v>
      </c>
      <c r="M1440" t="s">
        <v>40</v>
      </c>
      <c r="N1440" s="4" t="s">
        <v>233</v>
      </c>
      <c r="O1440" s="4" t="s">
        <v>5495</v>
      </c>
      <c r="P1440" s="4" t="s">
        <v>13177</v>
      </c>
    </row>
    <row r="1441" spans="1:16" x14ac:dyDescent="0.35">
      <c r="A1441" t="s">
        <v>5496</v>
      </c>
      <c r="B1441" t="s">
        <v>5497</v>
      </c>
      <c r="C1441" t="s">
        <v>16</v>
      </c>
      <c r="D1441" s="6">
        <v>1599721517.8549652</v>
      </c>
      <c r="E1441" s="6">
        <v>1512450517.8549652</v>
      </c>
      <c r="F1441" s="6">
        <v>54.880001068115234</v>
      </c>
      <c r="G1441" s="6">
        <v>56.380001068115234</v>
      </c>
      <c r="H1441" s="6" t="e">
        <v>#N/A</v>
      </c>
      <c r="I1441" s="6">
        <v>0.14410351712768144</v>
      </c>
      <c r="J1441" s="6">
        <v>0</v>
      </c>
      <c r="K1441" s="6">
        <v>-88.888888888888872</v>
      </c>
      <c r="L1441" t="s">
        <v>17</v>
      </c>
      <c r="M1441" t="s">
        <v>87</v>
      </c>
      <c r="N1441" s="4" t="s">
        <v>5498</v>
      </c>
      <c r="O1441" s="4" t="s">
        <v>5499</v>
      </c>
      <c r="P1441" s="4" t="s">
        <v>233</v>
      </c>
    </row>
    <row r="1442" spans="1:16" x14ac:dyDescent="0.35">
      <c r="A1442" t="s">
        <v>5500</v>
      </c>
      <c r="B1442" t="s">
        <v>5501</v>
      </c>
      <c r="C1442" t="s">
        <v>16</v>
      </c>
      <c r="D1442" s="6">
        <v>86662562.274987713</v>
      </c>
      <c r="E1442" s="6">
        <v>-77674437.725012287</v>
      </c>
      <c r="F1442" s="6">
        <v>1.7400000095367432</v>
      </c>
      <c r="G1442" s="6">
        <v>1.7300000190734863</v>
      </c>
      <c r="H1442" s="6" t="e">
        <v>#N/A</v>
      </c>
      <c r="I1442" s="6">
        <v>-0.88699644633481411</v>
      </c>
      <c r="J1442" s="6">
        <v>0</v>
      </c>
      <c r="K1442" s="6">
        <v>-9.929078014184423</v>
      </c>
      <c r="L1442" t="s">
        <v>17</v>
      </c>
      <c r="M1442" t="s">
        <v>18</v>
      </c>
      <c r="N1442" s="4" t="s">
        <v>5502</v>
      </c>
      <c r="O1442" s="4" t="s">
        <v>5503</v>
      </c>
      <c r="P1442" s="4" t="s">
        <v>233</v>
      </c>
    </row>
    <row r="1443" spans="1:16" x14ac:dyDescent="0.35">
      <c r="A1443" t="s">
        <v>5504</v>
      </c>
      <c r="B1443" t="s">
        <v>5505</v>
      </c>
      <c r="C1443" t="s">
        <v>16</v>
      </c>
      <c r="D1443" s="6">
        <v>4130985.1827220917</v>
      </c>
      <c r="E1443" s="6">
        <v>1118077.1827220917</v>
      </c>
      <c r="F1443" s="6">
        <v>0.37290000915527344</v>
      </c>
      <c r="G1443" s="6">
        <v>0.31999999284744263</v>
      </c>
      <c r="H1443" s="6" t="e">
        <v>#N/A</v>
      </c>
      <c r="I1443" s="6">
        <v>-0.94398510551937065</v>
      </c>
      <c r="J1443" s="6">
        <v>0</v>
      </c>
      <c r="K1443" s="6">
        <v>-33.33333333333335</v>
      </c>
      <c r="L1443" t="s">
        <v>17</v>
      </c>
      <c r="M1443" t="s">
        <v>27</v>
      </c>
      <c r="N1443" s="4" t="s">
        <v>12962</v>
      </c>
      <c r="O1443" s="4" t="s">
        <v>12963</v>
      </c>
      <c r="P1443" s="4" t="s">
        <v>233</v>
      </c>
    </row>
    <row r="1444" spans="1:16" x14ac:dyDescent="0.35">
      <c r="A1444" t="s">
        <v>5506</v>
      </c>
      <c r="B1444" t="s">
        <v>5507</v>
      </c>
      <c r="C1444" t="s">
        <v>16</v>
      </c>
      <c r="D1444" s="6">
        <v>4516688.3394770622</v>
      </c>
      <c r="E1444" s="6">
        <v>3945688.3394770622</v>
      </c>
      <c r="F1444" s="6">
        <v>1.440000057220459</v>
      </c>
      <c r="G1444" s="6">
        <v>1.3899999856948853</v>
      </c>
      <c r="H1444" s="6" t="e">
        <v>#N/A</v>
      </c>
      <c r="I1444" s="6">
        <v>-0.84220419183289064</v>
      </c>
      <c r="J1444" s="6">
        <v>2928000</v>
      </c>
      <c r="K1444" s="6">
        <v>63.601694915254235</v>
      </c>
      <c r="L1444" t="s">
        <v>17</v>
      </c>
      <c r="M1444" t="s">
        <v>27</v>
      </c>
      <c r="N1444" s="4" t="s">
        <v>5508</v>
      </c>
      <c r="O1444" s="4" t="s">
        <v>5509</v>
      </c>
      <c r="P1444" s="4" t="s">
        <v>233</v>
      </c>
    </row>
    <row r="1445" spans="1:16" x14ac:dyDescent="0.35">
      <c r="A1445" t="s">
        <v>5510</v>
      </c>
      <c r="B1445" t="s">
        <v>5511</v>
      </c>
      <c r="C1445" t="s">
        <v>16</v>
      </c>
      <c r="D1445" s="6">
        <v>6308488.4598167986</v>
      </c>
      <c r="E1445" s="6">
        <v>6433122.4598167986</v>
      </c>
      <c r="F1445" s="6">
        <v>3.2999999821186066E-2</v>
      </c>
      <c r="G1445" s="6">
        <v>3.5999998450279236E-2</v>
      </c>
      <c r="H1445" s="6" t="e">
        <v>#N/A</v>
      </c>
      <c r="I1445" s="6">
        <v>-0.80592177140731547</v>
      </c>
      <c r="J1445" s="6">
        <v>0</v>
      </c>
      <c r="K1445" s="6">
        <v>38.965211271915067</v>
      </c>
      <c r="L1445" t="s">
        <v>17</v>
      </c>
      <c r="M1445" t="s">
        <v>87</v>
      </c>
      <c r="N1445" s="4" t="s">
        <v>5512</v>
      </c>
      <c r="O1445" s="4" t="s">
        <v>5513</v>
      </c>
      <c r="P1445" s="4" t="s">
        <v>233</v>
      </c>
    </row>
    <row r="1446" spans="1:16" x14ac:dyDescent="0.35">
      <c r="A1446" t="s">
        <v>5514</v>
      </c>
      <c r="B1446" t="s">
        <v>5515</v>
      </c>
      <c r="C1446" t="s">
        <v>16</v>
      </c>
      <c r="D1446" s="6">
        <v>47370969.150792718</v>
      </c>
      <c r="E1446" s="6">
        <v>40220274.150792718</v>
      </c>
      <c r="F1446" s="6">
        <v>1.8700000047683716</v>
      </c>
      <c r="G1446" s="6">
        <v>1.7699999809265137</v>
      </c>
      <c r="H1446" s="6" t="e">
        <v>#N/A</v>
      </c>
      <c r="I1446" s="6">
        <v>0.22155228828259466</v>
      </c>
      <c r="J1446" s="6" t="e">
        <v>#N/A</v>
      </c>
      <c r="K1446" s="6">
        <v>14.857142857142858</v>
      </c>
      <c r="L1446" t="s">
        <v>17</v>
      </c>
      <c r="M1446" t="s">
        <v>18</v>
      </c>
      <c r="N1446" s="4" t="s">
        <v>5516</v>
      </c>
      <c r="O1446" s="4" t="s">
        <v>5517</v>
      </c>
      <c r="P1446" s="4" t="s">
        <v>233</v>
      </c>
    </row>
    <row r="1447" spans="1:16" x14ac:dyDescent="0.35">
      <c r="A1447" t="s">
        <v>5518</v>
      </c>
      <c r="B1447" t="s">
        <v>5519</v>
      </c>
      <c r="C1447" t="s">
        <v>16</v>
      </c>
      <c r="D1447" s="6">
        <v>39766800.072571516</v>
      </c>
      <c r="E1447" s="6">
        <v>-50536199.927428484</v>
      </c>
      <c r="F1447" s="6">
        <v>1.2200000286102295</v>
      </c>
      <c r="G1447" s="6">
        <v>1.2300000190734863</v>
      </c>
      <c r="H1447" s="6" t="e">
        <v>#N/A</v>
      </c>
      <c r="I1447" s="6">
        <v>-0.90869689621131144</v>
      </c>
      <c r="J1447" s="6">
        <v>0</v>
      </c>
      <c r="K1447" s="6">
        <v>25.31386846776423</v>
      </c>
      <c r="L1447" t="s">
        <v>17</v>
      </c>
      <c r="M1447" t="s">
        <v>18</v>
      </c>
      <c r="N1447" s="4" t="s">
        <v>5520</v>
      </c>
      <c r="O1447" s="4" t="s">
        <v>5521</v>
      </c>
      <c r="P1447" s="4" t="s">
        <v>233</v>
      </c>
    </row>
    <row r="1448" spans="1:16" x14ac:dyDescent="0.35">
      <c r="A1448" t="s">
        <v>5522</v>
      </c>
      <c r="B1448" t="s">
        <v>5523</v>
      </c>
      <c r="C1448" t="s">
        <v>16</v>
      </c>
      <c r="D1448" s="6">
        <v>4259268893.5097885</v>
      </c>
      <c r="E1448" s="6">
        <v>3909440893.5097885</v>
      </c>
      <c r="F1448" s="6">
        <v>42.119998931884766</v>
      </c>
      <c r="G1448" s="6">
        <v>40.790000915527344</v>
      </c>
      <c r="H1448" s="6" t="e">
        <v>#N/A</v>
      </c>
      <c r="I1448" s="6">
        <v>-0.1349470178065002</v>
      </c>
      <c r="J1448" s="6">
        <v>0</v>
      </c>
      <c r="K1448" s="6">
        <v>-30.491074898946174</v>
      </c>
      <c r="L1448" t="s">
        <v>17</v>
      </c>
      <c r="M1448" t="s">
        <v>18</v>
      </c>
      <c r="N1448" s="4" t="s">
        <v>233</v>
      </c>
      <c r="O1448" s="4" t="s">
        <v>5524</v>
      </c>
      <c r="P1448" s="4" t="s">
        <v>13087</v>
      </c>
    </row>
    <row r="1449" spans="1:16" x14ac:dyDescent="0.35">
      <c r="A1449" t="s">
        <v>5525</v>
      </c>
      <c r="B1449" t="s">
        <v>5526</v>
      </c>
      <c r="C1449" t="s">
        <v>16</v>
      </c>
      <c r="D1449" s="6">
        <v>12311861.984409986</v>
      </c>
      <c r="E1449" s="6">
        <v>11068930.984409986</v>
      </c>
      <c r="F1449" s="6">
        <v>0.79000002145767212</v>
      </c>
      <c r="G1449" s="6">
        <v>0.78574997186660767</v>
      </c>
      <c r="H1449" s="6" t="e">
        <v>#N/A</v>
      </c>
      <c r="I1449" s="6">
        <v>-0.47933298794445511</v>
      </c>
      <c r="J1449" s="6">
        <v>2532499</v>
      </c>
      <c r="K1449" s="6">
        <v>49.723756906077348</v>
      </c>
      <c r="L1449" t="s">
        <v>17</v>
      </c>
      <c r="M1449" t="s">
        <v>18</v>
      </c>
      <c r="N1449" s="4" t="s">
        <v>5527</v>
      </c>
      <c r="O1449" s="4" t="s">
        <v>5528</v>
      </c>
      <c r="P1449" s="4" t="s">
        <v>233</v>
      </c>
    </row>
    <row r="1450" spans="1:16" x14ac:dyDescent="0.35">
      <c r="A1450" t="s">
        <v>5529</v>
      </c>
      <c r="B1450" t="s">
        <v>5530</v>
      </c>
      <c r="C1450" t="s">
        <v>16</v>
      </c>
      <c r="D1450" s="6">
        <v>6147.5592000000006</v>
      </c>
      <c r="E1450" s="6">
        <v>4396736.5592</v>
      </c>
      <c r="F1450" s="6">
        <v>2.0000000000000001E-4</v>
      </c>
      <c r="G1450" s="6">
        <v>2.0000000000000001E-4</v>
      </c>
      <c r="H1450" s="6" t="e">
        <v>#N/A</v>
      </c>
      <c r="I1450" s="6">
        <v>-0.99548929723406354</v>
      </c>
      <c r="J1450" s="6">
        <v>633102</v>
      </c>
      <c r="K1450" s="6">
        <v>-25.714285714285722</v>
      </c>
      <c r="L1450" t="s">
        <v>17</v>
      </c>
      <c r="M1450" t="s">
        <v>18</v>
      </c>
      <c r="N1450" s="4" t="s">
        <v>5531</v>
      </c>
      <c r="O1450" s="4" t="s">
        <v>5532</v>
      </c>
      <c r="P1450" s="4" t="s">
        <v>233</v>
      </c>
    </row>
    <row r="1451" spans="1:16" x14ac:dyDescent="0.35">
      <c r="A1451" t="s">
        <v>5533</v>
      </c>
      <c r="B1451" t="s">
        <v>5534</v>
      </c>
      <c r="C1451" t="s">
        <v>16</v>
      </c>
      <c r="D1451" s="6">
        <v>2686233184.6169543</v>
      </c>
      <c r="E1451" s="6" t="e">
        <v>#N/A</v>
      </c>
      <c r="F1451" s="6">
        <v>39.939998626708984</v>
      </c>
      <c r="G1451" s="6">
        <v>40.959999084472656</v>
      </c>
      <c r="H1451" s="6" t="e">
        <v>#N/A</v>
      </c>
      <c r="I1451" s="6">
        <v>-0.42478347309361253</v>
      </c>
      <c r="J1451" s="6">
        <v>2782900000</v>
      </c>
      <c r="K1451" s="6">
        <v>-20006.666666666668</v>
      </c>
      <c r="L1451" t="s">
        <v>17</v>
      </c>
      <c r="M1451" t="s">
        <v>27</v>
      </c>
      <c r="N1451" s="4" t="s">
        <v>5535</v>
      </c>
      <c r="O1451" s="4" t="s">
        <v>5536</v>
      </c>
      <c r="P1451" s="4" t="s">
        <v>233</v>
      </c>
    </row>
    <row r="1452" spans="1:16" x14ac:dyDescent="0.35">
      <c r="A1452" t="s">
        <v>5537</v>
      </c>
      <c r="B1452" t="s">
        <v>5538</v>
      </c>
      <c r="C1452" t="s">
        <v>16</v>
      </c>
      <c r="D1452" s="6">
        <v>2813647.1161909103</v>
      </c>
      <c r="E1452" s="6">
        <v>-1697378.8838090887</v>
      </c>
      <c r="F1452" s="6">
        <v>0.69019997119903564</v>
      </c>
      <c r="G1452" s="6">
        <v>0.67100000381469727</v>
      </c>
      <c r="H1452" s="6" t="e">
        <v>#N/A</v>
      </c>
      <c r="I1452" s="6">
        <v>-0.75637292630508612</v>
      </c>
      <c r="J1452" s="6">
        <v>0</v>
      </c>
      <c r="K1452" s="6">
        <v>-51.724137931034491</v>
      </c>
      <c r="L1452" t="s">
        <v>17</v>
      </c>
      <c r="M1452" t="s">
        <v>18</v>
      </c>
      <c r="N1452" s="4" t="s">
        <v>5539</v>
      </c>
      <c r="O1452" s="4" t="s">
        <v>5540</v>
      </c>
      <c r="P1452" s="4" t="s">
        <v>233</v>
      </c>
    </row>
    <row r="1453" spans="1:16" x14ac:dyDescent="0.35">
      <c r="A1453" t="s">
        <v>5541</v>
      </c>
      <c r="B1453" t="s">
        <v>5542</v>
      </c>
      <c r="C1453" t="s">
        <v>16</v>
      </c>
      <c r="D1453" s="6">
        <v>3816504884.9105835</v>
      </c>
      <c r="E1453" s="6">
        <v>4878733884.9105835</v>
      </c>
      <c r="F1453" s="6">
        <v>12.649999618530273</v>
      </c>
      <c r="G1453" s="6">
        <v>12.630000114440918</v>
      </c>
      <c r="H1453" s="6" t="e">
        <v>#N/A</v>
      </c>
      <c r="I1453" s="6">
        <v>-0.19430365767006641</v>
      </c>
      <c r="J1453" s="6">
        <v>393919000</v>
      </c>
      <c r="K1453" s="6">
        <v>-23.484893832153691</v>
      </c>
      <c r="L1453" t="s">
        <v>17</v>
      </c>
      <c r="M1453" t="s">
        <v>18</v>
      </c>
      <c r="N1453" s="4" t="s">
        <v>233</v>
      </c>
      <c r="O1453" s="4" t="s">
        <v>5543</v>
      </c>
      <c r="P1453" s="4" t="s">
        <v>13178</v>
      </c>
    </row>
    <row r="1454" spans="1:16" x14ac:dyDescent="0.35">
      <c r="A1454" t="s">
        <v>5544</v>
      </c>
      <c r="B1454" t="s">
        <v>12983</v>
      </c>
      <c r="C1454" t="s">
        <v>16</v>
      </c>
      <c r="D1454" s="6">
        <v>3743845.9046094418</v>
      </c>
      <c r="E1454" s="6">
        <v>-1027084.0953905592</v>
      </c>
      <c r="F1454" s="6">
        <v>3.8190000057220459</v>
      </c>
      <c r="G1454" s="6">
        <v>3.875</v>
      </c>
      <c r="H1454" s="6" t="e">
        <v>#N/A</v>
      </c>
      <c r="I1454" s="6">
        <v>-0.69830246012082764</v>
      </c>
      <c r="J1454" s="6">
        <v>18600</v>
      </c>
      <c r="K1454" s="6">
        <v>76.25</v>
      </c>
      <c r="L1454" t="s">
        <v>17</v>
      </c>
      <c r="M1454" t="s">
        <v>27</v>
      </c>
      <c r="N1454" s="4" t="s">
        <v>5545</v>
      </c>
      <c r="O1454" s="4" t="s">
        <v>5546</v>
      </c>
      <c r="P1454" s="4" t="s">
        <v>233</v>
      </c>
    </row>
    <row r="1455" spans="1:16" x14ac:dyDescent="0.35">
      <c r="A1455" t="s">
        <v>5547</v>
      </c>
      <c r="B1455" t="s">
        <v>5548</v>
      </c>
      <c r="C1455" t="s">
        <v>16</v>
      </c>
      <c r="D1455" s="6">
        <v>1602094.293661505</v>
      </c>
      <c r="E1455" s="6">
        <v>7854094.293661505</v>
      </c>
      <c r="F1455" s="6">
        <v>0.33000001311302185</v>
      </c>
      <c r="G1455" s="6">
        <v>0.31999999284744263</v>
      </c>
      <c r="H1455" s="6" t="e">
        <v>#N/A</v>
      </c>
      <c r="I1455" s="6">
        <v>-0.7169716554286103</v>
      </c>
      <c r="J1455" s="6">
        <v>0</v>
      </c>
      <c r="K1455" s="6">
        <v>98.223721668949153</v>
      </c>
      <c r="L1455" t="s">
        <v>17</v>
      </c>
      <c r="M1455" t="s">
        <v>18</v>
      </c>
      <c r="N1455" s="4" t="s">
        <v>5549</v>
      </c>
      <c r="O1455" s="4" t="s">
        <v>5550</v>
      </c>
      <c r="P1455" s="4" t="s">
        <v>233</v>
      </c>
    </row>
    <row r="1456" spans="1:16" x14ac:dyDescent="0.35">
      <c r="A1456" t="s">
        <v>5551</v>
      </c>
      <c r="B1456" t="s">
        <v>5552</v>
      </c>
      <c r="C1456" t="s">
        <v>16</v>
      </c>
      <c r="D1456" s="6">
        <v>193413832.706182</v>
      </c>
      <c r="E1456" s="6">
        <v>161395832.706182</v>
      </c>
      <c r="F1456" s="6">
        <v>5.5999999046325684</v>
      </c>
      <c r="G1456" s="6">
        <v>5.4200000762939453</v>
      </c>
      <c r="H1456" s="6" t="e">
        <v>#N/A</v>
      </c>
      <c r="I1456" s="6">
        <v>-0.37766025618896593</v>
      </c>
      <c r="J1456" s="6">
        <v>8000</v>
      </c>
      <c r="K1456" s="6">
        <v>5.9844938271604944</v>
      </c>
      <c r="L1456" t="s">
        <v>17</v>
      </c>
      <c r="M1456" t="s">
        <v>18</v>
      </c>
      <c r="N1456" s="4" t="s">
        <v>5553</v>
      </c>
      <c r="O1456" s="4" t="s">
        <v>5554</v>
      </c>
      <c r="P1456" s="4" t="s">
        <v>233</v>
      </c>
    </row>
    <row r="1457" spans="1:16" x14ac:dyDescent="0.35">
      <c r="A1457" t="s">
        <v>13018</v>
      </c>
      <c r="B1457" t="s">
        <v>13019</v>
      </c>
      <c r="C1457" t="s">
        <v>16</v>
      </c>
      <c r="D1457" s="6">
        <v>4488056.3700073957</v>
      </c>
      <c r="E1457" s="6">
        <v>4732056.3700073957</v>
      </c>
      <c r="F1457" s="6">
        <v>1.0700000524520874</v>
      </c>
      <c r="G1457" s="6">
        <v>1.0499999523162842</v>
      </c>
      <c r="H1457" s="6" t="e">
        <v>#N/A</v>
      </c>
      <c r="I1457" s="6">
        <v>-0.72087893644916345</v>
      </c>
      <c r="J1457" s="6" t="e">
        <v>#N/A</v>
      </c>
      <c r="K1457" s="6" t="e">
        <v>#N/A</v>
      </c>
      <c r="L1457" t="s">
        <v>17</v>
      </c>
      <c r="M1457" t="s">
        <v>18</v>
      </c>
      <c r="N1457" s="4" t="s">
        <v>233</v>
      </c>
      <c r="O1457" s="4" t="s">
        <v>13020</v>
      </c>
      <c r="P1457" s="4" t="s">
        <v>13179</v>
      </c>
    </row>
    <row r="1458" spans="1:16" x14ac:dyDescent="0.35">
      <c r="A1458" t="s">
        <v>13021</v>
      </c>
      <c r="B1458" t="s">
        <v>13022</v>
      </c>
      <c r="C1458" t="s">
        <v>16</v>
      </c>
      <c r="D1458" s="6">
        <v>20575004.130059481</v>
      </c>
      <c r="E1458" s="6">
        <v>36462271.260192685</v>
      </c>
      <c r="F1458" s="6">
        <v>2.1800000667572021</v>
      </c>
      <c r="G1458" s="6">
        <v>2.1500000953674316</v>
      </c>
      <c r="H1458" s="6" t="e">
        <v>#N/A</v>
      </c>
      <c r="I1458" s="6">
        <v>-0.87387770867168346</v>
      </c>
      <c r="J1458" s="6">
        <v>0</v>
      </c>
      <c r="K1458" s="6" t="e">
        <v>#N/A</v>
      </c>
      <c r="L1458" t="s">
        <v>17</v>
      </c>
      <c r="M1458" t="s">
        <v>87</v>
      </c>
      <c r="N1458" s="4" t="s">
        <v>233</v>
      </c>
      <c r="O1458" s="4" t="s">
        <v>13023</v>
      </c>
      <c r="P1458" s="4" t="s">
        <v>13180</v>
      </c>
    </row>
    <row r="1459" spans="1:16" x14ac:dyDescent="0.35">
      <c r="A1459" t="s">
        <v>5555</v>
      </c>
      <c r="B1459" t="s">
        <v>5556</v>
      </c>
      <c r="C1459" t="s">
        <v>16</v>
      </c>
      <c r="D1459" s="6">
        <v>159957364.00144741</v>
      </c>
      <c r="E1459" s="6">
        <v>-105159635.99855262</v>
      </c>
      <c r="F1459" s="6">
        <v>3.5499999523162842</v>
      </c>
      <c r="G1459" s="6">
        <v>3.380000114440918</v>
      </c>
      <c r="H1459" s="6" t="e">
        <v>#N/A</v>
      </c>
      <c r="I1459" s="6">
        <v>-0.62452110683683926</v>
      </c>
      <c r="J1459" s="6">
        <v>0</v>
      </c>
      <c r="K1459" s="6">
        <v>70.229007633587784</v>
      </c>
      <c r="L1459" t="s">
        <v>17</v>
      </c>
      <c r="M1459" t="s">
        <v>87</v>
      </c>
      <c r="N1459" s="4" t="s">
        <v>5557</v>
      </c>
      <c r="O1459" s="4" t="s">
        <v>5558</v>
      </c>
      <c r="P1459" s="4" t="s">
        <v>233</v>
      </c>
    </row>
    <row r="1460" spans="1:16" x14ac:dyDescent="0.35">
      <c r="A1460" t="s">
        <v>5559</v>
      </c>
      <c r="B1460" t="s">
        <v>5560</v>
      </c>
      <c r="C1460" t="s">
        <v>16</v>
      </c>
      <c r="D1460" s="6">
        <v>32146651.547025684</v>
      </c>
      <c r="E1460" s="6">
        <v>23765501.547025684</v>
      </c>
      <c r="F1460" s="6">
        <v>19.379800796508789</v>
      </c>
      <c r="G1460" s="6">
        <v>17.860000610351563</v>
      </c>
      <c r="H1460" s="6" t="e">
        <v>#N/A</v>
      </c>
      <c r="I1460" s="6">
        <v>0.24156491437129968</v>
      </c>
      <c r="J1460" s="6">
        <v>0</v>
      </c>
      <c r="K1460" s="6">
        <v>27.139227534791019</v>
      </c>
      <c r="L1460" t="s">
        <v>17</v>
      </c>
      <c r="M1460" t="s">
        <v>87</v>
      </c>
      <c r="N1460" s="4" t="s">
        <v>5561</v>
      </c>
      <c r="O1460" s="4" t="s">
        <v>5562</v>
      </c>
      <c r="P1460" s="4" t="s">
        <v>233</v>
      </c>
    </row>
    <row r="1461" spans="1:16" x14ac:dyDescent="0.35">
      <c r="A1461" t="s">
        <v>5563</v>
      </c>
      <c r="B1461" t="s">
        <v>5564</v>
      </c>
      <c r="C1461" t="s">
        <v>16</v>
      </c>
      <c r="D1461" s="6">
        <v>531587394.84027106</v>
      </c>
      <c r="E1461" s="6">
        <v>511452207.84027106</v>
      </c>
      <c r="F1461" s="6">
        <v>5.1599998474121094</v>
      </c>
      <c r="G1461" s="6">
        <v>5.0399999618530273</v>
      </c>
      <c r="H1461" s="6" t="e">
        <v>#N/A</v>
      </c>
      <c r="I1461" s="6">
        <v>-0.54076262729352265</v>
      </c>
      <c r="J1461" s="6">
        <v>0</v>
      </c>
      <c r="K1461" s="6" t="e">
        <v>#N/A</v>
      </c>
      <c r="L1461" t="s">
        <v>17</v>
      </c>
      <c r="M1461" t="s">
        <v>40</v>
      </c>
      <c r="N1461" s="4" t="s">
        <v>5565</v>
      </c>
      <c r="O1461" s="4" t="s">
        <v>5566</v>
      </c>
      <c r="P1461" s="4" t="s">
        <v>233</v>
      </c>
    </row>
    <row r="1462" spans="1:16" x14ac:dyDescent="0.35">
      <c r="A1462" t="s">
        <v>5567</v>
      </c>
      <c r="B1462" t="s">
        <v>5568</v>
      </c>
      <c r="C1462" t="s">
        <v>16</v>
      </c>
      <c r="D1462" s="6">
        <v>984948634.9373455</v>
      </c>
      <c r="E1462" s="6">
        <v>722633634.9373455</v>
      </c>
      <c r="F1462" s="6">
        <v>14.300000190734863</v>
      </c>
      <c r="G1462" s="6">
        <v>13</v>
      </c>
      <c r="H1462" s="6" t="e">
        <v>#N/A</v>
      </c>
      <c r="I1462" s="6">
        <v>0.20918446710845195</v>
      </c>
      <c r="J1462" s="6">
        <v>62199000</v>
      </c>
      <c r="K1462" s="6" t="e">
        <v>#N/A</v>
      </c>
      <c r="L1462" t="s">
        <v>17</v>
      </c>
      <c r="M1462" t="s">
        <v>18</v>
      </c>
      <c r="N1462" s="4" t="s">
        <v>5569</v>
      </c>
      <c r="O1462" s="4" t="s">
        <v>5570</v>
      </c>
      <c r="P1462" s="4" t="s">
        <v>233</v>
      </c>
    </row>
    <row r="1463" spans="1:16" x14ac:dyDescent="0.35">
      <c r="A1463" t="s">
        <v>5571</v>
      </c>
      <c r="B1463" t="s">
        <v>5572</v>
      </c>
      <c r="C1463" t="s">
        <v>16</v>
      </c>
      <c r="D1463" s="6">
        <v>334460140.84576368</v>
      </c>
      <c r="E1463" s="6">
        <v>226428140.84576368</v>
      </c>
      <c r="F1463" s="6">
        <v>2.5499999523162842</v>
      </c>
      <c r="G1463" s="6">
        <v>2.25</v>
      </c>
      <c r="H1463" s="6" t="e">
        <v>#N/A</v>
      </c>
      <c r="I1463" s="6">
        <v>-0.64920042581004667</v>
      </c>
      <c r="J1463" s="6">
        <v>0</v>
      </c>
      <c r="K1463" s="6">
        <v>47.971360381861579</v>
      </c>
      <c r="L1463" t="s">
        <v>17</v>
      </c>
      <c r="M1463" t="s">
        <v>18</v>
      </c>
      <c r="N1463" s="4" t="s">
        <v>5573</v>
      </c>
      <c r="O1463" s="4" t="s">
        <v>5574</v>
      </c>
      <c r="P1463" s="4" t="s">
        <v>233</v>
      </c>
    </row>
    <row r="1464" spans="1:16" x14ac:dyDescent="0.35">
      <c r="A1464" t="s">
        <v>5575</v>
      </c>
      <c r="B1464" t="s">
        <v>5576</v>
      </c>
      <c r="C1464" t="s">
        <v>16</v>
      </c>
      <c r="D1464" s="6">
        <v>160663282.60897824</v>
      </c>
      <c r="E1464" s="6">
        <v>-22776717.391021758</v>
      </c>
      <c r="F1464" s="6">
        <v>5.1599998474121094</v>
      </c>
      <c r="G1464" s="6">
        <v>4.9099998474121094</v>
      </c>
      <c r="H1464" s="6" t="e">
        <v>#N/A</v>
      </c>
      <c r="I1464" s="6">
        <v>0.47272289642310827</v>
      </c>
      <c r="J1464" s="6">
        <v>0</v>
      </c>
      <c r="K1464" s="6">
        <v>-1.1235955056179703</v>
      </c>
      <c r="L1464" t="s">
        <v>17</v>
      </c>
      <c r="M1464" t="s">
        <v>18</v>
      </c>
      <c r="N1464" s="4" t="s">
        <v>5577</v>
      </c>
      <c r="O1464" s="4" t="s">
        <v>5578</v>
      </c>
      <c r="P1464" s="4" t="s">
        <v>233</v>
      </c>
    </row>
    <row r="1465" spans="1:16" x14ac:dyDescent="0.35">
      <c r="A1465" t="s">
        <v>5579</v>
      </c>
      <c r="B1465" t="s">
        <v>5580</v>
      </c>
      <c r="C1465" t="s">
        <v>16</v>
      </c>
      <c r="D1465" s="6">
        <v>4702454.6455999995</v>
      </c>
      <c r="E1465" s="6">
        <v>25330188.645599999</v>
      </c>
      <c r="F1465" s="6">
        <v>7.4000000000000003E-3</v>
      </c>
      <c r="G1465" s="6">
        <v>7.4000000000000003E-3</v>
      </c>
      <c r="H1465" s="6" t="e">
        <v>#N/A</v>
      </c>
      <c r="I1465" s="6">
        <v>-0.71225351931226255</v>
      </c>
      <c r="J1465" s="6">
        <v>9491</v>
      </c>
      <c r="K1465" s="6">
        <v>53.591160220994475</v>
      </c>
      <c r="L1465" t="s">
        <v>17</v>
      </c>
      <c r="M1465" t="s">
        <v>27</v>
      </c>
      <c r="N1465" s="4" t="s">
        <v>233</v>
      </c>
      <c r="O1465" s="4" t="s">
        <v>5581</v>
      </c>
      <c r="P1465" s="4" t="s">
        <v>13181</v>
      </c>
    </row>
    <row r="1466" spans="1:16" x14ac:dyDescent="0.35">
      <c r="A1466" t="s">
        <v>5582</v>
      </c>
      <c r="B1466" t="s">
        <v>5583</v>
      </c>
      <c r="C1466" t="s">
        <v>16</v>
      </c>
      <c r="D1466" s="6">
        <v>30581001.100540165</v>
      </c>
      <c r="E1466" s="6">
        <v>32757757.822281674</v>
      </c>
      <c r="F1466" s="6">
        <v>2.6500000953674316</v>
      </c>
      <c r="G1466" s="6">
        <v>2.6099998950958252</v>
      </c>
      <c r="H1466" s="6" t="e">
        <v>#N/A</v>
      </c>
      <c r="I1466" s="6">
        <v>5.5620372845615051E-2</v>
      </c>
      <c r="J1466" s="6">
        <v>0</v>
      </c>
      <c r="K1466" s="6" t="e">
        <v>#N/A</v>
      </c>
      <c r="L1466" t="s">
        <v>17</v>
      </c>
      <c r="M1466" t="s">
        <v>18</v>
      </c>
      <c r="N1466" s="4" t="s">
        <v>233</v>
      </c>
      <c r="O1466" s="4" t="s">
        <v>5584</v>
      </c>
      <c r="P1466" s="4" t="s">
        <v>13182</v>
      </c>
    </row>
    <row r="1467" spans="1:16" x14ac:dyDescent="0.35">
      <c r="A1467" t="s">
        <v>5585</v>
      </c>
      <c r="B1467" t="s">
        <v>5586</v>
      </c>
      <c r="C1467" t="s">
        <v>16</v>
      </c>
      <c r="D1467" s="6">
        <v>2024227439.7325916</v>
      </c>
      <c r="E1467" s="6">
        <v>1683837439.7325916</v>
      </c>
      <c r="F1467" s="6">
        <v>19.370000839233398</v>
      </c>
      <c r="G1467" s="6">
        <v>18.979999542236328</v>
      </c>
      <c r="H1467" s="6" t="e">
        <v>#N/A</v>
      </c>
      <c r="I1467" s="6">
        <v>-6.7227038467200018E-2</v>
      </c>
      <c r="J1467" s="6">
        <v>14090000</v>
      </c>
      <c r="K1467" s="6">
        <v>-80.672268907563023</v>
      </c>
      <c r="L1467" t="s">
        <v>17</v>
      </c>
      <c r="M1467" t="s">
        <v>18</v>
      </c>
      <c r="N1467" s="4" t="s">
        <v>233</v>
      </c>
      <c r="O1467" s="4" t="s">
        <v>5587</v>
      </c>
      <c r="P1467" s="4" t="s">
        <v>13183</v>
      </c>
    </row>
    <row r="1468" spans="1:16" x14ac:dyDescent="0.35">
      <c r="A1468" t="s">
        <v>5588</v>
      </c>
      <c r="B1468" t="s">
        <v>5589</v>
      </c>
      <c r="C1468" t="s">
        <v>16</v>
      </c>
      <c r="D1468" s="6">
        <v>110436187.24068403</v>
      </c>
      <c r="E1468" s="6">
        <v>79378792.240684032</v>
      </c>
      <c r="F1468" s="6">
        <v>6.6100001335144043</v>
      </c>
      <c r="G1468" s="6">
        <v>6.4600000381469727</v>
      </c>
      <c r="H1468" s="6" t="e">
        <v>#N/A</v>
      </c>
      <c r="I1468" s="6">
        <v>-3.0708943990235826E-2</v>
      </c>
      <c r="J1468" s="6" t="e">
        <v>#N/A</v>
      </c>
      <c r="K1468" s="6">
        <v>67.62532063517105</v>
      </c>
      <c r="L1468" t="s">
        <v>17</v>
      </c>
      <c r="M1468" t="s">
        <v>18</v>
      </c>
      <c r="N1468" s="4" t="s">
        <v>5590</v>
      </c>
      <c r="O1468" s="4" t="s">
        <v>5591</v>
      </c>
      <c r="P1468" s="4" t="s">
        <v>233</v>
      </c>
    </row>
    <row r="1469" spans="1:16" x14ac:dyDescent="0.35">
      <c r="A1469" t="s">
        <v>5592</v>
      </c>
      <c r="B1469" t="s">
        <v>5593</v>
      </c>
      <c r="C1469" t="s">
        <v>16</v>
      </c>
      <c r="D1469" s="6">
        <v>28230612.563095089</v>
      </c>
      <c r="E1469" s="6">
        <v>25605883.563095089</v>
      </c>
      <c r="F1469" s="6">
        <v>3.2400000095367432</v>
      </c>
      <c r="G1469" s="6">
        <v>2.8199999332427979</v>
      </c>
      <c r="H1469" s="6" t="e">
        <v>#N/A</v>
      </c>
      <c r="I1469" s="6">
        <v>-0.3113983998516493</v>
      </c>
      <c r="J1469" s="6">
        <v>65000</v>
      </c>
      <c r="K1469" s="6">
        <v>81.836734693883002</v>
      </c>
      <c r="L1469" t="s">
        <v>17</v>
      </c>
      <c r="M1469" t="s">
        <v>32</v>
      </c>
      <c r="N1469" s="4" t="s">
        <v>5594</v>
      </c>
      <c r="O1469" s="4" t="s">
        <v>5595</v>
      </c>
      <c r="P1469" s="4" t="s">
        <v>233</v>
      </c>
    </row>
    <row r="1470" spans="1:16" x14ac:dyDescent="0.35">
      <c r="A1470" t="s">
        <v>5596</v>
      </c>
      <c r="B1470" t="s">
        <v>5597</v>
      </c>
      <c r="C1470" t="s">
        <v>16</v>
      </c>
      <c r="D1470" s="6">
        <v>7454017.4775800509</v>
      </c>
      <c r="E1470" s="6">
        <v>-19742982.522419948</v>
      </c>
      <c r="F1470" s="6">
        <v>6.7600002288818359</v>
      </c>
      <c r="G1470" s="6">
        <v>6.4600000381469727</v>
      </c>
      <c r="H1470" s="6" t="e">
        <v>#N/A</v>
      </c>
      <c r="I1470" s="6">
        <v>-0.90278213687453646</v>
      </c>
      <c r="J1470" s="6" t="e">
        <v>#N/A</v>
      </c>
      <c r="K1470" s="6">
        <v>57.553061224489802</v>
      </c>
      <c r="L1470" t="s">
        <v>17</v>
      </c>
      <c r="M1470" t="s">
        <v>18</v>
      </c>
      <c r="N1470" s="4" t="s">
        <v>233</v>
      </c>
      <c r="O1470" s="4" t="s">
        <v>13073</v>
      </c>
      <c r="P1470" s="4" t="s">
        <v>13184</v>
      </c>
    </row>
    <row r="1471" spans="1:16" x14ac:dyDescent="0.35">
      <c r="A1471" t="s">
        <v>5598</v>
      </c>
      <c r="B1471" t="s">
        <v>5599</v>
      </c>
      <c r="C1471" t="s">
        <v>16</v>
      </c>
      <c r="D1471" s="6">
        <v>39245389593.232841</v>
      </c>
      <c r="E1471" s="6">
        <v>46562389593.232841</v>
      </c>
      <c r="F1471" s="6">
        <v>85.900001525878906</v>
      </c>
      <c r="G1471" s="6">
        <v>85.94000244140625</v>
      </c>
      <c r="H1471" s="6">
        <v>19.415369451618414</v>
      </c>
      <c r="I1471" s="6">
        <v>3.4248513046687634E-2</v>
      </c>
      <c r="J1471" s="6">
        <v>19558000000</v>
      </c>
      <c r="K1471" s="6">
        <v>8.9359767279599396</v>
      </c>
      <c r="L1471" t="s">
        <v>17</v>
      </c>
      <c r="M1471" t="s">
        <v>27</v>
      </c>
      <c r="N1471" s="4" t="s">
        <v>5600</v>
      </c>
      <c r="O1471" s="4" t="s">
        <v>5601</v>
      </c>
      <c r="P1471" s="4" t="s">
        <v>233</v>
      </c>
    </row>
    <row r="1472" spans="1:16" x14ac:dyDescent="0.35">
      <c r="A1472" t="s">
        <v>5602</v>
      </c>
      <c r="B1472" t="s">
        <v>5603</v>
      </c>
      <c r="C1472" t="s">
        <v>16</v>
      </c>
      <c r="D1472" s="6">
        <v>5428046.0333003988</v>
      </c>
      <c r="E1472" s="6">
        <v>4145142.0333003988</v>
      </c>
      <c r="F1472" s="6">
        <v>4.4899997711181641</v>
      </c>
      <c r="G1472" s="6">
        <v>4.1100001335144043</v>
      </c>
      <c r="H1472" s="6" t="e">
        <v>#N/A</v>
      </c>
      <c r="I1472" s="6">
        <v>-0.43220106082830434</v>
      </c>
      <c r="J1472" s="6">
        <v>483533</v>
      </c>
      <c r="K1472" s="6">
        <v>-126.6772881355932</v>
      </c>
      <c r="L1472" t="s">
        <v>17</v>
      </c>
      <c r="M1472" t="s">
        <v>18</v>
      </c>
      <c r="N1472" s="4" t="s">
        <v>13031</v>
      </c>
      <c r="O1472" s="4" t="s">
        <v>13032</v>
      </c>
      <c r="P1472" s="4" t="s">
        <v>233</v>
      </c>
    </row>
    <row r="1473" spans="1:16" x14ac:dyDescent="0.35">
      <c r="A1473" t="s">
        <v>5604</v>
      </c>
      <c r="B1473" t="s">
        <v>5605</v>
      </c>
      <c r="C1473" t="s">
        <v>16</v>
      </c>
      <c r="D1473" s="6">
        <v>16543137.191176413</v>
      </c>
      <c r="E1473" s="6">
        <v>16688837.191176413</v>
      </c>
      <c r="F1473" s="6">
        <v>2.369999885559082</v>
      </c>
      <c r="G1473" s="6">
        <v>2.3900001049041748</v>
      </c>
      <c r="H1473" s="6" t="e">
        <v>#N/A</v>
      </c>
      <c r="I1473" s="6">
        <v>-0.23369021333999385</v>
      </c>
      <c r="J1473" s="6">
        <v>2460049</v>
      </c>
      <c r="K1473" s="6" t="e">
        <v>#N/A</v>
      </c>
      <c r="L1473" t="s">
        <v>17</v>
      </c>
      <c r="M1473" t="s">
        <v>27</v>
      </c>
      <c r="N1473" s="4" t="s">
        <v>5606</v>
      </c>
      <c r="O1473" s="4" t="s">
        <v>5607</v>
      </c>
      <c r="P1473" s="4" t="s">
        <v>233</v>
      </c>
    </row>
    <row r="1474" spans="1:16" x14ac:dyDescent="0.35">
      <c r="A1474" t="s">
        <v>5608</v>
      </c>
      <c r="B1474" t="s">
        <v>13060</v>
      </c>
      <c r="C1474" t="s">
        <v>16</v>
      </c>
      <c r="D1474" s="6">
        <v>9885937.9537686091</v>
      </c>
      <c r="E1474" s="6">
        <v>8632034.9537686091</v>
      </c>
      <c r="F1474" s="6">
        <v>1.6399999856948853</v>
      </c>
      <c r="G1474" s="6">
        <v>1.5399999618530273</v>
      </c>
      <c r="H1474" s="6" t="e">
        <v>#N/A</v>
      </c>
      <c r="I1474" s="6">
        <v>-0.72861304275024508</v>
      </c>
      <c r="J1474" s="6" t="e">
        <v>#N/A</v>
      </c>
      <c r="K1474" s="6" t="e">
        <v>#N/A</v>
      </c>
      <c r="L1474" t="s">
        <v>17</v>
      </c>
      <c r="M1474" t="s">
        <v>18</v>
      </c>
      <c r="N1474" s="4" t="s">
        <v>5609</v>
      </c>
      <c r="O1474" s="4" t="s">
        <v>5610</v>
      </c>
      <c r="P1474" s="4" t="s">
        <v>233</v>
      </c>
    </row>
    <row r="1475" spans="1:16" x14ac:dyDescent="0.35">
      <c r="A1475" t="s">
        <v>5611</v>
      </c>
      <c r="B1475" t="s">
        <v>5612</v>
      </c>
      <c r="C1475" t="s">
        <v>16</v>
      </c>
      <c r="D1475" s="6">
        <v>1393152145.3913574</v>
      </c>
      <c r="E1475" s="6">
        <v>931282145.39135742</v>
      </c>
      <c r="F1475" s="6">
        <v>24.329999923706055</v>
      </c>
      <c r="G1475" s="6">
        <v>24.409999847412109</v>
      </c>
      <c r="H1475" s="6" t="e">
        <v>#N/A</v>
      </c>
      <c r="I1475" s="6">
        <v>-0.4999744841799767</v>
      </c>
      <c r="J1475" s="6">
        <v>0</v>
      </c>
      <c r="K1475" s="6">
        <v>85.299455535390194</v>
      </c>
      <c r="L1475" t="s">
        <v>17</v>
      </c>
      <c r="M1475" t="s">
        <v>87</v>
      </c>
      <c r="N1475" s="4" t="s">
        <v>5613</v>
      </c>
      <c r="O1475" s="4" t="s">
        <v>5614</v>
      </c>
      <c r="P1475" s="4" t="s">
        <v>233</v>
      </c>
    </row>
    <row r="1476" spans="1:16" x14ac:dyDescent="0.35">
      <c r="A1476" t="s">
        <v>5615</v>
      </c>
      <c r="B1476" t="s">
        <v>5616</v>
      </c>
      <c r="C1476" t="s">
        <v>16</v>
      </c>
      <c r="D1476" s="6">
        <v>886305750.99858272</v>
      </c>
      <c r="E1476" s="6">
        <v>762887007.99858272</v>
      </c>
      <c r="F1476" s="6">
        <v>21.280000686645508</v>
      </c>
      <c r="G1476" s="6">
        <v>21</v>
      </c>
      <c r="H1476" s="6" t="e">
        <v>#N/A</v>
      </c>
      <c r="I1476" s="6">
        <v>0.66278368397197562</v>
      </c>
      <c r="J1476" s="6">
        <v>0</v>
      </c>
      <c r="K1476" s="6">
        <v>18.8247913797283</v>
      </c>
      <c r="L1476" t="s">
        <v>17</v>
      </c>
      <c r="M1476" t="s">
        <v>87</v>
      </c>
      <c r="N1476" s="4" t="s">
        <v>233</v>
      </c>
      <c r="O1476" s="4" t="s">
        <v>5617</v>
      </c>
      <c r="P1476" s="4" t="s">
        <v>13185</v>
      </c>
    </row>
    <row r="1477" spans="1:16" x14ac:dyDescent="0.35">
      <c r="A1477" t="s">
        <v>5618</v>
      </c>
      <c r="B1477" t="s">
        <v>5619</v>
      </c>
      <c r="C1477" t="s">
        <v>16</v>
      </c>
      <c r="D1477" s="6">
        <v>529752827.01323599</v>
      </c>
      <c r="E1477" s="6" t="e">
        <v>#N/A</v>
      </c>
      <c r="F1477" s="6">
        <v>10.630000114440918</v>
      </c>
      <c r="G1477" s="6">
        <v>10.609999656677246</v>
      </c>
      <c r="H1477" s="6" t="e">
        <v>#N/A</v>
      </c>
      <c r="I1477" s="6">
        <v>-0.27721067721640369</v>
      </c>
      <c r="J1477" s="6">
        <v>0</v>
      </c>
      <c r="K1477" s="6">
        <v>-83.919597989949764</v>
      </c>
      <c r="L1477" t="s">
        <v>17</v>
      </c>
      <c r="M1477" t="s">
        <v>18</v>
      </c>
      <c r="N1477" s="4" t="s">
        <v>5620</v>
      </c>
      <c r="O1477" s="4" t="s">
        <v>5621</v>
      </c>
      <c r="P1477" s="4" t="s">
        <v>233</v>
      </c>
    </row>
    <row r="1478" spans="1:16" x14ac:dyDescent="0.35">
      <c r="A1478" t="s">
        <v>5622</v>
      </c>
      <c r="B1478" t="s">
        <v>5623</v>
      </c>
      <c r="C1478" t="s">
        <v>16</v>
      </c>
      <c r="D1478" s="6" t="e">
        <v>#N/A</v>
      </c>
      <c r="E1478" s="6" t="e">
        <v>#N/A</v>
      </c>
      <c r="F1478" s="6">
        <v>9.9999999747524271E-7</v>
      </c>
      <c r="G1478" s="6">
        <v>9.9999999747524271E-7</v>
      </c>
      <c r="H1478" s="6" t="e">
        <v>#N/A</v>
      </c>
      <c r="I1478" s="6">
        <v>-0.99999977171894205</v>
      </c>
      <c r="J1478" s="6">
        <v>58060025</v>
      </c>
      <c r="K1478" s="6">
        <v>-8551.2031634276918</v>
      </c>
      <c r="L1478" t="s">
        <v>17</v>
      </c>
      <c r="M1478" t="s">
        <v>40</v>
      </c>
      <c r="N1478" s="4" t="s">
        <v>233</v>
      </c>
      <c r="O1478" s="4" t="s">
        <v>5624</v>
      </c>
      <c r="P1478" s="4" t="s">
        <v>13186</v>
      </c>
    </row>
    <row r="1479" spans="1:16" x14ac:dyDescent="0.35">
      <c r="A1479" t="s">
        <v>5625</v>
      </c>
      <c r="B1479" t="s">
        <v>5626</v>
      </c>
      <c r="C1479" t="s">
        <v>16</v>
      </c>
      <c r="D1479" s="6">
        <v>36630291.949868202</v>
      </c>
      <c r="E1479" s="6">
        <v>28775291.949868206</v>
      </c>
      <c r="F1479" s="6">
        <v>2.5399999618530273</v>
      </c>
      <c r="G1479" s="6">
        <v>2.5099999904632568</v>
      </c>
      <c r="H1479" s="6" t="e">
        <v>#N/A</v>
      </c>
      <c r="I1479" s="6">
        <v>-0.58396891737059153</v>
      </c>
      <c r="J1479" s="6">
        <v>33879000</v>
      </c>
      <c r="K1479" s="6">
        <v>31.60108005061041</v>
      </c>
      <c r="L1479" t="s">
        <v>17</v>
      </c>
      <c r="M1479" t="s">
        <v>18</v>
      </c>
      <c r="N1479" s="4" t="s">
        <v>233</v>
      </c>
      <c r="O1479" s="4" t="s">
        <v>5627</v>
      </c>
      <c r="P1479" s="4" t="s">
        <v>13187</v>
      </c>
    </row>
    <row r="1480" spans="1:16" x14ac:dyDescent="0.35">
      <c r="A1480" t="s">
        <v>5628</v>
      </c>
      <c r="B1480" t="s">
        <v>5629</v>
      </c>
      <c r="C1480" t="s">
        <v>16</v>
      </c>
      <c r="D1480" s="6">
        <v>41444518.816312909</v>
      </c>
      <c r="E1480" s="6">
        <v>51621972.816312909</v>
      </c>
      <c r="F1480" s="6">
        <v>1.8899999856948853</v>
      </c>
      <c r="G1480" s="6">
        <v>1.8200000524520874</v>
      </c>
      <c r="H1480" s="6" t="e">
        <v>#N/A</v>
      </c>
      <c r="I1480" s="6">
        <v>-0.75245370477782858</v>
      </c>
      <c r="J1480" s="6" t="e">
        <v>#N/A</v>
      </c>
      <c r="K1480" s="6" t="e">
        <v>#N/A</v>
      </c>
      <c r="L1480" t="s">
        <v>17</v>
      </c>
      <c r="M1480" t="s">
        <v>18</v>
      </c>
      <c r="N1480" s="4" t="s">
        <v>5630</v>
      </c>
      <c r="O1480" s="4" t="s">
        <v>5631</v>
      </c>
      <c r="P1480" s="4" t="s">
        <v>233</v>
      </c>
    </row>
    <row r="1481" spans="1:16" x14ac:dyDescent="0.35">
      <c r="A1481" t="s">
        <v>5632</v>
      </c>
      <c r="B1481" t="s">
        <v>5633</v>
      </c>
      <c r="C1481" t="s">
        <v>16</v>
      </c>
      <c r="D1481" s="6">
        <v>200651138</v>
      </c>
      <c r="E1481" s="6">
        <v>-519105862.00000012</v>
      </c>
      <c r="F1481" s="6">
        <v>2</v>
      </c>
      <c r="G1481" s="6">
        <v>2.0199999809265137</v>
      </c>
      <c r="H1481" s="6" t="e">
        <v>#N/A</v>
      </c>
      <c r="I1481" s="6">
        <v>-0.74097863190059288</v>
      </c>
      <c r="J1481" s="6">
        <v>0</v>
      </c>
      <c r="K1481" s="6">
        <v>74.253200568990039</v>
      </c>
      <c r="L1481" t="s">
        <v>17</v>
      </c>
      <c r="M1481" t="s">
        <v>18</v>
      </c>
      <c r="N1481" s="4" t="s">
        <v>5634</v>
      </c>
      <c r="O1481" s="4" t="s">
        <v>5635</v>
      </c>
      <c r="P1481" s="4" t="s">
        <v>233</v>
      </c>
    </row>
    <row r="1482" spans="1:16" x14ac:dyDescent="0.35">
      <c r="A1482" t="s">
        <v>5636</v>
      </c>
      <c r="B1482" t="s">
        <v>5637</v>
      </c>
      <c r="C1482" t="s">
        <v>16</v>
      </c>
      <c r="D1482" s="6">
        <v>35312500.753276825</v>
      </c>
      <c r="E1482" s="6">
        <v>41832799.753276825</v>
      </c>
      <c r="F1482" s="6">
        <v>2.4200000762939453</v>
      </c>
      <c r="G1482" s="6">
        <v>2.2300000190734863</v>
      </c>
      <c r="H1482" s="6">
        <v>34.571429661342073</v>
      </c>
      <c r="I1482" s="6">
        <v>-0.6515118400905453</v>
      </c>
      <c r="J1482" s="6">
        <v>19711290</v>
      </c>
      <c r="K1482" s="6">
        <v>-85.416666666666671</v>
      </c>
      <c r="L1482" t="s">
        <v>17</v>
      </c>
      <c r="M1482" t="s">
        <v>27</v>
      </c>
      <c r="N1482" s="4" t="s">
        <v>233</v>
      </c>
      <c r="O1482" s="4" t="s">
        <v>5638</v>
      </c>
      <c r="P1482" s="4" t="s">
        <v>13188</v>
      </c>
    </row>
    <row r="1483" spans="1:16" x14ac:dyDescent="0.35">
      <c r="A1483" t="s">
        <v>5639</v>
      </c>
      <c r="B1483" t="s">
        <v>5640</v>
      </c>
      <c r="C1483" t="s">
        <v>16</v>
      </c>
      <c r="D1483" s="6">
        <v>5079226.8106737137</v>
      </c>
      <c r="E1483" s="6">
        <v>4169184.8106737137</v>
      </c>
      <c r="F1483" s="6">
        <v>0.32100000977516174</v>
      </c>
      <c r="G1483" s="6">
        <v>0.31549999117851257</v>
      </c>
      <c r="H1483" s="6" t="e">
        <v>#N/A</v>
      </c>
      <c r="I1483" s="6">
        <v>-0.99057607854341234</v>
      </c>
      <c r="J1483" s="6">
        <v>686000</v>
      </c>
      <c r="K1483" s="6" t="e">
        <v>#N/A</v>
      </c>
      <c r="L1483" t="s">
        <v>17</v>
      </c>
      <c r="M1483" t="s">
        <v>18</v>
      </c>
      <c r="N1483" s="4" t="s">
        <v>5641</v>
      </c>
      <c r="O1483" s="4" t="s">
        <v>5642</v>
      </c>
      <c r="P1483" s="4" t="s">
        <v>233</v>
      </c>
    </row>
    <row r="1484" spans="1:16" x14ac:dyDescent="0.35">
      <c r="A1484" t="s">
        <v>5643</v>
      </c>
      <c r="B1484" t="s">
        <v>5644</v>
      </c>
      <c r="C1484" t="s">
        <v>16</v>
      </c>
      <c r="D1484" s="6">
        <v>91956861.770590529</v>
      </c>
      <c r="E1484" s="6">
        <v>78859823.770590529</v>
      </c>
      <c r="F1484" s="6">
        <v>2.6800000667572021</v>
      </c>
      <c r="G1484" s="6">
        <v>2.809999942779541</v>
      </c>
      <c r="H1484" s="6" t="e">
        <v>#N/A</v>
      </c>
      <c r="I1484" s="6">
        <v>-0.14264188174898318</v>
      </c>
      <c r="J1484" s="6">
        <v>364999</v>
      </c>
      <c r="K1484" s="6" t="e">
        <v>#N/A</v>
      </c>
      <c r="L1484" t="s">
        <v>17</v>
      </c>
      <c r="M1484" t="s">
        <v>27</v>
      </c>
      <c r="N1484" s="4" t="s">
        <v>5645</v>
      </c>
      <c r="O1484" s="4" t="s">
        <v>5646</v>
      </c>
      <c r="P1484" s="4" t="s">
        <v>233</v>
      </c>
    </row>
    <row r="1485" spans="1:16" x14ac:dyDescent="0.35">
      <c r="A1485" t="s">
        <v>5647</v>
      </c>
      <c r="B1485" t="s">
        <v>5648</v>
      </c>
      <c r="C1485" t="s">
        <v>16</v>
      </c>
      <c r="D1485" s="6">
        <v>4753819.638605237</v>
      </c>
      <c r="E1485" s="6" t="e">
        <v>#N/A</v>
      </c>
      <c r="F1485" s="6">
        <v>0.64550000429153442</v>
      </c>
      <c r="G1485" s="6">
        <v>0.60100001096725464</v>
      </c>
      <c r="H1485" s="6" t="e">
        <v>#N/A</v>
      </c>
      <c r="I1485" s="6">
        <v>-0.81680624144292491</v>
      </c>
      <c r="J1485" s="6" t="e">
        <v>#N/A</v>
      </c>
      <c r="K1485" s="6" t="e">
        <v>#N/A</v>
      </c>
      <c r="L1485" t="s">
        <v>17</v>
      </c>
      <c r="M1485" t="s">
        <v>87</v>
      </c>
      <c r="N1485" s="4" t="s">
        <v>5649</v>
      </c>
      <c r="O1485" s="4" t="s">
        <v>5650</v>
      </c>
      <c r="P1485" s="4" t="s">
        <v>233</v>
      </c>
    </row>
    <row r="1486" spans="1:16" x14ac:dyDescent="0.35">
      <c r="A1486" t="s">
        <v>5651</v>
      </c>
      <c r="B1486" t="s">
        <v>5652</v>
      </c>
      <c r="C1486" t="s">
        <v>16</v>
      </c>
      <c r="D1486" s="6">
        <v>9047851.3437591791</v>
      </c>
      <c r="E1486" s="6">
        <v>-82515148.656240821</v>
      </c>
      <c r="F1486" s="6">
        <v>0.39120000600814819</v>
      </c>
      <c r="G1486" s="6">
        <v>0.40999999642372131</v>
      </c>
      <c r="H1486" s="6" t="e">
        <v>#N/A</v>
      </c>
      <c r="I1486" s="6">
        <v>-0.83200148370340254</v>
      </c>
      <c r="J1486" s="6">
        <v>19306000</v>
      </c>
      <c r="K1486" s="6">
        <v>61.637337689026658</v>
      </c>
      <c r="L1486" t="s">
        <v>17</v>
      </c>
      <c r="M1486" t="s">
        <v>18</v>
      </c>
      <c r="N1486" s="4" t="s">
        <v>5653</v>
      </c>
      <c r="O1486" s="4" t="s">
        <v>5654</v>
      </c>
      <c r="P1486" s="4" t="s">
        <v>233</v>
      </c>
    </row>
    <row r="1487" spans="1:16" x14ac:dyDescent="0.35">
      <c r="A1487" t="s">
        <v>5655</v>
      </c>
      <c r="B1487" t="s">
        <v>5656</v>
      </c>
      <c r="C1487" t="s">
        <v>16</v>
      </c>
      <c r="D1487" s="6">
        <v>1317692962.3603821</v>
      </c>
      <c r="E1487" s="6">
        <v>2416292962.3603821</v>
      </c>
      <c r="F1487" s="6">
        <v>14.689999580383301</v>
      </c>
      <c r="G1487" s="6">
        <v>14.840000152587891</v>
      </c>
      <c r="H1487" s="6" t="e">
        <v>#N/A</v>
      </c>
      <c r="I1487" s="6">
        <v>-0.55087703945214561</v>
      </c>
      <c r="J1487" s="6">
        <v>2774800000</v>
      </c>
      <c r="K1487" s="6" t="e">
        <v>#N/A</v>
      </c>
      <c r="L1487" t="s">
        <v>17</v>
      </c>
      <c r="M1487" t="s">
        <v>100</v>
      </c>
      <c r="N1487" s="4" t="s">
        <v>5657</v>
      </c>
      <c r="O1487" s="4" t="s">
        <v>5658</v>
      </c>
      <c r="P1487" s="4" t="s">
        <v>233</v>
      </c>
    </row>
    <row r="1488" spans="1:16" x14ac:dyDescent="0.35">
      <c r="A1488" t="s">
        <v>5659</v>
      </c>
      <c r="B1488" t="s">
        <v>5660</v>
      </c>
      <c r="C1488" t="s">
        <v>16</v>
      </c>
      <c r="D1488" s="6">
        <v>2077218528.9999998</v>
      </c>
      <c r="E1488" s="6">
        <v>1335563528.9999998</v>
      </c>
      <c r="F1488" s="6">
        <v>35.5</v>
      </c>
      <c r="G1488" s="6">
        <v>33.810001373291016</v>
      </c>
      <c r="H1488" s="6" t="e">
        <v>#N/A</v>
      </c>
      <c r="I1488" s="6">
        <v>-2.8084149345652953E-4</v>
      </c>
      <c r="J1488" s="6" t="e">
        <v>#N/A</v>
      </c>
      <c r="K1488" s="6" t="e">
        <v>#N/A</v>
      </c>
      <c r="L1488" t="s">
        <v>17</v>
      </c>
      <c r="M1488" t="s">
        <v>18</v>
      </c>
      <c r="N1488" s="4" t="s">
        <v>5661</v>
      </c>
      <c r="O1488" s="4" t="s">
        <v>5662</v>
      </c>
      <c r="P1488" s="4" t="s">
        <v>233</v>
      </c>
    </row>
    <row r="1489" spans="1:16" x14ac:dyDescent="0.35">
      <c r="A1489" t="s">
        <v>5663</v>
      </c>
      <c r="B1489" t="s">
        <v>5664</v>
      </c>
      <c r="C1489" t="s">
        <v>16</v>
      </c>
      <c r="D1489" s="6">
        <v>1447722.5247834206</v>
      </c>
      <c r="E1489" s="6">
        <v>1405498.5247834206</v>
      </c>
      <c r="F1489" s="6">
        <v>2.130000114440918</v>
      </c>
      <c r="G1489" s="6">
        <v>1.8700000047683716</v>
      </c>
      <c r="H1489" s="6" t="e">
        <v>#N/A</v>
      </c>
      <c r="I1489" s="6">
        <v>-0.9901947246077959</v>
      </c>
      <c r="J1489" s="6">
        <v>0</v>
      </c>
      <c r="K1489" s="6" t="e">
        <v>#N/A</v>
      </c>
      <c r="L1489" t="s">
        <v>17</v>
      </c>
      <c r="M1489" t="s">
        <v>40</v>
      </c>
      <c r="N1489" s="4" t="s">
        <v>233</v>
      </c>
      <c r="O1489" s="4" t="s">
        <v>13496</v>
      </c>
      <c r="P1489" s="4" t="s">
        <v>13497</v>
      </c>
    </row>
    <row r="1490" spans="1:16" x14ac:dyDescent="0.35">
      <c r="A1490" t="s">
        <v>5665</v>
      </c>
      <c r="B1490" t="s">
        <v>5666</v>
      </c>
      <c r="C1490" t="s">
        <v>16</v>
      </c>
      <c r="D1490" s="6">
        <v>18713762.681031704</v>
      </c>
      <c r="E1490" s="6">
        <v>14569202.681031704</v>
      </c>
      <c r="F1490" s="6">
        <v>1.1299999952316284</v>
      </c>
      <c r="G1490" s="6">
        <v>1.1399999856948853</v>
      </c>
      <c r="H1490" s="6" t="e">
        <v>#N/A</v>
      </c>
      <c r="I1490" s="6">
        <v>-2.579233088347832E-2</v>
      </c>
      <c r="J1490" s="6">
        <v>0</v>
      </c>
      <c r="K1490" s="6" t="e">
        <v>#N/A</v>
      </c>
      <c r="L1490" t="s">
        <v>17</v>
      </c>
      <c r="M1490" t="s">
        <v>87</v>
      </c>
      <c r="N1490" s="4" t="s">
        <v>5667</v>
      </c>
      <c r="O1490" s="4" t="s">
        <v>5668</v>
      </c>
      <c r="P1490" s="4" t="s">
        <v>233</v>
      </c>
    </row>
    <row r="1491" spans="1:16" x14ac:dyDescent="0.35">
      <c r="A1491" t="s">
        <v>5669</v>
      </c>
      <c r="B1491" t="s">
        <v>5670</v>
      </c>
      <c r="C1491" t="s">
        <v>16</v>
      </c>
      <c r="D1491" s="6">
        <v>80627083.468549728</v>
      </c>
      <c r="E1491" s="6">
        <v>13676083.468549721</v>
      </c>
      <c r="F1491" s="6">
        <v>2.184999942779541</v>
      </c>
      <c r="G1491" s="6">
        <v>2.1800000667572021</v>
      </c>
      <c r="H1491" s="6" t="e">
        <v>#N/A</v>
      </c>
      <c r="I1491" s="6">
        <v>-0.73386665740218548</v>
      </c>
      <c r="J1491" s="6">
        <v>5000000</v>
      </c>
      <c r="K1491" s="6" t="e">
        <v>#N/A</v>
      </c>
      <c r="L1491" t="s">
        <v>17</v>
      </c>
      <c r="M1491" t="s">
        <v>18</v>
      </c>
      <c r="N1491" s="4" t="s">
        <v>5671</v>
      </c>
      <c r="O1491" s="4" t="s">
        <v>5672</v>
      </c>
      <c r="P1491" s="4" t="s">
        <v>233</v>
      </c>
    </row>
    <row r="1492" spans="1:16" x14ac:dyDescent="0.35">
      <c r="A1492" t="s">
        <v>5673</v>
      </c>
      <c r="B1492" t="s">
        <v>5674</v>
      </c>
      <c r="C1492" t="s">
        <v>16</v>
      </c>
      <c r="D1492" s="6">
        <v>3218838.9794316296</v>
      </c>
      <c r="E1492" s="6">
        <v>21461901.979431629</v>
      </c>
      <c r="F1492" s="6">
        <v>2.1749999523162842</v>
      </c>
      <c r="G1492" s="6">
        <v>2.059999942779541</v>
      </c>
      <c r="H1492" s="6" t="e">
        <v>#N/A</v>
      </c>
      <c r="I1492" s="6">
        <v>-0.99312051825164904</v>
      </c>
      <c r="J1492" s="6">
        <v>16675393</v>
      </c>
      <c r="K1492" s="6">
        <v>-136.84210526315789</v>
      </c>
      <c r="L1492" t="s">
        <v>17</v>
      </c>
      <c r="M1492" t="s">
        <v>40</v>
      </c>
      <c r="N1492" s="4" t="s">
        <v>13439</v>
      </c>
      <c r="O1492" s="4" t="s">
        <v>13440</v>
      </c>
      <c r="P1492" s="4" t="s">
        <v>233</v>
      </c>
    </row>
    <row r="1493" spans="1:16" x14ac:dyDescent="0.35">
      <c r="A1493" t="s">
        <v>5675</v>
      </c>
      <c r="B1493" t="s">
        <v>5676</v>
      </c>
      <c r="C1493" t="s">
        <v>16</v>
      </c>
      <c r="D1493" s="6">
        <v>274653816.5038318</v>
      </c>
      <c r="E1493" s="6">
        <v>-63720183.496168196</v>
      </c>
      <c r="F1493" s="6">
        <v>1.7000000476837158</v>
      </c>
      <c r="G1493" s="6">
        <v>1.6599999666213989</v>
      </c>
      <c r="H1493" s="6" t="e">
        <v>#N/A</v>
      </c>
      <c r="I1493" s="6">
        <v>-0.90525960289780105</v>
      </c>
      <c r="J1493" s="6">
        <v>0</v>
      </c>
      <c r="K1493" s="6">
        <v>34.95652173913043</v>
      </c>
      <c r="L1493" t="s">
        <v>17</v>
      </c>
      <c r="M1493" t="s">
        <v>87</v>
      </c>
      <c r="N1493" s="4" t="s">
        <v>5677</v>
      </c>
      <c r="O1493" s="4" t="s">
        <v>5678</v>
      </c>
      <c r="P1493" s="4" t="s">
        <v>233</v>
      </c>
    </row>
    <row r="1494" spans="1:16" x14ac:dyDescent="0.35">
      <c r="A1494" t="s">
        <v>5679</v>
      </c>
      <c r="B1494" t="s">
        <v>5680</v>
      </c>
      <c r="C1494" t="s">
        <v>16</v>
      </c>
      <c r="D1494" s="6">
        <v>4187504.4004602432</v>
      </c>
      <c r="E1494" s="6">
        <v>15297552.400460243</v>
      </c>
      <c r="F1494" s="6">
        <v>2.0199999809265137</v>
      </c>
      <c r="G1494" s="6">
        <v>2.1099998950958252</v>
      </c>
      <c r="H1494" s="6" t="e">
        <v>#N/A</v>
      </c>
      <c r="I1494" s="6">
        <v>-0.93031520948183011</v>
      </c>
      <c r="J1494" s="6">
        <v>14745996</v>
      </c>
      <c r="K1494" s="6">
        <v>-333.80122814848784</v>
      </c>
      <c r="L1494" t="s">
        <v>17</v>
      </c>
      <c r="M1494" t="s">
        <v>32</v>
      </c>
      <c r="N1494" s="4" t="s">
        <v>13338</v>
      </c>
      <c r="O1494" s="4" t="s">
        <v>13339</v>
      </c>
      <c r="P1494" s="4" t="s">
        <v>233</v>
      </c>
    </row>
    <row r="1495" spans="1:16" x14ac:dyDescent="0.35">
      <c r="A1495" t="s">
        <v>5681</v>
      </c>
      <c r="B1495" t="s">
        <v>5682</v>
      </c>
      <c r="C1495" t="s">
        <v>16</v>
      </c>
      <c r="D1495" s="6">
        <v>323701887.73848534</v>
      </c>
      <c r="E1495" s="6">
        <v>81792687.626896501</v>
      </c>
      <c r="F1495" s="6">
        <v>6.3499999046325684</v>
      </c>
      <c r="G1495" s="6">
        <v>6.309999942779541</v>
      </c>
      <c r="H1495" s="6" t="e">
        <v>#N/A</v>
      </c>
      <c r="I1495" s="6">
        <v>-0.17702198906391031</v>
      </c>
      <c r="J1495" s="6">
        <v>0</v>
      </c>
      <c r="K1495" s="6">
        <v>99.025598225576303</v>
      </c>
      <c r="L1495" t="s">
        <v>17</v>
      </c>
      <c r="M1495" t="s">
        <v>18</v>
      </c>
      <c r="N1495" s="4" t="s">
        <v>5683</v>
      </c>
      <c r="O1495" s="4" t="s">
        <v>5684</v>
      </c>
      <c r="P1495" s="4" t="s">
        <v>233</v>
      </c>
    </row>
    <row r="1496" spans="1:16" x14ac:dyDescent="0.35">
      <c r="A1496" t="s">
        <v>5685</v>
      </c>
      <c r="B1496" t="s">
        <v>5686</v>
      </c>
      <c r="C1496" t="s">
        <v>16</v>
      </c>
      <c r="D1496" s="6">
        <v>19606121.10898304</v>
      </c>
      <c r="E1496" s="6">
        <v>19772055.10898304</v>
      </c>
      <c r="F1496" s="6">
        <v>3.2799999713897705</v>
      </c>
      <c r="G1496" s="6">
        <v>1.809999942779541</v>
      </c>
      <c r="H1496" s="6" t="e">
        <v>#N/A</v>
      </c>
      <c r="I1496" s="6">
        <v>0.12444797659770757</v>
      </c>
      <c r="J1496" s="6">
        <v>3787077</v>
      </c>
      <c r="K1496" s="6" t="e">
        <v>#N/A</v>
      </c>
      <c r="L1496" t="s">
        <v>17</v>
      </c>
      <c r="M1496" t="s">
        <v>40</v>
      </c>
      <c r="N1496" s="4" t="s">
        <v>5687</v>
      </c>
      <c r="O1496" s="4" t="s">
        <v>5688</v>
      </c>
      <c r="P1496" s="4" t="s">
        <v>233</v>
      </c>
    </row>
    <row r="1497" spans="1:16" x14ac:dyDescent="0.35">
      <c r="A1497" t="s">
        <v>5689</v>
      </c>
      <c r="B1497" t="s">
        <v>5690</v>
      </c>
      <c r="C1497" t="s">
        <v>16</v>
      </c>
      <c r="D1497" s="6">
        <v>216614224.5473251</v>
      </c>
      <c r="E1497" s="6">
        <v>216569005.5473251</v>
      </c>
      <c r="F1497" s="6">
        <v>5.9099998474121094</v>
      </c>
      <c r="G1497" s="6">
        <v>5.7800002098083496</v>
      </c>
      <c r="H1497" s="6" t="e">
        <v>#N/A</v>
      </c>
      <c r="I1497" s="6">
        <v>-0.45439466029924891</v>
      </c>
      <c r="J1497" s="6">
        <v>0</v>
      </c>
      <c r="K1497" s="6" t="e">
        <v>#N/A</v>
      </c>
      <c r="L1497" t="s">
        <v>17</v>
      </c>
      <c r="M1497" t="s">
        <v>27</v>
      </c>
      <c r="N1497" s="4" t="s">
        <v>233</v>
      </c>
      <c r="O1497" s="4" t="s">
        <v>5691</v>
      </c>
      <c r="P1497" s="4" t="s">
        <v>13189</v>
      </c>
    </row>
    <row r="1498" spans="1:16" x14ac:dyDescent="0.35">
      <c r="A1498" t="s">
        <v>5692</v>
      </c>
      <c r="B1498" t="s">
        <v>5693</v>
      </c>
      <c r="C1498" t="s">
        <v>16</v>
      </c>
      <c r="D1498" s="6">
        <v>3853383.5420563812</v>
      </c>
      <c r="E1498" s="6">
        <v>821411.54205638124</v>
      </c>
      <c r="F1498" s="6">
        <v>0.39269998669624329</v>
      </c>
      <c r="G1498" s="6">
        <v>0.39779999852180481</v>
      </c>
      <c r="H1498" s="6" t="e">
        <v>#N/A</v>
      </c>
      <c r="I1498" s="6">
        <v>-0.88138128375045099</v>
      </c>
      <c r="J1498" s="6">
        <v>5515144</v>
      </c>
      <c r="K1498" s="6">
        <v>-3.4482758620689689</v>
      </c>
      <c r="L1498" t="s">
        <v>17</v>
      </c>
      <c r="M1498" t="s">
        <v>40</v>
      </c>
      <c r="N1498" s="4" t="s">
        <v>5694</v>
      </c>
      <c r="O1498" s="4" t="s">
        <v>5695</v>
      </c>
      <c r="P1498" s="4" t="s">
        <v>233</v>
      </c>
    </row>
    <row r="1499" spans="1:16" x14ac:dyDescent="0.35">
      <c r="A1499" t="s">
        <v>5696</v>
      </c>
      <c r="B1499" t="s">
        <v>5697</v>
      </c>
      <c r="C1499" t="s">
        <v>16</v>
      </c>
      <c r="D1499" s="6">
        <v>130610492.22670723</v>
      </c>
      <c r="E1499" s="6">
        <v>206338492.22670725</v>
      </c>
      <c r="F1499" s="6">
        <v>3.9500000476837158</v>
      </c>
      <c r="G1499" s="6">
        <v>4.179999828338623</v>
      </c>
      <c r="H1499" s="6" t="e">
        <v>#N/A</v>
      </c>
      <c r="I1499" s="6">
        <v>-0.7510936244368559</v>
      </c>
      <c r="J1499" s="6">
        <v>0</v>
      </c>
      <c r="K1499" s="6">
        <v>-261.51603498542278</v>
      </c>
      <c r="L1499" t="s">
        <v>17</v>
      </c>
      <c r="M1499" t="s">
        <v>18</v>
      </c>
      <c r="N1499" s="4" t="s">
        <v>5698</v>
      </c>
      <c r="O1499" s="4" t="s">
        <v>5699</v>
      </c>
      <c r="P1499" s="4" t="s">
        <v>233</v>
      </c>
    </row>
    <row r="1500" spans="1:16" x14ac:dyDescent="0.35">
      <c r="A1500" t="s">
        <v>5700</v>
      </c>
      <c r="B1500" t="s">
        <v>5701</v>
      </c>
      <c r="C1500" t="s">
        <v>16</v>
      </c>
      <c r="D1500" s="6">
        <v>18632444.91598475</v>
      </c>
      <c r="E1500" s="6">
        <v>19177444.91598475</v>
      </c>
      <c r="F1500" s="6">
        <v>1.3600000143051147</v>
      </c>
      <c r="G1500" s="6">
        <v>1.3500000238418579</v>
      </c>
      <c r="H1500" s="6" t="e">
        <v>#N/A</v>
      </c>
      <c r="I1500" s="6">
        <v>-0.92502215795007947</v>
      </c>
      <c r="J1500" s="6">
        <v>0</v>
      </c>
      <c r="K1500" s="6" t="e">
        <v>#N/A</v>
      </c>
      <c r="L1500" t="s">
        <v>17</v>
      </c>
      <c r="M1500" t="s">
        <v>18</v>
      </c>
      <c r="N1500" s="4" t="s">
        <v>5702</v>
      </c>
      <c r="O1500" s="4" t="s">
        <v>5703</v>
      </c>
      <c r="P1500" s="4" t="s">
        <v>233</v>
      </c>
    </row>
    <row r="1501" spans="1:16" x14ac:dyDescent="0.35">
      <c r="A1501" t="s">
        <v>5704</v>
      </c>
      <c r="B1501" t="s">
        <v>5705</v>
      </c>
      <c r="C1501" t="s">
        <v>16</v>
      </c>
      <c r="D1501" s="6">
        <v>18692879.435062408</v>
      </c>
      <c r="E1501" s="6">
        <v>18838917.435062408</v>
      </c>
      <c r="F1501" s="6">
        <v>2.8399999141693115</v>
      </c>
      <c r="G1501" s="6">
        <v>2.630000114440918</v>
      </c>
      <c r="H1501" s="6">
        <v>405.71427345275879</v>
      </c>
      <c r="I1501" s="6">
        <v>-0.4791300955162906</v>
      </c>
      <c r="J1501" s="6">
        <v>679777</v>
      </c>
      <c r="K1501" s="6">
        <v>-56.250000000000007</v>
      </c>
      <c r="L1501" t="s">
        <v>17</v>
      </c>
      <c r="M1501" t="s">
        <v>32</v>
      </c>
      <c r="N1501" s="4" t="s">
        <v>233</v>
      </c>
      <c r="O1501" s="4" t="s">
        <v>5706</v>
      </c>
      <c r="P1501" s="4" t="s">
        <v>13190</v>
      </c>
    </row>
    <row r="1502" spans="1:16" x14ac:dyDescent="0.35">
      <c r="A1502" t="s">
        <v>5707</v>
      </c>
      <c r="B1502" t="s">
        <v>5708</v>
      </c>
      <c r="C1502" t="s">
        <v>16</v>
      </c>
      <c r="D1502" s="6">
        <v>7528768143.75</v>
      </c>
      <c r="E1502" s="6">
        <v>9746938143.75</v>
      </c>
      <c r="F1502" s="6">
        <v>43.75</v>
      </c>
      <c r="G1502" s="6">
        <v>42.200000762939453</v>
      </c>
      <c r="H1502" s="6" t="e">
        <v>#N/A</v>
      </c>
      <c r="I1502" s="6">
        <v>1.8097851946796153</v>
      </c>
      <c r="J1502" s="6">
        <v>791010000</v>
      </c>
      <c r="K1502" s="6">
        <v>0</v>
      </c>
      <c r="L1502" t="s">
        <v>17</v>
      </c>
      <c r="M1502" t="s">
        <v>32</v>
      </c>
      <c r="N1502" s="4" t="s">
        <v>5709</v>
      </c>
      <c r="O1502" s="4" t="s">
        <v>5710</v>
      </c>
      <c r="P1502" s="4" t="s">
        <v>233</v>
      </c>
    </row>
    <row r="1503" spans="1:16" x14ac:dyDescent="0.35">
      <c r="A1503" t="s">
        <v>5711</v>
      </c>
      <c r="B1503" t="s">
        <v>5712</v>
      </c>
      <c r="C1503" t="s">
        <v>16</v>
      </c>
      <c r="D1503" s="6">
        <v>165239535.97940847</v>
      </c>
      <c r="E1503" s="6">
        <v>-200951464.02059159</v>
      </c>
      <c r="F1503" s="6">
        <v>3.5899999141693115</v>
      </c>
      <c r="G1503" s="6">
        <v>3.4000000953674316</v>
      </c>
      <c r="H1503" s="6" t="e">
        <v>#N/A</v>
      </c>
      <c r="I1503" s="6">
        <v>-0.8377727897254782</v>
      </c>
      <c r="J1503" s="6">
        <v>0</v>
      </c>
      <c r="K1503" s="6">
        <v>-114.95448634590376</v>
      </c>
      <c r="L1503" t="s">
        <v>17</v>
      </c>
      <c r="M1503" t="s">
        <v>18</v>
      </c>
      <c r="N1503" s="4" t="s">
        <v>5713</v>
      </c>
      <c r="O1503" s="4" t="s">
        <v>5714</v>
      </c>
      <c r="P1503" s="4" t="s">
        <v>233</v>
      </c>
    </row>
    <row r="1504" spans="1:16" x14ac:dyDescent="0.35">
      <c r="A1504" t="s">
        <v>5715</v>
      </c>
      <c r="B1504" t="s">
        <v>5716</v>
      </c>
      <c r="C1504" t="s">
        <v>16</v>
      </c>
      <c r="D1504" s="6">
        <v>72591495.999999985</v>
      </c>
      <c r="E1504" s="6">
        <v>-183251504</v>
      </c>
      <c r="F1504" s="6">
        <v>4.25</v>
      </c>
      <c r="G1504" s="6">
        <v>4.2399997711181641</v>
      </c>
      <c r="H1504" s="6" t="e">
        <v>#N/A</v>
      </c>
      <c r="I1504" s="6">
        <v>-9.3572687411914601E-2</v>
      </c>
      <c r="J1504" s="6">
        <v>0</v>
      </c>
      <c r="K1504" s="6" t="e">
        <v>#N/A</v>
      </c>
      <c r="L1504" t="s">
        <v>17</v>
      </c>
      <c r="M1504" t="s">
        <v>18</v>
      </c>
      <c r="N1504" s="4" t="s">
        <v>233</v>
      </c>
      <c r="O1504" s="4" t="s">
        <v>5717</v>
      </c>
      <c r="P1504" s="4" t="s">
        <v>13191</v>
      </c>
    </row>
    <row r="1505" spans="1:16" x14ac:dyDescent="0.35">
      <c r="A1505" t="s">
        <v>5718</v>
      </c>
      <c r="B1505" t="s">
        <v>5719</v>
      </c>
      <c r="C1505" t="s">
        <v>16</v>
      </c>
      <c r="D1505" s="6">
        <v>423317400</v>
      </c>
      <c r="E1505" s="6" t="e">
        <v>#N/A</v>
      </c>
      <c r="F1505" s="6">
        <v>9.3000000000000007</v>
      </c>
      <c r="G1505" s="6">
        <v>8.8000000000000007</v>
      </c>
      <c r="H1505" s="6" t="e">
        <v>#N/A</v>
      </c>
      <c r="I1505" s="6">
        <v>375.42717733200016</v>
      </c>
      <c r="J1505" s="6" t="e">
        <v>#N/A</v>
      </c>
      <c r="K1505" s="6" t="e">
        <v>#N/A</v>
      </c>
      <c r="L1505" t="s">
        <v>17</v>
      </c>
      <c r="M1505" t="s">
        <v>27</v>
      </c>
      <c r="N1505" s="4" t="s">
        <v>233</v>
      </c>
      <c r="O1505" s="4" t="s">
        <v>5720</v>
      </c>
      <c r="P1505" s="4" t="s">
        <v>13192</v>
      </c>
    </row>
    <row r="1506" spans="1:16" x14ac:dyDescent="0.35">
      <c r="A1506" t="s">
        <v>5721</v>
      </c>
      <c r="B1506" t="s">
        <v>5722</v>
      </c>
      <c r="C1506" t="s">
        <v>16</v>
      </c>
      <c r="D1506" s="6">
        <v>126491351.75</v>
      </c>
      <c r="E1506" s="6">
        <v>125225220.75</v>
      </c>
      <c r="F1506" s="6">
        <v>4.25</v>
      </c>
      <c r="G1506" s="6">
        <v>4.3499999046325684</v>
      </c>
      <c r="H1506" s="6" t="e">
        <v>#N/A</v>
      </c>
      <c r="I1506" s="6">
        <v>-0.31928309096958629</v>
      </c>
      <c r="J1506" s="6">
        <v>0</v>
      </c>
      <c r="K1506" s="6">
        <v>-16.666666666666682</v>
      </c>
      <c r="L1506" t="s">
        <v>17</v>
      </c>
      <c r="M1506" t="s">
        <v>87</v>
      </c>
      <c r="N1506" s="4" t="s">
        <v>5723</v>
      </c>
      <c r="O1506" s="4" t="s">
        <v>5724</v>
      </c>
      <c r="P1506" s="4" t="s">
        <v>233</v>
      </c>
    </row>
    <row r="1507" spans="1:16" x14ac:dyDescent="0.35">
      <c r="A1507" t="s">
        <v>5725</v>
      </c>
      <c r="B1507" t="s">
        <v>5726</v>
      </c>
      <c r="C1507" t="s">
        <v>16</v>
      </c>
      <c r="D1507" s="6">
        <v>62986525.774435036</v>
      </c>
      <c r="E1507" s="6">
        <v>55570525.774435036</v>
      </c>
      <c r="F1507" s="6">
        <v>1.7300000190734863</v>
      </c>
      <c r="G1507" s="6">
        <v>1.7400000095367432</v>
      </c>
      <c r="H1507" s="6" t="e">
        <v>#N/A</v>
      </c>
      <c r="I1507" s="6">
        <v>-0.7652860301150044</v>
      </c>
      <c r="J1507" s="6" t="e">
        <v>#N/A</v>
      </c>
      <c r="K1507" s="6" t="e">
        <v>#N/A</v>
      </c>
      <c r="L1507" t="s">
        <v>17</v>
      </c>
      <c r="M1507" t="s">
        <v>18</v>
      </c>
      <c r="N1507" s="4" t="s">
        <v>5727</v>
      </c>
      <c r="O1507" s="4" t="s">
        <v>5728</v>
      </c>
      <c r="P1507" s="4" t="s">
        <v>233</v>
      </c>
    </row>
    <row r="1508" spans="1:16" x14ac:dyDescent="0.35">
      <c r="A1508" t="s">
        <v>5729</v>
      </c>
      <c r="B1508" t="s">
        <v>5730</v>
      </c>
      <c r="C1508" t="s">
        <v>16</v>
      </c>
      <c r="D1508" s="6">
        <v>30467406.254384995</v>
      </c>
      <c r="E1508" s="6">
        <v>27251406.254384995</v>
      </c>
      <c r="F1508" s="6">
        <v>1.7268999814987183</v>
      </c>
      <c r="G1508" s="6">
        <v>1.75</v>
      </c>
      <c r="H1508" s="6" t="e">
        <v>#N/A</v>
      </c>
      <c r="I1508" s="6">
        <v>-0.48965031775416845</v>
      </c>
      <c r="J1508" s="6" t="e">
        <v>#N/A</v>
      </c>
      <c r="K1508" s="6" t="e">
        <v>#N/A</v>
      </c>
      <c r="L1508" t="s">
        <v>17</v>
      </c>
      <c r="M1508" t="s">
        <v>87</v>
      </c>
      <c r="N1508" s="4" t="s">
        <v>5731</v>
      </c>
      <c r="O1508" s="4" t="s">
        <v>5732</v>
      </c>
      <c r="P1508" s="4" t="s">
        <v>233</v>
      </c>
    </row>
    <row r="1509" spans="1:16" x14ac:dyDescent="0.35">
      <c r="A1509" t="s">
        <v>5733</v>
      </c>
      <c r="B1509" t="s">
        <v>5734</v>
      </c>
      <c r="C1509" t="s">
        <v>16</v>
      </c>
      <c r="D1509" s="6">
        <v>2129060024</v>
      </c>
      <c r="E1509" s="6">
        <v>1588646024</v>
      </c>
      <c r="F1509" s="6">
        <v>28</v>
      </c>
      <c r="G1509" s="6">
        <v>27.090000152587891</v>
      </c>
      <c r="H1509" s="6" t="e">
        <v>#N/A</v>
      </c>
      <c r="I1509" s="6">
        <v>-0.35907303389627732</v>
      </c>
      <c r="J1509" s="6">
        <v>684000</v>
      </c>
      <c r="K1509" s="6">
        <v>9.7724852672221019</v>
      </c>
      <c r="L1509" t="s">
        <v>17</v>
      </c>
      <c r="M1509" t="s">
        <v>18</v>
      </c>
      <c r="N1509" s="4" t="s">
        <v>5735</v>
      </c>
      <c r="O1509" s="4" t="s">
        <v>5736</v>
      </c>
      <c r="P1509" s="4" t="s">
        <v>233</v>
      </c>
    </row>
    <row r="1510" spans="1:16" x14ac:dyDescent="0.35">
      <c r="A1510" t="s">
        <v>5737</v>
      </c>
      <c r="B1510" t="s">
        <v>5738</v>
      </c>
      <c r="C1510" t="s">
        <v>16</v>
      </c>
      <c r="D1510" s="6">
        <v>906453618.04555321</v>
      </c>
      <c r="E1510" s="6">
        <v>623811618.04555321</v>
      </c>
      <c r="F1510" s="6">
        <v>26.899999618530273</v>
      </c>
      <c r="G1510" s="6">
        <v>26.319999694824219</v>
      </c>
      <c r="H1510" s="6" t="e">
        <v>#N/A</v>
      </c>
      <c r="I1510" s="6">
        <v>0.27826497470962619</v>
      </c>
      <c r="J1510" s="6">
        <v>0</v>
      </c>
      <c r="K1510" s="6" t="e">
        <v>#N/A</v>
      </c>
      <c r="L1510" t="s">
        <v>17</v>
      </c>
      <c r="M1510" t="s">
        <v>18</v>
      </c>
      <c r="N1510" s="4" t="s">
        <v>5739</v>
      </c>
      <c r="O1510" s="4" t="s">
        <v>5740</v>
      </c>
      <c r="P1510" s="4" t="s">
        <v>233</v>
      </c>
    </row>
    <row r="1511" spans="1:16" x14ac:dyDescent="0.35">
      <c r="A1511" t="s">
        <v>13395</v>
      </c>
      <c r="B1511" t="s">
        <v>13396</v>
      </c>
      <c r="C1511" t="s">
        <v>16</v>
      </c>
      <c r="D1511" s="6">
        <v>204013904.48530579</v>
      </c>
      <c r="E1511" s="6">
        <v>223728904.48530579</v>
      </c>
      <c r="F1511" s="6">
        <v>4.3299999237060547</v>
      </c>
      <c r="G1511" s="6">
        <v>4.4499998092651367</v>
      </c>
      <c r="H1511" s="6">
        <v>43.299999237060547</v>
      </c>
      <c r="I1511" s="6">
        <v>1.1858812014743059</v>
      </c>
      <c r="J1511" s="6">
        <v>29810000</v>
      </c>
      <c r="K1511" s="6" t="e">
        <v>#N/A</v>
      </c>
      <c r="L1511" t="s">
        <v>17</v>
      </c>
      <c r="M1511" t="s">
        <v>87</v>
      </c>
      <c r="N1511" s="4" t="s">
        <v>233</v>
      </c>
      <c r="O1511" s="4" t="s">
        <v>13397</v>
      </c>
      <c r="P1511" s="4" t="s">
        <v>13398</v>
      </c>
    </row>
    <row r="1512" spans="1:16" x14ac:dyDescent="0.35">
      <c r="A1512" t="s">
        <v>5741</v>
      </c>
      <c r="B1512" t="s">
        <v>5742</v>
      </c>
      <c r="C1512" t="s">
        <v>16</v>
      </c>
      <c r="D1512" s="6">
        <v>629777789.87678158</v>
      </c>
      <c r="E1512" s="6">
        <v>6234567128.5188856</v>
      </c>
      <c r="F1512" s="6">
        <v>8.5200004577636719</v>
      </c>
      <c r="G1512" s="6">
        <v>8.1999998092651367</v>
      </c>
      <c r="H1512" s="6" t="e">
        <v>#N/A</v>
      </c>
      <c r="I1512" s="6">
        <v>-0.31690738389343875</v>
      </c>
      <c r="J1512" s="6">
        <v>3875907000</v>
      </c>
      <c r="K1512" s="6" t="e">
        <v>#N/A</v>
      </c>
      <c r="L1512" t="s">
        <v>17</v>
      </c>
      <c r="M1512" t="s">
        <v>40</v>
      </c>
      <c r="N1512" s="4" t="s">
        <v>233</v>
      </c>
      <c r="O1512" s="4" t="s">
        <v>5743</v>
      </c>
      <c r="P1512" s="4" t="s">
        <v>13193</v>
      </c>
    </row>
    <row r="1513" spans="1:16" x14ac:dyDescent="0.35">
      <c r="A1513" t="s">
        <v>5744</v>
      </c>
      <c r="B1513" t="s">
        <v>5745</v>
      </c>
      <c r="C1513" t="s">
        <v>16</v>
      </c>
      <c r="D1513" s="6">
        <v>4805767.5145225516</v>
      </c>
      <c r="E1513" s="6">
        <v>5745179.8936220966</v>
      </c>
      <c r="F1513" s="6">
        <v>1.2300000190734863</v>
      </c>
      <c r="G1513" s="6">
        <v>1.2699999809265137</v>
      </c>
      <c r="H1513" s="6" t="e">
        <v>#N/A</v>
      </c>
      <c r="I1513" s="6">
        <v>-0.98007634860818849</v>
      </c>
      <c r="J1513" s="6" t="e">
        <v>#N/A</v>
      </c>
      <c r="K1513" s="6" t="e">
        <v>#N/A</v>
      </c>
      <c r="L1513" t="s">
        <v>17</v>
      </c>
      <c r="M1513" t="s">
        <v>18</v>
      </c>
      <c r="N1513" s="4" t="s">
        <v>13076</v>
      </c>
      <c r="O1513" s="4" t="s">
        <v>13077</v>
      </c>
      <c r="P1513" s="4" t="s">
        <v>233</v>
      </c>
    </row>
    <row r="1514" spans="1:16" x14ac:dyDescent="0.35">
      <c r="A1514" t="s">
        <v>5746</v>
      </c>
      <c r="B1514" t="s">
        <v>5747</v>
      </c>
      <c r="C1514" t="s">
        <v>16</v>
      </c>
      <c r="D1514" s="6">
        <v>8043287.6046030512</v>
      </c>
      <c r="E1514" s="6">
        <v>3974287.6046030512</v>
      </c>
      <c r="F1514" s="6">
        <v>2.7200000286102295</v>
      </c>
      <c r="G1514" s="6">
        <v>2.6400001049041748</v>
      </c>
      <c r="H1514" s="6" t="e">
        <v>#N/A</v>
      </c>
      <c r="I1514" s="6">
        <v>-0.96872501282617318</v>
      </c>
      <c r="J1514" s="6" t="e">
        <v>#N/A</v>
      </c>
      <c r="K1514" s="6" t="e">
        <v>#N/A</v>
      </c>
      <c r="L1514" t="s">
        <v>17</v>
      </c>
      <c r="M1514" t="s">
        <v>27</v>
      </c>
      <c r="N1514" s="4" t="s">
        <v>12993</v>
      </c>
      <c r="O1514" s="4" t="s">
        <v>12994</v>
      </c>
      <c r="P1514" s="4" t="s">
        <v>233</v>
      </c>
    </row>
    <row r="1515" spans="1:16" x14ac:dyDescent="0.35">
      <c r="A1515" t="s">
        <v>5748</v>
      </c>
      <c r="B1515" t="s">
        <v>5749</v>
      </c>
      <c r="C1515" t="s">
        <v>16</v>
      </c>
      <c r="D1515" s="6">
        <v>84956031.772075653</v>
      </c>
      <c r="E1515" s="6">
        <v>-84785968.227924347</v>
      </c>
      <c r="F1515" s="6">
        <v>3.1500000953674316</v>
      </c>
      <c r="G1515" s="6">
        <v>3.0699999332427979</v>
      </c>
      <c r="H1515" s="6" t="e">
        <v>#N/A</v>
      </c>
      <c r="I1515" s="6">
        <v>-0.77294895988615098</v>
      </c>
      <c r="J1515" s="6">
        <v>0</v>
      </c>
      <c r="K1515" s="6">
        <v>20.768442767971088</v>
      </c>
      <c r="L1515" t="s">
        <v>17</v>
      </c>
      <c r="M1515" t="s">
        <v>87</v>
      </c>
      <c r="N1515" s="4" t="s">
        <v>5750</v>
      </c>
      <c r="O1515" s="4" t="s">
        <v>5751</v>
      </c>
      <c r="P1515" s="4" t="s">
        <v>233</v>
      </c>
    </row>
    <row r="1516" spans="1:16" x14ac:dyDescent="0.35">
      <c r="A1516" t="s">
        <v>5752</v>
      </c>
      <c r="B1516" t="s">
        <v>5753</v>
      </c>
      <c r="C1516" t="s">
        <v>16</v>
      </c>
      <c r="D1516" s="6">
        <v>71186438.037414551</v>
      </c>
      <c r="E1516" s="6">
        <v>49453438.037414551</v>
      </c>
      <c r="F1516" s="6">
        <v>1.4800000190734863</v>
      </c>
      <c r="G1516" s="6">
        <v>1.440000057220459</v>
      </c>
      <c r="H1516" s="6" t="e">
        <v>#N/A</v>
      </c>
      <c r="I1516" s="6">
        <v>-0.82687680633216476</v>
      </c>
      <c r="J1516" s="6">
        <v>97000</v>
      </c>
      <c r="K1516" s="6">
        <v>67.659348676792476</v>
      </c>
      <c r="L1516" t="s">
        <v>17</v>
      </c>
      <c r="M1516" t="s">
        <v>27</v>
      </c>
      <c r="N1516" s="4" t="s">
        <v>5754</v>
      </c>
      <c r="O1516" s="4" t="s">
        <v>5755</v>
      </c>
      <c r="P1516" s="4" t="s">
        <v>233</v>
      </c>
    </row>
    <row r="1517" spans="1:16" x14ac:dyDescent="0.35">
      <c r="A1517" t="s">
        <v>5756</v>
      </c>
      <c r="B1517" t="s">
        <v>5757</v>
      </c>
      <c r="C1517" t="s">
        <v>16</v>
      </c>
      <c r="D1517" s="6">
        <v>114836491.62544917</v>
      </c>
      <c r="E1517" s="6">
        <v>-197614508.37455076</v>
      </c>
      <c r="F1517" s="6">
        <v>2.6600000858306885</v>
      </c>
      <c r="G1517" s="6">
        <v>2.9000000953674316</v>
      </c>
      <c r="H1517" s="6" t="e">
        <v>#N/A</v>
      </c>
      <c r="I1517" s="6">
        <v>-0.91053624275891676</v>
      </c>
      <c r="J1517" s="6" t="e">
        <v>#N/A</v>
      </c>
      <c r="K1517" s="6" t="e">
        <v>#N/A</v>
      </c>
      <c r="L1517" t="s">
        <v>17</v>
      </c>
      <c r="M1517" t="s">
        <v>18</v>
      </c>
      <c r="N1517" s="4" t="s">
        <v>5758</v>
      </c>
      <c r="O1517" s="4" t="s">
        <v>5759</v>
      </c>
      <c r="P1517" s="4" t="s">
        <v>233</v>
      </c>
    </row>
    <row r="1518" spans="1:16" x14ac:dyDescent="0.35">
      <c r="A1518" t="s">
        <v>5760</v>
      </c>
      <c r="B1518" t="s">
        <v>5761</v>
      </c>
      <c r="C1518" t="s">
        <v>16</v>
      </c>
      <c r="D1518" s="6">
        <v>89443165.555925116</v>
      </c>
      <c r="E1518" s="6">
        <v>-139070834.44407487</v>
      </c>
      <c r="F1518" s="6">
        <v>2.3900001049041748</v>
      </c>
      <c r="G1518" s="6">
        <v>2.2999999523162842</v>
      </c>
      <c r="H1518" s="6" t="e">
        <v>#N/A</v>
      </c>
      <c r="I1518" s="6">
        <v>-0.78703205565357648</v>
      </c>
      <c r="J1518" s="6">
        <v>55080000</v>
      </c>
      <c r="K1518" s="6">
        <v>61.134775522299606</v>
      </c>
      <c r="L1518" t="s">
        <v>17</v>
      </c>
      <c r="M1518" t="s">
        <v>18</v>
      </c>
      <c r="N1518" s="4" t="s">
        <v>5762</v>
      </c>
      <c r="O1518" s="4" t="s">
        <v>5763</v>
      </c>
      <c r="P1518" s="4" t="s">
        <v>233</v>
      </c>
    </row>
    <row r="1519" spans="1:16" x14ac:dyDescent="0.35">
      <c r="A1519" t="s">
        <v>13053</v>
      </c>
      <c r="B1519" t="s">
        <v>13507</v>
      </c>
      <c r="C1519" t="s">
        <v>16</v>
      </c>
      <c r="D1519" s="6" t="e">
        <v>#N/A</v>
      </c>
      <c r="E1519" s="6" t="e">
        <v>#N/A</v>
      </c>
      <c r="F1519" s="6" t="e">
        <v>#N/A</v>
      </c>
      <c r="G1519" s="6" t="e">
        <v>#N/A</v>
      </c>
      <c r="H1519" s="6" t="e">
        <v>#N/A</v>
      </c>
      <c r="I1519" s="6">
        <v>0</v>
      </c>
      <c r="J1519" s="6" t="e">
        <v>#N/A</v>
      </c>
      <c r="K1519" s="6" t="e">
        <v>#N/A</v>
      </c>
      <c r="L1519" t="s">
        <v>17</v>
      </c>
      <c r="M1519" t="s">
        <v>18</v>
      </c>
      <c r="N1519" s="4" t="s">
        <v>233</v>
      </c>
      <c r="O1519" s="4" t="s">
        <v>233</v>
      </c>
      <c r="P1519" s="4" t="s">
        <v>233</v>
      </c>
    </row>
    <row r="1520" spans="1:16" x14ac:dyDescent="0.35">
      <c r="A1520" t="s">
        <v>5764</v>
      </c>
      <c r="B1520" t="s">
        <v>5765</v>
      </c>
      <c r="C1520" t="s">
        <v>16</v>
      </c>
      <c r="D1520" s="6">
        <v>11054593.227262497</v>
      </c>
      <c r="E1520" s="6">
        <v>4722908.2272624969</v>
      </c>
      <c r="F1520" s="6">
        <v>0.32049998641014099</v>
      </c>
      <c r="G1520" s="6">
        <v>0.29499998688697815</v>
      </c>
      <c r="H1520" s="6" t="e">
        <v>#N/A</v>
      </c>
      <c r="I1520" s="6">
        <v>-0.94928946978186846</v>
      </c>
      <c r="J1520" s="6">
        <v>13968535</v>
      </c>
      <c r="K1520" s="6">
        <v>98.112571621166168</v>
      </c>
      <c r="L1520" t="s">
        <v>17</v>
      </c>
      <c r="M1520" t="s">
        <v>40</v>
      </c>
      <c r="N1520" s="4" t="s">
        <v>233</v>
      </c>
      <c r="O1520" s="4" t="s">
        <v>5766</v>
      </c>
      <c r="P1520" s="4" t="s">
        <v>13194</v>
      </c>
    </row>
    <row r="1521" spans="1:16" x14ac:dyDescent="0.35">
      <c r="A1521" t="s">
        <v>5767</v>
      </c>
      <c r="B1521" t="s">
        <v>5768</v>
      </c>
      <c r="C1521" t="s">
        <v>16</v>
      </c>
      <c r="D1521" s="6">
        <v>49060095.663348913</v>
      </c>
      <c r="E1521" s="6">
        <v>-117953904.33665106</v>
      </c>
      <c r="F1521" s="6">
        <v>2.2000000476837158</v>
      </c>
      <c r="G1521" s="6">
        <v>2.2100000381469727</v>
      </c>
      <c r="H1521" s="6" t="e">
        <v>#N/A</v>
      </c>
      <c r="I1521" s="6">
        <v>-0.89450513273850774</v>
      </c>
      <c r="J1521" s="6" t="e">
        <v>#N/A</v>
      </c>
      <c r="K1521" s="6" t="e">
        <v>#N/A</v>
      </c>
      <c r="L1521" t="s">
        <v>17</v>
      </c>
      <c r="M1521" t="s">
        <v>18</v>
      </c>
      <c r="N1521" s="4" t="s">
        <v>5769</v>
      </c>
      <c r="O1521" s="4" t="s">
        <v>5770</v>
      </c>
      <c r="P1521" s="4" t="s">
        <v>233</v>
      </c>
    </row>
    <row r="1522" spans="1:16" x14ac:dyDescent="0.35">
      <c r="A1522" t="s">
        <v>5771</v>
      </c>
      <c r="B1522" t="s">
        <v>5772</v>
      </c>
      <c r="C1522" t="s">
        <v>16</v>
      </c>
      <c r="D1522" s="6">
        <v>12728519930.320358</v>
      </c>
      <c r="E1522" s="6">
        <v>20065519930.320358</v>
      </c>
      <c r="F1522" s="6">
        <v>73.680000305175781</v>
      </c>
      <c r="G1522" s="6">
        <v>73.069999694824219</v>
      </c>
      <c r="H1522" s="6" t="e">
        <v>#N/A</v>
      </c>
      <c r="I1522" s="6">
        <v>-8.8803007494468678E-2</v>
      </c>
      <c r="J1522" s="6" t="e">
        <v>#N/A</v>
      </c>
      <c r="K1522" s="6" t="e">
        <v>#N/A</v>
      </c>
      <c r="L1522" t="s">
        <v>17</v>
      </c>
      <c r="M1522" t="s">
        <v>27</v>
      </c>
      <c r="N1522" s="4" t="s">
        <v>5773</v>
      </c>
      <c r="O1522" s="4" t="s">
        <v>5774</v>
      </c>
      <c r="P1522" s="4" t="s">
        <v>233</v>
      </c>
    </row>
    <row r="1523" spans="1:16" x14ac:dyDescent="0.35">
      <c r="A1523" t="s">
        <v>5775</v>
      </c>
      <c r="B1523" t="s">
        <v>5776</v>
      </c>
      <c r="C1523" t="s">
        <v>16</v>
      </c>
      <c r="D1523" s="6">
        <v>2181795869.7750745</v>
      </c>
      <c r="E1523" s="6">
        <v>4539242869.775075</v>
      </c>
      <c r="F1523" s="6">
        <v>14.060000419616699</v>
      </c>
      <c r="G1523" s="6">
        <v>13.960000038146973</v>
      </c>
      <c r="H1523" s="6" t="e">
        <v>#N/A</v>
      </c>
      <c r="I1523" s="6">
        <v>-0.37838506230444047</v>
      </c>
      <c r="J1523" s="6" t="e">
        <v>#N/A</v>
      </c>
      <c r="K1523" s="6" t="e">
        <v>#N/A</v>
      </c>
      <c r="L1523" t="s">
        <v>17</v>
      </c>
      <c r="M1523" t="s">
        <v>40</v>
      </c>
      <c r="N1523" s="4" t="s">
        <v>5777</v>
      </c>
      <c r="O1523" s="4" t="s">
        <v>5778</v>
      </c>
      <c r="P1523" s="4" t="s">
        <v>233</v>
      </c>
    </row>
    <row r="1524" spans="1:16" x14ac:dyDescent="0.35">
      <c r="A1524" t="s">
        <v>5779</v>
      </c>
      <c r="B1524" t="s">
        <v>5780</v>
      </c>
      <c r="C1524" t="s">
        <v>16</v>
      </c>
      <c r="D1524" s="6">
        <v>200809006.48665524</v>
      </c>
      <c r="E1524" s="6">
        <v>-12490993.513344765</v>
      </c>
      <c r="F1524" s="6">
        <v>7.7899999618530273</v>
      </c>
      <c r="G1524" s="6">
        <v>7.7100000381469727</v>
      </c>
      <c r="H1524" s="6" t="e">
        <v>#N/A</v>
      </c>
      <c r="I1524" s="6">
        <v>-0.56684064397605072</v>
      </c>
      <c r="J1524" s="6" t="e">
        <v>#N/A</v>
      </c>
      <c r="K1524" s="6" t="e">
        <v>#N/A</v>
      </c>
      <c r="L1524" t="s">
        <v>17</v>
      </c>
      <c r="M1524" t="s">
        <v>87</v>
      </c>
      <c r="N1524" s="4" t="s">
        <v>5781</v>
      </c>
      <c r="O1524" s="4" t="s">
        <v>5782</v>
      </c>
      <c r="P1524" s="4" t="s">
        <v>233</v>
      </c>
    </row>
    <row r="1525" spans="1:16" x14ac:dyDescent="0.35">
      <c r="A1525" t="s">
        <v>5783</v>
      </c>
      <c r="B1525" t="s">
        <v>5784</v>
      </c>
      <c r="C1525" t="s">
        <v>16</v>
      </c>
      <c r="D1525" s="6">
        <v>20169607279.656464</v>
      </c>
      <c r="E1525" s="6">
        <v>25938007279.656464</v>
      </c>
      <c r="F1525" s="6">
        <v>241.14999389648438</v>
      </c>
      <c r="G1525" s="6">
        <v>243.69999694824219</v>
      </c>
      <c r="H1525" s="6">
        <v>22.468427632699235</v>
      </c>
      <c r="I1525" s="6">
        <v>7.3978648996292806E-2</v>
      </c>
      <c r="J1525" s="6">
        <v>13008900000</v>
      </c>
      <c r="K1525" s="6">
        <v>104.36781609195405</v>
      </c>
      <c r="L1525" t="s">
        <v>17</v>
      </c>
      <c r="M1525" t="s">
        <v>40</v>
      </c>
      <c r="N1525" s="4" t="s">
        <v>5785</v>
      </c>
      <c r="O1525" s="4" t="s">
        <v>5786</v>
      </c>
      <c r="P1525" s="4" t="s">
        <v>233</v>
      </c>
    </row>
    <row r="1526" spans="1:16" x14ac:dyDescent="0.35">
      <c r="A1526" t="s">
        <v>5787</v>
      </c>
      <c r="B1526" t="s">
        <v>5788</v>
      </c>
      <c r="C1526" t="s">
        <v>16</v>
      </c>
      <c r="D1526" s="6">
        <v>185725847.21557617</v>
      </c>
      <c r="E1526" s="6">
        <v>-8771152.7844238281</v>
      </c>
      <c r="F1526" s="6">
        <v>12.829999923706055</v>
      </c>
      <c r="G1526" s="6">
        <v>12.460000038146973</v>
      </c>
      <c r="H1526" s="6" t="e">
        <v>#N/A</v>
      </c>
      <c r="I1526" s="6">
        <v>-0.10855564651028404</v>
      </c>
      <c r="J1526" s="6" t="e">
        <v>#N/A</v>
      </c>
      <c r="K1526" s="6" t="e">
        <v>#N/A</v>
      </c>
      <c r="L1526" t="s">
        <v>17</v>
      </c>
      <c r="M1526" t="s">
        <v>18</v>
      </c>
      <c r="N1526" s="4" t="s">
        <v>5789</v>
      </c>
      <c r="O1526" s="4" t="s">
        <v>5790</v>
      </c>
      <c r="P1526" s="4" t="s">
        <v>233</v>
      </c>
    </row>
    <row r="1527" spans="1:16" x14ac:dyDescent="0.35">
      <c r="A1527" t="s">
        <v>5791</v>
      </c>
      <c r="B1527" t="s">
        <v>5792</v>
      </c>
      <c r="C1527" t="s">
        <v>16</v>
      </c>
      <c r="D1527" s="6">
        <v>589978220.71381569</v>
      </c>
      <c r="E1527" s="6">
        <v>270968220.71381569</v>
      </c>
      <c r="F1527" s="6">
        <v>16.129999160766602</v>
      </c>
      <c r="G1527" s="6">
        <v>15.239999771118164</v>
      </c>
      <c r="H1527" s="6" t="e">
        <v>#N/A</v>
      </c>
      <c r="I1527" s="6">
        <v>-7.3546930627316986E-2</v>
      </c>
      <c r="J1527" s="6" t="e">
        <v>#N/A</v>
      </c>
      <c r="K1527" s="6" t="e">
        <v>#N/A</v>
      </c>
      <c r="L1527" t="s">
        <v>17</v>
      </c>
      <c r="M1527" t="s">
        <v>87</v>
      </c>
      <c r="N1527" s="4" t="s">
        <v>5793</v>
      </c>
      <c r="O1527" s="4" t="s">
        <v>5794</v>
      </c>
      <c r="P1527" s="4" t="s">
        <v>233</v>
      </c>
    </row>
    <row r="1528" spans="1:16" x14ac:dyDescent="0.35">
      <c r="A1528" t="s">
        <v>5795</v>
      </c>
      <c r="B1528" t="s">
        <v>5796</v>
      </c>
      <c r="C1528" t="s">
        <v>16</v>
      </c>
      <c r="D1528" s="6">
        <v>11632086627.602516</v>
      </c>
      <c r="E1528" s="6">
        <v>11637308627.602516</v>
      </c>
      <c r="F1528" s="6">
        <v>73.879997253417969</v>
      </c>
      <c r="G1528" s="6">
        <v>68.430000305175781</v>
      </c>
      <c r="H1528" s="6" t="e">
        <v>#N/A</v>
      </c>
      <c r="I1528" s="6">
        <v>1.8135645221115255</v>
      </c>
      <c r="J1528" s="6" t="e">
        <v>#N/A</v>
      </c>
      <c r="K1528" s="6" t="e">
        <v>#N/A</v>
      </c>
      <c r="L1528" t="s">
        <v>17</v>
      </c>
      <c r="M1528" t="s">
        <v>100</v>
      </c>
      <c r="N1528" s="4" t="s">
        <v>5797</v>
      </c>
      <c r="O1528" s="4" t="s">
        <v>5798</v>
      </c>
      <c r="P1528" s="4" t="s">
        <v>233</v>
      </c>
    </row>
    <row r="1529" spans="1:16" x14ac:dyDescent="0.35">
      <c r="A1529" t="s">
        <v>5799</v>
      </c>
      <c r="B1529" t="s">
        <v>5800</v>
      </c>
      <c r="C1529" t="s">
        <v>16</v>
      </c>
      <c r="D1529" s="6">
        <v>1319166252.3222198</v>
      </c>
      <c r="E1529" s="6">
        <v>1306286252.3222198</v>
      </c>
      <c r="F1529" s="6">
        <v>39.259998321533203</v>
      </c>
      <c r="G1529" s="6">
        <v>32.330001831054688</v>
      </c>
      <c r="H1529" s="6" t="e">
        <v>#N/A</v>
      </c>
      <c r="I1529" s="6">
        <v>3.8202637140875586</v>
      </c>
      <c r="J1529" s="6">
        <v>93105000</v>
      </c>
      <c r="K1529" s="6" t="e">
        <v>#N/A</v>
      </c>
      <c r="L1529" t="s">
        <v>17</v>
      </c>
      <c r="M1529" t="s">
        <v>18</v>
      </c>
      <c r="N1529" s="4" t="s">
        <v>5801</v>
      </c>
      <c r="O1529" s="4" t="s">
        <v>5802</v>
      </c>
      <c r="P1529" s="4" t="s">
        <v>233</v>
      </c>
    </row>
    <row r="1530" spans="1:16" x14ac:dyDescent="0.35">
      <c r="A1530" t="s">
        <v>5803</v>
      </c>
      <c r="B1530" t="s">
        <v>5804</v>
      </c>
      <c r="C1530" t="s">
        <v>16</v>
      </c>
      <c r="D1530" s="6">
        <v>237528777.47765777</v>
      </c>
      <c r="E1530" s="6">
        <v>221156777.47765777</v>
      </c>
      <c r="F1530" s="6">
        <v>5.0300002098083496</v>
      </c>
      <c r="G1530" s="6">
        <v>4.8299999237060547</v>
      </c>
      <c r="H1530" s="6" t="e">
        <v>#N/A</v>
      </c>
      <c r="I1530" s="6">
        <v>-0.84060604065217626</v>
      </c>
      <c r="J1530" s="6">
        <v>0</v>
      </c>
      <c r="K1530" s="6">
        <v>-3.2819825853985281</v>
      </c>
      <c r="L1530" t="s">
        <v>17</v>
      </c>
      <c r="M1530" t="s">
        <v>87</v>
      </c>
      <c r="N1530" s="4" t="s">
        <v>5805</v>
      </c>
      <c r="O1530" s="4" t="s">
        <v>5806</v>
      </c>
      <c r="P1530" s="4" t="s">
        <v>233</v>
      </c>
    </row>
    <row r="1531" spans="1:16" x14ac:dyDescent="0.35">
      <c r="A1531" t="s">
        <v>5807</v>
      </c>
      <c r="B1531" t="s">
        <v>5808</v>
      </c>
      <c r="C1531" t="s">
        <v>16</v>
      </c>
      <c r="D1531" s="6">
        <v>2847400804.804306</v>
      </c>
      <c r="E1531" s="6">
        <v>4681825804.804306</v>
      </c>
      <c r="F1531" s="6">
        <v>22.360000610351563</v>
      </c>
      <c r="G1531" s="6">
        <v>22.790000915527344</v>
      </c>
      <c r="H1531" s="6" t="e">
        <v>#N/A</v>
      </c>
      <c r="I1531" s="6">
        <v>-8.0534936060930429E-2</v>
      </c>
      <c r="J1531" s="6" t="e">
        <v>#N/A</v>
      </c>
      <c r="K1531" s="6" t="e">
        <v>#N/A</v>
      </c>
      <c r="L1531" t="s">
        <v>17</v>
      </c>
      <c r="M1531" t="s">
        <v>40</v>
      </c>
      <c r="N1531" s="4" t="s">
        <v>5809</v>
      </c>
      <c r="O1531" s="4" t="s">
        <v>5810</v>
      </c>
      <c r="P1531" s="4" t="s">
        <v>233</v>
      </c>
    </row>
    <row r="1532" spans="1:16" x14ac:dyDescent="0.35">
      <c r="A1532" t="s">
        <v>5811</v>
      </c>
      <c r="B1532" t="s">
        <v>5812</v>
      </c>
      <c r="C1532" t="s">
        <v>16</v>
      </c>
      <c r="D1532" s="6">
        <v>156057767.16956326</v>
      </c>
      <c r="E1532" s="6" t="e">
        <v>#N/A</v>
      </c>
      <c r="F1532" s="6">
        <v>7.9899997711181641</v>
      </c>
      <c r="G1532" s="6">
        <v>8.1999998092651367</v>
      </c>
      <c r="H1532" s="6" t="e">
        <v>#N/A</v>
      </c>
      <c r="I1532" s="6">
        <v>-2.4781517446916812E-3</v>
      </c>
      <c r="J1532" s="6" t="e">
        <v>#N/A</v>
      </c>
      <c r="K1532" s="6" t="e">
        <v>#N/A</v>
      </c>
      <c r="L1532" t="s">
        <v>17</v>
      </c>
      <c r="M1532" t="s">
        <v>18</v>
      </c>
      <c r="N1532" s="4" t="s">
        <v>5813</v>
      </c>
      <c r="O1532" s="4" t="s">
        <v>5814</v>
      </c>
      <c r="P1532" s="4" t="s">
        <v>233</v>
      </c>
    </row>
    <row r="1533" spans="1:16" x14ac:dyDescent="0.35">
      <c r="A1533" t="s">
        <v>5815</v>
      </c>
      <c r="B1533" t="s">
        <v>5816</v>
      </c>
      <c r="C1533" t="s">
        <v>16</v>
      </c>
      <c r="D1533" s="6">
        <v>16304458.019859791</v>
      </c>
      <c r="E1533" s="6">
        <v>144818458.01985979</v>
      </c>
      <c r="F1533" s="6">
        <v>1.059999942779541</v>
      </c>
      <c r="G1533" s="6">
        <v>1.1000000238418579</v>
      </c>
      <c r="H1533" s="6" t="e">
        <v>#N/A</v>
      </c>
      <c r="I1533" s="6">
        <v>-0.90423388899316048</v>
      </c>
      <c r="J1533" s="6">
        <v>300000</v>
      </c>
      <c r="K1533" s="6">
        <v>-59.365079365079374</v>
      </c>
      <c r="L1533" t="s">
        <v>17</v>
      </c>
      <c r="M1533" t="s">
        <v>27</v>
      </c>
      <c r="N1533" s="4" t="s">
        <v>5817</v>
      </c>
      <c r="O1533" s="4" t="s">
        <v>5818</v>
      </c>
      <c r="P1533" s="4" t="s">
        <v>233</v>
      </c>
    </row>
    <row r="1534" spans="1:16" x14ac:dyDescent="0.35">
      <c r="A1534" t="s">
        <v>5819</v>
      </c>
      <c r="B1534" t="s">
        <v>5820</v>
      </c>
      <c r="C1534" t="s">
        <v>16</v>
      </c>
      <c r="D1534" s="6">
        <v>5393425.5952513227</v>
      </c>
      <c r="E1534" s="6" t="e">
        <v>#N/A</v>
      </c>
      <c r="F1534" s="6">
        <v>1.3500000238418579</v>
      </c>
      <c r="G1534" s="6">
        <v>1.3400000333786011</v>
      </c>
      <c r="H1534" s="6" t="e">
        <v>#N/A</v>
      </c>
      <c r="I1534" s="6">
        <v>-0.99448977212557688</v>
      </c>
      <c r="J1534" s="6" t="e">
        <v>#N/A</v>
      </c>
      <c r="K1534" s="6" t="e">
        <v>#N/A</v>
      </c>
      <c r="L1534" t="s">
        <v>17</v>
      </c>
      <c r="M1534" t="s">
        <v>18</v>
      </c>
      <c r="N1534" s="4" t="s">
        <v>233</v>
      </c>
      <c r="O1534" s="4" t="s">
        <v>13079</v>
      </c>
      <c r="P1534" s="4" t="s">
        <v>13195</v>
      </c>
    </row>
    <row r="1535" spans="1:16" x14ac:dyDescent="0.35">
      <c r="A1535" t="s">
        <v>5821</v>
      </c>
      <c r="B1535" t="s">
        <v>5822</v>
      </c>
      <c r="C1535" t="s">
        <v>16</v>
      </c>
      <c r="D1535" s="6">
        <v>301313378.36420155</v>
      </c>
      <c r="E1535" s="6">
        <v>515099378.36420155</v>
      </c>
      <c r="F1535" s="6">
        <v>7.2100000381469727</v>
      </c>
      <c r="G1535" s="6">
        <v>7.7199997901916504</v>
      </c>
      <c r="H1535" s="6" t="e">
        <v>#N/A</v>
      </c>
      <c r="I1535" s="6">
        <v>-0.87078181548233058</v>
      </c>
      <c r="J1535" s="6">
        <v>50000000</v>
      </c>
      <c r="K1535" s="6">
        <v>69.706840390879478</v>
      </c>
      <c r="L1535" t="s">
        <v>17</v>
      </c>
      <c r="M1535" t="s">
        <v>18</v>
      </c>
      <c r="N1535" s="4" t="s">
        <v>5823</v>
      </c>
      <c r="O1535" s="4" t="s">
        <v>5824</v>
      </c>
      <c r="P1535" s="4" t="s">
        <v>233</v>
      </c>
    </row>
    <row r="1536" spans="1:16" x14ac:dyDescent="0.35">
      <c r="A1536" t="s">
        <v>5825</v>
      </c>
      <c r="B1536" t="s">
        <v>5826</v>
      </c>
      <c r="C1536" t="s">
        <v>16</v>
      </c>
      <c r="D1536" s="6">
        <v>301425125.65727991</v>
      </c>
      <c r="E1536" s="6">
        <v>374211383.65727991</v>
      </c>
      <c r="F1536" s="6">
        <v>9.0200004577636719</v>
      </c>
      <c r="G1536" s="6">
        <v>9.2100000381469727</v>
      </c>
      <c r="H1536" s="6" t="e">
        <v>#N/A</v>
      </c>
      <c r="I1536" s="6">
        <v>-0.74520732880550278</v>
      </c>
      <c r="J1536" s="6" t="e">
        <v>#N/A</v>
      </c>
      <c r="K1536" s="6">
        <v>18.404907975460116</v>
      </c>
      <c r="L1536" t="s">
        <v>17</v>
      </c>
      <c r="M1536" t="s">
        <v>87</v>
      </c>
      <c r="N1536" s="4" t="s">
        <v>5827</v>
      </c>
      <c r="O1536" s="4" t="s">
        <v>5828</v>
      </c>
      <c r="P1536" s="4" t="s">
        <v>233</v>
      </c>
    </row>
    <row r="1537" spans="1:16" x14ac:dyDescent="0.35">
      <c r="A1537" t="s">
        <v>13325</v>
      </c>
      <c r="B1537" t="s">
        <v>13326</v>
      </c>
      <c r="C1537" t="s">
        <v>16</v>
      </c>
      <c r="D1537" s="6">
        <v>293628299.46199036</v>
      </c>
      <c r="E1537" s="6">
        <v>287586664.29899037</v>
      </c>
      <c r="F1537" s="6">
        <v>8.1700000762939453</v>
      </c>
      <c r="G1537" s="6">
        <v>7.6700000762939453</v>
      </c>
      <c r="H1537" s="6" t="e">
        <v>#N/A</v>
      </c>
      <c r="I1537" s="6">
        <v>5.1558472425363346</v>
      </c>
      <c r="J1537" s="6">
        <v>2549854.8804197125</v>
      </c>
      <c r="K1537" s="6">
        <v>-35.70228057128147</v>
      </c>
      <c r="L1537" t="s">
        <v>17</v>
      </c>
      <c r="M1537" t="s">
        <v>27</v>
      </c>
      <c r="N1537" s="4" t="s">
        <v>13327</v>
      </c>
      <c r="O1537" s="4" t="s">
        <v>13328</v>
      </c>
      <c r="P1537" s="4" t="s">
        <v>233</v>
      </c>
    </row>
    <row r="1538" spans="1:16" x14ac:dyDescent="0.35">
      <c r="A1538" t="s">
        <v>5829</v>
      </c>
      <c r="B1538" t="s">
        <v>5830</v>
      </c>
      <c r="C1538" t="s">
        <v>16</v>
      </c>
      <c r="D1538" s="6">
        <v>719374497.71053791</v>
      </c>
      <c r="E1538" s="6">
        <v>856868497.71053791</v>
      </c>
      <c r="F1538" s="6">
        <v>13.220000267028809</v>
      </c>
      <c r="G1538" s="6">
        <v>12.819999694824219</v>
      </c>
      <c r="H1538" s="6" t="e">
        <v>#N/A</v>
      </c>
      <c r="I1538" s="6">
        <v>-0.52111758605884095</v>
      </c>
      <c r="J1538" s="6" t="e">
        <v>#N/A</v>
      </c>
      <c r="K1538" s="6" t="e">
        <v>#N/A</v>
      </c>
      <c r="L1538" t="s">
        <v>17</v>
      </c>
      <c r="M1538" t="s">
        <v>18</v>
      </c>
      <c r="N1538" s="4" t="s">
        <v>5831</v>
      </c>
      <c r="O1538" s="4" t="s">
        <v>5832</v>
      </c>
      <c r="P1538" s="4" t="s">
        <v>233</v>
      </c>
    </row>
    <row r="1539" spans="1:16" x14ac:dyDescent="0.35">
      <c r="A1539" t="s">
        <v>12951</v>
      </c>
      <c r="B1539" t="s">
        <v>12952</v>
      </c>
      <c r="C1539" t="s">
        <v>16</v>
      </c>
      <c r="D1539" s="6">
        <v>799597115.14730835</v>
      </c>
      <c r="E1539" s="6">
        <v>931896115.14730835</v>
      </c>
      <c r="F1539" s="6">
        <v>22.319999694824219</v>
      </c>
      <c r="G1539" s="6">
        <v>21.510000228881836</v>
      </c>
      <c r="H1539" s="6" t="e">
        <v>#N/A</v>
      </c>
      <c r="I1539" s="6">
        <v>1.2145024638287958</v>
      </c>
      <c r="J1539" s="6">
        <v>45225000</v>
      </c>
      <c r="K1539" s="6">
        <v>23.731138545953367</v>
      </c>
      <c r="L1539" t="s">
        <v>17</v>
      </c>
      <c r="M1539" t="s">
        <v>27</v>
      </c>
      <c r="N1539" s="4" t="s">
        <v>12953</v>
      </c>
      <c r="O1539" s="4" t="s">
        <v>12954</v>
      </c>
      <c r="P1539" s="4" t="s">
        <v>233</v>
      </c>
    </row>
    <row r="1540" spans="1:16" x14ac:dyDescent="0.35">
      <c r="A1540" t="s">
        <v>5833</v>
      </c>
      <c r="B1540" t="s">
        <v>5834</v>
      </c>
      <c r="C1540" t="s">
        <v>16</v>
      </c>
      <c r="D1540" s="6">
        <v>158451424.69504166</v>
      </c>
      <c r="E1540" s="6">
        <v>316587424.69504166</v>
      </c>
      <c r="F1540" s="6">
        <v>4.4200000762939453</v>
      </c>
      <c r="G1540" s="6">
        <v>4.2899999618530273</v>
      </c>
      <c r="H1540" s="6" t="e">
        <v>#N/A</v>
      </c>
      <c r="I1540" s="6">
        <v>-0.97429406923679862</v>
      </c>
      <c r="J1540" s="6">
        <v>0</v>
      </c>
      <c r="K1540" s="6">
        <v>0</v>
      </c>
      <c r="L1540" t="s">
        <v>17</v>
      </c>
      <c r="M1540" t="s">
        <v>87</v>
      </c>
      <c r="N1540" s="4" t="s">
        <v>5835</v>
      </c>
      <c r="O1540" s="4" t="s">
        <v>5836</v>
      </c>
      <c r="P1540" s="4" t="s">
        <v>233</v>
      </c>
    </row>
    <row r="1541" spans="1:16" x14ac:dyDescent="0.35">
      <c r="A1541" t="s">
        <v>12995</v>
      </c>
      <c r="B1541" t="s">
        <v>12996</v>
      </c>
      <c r="C1541" t="s">
        <v>16</v>
      </c>
      <c r="D1541" s="6">
        <v>383751654.98180771</v>
      </c>
      <c r="E1541" s="6">
        <v>383872824.98180771</v>
      </c>
      <c r="F1541" s="6">
        <v>7.1599998474121094</v>
      </c>
      <c r="G1541" s="6">
        <v>6.8400001525878906</v>
      </c>
      <c r="H1541" s="6" t="e">
        <v>#N/A</v>
      </c>
      <c r="I1541" s="6">
        <v>-0.91993639377741698</v>
      </c>
      <c r="J1541" s="6">
        <v>2380</v>
      </c>
      <c r="K1541" s="6">
        <v>14.43514644351464</v>
      </c>
      <c r="L1541" t="s">
        <v>17</v>
      </c>
      <c r="M1541" t="s">
        <v>18</v>
      </c>
      <c r="N1541" s="4" t="s">
        <v>12997</v>
      </c>
      <c r="O1541" s="4" t="s">
        <v>12998</v>
      </c>
      <c r="P1541" s="4" t="s">
        <v>233</v>
      </c>
    </row>
    <row r="1542" spans="1:16" x14ac:dyDescent="0.35">
      <c r="A1542" t="s">
        <v>12999</v>
      </c>
      <c r="B1542" t="s">
        <v>13000</v>
      </c>
      <c r="C1542" t="s">
        <v>16</v>
      </c>
      <c r="D1542" s="6">
        <v>90119992.080038548</v>
      </c>
      <c r="E1542" s="6">
        <v>226317992.08003855</v>
      </c>
      <c r="F1542" s="6">
        <v>4.4699997901916504</v>
      </c>
      <c r="G1542" s="6">
        <v>4.4699997901916504</v>
      </c>
      <c r="H1542" s="6" t="e">
        <v>#N/A</v>
      </c>
      <c r="I1542" s="6">
        <v>-0.927884060226836</v>
      </c>
      <c r="J1542" s="6">
        <v>350000</v>
      </c>
      <c r="K1542" s="6" t="e">
        <v>#N/A</v>
      </c>
      <c r="L1542" t="s">
        <v>17</v>
      </c>
      <c r="M1542" t="s">
        <v>18</v>
      </c>
      <c r="N1542" s="4" t="s">
        <v>13001</v>
      </c>
      <c r="O1542" s="4" t="s">
        <v>13002</v>
      </c>
      <c r="P1542" s="4" t="s">
        <v>233</v>
      </c>
    </row>
    <row r="1543" spans="1:16" x14ac:dyDescent="0.35">
      <c r="A1543" t="s">
        <v>13033</v>
      </c>
      <c r="B1543" t="s">
        <v>13034</v>
      </c>
      <c r="C1543" t="s">
        <v>16</v>
      </c>
      <c r="D1543" s="6">
        <v>502639025.88935852</v>
      </c>
      <c r="E1543" s="6">
        <v>615353025.88935852</v>
      </c>
      <c r="F1543" s="6">
        <v>11.319999694824219</v>
      </c>
      <c r="G1543" s="6">
        <v>10.949999809265137</v>
      </c>
      <c r="H1543" s="6" t="e">
        <v>#N/A</v>
      </c>
      <c r="I1543" s="6">
        <v>-0.7824029779732482</v>
      </c>
      <c r="J1543" s="6" t="e">
        <v>#N/A</v>
      </c>
      <c r="K1543" s="6" t="e">
        <v>#N/A</v>
      </c>
      <c r="L1543" t="s">
        <v>17</v>
      </c>
      <c r="M1543" t="s">
        <v>87</v>
      </c>
      <c r="N1543" s="4" t="s">
        <v>13035</v>
      </c>
      <c r="O1543" s="4" t="s">
        <v>13036</v>
      </c>
      <c r="P1543" s="4" t="s">
        <v>233</v>
      </c>
    </row>
    <row r="1544" spans="1:16" x14ac:dyDescent="0.35">
      <c r="A1544" t="s">
        <v>13365</v>
      </c>
      <c r="B1544" t="s">
        <v>13366</v>
      </c>
      <c r="C1544" t="s">
        <v>16</v>
      </c>
      <c r="D1544" s="6">
        <v>7540691.3563852301</v>
      </c>
      <c r="E1544" s="6">
        <v>-4540726.9346147692</v>
      </c>
      <c r="F1544" s="6">
        <v>4.630000114440918</v>
      </c>
      <c r="G1544" s="6">
        <v>5.0500998497009277</v>
      </c>
      <c r="H1544" s="6" t="e">
        <v>#N/A</v>
      </c>
      <c r="I1544" s="6">
        <v>-0.60123209055736448</v>
      </c>
      <c r="J1544" s="6">
        <v>16575.917059459458</v>
      </c>
      <c r="K1544" s="6">
        <v>2.6014615415739368</v>
      </c>
      <c r="L1544" t="s">
        <v>17</v>
      </c>
      <c r="M1544" t="s">
        <v>18</v>
      </c>
      <c r="N1544" s="4" t="s">
        <v>13367</v>
      </c>
      <c r="O1544" s="4" t="s">
        <v>13368</v>
      </c>
      <c r="P1544" s="4" t="s">
        <v>233</v>
      </c>
    </row>
    <row r="1545" spans="1:16" x14ac:dyDescent="0.35">
      <c r="A1545" t="s">
        <v>13498</v>
      </c>
      <c r="B1545" t="s">
        <v>13499</v>
      </c>
      <c r="C1545" t="s">
        <v>16</v>
      </c>
      <c r="D1545" s="6">
        <v>943140600.95336723</v>
      </c>
      <c r="E1545" s="6">
        <v>1183353600.9533672</v>
      </c>
      <c r="F1545" s="6">
        <v>21.989999771118164</v>
      </c>
      <c r="G1545" s="6">
        <v>22.159999847412109</v>
      </c>
      <c r="H1545" s="6" t="e">
        <v>#N/A</v>
      </c>
      <c r="I1545" s="6">
        <v>819.66877895769267</v>
      </c>
      <c r="J1545" s="6">
        <v>11995000</v>
      </c>
      <c r="K1545" s="6">
        <v>35.866261398176299</v>
      </c>
      <c r="L1545" t="s">
        <v>17</v>
      </c>
      <c r="M1545" t="s">
        <v>27</v>
      </c>
      <c r="N1545" s="4" t="s">
        <v>13500</v>
      </c>
      <c r="O1545" s="4" t="s">
        <v>13501</v>
      </c>
      <c r="P1545" s="4" t="s">
        <v>233</v>
      </c>
    </row>
    <row r="1546" spans="1:16" x14ac:dyDescent="0.35">
      <c r="A1546" t="s">
        <v>13467</v>
      </c>
      <c r="B1546" t="s">
        <v>13468</v>
      </c>
      <c r="C1546" t="s">
        <v>16</v>
      </c>
      <c r="D1546" s="6">
        <v>3321506171.5666962</v>
      </c>
      <c r="E1546" s="6">
        <v>3389994171.5666962</v>
      </c>
      <c r="F1546" s="6">
        <v>31.649999618530273</v>
      </c>
      <c r="G1546" s="6">
        <v>30.959999084472656</v>
      </c>
      <c r="H1546" s="6" t="e">
        <v>#N/A</v>
      </c>
      <c r="I1546" s="6">
        <v>7615310.1248034397</v>
      </c>
      <c r="J1546" s="6" t="e">
        <v>#N/A</v>
      </c>
      <c r="K1546" s="6" t="e">
        <v>#N/A</v>
      </c>
      <c r="L1546" t="s">
        <v>17</v>
      </c>
      <c r="M1546" t="s">
        <v>18</v>
      </c>
      <c r="N1546" s="4" t="s">
        <v>13469</v>
      </c>
      <c r="O1546" s="4" t="s">
        <v>13470</v>
      </c>
      <c r="P1546" s="4" t="s">
        <v>233</v>
      </c>
    </row>
    <row r="1556" spans="16:16" x14ac:dyDescent="0.35">
      <c r="P1556" s="4" t="e">
        <v>#N/A</v>
      </c>
    </row>
    <row r="1557" spans="16:16" x14ac:dyDescent="0.35">
      <c r="P1557" s="4" t="e">
        <v>#N/A</v>
      </c>
    </row>
    <row r="1558" spans="16:16" x14ac:dyDescent="0.35">
      <c r="P1558" s="4" t="e">
        <v>#N/A</v>
      </c>
    </row>
    <row r="1559" spans="16:16" x14ac:dyDescent="0.35">
      <c r="P1559" s="4" t="e">
        <v>#N/A</v>
      </c>
    </row>
    <row r="1560" spans="16:16" x14ac:dyDescent="0.35">
      <c r="P1560" s="4" t="e">
        <v>#N/A</v>
      </c>
    </row>
    <row r="1561" spans="16:16" x14ac:dyDescent="0.35">
      <c r="P1561" s="4" t="e">
        <v>#N/A</v>
      </c>
    </row>
    <row r="1562" spans="16:16" x14ac:dyDescent="0.35">
      <c r="P1562" s="4" t="e"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77C65-2D47-43A3-A72E-1C5F45E294D4}">
  <sheetPr codeName="Sheet2"/>
  <dimension ref="A1:P176"/>
  <sheetViews>
    <sheetView showGridLines="0" zoomScale="91" zoomScaleNormal="91" workbookViewId="0">
      <selection activeCell="A2" sqref="A2"/>
    </sheetView>
  </sheetViews>
  <sheetFormatPr defaultRowHeight="14.5" x14ac:dyDescent="0.35"/>
  <cols>
    <col min="1" max="1" width="20.26953125" bestFit="1" customWidth="1"/>
    <col min="2" max="2" width="31.1796875" bestFit="1" customWidth="1"/>
    <col min="3" max="3" width="17.26953125" customWidth="1"/>
    <col min="4" max="11" width="22.1796875" style="6" customWidth="1"/>
    <col min="12" max="13" width="31.1796875" bestFit="1" customWidth="1"/>
    <col min="14" max="16" width="31.1796875" style="4" bestFit="1" customWidth="1"/>
  </cols>
  <sheetData>
    <row r="1" spans="1:16" x14ac:dyDescent="0.35">
      <c r="A1" s="2" t="str">
        <f>_xll.BQL("filter(equitiesUniv(['Active', 'Primary']), gics_sector_name == 'Health Care' and crncy == 'CAD')", "name().value, crncy().value, cur_mkt_cap().value, curr_entp_val().value, px_last().value, px_open().value, pe_ratio().value, ann_total_return().value, sales_rev_turn().value, eps_growth().value, gics_sector_name().value, gics_industry_name().value, " &amp; "id_cusip().value, id_sedol1().value, id_cins().value","cols=16;rows=176")</f>
        <v>ID</v>
      </c>
      <c r="B1" s="1" t="s">
        <v>0</v>
      </c>
      <c r="C1" s="1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1" t="s">
        <v>10</v>
      </c>
      <c r="M1" s="1" t="s">
        <v>11</v>
      </c>
      <c r="N1" s="3" t="s">
        <v>12</v>
      </c>
      <c r="O1" s="3" t="s">
        <v>13</v>
      </c>
      <c r="P1" s="3" t="s">
        <v>13080</v>
      </c>
    </row>
    <row r="2" spans="1:16" x14ac:dyDescent="0.35">
      <c r="A2" t="s">
        <v>5837</v>
      </c>
      <c r="B2" t="s">
        <v>5838</v>
      </c>
      <c r="C2" t="s">
        <v>5839</v>
      </c>
      <c r="D2" s="6" t="e">
        <v>#N/A</v>
      </c>
      <c r="E2" s="6" t="e">
        <v>#N/A</v>
      </c>
      <c r="F2" s="6" t="e">
        <v>#N/A</v>
      </c>
      <c r="G2" s="6" t="e">
        <v>#N/A</v>
      </c>
      <c r="H2" s="6" t="e">
        <v>#N/A</v>
      </c>
      <c r="I2" s="6">
        <v>0</v>
      </c>
      <c r="J2" s="6">
        <v>2858573</v>
      </c>
      <c r="K2" s="6">
        <v>-54.837138837788125</v>
      </c>
      <c r="L2" t="s">
        <v>17</v>
      </c>
      <c r="M2" t="s">
        <v>87</v>
      </c>
      <c r="N2" s="4" t="s">
        <v>5840</v>
      </c>
      <c r="O2" s="4" t="s">
        <v>5841</v>
      </c>
      <c r="P2" s="4" t="s">
        <v>233</v>
      </c>
    </row>
    <row r="3" spans="1:16" x14ac:dyDescent="0.35">
      <c r="A3" t="s">
        <v>5842</v>
      </c>
      <c r="B3" t="s">
        <v>5843</v>
      </c>
      <c r="C3" t="s">
        <v>5839</v>
      </c>
      <c r="D3" s="6">
        <v>71954075.925109357</v>
      </c>
      <c r="E3" s="6">
        <v>124499075.92510936</v>
      </c>
      <c r="F3" s="6">
        <v>5.4999999701976776E-2</v>
      </c>
      <c r="G3" s="6">
        <v>5.000000074505806E-2</v>
      </c>
      <c r="H3" s="6" t="e">
        <v>#N/A</v>
      </c>
      <c r="I3" s="6">
        <v>2.6536732273879897</v>
      </c>
      <c r="J3" s="6">
        <v>114612000</v>
      </c>
      <c r="K3" s="6">
        <v>-1029.1514906245777</v>
      </c>
      <c r="L3" t="s">
        <v>17</v>
      </c>
      <c r="M3" t="s">
        <v>87</v>
      </c>
      <c r="N3" s="4" t="s">
        <v>5844</v>
      </c>
      <c r="O3" s="4" t="s">
        <v>5845</v>
      </c>
      <c r="P3" s="4" t="s">
        <v>233</v>
      </c>
    </row>
    <row r="4" spans="1:16" x14ac:dyDescent="0.35">
      <c r="A4" t="s">
        <v>5846</v>
      </c>
      <c r="B4" t="s">
        <v>5847</v>
      </c>
      <c r="C4" t="s">
        <v>5839</v>
      </c>
      <c r="D4" s="6">
        <v>134166651.66955326</v>
      </c>
      <c r="E4" s="6">
        <v>145617814.91879967</v>
      </c>
      <c r="F4" s="6">
        <v>4.2199997901916504</v>
      </c>
      <c r="G4" s="6">
        <v>4.2600002288818359</v>
      </c>
      <c r="H4" s="6" t="e">
        <v>#N/A</v>
      </c>
      <c r="I4" s="6">
        <v>1.4383337259747497E-2</v>
      </c>
      <c r="J4" s="6">
        <v>56940000</v>
      </c>
      <c r="K4" s="6">
        <v>21.590909090909072</v>
      </c>
      <c r="L4" t="s">
        <v>17</v>
      </c>
      <c r="M4" t="s">
        <v>87</v>
      </c>
      <c r="N4" s="4" t="s">
        <v>5848</v>
      </c>
      <c r="O4" s="4" t="s">
        <v>5849</v>
      </c>
      <c r="P4" s="4" t="s">
        <v>233</v>
      </c>
    </row>
    <row r="5" spans="1:16" x14ac:dyDescent="0.35">
      <c r="A5" t="s">
        <v>5850</v>
      </c>
      <c r="B5" t="s">
        <v>5851</v>
      </c>
      <c r="C5" t="s">
        <v>5839</v>
      </c>
      <c r="D5" s="6">
        <v>43264588.794180229</v>
      </c>
      <c r="E5" s="6">
        <v>85356588.794180229</v>
      </c>
      <c r="F5" s="6">
        <v>7.5000002980232239E-2</v>
      </c>
      <c r="G5" s="6">
        <v>7.5000002980232239E-2</v>
      </c>
      <c r="H5" s="6" t="e">
        <v>#N/A</v>
      </c>
      <c r="I5" s="6">
        <v>-0.42220921439050629</v>
      </c>
      <c r="J5" s="6">
        <v>94957000</v>
      </c>
      <c r="K5" s="6">
        <v>-64.207685387482343</v>
      </c>
      <c r="L5" t="s">
        <v>17</v>
      </c>
      <c r="M5" t="s">
        <v>87</v>
      </c>
      <c r="N5" s="4" t="s">
        <v>5852</v>
      </c>
      <c r="O5" s="4" t="s">
        <v>5853</v>
      </c>
      <c r="P5" s="4" t="s">
        <v>233</v>
      </c>
    </row>
    <row r="6" spans="1:16" x14ac:dyDescent="0.35">
      <c r="A6" t="s">
        <v>5854</v>
      </c>
      <c r="B6" t="s">
        <v>5855</v>
      </c>
      <c r="C6" t="s">
        <v>5839</v>
      </c>
      <c r="D6" s="6" t="e">
        <v>#N/A</v>
      </c>
      <c r="E6" s="6" t="e">
        <v>#N/A</v>
      </c>
      <c r="F6" s="6" t="e">
        <v>#N/A</v>
      </c>
      <c r="G6" s="6" t="e">
        <v>#N/A</v>
      </c>
      <c r="H6" s="6" t="e">
        <v>#N/A</v>
      </c>
      <c r="I6" s="6">
        <v>0</v>
      </c>
      <c r="J6" s="6">
        <v>3148311</v>
      </c>
      <c r="K6" s="6">
        <v>84.797241203141965</v>
      </c>
      <c r="L6" t="s">
        <v>17</v>
      </c>
      <c r="M6" t="s">
        <v>87</v>
      </c>
      <c r="N6" s="4" t="s">
        <v>5856</v>
      </c>
      <c r="O6" s="4" t="s">
        <v>5857</v>
      </c>
      <c r="P6" s="4" t="s">
        <v>233</v>
      </c>
    </row>
    <row r="7" spans="1:16" x14ac:dyDescent="0.35">
      <c r="A7" t="s">
        <v>5858</v>
      </c>
      <c r="B7" t="s">
        <v>5859</v>
      </c>
      <c r="C7" t="s">
        <v>5839</v>
      </c>
      <c r="D7" s="6">
        <v>236180.19499999998</v>
      </c>
      <c r="E7" s="6">
        <v>2643066.4774691588</v>
      </c>
      <c r="F7" s="6">
        <v>5.0000000000000001E-3</v>
      </c>
      <c r="G7" s="6">
        <v>5.0000000000000001E-3</v>
      </c>
      <c r="H7" s="6" t="e">
        <v>#N/A</v>
      </c>
      <c r="I7" s="6">
        <v>-0.66566460584968867</v>
      </c>
      <c r="J7" s="6">
        <v>0</v>
      </c>
      <c r="K7" s="6" t="e">
        <v>#N/A</v>
      </c>
      <c r="L7" t="s">
        <v>17</v>
      </c>
      <c r="M7" t="s">
        <v>40</v>
      </c>
      <c r="N7" s="4" t="s">
        <v>5860</v>
      </c>
      <c r="O7" s="4" t="s">
        <v>5861</v>
      </c>
      <c r="P7" s="4" t="s">
        <v>233</v>
      </c>
    </row>
    <row r="8" spans="1:16" x14ac:dyDescent="0.35">
      <c r="A8" t="s">
        <v>5862</v>
      </c>
      <c r="B8" t="s">
        <v>5863</v>
      </c>
      <c r="C8" t="s">
        <v>5839</v>
      </c>
      <c r="D8" s="6">
        <v>333938803.88074875</v>
      </c>
      <c r="E8" s="6">
        <v>265373839.52688745</v>
      </c>
      <c r="F8" s="6">
        <v>13.050000190734863</v>
      </c>
      <c r="G8" s="6">
        <v>12.960000038146973</v>
      </c>
      <c r="H8" s="6">
        <v>14.338303698094084</v>
      </c>
      <c r="I8" s="6">
        <v>0.97061566118719633</v>
      </c>
      <c r="J8" s="6">
        <v>26461000</v>
      </c>
      <c r="K8" s="6">
        <v>-48.258263390526245</v>
      </c>
      <c r="L8" t="s">
        <v>17</v>
      </c>
      <c r="M8" t="s">
        <v>87</v>
      </c>
      <c r="N8" s="4" t="s">
        <v>5864</v>
      </c>
      <c r="O8" s="4" t="s">
        <v>5865</v>
      </c>
      <c r="P8" s="4" t="s">
        <v>233</v>
      </c>
    </row>
    <row r="9" spans="1:16" x14ac:dyDescent="0.35">
      <c r="A9" t="s">
        <v>5866</v>
      </c>
      <c r="B9" t="s">
        <v>5867</v>
      </c>
      <c r="C9" t="s">
        <v>5839</v>
      </c>
      <c r="D9" s="6">
        <v>256824678.0298748</v>
      </c>
      <c r="E9" s="6">
        <v>194090197.04477924</v>
      </c>
      <c r="F9" s="6">
        <v>9.3299999237060547</v>
      </c>
      <c r="G9" s="6">
        <v>9.3299999237060547</v>
      </c>
      <c r="H9" s="6" t="e">
        <v>#N/A</v>
      </c>
      <c r="I9" s="6">
        <v>-0.26531202612419857</v>
      </c>
      <c r="J9" s="6">
        <v>49348000</v>
      </c>
      <c r="K9" s="6">
        <v>94.805194805194802</v>
      </c>
      <c r="L9" t="s">
        <v>17</v>
      </c>
      <c r="M9" t="s">
        <v>18</v>
      </c>
      <c r="N9" s="4" t="s">
        <v>5868</v>
      </c>
      <c r="O9" s="4" t="s">
        <v>5869</v>
      </c>
      <c r="P9" s="4" t="s">
        <v>233</v>
      </c>
    </row>
    <row r="10" spans="1:16" x14ac:dyDescent="0.35">
      <c r="A10" t="s">
        <v>5870</v>
      </c>
      <c r="B10" t="s">
        <v>5871</v>
      </c>
      <c r="C10" t="s">
        <v>5839</v>
      </c>
      <c r="D10" s="6">
        <v>65221374.083709717</v>
      </c>
      <c r="E10" s="6">
        <v>58654899.083709717</v>
      </c>
      <c r="F10" s="6">
        <v>0.48500001430511475</v>
      </c>
      <c r="G10" s="6">
        <v>0.47999998927116394</v>
      </c>
      <c r="H10" s="6">
        <v>19.512391949835642</v>
      </c>
      <c r="I10" s="6">
        <v>0.24284927600458794</v>
      </c>
      <c r="J10" s="6">
        <v>25394148</v>
      </c>
      <c r="K10" s="6" t="e">
        <v>#N/A</v>
      </c>
      <c r="L10" t="s">
        <v>17</v>
      </c>
      <c r="M10" t="s">
        <v>18</v>
      </c>
      <c r="N10" s="4" t="s">
        <v>5872</v>
      </c>
      <c r="O10" s="4" t="s">
        <v>5873</v>
      </c>
      <c r="P10" s="4" t="s">
        <v>233</v>
      </c>
    </row>
    <row r="11" spans="1:16" x14ac:dyDescent="0.35">
      <c r="A11" t="s">
        <v>5874</v>
      </c>
      <c r="B11" t="s">
        <v>5875</v>
      </c>
      <c r="C11" t="s">
        <v>5839</v>
      </c>
      <c r="D11" s="6">
        <v>44538088.84945488</v>
      </c>
      <c r="E11" s="6">
        <v>44310088.84945488</v>
      </c>
      <c r="F11" s="6">
        <v>0.8399999737739563</v>
      </c>
      <c r="G11" s="6">
        <v>0.81000000238418579</v>
      </c>
      <c r="H11" s="6" t="e">
        <v>#N/A</v>
      </c>
      <c r="I11" s="6">
        <v>-6.6490741043123469E-2</v>
      </c>
      <c r="J11" s="6">
        <v>0</v>
      </c>
      <c r="K11" s="6">
        <v>34.380971045024737</v>
      </c>
      <c r="L11" t="s">
        <v>17</v>
      </c>
      <c r="M11" t="s">
        <v>18</v>
      </c>
      <c r="N11" s="4" t="s">
        <v>5876</v>
      </c>
      <c r="O11" s="4" t="s">
        <v>5877</v>
      </c>
      <c r="P11" s="4" t="s">
        <v>233</v>
      </c>
    </row>
    <row r="12" spans="1:16" x14ac:dyDescent="0.35">
      <c r="A12" t="s">
        <v>5878</v>
      </c>
      <c r="B12" t="s">
        <v>5879</v>
      </c>
      <c r="C12" t="s">
        <v>5839</v>
      </c>
      <c r="D12" s="6">
        <v>59486192.799999997</v>
      </c>
      <c r="E12" s="6">
        <v>67081192.799999997</v>
      </c>
      <c r="F12" s="6">
        <v>0.8</v>
      </c>
      <c r="G12" s="6">
        <v>0.8</v>
      </c>
      <c r="H12" s="6" t="e">
        <v>#N/A</v>
      </c>
      <c r="I12" s="6">
        <v>-0.19951210581764955</v>
      </c>
      <c r="J12" s="6">
        <v>530000</v>
      </c>
      <c r="K12" s="6">
        <v>-21.707967730530655</v>
      </c>
      <c r="L12" t="s">
        <v>17</v>
      </c>
      <c r="M12" t="s">
        <v>87</v>
      </c>
      <c r="N12" s="4" t="s">
        <v>5880</v>
      </c>
      <c r="O12" s="4" t="s">
        <v>5881</v>
      </c>
      <c r="P12" s="4" t="s">
        <v>233</v>
      </c>
    </row>
    <row r="13" spans="1:16" x14ac:dyDescent="0.35">
      <c r="A13" t="s">
        <v>5882</v>
      </c>
      <c r="B13" t="s">
        <v>5883</v>
      </c>
      <c r="C13" t="s">
        <v>5839</v>
      </c>
      <c r="D13" s="6" t="e">
        <v>#N/A</v>
      </c>
      <c r="E13" s="6" t="e">
        <v>#N/A</v>
      </c>
      <c r="F13" s="6" t="e">
        <v>#N/A</v>
      </c>
      <c r="G13" s="6" t="e">
        <v>#N/A</v>
      </c>
      <c r="H13" s="6" t="e">
        <v>#N/A</v>
      </c>
      <c r="I13" s="6">
        <v>0</v>
      </c>
      <c r="J13" s="6" t="e">
        <v>#N/A</v>
      </c>
      <c r="K13" s="6" t="e">
        <v>#N/A</v>
      </c>
      <c r="L13" t="s">
        <v>17</v>
      </c>
      <c r="M13" t="s">
        <v>18</v>
      </c>
      <c r="N13" s="4" t="s">
        <v>5884</v>
      </c>
      <c r="O13" s="4" t="s">
        <v>5885</v>
      </c>
      <c r="P13" s="4" t="s">
        <v>233</v>
      </c>
    </row>
    <row r="14" spans="1:16" x14ac:dyDescent="0.35">
      <c r="A14" t="s">
        <v>5886</v>
      </c>
      <c r="B14" t="s">
        <v>5887</v>
      </c>
      <c r="C14" t="s">
        <v>5839</v>
      </c>
      <c r="D14" s="6">
        <v>66900702.28839495</v>
      </c>
      <c r="E14" s="6">
        <v>66888931.28839495</v>
      </c>
      <c r="F14" s="6">
        <v>0.27000001072883606</v>
      </c>
      <c r="G14" s="6">
        <v>0.27000001072883606</v>
      </c>
      <c r="H14" s="6" t="e">
        <v>#N/A</v>
      </c>
      <c r="I14" s="6">
        <v>0.38338488040118013</v>
      </c>
      <c r="J14" s="6">
        <v>986596</v>
      </c>
      <c r="K14" s="6">
        <v>8.2637174862350466</v>
      </c>
      <c r="L14" t="s">
        <v>17</v>
      </c>
      <c r="M14" t="s">
        <v>27</v>
      </c>
      <c r="N14" s="4" t="s">
        <v>5888</v>
      </c>
      <c r="O14" s="4" t="s">
        <v>5889</v>
      </c>
      <c r="P14" s="4" t="s">
        <v>233</v>
      </c>
    </row>
    <row r="15" spans="1:16" x14ac:dyDescent="0.35">
      <c r="A15" t="s">
        <v>5890</v>
      </c>
      <c r="B15" t="s">
        <v>5891</v>
      </c>
      <c r="C15" t="s">
        <v>5839</v>
      </c>
      <c r="D15" s="6">
        <v>310036.5</v>
      </c>
      <c r="E15" s="6">
        <v>4486547.5</v>
      </c>
      <c r="F15" s="6">
        <v>0.03</v>
      </c>
      <c r="G15" s="6">
        <v>0.03</v>
      </c>
      <c r="H15" s="6" t="e">
        <v>#N/A</v>
      </c>
      <c r="I15" s="6">
        <v>-0.47633301553525387</v>
      </c>
      <c r="J15" s="6">
        <v>82983</v>
      </c>
      <c r="K15" s="6">
        <v>-100.85149480475636</v>
      </c>
      <c r="L15" t="s">
        <v>17</v>
      </c>
      <c r="M15" t="s">
        <v>27</v>
      </c>
      <c r="N15" s="4" t="s">
        <v>5892</v>
      </c>
      <c r="O15" s="4" t="s">
        <v>5893</v>
      </c>
      <c r="P15" s="4" t="s">
        <v>233</v>
      </c>
    </row>
    <row r="16" spans="1:16" x14ac:dyDescent="0.35">
      <c r="A16" t="s">
        <v>5894</v>
      </c>
      <c r="B16" t="s">
        <v>5895</v>
      </c>
      <c r="C16" t="s">
        <v>5839</v>
      </c>
      <c r="D16" s="6">
        <v>126955838.99139403</v>
      </c>
      <c r="E16" s="6">
        <v>110975349.99139403</v>
      </c>
      <c r="F16" s="6">
        <v>11.050000190734863</v>
      </c>
      <c r="G16" s="6">
        <v>11.100000381469727</v>
      </c>
      <c r="H16" s="6">
        <v>18.478261188519838</v>
      </c>
      <c r="I16" s="6">
        <v>0.2929575206577355</v>
      </c>
      <c r="J16" s="6">
        <v>34507899</v>
      </c>
      <c r="K16" s="6">
        <v>17.17309767449041</v>
      </c>
      <c r="L16" t="s">
        <v>17</v>
      </c>
      <c r="M16" t="s">
        <v>87</v>
      </c>
      <c r="N16" s="4" t="s">
        <v>5896</v>
      </c>
      <c r="O16" s="4" t="s">
        <v>5897</v>
      </c>
      <c r="P16" s="4" t="s">
        <v>233</v>
      </c>
    </row>
    <row r="17" spans="1:16" x14ac:dyDescent="0.35">
      <c r="A17" t="s">
        <v>5898</v>
      </c>
      <c r="B17" t="s">
        <v>5899</v>
      </c>
      <c r="C17" t="s">
        <v>5839</v>
      </c>
      <c r="D17" s="6">
        <v>8244687.2699999996</v>
      </c>
      <c r="E17" s="6">
        <v>4278687.2699999996</v>
      </c>
      <c r="F17" s="6">
        <v>0.79</v>
      </c>
      <c r="G17" s="6">
        <v>0.79</v>
      </c>
      <c r="H17" s="6" t="e">
        <v>#N/A</v>
      </c>
      <c r="I17" s="6">
        <v>-0.42248963265575079</v>
      </c>
      <c r="J17" s="6">
        <v>21083000</v>
      </c>
      <c r="K17" s="6" t="e">
        <v>#N/A</v>
      </c>
      <c r="L17" t="s">
        <v>17</v>
      </c>
      <c r="M17" t="s">
        <v>18</v>
      </c>
      <c r="N17" s="4" t="s">
        <v>5900</v>
      </c>
      <c r="O17" s="4" t="s">
        <v>5901</v>
      </c>
      <c r="P17" s="4" t="s">
        <v>233</v>
      </c>
    </row>
    <row r="18" spans="1:16" x14ac:dyDescent="0.35">
      <c r="A18" t="s">
        <v>5902</v>
      </c>
      <c r="B18" t="s">
        <v>5903</v>
      </c>
      <c r="C18" t="s">
        <v>5839</v>
      </c>
      <c r="D18" s="6" t="e">
        <v>#N/A</v>
      </c>
      <c r="E18" s="6" t="e">
        <v>#N/A</v>
      </c>
      <c r="F18" s="6" t="e">
        <v>#N/A</v>
      </c>
      <c r="G18" s="6" t="e">
        <v>#N/A</v>
      </c>
      <c r="H18" s="6" t="e">
        <v>#N/A</v>
      </c>
      <c r="I18" s="6">
        <v>-0.49905218039388199</v>
      </c>
      <c r="J18" s="6">
        <v>1779241</v>
      </c>
      <c r="K18" s="6">
        <v>17.118174061433454</v>
      </c>
      <c r="L18" t="s">
        <v>17</v>
      </c>
      <c r="M18" t="s">
        <v>87</v>
      </c>
      <c r="N18" s="4" t="s">
        <v>5904</v>
      </c>
      <c r="O18" s="4" t="s">
        <v>5905</v>
      </c>
      <c r="P18" s="4" t="s">
        <v>233</v>
      </c>
    </row>
    <row r="19" spans="1:16" x14ac:dyDescent="0.35">
      <c r="A19" t="s">
        <v>5906</v>
      </c>
      <c r="B19" t="s">
        <v>5907</v>
      </c>
      <c r="C19" t="s">
        <v>5839</v>
      </c>
      <c r="D19" s="6" t="e">
        <v>#N/A</v>
      </c>
      <c r="E19" s="6" t="e">
        <v>#N/A</v>
      </c>
      <c r="F19" s="6" t="e">
        <v>#N/A</v>
      </c>
      <c r="G19" s="6" t="e">
        <v>#N/A</v>
      </c>
      <c r="H19" s="6" t="e">
        <v>#N/A</v>
      </c>
      <c r="I19" s="6">
        <v>0</v>
      </c>
      <c r="J19" s="6" t="e">
        <v>#N/A</v>
      </c>
      <c r="K19" s="6" t="e">
        <v>#N/A</v>
      </c>
      <c r="L19" t="s">
        <v>17</v>
      </c>
      <c r="M19" t="s">
        <v>32</v>
      </c>
      <c r="N19" s="4" t="s">
        <v>5908</v>
      </c>
      <c r="O19" s="4" t="s">
        <v>5909</v>
      </c>
      <c r="P19" s="4" t="s">
        <v>233</v>
      </c>
    </row>
    <row r="20" spans="1:16" x14ac:dyDescent="0.35">
      <c r="A20" t="s">
        <v>5910</v>
      </c>
      <c r="B20" t="s">
        <v>5911</v>
      </c>
      <c r="C20" t="s">
        <v>5839</v>
      </c>
      <c r="D20" s="6">
        <v>6454215.7757370314</v>
      </c>
      <c r="E20" s="6">
        <v>8928874.7757370323</v>
      </c>
      <c r="F20" s="6">
        <v>3.9999999105930328E-2</v>
      </c>
      <c r="G20" s="6">
        <v>3.9999999105930328E-2</v>
      </c>
      <c r="H20" s="6" t="e">
        <v>#N/A</v>
      </c>
      <c r="I20" s="6">
        <v>0.99621585037659544</v>
      </c>
      <c r="J20" s="6" t="e">
        <v>#N/A</v>
      </c>
      <c r="K20" s="6" t="e">
        <v>#N/A</v>
      </c>
      <c r="L20" t="s">
        <v>17</v>
      </c>
      <c r="M20" t="s">
        <v>87</v>
      </c>
      <c r="N20" s="4" t="s">
        <v>5912</v>
      </c>
      <c r="O20" s="4" t="s">
        <v>5913</v>
      </c>
      <c r="P20" s="4" t="s">
        <v>233</v>
      </c>
    </row>
    <row r="21" spans="1:16" x14ac:dyDescent="0.35">
      <c r="A21" t="s">
        <v>5914</v>
      </c>
      <c r="B21" t="s">
        <v>5915</v>
      </c>
      <c r="C21" t="s">
        <v>5839</v>
      </c>
      <c r="D21" s="6">
        <v>3621163.6289595421</v>
      </c>
      <c r="E21" s="6">
        <v>3817163.6289595421</v>
      </c>
      <c r="F21" s="6">
        <v>2.500000037252903E-2</v>
      </c>
      <c r="G21" s="6">
        <v>2.500000037252903E-2</v>
      </c>
      <c r="H21" s="6" t="e">
        <v>#N/A</v>
      </c>
      <c r="I21" s="6">
        <v>-0.80682409474129924</v>
      </c>
      <c r="J21" s="6">
        <v>3417000</v>
      </c>
      <c r="K21" s="6">
        <v>53.600737091144744</v>
      </c>
      <c r="L21" t="s">
        <v>17</v>
      </c>
      <c r="M21" t="s">
        <v>18</v>
      </c>
      <c r="N21" s="4" t="s">
        <v>5916</v>
      </c>
      <c r="O21" s="4" t="s">
        <v>5917</v>
      </c>
      <c r="P21" s="4" t="s">
        <v>233</v>
      </c>
    </row>
    <row r="22" spans="1:16" x14ac:dyDescent="0.35">
      <c r="A22" t="s">
        <v>5918</v>
      </c>
      <c r="B22" t="s">
        <v>5919</v>
      </c>
      <c r="C22" t="s">
        <v>5839</v>
      </c>
      <c r="D22" s="6">
        <v>50497477.226589382</v>
      </c>
      <c r="E22" s="6">
        <v>37693840.744589381</v>
      </c>
      <c r="F22" s="6">
        <v>0.54000002145767212</v>
      </c>
      <c r="G22" s="6">
        <v>0.54000002145767212</v>
      </c>
      <c r="H22" s="6" t="e">
        <v>#N/A</v>
      </c>
      <c r="I22" s="6">
        <v>-0.39916197247051999</v>
      </c>
      <c r="J22" s="6">
        <v>792276.14822000009</v>
      </c>
      <c r="K22" s="6">
        <v>-41.944346153846176</v>
      </c>
      <c r="L22" t="s">
        <v>17</v>
      </c>
      <c r="M22" t="s">
        <v>27</v>
      </c>
      <c r="N22" s="4" t="s">
        <v>5920</v>
      </c>
      <c r="O22" s="4" t="s">
        <v>5921</v>
      </c>
      <c r="P22" s="4" t="s">
        <v>233</v>
      </c>
    </row>
    <row r="23" spans="1:16" x14ac:dyDescent="0.35">
      <c r="A23" t="s">
        <v>5922</v>
      </c>
      <c r="B23" t="s">
        <v>5923</v>
      </c>
      <c r="C23" t="s">
        <v>5839</v>
      </c>
      <c r="D23" s="6">
        <v>129339495.41585542</v>
      </c>
      <c r="E23" s="6" t="e">
        <v>#N/A</v>
      </c>
      <c r="F23" s="6">
        <v>0.77999997138977051</v>
      </c>
      <c r="G23" s="6">
        <v>0.76999998092651367</v>
      </c>
      <c r="H23" s="6" t="e">
        <v>#N/A</v>
      </c>
      <c r="I23" s="6">
        <v>0.47014508418102241</v>
      </c>
      <c r="J23" s="6" t="e">
        <v>#N/A</v>
      </c>
      <c r="K23" s="6" t="e">
        <v>#N/A</v>
      </c>
      <c r="L23" t="s">
        <v>17</v>
      </c>
      <c r="M23" t="s">
        <v>18</v>
      </c>
      <c r="N23" s="4" t="s">
        <v>5924</v>
      </c>
      <c r="O23" s="4" t="s">
        <v>5925</v>
      </c>
      <c r="P23" s="4" t="s">
        <v>233</v>
      </c>
    </row>
    <row r="24" spans="1:16" x14ac:dyDescent="0.35">
      <c r="A24" t="s">
        <v>5926</v>
      </c>
      <c r="B24" t="s">
        <v>5927</v>
      </c>
      <c r="C24" t="s">
        <v>5839</v>
      </c>
      <c r="D24" s="6">
        <v>154298053.16347241</v>
      </c>
      <c r="E24" s="6">
        <v>179191934.23048127</v>
      </c>
      <c r="F24" s="6">
        <v>0.67000001668930054</v>
      </c>
      <c r="G24" s="6">
        <v>0.70999997854232788</v>
      </c>
      <c r="H24" s="6" t="e">
        <v>#N/A</v>
      </c>
      <c r="I24" s="6">
        <v>0.21752514114583188</v>
      </c>
      <c r="J24" s="6">
        <v>98533944</v>
      </c>
      <c r="K24" s="6">
        <v>62.737667596081117</v>
      </c>
      <c r="L24" t="s">
        <v>17</v>
      </c>
      <c r="M24" t="s">
        <v>87</v>
      </c>
      <c r="N24" s="4" t="s">
        <v>5928</v>
      </c>
      <c r="O24" s="4" t="s">
        <v>5929</v>
      </c>
      <c r="P24" s="4" t="s">
        <v>233</v>
      </c>
    </row>
    <row r="25" spans="1:16" x14ac:dyDescent="0.35">
      <c r="A25" t="s">
        <v>5930</v>
      </c>
      <c r="B25" t="s">
        <v>5931</v>
      </c>
      <c r="C25" t="s">
        <v>5839</v>
      </c>
      <c r="D25" s="6">
        <v>345156.76</v>
      </c>
      <c r="E25" s="6">
        <v>241080.4655721189</v>
      </c>
      <c r="F25" s="6">
        <v>0.02</v>
      </c>
      <c r="G25" s="6">
        <v>0.02</v>
      </c>
      <c r="H25" s="6" t="e">
        <v>#N/A</v>
      </c>
      <c r="I25" s="6">
        <v>0.33228572298496295</v>
      </c>
      <c r="J25" s="6">
        <v>0</v>
      </c>
      <c r="K25" s="6">
        <v>-6.557377049180328</v>
      </c>
      <c r="L25" t="s">
        <v>17</v>
      </c>
      <c r="M25" t="s">
        <v>18</v>
      </c>
      <c r="N25" s="4" t="s">
        <v>5932</v>
      </c>
      <c r="O25" s="4" t="s">
        <v>5933</v>
      </c>
      <c r="P25" s="4" t="s">
        <v>233</v>
      </c>
    </row>
    <row r="26" spans="1:16" x14ac:dyDescent="0.35">
      <c r="A26" t="s">
        <v>5934</v>
      </c>
      <c r="B26" t="s">
        <v>5935</v>
      </c>
      <c r="C26" t="s">
        <v>5839</v>
      </c>
      <c r="D26" s="6">
        <v>4847811.9716429552</v>
      </c>
      <c r="E26" s="6">
        <v>3907659.9716429552</v>
      </c>
      <c r="F26" s="6">
        <v>1.4999999664723873E-2</v>
      </c>
      <c r="G26" s="6">
        <v>1.9999999552965164E-2</v>
      </c>
      <c r="H26" s="6" t="e">
        <v>#N/A</v>
      </c>
      <c r="I26" s="6">
        <v>-0.39916200967352677</v>
      </c>
      <c r="J26" s="6">
        <v>1842579</v>
      </c>
      <c r="K26" s="6">
        <v>50</v>
      </c>
      <c r="L26" t="s">
        <v>17</v>
      </c>
      <c r="M26" t="s">
        <v>27</v>
      </c>
      <c r="N26" s="4" t="s">
        <v>5936</v>
      </c>
      <c r="O26" s="4" t="s">
        <v>5937</v>
      </c>
      <c r="P26" s="4" t="s">
        <v>233</v>
      </c>
    </row>
    <row r="27" spans="1:16" x14ac:dyDescent="0.35">
      <c r="A27" t="s">
        <v>5938</v>
      </c>
      <c r="B27" t="s">
        <v>5939</v>
      </c>
      <c r="C27" t="s">
        <v>5839</v>
      </c>
      <c r="D27" s="6">
        <v>3091005.6000000006</v>
      </c>
      <c r="E27" s="6">
        <v>-9496665.3999999985</v>
      </c>
      <c r="F27" s="6">
        <v>0.89</v>
      </c>
      <c r="G27" s="6">
        <v>0.89</v>
      </c>
      <c r="H27" s="6">
        <v>0.67330948254315315</v>
      </c>
      <c r="I27" s="6">
        <v>-0.15199376382260765</v>
      </c>
      <c r="J27" s="6">
        <v>18794224</v>
      </c>
      <c r="K27" s="6" t="e">
        <v>#N/A</v>
      </c>
      <c r="L27" t="s">
        <v>17</v>
      </c>
      <c r="M27" t="s">
        <v>87</v>
      </c>
      <c r="N27" s="4" t="s">
        <v>5940</v>
      </c>
      <c r="O27" s="4" t="s">
        <v>5941</v>
      </c>
      <c r="P27" s="4" t="s">
        <v>233</v>
      </c>
    </row>
    <row r="28" spans="1:16" x14ac:dyDescent="0.35">
      <c r="A28" t="s">
        <v>5942</v>
      </c>
      <c r="B28" t="s">
        <v>5943</v>
      </c>
      <c r="C28" t="s">
        <v>5839</v>
      </c>
      <c r="D28" s="6">
        <v>18278579.859999999</v>
      </c>
      <c r="E28" s="6">
        <v>246450980.15999997</v>
      </c>
      <c r="F28" s="6">
        <v>0.02</v>
      </c>
      <c r="G28" s="6">
        <v>1.4999999999999999E-2</v>
      </c>
      <c r="H28" s="6" t="e">
        <v>#N/A</v>
      </c>
      <c r="I28" s="6">
        <v>-0.85107689433908051</v>
      </c>
      <c r="J28" s="6">
        <v>99756139.298846155</v>
      </c>
      <c r="K28" s="6">
        <v>72.439194336438135</v>
      </c>
      <c r="L28" t="s">
        <v>17</v>
      </c>
      <c r="M28" t="s">
        <v>87</v>
      </c>
      <c r="N28" s="4" t="s">
        <v>5944</v>
      </c>
      <c r="O28" s="4" t="s">
        <v>5945</v>
      </c>
      <c r="P28" s="4" t="s">
        <v>233</v>
      </c>
    </row>
    <row r="29" spans="1:16" x14ac:dyDescent="0.35">
      <c r="A29" t="s">
        <v>5946</v>
      </c>
      <c r="B29" t="s">
        <v>5947</v>
      </c>
      <c r="C29" t="s">
        <v>5839</v>
      </c>
      <c r="D29" s="6">
        <v>758485.42322923231</v>
      </c>
      <c r="E29" s="6">
        <v>785695.2747292323</v>
      </c>
      <c r="F29" s="6">
        <v>0.14000000059604645</v>
      </c>
      <c r="G29" s="6">
        <v>0.10999999940395355</v>
      </c>
      <c r="H29" s="6" t="e">
        <v>#N/A</v>
      </c>
      <c r="I29" s="6">
        <v>12.89941558084392</v>
      </c>
      <c r="J29" s="6">
        <v>0</v>
      </c>
      <c r="K29" s="6">
        <v>46.667525715161815</v>
      </c>
      <c r="L29" t="s">
        <v>17</v>
      </c>
      <c r="M29" t="s">
        <v>87</v>
      </c>
      <c r="N29" s="4" t="s">
        <v>5948</v>
      </c>
      <c r="O29" s="4" t="s">
        <v>5949</v>
      </c>
      <c r="P29" s="4" t="s">
        <v>233</v>
      </c>
    </row>
    <row r="30" spans="1:16" x14ac:dyDescent="0.35">
      <c r="A30" t="s">
        <v>12964</v>
      </c>
      <c r="B30" t="s">
        <v>12959</v>
      </c>
      <c r="C30" t="s">
        <v>5839</v>
      </c>
      <c r="D30" s="6">
        <v>32302563.624003403</v>
      </c>
      <c r="E30" s="6">
        <v>29320218.024003401</v>
      </c>
      <c r="F30" s="6">
        <v>0.73000001907348633</v>
      </c>
      <c r="G30" s="6">
        <v>0.70999997854232788</v>
      </c>
      <c r="H30" s="6" t="e">
        <v>#N/A</v>
      </c>
      <c r="I30" s="6">
        <v>-0.65546623094045753</v>
      </c>
      <c r="J30" s="6">
        <v>680689.99999999988</v>
      </c>
      <c r="K30" s="6">
        <v>-241.71272668605326</v>
      </c>
      <c r="L30" t="s">
        <v>17</v>
      </c>
      <c r="M30" t="s">
        <v>27</v>
      </c>
      <c r="N30" s="4" t="s">
        <v>12965</v>
      </c>
      <c r="O30" s="4" t="s">
        <v>12966</v>
      </c>
      <c r="P30" s="4" t="s">
        <v>233</v>
      </c>
    </row>
    <row r="31" spans="1:16" x14ac:dyDescent="0.35">
      <c r="A31" t="s">
        <v>13331</v>
      </c>
      <c r="B31" t="s">
        <v>13030</v>
      </c>
      <c r="C31" t="s">
        <v>5839</v>
      </c>
      <c r="D31" s="6">
        <v>1483186.6221012026</v>
      </c>
      <c r="E31" s="6">
        <v>1292593.6221012026</v>
      </c>
      <c r="F31" s="6">
        <v>0.10000000149011612</v>
      </c>
      <c r="G31" s="6">
        <v>0.10499999672174454</v>
      </c>
      <c r="H31" s="6" t="e">
        <v>#N/A</v>
      </c>
      <c r="I31" s="6">
        <v>-0.49905217294957305</v>
      </c>
      <c r="J31" s="6">
        <v>0</v>
      </c>
      <c r="K31" s="6" t="e">
        <v>#N/A</v>
      </c>
      <c r="L31" t="s">
        <v>17</v>
      </c>
      <c r="M31" t="s">
        <v>18</v>
      </c>
      <c r="N31" s="4" t="s">
        <v>13431</v>
      </c>
      <c r="O31" s="4" t="s">
        <v>13432</v>
      </c>
      <c r="P31" s="4" t="s">
        <v>233</v>
      </c>
    </row>
    <row r="32" spans="1:16" x14ac:dyDescent="0.35">
      <c r="A32" t="s">
        <v>5950</v>
      </c>
      <c r="B32" t="s">
        <v>5951</v>
      </c>
      <c r="C32" t="s">
        <v>5839</v>
      </c>
      <c r="D32" s="6">
        <v>5315745.2400196195</v>
      </c>
      <c r="E32" s="6">
        <v>6617156.2400196195</v>
      </c>
      <c r="F32" s="6">
        <v>6.4999997615814209E-2</v>
      </c>
      <c r="G32" s="6">
        <v>7.0000000298023224E-2</v>
      </c>
      <c r="H32" s="6" t="e">
        <v>#N/A</v>
      </c>
      <c r="I32" s="6">
        <v>0.29906839148324171</v>
      </c>
      <c r="J32" s="6">
        <v>9756169</v>
      </c>
      <c r="K32" s="6">
        <v>50.856773359198186</v>
      </c>
      <c r="L32" t="s">
        <v>17</v>
      </c>
      <c r="M32" t="s">
        <v>87</v>
      </c>
      <c r="N32" s="4" t="s">
        <v>5952</v>
      </c>
      <c r="O32" s="4" t="s">
        <v>5953</v>
      </c>
      <c r="P32" s="4" t="s">
        <v>233</v>
      </c>
    </row>
    <row r="33" spans="1:16" x14ac:dyDescent="0.35">
      <c r="A33" t="s">
        <v>5954</v>
      </c>
      <c r="B33" t="s">
        <v>5955</v>
      </c>
      <c r="C33" t="s">
        <v>5839</v>
      </c>
      <c r="D33" s="6">
        <v>52648901.05528038</v>
      </c>
      <c r="E33" s="6">
        <v>81290569.055280387</v>
      </c>
      <c r="F33" s="6">
        <v>0.44999998807907104</v>
      </c>
      <c r="G33" s="6">
        <v>0.44499999284744263</v>
      </c>
      <c r="H33" s="6">
        <v>12.124477652676036</v>
      </c>
      <c r="I33" s="6">
        <v>0.15339507396753649</v>
      </c>
      <c r="J33" s="6">
        <v>75114648</v>
      </c>
      <c r="K33" s="6" t="e">
        <v>#N/A</v>
      </c>
      <c r="L33" t="s">
        <v>17</v>
      </c>
      <c r="M33" t="s">
        <v>87</v>
      </c>
      <c r="N33" s="4" t="s">
        <v>5956</v>
      </c>
      <c r="O33" s="4" t="s">
        <v>5957</v>
      </c>
      <c r="P33" s="4" t="s">
        <v>233</v>
      </c>
    </row>
    <row r="34" spans="1:16" x14ac:dyDescent="0.35">
      <c r="A34" t="s">
        <v>5958</v>
      </c>
      <c r="B34" t="s">
        <v>5959</v>
      </c>
      <c r="C34" t="s">
        <v>5839</v>
      </c>
      <c r="D34" s="6">
        <v>14502902.291414512</v>
      </c>
      <c r="E34" s="6">
        <v>16240864.291414512</v>
      </c>
      <c r="F34" s="6">
        <v>0.10999999940395355</v>
      </c>
      <c r="G34" s="6">
        <v>0.10999999940395355</v>
      </c>
      <c r="H34" s="6" t="e">
        <v>#N/A</v>
      </c>
      <c r="I34" s="6">
        <v>0.37380413618222086</v>
      </c>
      <c r="J34" s="6">
        <v>2012809</v>
      </c>
      <c r="K34" s="6">
        <v>0</v>
      </c>
      <c r="L34" t="s">
        <v>17</v>
      </c>
      <c r="M34" t="s">
        <v>18</v>
      </c>
      <c r="N34" s="4" t="s">
        <v>5960</v>
      </c>
      <c r="O34" s="4" t="s">
        <v>5961</v>
      </c>
      <c r="P34" s="4" t="s">
        <v>233</v>
      </c>
    </row>
    <row r="35" spans="1:16" x14ac:dyDescent="0.35">
      <c r="A35" t="s">
        <v>5962</v>
      </c>
      <c r="B35" t="s">
        <v>5963</v>
      </c>
      <c r="C35" t="s">
        <v>5839</v>
      </c>
      <c r="D35" s="6">
        <v>32086837.827139731</v>
      </c>
      <c r="E35" s="6">
        <v>32847463.827139731</v>
      </c>
      <c r="F35" s="6">
        <v>0.31499999761581421</v>
      </c>
      <c r="G35" s="6">
        <v>0.32499998807907104</v>
      </c>
      <c r="H35" s="6" t="e">
        <v>#N/A</v>
      </c>
      <c r="I35" s="6">
        <v>-7.5481635386509538E-9</v>
      </c>
      <c r="J35" s="6" t="e">
        <v>#N/A</v>
      </c>
      <c r="K35" s="6" t="e">
        <v>#N/A</v>
      </c>
      <c r="L35" t="s">
        <v>17</v>
      </c>
      <c r="M35" t="s">
        <v>32</v>
      </c>
      <c r="N35" s="4" t="s">
        <v>5964</v>
      </c>
      <c r="O35" s="4" t="s">
        <v>5965</v>
      </c>
      <c r="P35" s="4" t="s">
        <v>233</v>
      </c>
    </row>
    <row r="36" spans="1:16" x14ac:dyDescent="0.35">
      <c r="A36" t="s">
        <v>5966</v>
      </c>
      <c r="B36" t="s">
        <v>5967</v>
      </c>
      <c r="C36" t="s">
        <v>5839</v>
      </c>
      <c r="D36" s="6">
        <v>177105137.78330564</v>
      </c>
      <c r="E36" s="6">
        <v>209453732.00145304</v>
      </c>
      <c r="F36" s="6">
        <v>4.1100001335144043</v>
      </c>
      <c r="G36" s="6">
        <v>4.1700000762939453</v>
      </c>
      <c r="H36" s="6" t="e">
        <v>#N/A</v>
      </c>
      <c r="I36" s="6">
        <v>-0.37457625067906264</v>
      </c>
      <c r="J36" s="6">
        <v>241933000</v>
      </c>
      <c r="K36" s="6">
        <v>-83.8138638156165</v>
      </c>
      <c r="L36" t="s">
        <v>17</v>
      </c>
      <c r="M36" t="s">
        <v>40</v>
      </c>
      <c r="N36" s="4" t="s">
        <v>5968</v>
      </c>
      <c r="O36" s="4" t="s">
        <v>5969</v>
      </c>
      <c r="P36" s="4" t="s">
        <v>233</v>
      </c>
    </row>
    <row r="37" spans="1:16" x14ac:dyDescent="0.35">
      <c r="A37" t="s">
        <v>5970</v>
      </c>
      <c r="B37" t="s">
        <v>5971</v>
      </c>
      <c r="C37" t="s">
        <v>5839</v>
      </c>
      <c r="D37" s="6">
        <v>14076849.909761406</v>
      </c>
      <c r="E37" s="6">
        <v>18002179.211614192</v>
      </c>
      <c r="F37" s="6">
        <v>5.000000074505806E-2</v>
      </c>
      <c r="G37" s="6">
        <v>5.000000074505806E-2</v>
      </c>
      <c r="H37" s="6" t="e">
        <v>#N/A</v>
      </c>
      <c r="I37" s="6">
        <v>-0.16625142892218536</v>
      </c>
      <c r="J37" s="6">
        <v>0</v>
      </c>
      <c r="K37" s="6">
        <v>-8.3684210526315788</v>
      </c>
      <c r="L37" t="s">
        <v>17</v>
      </c>
      <c r="M37" t="s">
        <v>18</v>
      </c>
      <c r="N37" s="4" t="s">
        <v>5972</v>
      </c>
      <c r="O37" s="4" t="s">
        <v>5973</v>
      </c>
      <c r="P37" s="4" t="s">
        <v>233</v>
      </c>
    </row>
    <row r="38" spans="1:16" x14ac:dyDescent="0.35">
      <c r="A38" t="s">
        <v>5974</v>
      </c>
      <c r="B38" t="s">
        <v>5975</v>
      </c>
      <c r="C38" t="s">
        <v>5839</v>
      </c>
      <c r="D38" s="6">
        <v>497009770.29916</v>
      </c>
      <c r="E38" s="6">
        <v>538512770.29916</v>
      </c>
      <c r="F38" s="6">
        <v>9.0600004196166992</v>
      </c>
      <c r="G38" s="6">
        <v>8.880000114440918</v>
      </c>
      <c r="H38" s="6">
        <v>11.370396833880141</v>
      </c>
      <c r="I38" s="6">
        <v>0.70693168305811849</v>
      </c>
      <c r="J38" s="6">
        <v>320089000</v>
      </c>
      <c r="K38" s="6" t="e">
        <v>#N/A</v>
      </c>
      <c r="L38" t="s">
        <v>17</v>
      </c>
      <c r="M38" t="s">
        <v>87</v>
      </c>
      <c r="N38" s="4" t="s">
        <v>5976</v>
      </c>
      <c r="O38" s="4" t="s">
        <v>5977</v>
      </c>
      <c r="P38" s="4" t="s">
        <v>233</v>
      </c>
    </row>
    <row r="39" spans="1:16" x14ac:dyDescent="0.35">
      <c r="A39" t="s">
        <v>5978</v>
      </c>
      <c r="B39" t="s">
        <v>5979</v>
      </c>
      <c r="C39" t="s">
        <v>5839</v>
      </c>
      <c r="D39" s="6">
        <v>313335.12333330209</v>
      </c>
      <c r="E39" s="6">
        <v>334092.12333330209</v>
      </c>
      <c r="F39" s="6">
        <v>0.03</v>
      </c>
      <c r="G39" s="6">
        <v>0.03</v>
      </c>
      <c r="H39" s="6" t="e">
        <v>#N/A</v>
      </c>
      <c r="I39" s="6">
        <v>-0.83975031482678608</v>
      </c>
      <c r="J39" s="6" t="e">
        <v>#N/A</v>
      </c>
      <c r="K39" s="6" t="e">
        <v>#N/A</v>
      </c>
      <c r="L39" t="s">
        <v>17</v>
      </c>
      <c r="M39" t="s">
        <v>18</v>
      </c>
      <c r="N39" s="4" t="s">
        <v>13003</v>
      </c>
      <c r="O39" s="4" t="s">
        <v>13004</v>
      </c>
      <c r="P39" s="4" t="s">
        <v>233</v>
      </c>
    </row>
    <row r="40" spans="1:16" x14ac:dyDescent="0.35">
      <c r="A40" t="s">
        <v>5980</v>
      </c>
      <c r="B40" t="s">
        <v>5981</v>
      </c>
      <c r="C40" t="s">
        <v>5839</v>
      </c>
      <c r="D40" s="6">
        <v>1140823.95</v>
      </c>
      <c r="E40" s="6">
        <v>1136836.6835999999</v>
      </c>
      <c r="F40" s="6">
        <v>0.15</v>
      </c>
      <c r="G40" s="6">
        <v>0.15</v>
      </c>
      <c r="H40" s="6" t="e">
        <v>#N/A</v>
      </c>
      <c r="I40" s="6">
        <v>-0.8742877869009178</v>
      </c>
      <c r="J40" s="6">
        <v>0</v>
      </c>
      <c r="K40" s="6">
        <v>34.270334792074692</v>
      </c>
      <c r="L40" t="s">
        <v>17</v>
      </c>
      <c r="M40" t="s">
        <v>32</v>
      </c>
      <c r="N40" s="4" t="s">
        <v>13477</v>
      </c>
      <c r="O40" s="4" t="s">
        <v>13478</v>
      </c>
      <c r="P40" s="4" t="s">
        <v>233</v>
      </c>
    </row>
    <row r="41" spans="1:16" x14ac:dyDescent="0.35">
      <c r="A41" t="s">
        <v>5982</v>
      </c>
      <c r="B41" t="s">
        <v>5983</v>
      </c>
      <c r="C41" t="s">
        <v>5839</v>
      </c>
      <c r="D41" s="6" t="e">
        <v>#N/A</v>
      </c>
      <c r="E41" s="6" t="e">
        <v>#N/A</v>
      </c>
      <c r="F41" s="6" t="e">
        <v>#N/A</v>
      </c>
      <c r="G41" s="6" t="e">
        <v>#N/A</v>
      </c>
      <c r="H41" s="6" t="e">
        <v>#N/A</v>
      </c>
      <c r="I41" s="6">
        <v>-0.36877004887456699</v>
      </c>
      <c r="J41" s="6">
        <v>267986</v>
      </c>
      <c r="K41" s="6">
        <v>90.384615384615387</v>
      </c>
      <c r="L41" t="s">
        <v>17</v>
      </c>
      <c r="M41" t="s">
        <v>87</v>
      </c>
      <c r="N41" s="4" t="s">
        <v>5984</v>
      </c>
      <c r="O41" s="4" t="s">
        <v>5985</v>
      </c>
      <c r="P41" s="4" t="s">
        <v>233</v>
      </c>
    </row>
    <row r="42" spans="1:16" x14ac:dyDescent="0.35">
      <c r="A42" t="s">
        <v>5986</v>
      </c>
      <c r="B42" t="s">
        <v>5987</v>
      </c>
      <c r="C42" t="s">
        <v>5839</v>
      </c>
      <c r="D42" s="6" t="e">
        <v>#N/A</v>
      </c>
      <c r="E42" s="6" t="e">
        <v>#N/A</v>
      </c>
      <c r="F42" s="6" t="e">
        <v>#N/A</v>
      </c>
      <c r="G42" s="6" t="e">
        <v>#N/A</v>
      </c>
      <c r="H42" s="6" t="e">
        <v>#N/A</v>
      </c>
      <c r="I42" s="6">
        <v>0</v>
      </c>
      <c r="J42" s="6">
        <v>0</v>
      </c>
      <c r="K42" s="6" t="e">
        <v>#N/A</v>
      </c>
      <c r="L42" t="s">
        <v>17</v>
      </c>
      <c r="M42" t="s">
        <v>27</v>
      </c>
      <c r="N42" s="4" t="s">
        <v>5988</v>
      </c>
      <c r="O42" s="4" t="s">
        <v>5989</v>
      </c>
      <c r="P42" s="4" t="s">
        <v>233</v>
      </c>
    </row>
    <row r="43" spans="1:16" x14ac:dyDescent="0.35">
      <c r="A43" t="s">
        <v>5990</v>
      </c>
      <c r="B43" t="s">
        <v>5991</v>
      </c>
      <c r="C43" t="s">
        <v>5839</v>
      </c>
      <c r="D43" s="6">
        <v>376627416.86172098</v>
      </c>
      <c r="E43" s="6">
        <v>639854416.86172092</v>
      </c>
      <c r="F43" s="6">
        <v>2.559999942779541</v>
      </c>
      <c r="G43" s="6">
        <v>2.5999999046325684</v>
      </c>
      <c r="H43" s="6" t="e">
        <v>#N/A</v>
      </c>
      <c r="I43" s="6">
        <v>-0.49709306832242539</v>
      </c>
      <c r="J43" s="6">
        <v>276752000</v>
      </c>
      <c r="K43" s="6">
        <v>71.076588683351474</v>
      </c>
      <c r="L43" t="s">
        <v>17</v>
      </c>
      <c r="M43" t="s">
        <v>87</v>
      </c>
      <c r="N43" s="4" t="s">
        <v>5992</v>
      </c>
      <c r="O43" s="4" t="s">
        <v>5993</v>
      </c>
      <c r="P43" s="4" t="s">
        <v>233</v>
      </c>
    </row>
    <row r="44" spans="1:16" x14ac:dyDescent="0.35">
      <c r="A44" t="s">
        <v>5994</v>
      </c>
      <c r="B44" t="s">
        <v>5995</v>
      </c>
      <c r="C44" t="s">
        <v>5839</v>
      </c>
      <c r="D44" s="6">
        <v>17136803.79642576</v>
      </c>
      <c r="E44" s="6">
        <v>20422209.79642576</v>
      </c>
      <c r="F44" s="6">
        <v>6.4999997615814209E-2</v>
      </c>
      <c r="G44" s="6">
        <v>6.4999997615814209E-2</v>
      </c>
      <c r="H44" s="6" t="e">
        <v>#N/A</v>
      </c>
      <c r="I44" s="6">
        <v>-0.27713536759322066</v>
      </c>
      <c r="J44" s="6">
        <v>-16363</v>
      </c>
      <c r="K44" s="6">
        <v>-65.827814569536429</v>
      </c>
      <c r="L44" t="s">
        <v>17</v>
      </c>
      <c r="M44" t="s">
        <v>18</v>
      </c>
      <c r="N44" s="4" t="s">
        <v>5996</v>
      </c>
      <c r="O44" s="4" t="s">
        <v>5997</v>
      </c>
      <c r="P44" s="4" t="s">
        <v>233</v>
      </c>
    </row>
    <row r="45" spans="1:16" x14ac:dyDescent="0.35">
      <c r="A45" t="s">
        <v>5998</v>
      </c>
      <c r="B45" t="s">
        <v>5999</v>
      </c>
      <c r="C45" t="s">
        <v>5839</v>
      </c>
      <c r="D45" s="6">
        <v>453162.125</v>
      </c>
      <c r="E45" s="6">
        <v>19666740.93027477</v>
      </c>
      <c r="F45" s="6">
        <v>2.5000000000000001E-2</v>
      </c>
      <c r="G45" s="6">
        <v>1.4999999999999999E-2</v>
      </c>
      <c r="H45" s="6" t="e">
        <v>#N/A</v>
      </c>
      <c r="I45" s="6">
        <v>-0.88025812146079541</v>
      </c>
      <c r="J45" s="6">
        <v>17162380.476923075</v>
      </c>
      <c r="K45" s="6">
        <v>63.216508853062358</v>
      </c>
      <c r="L45" t="s">
        <v>17</v>
      </c>
      <c r="M45" t="s">
        <v>87</v>
      </c>
      <c r="N45" s="4" t="s">
        <v>6000</v>
      </c>
      <c r="O45" s="4" t="s">
        <v>6001</v>
      </c>
      <c r="P45" s="4" t="s">
        <v>233</v>
      </c>
    </row>
    <row r="46" spans="1:16" x14ac:dyDescent="0.35">
      <c r="A46" t="s">
        <v>6002</v>
      </c>
      <c r="B46" t="s">
        <v>6003</v>
      </c>
      <c r="C46" t="s">
        <v>5839</v>
      </c>
      <c r="D46" s="6">
        <v>31281701.213181049</v>
      </c>
      <c r="E46" s="6">
        <v>31844509.213181049</v>
      </c>
      <c r="F46" s="6">
        <v>0.2800000011920929</v>
      </c>
      <c r="G46" s="6">
        <v>0.26499998569488525</v>
      </c>
      <c r="H46" s="6" t="e">
        <v>#N/A</v>
      </c>
      <c r="I46" s="6">
        <v>-6.6490708013680844E-2</v>
      </c>
      <c r="J46" s="6">
        <v>0</v>
      </c>
      <c r="K46" s="6">
        <v>-126.37870959990387</v>
      </c>
      <c r="L46" t="s">
        <v>17</v>
      </c>
      <c r="M46" t="s">
        <v>100</v>
      </c>
      <c r="N46" s="4" t="s">
        <v>6004</v>
      </c>
      <c r="O46" s="4" t="s">
        <v>6005</v>
      </c>
      <c r="P46" s="4" t="s">
        <v>233</v>
      </c>
    </row>
    <row r="47" spans="1:16" x14ac:dyDescent="0.35">
      <c r="A47" t="s">
        <v>6006</v>
      </c>
      <c r="B47" t="s">
        <v>6007</v>
      </c>
      <c r="C47" t="s">
        <v>5839</v>
      </c>
      <c r="D47" s="6">
        <v>29411715.002432585</v>
      </c>
      <c r="E47" s="6">
        <v>44476877.973432586</v>
      </c>
      <c r="F47" s="6">
        <v>0.24500000476837158</v>
      </c>
      <c r="G47" s="6">
        <v>0.27000001072883606</v>
      </c>
      <c r="H47" s="6" t="e">
        <v>#N/A</v>
      </c>
      <c r="I47" s="6">
        <v>-0.52787635964425528</v>
      </c>
      <c r="J47" s="6">
        <v>39183879.807989299</v>
      </c>
      <c r="K47" s="6">
        <v>-87.407342397963575</v>
      </c>
      <c r="L47" t="s">
        <v>17</v>
      </c>
      <c r="M47" t="s">
        <v>87</v>
      </c>
      <c r="N47" s="4" t="s">
        <v>6008</v>
      </c>
      <c r="O47" s="4" t="s">
        <v>6009</v>
      </c>
      <c r="P47" s="4" t="s">
        <v>233</v>
      </c>
    </row>
    <row r="48" spans="1:16" x14ac:dyDescent="0.35">
      <c r="A48" t="s">
        <v>6010</v>
      </c>
      <c r="B48" t="s">
        <v>6011</v>
      </c>
      <c r="C48" t="s">
        <v>5839</v>
      </c>
      <c r="D48" s="6" t="e">
        <v>#N/A</v>
      </c>
      <c r="E48" s="6" t="e">
        <v>#N/A</v>
      </c>
      <c r="F48" s="6" t="e">
        <v>#N/A</v>
      </c>
      <c r="G48" s="6" t="e">
        <v>#N/A</v>
      </c>
      <c r="H48" s="6" t="e">
        <v>#N/A</v>
      </c>
      <c r="I48" s="6">
        <v>-0.68321441195860499</v>
      </c>
      <c r="J48" s="6">
        <v>37487161</v>
      </c>
      <c r="K48" s="6">
        <v>72.586929604343922</v>
      </c>
      <c r="L48" t="s">
        <v>17</v>
      </c>
      <c r="M48" t="s">
        <v>87</v>
      </c>
      <c r="N48" s="4" t="s">
        <v>6012</v>
      </c>
      <c r="O48" s="4" t="s">
        <v>6013</v>
      </c>
      <c r="P48" s="4" t="s">
        <v>233</v>
      </c>
    </row>
    <row r="49" spans="1:16" x14ac:dyDescent="0.35">
      <c r="A49" t="s">
        <v>6014</v>
      </c>
      <c r="B49" t="s">
        <v>6015</v>
      </c>
      <c r="C49" t="s">
        <v>5839</v>
      </c>
      <c r="D49" s="6">
        <v>20323447.422581211</v>
      </c>
      <c r="E49" s="6">
        <v>14183682.606527884</v>
      </c>
      <c r="F49" s="6">
        <v>4.5000001788139343E-2</v>
      </c>
      <c r="G49" s="6">
        <v>3.9999999105930328E-2</v>
      </c>
      <c r="H49" s="6" t="e">
        <v>#N/A</v>
      </c>
      <c r="I49" s="6">
        <v>0.79711163712255684</v>
      </c>
      <c r="J49" s="6">
        <v>18026.589356861889</v>
      </c>
      <c r="K49" s="6">
        <v>40.951683345927101</v>
      </c>
      <c r="L49" t="s">
        <v>17</v>
      </c>
      <c r="M49" t="s">
        <v>27</v>
      </c>
      <c r="N49" s="4" t="s">
        <v>6016</v>
      </c>
      <c r="O49" s="4" t="s">
        <v>6017</v>
      </c>
      <c r="P49" s="4" t="s">
        <v>233</v>
      </c>
    </row>
    <row r="50" spans="1:16" x14ac:dyDescent="0.35">
      <c r="A50" t="s">
        <v>6018</v>
      </c>
      <c r="B50" t="s">
        <v>6019</v>
      </c>
      <c r="C50" t="s">
        <v>5839</v>
      </c>
      <c r="D50" s="6">
        <v>21785099.033065081</v>
      </c>
      <c r="E50" s="6">
        <v>28967885.033065081</v>
      </c>
      <c r="F50" s="6">
        <v>7.9999998211860657E-2</v>
      </c>
      <c r="G50" s="6">
        <v>7.9999998211860657E-2</v>
      </c>
      <c r="H50" s="6" t="e">
        <v>#N/A</v>
      </c>
      <c r="I50" s="6">
        <v>0.59794662240139207</v>
      </c>
      <c r="J50" s="6">
        <v>367561</v>
      </c>
      <c r="K50" s="6">
        <v>93.161596249134206</v>
      </c>
      <c r="L50" t="s">
        <v>17</v>
      </c>
      <c r="M50" t="s">
        <v>27</v>
      </c>
      <c r="N50" s="4" t="s">
        <v>6020</v>
      </c>
      <c r="O50" s="4" t="s">
        <v>6021</v>
      </c>
      <c r="P50" s="4" t="s">
        <v>233</v>
      </c>
    </row>
    <row r="51" spans="1:16" x14ac:dyDescent="0.35">
      <c r="A51" t="s">
        <v>6022</v>
      </c>
      <c r="B51" t="s">
        <v>6023</v>
      </c>
      <c r="C51" t="s">
        <v>5839</v>
      </c>
      <c r="D51" s="6">
        <v>895600635.73184955</v>
      </c>
      <c r="E51" s="6">
        <v>1063044635.7318496</v>
      </c>
      <c r="F51" s="6">
        <v>10.729999542236328</v>
      </c>
      <c r="G51" s="6">
        <v>10.770000457763672</v>
      </c>
      <c r="H51" s="6">
        <v>14.316611328984973</v>
      </c>
      <c r="I51" s="6">
        <v>0.63675053547497007</v>
      </c>
      <c r="J51" s="6">
        <v>1424819000</v>
      </c>
      <c r="K51" s="6">
        <v>208.322506342499</v>
      </c>
      <c r="L51" t="s">
        <v>17</v>
      </c>
      <c r="M51" t="s">
        <v>40</v>
      </c>
      <c r="N51" s="4" t="s">
        <v>6024</v>
      </c>
      <c r="O51" s="4" t="s">
        <v>6025</v>
      </c>
      <c r="P51" s="4" t="s">
        <v>233</v>
      </c>
    </row>
    <row r="52" spans="1:16" x14ac:dyDescent="0.35">
      <c r="A52" t="s">
        <v>6026</v>
      </c>
      <c r="B52" t="s">
        <v>6027</v>
      </c>
      <c r="C52" t="s">
        <v>5839</v>
      </c>
      <c r="D52" s="6">
        <v>2284067.313947116</v>
      </c>
      <c r="E52" s="6">
        <v>3752156.313947116</v>
      </c>
      <c r="F52" s="6">
        <v>4.999999888241291E-3</v>
      </c>
      <c r="G52" s="6">
        <v>9.9999997764825821E-3</v>
      </c>
      <c r="H52" s="6" t="e">
        <v>#N/A</v>
      </c>
      <c r="I52" s="6">
        <v>-2.2290671419789021E-8</v>
      </c>
      <c r="J52" s="6">
        <v>0</v>
      </c>
      <c r="K52" s="6">
        <v>-185.47112462006078</v>
      </c>
      <c r="L52" t="s">
        <v>17</v>
      </c>
      <c r="M52" t="s">
        <v>87</v>
      </c>
      <c r="N52" s="4" t="s">
        <v>6028</v>
      </c>
      <c r="O52" s="4" t="s">
        <v>6029</v>
      </c>
      <c r="P52" s="4" t="s">
        <v>233</v>
      </c>
    </row>
    <row r="53" spans="1:16" x14ac:dyDescent="0.35">
      <c r="A53" t="s">
        <v>6030</v>
      </c>
      <c r="B53" t="s">
        <v>6031</v>
      </c>
      <c r="C53" t="s">
        <v>5839</v>
      </c>
      <c r="D53" s="6">
        <v>2197253963.0850248</v>
      </c>
      <c r="E53" s="6">
        <v>1896586193.8184645</v>
      </c>
      <c r="F53" s="6">
        <v>10.380000114440918</v>
      </c>
      <c r="G53" s="6">
        <v>10.050000190734863</v>
      </c>
      <c r="H53" s="6">
        <v>19.726150357300948</v>
      </c>
      <c r="I53" s="6">
        <v>-0.39881543333930614</v>
      </c>
      <c r="J53" s="6">
        <v>1121049000</v>
      </c>
      <c r="K53" s="6" t="e">
        <v>#N/A</v>
      </c>
      <c r="L53" t="s">
        <v>17</v>
      </c>
      <c r="M53" t="s">
        <v>87</v>
      </c>
      <c r="N53" s="4" t="s">
        <v>6032</v>
      </c>
      <c r="O53" s="4" t="s">
        <v>6033</v>
      </c>
      <c r="P53" s="4" t="s">
        <v>233</v>
      </c>
    </row>
    <row r="54" spans="1:16" x14ac:dyDescent="0.35">
      <c r="A54" t="s">
        <v>6034</v>
      </c>
      <c r="B54" t="s">
        <v>6035</v>
      </c>
      <c r="C54" t="s">
        <v>5839</v>
      </c>
      <c r="D54" s="6">
        <v>16116055</v>
      </c>
      <c r="E54" s="6">
        <v>19491832</v>
      </c>
      <c r="F54" s="6">
        <v>0.05</v>
      </c>
      <c r="G54" s="6">
        <v>0.04</v>
      </c>
      <c r="H54" s="6" t="e">
        <v>#N/A</v>
      </c>
      <c r="I54" s="6">
        <v>-0.59899733478825923</v>
      </c>
      <c r="J54" s="6">
        <v>21456706</v>
      </c>
      <c r="K54" s="6">
        <v>47.559435384709538</v>
      </c>
      <c r="L54" t="s">
        <v>17</v>
      </c>
      <c r="M54" t="s">
        <v>87</v>
      </c>
      <c r="N54" s="4" t="s">
        <v>6036</v>
      </c>
      <c r="O54" s="4" t="s">
        <v>6037</v>
      </c>
      <c r="P54" s="4" t="s">
        <v>233</v>
      </c>
    </row>
    <row r="55" spans="1:16" x14ac:dyDescent="0.35">
      <c r="A55" t="s">
        <v>6038</v>
      </c>
      <c r="B55" t="s">
        <v>6039</v>
      </c>
      <c r="C55" t="s">
        <v>5839</v>
      </c>
      <c r="D55" s="6">
        <v>1930740.06</v>
      </c>
      <c r="E55" s="6">
        <v>2101218.06</v>
      </c>
      <c r="F55" s="6">
        <v>0.01</v>
      </c>
      <c r="G55" s="6">
        <v>0.01</v>
      </c>
      <c r="H55" s="6" t="e">
        <v>#N/A</v>
      </c>
      <c r="I55" s="6">
        <v>0.99621589487358819</v>
      </c>
      <c r="J55" s="6">
        <v>531242</v>
      </c>
      <c r="K55" s="6">
        <v>-48.831168831168853</v>
      </c>
      <c r="L55" t="s">
        <v>17</v>
      </c>
      <c r="M55" t="s">
        <v>32</v>
      </c>
      <c r="N55" s="4" t="s">
        <v>6040</v>
      </c>
      <c r="O55" s="4" t="s">
        <v>6041</v>
      </c>
      <c r="P55" s="4" t="s">
        <v>233</v>
      </c>
    </row>
    <row r="56" spans="1:16" x14ac:dyDescent="0.35">
      <c r="A56" t="s">
        <v>6042</v>
      </c>
      <c r="B56" t="s">
        <v>6043</v>
      </c>
      <c r="C56" t="s">
        <v>5839</v>
      </c>
      <c r="D56" s="6">
        <v>5054821.7399999993</v>
      </c>
      <c r="E56" s="6">
        <v>14800663.870699998</v>
      </c>
      <c r="F56" s="6">
        <v>0.09</v>
      </c>
      <c r="G56" s="6">
        <v>0.09</v>
      </c>
      <c r="H56" s="6" t="e">
        <v>#N/A</v>
      </c>
      <c r="I56" s="6">
        <v>-0.21686698953730654</v>
      </c>
      <c r="J56" s="6">
        <v>10780619.920478269</v>
      </c>
      <c r="K56" s="6">
        <v>87.630394861745529</v>
      </c>
      <c r="L56" t="s">
        <v>17</v>
      </c>
      <c r="M56" t="s">
        <v>40</v>
      </c>
      <c r="N56" s="4" t="s">
        <v>6044</v>
      </c>
      <c r="O56" s="4" t="s">
        <v>6045</v>
      </c>
      <c r="P56" s="4" t="s">
        <v>233</v>
      </c>
    </row>
    <row r="57" spans="1:16" x14ac:dyDescent="0.35">
      <c r="A57" t="s">
        <v>6046</v>
      </c>
      <c r="B57" t="s">
        <v>6047</v>
      </c>
      <c r="C57" t="s">
        <v>5839</v>
      </c>
      <c r="D57" s="6">
        <v>5073877.2965900023</v>
      </c>
      <c r="E57" s="6">
        <v>5887521.2965900023</v>
      </c>
      <c r="F57" s="6">
        <v>2.9999999329447746E-2</v>
      </c>
      <c r="G57" s="6">
        <v>2.9999999329447746E-2</v>
      </c>
      <c r="H57" s="6">
        <v>0.4742333121948743</v>
      </c>
      <c r="I57" s="6">
        <v>-2.2290672530012046E-8</v>
      </c>
      <c r="J57" s="6">
        <v>0</v>
      </c>
      <c r="K57" s="6" t="e">
        <v>#N/A</v>
      </c>
      <c r="L57" t="s">
        <v>17</v>
      </c>
      <c r="M57" t="s">
        <v>18</v>
      </c>
      <c r="N57" s="4" t="s">
        <v>6048</v>
      </c>
      <c r="O57" s="4" t="s">
        <v>6049</v>
      </c>
      <c r="P57" s="4" t="s">
        <v>233</v>
      </c>
    </row>
    <row r="58" spans="1:16" x14ac:dyDescent="0.35">
      <c r="A58" t="s">
        <v>6050</v>
      </c>
      <c r="B58" t="s">
        <v>13487</v>
      </c>
      <c r="C58" t="s">
        <v>5839</v>
      </c>
      <c r="D58" s="6">
        <v>68981802.906285912</v>
      </c>
      <c r="E58" s="6">
        <v>63539468.906285912</v>
      </c>
      <c r="F58" s="6">
        <v>0.20999999344348907</v>
      </c>
      <c r="G58" s="6">
        <v>0.20999999344348907</v>
      </c>
      <c r="H58" s="6" t="e">
        <v>#N/A</v>
      </c>
      <c r="I58" s="6">
        <v>-0.63692464062851273</v>
      </c>
      <c r="J58" s="6">
        <v>0</v>
      </c>
      <c r="K58" s="6">
        <v>23.076923076923077</v>
      </c>
      <c r="L58" t="s">
        <v>17</v>
      </c>
      <c r="M58" t="s">
        <v>18</v>
      </c>
      <c r="N58" s="4" t="s">
        <v>13488</v>
      </c>
      <c r="O58" s="4" t="s">
        <v>13489</v>
      </c>
      <c r="P58" s="4" t="s">
        <v>233</v>
      </c>
    </row>
    <row r="59" spans="1:16" x14ac:dyDescent="0.35">
      <c r="A59" t="s">
        <v>6051</v>
      </c>
      <c r="B59" t="s">
        <v>6052</v>
      </c>
      <c r="C59" t="s">
        <v>5839</v>
      </c>
      <c r="D59" s="6">
        <v>2452358.2849999997</v>
      </c>
      <c r="E59" s="6">
        <v>17425296.285</v>
      </c>
      <c r="F59" s="6">
        <v>5.0000000000000001E-3</v>
      </c>
      <c r="G59" s="6">
        <v>5.0000000000000001E-3</v>
      </c>
      <c r="H59" s="6" t="e">
        <v>#N/A</v>
      </c>
      <c r="I59" s="6">
        <v>-0.66566460584968867</v>
      </c>
      <c r="J59" s="6" t="e">
        <v>#N/A</v>
      </c>
      <c r="K59" s="6" t="e">
        <v>#N/A</v>
      </c>
      <c r="L59" t="s">
        <v>17</v>
      </c>
      <c r="M59" t="s">
        <v>87</v>
      </c>
      <c r="N59" s="4" t="s">
        <v>6053</v>
      </c>
      <c r="O59" s="4" t="s">
        <v>6054</v>
      </c>
      <c r="P59" s="4" t="s">
        <v>233</v>
      </c>
    </row>
    <row r="60" spans="1:16" x14ac:dyDescent="0.35">
      <c r="A60" t="s">
        <v>6055</v>
      </c>
      <c r="B60" t="s">
        <v>6056</v>
      </c>
      <c r="C60" t="s">
        <v>5839</v>
      </c>
      <c r="D60" s="6">
        <v>99672725.233699322</v>
      </c>
      <c r="E60" s="6">
        <v>126888746.93369932</v>
      </c>
      <c r="F60" s="6">
        <v>3.0999999046325684</v>
      </c>
      <c r="G60" s="6">
        <v>3.2599999904632568</v>
      </c>
      <c r="H60" s="6">
        <v>13.243671399141325</v>
      </c>
      <c r="I60" s="6">
        <v>0.71019104164258962</v>
      </c>
      <c r="J60" s="6">
        <v>156259398.81286713</v>
      </c>
      <c r="K60" s="6">
        <v>8.583700243861573</v>
      </c>
      <c r="L60" t="s">
        <v>17</v>
      </c>
      <c r="M60" t="s">
        <v>87</v>
      </c>
      <c r="N60" s="4" t="s">
        <v>6057</v>
      </c>
      <c r="O60" s="4" t="s">
        <v>6058</v>
      </c>
      <c r="P60" s="4" t="s">
        <v>233</v>
      </c>
    </row>
    <row r="61" spans="1:16" x14ac:dyDescent="0.35">
      <c r="A61" t="s">
        <v>6059</v>
      </c>
      <c r="B61" t="s">
        <v>6060</v>
      </c>
      <c r="C61" t="s">
        <v>5839</v>
      </c>
      <c r="D61" s="6">
        <v>5570931.4898133278</v>
      </c>
      <c r="E61" s="6">
        <v>4780416.4898133278</v>
      </c>
      <c r="F61" s="6">
        <v>5.4999999701976776E-2</v>
      </c>
      <c r="G61" s="6">
        <v>5.000000074505806E-2</v>
      </c>
      <c r="H61" s="6" t="e">
        <v>#N/A</v>
      </c>
      <c r="I61" s="6">
        <v>-0.59159183746734789</v>
      </c>
      <c r="J61" s="6">
        <v>4719038</v>
      </c>
      <c r="K61" s="6">
        <v>52.371382636655945</v>
      </c>
      <c r="L61" t="s">
        <v>17</v>
      </c>
      <c r="M61" t="s">
        <v>32</v>
      </c>
      <c r="N61" s="4" t="s">
        <v>6061</v>
      </c>
      <c r="O61" s="4" t="s">
        <v>6062</v>
      </c>
      <c r="P61" s="4" t="s">
        <v>233</v>
      </c>
    </row>
    <row r="62" spans="1:16" x14ac:dyDescent="0.35">
      <c r="A62" t="s">
        <v>6063</v>
      </c>
      <c r="B62" t="s">
        <v>6064</v>
      </c>
      <c r="C62" t="s">
        <v>5839</v>
      </c>
      <c r="D62" s="6">
        <v>18355261.245449364</v>
      </c>
      <c r="E62" s="6">
        <v>5629046.8592019379</v>
      </c>
      <c r="F62" s="6">
        <v>0.30500000715255737</v>
      </c>
      <c r="G62" s="6">
        <v>0.29499998688697815</v>
      </c>
      <c r="H62" s="6" t="e">
        <v>#N/A</v>
      </c>
      <c r="I62" s="6">
        <v>-0.88719527034770584</v>
      </c>
      <c r="J62" s="6">
        <v>0</v>
      </c>
      <c r="K62" s="6">
        <v>62.029357498727244</v>
      </c>
      <c r="L62" t="s">
        <v>17</v>
      </c>
      <c r="M62" t="s">
        <v>18</v>
      </c>
      <c r="N62" s="4" t="s">
        <v>6065</v>
      </c>
      <c r="O62" s="4" t="s">
        <v>6066</v>
      </c>
      <c r="P62" s="4" t="s">
        <v>233</v>
      </c>
    </row>
    <row r="63" spans="1:16" x14ac:dyDescent="0.35">
      <c r="A63" t="s">
        <v>6067</v>
      </c>
      <c r="B63" t="s">
        <v>6068</v>
      </c>
      <c r="C63" t="s">
        <v>5839</v>
      </c>
      <c r="D63" s="6">
        <v>94788382.75</v>
      </c>
      <c r="E63" s="6">
        <v>103273642.75</v>
      </c>
      <c r="F63" s="6">
        <v>0.125</v>
      </c>
      <c r="G63" s="6">
        <v>0.12999999523162842</v>
      </c>
      <c r="H63" s="6" t="e">
        <v>#N/A</v>
      </c>
      <c r="I63" s="6">
        <v>0.31480322842509967</v>
      </c>
      <c r="J63" s="6">
        <v>356429</v>
      </c>
      <c r="K63" s="6">
        <v>12.707692307692312</v>
      </c>
      <c r="L63" t="s">
        <v>17</v>
      </c>
      <c r="M63" t="s">
        <v>27</v>
      </c>
      <c r="N63" s="4" t="s">
        <v>6069</v>
      </c>
      <c r="O63" s="4" t="s">
        <v>6070</v>
      </c>
      <c r="P63" s="4" t="s">
        <v>233</v>
      </c>
    </row>
    <row r="64" spans="1:16" x14ac:dyDescent="0.35">
      <c r="A64" t="s">
        <v>6071</v>
      </c>
      <c r="B64" t="s">
        <v>6072</v>
      </c>
      <c r="C64" t="s">
        <v>5839</v>
      </c>
      <c r="D64" s="6">
        <v>107135185.9319458</v>
      </c>
      <c r="E64" s="6">
        <v>94094326.539429963</v>
      </c>
      <c r="F64" s="6">
        <v>2.3299999237060547</v>
      </c>
      <c r="G64" s="6">
        <v>2.3299999237060547</v>
      </c>
      <c r="H64" s="6" t="e">
        <v>#N/A</v>
      </c>
      <c r="I64" s="6">
        <v>4.4717793760705948E-2</v>
      </c>
      <c r="J64" s="6">
        <v>84316000</v>
      </c>
      <c r="K64" s="6">
        <v>22.604741583057592</v>
      </c>
      <c r="L64" t="s">
        <v>17</v>
      </c>
      <c r="M64" t="s">
        <v>18</v>
      </c>
      <c r="N64" s="4" t="s">
        <v>6073</v>
      </c>
      <c r="O64" s="4" t="s">
        <v>6074</v>
      </c>
      <c r="P64" s="4" t="s">
        <v>233</v>
      </c>
    </row>
    <row r="65" spans="1:16" x14ac:dyDescent="0.35">
      <c r="A65" t="s">
        <v>6075</v>
      </c>
      <c r="B65" t="s">
        <v>6076</v>
      </c>
      <c r="C65" t="s">
        <v>5839</v>
      </c>
      <c r="D65" s="6" t="e">
        <v>#N/A</v>
      </c>
      <c r="E65" s="6" t="e">
        <v>#N/A</v>
      </c>
      <c r="F65" s="6" t="e">
        <v>#N/A</v>
      </c>
      <c r="G65" s="6" t="e">
        <v>#N/A</v>
      </c>
      <c r="H65" s="6" t="e">
        <v>#N/A</v>
      </c>
      <c r="I65" s="6">
        <v>-0.11082501034690595</v>
      </c>
      <c r="J65" s="6" t="e">
        <v>#N/A</v>
      </c>
      <c r="K65" s="6" t="e">
        <v>#N/A</v>
      </c>
      <c r="L65" t="s">
        <v>17</v>
      </c>
      <c r="M65" t="s">
        <v>18</v>
      </c>
      <c r="N65" s="4" t="s">
        <v>6077</v>
      </c>
      <c r="O65" s="4" t="s">
        <v>6078</v>
      </c>
      <c r="P65" s="4" t="s">
        <v>233</v>
      </c>
    </row>
    <row r="66" spans="1:16" x14ac:dyDescent="0.35">
      <c r="A66" t="s">
        <v>6079</v>
      </c>
      <c r="B66" t="s">
        <v>6080</v>
      </c>
      <c r="C66" t="s">
        <v>5839</v>
      </c>
      <c r="D66" s="6">
        <v>1297777684.2336655</v>
      </c>
      <c r="E66" s="6">
        <v>2150755684.2336655</v>
      </c>
      <c r="F66" s="6">
        <v>15.699999809265137</v>
      </c>
      <c r="G66" s="6">
        <v>15.619999885559082</v>
      </c>
      <c r="H66" s="6">
        <v>30.025205508698011</v>
      </c>
      <c r="I66" s="6">
        <v>0.38167957441484002</v>
      </c>
      <c r="J66" s="6">
        <v>867547000</v>
      </c>
      <c r="K66" s="6" t="e">
        <v>#N/A</v>
      </c>
      <c r="L66" t="s">
        <v>17</v>
      </c>
      <c r="M66" t="s">
        <v>40</v>
      </c>
      <c r="N66" s="4" t="s">
        <v>6081</v>
      </c>
      <c r="O66" s="4" t="s">
        <v>6082</v>
      </c>
      <c r="P66" s="4" t="s">
        <v>233</v>
      </c>
    </row>
    <row r="67" spans="1:16" x14ac:dyDescent="0.35">
      <c r="A67" t="s">
        <v>6083</v>
      </c>
      <c r="B67" t="s">
        <v>6084</v>
      </c>
      <c r="C67" t="s">
        <v>5839</v>
      </c>
      <c r="D67" s="6">
        <v>4383200556.6441345</v>
      </c>
      <c r="E67" s="6">
        <v>6630943556.6441345</v>
      </c>
      <c r="F67" s="6">
        <v>16.110000610351563</v>
      </c>
      <c r="G67" s="6">
        <v>16.120000839233398</v>
      </c>
      <c r="H67" s="6" t="e">
        <v>#N/A</v>
      </c>
      <c r="I67" s="6">
        <v>0.40134136667820886</v>
      </c>
      <c r="J67" s="6">
        <v>777621000</v>
      </c>
      <c r="K67" s="6" t="e">
        <v>#N/A</v>
      </c>
      <c r="L67" t="s">
        <v>17</v>
      </c>
      <c r="M67" t="s">
        <v>40</v>
      </c>
      <c r="N67" s="4" t="s">
        <v>6085</v>
      </c>
      <c r="O67" s="4" t="s">
        <v>6086</v>
      </c>
      <c r="P67" s="4" t="s">
        <v>233</v>
      </c>
    </row>
    <row r="68" spans="1:16" x14ac:dyDescent="0.35">
      <c r="A68" t="s">
        <v>6087</v>
      </c>
      <c r="B68" t="s">
        <v>6088</v>
      </c>
      <c r="C68" t="s">
        <v>5839</v>
      </c>
      <c r="D68" s="6">
        <v>391864439.77944177</v>
      </c>
      <c r="E68" s="6">
        <v>384264205.24662483</v>
      </c>
      <c r="F68" s="6">
        <v>17.020000457763672</v>
      </c>
      <c r="G68" s="6">
        <v>16.850000381469727</v>
      </c>
      <c r="H68" s="6">
        <v>16.126770508179877</v>
      </c>
      <c r="I68" s="6">
        <v>0.81872250397847357</v>
      </c>
      <c r="J68" s="6">
        <v>453228000</v>
      </c>
      <c r="K68" s="6">
        <v>276.1904761904762</v>
      </c>
      <c r="L68" t="s">
        <v>17</v>
      </c>
      <c r="M68" t="s">
        <v>40</v>
      </c>
      <c r="N68" s="4" t="s">
        <v>6089</v>
      </c>
      <c r="O68" s="4" t="s">
        <v>6090</v>
      </c>
      <c r="P68" s="4" t="s">
        <v>233</v>
      </c>
    </row>
    <row r="69" spans="1:16" x14ac:dyDescent="0.35">
      <c r="A69" t="s">
        <v>6091</v>
      </c>
      <c r="B69" t="s">
        <v>6092</v>
      </c>
      <c r="C69" t="s">
        <v>5839</v>
      </c>
      <c r="D69" s="6">
        <v>10546531.64815551</v>
      </c>
      <c r="E69" s="6">
        <v>16781866.64815551</v>
      </c>
      <c r="F69" s="6">
        <v>6.4999997615814209E-2</v>
      </c>
      <c r="G69" s="6">
        <v>6.4999997615814209E-2</v>
      </c>
      <c r="H69" s="6" t="e">
        <v>#N/A</v>
      </c>
      <c r="I69" s="6">
        <v>-0.27713536759322044</v>
      </c>
      <c r="J69" s="6">
        <v>7263484</v>
      </c>
      <c r="K69" s="6" t="e">
        <v>#N/A</v>
      </c>
      <c r="L69" t="s">
        <v>17</v>
      </c>
      <c r="M69" t="s">
        <v>87</v>
      </c>
      <c r="N69" s="4" t="s">
        <v>6093</v>
      </c>
      <c r="O69" s="4" t="s">
        <v>6094</v>
      </c>
      <c r="P69" s="4" t="s">
        <v>233</v>
      </c>
    </row>
    <row r="70" spans="1:16" x14ac:dyDescent="0.35">
      <c r="A70" t="s">
        <v>6095</v>
      </c>
      <c r="B70" t="s">
        <v>6096</v>
      </c>
      <c r="C70" t="s">
        <v>5839</v>
      </c>
      <c r="D70" s="6">
        <v>10692849.522863297</v>
      </c>
      <c r="E70" s="6">
        <v>10315705.522863297</v>
      </c>
      <c r="F70" s="6">
        <v>0.21500000357627869</v>
      </c>
      <c r="G70" s="6">
        <v>0.21500000357627869</v>
      </c>
      <c r="H70" s="6" t="e">
        <v>#N/A</v>
      </c>
      <c r="I70" s="6">
        <v>1.6802505689156755</v>
      </c>
      <c r="J70" s="6">
        <v>1489740</v>
      </c>
      <c r="K70" s="6">
        <v>64.132462686567152</v>
      </c>
      <c r="L70" t="s">
        <v>17</v>
      </c>
      <c r="M70" t="s">
        <v>100</v>
      </c>
      <c r="N70" s="4" t="s">
        <v>6097</v>
      </c>
      <c r="O70" s="4" t="s">
        <v>6098</v>
      </c>
      <c r="P70" s="4" t="s">
        <v>233</v>
      </c>
    </row>
    <row r="71" spans="1:16" x14ac:dyDescent="0.35">
      <c r="A71" t="s">
        <v>6099</v>
      </c>
      <c r="B71" t="s">
        <v>6100</v>
      </c>
      <c r="C71" t="s">
        <v>5839</v>
      </c>
      <c r="D71" s="6">
        <v>82742192.017423153</v>
      </c>
      <c r="E71" s="6">
        <v>66897082.017423153</v>
      </c>
      <c r="F71" s="6">
        <v>3.0199999809265137</v>
      </c>
      <c r="G71" s="6">
        <v>3.0199999809265137</v>
      </c>
      <c r="H71" s="6">
        <v>26.213912304276803</v>
      </c>
      <c r="I71" s="6">
        <v>1.4295677334830867</v>
      </c>
      <c r="J71" s="6">
        <v>31168532</v>
      </c>
      <c r="K71" s="6" t="e">
        <v>#N/A</v>
      </c>
      <c r="L71" t="s">
        <v>17</v>
      </c>
      <c r="M71" t="s">
        <v>18</v>
      </c>
      <c r="N71" s="4" t="s">
        <v>6101</v>
      </c>
      <c r="O71" s="4" t="s">
        <v>6102</v>
      </c>
      <c r="P71" s="4" t="s">
        <v>233</v>
      </c>
    </row>
    <row r="72" spans="1:16" x14ac:dyDescent="0.35">
      <c r="A72" t="s">
        <v>6103</v>
      </c>
      <c r="B72" t="s">
        <v>6104</v>
      </c>
      <c r="C72" t="s">
        <v>5839</v>
      </c>
      <c r="D72" s="6">
        <v>160322684.70868489</v>
      </c>
      <c r="E72" s="6">
        <v>157779507.70868489</v>
      </c>
      <c r="F72" s="6">
        <v>1.5399999618530273</v>
      </c>
      <c r="G72" s="6">
        <v>1.5499999523162842</v>
      </c>
      <c r="H72" s="6" t="e">
        <v>#N/A</v>
      </c>
      <c r="I72" s="6">
        <v>-0.12961256148304168</v>
      </c>
      <c r="J72" s="6">
        <v>39356</v>
      </c>
      <c r="K72" s="6">
        <v>-2.8775783224181821</v>
      </c>
      <c r="L72" t="s">
        <v>17</v>
      </c>
      <c r="M72" t="s">
        <v>27</v>
      </c>
      <c r="N72" s="4" t="s">
        <v>6105</v>
      </c>
      <c r="O72" s="4" t="s">
        <v>6106</v>
      </c>
      <c r="P72" s="4" t="s">
        <v>233</v>
      </c>
    </row>
    <row r="73" spans="1:16" x14ac:dyDescent="0.35">
      <c r="A73" t="s">
        <v>6107</v>
      </c>
      <c r="B73" t="s">
        <v>6108</v>
      </c>
      <c r="C73" t="s">
        <v>5839</v>
      </c>
      <c r="D73" s="6">
        <v>13787369.470021984</v>
      </c>
      <c r="E73" s="6">
        <v>10619258.197600037</v>
      </c>
      <c r="F73" s="6">
        <v>8.5000000894069672E-2</v>
      </c>
      <c r="G73" s="6">
        <v>9.0000003576278687E-2</v>
      </c>
      <c r="H73" s="6" t="e">
        <v>#N/A</v>
      </c>
      <c r="I73" s="6">
        <v>-0.71088313537346659</v>
      </c>
      <c r="J73" s="6">
        <v>111111.37188811187</v>
      </c>
      <c r="K73" s="6">
        <v>-6.3468729885265782</v>
      </c>
      <c r="L73" t="s">
        <v>17</v>
      </c>
      <c r="M73" t="s">
        <v>27</v>
      </c>
      <c r="N73" s="4" t="s">
        <v>6109</v>
      </c>
      <c r="O73" s="4" t="s">
        <v>6110</v>
      </c>
      <c r="P73" s="4" t="s">
        <v>233</v>
      </c>
    </row>
    <row r="74" spans="1:16" x14ac:dyDescent="0.35">
      <c r="A74" t="s">
        <v>6111</v>
      </c>
      <c r="B74" t="s">
        <v>6112</v>
      </c>
      <c r="C74" t="s">
        <v>5839</v>
      </c>
      <c r="D74" s="6">
        <v>88822346.554697156</v>
      </c>
      <c r="E74" s="6">
        <v>70288346.554697156</v>
      </c>
      <c r="F74" s="6">
        <v>1.1100000143051147</v>
      </c>
      <c r="G74" s="6">
        <v>1.1000000238418579</v>
      </c>
      <c r="H74" s="6" t="e">
        <v>#N/A</v>
      </c>
      <c r="I74" s="6">
        <v>-0.24941024616566787</v>
      </c>
      <c r="J74" s="6">
        <v>0</v>
      </c>
      <c r="K74" s="6">
        <v>27.83227417744186</v>
      </c>
      <c r="L74" t="s">
        <v>17</v>
      </c>
      <c r="M74" t="s">
        <v>18</v>
      </c>
      <c r="N74" s="4" t="s">
        <v>6113</v>
      </c>
      <c r="O74" s="4" t="s">
        <v>6114</v>
      </c>
      <c r="P74" s="4" t="s">
        <v>233</v>
      </c>
    </row>
    <row r="75" spans="1:16" x14ac:dyDescent="0.35">
      <c r="A75" t="s">
        <v>6115</v>
      </c>
      <c r="B75" t="s">
        <v>6116</v>
      </c>
      <c r="C75" t="s">
        <v>5839</v>
      </c>
      <c r="D75" s="6">
        <v>47098315.519285209</v>
      </c>
      <c r="E75" s="6">
        <v>45997048.519285209</v>
      </c>
      <c r="F75" s="6">
        <v>0.25499999523162842</v>
      </c>
      <c r="G75" s="6">
        <v>0.25499999523162842</v>
      </c>
      <c r="H75" s="6" t="e">
        <v>#N/A</v>
      </c>
      <c r="I75" s="6">
        <v>-5.5408067263867267E-2</v>
      </c>
      <c r="J75" s="6">
        <v>152373</v>
      </c>
      <c r="K75" s="6" t="e">
        <v>#N/A</v>
      </c>
      <c r="L75" t="s">
        <v>17</v>
      </c>
      <c r="M75" t="s">
        <v>40</v>
      </c>
      <c r="N75" s="4" t="s">
        <v>6117</v>
      </c>
      <c r="O75" s="4" t="s">
        <v>6118</v>
      </c>
      <c r="P75" s="4" t="s">
        <v>233</v>
      </c>
    </row>
    <row r="76" spans="1:16" x14ac:dyDescent="0.35">
      <c r="A76" t="s">
        <v>6119</v>
      </c>
      <c r="B76" t="s">
        <v>6120</v>
      </c>
      <c r="C76" t="s">
        <v>5839</v>
      </c>
      <c r="D76" s="6" t="e">
        <v>#N/A</v>
      </c>
      <c r="E76" s="6" t="e">
        <v>#N/A</v>
      </c>
      <c r="F76" s="6" t="e">
        <v>#N/A</v>
      </c>
      <c r="G76" s="6" t="e">
        <v>#N/A</v>
      </c>
      <c r="H76" s="6" t="e">
        <v>#N/A</v>
      </c>
      <c r="I76" s="6">
        <v>0</v>
      </c>
      <c r="J76" s="6">
        <v>0</v>
      </c>
      <c r="K76" s="6">
        <v>52.072315306671655</v>
      </c>
      <c r="L76" t="s">
        <v>17</v>
      </c>
      <c r="M76" t="s">
        <v>27</v>
      </c>
      <c r="N76" s="4" t="s">
        <v>6121</v>
      </c>
      <c r="O76" s="4" t="s">
        <v>6122</v>
      </c>
      <c r="P76" s="4" t="s">
        <v>233</v>
      </c>
    </row>
    <row r="77" spans="1:16" x14ac:dyDescent="0.35">
      <c r="A77" t="s">
        <v>6123</v>
      </c>
      <c r="B77" t="s">
        <v>6124</v>
      </c>
      <c r="C77" t="s">
        <v>5839</v>
      </c>
      <c r="D77" s="6" t="e">
        <v>#N/A</v>
      </c>
      <c r="E77" s="6" t="e">
        <v>#N/A</v>
      </c>
      <c r="F77" s="6" t="e">
        <v>#N/A</v>
      </c>
      <c r="G77" s="6" t="e">
        <v>#N/A</v>
      </c>
      <c r="H77" s="6" t="e">
        <v>#N/A</v>
      </c>
      <c r="I77" s="6">
        <v>-0.35126646825240648</v>
      </c>
      <c r="J77" s="6" t="e">
        <v>#N/A</v>
      </c>
      <c r="K77" s="6" t="e">
        <v>#N/A</v>
      </c>
      <c r="L77" t="s">
        <v>17</v>
      </c>
      <c r="M77" t="s">
        <v>18</v>
      </c>
      <c r="N77" s="4" t="s">
        <v>6125</v>
      </c>
      <c r="O77" s="4" t="s">
        <v>6126</v>
      </c>
      <c r="P77" s="4" t="s">
        <v>233</v>
      </c>
    </row>
    <row r="78" spans="1:16" x14ac:dyDescent="0.35">
      <c r="A78" t="s">
        <v>6127</v>
      </c>
      <c r="B78" t="s">
        <v>6128</v>
      </c>
      <c r="C78" t="s">
        <v>5839</v>
      </c>
      <c r="D78" s="6">
        <v>3279992261.4790034</v>
      </c>
      <c r="E78" s="6">
        <v>24019812219.426739</v>
      </c>
      <c r="F78" s="6">
        <v>9.0699996948242188</v>
      </c>
      <c r="G78" s="6">
        <v>9.1099996566772461</v>
      </c>
      <c r="H78" s="6">
        <v>6.361999514494995</v>
      </c>
      <c r="I78" s="6">
        <v>-0.19544280878131615</v>
      </c>
      <c r="J78" s="6">
        <v>9474000000</v>
      </c>
      <c r="K78" s="6">
        <v>81.979393755461018</v>
      </c>
      <c r="L78" t="s">
        <v>17</v>
      </c>
      <c r="M78" t="s">
        <v>87</v>
      </c>
      <c r="N78" s="4" t="s">
        <v>6129</v>
      </c>
      <c r="O78" s="4" t="s">
        <v>6130</v>
      </c>
      <c r="P78" s="4" t="s">
        <v>233</v>
      </c>
    </row>
    <row r="79" spans="1:16" x14ac:dyDescent="0.35">
      <c r="A79" t="s">
        <v>6131</v>
      </c>
      <c r="B79" t="s">
        <v>6132</v>
      </c>
      <c r="C79" t="s">
        <v>5839</v>
      </c>
      <c r="D79" s="6">
        <v>14499705.275906324</v>
      </c>
      <c r="E79" s="6">
        <v>-6477329.8638396244</v>
      </c>
      <c r="F79" s="6">
        <v>3.8399999141693115</v>
      </c>
      <c r="G79" s="6">
        <v>3.8299999237060547</v>
      </c>
      <c r="H79" s="6" t="e">
        <v>#N/A</v>
      </c>
      <c r="I79" s="6">
        <v>-0.59732410214558773</v>
      </c>
      <c r="J79" s="6">
        <v>4333000</v>
      </c>
      <c r="K79" s="6">
        <v>-35.602910602910605</v>
      </c>
      <c r="L79" t="s">
        <v>17</v>
      </c>
      <c r="M79" t="s">
        <v>18</v>
      </c>
      <c r="N79" s="4" t="s">
        <v>6133</v>
      </c>
      <c r="O79" s="4" t="s">
        <v>6134</v>
      </c>
      <c r="P79" s="4" t="s">
        <v>233</v>
      </c>
    </row>
    <row r="80" spans="1:16" x14ac:dyDescent="0.35">
      <c r="A80" t="s">
        <v>6135</v>
      </c>
      <c r="B80" t="s">
        <v>6136</v>
      </c>
      <c r="C80" t="s">
        <v>5839</v>
      </c>
      <c r="D80" s="6" t="e">
        <v>#N/A</v>
      </c>
      <c r="E80" s="6" t="e">
        <v>#N/A</v>
      </c>
      <c r="F80" s="6" t="e">
        <v>#N/A</v>
      </c>
      <c r="G80" s="6" t="e">
        <v>#N/A</v>
      </c>
      <c r="H80" s="6" t="e">
        <v>#N/A</v>
      </c>
      <c r="I80" s="6">
        <v>0</v>
      </c>
      <c r="J80" s="6">
        <v>4474906</v>
      </c>
      <c r="K80" s="6">
        <v>89.390124636109576</v>
      </c>
      <c r="L80" t="s">
        <v>17</v>
      </c>
      <c r="M80" t="s">
        <v>87</v>
      </c>
      <c r="N80" s="4" t="s">
        <v>6137</v>
      </c>
      <c r="O80" s="4" t="s">
        <v>6138</v>
      </c>
      <c r="P80" s="4" t="s">
        <v>233</v>
      </c>
    </row>
    <row r="81" spans="1:16" x14ac:dyDescent="0.35">
      <c r="A81" t="s">
        <v>6139</v>
      </c>
      <c r="B81" t="s">
        <v>6140</v>
      </c>
      <c r="C81" t="s">
        <v>5839</v>
      </c>
      <c r="D81" s="6">
        <v>100282113.10477495</v>
      </c>
      <c r="E81" s="6">
        <v>296363199.15737879</v>
      </c>
      <c r="F81" s="6">
        <v>0.50999999046325684</v>
      </c>
      <c r="G81" s="6">
        <v>0.51999998092651367</v>
      </c>
      <c r="H81" s="6" t="e">
        <v>#N/A</v>
      </c>
      <c r="I81" s="6">
        <v>-0.50390253680446295</v>
      </c>
      <c r="J81" s="6">
        <v>259435000</v>
      </c>
      <c r="K81" s="6">
        <v>73.144226273498646</v>
      </c>
      <c r="L81" t="s">
        <v>17</v>
      </c>
      <c r="M81" t="s">
        <v>87</v>
      </c>
      <c r="N81" s="4" t="s">
        <v>6141</v>
      </c>
      <c r="O81" s="4" t="s">
        <v>6142</v>
      </c>
      <c r="P81" s="4" t="s">
        <v>233</v>
      </c>
    </row>
    <row r="82" spans="1:16" x14ac:dyDescent="0.35">
      <c r="A82" t="s">
        <v>6143</v>
      </c>
      <c r="B82" t="s">
        <v>6144</v>
      </c>
      <c r="C82" t="s">
        <v>5839</v>
      </c>
      <c r="D82" s="6">
        <v>29434233.749999996</v>
      </c>
      <c r="E82" s="6">
        <v>31722478.749999996</v>
      </c>
      <c r="F82" s="6">
        <v>0.25</v>
      </c>
      <c r="G82" s="6">
        <v>0.25</v>
      </c>
      <c r="H82" s="6">
        <v>27.945450480661744</v>
      </c>
      <c r="I82" s="6">
        <v>-0.81257502403246518</v>
      </c>
      <c r="J82" s="6">
        <v>62456342</v>
      </c>
      <c r="K82" s="6" t="e">
        <v>#N/A</v>
      </c>
      <c r="L82" t="s">
        <v>17</v>
      </c>
      <c r="M82" t="s">
        <v>87</v>
      </c>
      <c r="N82" s="4" t="s">
        <v>6145</v>
      </c>
      <c r="O82" s="4" t="s">
        <v>6146</v>
      </c>
      <c r="P82" s="4" t="s">
        <v>233</v>
      </c>
    </row>
    <row r="83" spans="1:16" x14ac:dyDescent="0.35">
      <c r="A83" t="s">
        <v>6147</v>
      </c>
      <c r="B83" t="s">
        <v>6148</v>
      </c>
      <c r="C83" t="s">
        <v>5839</v>
      </c>
      <c r="D83" s="6">
        <v>121285118.54926872</v>
      </c>
      <c r="E83" s="6">
        <v>124095132.54926872</v>
      </c>
      <c r="F83" s="6">
        <v>1.8700000047683716</v>
      </c>
      <c r="G83" s="6">
        <v>1.8600000143051147</v>
      </c>
      <c r="H83" s="6" t="e">
        <v>#N/A</v>
      </c>
      <c r="I83" s="6">
        <v>0.30673417380450196</v>
      </c>
      <c r="J83" s="6">
        <v>2121850</v>
      </c>
      <c r="K83" s="6">
        <v>-16.981132075471702</v>
      </c>
      <c r="L83" t="s">
        <v>17</v>
      </c>
      <c r="M83" t="s">
        <v>100</v>
      </c>
      <c r="N83" s="4" t="s">
        <v>6149</v>
      </c>
      <c r="O83" s="4" t="s">
        <v>6150</v>
      </c>
      <c r="P83" s="4" t="s">
        <v>233</v>
      </c>
    </row>
    <row r="84" spans="1:16" x14ac:dyDescent="0.35">
      <c r="A84" t="s">
        <v>6151</v>
      </c>
      <c r="B84" t="s">
        <v>6152</v>
      </c>
      <c r="C84" t="s">
        <v>5839</v>
      </c>
      <c r="D84" s="6">
        <v>20068069.833984379</v>
      </c>
      <c r="E84" s="6">
        <v>11544565.171584379</v>
      </c>
      <c r="F84" s="6">
        <v>5.4099998474121094</v>
      </c>
      <c r="G84" s="6">
        <v>5.0399999618530273</v>
      </c>
      <c r="H84" s="6" t="e">
        <v>#N/A</v>
      </c>
      <c r="I84" s="6">
        <v>-0.92763492340327802</v>
      </c>
      <c r="J84" s="6">
        <v>0</v>
      </c>
      <c r="K84" s="6">
        <v>-3.9086756930099886</v>
      </c>
      <c r="L84" t="s">
        <v>17</v>
      </c>
      <c r="M84" t="s">
        <v>18</v>
      </c>
      <c r="N84" s="4" t="s">
        <v>13447</v>
      </c>
      <c r="O84" s="4" t="s">
        <v>13448</v>
      </c>
      <c r="P84" s="4" t="s">
        <v>233</v>
      </c>
    </row>
    <row r="85" spans="1:16" x14ac:dyDescent="0.35">
      <c r="A85" t="s">
        <v>6153</v>
      </c>
      <c r="B85" t="s">
        <v>6154</v>
      </c>
      <c r="C85" t="s">
        <v>5839</v>
      </c>
      <c r="D85" s="6">
        <v>173432890.33717594</v>
      </c>
      <c r="E85" s="6">
        <v>181093890.33717594</v>
      </c>
      <c r="F85" s="6">
        <v>0.61000001430511475</v>
      </c>
      <c r="G85" s="6">
        <v>0.55000001192092896</v>
      </c>
      <c r="H85" s="6" t="e">
        <v>#N/A</v>
      </c>
      <c r="I85" s="6">
        <v>-4.6749945497878143E-2</v>
      </c>
      <c r="J85" s="6">
        <v>2006000</v>
      </c>
      <c r="K85" s="6">
        <v>-160.82137472779047</v>
      </c>
      <c r="L85" t="s">
        <v>17</v>
      </c>
      <c r="M85" t="s">
        <v>18</v>
      </c>
      <c r="N85" s="4" t="s">
        <v>6155</v>
      </c>
      <c r="O85" s="4" t="s">
        <v>6156</v>
      </c>
      <c r="P85" s="4" t="s">
        <v>233</v>
      </c>
    </row>
    <row r="86" spans="1:16" x14ac:dyDescent="0.35">
      <c r="A86" t="s">
        <v>6157</v>
      </c>
      <c r="B86" t="s">
        <v>6158</v>
      </c>
      <c r="C86" t="s">
        <v>5839</v>
      </c>
      <c r="D86" s="6">
        <v>242220806.74594295</v>
      </c>
      <c r="E86" s="6">
        <v>205291806.74594295</v>
      </c>
      <c r="F86" s="6">
        <v>1.9199999570846558</v>
      </c>
      <c r="G86" s="6">
        <v>2.059999942779541</v>
      </c>
      <c r="H86" s="6" t="e">
        <v>#N/A</v>
      </c>
      <c r="I86" s="6">
        <v>-0.33489745000552518</v>
      </c>
      <c r="J86" s="6">
        <v>166116000</v>
      </c>
      <c r="K86" s="6">
        <v>84.542466455296051</v>
      </c>
      <c r="L86" t="s">
        <v>17</v>
      </c>
      <c r="M86" t="s">
        <v>87</v>
      </c>
      <c r="N86" s="4" t="s">
        <v>6159</v>
      </c>
      <c r="O86" s="4" t="s">
        <v>6160</v>
      </c>
      <c r="P86" s="4" t="s">
        <v>233</v>
      </c>
    </row>
    <row r="87" spans="1:16" x14ac:dyDescent="0.35">
      <c r="A87" t="s">
        <v>6161</v>
      </c>
      <c r="B87" t="s">
        <v>6162</v>
      </c>
      <c r="C87" t="s">
        <v>5839</v>
      </c>
      <c r="D87" s="6">
        <v>6252356.940248928</v>
      </c>
      <c r="E87" s="6">
        <v>4608356.940248928</v>
      </c>
      <c r="F87" s="6">
        <v>1.9999999552965164E-2</v>
      </c>
      <c r="G87" s="6">
        <v>1.9999999552965164E-2</v>
      </c>
      <c r="H87" s="6" t="e">
        <v>#N/A</v>
      </c>
      <c r="I87" s="6">
        <v>-0.42769705595185648</v>
      </c>
      <c r="J87" s="6">
        <v>11870000</v>
      </c>
      <c r="K87" s="6">
        <v>-96.798780487804905</v>
      </c>
      <c r="L87" t="s">
        <v>17</v>
      </c>
      <c r="M87" t="s">
        <v>87</v>
      </c>
      <c r="N87" s="4" t="s">
        <v>6163</v>
      </c>
      <c r="O87" s="4" t="s">
        <v>6164</v>
      </c>
      <c r="P87" s="4" t="s">
        <v>233</v>
      </c>
    </row>
    <row r="88" spans="1:16" x14ac:dyDescent="0.35">
      <c r="A88" t="s">
        <v>6165</v>
      </c>
      <c r="B88" t="s">
        <v>6166</v>
      </c>
      <c r="C88" t="s">
        <v>5839</v>
      </c>
      <c r="D88" s="6">
        <v>12002271.691728316</v>
      </c>
      <c r="E88" s="6">
        <v>11673999.691728316</v>
      </c>
      <c r="F88" s="6">
        <v>0.11999999731779099</v>
      </c>
      <c r="G88" s="6">
        <v>0.11999999731779099</v>
      </c>
      <c r="H88" s="6" t="e">
        <v>#N/A</v>
      </c>
      <c r="I88" s="6">
        <v>-0.33259438685524234</v>
      </c>
      <c r="J88" s="6">
        <v>0</v>
      </c>
      <c r="K88" s="6">
        <v>19.223157894736854</v>
      </c>
      <c r="L88" t="s">
        <v>17</v>
      </c>
      <c r="M88" t="s">
        <v>18</v>
      </c>
      <c r="N88" s="4" t="s">
        <v>6167</v>
      </c>
      <c r="O88" s="4" t="s">
        <v>6168</v>
      </c>
      <c r="P88" s="4" t="s">
        <v>233</v>
      </c>
    </row>
    <row r="89" spans="1:16" x14ac:dyDescent="0.35">
      <c r="A89" t="s">
        <v>6169</v>
      </c>
      <c r="B89" t="s">
        <v>6170</v>
      </c>
      <c r="C89" t="s">
        <v>5839</v>
      </c>
      <c r="D89" s="6">
        <v>755791.897</v>
      </c>
      <c r="E89" s="6">
        <v>2812813.4480000003</v>
      </c>
      <c r="F89" s="6">
        <v>7.0000000000000007E-2</v>
      </c>
      <c r="G89" s="6">
        <v>7.0000000000000007E-2</v>
      </c>
      <c r="H89" s="6" t="e">
        <v>#N/A</v>
      </c>
      <c r="I89" s="6">
        <v>-0.64899463054416229</v>
      </c>
      <c r="J89" s="6">
        <v>16807884.129137117</v>
      </c>
      <c r="K89" s="6">
        <v>-1.0072077843071825</v>
      </c>
      <c r="L89" t="s">
        <v>17</v>
      </c>
      <c r="M89" t="s">
        <v>40</v>
      </c>
      <c r="N89" s="4" t="s">
        <v>6171</v>
      </c>
      <c r="O89" s="4" t="s">
        <v>6172</v>
      </c>
      <c r="P89" s="4" t="s">
        <v>233</v>
      </c>
    </row>
    <row r="90" spans="1:16" x14ac:dyDescent="0.35">
      <c r="A90" t="s">
        <v>6173</v>
      </c>
      <c r="B90" t="s">
        <v>6174</v>
      </c>
      <c r="C90" t="s">
        <v>5839</v>
      </c>
      <c r="D90" s="6" t="e">
        <v>#N/A</v>
      </c>
      <c r="E90" s="6" t="e">
        <v>#N/A</v>
      </c>
      <c r="F90" s="6" t="e">
        <v>#N/A</v>
      </c>
      <c r="G90" s="6" t="e">
        <v>#N/A</v>
      </c>
      <c r="H90" s="6" t="e">
        <v>#N/A</v>
      </c>
      <c r="I90" s="6">
        <v>0</v>
      </c>
      <c r="J90" s="6">
        <v>186345</v>
      </c>
      <c r="K90" s="6">
        <v>91.743119266055047</v>
      </c>
      <c r="L90" t="s">
        <v>17</v>
      </c>
      <c r="M90" t="s">
        <v>32</v>
      </c>
      <c r="N90" s="4" t="s">
        <v>6175</v>
      </c>
      <c r="O90" s="4" t="s">
        <v>6176</v>
      </c>
      <c r="P90" s="4" t="s">
        <v>233</v>
      </c>
    </row>
    <row r="91" spans="1:16" x14ac:dyDescent="0.35">
      <c r="A91" t="s">
        <v>6177</v>
      </c>
      <c r="B91" t="s">
        <v>6178</v>
      </c>
      <c r="C91" t="s">
        <v>5839</v>
      </c>
      <c r="D91" s="6">
        <v>1519460810.2447417</v>
      </c>
      <c r="E91" s="6">
        <v>1920585810.2447417</v>
      </c>
      <c r="F91" s="6">
        <v>6.0999999046325684</v>
      </c>
      <c r="G91" s="6">
        <v>6.0100002288818359</v>
      </c>
      <c r="H91" s="6" t="e">
        <v>#N/A</v>
      </c>
      <c r="I91" s="6">
        <v>0.56619704826540707</v>
      </c>
      <c r="J91" s="6">
        <v>957694000</v>
      </c>
      <c r="K91" s="6" t="e">
        <v>#N/A</v>
      </c>
      <c r="L91" t="s">
        <v>17</v>
      </c>
      <c r="M91" t="s">
        <v>40</v>
      </c>
      <c r="N91" s="4" t="s">
        <v>6179</v>
      </c>
      <c r="O91" s="4" t="s">
        <v>6180</v>
      </c>
      <c r="P91" s="4" t="s">
        <v>233</v>
      </c>
    </row>
    <row r="92" spans="1:16" x14ac:dyDescent="0.35">
      <c r="A92" t="s">
        <v>6181</v>
      </c>
      <c r="B92" t="s">
        <v>6182</v>
      </c>
      <c r="C92" t="s">
        <v>5839</v>
      </c>
      <c r="D92" s="6">
        <v>45438745.561081231</v>
      </c>
      <c r="E92" s="6">
        <v>-11363007.438918769</v>
      </c>
      <c r="F92" s="6">
        <v>0.31499999761581421</v>
      </c>
      <c r="G92" s="6">
        <v>0.33000001311302185</v>
      </c>
      <c r="H92" s="6">
        <v>1.7614100093707807</v>
      </c>
      <c r="I92" s="6">
        <v>2.140140254340491</v>
      </c>
      <c r="J92" s="6">
        <v>0</v>
      </c>
      <c r="K92" s="6">
        <v>78.319324346514065</v>
      </c>
      <c r="L92" t="s">
        <v>17</v>
      </c>
      <c r="M92" t="s">
        <v>87</v>
      </c>
      <c r="N92" s="4" t="s">
        <v>6183</v>
      </c>
      <c r="O92" s="4" t="s">
        <v>6184</v>
      </c>
      <c r="P92" s="4" t="s">
        <v>233</v>
      </c>
    </row>
    <row r="93" spans="1:16" x14ac:dyDescent="0.35">
      <c r="A93" t="s">
        <v>6185</v>
      </c>
      <c r="B93" t="s">
        <v>6186</v>
      </c>
      <c r="C93" t="s">
        <v>5839</v>
      </c>
      <c r="D93" s="6" t="e">
        <v>#N/A</v>
      </c>
      <c r="E93" s="6" t="e">
        <v>#N/A</v>
      </c>
      <c r="F93" s="6" t="e">
        <v>#N/A</v>
      </c>
      <c r="G93" s="6" t="e">
        <v>#N/A</v>
      </c>
      <c r="H93" s="6" t="e">
        <v>#N/A</v>
      </c>
      <c r="I93" s="6">
        <v>0</v>
      </c>
      <c r="J93" s="6">
        <v>0</v>
      </c>
      <c r="K93" s="6" t="e">
        <v>#N/A</v>
      </c>
      <c r="L93" t="s">
        <v>17</v>
      </c>
      <c r="M93" t="s">
        <v>87</v>
      </c>
      <c r="N93" s="4" t="s">
        <v>6187</v>
      </c>
      <c r="O93" s="4" t="s">
        <v>6188</v>
      </c>
      <c r="P93" s="4" t="s">
        <v>233</v>
      </c>
    </row>
    <row r="94" spans="1:16" x14ac:dyDescent="0.35">
      <c r="A94" t="s">
        <v>6189</v>
      </c>
      <c r="B94" t="s">
        <v>6190</v>
      </c>
      <c r="C94" t="s">
        <v>5839</v>
      </c>
      <c r="D94" s="6">
        <v>34974582.418257147</v>
      </c>
      <c r="E94" s="6">
        <v>39685260.418257147</v>
      </c>
      <c r="F94" s="6">
        <v>0.23999999463558197</v>
      </c>
      <c r="G94" s="6">
        <v>0.23999999463558197</v>
      </c>
      <c r="H94" s="6" t="e">
        <v>#N/A</v>
      </c>
      <c r="I94" s="6">
        <v>1.3942660284990702</v>
      </c>
      <c r="J94" s="6">
        <v>0</v>
      </c>
      <c r="K94" s="6">
        <v>32.043538065905146</v>
      </c>
      <c r="L94" t="s">
        <v>17</v>
      </c>
      <c r="M94" t="s">
        <v>18</v>
      </c>
      <c r="N94" s="4" t="s">
        <v>6191</v>
      </c>
      <c r="O94" s="4" t="s">
        <v>6192</v>
      </c>
      <c r="P94" s="4" t="s">
        <v>233</v>
      </c>
    </row>
    <row r="95" spans="1:16" x14ac:dyDescent="0.35">
      <c r="A95" t="s">
        <v>6193</v>
      </c>
      <c r="B95" t="s">
        <v>6194</v>
      </c>
      <c r="C95" t="s">
        <v>5839</v>
      </c>
      <c r="D95" s="6">
        <v>735778.07000000007</v>
      </c>
      <c r="E95" s="6">
        <v>1192852.07</v>
      </c>
      <c r="F95" s="6">
        <v>0.01</v>
      </c>
      <c r="G95" s="6">
        <v>0.01</v>
      </c>
      <c r="H95" s="6">
        <v>2.059732234809474</v>
      </c>
      <c r="I95" s="6">
        <v>-0.84536502869063823</v>
      </c>
      <c r="J95" s="6">
        <v>353735</v>
      </c>
      <c r="K95" s="6" t="e">
        <v>#N/A</v>
      </c>
      <c r="L95" t="s">
        <v>17</v>
      </c>
      <c r="M95" t="s">
        <v>100</v>
      </c>
      <c r="N95" s="4" t="s">
        <v>6195</v>
      </c>
      <c r="O95" s="4" t="s">
        <v>6196</v>
      </c>
      <c r="P95" s="4" t="s">
        <v>233</v>
      </c>
    </row>
    <row r="96" spans="1:16" x14ac:dyDescent="0.35">
      <c r="A96" t="s">
        <v>6197</v>
      </c>
      <c r="B96" t="s">
        <v>6198</v>
      </c>
      <c r="C96" t="s">
        <v>5839</v>
      </c>
      <c r="D96" s="6">
        <v>13500987.527235508</v>
      </c>
      <c r="E96" s="6">
        <v>20152987.527235508</v>
      </c>
      <c r="F96" s="6">
        <v>1.2699999809265137</v>
      </c>
      <c r="G96" s="6">
        <v>1.1599999666213989</v>
      </c>
      <c r="H96" s="6" t="e">
        <v>#N/A</v>
      </c>
      <c r="I96" s="6">
        <v>-0.57567548656842815</v>
      </c>
      <c r="J96" s="6">
        <v>35092000</v>
      </c>
      <c r="K96" s="6">
        <v>-245.56568538745915</v>
      </c>
      <c r="L96" t="s">
        <v>17</v>
      </c>
      <c r="M96" t="s">
        <v>87</v>
      </c>
      <c r="N96" s="4" t="s">
        <v>6199</v>
      </c>
      <c r="O96" s="4" t="s">
        <v>6200</v>
      </c>
      <c r="P96" s="4" t="s">
        <v>233</v>
      </c>
    </row>
    <row r="97" spans="1:16" x14ac:dyDescent="0.35">
      <c r="A97" t="s">
        <v>6201</v>
      </c>
      <c r="B97" t="s">
        <v>6202</v>
      </c>
      <c r="C97" t="s">
        <v>5839</v>
      </c>
      <c r="D97" s="6">
        <v>4980028.3549999995</v>
      </c>
      <c r="E97" s="6">
        <v>8161708.3549999995</v>
      </c>
      <c r="F97" s="6" t="e">
        <v>#N/A</v>
      </c>
      <c r="G97" s="6" t="e">
        <v>#N/A</v>
      </c>
      <c r="H97" s="6" t="e">
        <v>#N/A</v>
      </c>
      <c r="I97" s="6">
        <v>0</v>
      </c>
      <c r="J97" s="6">
        <v>0</v>
      </c>
      <c r="K97" s="6" t="e">
        <v>#N/A</v>
      </c>
      <c r="L97" t="s">
        <v>17</v>
      </c>
      <c r="M97" t="s">
        <v>87</v>
      </c>
      <c r="N97" s="4" t="s">
        <v>6203</v>
      </c>
      <c r="O97" s="4" t="s">
        <v>6204</v>
      </c>
      <c r="P97" s="4" t="s">
        <v>233</v>
      </c>
    </row>
    <row r="98" spans="1:16" x14ac:dyDescent="0.35">
      <c r="A98" t="s">
        <v>6205</v>
      </c>
      <c r="B98" t="s">
        <v>6206</v>
      </c>
      <c r="C98" t="s">
        <v>5839</v>
      </c>
      <c r="D98" s="6" t="e">
        <v>#N/A</v>
      </c>
      <c r="E98" s="6" t="e">
        <v>#N/A</v>
      </c>
      <c r="F98" s="6" t="e">
        <v>#N/A</v>
      </c>
      <c r="G98" s="6" t="e">
        <v>#N/A</v>
      </c>
      <c r="H98" s="6" t="e">
        <v>#N/A</v>
      </c>
      <c r="I98" s="6">
        <v>0</v>
      </c>
      <c r="J98" s="6">
        <v>0</v>
      </c>
      <c r="K98" s="6">
        <v>19.83666666666667</v>
      </c>
      <c r="L98" t="s">
        <v>17</v>
      </c>
      <c r="M98" t="s">
        <v>32</v>
      </c>
      <c r="N98" s="4" t="s">
        <v>233</v>
      </c>
      <c r="O98" s="4" t="s">
        <v>6207</v>
      </c>
      <c r="P98" s="4" t="s">
        <v>13196</v>
      </c>
    </row>
    <row r="99" spans="1:16" x14ac:dyDescent="0.35">
      <c r="A99" t="s">
        <v>6208</v>
      </c>
      <c r="B99" t="s">
        <v>6209</v>
      </c>
      <c r="C99" t="s">
        <v>5839</v>
      </c>
      <c r="D99" s="6">
        <v>38365.81</v>
      </c>
      <c r="E99" s="6">
        <v>100425.81</v>
      </c>
      <c r="F99" s="6">
        <v>0.01</v>
      </c>
      <c r="G99" s="6">
        <v>0.01</v>
      </c>
      <c r="H99" s="6" t="e">
        <v>#N/A</v>
      </c>
      <c r="I99" s="6">
        <v>-0.3325943719783222</v>
      </c>
      <c r="J99" s="6">
        <v>81213</v>
      </c>
      <c r="K99" s="6">
        <v>11.624581792569126</v>
      </c>
      <c r="L99" t="s">
        <v>17</v>
      </c>
      <c r="M99" t="s">
        <v>40</v>
      </c>
      <c r="N99" s="4" t="s">
        <v>6210</v>
      </c>
      <c r="O99" s="4" t="s">
        <v>6211</v>
      </c>
      <c r="P99" s="4" t="s">
        <v>233</v>
      </c>
    </row>
    <row r="100" spans="1:16" x14ac:dyDescent="0.35">
      <c r="A100" t="s">
        <v>6212</v>
      </c>
      <c r="B100" t="s">
        <v>6213</v>
      </c>
      <c r="C100" t="s">
        <v>5839</v>
      </c>
      <c r="D100" s="6">
        <v>4185642.5964435944</v>
      </c>
      <c r="E100" s="6">
        <v>3912646.5964435944</v>
      </c>
      <c r="F100" s="6">
        <v>9.9999997764825821E-3</v>
      </c>
      <c r="G100" s="6">
        <v>9.9999997764825821E-3</v>
      </c>
      <c r="H100" s="6" t="e">
        <v>#N/A</v>
      </c>
      <c r="I100" s="6">
        <v>-0.71330608802491979</v>
      </c>
      <c r="J100" s="6">
        <v>0</v>
      </c>
      <c r="K100" s="6">
        <v>53.016258927214707</v>
      </c>
      <c r="L100" t="s">
        <v>17</v>
      </c>
      <c r="M100" t="s">
        <v>87</v>
      </c>
      <c r="N100" s="4" t="s">
        <v>6214</v>
      </c>
      <c r="O100" s="4" t="s">
        <v>6215</v>
      </c>
      <c r="P100" s="4" t="s">
        <v>233</v>
      </c>
    </row>
    <row r="101" spans="1:16" x14ac:dyDescent="0.35">
      <c r="A101" t="s">
        <v>6216</v>
      </c>
      <c r="B101" t="s">
        <v>6217</v>
      </c>
      <c r="C101" t="s">
        <v>5839</v>
      </c>
      <c r="D101" s="6">
        <v>28571320.44821262</v>
      </c>
      <c r="E101" s="6">
        <v>28773079.910012621</v>
      </c>
      <c r="F101" s="6">
        <v>0.37000000476837158</v>
      </c>
      <c r="G101" s="6">
        <v>0.37000000476837158</v>
      </c>
      <c r="H101" s="6" t="e">
        <v>#N/A</v>
      </c>
      <c r="I101" s="6">
        <v>0.12086170330915103</v>
      </c>
      <c r="J101" s="6" t="e">
        <v>#N/A</v>
      </c>
      <c r="K101" s="6" t="e">
        <v>#N/A</v>
      </c>
      <c r="L101" t="s">
        <v>17</v>
      </c>
      <c r="M101" t="s">
        <v>27</v>
      </c>
      <c r="N101" s="4" t="s">
        <v>6218</v>
      </c>
      <c r="O101" s="4" t="s">
        <v>6219</v>
      </c>
      <c r="P101" s="4" t="s">
        <v>233</v>
      </c>
    </row>
    <row r="102" spans="1:16" x14ac:dyDescent="0.35">
      <c r="A102" t="s">
        <v>6220</v>
      </c>
      <c r="B102" t="s">
        <v>6221</v>
      </c>
      <c r="C102" t="s">
        <v>5839</v>
      </c>
      <c r="D102" s="6">
        <v>6318309.585</v>
      </c>
      <c r="E102" s="6">
        <v>22370339.584999997</v>
      </c>
      <c r="F102" s="6">
        <v>0.105</v>
      </c>
      <c r="G102" s="6">
        <v>0.105</v>
      </c>
      <c r="H102" s="6" t="e">
        <v>#N/A</v>
      </c>
      <c r="I102" s="6">
        <v>-0.55220690838968101</v>
      </c>
      <c r="J102" s="6">
        <v>48342203</v>
      </c>
      <c r="K102" s="6">
        <v>-775.93823002942884</v>
      </c>
      <c r="L102" t="s">
        <v>17</v>
      </c>
      <c r="M102" t="s">
        <v>27</v>
      </c>
      <c r="N102" s="4" t="s">
        <v>6222</v>
      </c>
      <c r="O102" s="4" t="s">
        <v>6223</v>
      </c>
      <c r="P102" s="4" t="s">
        <v>233</v>
      </c>
    </row>
    <row r="103" spans="1:16" x14ac:dyDescent="0.35">
      <c r="A103" t="s">
        <v>6224</v>
      </c>
      <c r="B103" t="s">
        <v>6225</v>
      </c>
      <c r="C103" t="s">
        <v>5839</v>
      </c>
      <c r="D103" s="6">
        <v>564272240.72211456</v>
      </c>
      <c r="E103" s="6">
        <v>470989240.72211456</v>
      </c>
      <c r="F103" s="6">
        <v>5.6399998664855957</v>
      </c>
      <c r="G103" s="6">
        <v>5.679999828338623</v>
      </c>
      <c r="H103" s="6" t="e">
        <v>#N/A</v>
      </c>
      <c r="I103" s="6">
        <v>-3.5239549006875759E-3</v>
      </c>
      <c r="J103" s="6">
        <v>348637000</v>
      </c>
      <c r="K103" s="6">
        <v>-383.33333333333343</v>
      </c>
      <c r="L103" t="s">
        <v>17</v>
      </c>
      <c r="M103" t="s">
        <v>87</v>
      </c>
      <c r="N103" s="4" t="s">
        <v>6226</v>
      </c>
      <c r="O103" s="4" t="s">
        <v>6227</v>
      </c>
      <c r="P103" s="4" t="s">
        <v>233</v>
      </c>
    </row>
    <row r="104" spans="1:16" x14ac:dyDescent="0.35">
      <c r="A104" t="s">
        <v>6228</v>
      </c>
      <c r="B104" t="s">
        <v>6229</v>
      </c>
      <c r="C104" t="s">
        <v>5839</v>
      </c>
      <c r="D104" s="6">
        <v>637692841.29737091</v>
      </c>
      <c r="E104" s="6">
        <v>635449162.29737091</v>
      </c>
      <c r="F104" s="6">
        <v>6.7899999618530273</v>
      </c>
      <c r="G104" s="6">
        <v>6.8499999046325684</v>
      </c>
      <c r="H104" s="6" t="e">
        <v>#N/A</v>
      </c>
      <c r="I104" s="6">
        <v>0.99915210453391312</v>
      </c>
      <c r="J104" s="6">
        <v>45018807</v>
      </c>
      <c r="K104" s="6">
        <v>27.839150648809944</v>
      </c>
      <c r="L104" t="s">
        <v>17</v>
      </c>
      <c r="M104" t="s">
        <v>32</v>
      </c>
      <c r="N104" s="4" t="s">
        <v>6230</v>
      </c>
      <c r="O104" s="4" t="s">
        <v>6231</v>
      </c>
      <c r="P104" s="4" t="s">
        <v>233</v>
      </c>
    </row>
    <row r="105" spans="1:16" x14ac:dyDescent="0.35">
      <c r="A105" t="s">
        <v>6232</v>
      </c>
      <c r="B105" t="s">
        <v>6233</v>
      </c>
      <c r="C105" t="s">
        <v>5839</v>
      </c>
      <c r="D105" s="6">
        <v>30998686.050000004</v>
      </c>
      <c r="E105" s="6">
        <v>31050667.050000004</v>
      </c>
      <c r="F105" s="6">
        <v>0.45</v>
      </c>
      <c r="G105" s="6">
        <v>0.46500000000000002</v>
      </c>
      <c r="H105" s="6" t="e">
        <v>#N/A</v>
      </c>
      <c r="I105" s="6">
        <v>-0.4569237254983205</v>
      </c>
      <c r="J105" s="6">
        <v>653543</v>
      </c>
      <c r="K105" s="6">
        <v>-7.6147816349384145</v>
      </c>
      <c r="L105" t="s">
        <v>17</v>
      </c>
      <c r="M105" t="s">
        <v>40</v>
      </c>
      <c r="N105" s="4" t="s">
        <v>6234</v>
      </c>
      <c r="O105" s="4" t="s">
        <v>6235</v>
      </c>
      <c r="P105" s="4" t="s">
        <v>233</v>
      </c>
    </row>
    <row r="106" spans="1:16" x14ac:dyDescent="0.35">
      <c r="A106" t="s">
        <v>6236</v>
      </c>
      <c r="B106" t="s">
        <v>6237</v>
      </c>
      <c r="C106" t="s">
        <v>5839</v>
      </c>
      <c r="D106" s="6">
        <v>3990251.4308109283</v>
      </c>
      <c r="E106" s="6">
        <v>3750652.4308109283</v>
      </c>
      <c r="F106" s="6">
        <v>9.9999997764825821E-3</v>
      </c>
      <c r="G106" s="6">
        <v>9.9999997764825821E-3</v>
      </c>
      <c r="H106" s="6" t="e">
        <v>#N/A</v>
      </c>
      <c r="I106" s="6">
        <v>-0.59899734372687718</v>
      </c>
      <c r="J106" s="6">
        <v>265809</v>
      </c>
      <c r="K106" s="6">
        <v>-139.6048109965636</v>
      </c>
      <c r="L106" t="s">
        <v>17</v>
      </c>
      <c r="M106" t="s">
        <v>87</v>
      </c>
      <c r="N106" s="4" t="s">
        <v>6238</v>
      </c>
      <c r="O106" s="4" t="s">
        <v>6239</v>
      </c>
      <c r="P106" s="4" t="s">
        <v>233</v>
      </c>
    </row>
    <row r="107" spans="1:16" x14ac:dyDescent="0.35">
      <c r="A107" t="s">
        <v>6240</v>
      </c>
      <c r="B107" t="s">
        <v>6241</v>
      </c>
      <c r="C107" t="s">
        <v>5839</v>
      </c>
      <c r="D107" s="6">
        <v>22974492.481695026</v>
      </c>
      <c r="E107" s="6" t="e">
        <v>#N/A</v>
      </c>
      <c r="F107" s="6">
        <v>0.1550000011920929</v>
      </c>
      <c r="G107" s="6">
        <v>0.1550000011920929</v>
      </c>
      <c r="H107" s="6" t="e">
        <v>#N/A</v>
      </c>
      <c r="I107" s="6">
        <v>0.23927143097973413</v>
      </c>
      <c r="J107" s="6" t="e">
        <v>#N/A</v>
      </c>
      <c r="K107" s="6" t="e">
        <v>#N/A</v>
      </c>
      <c r="L107" t="s">
        <v>17</v>
      </c>
      <c r="M107" t="s">
        <v>87</v>
      </c>
      <c r="N107" s="4" t="s">
        <v>12955</v>
      </c>
      <c r="O107" s="4" t="s">
        <v>12956</v>
      </c>
      <c r="P107" s="4" t="s">
        <v>233</v>
      </c>
    </row>
    <row r="108" spans="1:16" x14ac:dyDescent="0.35">
      <c r="A108" t="s">
        <v>6242</v>
      </c>
      <c r="B108" t="s">
        <v>6243</v>
      </c>
      <c r="C108" t="s">
        <v>5839</v>
      </c>
      <c r="D108" s="6">
        <v>1078071048.2190747</v>
      </c>
      <c r="E108" s="6">
        <v>-54526481.802619815</v>
      </c>
      <c r="F108" s="6">
        <v>2.8199999332427979</v>
      </c>
      <c r="G108" s="6">
        <v>2.7999999523162842</v>
      </c>
      <c r="H108" s="6">
        <v>45.367157606045382</v>
      </c>
      <c r="I108" s="6">
        <v>-3.0844672499853565E-2</v>
      </c>
      <c r="J108" s="6">
        <v>111229000</v>
      </c>
      <c r="K108" s="6">
        <v>51.851851851851855</v>
      </c>
      <c r="L108" t="s">
        <v>17</v>
      </c>
      <c r="M108" t="s">
        <v>87</v>
      </c>
      <c r="N108" s="4" t="s">
        <v>6244</v>
      </c>
      <c r="O108" s="4" t="s">
        <v>6245</v>
      </c>
      <c r="P108" s="4" t="s">
        <v>233</v>
      </c>
    </row>
    <row r="109" spans="1:16" x14ac:dyDescent="0.35">
      <c r="A109" t="s">
        <v>6246</v>
      </c>
      <c r="B109" t="s">
        <v>6247</v>
      </c>
      <c r="C109" t="s">
        <v>5839</v>
      </c>
      <c r="D109" s="6" t="e">
        <v>#N/A</v>
      </c>
      <c r="E109" s="6" t="e">
        <v>#N/A</v>
      </c>
      <c r="F109" s="6" t="e">
        <v>#N/A</v>
      </c>
      <c r="G109" s="6" t="e">
        <v>#N/A</v>
      </c>
      <c r="H109" s="6" t="e">
        <v>#N/A</v>
      </c>
      <c r="I109" s="6">
        <v>0</v>
      </c>
      <c r="J109" s="6">
        <v>0</v>
      </c>
      <c r="K109" s="6" t="e">
        <v>#N/A</v>
      </c>
      <c r="L109" t="s">
        <v>17</v>
      </c>
      <c r="M109" t="s">
        <v>87</v>
      </c>
      <c r="N109" s="4" t="s">
        <v>6248</v>
      </c>
      <c r="O109" s="4" t="s">
        <v>6249</v>
      </c>
      <c r="P109" s="4" t="s">
        <v>233</v>
      </c>
    </row>
    <row r="110" spans="1:16" x14ac:dyDescent="0.35">
      <c r="A110" t="s">
        <v>6250</v>
      </c>
      <c r="B110" t="s">
        <v>6251</v>
      </c>
      <c r="C110" t="s">
        <v>5839</v>
      </c>
      <c r="D110" s="6">
        <v>308776.9180982979</v>
      </c>
      <c r="E110" s="6">
        <v>6777516.9180982979</v>
      </c>
      <c r="F110" s="6">
        <v>4.999999888241291E-3</v>
      </c>
      <c r="G110" s="6">
        <v>9.9999997764825821E-3</v>
      </c>
      <c r="H110" s="6" t="e">
        <v>#N/A</v>
      </c>
      <c r="I110" s="6">
        <v>-0.66566461330224902</v>
      </c>
      <c r="J110" s="6">
        <v>0</v>
      </c>
      <c r="K110" s="6">
        <v>75.119620786059514</v>
      </c>
      <c r="L110" t="s">
        <v>17</v>
      </c>
      <c r="M110" t="s">
        <v>87</v>
      </c>
      <c r="N110" s="4" t="s">
        <v>6252</v>
      </c>
      <c r="O110" s="4" t="s">
        <v>6253</v>
      </c>
      <c r="P110" s="4" t="s">
        <v>233</v>
      </c>
    </row>
    <row r="111" spans="1:16" x14ac:dyDescent="0.35">
      <c r="A111" t="s">
        <v>6254</v>
      </c>
      <c r="B111" t="s">
        <v>6255</v>
      </c>
      <c r="C111" t="s">
        <v>5839</v>
      </c>
      <c r="D111" s="6">
        <v>1534821.9456940552</v>
      </c>
      <c r="E111" s="6">
        <v>179823010.94569406</v>
      </c>
      <c r="F111" s="6">
        <v>4.999999888241291E-3</v>
      </c>
      <c r="G111" s="6">
        <v>4.999999888241291E-3</v>
      </c>
      <c r="H111" s="6" t="e">
        <v>#N/A</v>
      </c>
      <c r="I111" s="6">
        <v>-0.49905219156034519</v>
      </c>
      <c r="J111" s="6">
        <v>41464030</v>
      </c>
      <c r="K111" s="6">
        <v>64.375526315789472</v>
      </c>
      <c r="L111" t="s">
        <v>17</v>
      </c>
      <c r="M111" t="s">
        <v>87</v>
      </c>
      <c r="N111" s="4" t="s">
        <v>6256</v>
      </c>
      <c r="O111" s="4" t="s">
        <v>6257</v>
      </c>
      <c r="P111" s="4" t="s">
        <v>233</v>
      </c>
    </row>
    <row r="112" spans="1:16" x14ac:dyDescent="0.35">
      <c r="A112" t="s">
        <v>6258</v>
      </c>
      <c r="B112" t="s">
        <v>6259</v>
      </c>
      <c r="C112" t="s">
        <v>5839</v>
      </c>
      <c r="D112" s="6">
        <v>267955098.57185552</v>
      </c>
      <c r="E112" s="6">
        <v>166985446.30183786</v>
      </c>
      <c r="F112" s="6">
        <v>8.9200000762939453</v>
      </c>
      <c r="G112" s="6">
        <v>8.6800003051757813</v>
      </c>
      <c r="H112" s="6" t="e">
        <v>#N/A</v>
      </c>
      <c r="I112" s="6">
        <v>-0.23508554007567783</v>
      </c>
      <c r="J112" s="6">
        <v>8984000</v>
      </c>
      <c r="K112" s="6">
        <v>3.3024337065834879</v>
      </c>
      <c r="L112" t="s">
        <v>17</v>
      </c>
      <c r="M112" t="s">
        <v>27</v>
      </c>
      <c r="N112" s="4" t="s">
        <v>6260</v>
      </c>
      <c r="O112" s="4" t="s">
        <v>6261</v>
      </c>
      <c r="P112" s="4" t="s">
        <v>233</v>
      </c>
    </row>
    <row r="113" spans="1:16" x14ac:dyDescent="0.35">
      <c r="A113" t="s">
        <v>6262</v>
      </c>
      <c r="B113" t="s">
        <v>6263</v>
      </c>
      <c r="C113" t="s">
        <v>5839</v>
      </c>
      <c r="D113" s="6" t="e">
        <v>#N/A</v>
      </c>
      <c r="E113" s="6" t="e">
        <v>#N/A</v>
      </c>
      <c r="F113" s="6" t="e">
        <v>#N/A</v>
      </c>
      <c r="G113" s="6" t="e">
        <v>#N/A</v>
      </c>
      <c r="H113" s="6" t="e">
        <v>#N/A</v>
      </c>
      <c r="I113" s="6">
        <v>0</v>
      </c>
      <c r="J113" s="6" t="e">
        <v>#N/A</v>
      </c>
      <c r="K113" s="6" t="e">
        <v>#N/A</v>
      </c>
      <c r="L113" t="s">
        <v>17</v>
      </c>
      <c r="M113" t="s">
        <v>87</v>
      </c>
      <c r="N113" s="4" t="s">
        <v>6264</v>
      </c>
      <c r="O113" s="4" t="s">
        <v>6265</v>
      </c>
      <c r="P113" s="4" t="s">
        <v>233</v>
      </c>
    </row>
    <row r="114" spans="1:16" x14ac:dyDescent="0.35">
      <c r="A114" t="s">
        <v>6266</v>
      </c>
      <c r="B114" t="s">
        <v>6267</v>
      </c>
      <c r="C114" t="s">
        <v>5839</v>
      </c>
      <c r="D114" s="6">
        <v>663172.14017694723</v>
      </c>
      <c r="E114" s="6">
        <v>1205147.1401769472</v>
      </c>
      <c r="F114" s="6">
        <v>4.999999888241291E-3</v>
      </c>
      <c r="G114" s="6">
        <v>4.999999888241291E-3</v>
      </c>
      <c r="H114" s="6" t="e">
        <v>#N/A</v>
      </c>
      <c r="I114" s="6">
        <v>-0.66566461330224891</v>
      </c>
      <c r="J114" s="6">
        <v>413165</v>
      </c>
      <c r="K114" s="6">
        <v>32.625016580448339</v>
      </c>
      <c r="L114" t="s">
        <v>17</v>
      </c>
      <c r="M114" t="s">
        <v>87</v>
      </c>
      <c r="N114" s="4" t="s">
        <v>6268</v>
      </c>
      <c r="O114" s="4" t="s">
        <v>6269</v>
      </c>
      <c r="P114" s="4" t="s">
        <v>233</v>
      </c>
    </row>
    <row r="115" spans="1:16" x14ac:dyDescent="0.35">
      <c r="A115" t="s">
        <v>6270</v>
      </c>
      <c r="B115" t="s">
        <v>6271</v>
      </c>
      <c r="C115" t="s">
        <v>5839</v>
      </c>
      <c r="D115" s="6">
        <v>629913228.52117336</v>
      </c>
      <c r="E115" s="6">
        <v>548833819.52117336</v>
      </c>
      <c r="F115" s="6">
        <v>11.350000381469727</v>
      </c>
      <c r="G115" s="6">
        <v>11.25</v>
      </c>
      <c r="H115" s="6">
        <v>86.711387698975699</v>
      </c>
      <c r="I115" s="6">
        <v>1.0228774647952812</v>
      </c>
      <c r="J115" s="6">
        <v>61606950</v>
      </c>
      <c r="K115" s="6">
        <v>-11.651053864168624</v>
      </c>
      <c r="L115" t="s">
        <v>17</v>
      </c>
      <c r="M115" t="s">
        <v>32</v>
      </c>
      <c r="N115" s="4" t="s">
        <v>6272</v>
      </c>
      <c r="O115" s="4" t="s">
        <v>6273</v>
      </c>
      <c r="P115" s="4" t="s">
        <v>233</v>
      </c>
    </row>
    <row r="116" spans="1:16" x14ac:dyDescent="0.35">
      <c r="A116" t="s">
        <v>6274</v>
      </c>
      <c r="B116" t="s">
        <v>6275</v>
      </c>
      <c r="C116" t="s">
        <v>5839</v>
      </c>
      <c r="D116" s="6">
        <v>10491547</v>
      </c>
      <c r="E116" s="6">
        <v>2979547</v>
      </c>
      <c r="F116" s="6">
        <v>0.55000000000000004</v>
      </c>
      <c r="G116" s="6">
        <v>0.55000000000000004</v>
      </c>
      <c r="H116" s="6" t="e">
        <v>#N/A</v>
      </c>
      <c r="I116" s="6">
        <v>0.14540722465100586</v>
      </c>
      <c r="J116" s="6">
        <v>17403000</v>
      </c>
      <c r="K116" s="6">
        <v>-519.00603223192616</v>
      </c>
      <c r="L116" t="s">
        <v>17</v>
      </c>
      <c r="M116" t="s">
        <v>87</v>
      </c>
      <c r="N116" s="4" t="s">
        <v>6276</v>
      </c>
      <c r="O116" s="4" t="s">
        <v>6277</v>
      </c>
      <c r="P116" s="4" t="s">
        <v>233</v>
      </c>
    </row>
    <row r="117" spans="1:16" x14ac:dyDescent="0.35">
      <c r="A117" t="s">
        <v>6278</v>
      </c>
      <c r="B117" t="s">
        <v>6279</v>
      </c>
      <c r="C117" t="s">
        <v>5839</v>
      </c>
      <c r="D117" s="6">
        <v>99334007.358152881</v>
      </c>
      <c r="E117" s="6">
        <v>69084007.358152881</v>
      </c>
      <c r="F117" s="6">
        <v>1.2699999809265137</v>
      </c>
      <c r="G117" s="6">
        <v>1.2300000190734863</v>
      </c>
      <c r="H117" s="6" t="e">
        <v>#N/A</v>
      </c>
      <c r="I117" s="6">
        <v>0.89221329494608614</v>
      </c>
      <c r="J117" s="6">
        <v>0</v>
      </c>
      <c r="K117" s="6">
        <v>-123.51934600291449</v>
      </c>
      <c r="L117" t="s">
        <v>17</v>
      </c>
      <c r="M117" t="s">
        <v>18</v>
      </c>
      <c r="N117" s="4" t="s">
        <v>6280</v>
      </c>
      <c r="O117" s="4" t="s">
        <v>6281</v>
      </c>
      <c r="P117" s="4" t="s">
        <v>233</v>
      </c>
    </row>
    <row r="118" spans="1:16" x14ac:dyDescent="0.35">
      <c r="A118" t="s">
        <v>6282</v>
      </c>
      <c r="B118" t="s">
        <v>6283</v>
      </c>
      <c r="C118" t="s">
        <v>5839</v>
      </c>
      <c r="D118" s="6">
        <v>4886837.1954898834</v>
      </c>
      <c r="E118" s="6">
        <v>-9681.0937875011005</v>
      </c>
      <c r="F118" s="6">
        <v>1.2899999618530273</v>
      </c>
      <c r="G118" s="6">
        <v>1.2899999618530273</v>
      </c>
      <c r="H118" s="6" t="e">
        <v>#N/A</v>
      </c>
      <c r="I118" s="6">
        <v>-0.57812275041103034</v>
      </c>
      <c r="J118" s="6">
        <v>0</v>
      </c>
      <c r="K118" s="6">
        <v>97.679863771817793</v>
      </c>
      <c r="L118" t="s">
        <v>17</v>
      </c>
      <c r="M118" t="s">
        <v>87</v>
      </c>
      <c r="N118" s="4" t="s">
        <v>6284</v>
      </c>
      <c r="O118" s="4" t="s">
        <v>6285</v>
      </c>
      <c r="P118" s="4" t="s">
        <v>233</v>
      </c>
    </row>
    <row r="119" spans="1:16" x14ac:dyDescent="0.35">
      <c r="A119" t="s">
        <v>6286</v>
      </c>
      <c r="B119" t="s">
        <v>6287</v>
      </c>
      <c r="C119" t="s">
        <v>5839</v>
      </c>
      <c r="D119" s="6">
        <v>1575123662.5688071</v>
      </c>
      <c r="E119" s="6">
        <v>1987823875.8720551</v>
      </c>
      <c r="F119" s="6">
        <v>2.0999999046325684</v>
      </c>
      <c r="G119" s="6">
        <v>2.0699999332427979</v>
      </c>
      <c r="H119" s="6" t="e">
        <v>#N/A</v>
      </c>
      <c r="I119" s="6">
        <v>-0.68368878169242464</v>
      </c>
      <c r="J119" s="6">
        <v>1357017000</v>
      </c>
      <c r="K119" s="6">
        <v>53.333333333333329</v>
      </c>
      <c r="L119" t="s">
        <v>17</v>
      </c>
      <c r="M119" t="s">
        <v>87</v>
      </c>
      <c r="N119" s="4" t="s">
        <v>6288</v>
      </c>
      <c r="O119" s="4" t="s">
        <v>6289</v>
      </c>
      <c r="P119" s="4" t="s">
        <v>233</v>
      </c>
    </row>
    <row r="120" spans="1:16" x14ac:dyDescent="0.35">
      <c r="A120" t="s">
        <v>6290</v>
      </c>
      <c r="B120" t="s">
        <v>6291</v>
      </c>
      <c r="C120" t="s">
        <v>5839</v>
      </c>
      <c r="D120" s="6" t="e">
        <v>#N/A</v>
      </c>
      <c r="E120" s="6" t="e">
        <v>#N/A</v>
      </c>
      <c r="F120" s="6" t="e">
        <v>#N/A</v>
      </c>
      <c r="G120" s="6" t="e">
        <v>#N/A</v>
      </c>
      <c r="H120" s="6" t="e">
        <v>#N/A</v>
      </c>
      <c r="I120" s="6">
        <v>0</v>
      </c>
      <c r="J120" s="6">
        <v>509008</v>
      </c>
      <c r="K120" s="6">
        <v>84.655037352643348</v>
      </c>
      <c r="L120" t="s">
        <v>17</v>
      </c>
      <c r="M120" t="s">
        <v>87</v>
      </c>
      <c r="N120" s="4" t="s">
        <v>6292</v>
      </c>
      <c r="O120" s="4" t="s">
        <v>6293</v>
      </c>
      <c r="P120" s="4" t="s">
        <v>233</v>
      </c>
    </row>
    <row r="121" spans="1:16" x14ac:dyDescent="0.35">
      <c r="A121" t="s">
        <v>6294</v>
      </c>
      <c r="B121" t="s">
        <v>6295</v>
      </c>
      <c r="C121" t="s">
        <v>5839</v>
      </c>
      <c r="D121" s="6">
        <v>23574848.976780295</v>
      </c>
      <c r="E121" s="6">
        <v>16356884.434269018</v>
      </c>
      <c r="F121" s="6">
        <v>0.27000001072883606</v>
      </c>
      <c r="G121" s="6">
        <v>0.25</v>
      </c>
      <c r="H121" s="6">
        <v>21.102916611110796</v>
      </c>
      <c r="I121" s="6">
        <v>0.10174833483723611</v>
      </c>
      <c r="J121" s="6">
        <v>25726646</v>
      </c>
      <c r="K121" s="6">
        <v>63.636363636363633</v>
      </c>
      <c r="L121" t="s">
        <v>17</v>
      </c>
      <c r="M121" t="s">
        <v>40</v>
      </c>
      <c r="N121" s="4" t="s">
        <v>6296</v>
      </c>
      <c r="O121" s="4" t="s">
        <v>6297</v>
      </c>
      <c r="P121" s="4" t="s">
        <v>233</v>
      </c>
    </row>
    <row r="122" spans="1:16" x14ac:dyDescent="0.35">
      <c r="A122" t="s">
        <v>6298</v>
      </c>
      <c r="B122" t="s">
        <v>6299</v>
      </c>
      <c r="C122" t="s">
        <v>5839</v>
      </c>
      <c r="D122" s="6">
        <v>33728469.831109934</v>
      </c>
      <c r="E122" s="6">
        <v>212140185.99691314</v>
      </c>
      <c r="F122" s="6">
        <v>4.999999888241291E-3</v>
      </c>
      <c r="G122" s="6">
        <v>4.999999888241291E-3</v>
      </c>
      <c r="H122" s="6" t="e">
        <v>#N/A</v>
      </c>
      <c r="I122" s="6">
        <v>-0.85638130990173522</v>
      </c>
      <c r="J122" s="6">
        <v>165728000</v>
      </c>
      <c r="K122" s="6">
        <v>65.252177435689688</v>
      </c>
      <c r="L122" t="s">
        <v>17</v>
      </c>
      <c r="M122" t="s">
        <v>87</v>
      </c>
      <c r="N122" s="4" t="s">
        <v>6300</v>
      </c>
      <c r="O122" s="4" t="s">
        <v>6301</v>
      </c>
      <c r="P122" s="4" t="s">
        <v>233</v>
      </c>
    </row>
    <row r="123" spans="1:16" x14ac:dyDescent="0.35">
      <c r="A123" t="s">
        <v>6302</v>
      </c>
      <c r="B123" t="s">
        <v>6303</v>
      </c>
      <c r="C123" t="s">
        <v>5839</v>
      </c>
      <c r="D123" s="6">
        <v>9660000.0411272049</v>
      </c>
      <c r="E123" s="6">
        <v>14612324.041127205</v>
      </c>
      <c r="F123" s="6">
        <v>7.0000000298023224E-2</v>
      </c>
      <c r="G123" s="6">
        <v>7.0000000298023224E-2</v>
      </c>
      <c r="H123" s="6" t="e">
        <v>#N/A</v>
      </c>
      <c r="I123" s="6">
        <v>-0.71902444976462088</v>
      </c>
      <c r="J123" s="6">
        <v>17297813</v>
      </c>
      <c r="K123" s="6" t="e">
        <v>#N/A</v>
      </c>
      <c r="L123" t="s">
        <v>17</v>
      </c>
      <c r="M123" t="s">
        <v>87</v>
      </c>
      <c r="N123" s="4" t="s">
        <v>6304</v>
      </c>
      <c r="O123" s="4" t="s">
        <v>6305</v>
      </c>
      <c r="P123" s="4" t="s">
        <v>233</v>
      </c>
    </row>
    <row r="124" spans="1:16" x14ac:dyDescent="0.35">
      <c r="A124" t="s">
        <v>6306</v>
      </c>
      <c r="B124" t="s">
        <v>6307</v>
      </c>
      <c r="C124" t="s">
        <v>5839</v>
      </c>
      <c r="D124" s="6">
        <v>35099246.519945562</v>
      </c>
      <c r="E124" s="6">
        <v>52520246.519945562</v>
      </c>
      <c r="F124" s="6">
        <v>0.31000000238418579</v>
      </c>
      <c r="G124" s="6">
        <v>0.30500000715255737</v>
      </c>
      <c r="H124" s="6" t="e">
        <v>#N/A</v>
      </c>
      <c r="I124" s="6">
        <v>-0.44553341118155876</v>
      </c>
      <c r="J124" s="6">
        <v>43006000</v>
      </c>
      <c r="K124" s="6">
        <v>52.462908011869438</v>
      </c>
      <c r="L124" t="s">
        <v>17</v>
      </c>
      <c r="M124" t="s">
        <v>27</v>
      </c>
      <c r="N124" s="4" t="s">
        <v>6308</v>
      </c>
      <c r="O124" s="4" t="s">
        <v>6309</v>
      </c>
      <c r="P124" s="4" t="s">
        <v>233</v>
      </c>
    </row>
    <row r="125" spans="1:16" x14ac:dyDescent="0.35">
      <c r="A125" t="s">
        <v>6310</v>
      </c>
      <c r="B125" t="s">
        <v>6311</v>
      </c>
      <c r="C125" t="s">
        <v>5839</v>
      </c>
      <c r="D125" s="6">
        <v>329260638.90774012</v>
      </c>
      <c r="E125" s="6">
        <v>449777679.05340874</v>
      </c>
      <c r="F125" s="6">
        <v>0.88999998569488525</v>
      </c>
      <c r="G125" s="6">
        <v>0.93000000715255737</v>
      </c>
      <c r="H125" s="6" t="e">
        <v>#N/A</v>
      </c>
      <c r="I125" s="6">
        <v>-0.66936935547630472</v>
      </c>
      <c r="J125" s="6">
        <v>318890000</v>
      </c>
      <c r="K125" s="6">
        <v>-140.30798872467079</v>
      </c>
      <c r="L125" t="s">
        <v>17</v>
      </c>
      <c r="M125" t="s">
        <v>87</v>
      </c>
      <c r="N125" s="4" t="s">
        <v>6312</v>
      </c>
      <c r="O125" s="4" t="s">
        <v>6313</v>
      </c>
      <c r="P125" s="4" t="s">
        <v>233</v>
      </c>
    </row>
    <row r="126" spans="1:16" x14ac:dyDescent="0.35">
      <c r="A126" t="s">
        <v>6314</v>
      </c>
      <c r="B126" t="s">
        <v>6315</v>
      </c>
      <c r="C126" t="s">
        <v>5839</v>
      </c>
      <c r="D126" s="6">
        <v>10572821.677191196</v>
      </c>
      <c r="E126" s="6">
        <v>10518978.677191196</v>
      </c>
      <c r="F126" s="6">
        <v>6.4999997615814209E-2</v>
      </c>
      <c r="G126" s="6">
        <v>6.4999997615814209E-2</v>
      </c>
      <c r="H126" s="6" t="e">
        <v>#N/A</v>
      </c>
      <c r="I126" s="6">
        <v>-0.51755607603389464</v>
      </c>
      <c r="J126" s="6">
        <v>12478039</v>
      </c>
      <c r="K126" s="6" t="e">
        <v>#N/A</v>
      </c>
      <c r="L126" t="s">
        <v>17</v>
      </c>
      <c r="M126" t="s">
        <v>87</v>
      </c>
      <c r="N126" s="4" t="s">
        <v>6316</v>
      </c>
      <c r="O126" s="4" t="s">
        <v>6317</v>
      </c>
      <c r="P126" s="4" t="s">
        <v>233</v>
      </c>
    </row>
    <row r="127" spans="1:16" x14ac:dyDescent="0.35">
      <c r="A127" t="s">
        <v>6318</v>
      </c>
      <c r="B127" t="s">
        <v>6319</v>
      </c>
      <c r="C127" t="s">
        <v>5839</v>
      </c>
      <c r="D127" s="6">
        <v>2177479.0074469652</v>
      </c>
      <c r="E127" s="6">
        <v>15678607.007446967</v>
      </c>
      <c r="F127" s="6">
        <v>2.500000037252903E-2</v>
      </c>
      <c r="G127" s="6">
        <v>2.500000037252903E-2</v>
      </c>
      <c r="H127" s="6" t="e">
        <v>#N/A</v>
      </c>
      <c r="I127" s="6">
        <v>-0.61437918741598696</v>
      </c>
      <c r="J127" s="6">
        <v>25897566</v>
      </c>
      <c r="K127" s="6">
        <v>-37.500000000000014</v>
      </c>
      <c r="L127" t="s">
        <v>17</v>
      </c>
      <c r="M127" t="s">
        <v>40</v>
      </c>
      <c r="N127" s="4" t="s">
        <v>6320</v>
      </c>
      <c r="O127" s="4" t="s">
        <v>6321</v>
      </c>
      <c r="P127" s="4" t="s">
        <v>233</v>
      </c>
    </row>
    <row r="128" spans="1:16" x14ac:dyDescent="0.35">
      <c r="A128" t="s">
        <v>6322</v>
      </c>
      <c r="B128" t="s">
        <v>6323</v>
      </c>
      <c r="C128" t="s">
        <v>5839</v>
      </c>
      <c r="D128" s="6">
        <v>268691231.94806498</v>
      </c>
      <c r="E128" s="6">
        <v>132401231.94806498</v>
      </c>
      <c r="F128" s="6">
        <v>13.439999580383301</v>
      </c>
      <c r="G128" s="6">
        <v>13.350000381469727</v>
      </c>
      <c r="H128" s="6" t="e">
        <v>#N/A</v>
      </c>
      <c r="I128" s="6">
        <v>-0.26253697416468458</v>
      </c>
      <c r="J128" s="6">
        <v>0</v>
      </c>
      <c r="K128" s="6">
        <v>45.326806312408955</v>
      </c>
      <c r="L128" t="s">
        <v>17</v>
      </c>
      <c r="M128" t="s">
        <v>87</v>
      </c>
      <c r="N128" s="4" t="s">
        <v>6324</v>
      </c>
      <c r="O128" s="4" t="s">
        <v>6325</v>
      </c>
      <c r="P128" s="4" t="s">
        <v>233</v>
      </c>
    </row>
    <row r="129" spans="1:16" x14ac:dyDescent="0.35">
      <c r="A129" t="s">
        <v>6326</v>
      </c>
      <c r="B129" t="s">
        <v>6327</v>
      </c>
      <c r="C129" t="s">
        <v>5839</v>
      </c>
      <c r="D129" s="6">
        <v>9992547.57706815</v>
      </c>
      <c r="E129" s="6">
        <v>58352547.57706815</v>
      </c>
      <c r="F129" s="6">
        <v>0.18000000715255737</v>
      </c>
      <c r="G129" s="6">
        <v>0.18000000715255737</v>
      </c>
      <c r="H129" s="6" t="e">
        <v>#N/A</v>
      </c>
      <c r="I129" s="6">
        <v>-0.67172696087685835</v>
      </c>
      <c r="J129" s="6">
        <v>158191000</v>
      </c>
      <c r="K129" s="6">
        <v>-629.57198443579773</v>
      </c>
      <c r="L129" t="s">
        <v>17</v>
      </c>
      <c r="M129" t="s">
        <v>40</v>
      </c>
      <c r="N129" s="4" t="s">
        <v>6328</v>
      </c>
      <c r="O129" s="4" t="s">
        <v>6329</v>
      </c>
      <c r="P129" s="4" t="s">
        <v>233</v>
      </c>
    </row>
    <row r="130" spans="1:16" x14ac:dyDescent="0.35">
      <c r="A130" t="s">
        <v>6330</v>
      </c>
      <c r="B130" t="s">
        <v>6331</v>
      </c>
      <c r="C130" t="s">
        <v>5839</v>
      </c>
      <c r="D130" s="6">
        <v>540000</v>
      </c>
      <c r="E130" s="6">
        <v>3261239</v>
      </c>
      <c r="F130" s="6">
        <v>0.01</v>
      </c>
      <c r="G130" s="6">
        <v>0.01</v>
      </c>
      <c r="H130" s="6" t="e">
        <v>#N/A</v>
      </c>
      <c r="I130" s="6">
        <v>-0.49905218039388255</v>
      </c>
      <c r="J130" s="6">
        <v>71142</v>
      </c>
      <c r="K130" s="6">
        <v>-16.69669199237617</v>
      </c>
      <c r="L130" t="s">
        <v>17</v>
      </c>
      <c r="M130" t="s">
        <v>18</v>
      </c>
      <c r="N130" s="4" t="s">
        <v>6332</v>
      </c>
      <c r="O130" s="4" t="s">
        <v>6333</v>
      </c>
      <c r="P130" s="4" t="s">
        <v>233</v>
      </c>
    </row>
    <row r="131" spans="1:16" x14ac:dyDescent="0.35">
      <c r="A131" t="s">
        <v>6334</v>
      </c>
      <c r="B131" t="s">
        <v>6335</v>
      </c>
      <c r="C131" t="s">
        <v>5839</v>
      </c>
      <c r="D131" s="6">
        <v>14057971.925779833</v>
      </c>
      <c r="E131" s="6">
        <v>20867350.925779834</v>
      </c>
      <c r="F131" s="6">
        <v>7.9999998211860657E-2</v>
      </c>
      <c r="G131" s="6">
        <v>7.9999998211860657E-2</v>
      </c>
      <c r="H131" s="6" t="e">
        <v>#N/A</v>
      </c>
      <c r="I131" s="6">
        <v>-0.52844160674836615</v>
      </c>
      <c r="J131" s="6">
        <v>2596859</v>
      </c>
      <c r="K131" s="6">
        <v>-11.826515774167035</v>
      </c>
      <c r="L131" t="s">
        <v>17</v>
      </c>
      <c r="M131" t="s">
        <v>87</v>
      </c>
      <c r="N131" s="4" t="s">
        <v>6336</v>
      </c>
      <c r="O131" s="4" t="s">
        <v>6337</v>
      </c>
      <c r="P131" s="4" t="s">
        <v>233</v>
      </c>
    </row>
    <row r="132" spans="1:16" x14ac:dyDescent="0.35">
      <c r="A132" t="s">
        <v>6338</v>
      </c>
      <c r="B132" t="s">
        <v>6339</v>
      </c>
      <c r="C132" t="s">
        <v>5839</v>
      </c>
      <c r="D132" s="6">
        <v>14240940.482833983</v>
      </c>
      <c r="E132" s="6">
        <v>17568853.482833982</v>
      </c>
      <c r="F132" s="6">
        <v>0.10999999940395355</v>
      </c>
      <c r="G132" s="6">
        <v>0.10499999672174454</v>
      </c>
      <c r="H132" s="6" t="e">
        <v>#N/A</v>
      </c>
      <c r="I132" s="6">
        <v>0.22155227857520465</v>
      </c>
      <c r="J132" s="6">
        <v>0</v>
      </c>
      <c r="K132" s="6">
        <v>-18.535720045154015</v>
      </c>
      <c r="L132" t="s">
        <v>17</v>
      </c>
      <c r="M132" t="s">
        <v>87</v>
      </c>
      <c r="N132" s="4" t="s">
        <v>6340</v>
      </c>
      <c r="O132" s="4" t="s">
        <v>6341</v>
      </c>
      <c r="P132" s="4" t="s">
        <v>233</v>
      </c>
    </row>
    <row r="133" spans="1:16" x14ac:dyDescent="0.35">
      <c r="A133" t="s">
        <v>6342</v>
      </c>
      <c r="B133" t="s">
        <v>6343</v>
      </c>
      <c r="C133" t="s">
        <v>5839</v>
      </c>
      <c r="D133" s="6">
        <v>42327749.385539412</v>
      </c>
      <c r="E133" s="6">
        <v>568655690.52648354</v>
      </c>
      <c r="F133" s="6">
        <v>0.62000000476837158</v>
      </c>
      <c r="G133" s="6">
        <v>0.64999997615814209</v>
      </c>
      <c r="H133" s="6" t="e">
        <v>#N/A</v>
      </c>
      <c r="I133" s="6">
        <v>-0.795164761551588</v>
      </c>
      <c r="J133" s="6">
        <v>464511000</v>
      </c>
      <c r="K133" s="6">
        <v>30.3418177208533</v>
      </c>
      <c r="L133" t="s">
        <v>17</v>
      </c>
      <c r="M133" t="s">
        <v>87</v>
      </c>
      <c r="N133" s="4" t="s">
        <v>6344</v>
      </c>
      <c r="O133" s="4" t="s">
        <v>6345</v>
      </c>
      <c r="P133" s="4" t="s">
        <v>233</v>
      </c>
    </row>
    <row r="134" spans="1:16" x14ac:dyDescent="0.35">
      <c r="A134" t="s">
        <v>6346</v>
      </c>
      <c r="B134" t="s">
        <v>6347</v>
      </c>
      <c r="C134" t="s">
        <v>5839</v>
      </c>
      <c r="D134" s="6">
        <v>26974910.935566124</v>
      </c>
      <c r="E134" s="6">
        <v>14536910.935566124</v>
      </c>
      <c r="F134" s="6">
        <v>6.4999997615814209E-2</v>
      </c>
      <c r="G134" s="6">
        <v>7.0000000298023224E-2</v>
      </c>
      <c r="H134" s="6" t="e">
        <v>#N/A</v>
      </c>
      <c r="I134" s="6">
        <v>-7.1240568481822586E-2</v>
      </c>
      <c r="J134" s="6">
        <v>39050000</v>
      </c>
      <c r="K134" s="6">
        <v>21.103344039297184</v>
      </c>
      <c r="L134" t="s">
        <v>17</v>
      </c>
      <c r="M134" t="s">
        <v>87</v>
      </c>
      <c r="N134" s="4" t="s">
        <v>6348</v>
      </c>
      <c r="O134" s="4" t="s">
        <v>6349</v>
      </c>
      <c r="P134" s="4" t="s">
        <v>233</v>
      </c>
    </row>
    <row r="135" spans="1:16" x14ac:dyDescent="0.35">
      <c r="A135" t="s">
        <v>6350</v>
      </c>
      <c r="B135" t="s">
        <v>6351</v>
      </c>
      <c r="C135" t="s">
        <v>5839</v>
      </c>
      <c r="D135" s="6" t="e">
        <v>#N/A</v>
      </c>
      <c r="E135" s="6" t="e">
        <v>#N/A</v>
      </c>
      <c r="F135" s="6" t="e">
        <v>#N/A</v>
      </c>
      <c r="G135" s="6" t="e">
        <v>#N/A</v>
      </c>
      <c r="H135" s="6" t="e">
        <v>#N/A</v>
      </c>
      <c r="I135" s="6">
        <v>-0.62399370423053613</v>
      </c>
      <c r="J135" s="6">
        <v>100541928</v>
      </c>
      <c r="K135" s="6">
        <v>82.456140350877206</v>
      </c>
      <c r="L135" t="s">
        <v>17</v>
      </c>
      <c r="M135" t="s">
        <v>87</v>
      </c>
      <c r="N135" s="4" t="s">
        <v>6352</v>
      </c>
      <c r="O135" s="4" t="s">
        <v>6353</v>
      </c>
      <c r="P135" s="4" t="s">
        <v>233</v>
      </c>
    </row>
    <row r="136" spans="1:16" x14ac:dyDescent="0.35">
      <c r="A136" t="s">
        <v>6354</v>
      </c>
      <c r="B136" t="s">
        <v>6355</v>
      </c>
      <c r="C136" t="s">
        <v>5839</v>
      </c>
      <c r="D136" s="6">
        <v>38924591.747254431</v>
      </c>
      <c r="E136" s="6">
        <v>40858363.747254431</v>
      </c>
      <c r="F136" s="6">
        <v>0.32499998807907104</v>
      </c>
      <c r="G136" s="6">
        <v>0.30500000715255737</v>
      </c>
      <c r="H136" s="6" t="e">
        <v>#N/A</v>
      </c>
      <c r="I136" s="6">
        <v>-3.6579563711391927E-8</v>
      </c>
      <c r="J136" s="6">
        <v>0</v>
      </c>
      <c r="K136" s="6">
        <v>-3.3525315911630633</v>
      </c>
      <c r="L136" t="s">
        <v>17</v>
      </c>
      <c r="M136" t="s">
        <v>27</v>
      </c>
      <c r="N136" s="4" t="s">
        <v>6356</v>
      </c>
      <c r="O136" s="4" t="s">
        <v>6357</v>
      </c>
      <c r="P136" s="4" t="s">
        <v>233</v>
      </c>
    </row>
    <row r="137" spans="1:16" x14ac:dyDescent="0.35">
      <c r="A137" t="s">
        <v>6358</v>
      </c>
      <c r="B137" t="s">
        <v>6359</v>
      </c>
      <c r="C137" t="s">
        <v>5839</v>
      </c>
      <c r="D137" s="6">
        <v>34743661.591850281</v>
      </c>
      <c r="E137" s="6">
        <v>25049799.799950279</v>
      </c>
      <c r="F137" s="6">
        <v>16.399999618530273</v>
      </c>
      <c r="G137" s="6">
        <v>16.75</v>
      </c>
      <c r="H137" s="6" t="e">
        <v>#N/A</v>
      </c>
      <c r="I137" s="6">
        <v>-0.78527146050058927</v>
      </c>
      <c r="J137" s="6">
        <v>0</v>
      </c>
      <c r="K137" s="6">
        <v>61.064197065443288</v>
      </c>
      <c r="L137" t="s">
        <v>17</v>
      </c>
      <c r="M137" t="s">
        <v>87</v>
      </c>
      <c r="N137" s="4" t="s">
        <v>6360</v>
      </c>
      <c r="O137" s="4" t="s">
        <v>6361</v>
      </c>
      <c r="P137" s="4" t="s">
        <v>233</v>
      </c>
    </row>
    <row r="138" spans="1:16" x14ac:dyDescent="0.35">
      <c r="A138" t="s">
        <v>6362</v>
      </c>
      <c r="B138" t="s">
        <v>6363</v>
      </c>
      <c r="C138" t="s">
        <v>5839</v>
      </c>
      <c r="D138" s="6">
        <v>169137169.79608536</v>
      </c>
      <c r="E138" s="6">
        <v>210133455.46278536</v>
      </c>
      <c r="F138" s="6">
        <v>0.51999998092651367</v>
      </c>
      <c r="G138" s="6">
        <v>0.51999998092651367</v>
      </c>
      <c r="H138" s="6" t="e">
        <v>#N/A</v>
      </c>
      <c r="I138" s="6">
        <v>-0.46846823118146708</v>
      </c>
      <c r="J138" s="6" t="e">
        <v>#N/A</v>
      </c>
      <c r="K138" s="6" t="e">
        <v>#N/A</v>
      </c>
      <c r="L138" t="s">
        <v>17</v>
      </c>
      <c r="M138" t="s">
        <v>87</v>
      </c>
      <c r="N138" s="4" t="s">
        <v>6364</v>
      </c>
      <c r="O138" s="4" t="s">
        <v>6365</v>
      </c>
      <c r="P138" s="4" t="s">
        <v>233</v>
      </c>
    </row>
    <row r="139" spans="1:16" x14ac:dyDescent="0.35">
      <c r="A139" t="s">
        <v>6366</v>
      </c>
      <c r="B139" t="s">
        <v>6367</v>
      </c>
      <c r="C139" t="s">
        <v>5839</v>
      </c>
      <c r="D139" s="6" t="e">
        <v>#N/A</v>
      </c>
      <c r="E139" s="6" t="e">
        <v>#N/A</v>
      </c>
      <c r="F139" s="6" t="e">
        <v>#N/A</v>
      </c>
      <c r="G139" s="6" t="e">
        <v>#N/A</v>
      </c>
      <c r="H139" s="6" t="e">
        <v>#N/A</v>
      </c>
      <c r="I139" s="6">
        <v>0</v>
      </c>
      <c r="J139" s="6">
        <v>6830582</v>
      </c>
      <c r="K139" s="6">
        <v>72.372087691140933</v>
      </c>
      <c r="L139" t="s">
        <v>17</v>
      </c>
      <c r="M139" t="s">
        <v>87</v>
      </c>
      <c r="N139" s="4" t="s">
        <v>6368</v>
      </c>
      <c r="O139" s="4" t="s">
        <v>6369</v>
      </c>
      <c r="P139" s="4" t="s">
        <v>233</v>
      </c>
    </row>
    <row r="140" spans="1:16" x14ac:dyDescent="0.35">
      <c r="A140" t="s">
        <v>6370</v>
      </c>
      <c r="B140" t="s">
        <v>6371</v>
      </c>
      <c r="C140" t="s">
        <v>5839</v>
      </c>
      <c r="D140" s="6">
        <v>27114929.703538802</v>
      </c>
      <c r="E140" s="6">
        <v>31627010.300590388</v>
      </c>
      <c r="F140" s="6">
        <v>0.1550000011920929</v>
      </c>
      <c r="G140" s="6">
        <v>0.1550000011920929</v>
      </c>
      <c r="H140" s="6" t="e">
        <v>#N/A</v>
      </c>
      <c r="I140" s="6">
        <v>-0.20462945724722792</v>
      </c>
      <c r="J140" s="6">
        <v>63155000</v>
      </c>
      <c r="K140" s="6">
        <v>60.000000000000007</v>
      </c>
      <c r="L140" t="s">
        <v>17</v>
      </c>
      <c r="M140" t="s">
        <v>87</v>
      </c>
      <c r="N140" s="4" t="s">
        <v>6372</v>
      </c>
      <c r="O140" s="4" t="s">
        <v>6373</v>
      </c>
      <c r="P140" s="4" t="s">
        <v>233</v>
      </c>
    </row>
    <row r="141" spans="1:16" x14ac:dyDescent="0.35">
      <c r="A141" t="s">
        <v>6374</v>
      </c>
      <c r="B141" t="s">
        <v>6375</v>
      </c>
      <c r="C141" t="s">
        <v>5839</v>
      </c>
      <c r="D141" s="6">
        <v>112468371.60943508</v>
      </c>
      <c r="E141" s="6">
        <v>112055736.81153508</v>
      </c>
      <c r="F141" s="6">
        <v>1.1100000143051147</v>
      </c>
      <c r="G141" s="6">
        <v>1.0399999618530273</v>
      </c>
      <c r="H141" s="6" t="e">
        <v>#N/A</v>
      </c>
      <c r="I141" s="6">
        <v>4.2617231854756978</v>
      </c>
      <c r="J141" s="6">
        <v>61769686.184968658</v>
      </c>
      <c r="K141" s="6">
        <v>-32.929363326619622</v>
      </c>
      <c r="L141" t="s">
        <v>17</v>
      </c>
      <c r="M141" t="s">
        <v>87</v>
      </c>
      <c r="N141" s="4" t="s">
        <v>6376</v>
      </c>
      <c r="O141" s="4" t="s">
        <v>6377</v>
      </c>
      <c r="P141" s="4" t="s">
        <v>233</v>
      </c>
    </row>
    <row r="142" spans="1:16" x14ac:dyDescent="0.35">
      <c r="A142" t="s">
        <v>6378</v>
      </c>
      <c r="B142" t="s">
        <v>6379</v>
      </c>
      <c r="C142" t="s">
        <v>5839</v>
      </c>
      <c r="D142" s="6">
        <v>1860352.4884178806</v>
      </c>
      <c r="E142" s="6">
        <v>4240118.4016178809</v>
      </c>
      <c r="F142" s="6">
        <v>1.4999999664723873E-2</v>
      </c>
      <c r="G142" s="6">
        <v>1.4999999664723873E-2</v>
      </c>
      <c r="H142" s="6">
        <v>15.904763549495508</v>
      </c>
      <c r="I142" s="6">
        <v>0.49833914447728866</v>
      </c>
      <c r="J142" s="6">
        <v>4697859.3115792312</v>
      </c>
      <c r="K142" s="6" t="e">
        <v>#N/A</v>
      </c>
      <c r="L142" t="s">
        <v>17</v>
      </c>
      <c r="M142" t="s">
        <v>32</v>
      </c>
      <c r="N142" s="4" t="s">
        <v>6380</v>
      </c>
      <c r="O142" s="4" t="s">
        <v>6381</v>
      </c>
      <c r="P142" s="4" t="s">
        <v>233</v>
      </c>
    </row>
    <row r="143" spans="1:16" x14ac:dyDescent="0.35">
      <c r="A143" t="s">
        <v>6382</v>
      </c>
      <c r="B143" t="s">
        <v>6383</v>
      </c>
      <c r="C143" t="s">
        <v>5839</v>
      </c>
      <c r="D143" s="6">
        <v>153652726.30173111</v>
      </c>
      <c r="E143" s="6">
        <v>137933692.30173111</v>
      </c>
      <c r="F143" s="6">
        <v>1.8600000143051147</v>
      </c>
      <c r="G143" s="6">
        <v>1.9099999666213989</v>
      </c>
      <c r="H143" s="6" t="e">
        <v>#N/A</v>
      </c>
      <c r="I143" s="6">
        <v>0.33706501049478854</v>
      </c>
      <c r="J143" s="6">
        <v>0</v>
      </c>
      <c r="K143" s="6">
        <v>-22.720595794259108</v>
      </c>
      <c r="L143" t="s">
        <v>17</v>
      </c>
      <c r="M143" t="s">
        <v>87</v>
      </c>
      <c r="N143" s="4" t="s">
        <v>6384</v>
      </c>
      <c r="O143" s="4" t="s">
        <v>6385</v>
      </c>
      <c r="P143" s="4" t="s">
        <v>233</v>
      </c>
    </row>
    <row r="144" spans="1:16" x14ac:dyDescent="0.35">
      <c r="A144" t="s">
        <v>6386</v>
      </c>
      <c r="B144" t="s">
        <v>6387</v>
      </c>
      <c r="C144" t="s">
        <v>5839</v>
      </c>
      <c r="D144" s="6">
        <v>1262549288.9020441</v>
      </c>
      <c r="E144" s="6">
        <v>1246918003.9030969</v>
      </c>
      <c r="F144" s="6">
        <v>6.6100001335144043</v>
      </c>
      <c r="G144" s="6">
        <v>6.559999942779541</v>
      </c>
      <c r="H144" s="6" t="e">
        <v>#N/A</v>
      </c>
      <c r="I144" s="6">
        <v>-0.43173878692600687</v>
      </c>
      <c r="J144" s="6">
        <v>1172345000</v>
      </c>
      <c r="K144" s="6">
        <v>73.308270676691734</v>
      </c>
      <c r="L144" t="s">
        <v>17</v>
      </c>
      <c r="M144" t="s">
        <v>87</v>
      </c>
      <c r="N144" s="4" t="s">
        <v>6388</v>
      </c>
      <c r="O144" s="4" t="s">
        <v>6389</v>
      </c>
      <c r="P144" s="4" t="s">
        <v>233</v>
      </c>
    </row>
    <row r="145" spans="1:16" x14ac:dyDescent="0.35">
      <c r="A145" t="s">
        <v>6390</v>
      </c>
      <c r="B145" t="s">
        <v>6391</v>
      </c>
      <c r="C145" t="s">
        <v>5839</v>
      </c>
      <c r="D145" s="6">
        <v>21480674.310453057</v>
      </c>
      <c r="E145" s="6">
        <v>16109349.257052632</v>
      </c>
      <c r="F145" s="6">
        <v>0.37999999523162842</v>
      </c>
      <c r="G145" s="6">
        <v>0.37999999523162842</v>
      </c>
      <c r="H145" s="6" t="e">
        <v>#N/A</v>
      </c>
      <c r="I145" s="6">
        <v>-0.13601764320740473</v>
      </c>
      <c r="J145" s="6">
        <v>32679327.583987545</v>
      </c>
      <c r="K145" s="6">
        <v>69.00591796890437</v>
      </c>
      <c r="L145" t="s">
        <v>17</v>
      </c>
      <c r="M145" t="s">
        <v>87</v>
      </c>
      <c r="N145" s="4" t="s">
        <v>6392</v>
      </c>
      <c r="O145" s="4" t="s">
        <v>6393</v>
      </c>
      <c r="P145" s="4" t="s">
        <v>233</v>
      </c>
    </row>
    <row r="146" spans="1:16" x14ac:dyDescent="0.35">
      <c r="A146" t="s">
        <v>6394</v>
      </c>
      <c r="B146" t="s">
        <v>6395</v>
      </c>
      <c r="C146" t="s">
        <v>5839</v>
      </c>
      <c r="D146" s="6">
        <v>304179882.02848792</v>
      </c>
      <c r="E146" s="6">
        <v>320162882.02848792</v>
      </c>
      <c r="F146" s="6">
        <v>3.7599999904632568</v>
      </c>
      <c r="G146" s="6">
        <v>3.8299999237060547</v>
      </c>
      <c r="H146" s="6">
        <v>1255.0066723842647</v>
      </c>
      <c r="I146" s="6">
        <v>0.57785915518893272</v>
      </c>
      <c r="J146" s="6">
        <v>522306000.00000006</v>
      </c>
      <c r="K146" s="6">
        <v>90.566037735849065</v>
      </c>
      <c r="L146" t="s">
        <v>17</v>
      </c>
      <c r="M146" t="s">
        <v>87</v>
      </c>
      <c r="N146" s="4" t="s">
        <v>6396</v>
      </c>
      <c r="O146" s="4" t="s">
        <v>6397</v>
      </c>
      <c r="P146" s="4" t="s">
        <v>233</v>
      </c>
    </row>
    <row r="147" spans="1:16" x14ac:dyDescent="0.35">
      <c r="A147" t="s">
        <v>6398</v>
      </c>
      <c r="B147" t="s">
        <v>6399</v>
      </c>
      <c r="C147" t="s">
        <v>5839</v>
      </c>
      <c r="D147" s="6">
        <v>211047204.18314484</v>
      </c>
      <c r="E147" s="6">
        <v>190168005.18314484</v>
      </c>
      <c r="F147" s="6">
        <v>2.9900000095367432</v>
      </c>
      <c r="G147" s="6">
        <v>2.9700000286102295</v>
      </c>
      <c r="H147" s="6" t="e">
        <v>#N/A</v>
      </c>
      <c r="I147" s="6">
        <v>-5.3654493578355389E-2</v>
      </c>
      <c r="J147" s="6">
        <v>0</v>
      </c>
      <c r="K147" s="6">
        <v>-10.175003778147186</v>
      </c>
      <c r="L147" t="s">
        <v>17</v>
      </c>
      <c r="M147" t="s">
        <v>87</v>
      </c>
      <c r="N147" s="4" t="s">
        <v>6400</v>
      </c>
      <c r="O147" s="4" t="s">
        <v>6401</v>
      </c>
      <c r="P147" s="4" t="s">
        <v>233</v>
      </c>
    </row>
    <row r="148" spans="1:16" x14ac:dyDescent="0.35">
      <c r="A148" t="s">
        <v>6402</v>
      </c>
      <c r="B148" t="s">
        <v>6403</v>
      </c>
      <c r="C148" t="s">
        <v>5839</v>
      </c>
      <c r="D148" s="6">
        <v>599854284.19221175</v>
      </c>
      <c r="E148" s="6">
        <v>866232179.10155225</v>
      </c>
      <c r="F148" s="6">
        <v>1.2799999713897705</v>
      </c>
      <c r="G148" s="6">
        <v>1.2799999713897705</v>
      </c>
      <c r="H148" s="6" t="e">
        <v>#N/A</v>
      </c>
      <c r="I148" s="6">
        <v>-0.51783433759505693</v>
      </c>
      <c r="J148" s="6">
        <v>736671000</v>
      </c>
      <c r="K148" s="6">
        <v>82.857231129411801</v>
      </c>
      <c r="L148" t="s">
        <v>17</v>
      </c>
      <c r="M148" t="s">
        <v>87</v>
      </c>
      <c r="N148" s="4" t="s">
        <v>6404</v>
      </c>
      <c r="O148" s="4" t="s">
        <v>6405</v>
      </c>
      <c r="P148" s="4" t="s">
        <v>233</v>
      </c>
    </row>
    <row r="149" spans="1:16" x14ac:dyDescent="0.35">
      <c r="A149" t="s">
        <v>6406</v>
      </c>
      <c r="B149" t="s">
        <v>6407</v>
      </c>
      <c r="C149" t="s">
        <v>5839</v>
      </c>
      <c r="D149" s="6">
        <v>3907908.6226514336</v>
      </c>
      <c r="E149" s="6">
        <v>82296084.514322698</v>
      </c>
      <c r="F149" s="6">
        <v>9.9999997764825821E-3</v>
      </c>
      <c r="G149" s="6">
        <v>0.01</v>
      </c>
      <c r="H149" s="6" t="e">
        <v>#N/A</v>
      </c>
      <c r="I149" s="6">
        <v>-0.79911859368371774</v>
      </c>
      <c r="J149" s="6">
        <v>128590000</v>
      </c>
      <c r="K149" s="6">
        <v>29.426665942245524</v>
      </c>
      <c r="L149" t="s">
        <v>17</v>
      </c>
      <c r="M149" t="s">
        <v>87</v>
      </c>
      <c r="N149" s="4" t="s">
        <v>6408</v>
      </c>
      <c r="O149" s="4" t="s">
        <v>6409</v>
      </c>
      <c r="P149" s="4" t="s">
        <v>233</v>
      </c>
    </row>
    <row r="150" spans="1:16" x14ac:dyDescent="0.35">
      <c r="A150" t="s">
        <v>6410</v>
      </c>
      <c r="B150" t="s">
        <v>6411</v>
      </c>
      <c r="C150" t="s">
        <v>5839</v>
      </c>
      <c r="D150" s="6" t="e">
        <v>#N/A</v>
      </c>
      <c r="E150" s="6" t="e">
        <v>#N/A</v>
      </c>
      <c r="F150" s="6" t="e">
        <v>#N/A</v>
      </c>
      <c r="G150" s="6" t="e">
        <v>#N/A</v>
      </c>
      <c r="H150" s="6" t="e">
        <v>#N/A</v>
      </c>
      <c r="I150" s="6">
        <v>0</v>
      </c>
      <c r="J150" s="6">
        <v>4146412</v>
      </c>
      <c r="K150" s="6">
        <v>43.418348345448777</v>
      </c>
      <c r="L150" t="s">
        <v>17</v>
      </c>
      <c r="M150" t="s">
        <v>40</v>
      </c>
      <c r="N150" s="4" t="s">
        <v>6412</v>
      </c>
      <c r="O150" s="4" t="s">
        <v>6413</v>
      </c>
      <c r="P150" s="4" t="s">
        <v>233</v>
      </c>
    </row>
    <row r="151" spans="1:16" x14ac:dyDescent="0.35">
      <c r="A151" t="s">
        <v>6414</v>
      </c>
      <c r="B151" t="s">
        <v>6415</v>
      </c>
      <c r="C151" t="s">
        <v>5839</v>
      </c>
      <c r="D151" s="6">
        <v>27553872.5</v>
      </c>
      <c r="E151" s="6">
        <v>34444801.5</v>
      </c>
      <c r="F151" s="6">
        <v>0.25</v>
      </c>
      <c r="G151" s="6">
        <v>0.27000001072883606</v>
      </c>
      <c r="H151" s="6" t="e">
        <v>#N/A</v>
      </c>
      <c r="I151" s="6">
        <v>-0.37419688261768758</v>
      </c>
      <c r="J151" s="6">
        <v>24895803</v>
      </c>
      <c r="K151" s="6">
        <v>43.512641907735045</v>
      </c>
      <c r="L151" t="s">
        <v>17</v>
      </c>
      <c r="M151" t="s">
        <v>87</v>
      </c>
      <c r="N151" s="4" t="s">
        <v>6416</v>
      </c>
      <c r="O151" s="4" t="s">
        <v>6417</v>
      </c>
      <c r="P151" s="4" t="s">
        <v>233</v>
      </c>
    </row>
    <row r="152" spans="1:16" x14ac:dyDescent="0.35">
      <c r="A152" t="s">
        <v>6418</v>
      </c>
      <c r="B152" t="s">
        <v>6419</v>
      </c>
      <c r="C152" t="s">
        <v>5839</v>
      </c>
      <c r="D152" s="6">
        <v>37198208.768555231</v>
      </c>
      <c r="E152" s="6">
        <v>471913041.73876148</v>
      </c>
      <c r="F152" s="6">
        <v>7.9999998211860657E-2</v>
      </c>
      <c r="G152" s="6">
        <v>9.4999998807907104E-2</v>
      </c>
      <c r="H152" s="6" t="e">
        <v>#N/A</v>
      </c>
      <c r="I152" s="6">
        <v>-0.85889411239859581</v>
      </c>
      <c r="J152" s="6">
        <v>490949000</v>
      </c>
      <c r="K152" s="6">
        <v>70.135644250133126</v>
      </c>
      <c r="L152" t="s">
        <v>17</v>
      </c>
      <c r="M152" t="s">
        <v>87</v>
      </c>
      <c r="N152" s="4" t="s">
        <v>6420</v>
      </c>
      <c r="O152" s="4" t="s">
        <v>6421</v>
      </c>
      <c r="P152" s="4" t="s">
        <v>233</v>
      </c>
    </row>
    <row r="153" spans="1:16" x14ac:dyDescent="0.35">
      <c r="A153" t="s">
        <v>6422</v>
      </c>
      <c r="B153" t="s">
        <v>6423</v>
      </c>
      <c r="C153" t="s">
        <v>5839</v>
      </c>
      <c r="D153" s="6">
        <v>33556034.818396963</v>
      </c>
      <c r="E153" s="6">
        <v>53404892.788095534</v>
      </c>
      <c r="F153" s="6">
        <v>0.13500000536441803</v>
      </c>
      <c r="G153" s="6">
        <v>0.14000000059604645</v>
      </c>
      <c r="H153" s="6" t="e">
        <v>#N/A</v>
      </c>
      <c r="I153" s="6">
        <v>-0.61871239651707799</v>
      </c>
      <c r="J153" s="6" t="e">
        <v>#N/A</v>
      </c>
      <c r="K153" s="6" t="e">
        <v>#N/A</v>
      </c>
      <c r="L153" t="s">
        <v>17</v>
      </c>
      <c r="M153" t="s">
        <v>87</v>
      </c>
      <c r="N153" s="4" t="s">
        <v>6424</v>
      </c>
      <c r="O153" s="4" t="s">
        <v>6425</v>
      </c>
      <c r="P153" s="4" t="s">
        <v>233</v>
      </c>
    </row>
    <row r="154" spans="1:16" x14ac:dyDescent="0.35">
      <c r="A154" t="s">
        <v>6426</v>
      </c>
      <c r="B154" t="s">
        <v>6427</v>
      </c>
      <c r="C154" t="s">
        <v>5839</v>
      </c>
      <c r="D154" s="6">
        <v>54518270.805885851</v>
      </c>
      <c r="E154" s="6">
        <v>50105533.905885853</v>
      </c>
      <c r="F154" s="6">
        <v>0.18999999761581421</v>
      </c>
      <c r="G154" s="6">
        <v>0.18500000238418579</v>
      </c>
      <c r="H154" s="6" t="e">
        <v>#N/A</v>
      </c>
      <c r="I154" s="6">
        <v>-0.38627643640635734</v>
      </c>
      <c r="J154" s="6">
        <v>39378949.26615385</v>
      </c>
      <c r="K154" s="6">
        <v>65.74475874839257</v>
      </c>
      <c r="L154" t="s">
        <v>17</v>
      </c>
      <c r="M154" t="s">
        <v>87</v>
      </c>
      <c r="N154" s="4" t="s">
        <v>6428</v>
      </c>
      <c r="O154" s="4" t="s">
        <v>6429</v>
      </c>
      <c r="P154" s="4" t="s">
        <v>233</v>
      </c>
    </row>
    <row r="155" spans="1:16" x14ac:dyDescent="0.35">
      <c r="A155" t="s">
        <v>6430</v>
      </c>
      <c r="B155" t="s">
        <v>6431</v>
      </c>
      <c r="C155" t="s">
        <v>5839</v>
      </c>
      <c r="D155" s="6">
        <v>4244314.2180700609</v>
      </c>
      <c r="E155" s="6">
        <v>12732727.979064925</v>
      </c>
      <c r="F155" s="6">
        <v>3.5000000149011612E-2</v>
      </c>
      <c r="G155" s="6">
        <v>2.9999999329447746E-2</v>
      </c>
      <c r="H155" s="6" t="e">
        <v>#N/A</v>
      </c>
      <c r="I155" s="6">
        <v>0.16617540223995797</v>
      </c>
      <c r="J155" s="6">
        <v>494784</v>
      </c>
      <c r="K155" s="6">
        <v>53.010044246358568</v>
      </c>
      <c r="L155" t="s">
        <v>17</v>
      </c>
      <c r="M155" t="s">
        <v>87</v>
      </c>
      <c r="N155" s="4" t="s">
        <v>6432</v>
      </c>
      <c r="O155" s="4" t="s">
        <v>6433</v>
      </c>
      <c r="P155" s="4" t="s">
        <v>233</v>
      </c>
    </row>
    <row r="156" spans="1:16" x14ac:dyDescent="0.35">
      <c r="A156" t="s">
        <v>6434</v>
      </c>
      <c r="B156" t="s">
        <v>6435</v>
      </c>
      <c r="C156" t="s">
        <v>5839</v>
      </c>
      <c r="D156" s="6">
        <v>49329915.94537168</v>
      </c>
      <c r="E156" s="6">
        <v>53860415.94537168</v>
      </c>
      <c r="F156" s="6">
        <v>0.43500000238418579</v>
      </c>
      <c r="G156" s="6">
        <v>0.43999999761581421</v>
      </c>
      <c r="H156" s="6" t="e">
        <v>#N/A</v>
      </c>
      <c r="I156" s="6">
        <v>-0.33003445053677272</v>
      </c>
      <c r="J156" s="6">
        <v>372247</v>
      </c>
      <c r="K156" s="6">
        <v>46.666666666666664</v>
      </c>
      <c r="L156" t="s">
        <v>17</v>
      </c>
      <c r="M156" t="s">
        <v>87</v>
      </c>
      <c r="N156" s="4" t="s">
        <v>6436</v>
      </c>
      <c r="O156" s="4" t="s">
        <v>6437</v>
      </c>
      <c r="P156" s="4" t="s">
        <v>233</v>
      </c>
    </row>
    <row r="157" spans="1:16" x14ac:dyDescent="0.35">
      <c r="A157" t="s">
        <v>6438</v>
      </c>
      <c r="B157" t="s">
        <v>6439</v>
      </c>
      <c r="C157" t="s">
        <v>5839</v>
      </c>
      <c r="D157" s="6">
        <v>9410628.4528741818</v>
      </c>
      <c r="E157" s="6">
        <v>8135628.4528741818</v>
      </c>
      <c r="F157" s="6">
        <v>3.0499999523162842</v>
      </c>
      <c r="G157" s="6">
        <v>3.0499999523162842</v>
      </c>
      <c r="H157" s="6" t="e">
        <v>#N/A</v>
      </c>
      <c r="I157" s="6">
        <v>0.66434541882099185</v>
      </c>
      <c r="J157" s="6">
        <v>48804000</v>
      </c>
      <c r="K157" s="6">
        <v>76.357827476038338</v>
      </c>
      <c r="L157" t="s">
        <v>17</v>
      </c>
      <c r="M157" t="s">
        <v>87</v>
      </c>
      <c r="N157" s="4" t="s">
        <v>6440</v>
      </c>
      <c r="O157" s="4" t="s">
        <v>6441</v>
      </c>
      <c r="P157" s="4" t="s">
        <v>233</v>
      </c>
    </row>
    <row r="158" spans="1:16" x14ac:dyDescent="0.35">
      <c r="A158" t="s">
        <v>6442</v>
      </c>
      <c r="B158" t="s">
        <v>6443</v>
      </c>
      <c r="C158" t="s">
        <v>5839</v>
      </c>
      <c r="D158" s="6">
        <v>2387786.34</v>
      </c>
      <c r="E158" s="6">
        <v>-14735502.66</v>
      </c>
      <c r="F158" s="6">
        <v>0.02</v>
      </c>
      <c r="G158" s="6">
        <v>0.02</v>
      </c>
      <c r="H158" s="6" t="e">
        <v>#N/A</v>
      </c>
      <c r="I158" s="6">
        <v>-0.4276970431948387</v>
      </c>
      <c r="J158" s="6">
        <v>4116048</v>
      </c>
      <c r="K158" s="6" t="e">
        <v>#N/A</v>
      </c>
      <c r="L158" t="s">
        <v>17</v>
      </c>
      <c r="M158" t="s">
        <v>87</v>
      </c>
      <c r="N158" s="4" t="s">
        <v>6444</v>
      </c>
      <c r="O158" s="4" t="s">
        <v>6445</v>
      </c>
      <c r="P158" s="4" t="s">
        <v>233</v>
      </c>
    </row>
    <row r="159" spans="1:16" x14ac:dyDescent="0.35">
      <c r="A159" t="s">
        <v>6446</v>
      </c>
      <c r="B159" t="s">
        <v>6447</v>
      </c>
      <c r="C159" t="s">
        <v>5839</v>
      </c>
      <c r="D159" s="6">
        <v>1696553186</v>
      </c>
      <c r="E159" s="6">
        <v>1764695186</v>
      </c>
      <c r="F159" s="6">
        <v>46</v>
      </c>
      <c r="G159" s="6">
        <v>46.290000915527344</v>
      </c>
      <c r="H159" s="6">
        <v>29.11392405063291</v>
      </c>
      <c r="I159" s="6">
        <v>0.17878595863787816</v>
      </c>
      <c r="J159" s="6">
        <v>651251000</v>
      </c>
      <c r="K159" s="6">
        <v>-1.1774704397108435</v>
      </c>
      <c r="L159" t="s">
        <v>17</v>
      </c>
      <c r="M159" t="s">
        <v>40</v>
      </c>
      <c r="N159" s="4" t="s">
        <v>6448</v>
      </c>
      <c r="O159" s="4" t="s">
        <v>6449</v>
      </c>
      <c r="P159" s="4" t="s">
        <v>233</v>
      </c>
    </row>
    <row r="160" spans="1:16" x14ac:dyDescent="0.35">
      <c r="A160" t="s">
        <v>6450</v>
      </c>
      <c r="B160" t="s">
        <v>6451</v>
      </c>
      <c r="C160" t="s">
        <v>5839</v>
      </c>
      <c r="D160" s="6">
        <v>11801268.411546916</v>
      </c>
      <c r="E160" s="6">
        <v>16855268.411546916</v>
      </c>
      <c r="F160" s="6">
        <v>0.20999999344348907</v>
      </c>
      <c r="G160" s="6">
        <v>0.21500000357627869</v>
      </c>
      <c r="H160" s="6" t="e">
        <v>#N/A</v>
      </c>
      <c r="I160" s="6">
        <v>0.16617536097831853</v>
      </c>
      <c r="J160" s="6">
        <v>66102000.000000007</v>
      </c>
      <c r="K160" s="6">
        <v>100</v>
      </c>
      <c r="L160" t="s">
        <v>17</v>
      </c>
      <c r="M160" t="s">
        <v>40</v>
      </c>
      <c r="N160" s="4" t="s">
        <v>6452</v>
      </c>
      <c r="O160" s="4" t="s">
        <v>6453</v>
      </c>
      <c r="P160" s="4" t="s">
        <v>233</v>
      </c>
    </row>
    <row r="161" spans="1:16" x14ac:dyDescent="0.35">
      <c r="A161" t="s">
        <v>6454</v>
      </c>
      <c r="B161" t="s">
        <v>6455</v>
      </c>
      <c r="C161" t="s">
        <v>5839</v>
      </c>
      <c r="D161" s="6">
        <v>866326.5149999999</v>
      </c>
      <c r="E161" s="6">
        <v>5245993.5149999997</v>
      </c>
      <c r="F161" s="6">
        <v>5.0000000000000001E-3</v>
      </c>
      <c r="G161" s="6">
        <v>5.0000000000000001E-3</v>
      </c>
      <c r="H161" s="6" t="e">
        <v>#N/A</v>
      </c>
      <c r="I161" s="6">
        <v>-0.90849335133819675</v>
      </c>
      <c r="J161" s="6">
        <v>9783546</v>
      </c>
      <c r="K161" s="6">
        <v>42.857142857142861</v>
      </c>
      <c r="L161" t="s">
        <v>17</v>
      </c>
      <c r="M161" t="s">
        <v>40</v>
      </c>
      <c r="N161" s="4" t="s">
        <v>6456</v>
      </c>
      <c r="O161" s="4" t="s">
        <v>6457</v>
      </c>
      <c r="P161" s="4" t="s">
        <v>233</v>
      </c>
    </row>
    <row r="162" spans="1:16" x14ac:dyDescent="0.35">
      <c r="A162" t="s">
        <v>6458</v>
      </c>
      <c r="B162" t="s">
        <v>6459</v>
      </c>
      <c r="C162" t="s">
        <v>5839</v>
      </c>
      <c r="D162" s="6">
        <v>7386473.8200000012</v>
      </c>
      <c r="E162" s="6">
        <v>15050473.82</v>
      </c>
      <c r="F162" s="6">
        <v>9.5000000000000001E-2</v>
      </c>
      <c r="G162" s="6">
        <v>9.5000000000000001E-2</v>
      </c>
      <c r="H162" s="6" t="e">
        <v>#N/A</v>
      </c>
      <c r="I162" s="6">
        <v>0.58134662218490107</v>
      </c>
      <c r="J162" s="6">
        <v>14425000</v>
      </c>
      <c r="K162" s="6">
        <v>82.223197629759667</v>
      </c>
      <c r="L162" t="s">
        <v>17</v>
      </c>
      <c r="M162" t="s">
        <v>32</v>
      </c>
      <c r="N162" s="4" t="s">
        <v>6460</v>
      </c>
      <c r="O162" s="4" t="s">
        <v>6461</v>
      </c>
      <c r="P162" s="4" t="s">
        <v>233</v>
      </c>
    </row>
    <row r="163" spans="1:16" x14ac:dyDescent="0.35">
      <c r="A163" t="s">
        <v>6462</v>
      </c>
      <c r="B163" t="s">
        <v>6463</v>
      </c>
      <c r="C163" t="s">
        <v>5839</v>
      </c>
      <c r="D163" s="6">
        <v>293762529.47007918</v>
      </c>
      <c r="E163" s="6">
        <v>288688529.47007918</v>
      </c>
      <c r="F163" s="6">
        <v>1.7400000095367432</v>
      </c>
      <c r="G163" s="6">
        <v>1.6799999475479126</v>
      </c>
      <c r="H163" s="6" t="e">
        <v>#N/A</v>
      </c>
      <c r="I163" s="6">
        <v>1.1175939066189211</v>
      </c>
      <c r="J163" s="6">
        <v>7317000</v>
      </c>
      <c r="K163" s="6">
        <v>-33.440476190476197</v>
      </c>
      <c r="L163" t="s">
        <v>17</v>
      </c>
      <c r="M163" t="s">
        <v>40</v>
      </c>
      <c r="N163" s="4" t="s">
        <v>6464</v>
      </c>
      <c r="O163" s="4" t="s">
        <v>6465</v>
      </c>
      <c r="P163" s="4" t="s">
        <v>233</v>
      </c>
    </row>
    <row r="164" spans="1:16" x14ac:dyDescent="0.35">
      <c r="A164" t="s">
        <v>6466</v>
      </c>
      <c r="B164" t="s">
        <v>6467</v>
      </c>
      <c r="C164" t="s">
        <v>5839</v>
      </c>
      <c r="D164" s="6">
        <v>2106231.33</v>
      </c>
      <c r="E164" s="6">
        <v>23717927.329999998</v>
      </c>
      <c r="F164" s="6">
        <v>1.4999999999999999E-2</v>
      </c>
      <c r="G164" s="6">
        <v>1.4999999999999999E-2</v>
      </c>
      <c r="H164" s="6" t="e">
        <v>#N/A</v>
      </c>
      <c r="I164" s="6">
        <v>-0.49905218039388222</v>
      </c>
      <c r="J164" s="6">
        <v>0</v>
      </c>
      <c r="K164" s="6">
        <v>-683.16928458742041</v>
      </c>
      <c r="L164" t="s">
        <v>17</v>
      </c>
      <c r="M164" t="s">
        <v>18</v>
      </c>
      <c r="N164" s="4" t="s">
        <v>6468</v>
      </c>
      <c r="O164" s="4" t="s">
        <v>6469</v>
      </c>
      <c r="P164" s="4" t="s">
        <v>233</v>
      </c>
    </row>
    <row r="165" spans="1:16" x14ac:dyDescent="0.35">
      <c r="A165" t="s">
        <v>6470</v>
      </c>
      <c r="B165" t="s">
        <v>6471</v>
      </c>
      <c r="C165" t="s">
        <v>5839</v>
      </c>
      <c r="D165" s="6">
        <v>453110961.32846832</v>
      </c>
      <c r="E165" s="6">
        <v>447470253.32846832</v>
      </c>
      <c r="F165" s="6">
        <v>65.209999084472656</v>
      </c>
      <c r="G165" s="6">
        <v>63.5</v>
      </c>
      <c r="H165" s="6" t="e">
        <v>#N/A</v>
      </c>
      <c r="I165" s="6">
        <v>22.854523005183697</v>
      </c>
      <c r="J165" s="6">
        <v>0</v>
      </c>
      <c r="K165" s="6">
        <v>67.171717171717177</v>
      </c>
      <c r="L165" t="s">
        <v>17</v>
      </c>
      <c r="M165" t="s">
        <v>18</v>
      </c>
      <c r="N165" s="4" t="s">
        <v>6472</v>
      </c>
      <c r="O165" s="4" t="s">
        <v>6473</v>
      </c>
      <c r="P165" s="4" t="s">
        <v>233</v>
      </c>
    </row>
    <row r="166" spans="1:16" x14ac:dyDescent="0.35">
      <c r="A166" t="s">
        <v>6474</v>
      </c>
      <c r="B166" t="s">
        <v>6475</v>
      </c>
      <c r="C166" t="s">
        <v>5839</v>
      </c>
      <c r="D166" s="6">
        <v>160743637.6877155</v>
      </c>
      <c r="E166" s="6">
        <v>150632441.6877155</v>
      </c>
      <c r="F166" s="6">
        <v>4.5100002288818359</v>
      </c>
      <c r="G166" s="6">
        <v>4.4800000190734863</v>
      </c>
      <c r="H166" s="6" t="e">
        <v>#N/A</v>
      </c>
      <c r="I166" s="6">
        <v>-0.39702865571824031</v>
      </c>
      <c r="J166" s="6">
        <v>0</v>
      </c>
      <c r="K166" s="6">
        <v>22.981591329683884</v>
      </c>
      <c r="L166" t="s">
        <v>17</v>
      </c>
      <c r="M166" t="s">
        <v>18</v>
      </c>
      <c r="N166" s="4" t="s">
        <v>6476</v>
      </c>
      <c r="O166" s="4" t="s">
        <v>6477</v>
      </c>
      <c r="P166" s="4" t="s">
        <v>233</v>
      </c>
    </row>
    <row r="167" spans="1:16" x14ac:dyDescent="0.35">
      <c r="A167" t="s">
        <v>6478</v>
      </c>
      <c r="B167" t="s">
        <v>6479</v>
      </c>
      <c r="C167" t="s">
        <v>5839</v>
      </c>
      <c r="D167" s="6">
        <v>584758080.98935962</v>
      </c>
      <c r="E167" s="6">
        <v>866761266.14288163</v>
      </c>
      <c r="F167" s="6">
        <v>1.6299999952316284</v>
      </c>
      <c r="G167" s="6">
        <v>1.690000057220459</v>
      </c>
      <c r="H167" s="6" t="e">
        <v>#N/A</v>
      </c>
      <c r="I167" s="6">
        <v>-0.79066513912241776</v>
      </c>
      <c r="J167" s="6">
        <v>897568000</v>
      </c>
      <c r="K167" s="6">
        <v>43.916128936274376</v>
      </c>
      <c r="L167" t="s">
        <v>17</v>
      </c>
      <c r="M167" t="s">
        <v>87</v>
      </c>
      <c r="N167" s="4" t="s">
        <v>6480</v>
      </c>
      <c r="O167" s="4" t="s">
        <v>6481</v>
      </c>
      <c r="P167" s="4" t="s">
        <v>233</v>
      </c>
    </row>
    <row r="168" spans="1:16" x14ac:dyDescent="0.35">
      <c r="A168" t="s">
        <v>6482</v>
      </c>
      <c r="B168" t="s">
        <v>6483</v>
      </c>
      <c r="C168" t="s">
        <v>5839</v>
      </c>
      <c r="D168" s="6">
        <v>30238380.115876079</v>
      </c>
      <c r="E168" s="6">
        <v>29522851.115876079</v>
      </c>
      <c r="F168" s="6">
        <v>0.5899999737739563</v>
      </c>
      <c r="G168" s="6">
        <v>0.60000002384185791</v>
      </c>
      <c r="H168" s="6" t="e">
        <v>#N/A</v>
      </c>
      <c r="I168" s="6">
        <v>0.20347075449781271</v>
      </c>
      <c r="J168" s="6">
        <v>0</v>
      </c>
      <c r="K168" s="6">
        <v>56.666666666666671</v>
      </c>
      <c r="L168" t="s">
        <v>17</v>
      </c>
      <c r="M168" t="s">
        <v>32</v>
      </c>
      <c r="N168" s="4" t="s">
        <v>6484</v>
      </c>
      <c r="O168" s="4" t="s">
        <v>6485</v>
      </c>
      <c r="P168" s="4" t="s">
        <v>233</v>
      </c>
    </row>
    <row r="169" spans="1:16" x14ac:dyDescent="0.35">
      <c r="A169" t="s">
        <v>6486</v>
      </c>
      <c r="B169" t="s">
        <v>6487</v>
      </c>
      <c r="C169" t="s">
        <v>5839</v>
      </c>
      <c r="D169" s="6">
        <v>1531306242.7110102</v>
      </c>
      <c r="E169" s="6">
        <v>2819406242.71101</v>
      </c>
      <c r="F169" s="6">
        <v>7.7699999809265137</v>
      </c>
      <c r="G169" s="6">
        <v>7.6599998474121094</v>
      </c>
      <c r="H169" s="6" t="e">
        <v>#N/A</v>
      </c>
      <c r="I169" s="6">
        <v>0.14727854676897678</v>
      </c>
      <c r="J169" s="6">
        <v>1509800000</v>
      </c>
      <c r="K169" s="6">
        <v>-85.847826086956502</v>
      </c>
      <c r="L169" t="s">
        <v>17</v>
      </c>
      <c r="M169" t="s">
        <v>40</v>
      </c>
      <c r="N169" s="4" t="s">
        <v>6488</v>
      </c>
      <c r="O169" s="4" t="s">
        <v>6489</v>
      </c>
      <c r="P169" s="4" t="s">
        <v>233</v>
      </c>
    </row>
    <row r="170" spans="1:16" x14ac:dyDescent="0.35">
      <c r="A170" t="s">
        <v>6490</v>
      </c>
      <c r="B170" t="s">
        <v>6491</v>
      </c>
      <c r="C170" t="s">
        <v>5839</v>
      </c>
      <c r="D170" s="6">
        <v>63481427.373343721</v>
      </c>
      <c r="E170" s="6">
        <v>65120986.373343721</v>
      </c>
      <c r="F170" s="6">
        <v>1.1599999666213989</v>
      </c>
      <c r="G170" s="6">
        <v>1.1200000047683716</v>
      </c>
      <c r="H170" s="6" t="e">
        <v>#N/A</v>
      </c>
      <c r="I170" s="6">
        <v>-0.42769705961766469</v>
      </c>
      <c r="J170" s="6">
        <v>0</v>
      </c>
      <c r="K170" s="6">
        <v>-76.470588235294102</v>
      </c>
      <c r="L170" t="s">
        <v>17</v>
      </c>
      <c r="M170" t="s">
        <v>18</v>
      </c>
      <c r="N170" s="4" t="s">
        <v>6492</v>
      </c>
      <c r="O170" s="4" t="s">
        <v>6493</v>
      </c>
      <c r="P170" s="4" t="s">
        <v>233</v>
      </c>
    </row>
    <row r="171" spans="1:16" x14ac:dyDescent="0.35">
      <c r="A171" t="s">
        <v>13400</v>
      </c>
      <c r="B171" t="s">
        <v>13401</v>
      </c>
      <c r="C171" t="s">
        <v>5839</v>
      </c>
      <c r="D171" s="6">
        <v>76737602.110830486</v>
      </c>
      <c r="E171" s="6">
        <v>78296846.110830486</v>
      </c>
      <c r="F171" s="6">
        <v>0.70999997854232788</v>
      </c>
      <c r="G171" s="6">
        <v>0.74000000953674316</v>
      </c>
      <c r="H171" s="6">
        <v>32.989498120171355</v>
      </c>
      <c r="I171" s="6">
        <v>2.5377324387356204</v>
      </c>
      <c r="J171" s="6">
        <v>11460688</v>
      </c>
      <c r="K171" s="6" t="e">
        <v>#N/A</v>
      </c>
      <c r="L171" t="s">
        <v>17</v>
      </c>
      <c r="M171" t="s">
        <v>87</v>
      </c>
      <c r="N171" s="4" t="s">
        <v>13402</v>
      </c>
      <c r="O171" s="4" t="s">
        <v>13403</v>
      </c>
      <c r="P171" s="4" t="s">
        <v>233</v>
      </c>
    </row>
    <row r="172" spans="1:16" x14ac:dyDescent="0.35">
      <c r="A172" t="s">
        <v>6494</v>
      </c>
      <c r="B172" t="s">
        <v>6495</v>
      </c>
      <c r="C172" t="s">
        <v>5839</v>
      </c>
      <c r="D172" s="6">
        <v>77783564.826915741</v>
      </c>
      <c r="E172" s="6">
        <v>77718662.826915741</v>
      </c>
      <c r="F172" s="6">
        <v>1.0399999618530273</v>
      </c>
      <c r="G172" s="6">
        <v>1.0299999713897705</v>
      </c>
      <c r="H172" s="6" t="e">
        <v>#N/A</v>
      </c>
      <c r="I172" s="6">
        <v>1.6259563024327894</v>
      </c>
      <c r="J172" s="6">
        <v>456127</v>
      </c>
      <c r="K172" s="6">
        <v>82.142857142857153</v>
      </c>
      <c r="L172" t="s">
        <v>17</v>
      </c>
      <c r="M172" t="s">
        <v>32</v>
      </c>
      <c r="N172" s="4" t="s">
        <v>6496</v>
      </c>
      <c r="O172" s="4" t="s">
        <v>6497</v>
      </c>
      <c r="P172" s="4" t="s">
        <v>233</v>
      </c>
    </row>
    <row r="173" spans="1:16" x14ac:dyDescent="0.35">
      <c r="A173" t="s">
        <v>6498</v>
      </c>
      <c r="B173" t="s">
        <v>6499</v>
      </c>
      <c r="C173" t="s">
        <v>5839</v>
      </c>
      <c r="D173" s="6">
        <v>3957949.1850000005</v>
      </c>
      <c r="E173" s="6">
        <v>3550648.1850000005</v>
      </c>
      <c r="F173" s="6" t="e">
        <v>#N/A</v>
      </c>
      <c r="G173" s="6" t="e">
        <v>#N/A</v>
      </c>
      <c r="H173" s="6" t="e">
        <v>#N/A</v>
      </c>
      <c r="I173" s="6">
        <v>-0.17348170621022385</v>
      </c>
      <c r="J173" s="6">
        <v>87373</v>
      </c>
      <c r="K173" s="6">
        <v>63.888888888888893</v>
      </c>
      <c r="L173" t="s">
        <v>17</v>
      </c>
      <c r="M173" t="s">
        <v>18</v>
      </c>
      <c r="N173" s="4" t="s">
        <v>6500</v>
      </c>
      <c r="O173" s="4" t="s">
        <v>6501</v>
      </c>
      <c r="P173" s="4" t="s">
        <v>233</v>
      </c>
    </row>
    <row r="174" spans="1:16" x14ac:dyDescent="0.35">
      <c r="A174" t="s">
        <v>6502</v>
      </c>
      <c r="B174" t="s">
        <v>6503</v>
      </c>
      <c r="C174" t="s">
        <v>5839</v>
      </c>
      <c r="D174" s="6">
        <v>29157121.600523114</v>
      </c>
      <c r="E174" s="6">
        <v>30336439.381723113</v>
      </c>
      <c r="F174" s="6">
        <v>0.38999998569488525</v>
      </c>
      <c r="G174" s="6">
        <v>0.38999998569488525</v>
      </c>
      <c r="H174" s="6" t="e">
        <v>#N/A</v>
      </c>
      <c r="I174" s="6">
        <v>1.8805272976074723</v>
      </c>
      <c r="J174" s="6">
        <v>374068.2398834615</v>
      </c>
      <c r="K174" s="6">
        <v>49.866270453381766</v>
      </c>
      <c r="L174" t="s">
        <v>17</v>
      </c>
      <c r="M174" t="s">
        <v>87</v>
      </c>
      <c r="N174" s="4" t="s">
        <v>6504</v>
      </c>
      <c r="O174" s="4" t="s">
        <v>6505</v>
      </c>
      <c r="P174" s="4" t="s">
        <v>233</v>
      </c>
    </row>
    <row r="175" spans="1:16" x14ac:dyDescent="0.35">
      <c r="A175" t="s">
        <v>6506</v>
      </c>
      <c r="B175" t="s">
        <v>6507</v>
      </c>
      <c r="C175" t="s">
        <v>5839</v>
      </c>
      <c r="D175" s="6">
        <v>8373080486.8985033</v>
      </c>
      <c r="E175" s="6">
        <v>10242901905.521473</v>
      </c>
      <c r="F175" s="6">
        <v>23.760000228881836</v>
      </c>
      <c r="G175" s="6">
        <v>23.219999313354492</v>
      </c>
      <c r="H175" s="6" t="e">
        <v>#N/A</v>
      </c>
      <c r="I175" s="6">
        <v>0.21407852419164786</v>
      </c>
      <c r="J175" s="6">
        <v>4684000000</v>
      </c>
      <c r="K175" s="6">
        <v>-77.742524757234875</v>
      </c>
      <c r="L175" t="s">
        <v>17</v>
      </c>
      <c r="M175" t="s">
        <v>27</v>
      </c>
      <c r="N175" s="4" t="s">
        <v>6508</v>
      </c>
      <c r="O175" s="4" t="s">
        <v>6509</v>
      </c>
      <c r="P175" s="4" t="s">
        <v>233</v>
      </c>
    </row>
    <row r="176" spans="1:16" x14ac:dyDescent="0.35">
      <c r="A176" t="s">
        <v>6510</v>
      </c>
      <c r="B176" t="s">
        <v>6511</v>
      </c>
      <c r="C176" t="s">
        <v>5839</v>
      </c>
      <c r="D176" s="6">
        <v>41760101.965570457</v>
      </c>
      <c r="E176" s="6">
        <v>41645324.965570457</v>
      </c>
      <c r="F176" s="6">
        <v>3.8499999046325684</v>
      </c>
      <c r="G176" s="6">
        <v>3.8499999046325684</v>
      </c>
      <c r="H176" s="6" t="e">
        <v>#N/A</v>
      </c>
      <c r="I176" s="6">
        <v>-0.35541224711523856</v>
      </c>
      <c r="J176" s="6">
        <v>0</v>
      </c>
      <c r="K176" s="6" t="e">
        <v>#N/A</v>
      </c>
      <c r="L176" t="s">
        <v>17</v>
      </c>
      <c r="M176" t="s">
        <v>18</v>
      </c>
      <c r="N176" s="4" t="s">
        <v>12985</v>
      </c>
      <c r="O176" s="4" t="s">
        <v>12986</v>
      </c>
      <c r="P176" s="4" t="s">
        <v>233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46438-F23E-4F3C-943C-4FE1D9DDD8DA}">
  <sheetPr codeName="Sheet3"/>
  <dimension ref="A1:P1956"/>
  <sheetViews>
    <sheetView showGridLines="0" zoomScale="91" zoomScaleNormal="91" workbookViewId="0">
      <selection activeCell="A2" sqref="A2"/>
    </sheetView>
  </sheetViews>
  <sheetFormatPr defaultRowHeight="14.5" x14ac:dyDescent="0.35"/>
  <cols>
    <col min="1" max="1" width="20.26953125" bestFit="1" customWidth="1"/>
    <col min="2" max="2" width="31.1796875" bestFit="1" customWidth="1"/>
    <col min="3" max="3" width="17.26953125" customWidth="1"/>
    <col min="4" max="11" width="22.1796875" style="6" customWidth="1"/>
    <col min="12" max="13" width="31.1796875" bestFit="1" customWidth="1"/>
    <col min="14" max="16" width="31.1796875" style="4" bestFit="1" customWidth="1"/>
  </cols>
  <sheetData>
    <row r="1" spans="1:16" x14ac:dyDescent="0.35">
      <c r="A1" s="2" t="str">
        <f>_xll.BQL("filter(members(['RTY Index']), crncy == 'USD')", "name().value, crncy().value, cur_mkt_cap().value, curr_entp_val().value, px_last().value, px_open().value, pe_ratio().value, ann_total_return().value, sales_rev_turn().value, eps_growth().value, gics_sector_name().value, gics_industry_name().value, " &amp; "id_cusip().value, id_sedol1().value, id_cins().value","cols=16;rows=1956")</f>
        <v>ID</v>
      </c>
      <c r="B1" s="1" t="s">
        <v>0</v>
      </c>
      <c r="C1" s="1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1" t="s">
        <v>10</v>
      </c>
      <c r="M1" s="1" t="s">
        <v>11</v>
      </c>
      <c r="N1" s="3" t="s">
        <v>12</v>
      </c>
      <c r="O1" s="3" t="s">
        <v>13</v>
      </c>
      <c r="P1" s="3" t="s">
        <v>13080</v>
      </c>
    </row>
    <row r="2" spans="1:16" x14ac:dyDescent="0.35">
      <c r="A2" t="s">
        <v>6512</v>
      </c>
      <c r="B2" t="s">
        <v>6513</v>
      </c>
      <c r="C2" t="s">
        <v>16</v>
      </c>
      <c r="D2" s="6">
        <v>4016070893.9138184</v>
      </c>
      <c r="E2" s="6">
        <v>5984504893.9138184</v>
      </c>
      <c r="F2" s="6">
        <v>81.919998168945313</v>
      </c>
      <c r="G2" s="6">
        <v>81.5</v>
      </c>
      <c r="H2" s="6" t="e">
        <v>#N/A</v>
      </c>
      <c r="I2" s="6">
        <v>0.11957935851127766</v>
      </c>
      <c r="J2" s="6">
        <v>1055912000</v>
      </c>
      <c r="K2" s="6">
        <v>-96.314172882843351</v>
      </c>
      <c r="L2" t="s">
        <v>6514</v>
      </c>
      <c r="M2" t="s">
        <v>6515</v>
      </c>
      <c r="N2" s="4" t="s">
        <v>6516</v>
      </c>
      <c r="O2" s="4" t="s">
        <v>6517</v>
      </c>
      <c r="P2" s="4" t="s">
        <v>233</v>
      </c>
    </row>
    <row r="3" spans="1:16" x14ac:dyDescent="0.35">
      <c r="A3" t="s">
        <v>6520</v>
      </c>
      <c r="B3" t="s">
        <v>5619</v>
      </c>
      <c r="C3" t="s">
        <v>16</v>
      </c>
      <c r="D3" s="6">
        <v>529752827.01323599</v>
      </c>
      <c r="E3" s="6" t="e">
        <v>#N/A</v>
      </c>
      <c r="F3" s="6">
        <v>10.630000114440918</v>
      </c>
      <c r="G3" s="6">
        <v>10.609999656677246</v>
      </c>
      <c r="H3" s="6" t="e">
        <v>#N/A</v>
      </c>
      <c r="I3" s="6">
        <v>-0.27721067721640369</v>
      </c>
      <c r="J3" s="6">
        <v>0</v>
      </c>
      <c r="K3" s="6">
        <v>-83.919597989949764</v>
      </c>
      <c r="L3" t="s">
        <v>17</v>
      </c>
      <c r="M3" t="s">
        <v>18</v>
      </c>
      <c r="N3" s="4" t="s">
        <v>5620</v>
      </c>
      <c r="O3" s="4" t="s">
        <v>5621</v>
      </c>
      <c r="P3" s="4" t="s">
        <v>233</v>
      </c>
    </row>
    <row r="4" spans="1:16" x14ac:dyDescent="0.35">
      <c r="A4" t="s">
        <v>6521</v>
      </c>
      <c r="B4" t="s">
        <v>6522</v>
      </c>
      <c r="C4" t="s">
        <v>16</v>
      </c>
      <c r="D4" s="6">
        <v>2039985111.2365723</v>
      </c>
      <c r="E4" s="6">
        <v>1832685111.2365723</v>
      </c>
      <c r="F4" s="6">
        <v>16.790000915527344</v>
      </c>
      <c r="G4" s="6">
        <v>17.129999160766602</v>
      </c>
      <c r="H4" s="6">
        <v>5.9389546646356113</v>
      </c>
      <c r="I4" s="6">
        <v>-0.32274767821330719</v>
      </c>
      <c r="J4" s="6">
        <v>4236700000</v>
      </c>
      <c r="K4" s="6">
        <v>-52.191388557763759</v>
      </c>
      <c r="L4" t="s">
        <v>6523</v>
      </c>
      <c r="M4" t="s">
        <v>6524</v>
      </c>
      <c r="N4" s="4" t="s">
        <v>6525</v>
      </c>
      <c r="O4" s="4" t="s">
        <v>6526</v>
      </c>
      <c r="P4" s="4" t="s">
        <v>233</v>
      </c>
    </row>
    <row r="5" spans="1:16" x14ac:dyDescent="0.35">
      <c r="A5" t="s">
        <v>6527</v>
      </c>
      <c r="B5" t="s">
        <v>6528</v>
      </c>
      <c r="C5" t="s">
        <v>16</v>
      </c>
      <c r="D5" s="6">
        <v>753047039.74397647</v>
      </c>
      <c r="E5" s="6" t="e">
        <v>#N/A</v>
      </c>
      <c r="F5" s="6">
        <v>43.369998931884766</v>
      </c>
      <c r="G5" s="6">
        <v>43.950000762939453</v>
      </c>
      <c r="H5" s="6">
        <v>10.533207883290199</v>
      </c>
      <c r="I5" s="6">
        <v>0.31951109781741227</v>
      </c>
      <c r="J5" s="6">
        <v>335665000</v>
      </c>
      <c r="K5" s="6">
        <v>708</v>
      </c>
      <c r="L5" t="s">
        <v>6529</v>
      </c>
      <c r="M5" t="s">
        <v>6530</v>
      </c>
      <c r="N5" s="4" t="s">
        <v>6531</v>
      </c>
      <c r="O5" s="4" t="s">
        <v>6532</v>
      </c>
      <c r="P5" s="4" t="s">
        <v>233</v>
      </c>
    </row>
    <row r="6" spans="1:16" x14ac:dyDescent="0.35">
      <c r="A6" t="s">
        <v>6535</v>
      </c>
      <c r="B6" t="s">
        <v>1720</v>
      </c>
      <c r="C6" t="s">
        <v>16</v>
      </c>
      <c r="D6" s="6">
        <v>310455081.87689787</v>
      </c>
      <c r="E6" s="6">
        <v>837116081.87689781</v>
      </c>
      <c r="F6" s="6">
        <v>1.940000057220459</v>
      </c>
      <c r="G6" s="6">
        <v>1.809999942779541</v>
      </c>
      <c r="H6" s="6">
        <v>74.295345328602139</v>
      </c>
      <c r="I6" s="6">
        <v>-0.87306429190749602</v>
      </c>
      <c r="J6" s="6">
        <v>378418000</v>
      </c>
      <c r="K6" s="6">
        <v>99.509803921568633</v>
      </c>
      <c r="L6" t="s">
        <v>17</v>
      </c>
      <c r="M6" t="s">
        <v>18</v>
      </c>
      <c r="N6" s="4" t="s">
        <v>1721</v>
      </c>
      <c r="O6" s="4" t="s">
        <v>1722</v>
      </c>
      <c r="P6" s="4" t="s">
        <v>233</v>
      </c>
    </row>
    <row r="7" spans="1:16" x14ac:dyDescent="0.35">
      <c r="A7" t="s">
        <v>6536</v>
      </c>
      <c r="B7" t="s">
        <v>3474</v>
      </c>
      <c r="C7" t="s">
        <v>16</v>
      </c>
      <c r="D7" s="6">
        <v>1318917587.7334497</v>
      </c>
      <c r="E7" s="6">
        <v>1283696587.7334497</v>
      </c>
      <c r="F7" s="6">
        <v>21.440000534057617</v>
      </c>
      <c r="G7" s="6">
        <v>21.209999084472656</v>
      </c>
      <c r="H7" s="6" t="e">
        <v>#N/A</v>
      </c>
      <c r="I7" s="6">
        <v>1.59196150010309</v>
      </c>
      <c r="J7" s="6">
        <v>0</v>
      </c>
      <c r="K7" s="6">
        <v>11.201226850055161</v>
      </c>
      <c r="L7" t="s">
        <v>17</v>
      </c>
      <c r="M7" t="s">
        <v>27</v>
      </c>
      <c r="N7" s="4" t="s">
        <v>3475</v>
      </c>
      <c r="O7" s="4" t="s">
        <v>3476</v>
      </c>
      <c r="P7" s="4" t="s">
        <v>233</v>
      </c>
    </row>
    <row r="8" spans="1:16" x14ac:dyDescent="0.35">
      <c r="A8" t="s">
        <v>6537</v>
      </c>
      <c r="B8" t="s">
        <v>995</v>
      </c>
      <c r="C8" t="s">
        <v>16</v>
      </c>
      <c r="D8" s="6">
        <v>2707507088.1984096</v>
      </c>
      <c r="E8" s="6">
        <v>2268458088.1984096</v>
      </c>
      <c r="F8" s="6">
        <v>22.700000762939453</v>
      </c>
      <c r="G8" s="6">
        <v>22.399999618530273</v>
      </c>
      <c r="H8" s="6">
        <v>19.237288782152081</v>
      </c>
      <c r="I8" s="6">
        <v>0.66190845937601428</v>
      </c>
      <c r="J8" s="6">
        <v>460482000</v>
      </c>
      <c r="K8" s="6">
        <v>111.86440677966098</v>
      </c>
      <c r="L8" t="s">
        <v>17</v>
      </c>
      <c r="M8" t="s">
        <v>18</v>
      </c>
      <c r="N8" s="4" t="s">
        <v>996</v>
      </c>
      <c r="O8" s="4" t="s">
        <v>997</v>
      </c>
      <c r="P8" s="4" t="s">
        <v>233</v>
      </c>
    </row>
    <row r="9" spans="1:16" x14ac:dyDescent="0.35">
      <c r="A9" t="s">
        <v>13454</v>
      </c>
      <c r="B9" t="s">
        <v>8547</v>
      </c>
      <c r="C9" t="s">
        <v>16</v>
      </c>
      <c r="D9" s="6">
        <v>831726830</v>
      </c>
      <c r="E9" s="6">
        <v>1066417830</v>
      </c>
      <c r="F9" s="6">
        <v>11</v>
      </c>
      <c r="G9" s="6">
        <v>11.189999580383301</v>
      </c>
      <c r="H9" s="6" t="e">
        <v>#N/A</v>
      </c>
      <c r="I9" s="6">
        <v>-0.13690682019237932</v>
      </c>
      <c r="J9" s="6">
        <v>7575000</v>
      </c>
      <c r="K9" s="6">
        <v>-326.08695652173913</v>
      </c>
      <c r="L9" t="s">
        <v>6547</v>
      </c>
      <c r="M9" t="s">
        <v>8548</v>
      </c>
      <c r="N9" s="4" t="s">
        <v>8549</v>
      </c>
      <c r="O9" s="4" t="s">
        <v>8550</v>
      </c>
      <c r="P9" s="4" t="s">
        <v>233</v>
      </c>
    </row>
    <row r="10" spans="1:16" x14ac:dyDescent="0.35">
      <c r="A10" t="s">
        <v>6538</v>
      </c>
      <c r="B10" t="s">
        <v>6539</v>
      </c>
      <c r="C10" t="s">
        <v>16</v>
      </c>
      <c r="D10" s="6">
        <v>524073585.04284853</v>
      </c>
      <c r="E10" s="6">
        <v>554855585.04284859</v>
      </c>
      <c r="F10" s="6">
        <v>8.2399997711181641</v>
      </c>
      <c r="G10" s="6">
        <v>8.1999998092651367</v>
      </c>
      <c r="H10" s="6" t="e">
        <v>#N/A</v>
      </c>
      <c r="I10" s="6">
        <v>-0.14838567614246667</v>
      </c>
      <c r="J10" s="6">
        <v>1757899000</v>
      </c>
      <c r="K10" s="6">
        <v>89.583333333333343</v>
      </c>
      <c r="L10" t="s">
        <v>6540</v>
      </c>
      <c r="M10" t="s">
        <v>6541</v>
      </c>
      <c r="N10" s="4" t="s">
        <v>6542</v>
      </c>
      <c r="O10" s="4" t="s">
        <v>6543</v>
      </c>
      <c r="P10" s="4" t="s">
        <v>233</v>
      </c>
    </row>
    <row r="11" spans="1:16" x14ac:dyDescent="0.35">
      <c r="A11" t="s">
        <v>6544</v>
      </c>
      <c r="B11" t="s">
        <v>5697</v>
      </c>
      <c r="C11" t="s">
        <v>16</v>
      </c>
      <c r="D11" s="6">
        <v>130610492.22670723</v>
      </c>
      <c r="E11" s="6">
        <v>206338492.22670725</v>
      </c>
      <c r="F11" s="6">
        <v>3.9500000476837158</v>
      </c>
      <c r="G11" s="6">
        <v>4.179999828338623</v>
      </c>
      <c r="H11" s="6" t="e">
        <v>#N/A</v>
      </c>
      <c r="I11" s="6">
        <v>-0.7510936244368559</v>
      </c>
      <c r="J11" s="6">
        <v>0</v>
      </c>
      <c r="K11" s="6">
        <v>-261.51603498542278</v>
      </c>
      <c r="L11" t="s">
        <v>17</v>
      </c>
      <c r="M11" t="s">
        <v>18</v>
      </c>
      <c r="N11" s="4" t="s">
        <v>5698</v>
      </c>
      <c r="O11" s="4" t="s">
        <v>5699</v>
      </c>
      <c r="P11" s="4" t="s">
        <v>233</v>
      </c>
    </row>
    <row r="12" spans="1:16" x14ac:dyDescent="0.35">
      <c r="A12" t="s">
        <v>6545</v>
      </c>
      <c r="B12" t="s">
        <v>6546</v>
      </c>
      <c r="C12" t="s">
        <v>16</v>
      </c>
      <c r="D12" s="6">
        <v>1826904276.221118</v>
      </c>
      <c r="E12" s="6">
        <v>1544567276.221118</v>
      </c>
      <c r="F12" s="6">
        <v>6.1100001335144043</v>
      </c>
      <c r="G12" s="6">
        <v>6.0999999046325684</v>
      </c>
      <c r="H12" s="6" t="e">
        <v>#N/A</v>
      </c>
      <c r="I12" s="6">
        <v>1.5393417492085062</v>
      </c>
      <c r="J12" s="6">
        <v>220696000</v>
      </c>
      <c r="K12" s="6">
        <v>18.032786885245898</v>
      </c>
      <c r="L12" t="s">
        <v>6547</v>
      </c>
      <c r="M12" t="s">
        <v>6548</v>
      </c>
      <c r="N12" s="4" t="s">
        <v>6549</v>
      </c>
      <c r="O12" s="4" t="s">
        <v>6550</v>
      </c>
      <c r="P12" s="4" t="s">
        <v>233</v>
      </c>
    </row>
    <row r="13" spans="1:16" x14ac:dyDescent="0.35">
      <c r="A13" t="s">
        <v>6551</v>
      </c>
      <c r="B13" t="s">
        <v>6552</v>
      </c>
      <c r="C13" t="s">
        <v>16</v>
      </c>
      <c r="D13" s="6">
        <v>591662759.22439575</v>
      </c>
      <c r="E13" s="6">
        <v>558024759.22439575</v>
      </c>
      <c r="F13" s="6">
        <v>30.450000762939453</v>
      </c>
      <c r="G13" s="6">
        <v>30.75</v>
      </c>
      <c r="H13" s="6">
        <v>29.422394222330343</v>
      </c>
      <c r="I13" s="6">
        <v>-0.14528606043365833</v>
      </c>
      <c r="J13" s="6">
        <v>537193000</v>
      </c>
      <c r="K13" s="6">
        <v>-13.043478260869559</v>
      </c>
      <c r="L13" t="s">
        <v>6547</v>
      </c>
      <c r="M13" t="s">
        <v>6553</v>
      </c>
      <c r="N13" s="4" t="s">
        <v>6554</v>
      </c>
      <c r="O13" s="4" t="s">
        <v>6555</v>
      </c>
      <c r="P13" s="4" t="s">
        <v>233</v>
      </c>
    </row>
    <row r="14" spans="1:16" x14ac:dyDescent="0.35">
      <c r="A14" t="s">
        <v>6556</v>
      </c>
      <c r="B14" t="s">
        <v>2234</v>
      </c>
      <c r="C14" t="s">
        <v>16</v>
      </c>
      <c r="D14" s="6">
        <v>7349976020.4241714</v>
      </c>
      <c r="E14" s="6">
        <v>6809121020.4241714</v>
      </c>
      <c r="F14" s="6">
        <v>70.150001525878906</v>
      </c>
      <c r="G14" s="6">
        <v>66.620002746582031</v>
      </c>
      <c r="H14" s="6">
        <v>55.674604385618181</v>
      </c>
      <c r="I14" s="6">
        <v>1.9204311352257846</v>
      </c>
      <c r="J14" s="6">
        <v>628555000</v>
      </c>
      <c r="K14" s="6">
        <v>54.54545454545454</v>
      </c>
      <c r="L14" t="s">
        <v>17</v>
      </c>
      <c r="M14" t="s">
        <v>87</v>
      </c>
      <c r="N14" s="4" t="s">
        <v>2235</v>
      </c>
      <c r="O14" s="4" t="s">
        <v>2236</v>
      </c>
      <c r="P14" s="4" t="s">
        <v>233</v>
      </c>
    </row>
    <row r="15" spans="1:16" x14ac:dyDescent="0.35">
      <c r="A15" t="s">
        <v>6557</v>
      </c>
      <c r="B15" t="s">
        <v>4270</v>
      </c>
      <c r="C15" t="s">
        <v>16</v>
      </c>
      <c r="D15" s="6">
        <v>374708038.224195</v>
      </c>
      <c r="E15" s="6">
        <v>236633038.224195</v>
      </c>
      <c r="F15" s="6">
        <v>5.4800000190734863</v>
      </c>
      <c r="G15" s="6">
        <v>5.3000001907348633</v>
      </c>
      <c r="H15" s="6" t="e">
        <v>#N/A</v>
      </c>
      <c r="I15" s="6">
        <v>-0.14604814618174355</v>
      </c>
      <c r="J15" s="6">
        <v>26270000</v>
      </c>
      <c r="K15" s="6">
        <v>-48.952879581151805</v>
      </c>
      <c r="L15" t="s">
        <v>17</v>
      </c>
      <c r="M15" t="s">
        <v>87</v>
      </c>
      <c r="N15" s="4" t="s">
        <v>4271</v>
      </c>
      <c r="O15" s="4" t="s">
        <v>4272</v>
      </c>
      <c r="P15" s="4" t="s">
        <v>233</v>
      </c>
    </row>
    <row r="16" spans="1:16" x14ac:dyDescent="0.35">
      <c r="A16" t="s">
        <v>6558</v>
      </c>
      <c r="B16" t="s">
        <v>4262</v>
      </c>
      <c r="C16" t="s">
        <v>16</v>
      </c>
      <c r="D16" s="6">
        <v>124797219.27980566</v>
      </c>
      <c r="E16" s="6">
        <v>-42990780.72019434</v>
      </c>
      <c r="F16" s="6">
        <v>2.4800000190734863</v>
      </c>
      <c r="G16" s="6">
        <v>2.3599998950958252</v>
      </c>
      <c r="H16" s="6" t="e">
        <v>#N/A</v>
      </c>
      <c r="I16" s="6">
        <v>-0.90017175254640935</v>
      </c>
      <c r="J16" s="6" t="e">
        <v>#N/A</v>
      </c>
      <c r="K16" s="6">
        <v>-7.4490691412270671</v>
      </c>
      <c r="L16" t="s">
        <v>17</v>
      </c>
      <c r="M16" t="s">
        <v>18</v>
      </c>
      <c r="N16" s="4" t="s">
        <v>4263</v>
      </c>
      <c r="O16" s="4" t="s">
        <v>4264</v>
      </c>
      <c r="P16" s="4" t="s">
        <v>233</v>
      </c>
    </row>
    <row r="17" spans="1:16" x14ac:dyDescent="0.35">
      <c r="A17" t="s">
        <v>6559</v>
      </c>
      <c r="B17" t="s">
        <v>6560</v>
      </c>
      <c r="C17" t="s">
        <v>16</v>
      </c>
      <c r="D17" s="6">
        <v>3838225267.5209045</v>
      </c>
      <c r="E17" s="6">
        <v>3248841267.5209045</v>
      </c>
      <c r="F17" s="6">
        <v>11.159999847412109</v>
      </c>
      <c r="G17" s="6">
        <v>10.979999542236328</v>
      </c>
      <c r="H17" s="6" t="e">
        <v>#N/A</v>
      </c>
      <c r="I17" s="6">
        <v>-0.29831425746667839</v>
      </c>
      <c r="J17" s="6">
        <v>312912000</v>
      </c>
      <c r="K17" s="6" t="e">
        <v>#N/A</v>
      </c>
      <c r="L17" t="s">
        <v>6518</v>
      </c>
      <c r="M17" t="s">
        <v>6519</v>
      </c>
      <c r="N17" s="4" t="s">
        <v>6561</v>
      </c>
      <c r="O17" s="4" t="s">
        <v>6562</v>
      </c>
      <c r="P17" s="4" t="s">
        <v>233</v>
      </c>
    </row>
    <row r="18" spans="1:16" x14ac:dyDescent="0.35">
      <c r="A18" t="s">
        <v>6565</v>
      </c>
      <c r="B18" t="s">
        <v>1949</v>
      </c>
      <c r="C18" t="s">
        <v>16</v>
      </c>
      <c r="D18" s="6">
        <v>4810058761.2183886</v>
      </c>
      <c r="E18" s="6">
        <v>4722825761.2183886</v>
      </c>
      <c r="F18" s="6">
        <v>30.899999618530273</v>
      </c>
      <c r="G18" s="6">
        <v>30.510000228881836</v>
      </c>
      <c r="H18" s="6" t="e">
        <v>#N/A</v>
      </c>
      <c r="I18" s="6">
        <v>1.0316238204322299</v>
      </c>
      <c r="J18" s="6">
        <v>264790000</v>
      </c>
      <c r="K18" s="6">
        <v>57.142857142857146</v>
      </c>
      <c r="L18" t="s">
        <v>17</v>
      </c>
      <c r="M18" t="s">
        <v>18</v>
      </c>
      <c r="N18" s="4" t="s">
        <v>1950</v>
      </c>
      <c r="O18" s="4" t="s">
        <v>1951</v>
      </c>
      <c r="P18" s="4" t="s">
        <v>233</v>
      </c>
    </row>
    <row r="19" spans="1:16" x14ac:dyDescent="0.35">
      <c r="A19" t="s">
        <v>6566</v>
      </c>
      <c r="B19" t="s">
        <v>6567</v>
      </c>
      <c r="C19" t="s">
        <v>16</v>
      </c>
      <c r="D19" s="6">
        <v>2594925280.7443581</v>
      </c>
      <c r="E19" s="6">
        <v>2928667280.7443581</v>
      </c>
      <c r="F19" s="6">
        <v>13.720000267028809</v>
      </c>
      <c r="G19" s="6">
        <v>13.609999656677246</v>
      </c>
      <c r="H19" s="6">
        <v>106.2240170564552</v>
      </c>
      <c r="I19" s="6">
        <v>0.6181986869708207</v>
      </c>
      <c r="J19" s="6">
        <v>514011999.99999994</v>
      </c>
      <c r="K19" s="6">
        <v>43.895604718032978</v>
      </c>
      <c r="L19" t="s">
        <v>6529</v>
      </c>
      <c r="M19" t="s">
        <v>6568</v>
      </c>
      <c r="N19" s="4" t="s">
        <v>6569</v>
      </c>
      <c r="O19" s="4" t="s">
        <v>6570</v>
      </c>
      <c r="P19" s="4" t="s">
        <v>233</v>
      </c>
    </row>
    <row r="20" spans="1:16" x14ac:dyDescent="0.35">
      <c r="A20" t="s">
        <v>6572</v>
      </c>
      <c r="B20" t="s">
        <v>6573</v>
      </c>
      <c r="C20" t="s">
        <v>16</v>
      </c>
      <c r="D20" s="6">
        <v>1361352281.4820747</v>
      </c>
      <c r="E20" s="6">
        <v>1342235281.4820747</v>
      </c>
      <c r="F20" s="6">
        <v>6.0399999618530273</v>
      </c>
      <c r="G20" s="6">
        <v>5.3899998664855957</v>
      </c>
      <c r="H20" s="6" t="e">
        <v>#N/A</v>
      </c>
      <c r="I20" s="6">
        <v>3.4557959034405634</v>
      </c>
      <c r="J20" s="6">
        <v>9424000</v>
      </c>
      <c r="K20" s="6">
        <v>32.551682273457956</v>
      </c>
      <c r="L20" t="s">
        <v>6518</v>
      </c>
      <c r="M20" t="s">
        <v>6519</v>
      </c>
      <c r="N20" s="4" t="s">
        <v>6574</v>
      </c>
      <c r="O20" s="4" t="s">
        <v>6575</v>
      </c>
      <c r="P20" s="4" t="s">
        <v>233</v>
      </c>
    </row>
    <row r="21" spans="1:16" x14ac:dyDescent="0.35">
      <c r="A21" t="s">
        <v>6576</v>
      </c>
      <c r="B21" t="s">
        <v>6577</v>
      </c>
      <c r="C21" t="s">
        <v>16</v>
      </c>
      <c r="D21" s="6">
        <v>1296519004.3014526</v>
      </c>
      <c r="E21" s="6">
        <v>1247849004.3014526</v>
      </c>
      <c r="F21" s="6">
        <v>22.959999084472656</v>
      </c>
      <c r="G21" s="6">
        <v>22.940000534057617</v>
      </c>
      <c r="H21" s="6" t="e">
        <v>#N/A</v>
      </c>
      <c r="I21" s="6">
        <v>0.51379094231188205</v>
      </c>
      <c r="J21" s="6">
        <v>928723000</v>
      </c>
      <c r="K21" s="6">
        <v>84.722222222222229</v>
      </c>
      <c r="L21" t="s">
        <v>6514</v>
      </c>
      <c r="M21" t="s">
        <v>6578</v>
      </c>
      <c r="N21" s="4" t="s">
        <v>6579</v>
      </c>
      <c r="O21" s="4" t="s">
        <v>6580</v>
      </c>
      <c r="P21" s="4" t="s">
        <v>233</v>
      </c>
    </row>
    <row r="22" spans="1:16" x14ac:dyDescent="0.35">
      <c r="A22" t="s">
        <v>6581</v>
      </c>
      <c r="B22" t="s">
        <v>6582</v>
      </c>
      <c r="C22" t="s">
        <v>16</v>
      </c>
      <c r="D22" s="6">
        <v>233532267.56638718</v>
      </c>
      <c r="E22" s="6" t="e">
        <v>#N/A</v>
      </c>
      <c r="F22" s="6">
        <v>19.649999618530273</v>
      </c>
      <c r="G22" s="6">
        <v>19.670000076293945</v>
      </c>
      <c r="H22" s="6">
        <v>8.6563874971499004</v>
      </c>
      <c r="I22" s="6">
        <v>0.20047836039589662</v>
      </c>
      <c r="J22" s="6">
        <v>129413999.99999999</v>
      </c>
      <c r="K22" s="6">
        <v>-3.3613445378151292</v>
      </c>
      <c r="L22" t="s">
        <v>6529</v>
      </c>
      <c r="M22" t="s">
        <v>6530</v>
      </c>
      <c r="N22" s="4" t="s">
        <v>6583</v>
      </c>
      <c r="O22" s="4" t="s">
        <v>6584</v>
      </c>
      <c r="P22" s="4" t="s">
        <v>233</v>
      </c>
    </row>
    <row r="23" spans="1:16" x14ac:dyDescent="0.35">
      <c r="A23" t="s">
        <v>6585</v>
      </c>
      <c r="B23" t="s">
        <v>1411</v>
      </c>
      <c r="C23" t="s">
        <v>16</v>
      </c>
      <c r="D23" s="6">
        <v>606772040</v>
      </c>
      <c r="E23" s="6">
        <v>582590421</v>
      </c>
      <c r="F23" s="6">
        <v>10</v>
      </c>
      <c r="G23" s="6">
        <v>9.9099998474121094</v>
      </c>
      <c r="H23" s="6" t="e">
        <v>#N/A</v>
      </c>
      <c r="I23" s="6">
        <v>2.0302953901752989</v>
      </c>
      <c r="J23" s="6">
        <v>12262234</v>
      </c>
      <c r="K23" s="6">
        <v>5.8139534883720971</v>
      </c>
      <c r="L23" t="s">
        <v>17</v>
      </c>
      <c r="M23" t="s">
        <v>87</v>
      </c>
      <c r="N23" s="4" t="s">
        <v>1412</v>
      </c>
      <c r="O23" s="4" t="s">
        <v>1413</v>
      </c>
      <c r="P23" s="4" t="s">
        <v>233</v>
      </c>
    </row>
    <row r="24" spans="1:16" x14ac:dyDescent="0.35">
      <c r="A24" t="s">
        <v>6586</v>
      </c>
      <c r="B24" t="s">
        <v>6587</v>
      </c>
      <c r="C24" t="s">
        <v>16</v>
      </c>
      <c r="D24" s="6">
        <v>336864811.83355516</v>
      </c>
      <c r="E24" s="6">
        <v>499454811.83355516</v>
      </c>
      <c r="F24" s="6">
        <v>26.969999313354492</v>
      </c>
      <c r="G24" s="6">
        <v>26.559999465942383</v>
      </c>
      <c r="H24" s="6">
        <v>21.084412164193001</v>
      </c>
      <c r="I24" s="6">
        <v>0.76692720284580718</v>
      </c>
      <c r="J24" s="6">
        <v>152305000</v>
      </c>
      <c r="K24" s="6">
        <v>584.96238601419441</v>
      </c>
      <c r="L24" t="s">
        <v>6523</v>
      </c>
      <c r="M24" t="s">
        <v>6588</v>
      </c>
      <c r="N24" s="4" t="s">
        <v>6589</v>
      </c>
      <c r="O24" s="4" t="s">
        <v>6590</v>
      </c>
      <c r="P24" s="4" t="s">
        <v>233</v>
      </c>
    </row>
    <row r="25" spans="1:16" x14ac:dyDescent="0.35">
      <c r="A25" t="s">
        <v>6591</v>
      </c>
      <c r="B25" t="s">
        <v>2548</v>
      </c>
      <c r="C25" t="s">
        <v>16</v>
      </c>
      <c r="D25" s="6">
        <v>1544355054.4997897</v>
      </c>
      <c r="E25" s="6">
        <v>1535306054.4997897</v>
      </c>
      <c r="F25" s="6">
        <v>5.5999999046325684</v>
      </c>
      <c r="G25" s="6">
        <v>5.5399999618530273</v>
      </c>
      <c r="H25" s="6">
        <v>51.608621447369046</v>
      </c>
      <c r="I25" s="6">
        <v>0.52412479800160883</v>
      </c>
      <c r="J25" s="6">
        <v>267200000</v>
      </c>
      <c r="K25" s="6" t="e">
        <v>#N/A</v>
      </c>
      <c r="L25" t="s">
        <v>17</v>
      </c>
      <c r="M25" t="s">
        <v>18</v>
      </c>
      <c r="N25" s="4" t="s">
        <v>2549</v>
      </c>
      <c r="O25" s="4" t="s">
        <v>2550</v>
      </c>
      <c r="P25" s="4" t="s">
        <v>233</v>
      </c>
    </row>
    <row r="26" spans="1:16" x14ac:dyDescent="0.35">
      <c r="A26" t="s">
        <v>6592</v>
      </c>
      <c r="B26" t="s">
        <v>6593</v>
      </c>
      <c r="C26" t="s">
        <v>16</v>
      </c>
      <c r="D26" s="6">
        <v>1116623986.8944371</v>
      </c>
      <c r="E26" s="6">
        <v>734618986.89443707</v>
      </c>
      <c r="F26" s="6">
        <v>2.6800000667572021</v>
      </c>
      <c r="G26" s="6">
        <v>2.6600000858306885</v>
      </c>
      <c r="H26" s="6" t="e">
        <v>#N/A</v>
      </c>
      <c r="I26" s="6">
        <v>0.52097883052867622</v>
      </c>
      <c r="J26" s="6">
        <v>237605000</v>
      </c>
      <c r="K26" s="6">
        <v>13.51351351351351</v>
      </c>
      <c r="L26" t="s">
        <v>6514</v>
      </c>
      <c r="M26" t="s">
        <v>6578</v>
      </c>
      <c r="N26" s="4" t="s">
        <v>6594</v>
      </c>
      <c r="O26" s="4" t="s">
        <v>6595</v>
      </c>
      <c r="P26" s="4" t="s">
        <v>233</v>
      </c>
    </row>
    <row r="27" spans="1:16" x14ac:dyDescent="0.35">
      <c r="A27" t="s">
        <v>6596</v>
      </c>
      <c r="B27" t="s">
        <v>6597</v>
      </c>
      <c r="C27" t="s">
        <v>16</v>
      </c>
      <c r="D27" s="6">
        <v>4729024911.51194</v>
      </c>
      <c r="E27" s="6">
        <v>20999024911.51194</v>
      </c>
      <c r="F27" s="6">
        <v>4.6599998474121094</v>
      </c>
      <c r="G27" s="6">
        <v>4.690000057220459</v>
      </c>
      <c r="H27" s="6" t="e">
        <v>#N/A</v>
      </c>
      <c r="I27" s="6">
        <v>1.6258140494970252</v>
      </c>
      <c r="J27" s="6">
        <v>13108000000</v>
      </c>
      <c r="K27" s="6">
        <v>99.427480916030532</v>
      </c>
      <c r="L27" t="s">
        <v>6514</v>
      </c>
      <c r="M27" t="s">
        <v>6515</v>
      </c>
      <c r="N27" s="4" t="s">
        <v>6598</v>
      </c>
      <c r="O27" s="4" t="s">
        <v>6599</v>
      </c>
      <c r="P27" s="4" t="s">
        <v>233</v>
      </c>
    </row>
    <row r="28" spans="1:16" x14ac:dyDescent="0.35">
      <c r="A28" t="s">
        <v>6600</v>
      </c>
      <c r="B28" t="s">
        <v>6601</v>
      </c>
      <c r="C28" t="s">
        <v>16</v>
      </c>
      <c r="D28" s="6">
        <v>354559933.05642647</v>
      </c>
      <c r="E28" s="6">
        <v>356775933.05642647</v>
      </c>
      <c r="F28" s="6">
        <v>3.3499999046325684</v>
      </c>
      <c r="G28" s="6">
        <v>3.25</v>
      </c>
      <c r="H28" s="6" t="e">
        <v>#N/A</v>
      </c>
      <c r="I28" s="6">
        <v>-0.17241056845231695</v>
      </c>
      <c r="J28" s="6">
        <v>17480000</v>
      </c>
      <c r="K28" s="6">
        <v>-11.118191293351709</v>
      </c>
      <c r="L28" t="s">
        <v>6547</v>
      </c>
      <c r="M28" t="s">
        <v>6602</v>
      </c>
      <c r="N28" s="4" t="s">
        <v>6603</v>
      </c>
      <c r="O28" s="4" t="s">
        <v>6604</v>
      </c>
      <c r="P28" s="4" t="s">
        <v>233</v>
      </c>
    </row>
    <row r="29" spans="1:16" x14ac:dyDescent="0.35">
      <c r="A29" t="s">
        <v>6605</v>
      </c>
      <c r="B29" t="s">
        <v>6606</v>
      </c>
      <c r="C29" t="s">
        <v>16</v>
      </c>
      <c r="D29" s="6">
        <v>188790928.34941864</v>
      </c>
      <c r="E29" s="6">
        <v>185071928.34941864</v>
      </c>
      <c r="F29" s="6">
        <v>35.590000152587891</v>
      </c>
      <c r="G29" s="6">
        <v>35.340000152587891</v>
      </c>
      <c r="H29" s="6">
        <v>28.485171665448416</v>
      </c>
      <c r="I29" s="6">
        <v>-0.17676634440425998</v>
      </c>
      <c r="J29" s="6">
        <v>76366000</v>
      </c>
      <c r="K29" s="6">
        <v>1004.9565288047451</v>
      </c>
      <c r="L29" t="s">
        <v>6563</v>
      </c>
      <c r="M29" t="s">
        <v>6607</v>
      </c>
      <c r="N29" s="4" t="s">
        <v>6608</v>
      </c>
      <c r="O29" s="4" t="s">
        <v>6609</v>
      </c>
      <c r="P29" s="4" t="s">
        <v>233</v>
      </c>
    </row>
    <row r="30" spans="1:16" x14ac:dyDescent="0.35">
      <c r="A30" t="s">
        <v>6610</v>
      </c>
      <c r="B30" t="s">
        <v>2349</v>
      </c>
      <c r="C30" t="s">
        <v>16</v>
      </c>
      <c r="D30" s="6">
        <v>627217466.50719881</v>
      </c>
      <c r="E30" s="6">
        <v>497905466.50719881</v>
      </c>
      <c r="F30" s="6">
        <v>3.309999942779541</v>
      </c>
      <c r="G30" s="6">
        <v>3.2699999809265137</v>
      </c>
      <c r="H30" s="6" t="e">
        <v>#N/A</v>
      </c>
      <c r="I30" s="6">
        <v>0.15286070849748068</v>
      </c>
      <c r="J30" s="6">
        <v>6742000</v>
      </c>
      <c r="K30" s="6">
        <v>7.9047044684423406</v>
      </c>
      <c r="L30" t="s">
        <v>17</v>
      </c>
      <c r="M30" t="s">
        <v>18</v>
      </c>
      <c r="N30" s="4" t="s">
        <v>2350</v>
      </c>
      <c r="O30" s="4" t="s">
        <v>2351</v>
      </c>
      <c r="P30" s="4" t="s">
        <v>233</v>
      </c>
    </row>
    <row r="31" spans="1:16" x14ac:dyDescent="0.35">
      <c r="A31" t="s">
        <v>6611</v>
      </c>
      <c r="B31" t="s">
        <v>2345</v>
      </c>
      <c r="C31" t="s">
        <v>16</v>
      </c>
      <c r="D31" s="6">
        <v>34003522.231275201</v>
      </c>
      <c r="E31" s="6">
        <v>-42945477.768724799</v>
      </c>
      <c r="F31" s="6">
        <v>1.0900000333786011</v>
      </c>
      <c r="G31" s="6">
        <v>1.1000000238418579</v>
      </c>
      <c r="H31" s="6" t="e">
        <v>#N/A</v>
      </c>
      <c r="I31" s="6">
        <v>-0.80689204522163072</v>
      </c>
      <c r="J31" s="6">
        <v>81000</v>
      </c>
      <c r="K31" s="6">
        <v>26.986102511646433</v>
      </c>
      <c r="L31" t="s">
        <v>17</v>
      </c>
      <c r="M31" t="s">
        <v>18</v>
      </c>
      <c r="N31" s="4" t="s">
        <v>2346</v>
      </c>
      <c r="O31" s="4" t="s">
        <v>2347</v>
      </c>
      <c r="P31" s="4" t="s">
        <v>233</v>
      </c>
    </row>
    <row r="32" spans="1:16" x14ac:dyDescent="0.35">
      <c r="A32" t="s">
        <v>6612</v>
      </c>
      <c r="B32" t="s">
        <v>2218</v>
      </c>
      <c r="C32" t="s">
        <v>16</v>
      </c>
      <c r="D32" s="6">
        <v>333656435.25</v>
      </c>
      <c r="E32" s="6">
        <v>326631435.25</v>
      </c>
      <c r="F32" s="6">
        <v>6.75</v>
      </c>
      <c r="G32" s="6">
        <v>6.559999942779541</v>
      </c>
      <c r="H32" s="6" t="e">
        <v>#N/A</v>
      </c>
      <c r="I32" s="6">
        <v>-0.58615684072034824</v>
      </c>
      <c r="J32" s="6">
        <v>226113000</v>
      </c>
      <c r="K32" s="6">
        <v>-199.11504424778769</v>
      </c>
      <c r="L32" t="s">
        <v>17</v>
      </c>
      <c r="M32" t="s">
        <v>100</v>
      </c>
      <c r="N32" s="4" t="s">
        <v>2219</v>
      </c>
      <c r="O32" s="4" t="s">
        <v>2220</v>
      </c>
      <c r="P32" s="4" t="s">
        <v>233</v>
      </c>
    </row>
    <row r="33" spans="1:16" x14ac:dyDescent="0.35">
      <c r="A33" t="s">
        <v>6613</v>
      </c>
      <c r="B33" t="s">
        <v>6614</v>
      </c>
      <c r="C33" t="s">
        <v>16</v>
      </c>
      <c r="D33" s="6">
        <v>174571249.85802841</v>
      </c>
      <c r="E33" s="6" t="e">
        <v>#N/A</v>
      </c>
      <c r="F33" s="6">
        <v>10.239999771118164</v>
      </c>
      <c r="G33" s="6">
        <v>10.470000267028809</v>
      </c>
      <c r="H33" s="6">
        <v>10.343434112240569</v>
      </c>
      <c r="I33" s="6">
        <v>-0.1127428432727724</v>
      </c>
      <c r="J33" s="6">
        <v>196949000</v>
      </c>
      <c r="K33" s="6">
        <v>-42.10526315789474</v>
      </c>
      <c r="L33" t="s">
        <v>6529</v>
      </c>
      <c r="M33" t="s">
        <v>6530</v>
      </c>
      <c r="N33" s="4" t="s">
        <v>6615</v>
      </c>
      <c r="O33" s="4" t="s">
        <v>6616</v>
      </c>
      <c r="P33" s="4" t="s">
        <v>233</v>
      </c>
    </row>
    <row r="34" spans="1:16" x14ac:dyDescent="0.35">
      <c r="A34" t="s">
        <v>6617</v>
      </c>
      <c r="B34" t="s">
        <v>6618</v>
      </c>
      <c r="C34" t="s">
        <v>16</v>
      </c>
      <c r="D34" s="6">
        <v>3527439603.8674684</v>
      </c>
      <c r="E34" s="6">
        <v>2982742603.8674684</v>
      </c>
      <c r="F34" s="6">
        <v>24.190000534057617</v>
      </c>
      <c r="G34" s="6">
        <v>22.780000686645508</v>
      </c>
      <c r="H34" s="6">
        <v>27.773855530094412</v>
      </c>
      <c r="I34" s="6">
        <v>0.25386248115307186</v>
      </c>
      <c r="J34" s="6">
        <v>735183000</v>
      </c>
      <c r="K34" s="6">
        <v>4130.4097594569303</v>
      </c>
      <c r="L34" t="s">
        <v>6518</v>
      </c>
      <c r="M34" t="s">
        <v>6519</v>
      </c>
      <c r="N34" s="4" t="s">
        <v>6619</v>
      </c>
      <c r="O34" s="4" t="s">
        <v>6620</v>
      </c>
      <c r="P34" s="4" t="s">
        <v>233</v>
      </c>
    </row>
    <row r="35" spans="1:16" x14ac:dyDescent="0.35">
      <c r="A35" t="s">
        <v>6621</v>
      </c>
      <c r="B35" t="s">
        <v>6622</v>
      </c>
      <c r="C35" t="s">
        <v>16</v>
      </c>
      <c r="D35" s="6">
        <v>3809047650.7507038</v>
      </c>
      <c r="E35" s="6">
        <v>6216250650.7507038</v>
      </c>
      <c r="F35" s="6">
        <v>16.100000381469727</v>
      </c>
      <c r="G35" s="6">
        <v>16.030000686645508</v>
      </c>
      <c r="H35" s="6">
        <v>29.134418933878855</v>
      </c>
      <c r="I35" s="6">
        <v>0.25180909778883032</v>
      </c>
      <c r="J35" s="6">
        <v>684286000</v>
      </c>
      <c r="K35" s="6" t="e">
        <v>#N/A</v>
      </c>
      <c r="L35" t="s">
        <v>6623</v>
      </c>
      <c r="M35" t="s">
        <v>6624</v>
      </c>
      <c r="N35" s="4" t="s">
        <v>6625</v>
      </c>
      <c r="O35" s="4" t="s">
        <v>6626</v>
      </c>
      <c r="P35" s="4" t="s">
        <v>233</v>
      </c>
    </row>
    <row r="36" spans="1:16" x14ac:dyDescent="0.35">
      <c r="A36" t="s">
        <v>6627</v>
      </c>
      <c r="B36" t="s">
        <v>6628</v>
      </c>
      <c r="C36" t="s">
        <v>16</v>
      </c>
      <c r="D36" s="6">
        <v>638631688.68228436</v>
      </c>
      <c r="E36" s="6">
        <v>1226912688.6822844</v>
      </c>
      <c r="F36" s="6">
        <v>11.380000114440918</v>
      </c>
      <c r="G36" s="6">
        <v>11.300000190734863</v>
      </c>
      <c r="H36" s="6">
        <v>22.217016349304824</v>
      </c>
      <c r="I36" s="6">
        <v>0.53843861138031457</v>
      </c>
      <c r="J36" s="6">
        <v>112050000</v>
      </c>
      <c r="K36" s="6">
        <v>24.06596893385424</v>
      </c>
      <c r="L36" t="s">
        <v>6623</v>
      </c>
      <c r="M36" t="s">
        <v>6624</v>
      </c>
      <c r="N36" s="4" t="s">
        <v>6629</v>
      </c>
      <c r="O36" s="4" t="s">
        <v>6630</v>
      </c>
      <c r="P36" s="4" t="s">
        <v>233</v>
      </c>
    </row>
    <row r="37" spans="1:16" x14ac:dyDescent="0.35">
      <c r="A37" t="s">
        <v>6631</v>
      </c>
      <c r="B37" t="s">
        <v>926</v>
      </c>
      <c r="C37" t="s">
        <v>16</v>
      </c>
      <c r="D37" s="6">
        <v>335276753.28704357</v>
      </c>
      <c r="E37" s="6">
        <v>281077753.28704357</v>
      </c>
      <c r="F37" s="6">
        <v>4.119999885559082</v>
      </c>
      <c r="G37" s="6">
        <v>4.0300002098083496</v>
      </c>
      <c r="H37" s="6" t="e">
        <v>#N/A</v>
      </c>
      <c r="I37" s="6">
        <v>0.3195100796331134</v>
      </c>
      <c r="J37" s="6">
        <v>64446000</v>
      </c>
      <c r="K37" s="6">
        <v>27.499999999999996</v>
      </c>
      <c r="L37" t="s">
        <v>17</v>
      </c>
      <c r="M37" t="s">
        <v>100</v>
      </c>
      <c r="N37" s="4" t="s">
        <v>927</v>
      </c>
      <c r="O37" s="4" t="s">
        <v>928</v>
      </c>
      <c r="P37" s="4" t="s">
        <v>233</v>
      </c>
    </row>
    <row r="38" spans="1:16" x14ac:dyDescent="0.35">
      <c r="A38" t="s">
        <v>6632</v>
      </c>
      <c r="B38" t="s">
        <v>6633</v>
      </c>
      <c r="C38" t="s">
        <v>16</v>
      </c>
      <c r="D38" s="6">
        <v>113482589.13720703</v>
      </c>
      <c r="E38" s="6">
        <v>290714589.13720703</v>
      </c>
      <c r="F38" s="6">
        <v>8.5200004577636719</v>
      </c>
      <c r="G38" s="6">
        <v>8.1000003814697266</v>
      </c>
      <c r="H38" s="6">
        <v>0.43727563425691407</v>
      </c>
      <c r="I38" s="6">
        <v>-0.28874416276158277</v>
      </c>
      <c r="J38" s="6">
        <v>117753000</v>
      </c>
      <c r="K38" s="6" t="e">
        <v>#N/A</v>
      </c>
      <c r="L38" t="s">
        <v>6623</v>
      </c>
      <c r="M38" t="s">
        <v>6634</v>
      </c>
      <c r="N38" s="4" t="s">
        <v>6635</v>
      </c>
      <c r="O38" s="4" t="s">
        <v>6636</v>
      </c>
      <c r="P38" s="4" t="s">
        <v>233</v>
      </c>
    </row>
    <row r="39" spans="1:16" x14ac:dyDescent="0.35">
      <c r="A39" t="s">
        <v>6637</v>
      </c>
      <c r="B39" t="s">
        <v>6638</v>
      </c>
      <c r="C39" t="s">
        <v>16</v>
      </c>
      <c r="D39" s="6">
        <v>2782281178.2454147</v>
      </c>
      <c r="E39" s="6">
        <v>3143119178.2454147</v>
      </c>
      <c r="F39" s="6">
        <v>35.159999847412109</v>
      </c>
      <c r="G39" s="6">
        <v>35.520000457763672</v>
      </c>
      <c r="H39" s="6">
        <v>7.7558230100472993</v>
      </c>
      <c r="I39" s="6">
        <v>0.15536132348460252</v>
      </c>
      <c r="J39" s="6">
        <v>650971000</v>
      </c>
      <c r="K39" s="6">
        <v>15.345268542199479</v>
      </c>
      <c r="L39" t="s">
        <v>6529</v>
      </c>
      <c r="M39" t="s">
        <v>6639</v>
      </c>
      <c r="N39" s="4" t="s">
        <v>6640</v>
      </c>
      <c r="O39" s="4" t="s">
        <v>6641</v>
      </c>
      <c r="P39" s="4" t="s">
        <v>233</v>
      </c>
    </row>
    <row r="40" spans="1:16" x14ac:dyDescent="0.35">
      <c r="A40" t="s">
        <v>6642</v>
      </c>
      <c r="B40" t="s">
        <v>1666</v>
      </c>
      <c r="C40" t="s">
        <v>16</v>
      </c>
      <c r="D40" s="6">
        <v>1066304675.9403114</v>
      </c>
      <c r="E40" s="6">
        <v>1189412675.9403114</v>
      </c>
      <c r="F40" s="6">
        <v>29.940000534057617</v>
      </c>
      <c r="G40" s="6">
        <v>31.040000915527344</v>
      </c>
      <c r="H40" s="6" t="e">
        <v>#N/A</v>
      </c>
      <c r="I40" s="6">
        <v>1.548069587988997</v>
      </c>
      <c r="J40" s="6">
        <v>169138000</v>
      </c>
      <c r="K40" s="6">
        <v>-108.88888888888887</v>
      </c>
      <c r="L40" t="s">
        <v>17</v>
      </c>
      <c r="M40" t="s">
        <v>87</v>
      </c>
      <c r="N40" s="4" t="s">
        <v>1667</v>
      </c>
      <c r="O40" s="4" t="s">
        <v>1668</v>
      </c>
      <c r="P40" s="4" t="s">
        <v>233</v>
      </c>
    </row>
    <row r="41" spans="1:16" x14ac:dyDescent="0.35">
      <c r="A41" t="s">
        <v>6643</v>
      </c>
      <c r="B41" t="s">
        <v>741</v>
      </c>
      <c r="C41" t="s">
        <v>16</v>
      </c>
      <c r="D41" s="6">
        <v>4977840679.2150879</v>
      </c>
      <c r="E41" s="6">
        <v>4755774679.2150879</v>
      </c>
      <c r="F41" s="6">
        <v>42.180000305175781</v>
      </c>
      <c r="G41" s="6">
        <v>40.529998779296875</v>
      </c>
      <c r="H41" s="6" t="e">
        <v>#N/A</v>
      </c>
      <c r="I41" s="6">
        <v>-0.46717759273973469</v>
      </c>
      <c r="J41" s="6">
        <v>3219000</v>
      </c>
      <c r="K41" s="6">
        <v>2.5362318840579809</v>
      </c>
      <c r="L41" t="s">
        <v>17</v>
      </c>
      <c r="M41" t="s">
        <v>18</v>
      </c>
      <c r="N41" s="4" t="s">
        <v>742</v>
      </c>
      <c r="O41" s="4" t="s">
        <v>743</v>
      </c>
      <c r="P41" s="4" t="s">
        <v>233</v>
      </c>
    </row>
    <row r="42" spans="1:16" x14ac:dyDescent="0.35">
      <c r="A42" t="s">
        <v>6644</v>
      </c>
      <c r="B42" t="s">
        <v>6645</v>
      </c>
      <c r="C42" t="s">
        <v>16</v>
      </c>
      <c r="D42" s="6">
        <v>4055924615.3631434</v>
      </c>
      <c r="E42" s="6">
        <v>12694172615.363144</v>
      </c>
      <c r="F42" s="6">
        <v>111.76999664306641</v>
      </c>
      <c r="G42" s="6">
        <v>111.06999969482422</v>
      </c>
      <c r="H42" s="6">
        <v>33.417666319364429</v>
      </c>
      <c r="I42" s="6">
        <v>0.24480973826531138</v>
      </c>
      <c r="J42" s="6">
        <v>2052065000</v>
      </c>
      <c r="K42" s="6">
        <v>-11.934523318086994</v>
      </c>
      <c r="L42" t="s">
        <v>6529</v>
      </c>
      <c r="M42" t="s">
        <v>6646</v>
      </c>
      <c r="N42" s="4" t="s">
        <v>6647</v>
      </c>
      <c r="O42" s="4" t="s">
        <v>6648</v>
      </c>
      <c r="P42" s="4" t="s">
        <v>233</v>
      </c>
    </row>
    <row r="43" spans="1:16" x14ac:dyDescent="0.35">
      <c r="A43" t="s">
        <v>6649</v>
      </c>
      <c r="B43" t="s">
        <v>6650</v>
      </c>
      <c r="C43" t="s">
        <v>16</v>
      </c>
      <c r="D43" s="6">
        <v>4032241199.4880667</v>
      </c>
      <c r="E43" s="6">
        <v>5026373199.4880667</v>
      </c>
      <c r="F43" s="6">
        <v>75.069999694824219</v>
      </c>
      <c r="G43" s="6">
        <v>74.870002746582031</v>
      </c>
      <c r="H43" s="6">
        <v>39.035322466408523</v>
      </c>
      <c r="I43" s="6">
        <v>0.98687340835780013</v>
      </c>
      <c r="J43" s="6">
        <v>6141058000</v>
      </c>
      <c r="K43" s="6">
        <v>26.337448559670808</v>
      </c>
      <c r="L43" t="s">
        <v>6547</v>
      </c>
      <c r="M43" t="s">
        <v>6651</v>
      </c>
      <c r="N43" s="4" t="s">
        <v>6652</v>
      </c>
      <c r="O43" s="4" t="s">
        <v>6653</v>
      </c>
      <c r="P43" s="4" t="s">
        <v>233</v>
      </c>
    </row>
    <row r="44" spans="1:16" x14ac:dyDescent="0.35">
      <c r="A44" t="s">
        <v>6654</v>
      </c>
      <c r="B44" t="s">
        <v>6655</v>
      </c>
      <c r="C44" t="s">
        <v>16</v>
      </c>
      <c r="D44" s="6">
        <v>600886277</v>
      </c>
      <c r="E44" s="6" t="e">
        <v>#N/A</v>
      </c>
      <c r="F44" s="6">
        <v>35.5</v>
      </c>
      <c r="G44" s="6">
        <v>35.689998626708984</v>
      </c>
      <c r="H44" s="6">
        <v>17.163140729051541</v>
      </c>
      <c r="I44" s="6">
        <v>0.58057015851312466</v>
      </c>
      <c r="J44" s="6">
        <v>285271000</v>
      </c>
      <c r="K44" s="6">
        <v>27.058823529411779</v>
      </c>
      <c r="L44" t="s">
        <v>6529</v>
      </c>
      <c r="M44" t="s">
        <v>6530</v>
      </c>
      <c r="N44" s="4" t="s">
        <v>6656</v>
      </c>
      <c r="O44" s="4" t="s">
        <v>6657</v>
      </c>
      <c r="P44" s="4" t="s">
        <v>233</v>
      </c>
    </row>
    <row r="45" spans="1:16" x14ac:dyDescent="0.35">
      <c r="A45" t="s">
        <v>6658</v>
      </c>
      <c r="B45" t="s">
        <v>6659</v>
      </c>
      <c r="C45" t="s">
        <v>16</v>
      </c>
      <c r="D45" s="6">
        <v>882982494.74189091</v>
      </c>
      <c r="E45" s="6">
        <v>1107182494.7418909</v>
      </c>
      <c r="F45" s="6">
        <v>4.3499999046325684</v>
      </c>
      <c r="G45" s="6">
        <v>4.309999942779541</v>
      </c>
      <c r="H45" s="6" t="e">
        <v>#N/A</v>
      </c>
      <c r="I45" s="6">
        <v>-0.32279292765562306</v>
      </c>
      <c r="J45" s="6">
        <v>393500000</v>
      </c>
      <c r="K45" s="6">
        <v>-100.00000000000004</v>
      </c>
      <c r="L45" t="s">
        <v>6514</v>
      </c>
      <c r="M45" t="s">
        <v>6534</v>
      </c>
      <c r="N45" s="4" t="s">
        <v>6660</v>
      </c>
      <c r="O45" s="4" t="s">
        <v>6661</v>
      </c>
      <c r="P45" s="4" t="s">
        <v>233</v>
      </c>
    </row>
    <row r="46" spans="1:16" x14ac:dyDescent="0.35">
      <c r="A46" t="s">
        <v>6662</v>
      </c>
      <c r="B46" t="s">
        <v>6663</v>
      </c>
      <c r="C46" t="s">
        <v>16</v>
      </c>
      <c r="D46" s="6">
        <v>5014225409.0875254</v>
      </c>
      <c r="E46" s="6">
        <v>6827225409.0875254</v>
      </c>
      <c r="F46" s="6">
        <v>329.19000244140625</v>
      </c>
      <c r="G46" s="6">
        <v>327.89999389648438</v>
      </c>
      <c r="H46" s="6">
        <v>6.0186648715204791</v>
      </c>
      <c r="I46" s="6">
        <v>0.17019908010169904</v>
      </c>
      <c r="J46" s="6">
        <v>1391000000</v>
      </c>
      <c r="K46" s="6">
        <v>58.912888677901762</v>
      </c>
      <c r="L46" t="s">
        <v>6529</v>
      </c>
      <c r="M46" t="s">
        <v>6664</v>
      </c>
      <c r="N46" s="4" t="s">
        <v>233</v>
      </c>
      <c r="O46" s="4" t="s">
        <v>6665</v>
      </c>
      <c r="P46" s="4" t="s">
        <v>13197</v>
      </c>
    </row>
    <row r="47" spans="1:16" x14ac:dyDescent="0.35">
      <c r="A47" t="s">
        <v>6666</v>
      </c>
      <c r="B47" t="s">
        <v>6667</v>
      </c>
      <c r="C47" t="s">
        <v>16</v>
      </c>
      <c r="D47" s="6">
        <v>201396822.12511826</v>
      </c>
      <c r="E47" s="6">
        <v>85231822.125118256</v>
      </c>
      <c r="F47" s="6">
        <v>13.739999771118164</v>
      </c>
      <c r="G47" s="6">
        <v>13.720000267028809</v>
      </c>
      <c r="H47" s="6">
        <v>14.384406811883744</v>
      </c>
      <c r="I47" s="6">
        <v>-0.16229933560648135</v>
      </c>
      <c r="J47" s="6">
        <v>113117000</v>
      </c>
      <c r="K47" s="6">
        <v>48.392592592592578</v>
      </c>
      <c r="L47" t="s">
        <v>6547</v>
      </c>
      <c r="M47" t="s">
        <v>6668</v>
      </c>
      <c r="N47" s="4" t="s">
        <v>6669</v>
      </c>
      <c r="O47" s="4" t="s">
        <v>6670</v>
      </c>
      <c r="P47" s="4" t="s">
        <v>233</v>
      </c>
    </row>
    <row r="48" spans="1:16" x14ac:dyDescent="0.35">
      <c r="A48" t="s">
        <v>6671</v>
      </c>
      <c r="B48" t="s">
        <v>6672</v>
      </c>
      <c r="C48" t="s">
        <v>16</v>
      </c>
      <c r="D48" s="6">
        <v>410893635.87134594</v>
      </c>
      <c r="E48" s="6">
        <v>42309635.871345878</v>
      </c>
      <c r="F48" s="6">
        <v>4.2199997901916504</v>
      </c>
      <c r="G48" s="6">
        <v>4.25</v>
      </c>
      <c r="H48" s="6">
        <v>7.7835504984454111</v>
      </c>
      <c r="I48" s="6">
        <v>-2.3085686010900552E-2</v>
      </c>
      <c r="J48" s="6">
        <v>165779000</v>
      </c>
      <c r="K48" s="6" t="e">
        <v>#N/A</v>
      </c>
      <c r="L48" t="s">
        <v>6529</v>
      </c>
      <c r="M48" t="s">
        <v>6639</v>
      </c>
      <c r="N48" s="4" t="s">
        <v>6673</v>
      </c>
      <c r="O48" s="4" t="s">
        <v>6674</v>
      </c>
      <c r="P48" s="4" t="s">
        <v>233</v>
      </c>
    </row>
    <row r="49" spans="1:16" x14ac:dyDescent="0.35">
      <c r="A49" t="s">
        <v>6675</v>
      </c>
      <c r="B49" t="s">
        <v>6676</v>
      </c>
      <c r="C49" t="s">
        <v>16</v>
      </c>
      <c r="D49" s="6">
        <v>2919526208.9787521</v>
      </c>
      <c r="E49" s="6">
        <v>5544713208.9787521</v>
      </c>
      <c r="F49" s="6">
        <v>18.120000839233398</v>
      </c>
      <c r="G49" s="6">
        <v>18.200000762939453</v>
      </c>
      <c r="H49" s="6">
        <v>8.1241036761268823</v>
      </c>
      <c r="I49" s="6">
        <v>0.28112356958864648</v>
      </c>
      <c r="J49" s="6">
        <v>2957296000</v>
      </c>
      <c r="K49" s="6">
        <v>0</v>
      </c>
      <c r="L49" t="s">
        <v>6514</v>
      </c>
      <c r="M49" t="s">
        <v>6534</v>
      </c>
      <c r="N49" s="4" t="s">
        <v>6677</v>
      </c>
      <c r="O49" s="4" t="s">
        <v>6678</v>
      </c>
      <c r="P49" s="4" t="s">
        <v>233</v>
      </c>
    </row>
    <row r="50" spans="1:16" x14ac:dyDescent="0.35">
      <c r="A50" t="s">
        <v>6679</v>
      </c>
      <c r="B50" t="s">
        <v>6680</v>
      </c>
      <c r="C50" t="s">
        <v>16</v>
      </c>
      <c r="D50" s="6">
        <v>6746832689.7108908</v>
      </c>
      <c r="E50" s="6">
        <v>6662448689.7108908</v>
      </c>
      <c r="F50" s="6">
        <v>26.399999618530273</v>
      </c>
      <c r="G50" s="6">
        <v>25.059999465942383</v>
      </c>
      <c r="H50" s="6" t="e">
        <v>#N/A</v>
      </c>
      <c r="I50" s="6">
        <v>8.1748849167816857</v>
      </c>
      <c r="J50" s="6">
        <v>22810000</v>
      </c>
      <c r="K50" s="6">
        <v>-56.86274509803922</v>
      </c>
      <c r="L50" t="s">
        <v>6547</v>
      </c>
      <c r="M50" t="s">
        <v>6602</v>
      </c>
      <c r="N50" s="4" t="s">
        <v>6681</v>
      </c>
      <c r="O50" s="4" t="s">
        <v>6682</v>
      </c>
      <c r="P50" s="4" t="s">
        <v>233</v>
      </c>
    </row>
    <row r="51" spans="1:16" x14ac:dyDescent="0.35">
      <c r="A51" t="s">
        <v>6683</v>
      </c>
      <c r="B51" t="s">
        <v>6684</v>
      </c>
      <c r="C51" t="s">
        <v>16</v>
      </c>
      <c r="D51" s="6">
        <v>361708716.63078302</v>
      </c>
      <c r="E51" s="6">
        <v>1870334716.6307831</v>
      </c>
      <c r="F51" s="6">
        <v>35.590000152587891</v>
      </c>
      <c r="G51" s="6">
        <v>35.439998626708984</v>
      </c>
      <c r="H51" s="6">
        <v>8.596618394344901</v>
      </c>
      <c r="I51" s="6">
        <v>0.74485984070874478</v>
      </c>
      <c r="J51" s="6">
        <v>588503000</v>
      </c>
      <c r="K51" s="6">
        <v>151.76470588235296</v>
      </c>
      <c r="L51" t="s">
        <v>6529</v>
      </c>
      <c r="M51" t="s">
        <v>6646</v>
      </c>
      <c r="N51" s="4" t="s">
        <v>6685</v>
      </c>
      <c r="O51" s="4" t="s">
        <v>6686</v>
      </c>
      <c r="P51" s="4" t="s">
        <v>233</v>
      </c>
    </row>
    <row r="52" spans="1:16" x14ac:dyDescent="0.35">
      <c r="A52" t="s">
        <v>6687</v>
      </c>
      <c r="B52" t="s">
        <v>4754</v>
      </c>
      <c r="C52" t="s">
        <v>16</v>
      </c>
      <c r="D52" s="6">
        <v>545970218.76770496</v>
      </c>
      <c r="E52" s="6">
        <v>513188168.76770496</v>
      </c>
      <c r="F52" s="6">
        <v>5.3499999046325684</v>
      </c>
      <c r="G52" s="6">
        <v>5.3400001525878906</v>
      </c>
      <c r="H52" s="6">
        <v>18.625409601077031</v>
      </c>
      <c r="I52" s="6">
        <v>0.41028052331928944</v>
      </c>
      <c r="J52" s="6">
        <v>694968328</v>
      </c>
      <c r="K52" s="6">
        <v>286.54564657733181</v>
      </c>
      <c r="L52" t="s">
        <v>17</v>
      </c>
      <c r="M52" t="s">
        <v>40</v>
      </c>
      <c r="N52" s="4" t="s">
        <v>4755</v>
      </c>
      <c r="O52" s="4" t="s">
        <v>4756</v>
      </c>
      <c r="P52" s="4" t="s">
        <v>233</v>
      </c>
    </row>
    <row r="53" spans="1:16" x14ac:dyDescent="0.35">
      <c r="A53" t="s">
        <v>6688</v>
      </c>
      <c r="B53" t="s">
        <v>6689</v>
      </c>
      <c r="C53" t="s">
        <v>16</v>
      </c>
      <c r="D53" s="6">
        <v>326537092.62121487</v>
      </c>
      <c r="E53" s="6">
        <v>14276092.621214926</v>
      </c>
      <c r="F53" s="6">
        <v>3.369999885559082</v>
      </c>
      <c r="G53" s="6">
        <v>3.3299999237060547</v>
      </c>
      <c r="H53" s="6" t="e">
        <v>#N/A</v>
      </c>
      <c r="I53" s="6">
        <v>-0.62287771273703219</v>
      </c>
      <c r="J53" s="6">
        <v>336368000</v>
      </c>
      <c r="K53" s="6">
        <v>59.090909090909093</v>
      </c>
      <c r="L53" t="s">
        <v>6514</v>
      </c>
      <c r="M53" t="s">
        <v>6690</v>
      </c>
      <c r="N53" s="4" t="s">
        <v>6691</v>
      </c>
      <c r="O53" s="4" t="s">
        <v>6692</v>
      </c>
      <c r="P53" s="4" t="s">
        <v>233</v>
      </c>
    </row>
    <row r="54" spans="1:16" x14ac:dyDescent="0.35">
      <c r="A54" t="s">
        <v>6693</v>
      </c>
      <c r="B54" t="s">
        <v>6694</v>
      </c>
      <c r="C54" t="s">
        <v>16</v>
      </c>
      <c r="D54" s="6">
        <v>1421993522.2304707</v>
      </c>
      <c r="E54" s="6">
        <v>1421076522.2304707</v>
      </c>
      <c r="F54" s="6">
        <v>11.060000419616699</v>
      </c>
      <c r="G54" s="6">
        <v>11.029999732971191</v>
      </c>
      <c r="H54" s="6">
        <v>237.24233509120094</v>
      </c>
      <c r="I54" s="6">
        <v>0.30024090219944388</v>
      </c>
      <c r="J54" s="6">
        <v>195159000</v>
      </c>
      <c r="K54" s="6">
        <v>-50</v>
      </c>
      <c r="L54" t="s">
        <v>6518</v>
      </c>
      <c r="M54" t="s">
        <v>6519</v>
      </c>
      <c r="N54" s="4" t="s">
        <v>6695</v>
      </c>
      <c r="O54" s="4" t="s">
        <v>6696</v>
      </c>
      <c r="P54" s="4" t="s">
        <v>233</v>
      </c>
    </row>
    <row r="55" spans="1:16" x14ac:dyDescent="0.35">
      <c r="A55" t="s">
        <v>13330</v>
      </c>
      <c r="B55" t="s">
        <v>13308</v>
      </c>
      <c r="C55" t="s">
        <v>16</v>
      </c>
      <c r="D55" s="6">
        <v>183984697.9335537</v>
      </c>
      <c r="E55" s="6">
        <v>185074697.9335537</v>
      </c>
      <c r="F55" s="6">
        <v>2.3499999046325684</v>
      </c>
      <c r="G55" s="6">
        <v>2.3199999332427979</v>
      </c>
      <c r="H55" s="6" t="e">
        <v>#N/A</v>
      </c>
      <c r="I55" s="6">
        <v>-0.1891894654368681</v>
      </c>
      <c r="J55" s="6">
        <v>120782000</v>
      </c>
      <c r="K55" s="6">
        <v>16.666666666666661</v>
      </c>
      <c r="L55" t="s">
        <v>17</v>
      </c>
      <c r="M55" t="s">
        <v>40</v>
      </c>
      <c r="N55" s="4" t="s">
        <v>2755</v>
      </c>
      <c r="O55" s="4" t="s">
        <v>2756</v>
      </c>
      <c r="P55" s="4" t="s">
        <v>233</v>
      </c>
    </row>
    <row r="56" spans="1:16" x14ac:dyDescent="0.35">
      <c r="A56" t="s">
        <v>6697</v>
      </c>
      <c r="B56" t="s">
        <v>344</v>
      </c>
      <c r="C56" t="s">
        <v>16</v>
      </c>
      <c r="D56" s="6">
        <v>2165660895.8584213</v>
      </c>
      <c r="E56" s="6">
        <v>2060097895.8584213</v>
      </c>
      <c r="F56" s="6">
        <v>96.319999694824219</v>
      </c>
      <c r="G56" s="6">
        <v>95.589996337890625</v>
      </c>
      <c r="H56" s="6">
        <v>52.587757564990383</v>
      </c>
      <c r="I56" s="6">
        <v>0.55838951843706286</v>
      </c>
      <c r="J56" s="6">
        <v>213029000</v>
      </c>
      <c r="K56" s="6">
        <v>50.406504065040664</v>
      </c>
      <c r="L56" t="s">
        <v>17</v>
      </c>
      <c r="M56" t="s">
        <v>27</v>
      </c>
      <c r="N56" s="4" t="s">
        <v>345</v>
      </c>
      <c r="O56" s="4" t="s">
        <v>346</v>
      </c>
      <c r="P56" s="4" t="s">
        <v>233</v>
      </c>
    </row>
    <row r="57" spans="1:16" x14ac:dyDescent="0.35">
      <c r="A57" t="s">
        <v>6698</v>
      </c>
      <c r="B57" t="s">
        <v>6699</v>
      </c>
      <c r="C57" t="s">
        <v>16</v>
      </c>
      <c r="D57" s="6">
        <v>706222485.36922252</v>
      </c>
      <c r="E57" s="6">
        <v>1745377226.3692226</v>
      </c>
      <c r="F57" s="6">
        <v>16.079999923706055</v>
      </c>
      <c r="G57" s="6">
        <v>16.020000457763672</v>
      </c>
      <c r="H57" s="6">
        <v>30.242845392303227</v>
      </c>
      <c r="I57" s="6">
        <v>0.3469444683978764</v>
      </c>
      <c r="J57" s="6">
        <v>147921000</v>
      </c>
      <c r="K57" s="6" t="e">
        <v>#N/A</v>
      </c>
      <c r="L57" t="s">
        <v>6623</v>
      </c>
      <c r="M57" t="s">
        <v>6700</v>
      </c>
      <c r="N57" s="4" t="s">
        <v>6701</v>
      </c>
      <c r="O57" s="4" t="s">
        <v>6702</v>
      </c>
      <c r="P57" s="4" t="s">
        <v>233</v>
      </c>
    </row>
    <row r="58" spans="1:16" x14ac:dyDescent="0.35">
      <c r="A58" t="s">
        <v>6703</v>
      </c>
      <c r="B58" t="s">
        <v>2045</v>
      </c>
      <c r="C58" t="s">
        <v>16</v>
      </c>
      <c r="D58" s="6">
        <v>78473403.418390259</v>
      </c>
      <c r="E58" s="6">
        <v>1292424403.4183903</v>
      </c>
      <c r="F58" s="6">
        <v>5.4899997711181641</v>
      </c>
      <c r="G58" s="6">
        <v>5.5900001525878906</v>
      </c>
      <c r="H58" s="6" t="e">
        <v>#N/A</v>
      </c>
      <c r="I58" s="6">
        <v>-0.88530285622538807</v>
      </c>
      <c r="J58" s="6">
        <v>2788007000</v>
      </c>
      <c r="K58" s="6">
        <v>11.416781292984869</v>
      </c>
      <c r="L58" t="s">
        <v>17</v>
      </c>
      <c r="M58" t="s">
        <v>40</v>
      </c>
      <c r="N58" s="4" t="s">
        <v>2046</v>
      </c>
      <c r="O58" s="4" t="s">
        <v>2047</v>
      </c>
      <c r="P58" s="4" t="s">
        <v>233</v>
      </c>
    </row>
    <row r="59" spans="1:16" x14ac:dyDescent="0.35">
      <c r="A59" t="s">
        <v>6704</v>
      </c>
      <c r="B59" t="s">
        <v>6705</v>
      </c>
      <c r="C59" t="s">
        <v>16</v>
      </c>
      <c r="D59" s="6">
        <v>2678253561.4198608</v>
      </c>
      <c r="E59" s="6">
        <v>3933431561.4198608</v>
      </c>
      <c r="F59" s="6">
        <v>26.950000762939453</v>
      </c>
      <c r="G59" s="6">
        <v>27.399999618530273</v>
      </c>
      <c r="H59" s="6">
        <v>9.0299219650381044</v>
      </c>
      <c r="I59" s="6">
        <v>-0.26213728525830005</v>
      </c>
      <c r="J59" s="6">
        <v>2756762000</v>
      </c>
      <c r="K59" s="6">
        <v>-27.802858104354794</v>
      </c>
      <c r="L59" t="s">
        <v>6523</v>
      </c>
      <c r="M59" t="s">
        <v>6588</v>
      </c>
      <c r="N59" s="4" t="s">
        <v>6706</v>
      </c>
      <c r="O59" s="4" t="s">
        <v>6707</v>
      </c>
      <c r="P59" s="4" t="s">
        <v>233</v>
      </c>
    </row>
    <row r="60" spans="1:16" x14ac:dyDescent="0.35">
      <c r="A60" t="s">
        <v>6708</v>
      </c>
      <c r="B60" t="s">
        <v>6709</v>
      </c>
      <c r="C60" t="s">
        <v>16</v>
      </c>
      <c r="D60" s="6">
        <v>733816520.32947528</v>
      </c>
      <c r="E60" s="6">
        <v>1009360520.3294754</v>
      </c>
      <c r="F60" s="6">
        <v>13.550000190734863</v>
      </c>
      <c r="G60" s="6">
        <v>13.520000457763672</v>
      </c>
      <c r="H60" s="6" t="e">
        <v>#N/A</v>
      </c>
      <c r="I60" s="6">
        <v>0.67668250504122951</v>
      </c>
      <c r="J60" s="6">
        <v>1047357000</v>
      </c>
      <c r="K60" s="6">
        <v>87.723785166240404</v>
      </c>
      <c r="L60" t="s">
        <v>6540</v>
      </c>
      <c r="M60" t="s">
        <v>6571</v>
      </c>
      <c r="N60" s="4" t="s">
        <v>6710</v>
      </c>
      <c r="O60" s="4" t="s">
        <v>6711</v>
      </c>
      <c r="P60" s="4" t="s">
        <v>233</v>
      </c>
    </row>
    <row r="61" spans="1:16" x14ac:dyDescent="0.35">
      <c r="A61" t="s">
        <v>6712</v>
      </c>
      <c r="B61" t="s">
        <v>6713</v>
      </c>
      <c r="C61" t="s">
        <v>16</v>
      </c>
      <c r="D61" s="6">
        <v>283076860.33945155</v>
      </c>
      <c r="E61" s="6">
        <v>119673860.33945155</v>
      </c>
      <c r="F61" s="6">
        <v>1.4700000286102295</v>
      </c>
      <c r="G61" s="6">
        <v>1.3700000047683716</v>
      </c>
      <c r="H61" s="6" t="e">
        <v>#N/A</v>
      </c>
      <c r="I61" s="6">
        <v>-0.51389176261791136</v>
      </c>
      <c r="J61" s="6">
        <v>199770000</v>
      </c>
      <c r="K61" s="6">
        <v>51.589538871738348</v>
      </c>
      <c r="L61" t="s">
        <v>6518</v>
      </c>
      <c r="M61" t="s">
        <v>6714</v>
      </c>
      <c r="N61" s="4" t="s">
        <v>6715</v>
      </c>
      <c r="O61" s="4" t="s">
        <v>6716</v>
      </c>
      <c r="P61" s="4" t="s">
        <v>233</v>
      </c>
    </row>
    <row r="62" spans="1:16" x14ac:dyDescent="0.35">
      <c r="A62" t="s">
        <v>6717</v>
      </c>
      <c r="B62" t="s">
        <v>6718</v>
      </c>
      <c r="C62" t="s">
        <v>16</v>
      </c>
      <c r="D62" s="6">
        <v>268375614.23203659</v>
      </c>
      <c r="E62" s="6">
        <v>375354614.23203659</v>
      </c>
      <c r="F62" s="6">
        <v>11.079999923706055</v>
      </c>
      <c r="G62" s="6">
        <v>11.199999809265137</v>
      </c>
      <c r="H62" s="6">
        <v>41.037036754466868</v>
      </c>
      <c r="I62" s="6">
        <v>-0.11236817734276494</v>
      </c>
      <c r="J62" s="6">
        <v>51809000</v>
      </c>
      <c r="K62" s="6">
        <v>-15.624999999999996</v>
      </c>
      <c r="L62" t="s">
        <v>6719</v>
      </c>
      <c r="M62" t="s">
        <v>6720</v>
      </c>
      <c r="N62" s="4" t="s">
        <v>6721</v>
      </c>
      <c r="O62" s="4" t="s">
        <v>6722</v>
      </c>
      <c r="P62" s="4" t="s">
        <v>233</v>
      </c>
    </row>
    <row r="63" spans="1:16" x14ac:dyDescent="0.35">
      <c r="A63" t="s">
        <v>6723</v>
      </c>
      <c r="B63" t="s">
        <v>2401</v>
      </c>
      <c r="C63" t="s">
        <v>16</v>
      </c>
      <c r="D63" s="6">
        <v>112097403.07946205</v>
      </c>
      <c r="E63" s="6">
        <v>-36880596.920537949</v>
      </c>
      <c r="F63" s="6">
        <v>2.3299999237060547</v>
      </c>
      <c r="G63" s="6">
        <v>2.2999999523162842</v>
      </c>
      <c r="H63" s="6" t="e">
        <v>#N/A</v>
      </c>
      <c r="I63" s="6">
        <v>-0.90585577094317249</v>
      </c>
      <c r="J63" s="6">
        <v>0</v>
      </c>
      <c r="K63" s="6">
        <v>83.842794759825324</v>
      </c>
      <c r="L63" t="s">
        <v>17</v>
      </c>
      <c r="M63" t="s">
        <v>87</v>
      </c>
      <c r="N63" s="4" t="s">
        <v>2402</v>
      </c>
      <c r="O63" s="4" t="s">
        <v>2403</v>
      </c>
      <c r="P63" s="4" t="s">
        <v>233</v>
      </c>
    </row>
    <row r="64" spans="1:16" x14ac:dyDescent="0.35">
      <c r="A64" t="s">
        <v>6724</v>
      </c>
      <c r="B64" t="s">
        <v>3347</v>
      </c>
      <c r="C64" t="s">
        <v>16</v>
      </c>
      <c r="D64" s="6">
        <v>1119013580.4656029</v>
      </c>
      <c r="E64" s="6">
        <v>1555416580.4656029</v>
      </c>
      <c r="F64" s="6">
        <v>9.6000003814697266</v>
      </c>
      <c r="G64" s="6">
        <v>9.6599998474121094</v>
      </c>
      <c r="H64" s="6">
        <v>203.73515240810119</v>
      </c>
      <c r="I64" s="6">
        <v>-0.69385937273160359</v>
      </c>
      <c r="J64" s="6">
        <v>2464254000</v>
      </c>
      <c r="K64" s="6">
        <v>10.784313725490193</v>
      </c>
      <c r="L64" t="s">
        <v>17</v>
      </c>
      <c r="M64" t="s">
        <v>32</v>
      </c>
      <c r="N64" s="4" t="s">
        <v>3348</v>
      </c>
      <c r="O64" s="4" t="s">
        <v>3349</v>
      </c>
      <c r="P64" s="4" t="s">
        <v>233</v>
      </c>
    </row>
    <row r="65" spans="1:16" x14ac:dyDescent="0.35">
      <c r="A65" t="s">
        <v>6725</v>
      </c>
      <c r="B65" t="s">
        <v>6726</v>
      </c>
      <c r="C65" t="s">
        <v>16</v>
      </c>
      <c r="D65" s="6">
        <v>5366963858.806221</v>
      </c>
      <c r="E65" s="6">
        <v>6592113858.806221</v>
      </c>
      <c r="F65" s="6">
        <v>23.479999542236328</v>
      </c>
      <c r="G65" s="6">
        <v>23.489999771118164</v>
      </c>
      <c r="H65" s="6" t="e">
        <v>#N/A</v>
      </c>
      <c r="I65" s="6">
        <v>0.90248880647167184</v>
      </c>
      <c r="J65" s="6">
        <v>1258381000</v>
      </c>
      <c r="K65" s="6">
        <v>67.139390013191189</v>
      </c>
      <c r="L65" t="s">
        <v>6547</v>
      </c>
      <c r="M65" t="s">
        <v>6602</v>
      </c>
      <c r="N65" s="4" t="s">
        <v>6727</v>
      </c>
      <c r="O65" s="4" t="s">
        <v>6728</v>
      </c>
      <c r="P65" s="4" t="s">
        <v>233</v>
      </c>
    </row>
    <row r="66" spans="1:16" x14ac:dyDescent="0.35">
      <c r="A66" t="s">
        <v>6729</v>
      </c>
      <c r="B66" t="s">
        <v>6730</v>
      </c>
      <c r="C66" t="s">
        <v>16</v>
      </c>
      <c r="D66" s="6">
        <v>394375830.29605865</v>
      </c>
      <c r="E66" s="6" t="e">
        <v>#N/A</v>
      </c>
      <c r="F66" s="6">
        <v>42.209999084472656</v>
      </c>
      <c r="G66" s="6">
        <v>42.889999389648438</v>
      </c>
      <c r="H66" s="6">
        <v>8.721074191006748</v>
      </c>
      <c r="I66" s="6">
        <v>0.54463934518999335</v>
      </c>
      <c r="J66" s="6">
        <v>142794000</v>
      </c>
      <c r="K66" s="6">
        <v>59.223300970873787</v>
      </c>
      <c r="L66" t="s">
        <v>6529</v>
      </c>
      <c r="M66" t="s">
        <v>6530</v>
      </c>
      <c r="N66" s="4" t="s">
        <v>6731</v>
      </c>
      <c r="O66" s="4" t="s">
        <v>6732</v>
      </c>
      <c r="P66" s="4" t="s">
        <v>233</v>
      </c>
    </row>
    <row r="67" spans="1:16" x14ac:dyDescent="0.35">
      <c r="A67" t="s">
        <v>6733</v>
      </c>
      <c r="B67" t="s">
        <v>6734</v>
      </c>
      <c r="C67" t="s">
        <v>16</v>
      </c>
      <c r="D67" s="6">
        <v>1915613521.9168205</v>
      </c>
      <c r="E67" s="6">
        <v>5716613521.9168205</v>
      </c>
      <c r="F67" s="6">
        <v>31.969999313354492</v>
      </c>
      <c r="G67" s="6">
        <v>30.670000076293945</v>
      </c>
      <c r="H67" s="6">
        <v>39.926116468061593</v>
      </c>
      <c r="I67" s="6">
        <v>0.86966821709815156</v>
      </c>
      <c r="J67" s="6">
        <v>31299000000</v>
      </c>
      <c r="K67" s="6">
        <v>-13.768115942029016</v>
      </c>
      <c r="L67" t="s">
        <v>6735</v>
      </c>
      <c r="M67" t="s">
        <v>6736</v>
      </c>
      <c r="N67" s="4" t="s">
        <v>6737</v>
      </c>
      <c r="O67" s="4" t="s">
        <v>6738</v>
      </c>
      <c r="P67" s="4" t="s">
        <v>233</v>
      </c>
    </row>
    <row r="68" spans="1:16" x14ac:dyDescent="0.35">
      <c r="A68" t="s">
        <v>6739</v>
      </c>
      <c r="B68" t="s">
        <v>3944</v>
      </c>
      <c r="C68" t="s">
        <v>16</v>
      </c>
      <c r="D68" s="6">
        <v>309094083.83497304</v>
      </c>
      <c r="E68" s="6">
        <v>268070083.83497304</v>
      </c>
      <c r="F68" s="6">
        <v>3.3900001049041748</v>
      </c>
      <c r="G68" s="6">
        <v>2.940000057220459</v>
      </c>
      <c r="H68" s="6" t="e">
        <v>#N/A</v>
      </c>
      <c r="I68" s="6">
        <v>0.22315155170828382</v>
      </c>
      <c r="J68" s="6">
        <v>58900000</v>
      </c>
      <c r="K68" s="6">
        <v>-114.28571428571428</v>
      </c>
      <c r="L68" t="s">
        <v>17</v>
      </c>
      <c r="M68" t="s">
        <v>87</v>
      </c>
      <c r="N68" s="4" t="s">
        <v>3945</v>
      </c>
      <c r="O68" s="4" t="s">
        <v>3946</v>
      </c>
      <c r="P68" s="4" t="s">
        <v>233</v>
      </c>
    </row>
    <row r="69" spans="1:16" x14ac:dyDescent="0.35">
      <c r="A69" t="s">
        <v>6740</v>
      </c>
      <c r="B69" t="s">
        <v>3482</v>
      </c>
      <c r="C69" t="s">
        <v>16</v>
      </c>
      <c r="D69" s="6">
        <v>98232242.533440098</v>
      </c>
      <c r="E69" s="6">
        <v>-128367757.46655987</v>
      </c>
      <c r="F69" s="6">
        <v>1.190000057220459</v>
      </c>
      <c r="G69" s="6">
        <v>1.1699999570846558</v>
      </c>
      <c r="H69" s="6" t="e">
        <v>#N/A</v>
      </c>
      <c r="I69" s="6">
        <v>-0.85285801506378056</v>
      </c>
      <c r="J69" s="6">
        <v>61758000</v>
      </c>
      <c r="K69" s="6">
        <v>5.1851851851851896</v>
      </c>
      <c r="L69" t="s">
        <v>17</v>
      </c>
      <c r="M69" t="s">
        <v>18</v>
      </c>
      <c r="N69" s="4" t="s">
        <v>3483</v>
      </c>
      <c r="O69" s="4" t="s">
        <v>3484</v>
      </c>
      <c r="P69" s="4" t="s">
        <v>233</v>
      </c>
    </row>
    <row r="70" spans="1:16" x14ac:dyDescent="0.35">
      <c r="A70" t="s">
        <v>13342</v>
      </c>
      <c r="B70" t="s">
        <v>13034</v>
      </c>
      <c r="C70" t="s">
        <v>16</v>
      </c>
      <c r="D70" s="6">
        <v>502639025.88935852</v>
      </c>
      <c r="E70" s="6">
        <v>615353025.88935852</v>
      </c>
      <c r="F70" s="6">
        <v>11.319999694824219</v>
      </c>
      <c r="G70" s="6">
        <v>10.949999809265137</v>
      </c>
      <c r="H70" s="6" t="e">
        <v>#N/A</v>
      </c>
      <c r="I70" s="6">
        <v>-0.87913537177757983</v>
      </c>
      <c r="J70" s="6" t="e">
        <v>#N/A</v>
      </c>
      <c r="K70" s="6" t="e">
        <v>#N/A</v>
      </c>
      <c r="L70" t="s">
        <v>17</v>
      </c>
      <c r="M70" t="s">
        <v>87</v>
      </c>
      <c r="N70" s="4" t="s">
        <v>13035</v>
      </c>
      <c r="O70" s="4" t="s">
        <v>13036</v>
      </c>
      <c r="P70" s="4" t="s">
        <v>233</v>
      </c>
    </row>
    <row r="71" spans="1:16" x14ac:dyDescent="0.35">
      <c r="A71" t="s">
        <v>6741</v>
      </c>
      <c r="B71" t="s">
        <v>6742</v>
      </c>
      <c r="C71" t="s">
        <v>16</v>
      </c>
      <c r="D71" s="6">
        <v>2656525181.047699</v>
      </c>
      <c r="E71" s="6" t="e">
        <v>#N/A</v>
      </c>
      <c r="F71" s="6">
        <v>36.470001220703125</v>
      </c>
      <c r="G71" s="6">
        <v>36.700000762939453</v>
      </c>
      <c r="H71" s="6">
        <v>16.824540494782237</v>
      </c>
      <c r="I71" s="6">
        <v>0.33787161139982347</v>
      </c>
      <c r="J71" s="6">
        <v>1025673000</v>
      </c>
      <c r="K71" s="6">
        <v>4.854368932038839</v>
      </c>
      <c r="L71" t="s">
        <v>6529</v>
      </c>
      <c r="M71" t="s">
        <v>6530</v>
      </c>
      <c r="N71" s="4" t="s">
        <v>6743</v>
      </c>
      <c r="O71" s="4" t="s">
        <v>6744</v>
      </c>
      <c r="P71" s="4" t="s">
        <v>233</v>
      </c>
    </row>
    <row r="72" spans="1:16" x14ac:dyDescent="0.35">
      <c r="A72" t="s">
        <v>6745</v>
      </c>
      <c r="B72" t="s">
        <v>6746</v>
      </c>
      <c r="C72" t="s">
        <v>16</v>
      </c>
      <c r="D72" s="6">
        <v>3847315652.5159302</v>
      </c>
      <c r="E72" s="6">
        <v>4112249652.5159302</v>
      </c>
      <c r="F72" s="6">
        <v>38.080001831054688</v>
      </c>
      <c r="G72" s="6">
        <v>37.5</v>
      </c>
      <c r="H72" s="6">
        <v>23.453114916595904</v>
      </c>
      <c r="I72" s="6">
        <v>5.8788722468260168E-2</v>
      </c>
      <c r="J72" s="6">
        <v>1363911000</v>
      </c>
      <c r="K72" s="6">
        <v>4.4444444444444491</v>
      </c>
      <c r="L72" t="s">
        <v>6735</v>
      </c>
      <c r="M72" t="s">
        <v>6747</v>
      </c>
      <c r="N72" s="4" t="s">
        <v>6748</v>
      </c>
      <c r="O72" s="4" t="s">
        <v>6749</v>
      </c>
      <c r="P72" s="4" t="s">
        <v>233</v>
      </c>
    </row>
    <row r="73" spans="1:16" x14ac:dyDescent="0.35">
      <c r="A73" t="s">
        <v>6750</v>
      </c>
      <c r="B73" t="s">
        <v>6751</v>
      </c>
      <c r="C73" t="s">
        <v>16</v>
      </c>
      <c r="D73" s="6">
        <v>786414593.75</v>
      </c>
      <c r="E73" s="6">
        <v>953080593.75</v>
      </c>
      <c r="F73" s="6">
        <v>16.75</v>
      </c>
      <c r="G73" s="6">
        <v>16.950000762939453</v>
      </c>
      <c r="H73" s="6">
        <v>19.976433771264468</v>
      </c>
      <c r="I73" s="6">
        <v>0.12251971825967534</v>
      </c>
      <c r="J73" s="6">
        <v>523847999.99999994</v>
      </c>
      <c r="K73" s="6">
        <v>-16.455696202531644</v>
      </c>
      <c r="L73" t="s">
        <v>6523</v>
      </c>
      <c r="M73" t="s">
        <v>6588</v>
      </c>
      <c r="N73" s="4" t="s">
        <v>6752</v>
      </c>
      <c r="O73" s="4" t="s">
        <v>6753</v>
      </c>
      <c r="P73" s="4" t="s">
        <v>233</v>
      </c>
    </row>
    <row r="74" spans="1:16" x14ac:dyDescent="0.35">
      <c r="A74" t="s">
        <v>6754</v>
      </c>
      <c r="B74" t="s">
        <v>6755</v>
      </c>
      <c r="C74" t="s">
        <v>16</v>
      </c>
      <c r="D74" s="6">
        <v>1629496988.1837099</v>
      </c>
      <c r="E74" s="6" t="e">
        <v>#N/A</v>
      </c>
      <c r="F74" s="6">
        <v>15.560000419616699</v>
      </c>
      <c r="G74" s="6">
        <v>15.510000228881836</v>
      </c>
      <c r="H74" s="6" t="e">
        <v>#N/A</v>
      </c>
      <c r="I74" s="6">
        <v>-0.11661253763645463</v>
      </c>
      <c r="J74" s="6">
        <v>453320000</v>
      </c>
      <c r="K74" s="6" t="e">
        <v>#N/A</v>
      </c>
      <c r="L74" t="s">
        <v>6529</v>
      </c>
      <c r="M74" t="s">
        <v>6530</v>
      </c>
      <c r="N74" s="4" t="s">
        <v>6756</v>
      </c>
      <c r="O74" s="4" t="s">
        <v>6757</v>
      </c>
      <c r="P74" s="4" t="s">
        <v>233</v>
      </c>
    </row>
    <row r="75" spans="1:16" x14ac:dyDescent="0.35">
      <c r="A75" t="s">
        <v>6758</v>
      </c>
      <c r="B75" t="s">
        <v>6759</v>
      </c>
      <c r="C75" t="s">
        <v>16</v>
      </c>
      <c r="D75" s="6">
        <v>1072070765.3793486</v>
      </c>
      <c r="E75" s="6">
        <v>954723765.37934864</v>
      </c>
      <c r="F75" s="6">
        <v>43.740001678466797</v>
      </c>
      <c r="G75" s="6">
        <v>42.720001220703125</v>
      </c>
      <c r="H75" s="6">
        <v>46.149660027122998</v>
      </c>
      <c r="I75" s="6">
        <v>0.23383652422149681</v>
      </c>
      <c r="J75" s="6">
        <v>500890000</v>
      </c>
      <c r="K75" s="6">
        <v>0</v>
      </c>
      <c r="L75" t="s">
        <v>6547</v>
      </c>
      <c r="M75" t="s">
        <v>6668</v>
      </c>
      <c r="N75" s="4" t="s">
        <v>6760</v>
      </c>
      <c r="O75" s="4" t="s">
        <v>6761</v>
      </c>
      <c r="P75" s="4" t="s">
        <v>233</v>
      </c>
    </row>
    <row r="76" spans="1:16" x14ac:dyDescent="0.35">
      <c r="A76" t="s">
        <v>6762</v>
      </c>
      <c r="B76" t="s">
        <v>6763</v>
      </c>
      <c r="C76" t="s">
        <v>16</v>
      </c>
      <c r="D76" s="6">
        <v>1064085923.0000001</v>
      </c>
      <c r="E76" s="6">
        <v>1540585923</v>
      </c>
      <c r="F76" s="6">
        <v>9.25</v>
      </c>
      <c r="G76" s="6">
        <v>9.3100004196166992</v>
      </c>
      <c r="H76" s="6">
        <v>11.262577559588166</v>
      </c>
      <c r="I76" s="6">
        <v>6.6974316525588717E-2</v>
      </c>
      <c r="J76" s="6">
        <v>1864100000</v>
      </c>
      <c r="K76" s="6" t="e">
        <v>#N/A</v>
      </c>
      <c r="L76" t="s">
        <v>6563</v>
      </c>
      <c r="M76" t="s">
        <v>6764</v>
      </c>
      <c r="N76" s="4" t="s">
        <v>6765</v>
      </c>
      <c r="O76" s="4" t="s">
        <v>6766</v>
      </c>
      <c r="P76" s="4" t="s">
        <v>233</v>
      </c>
    </row>
    <row r="77" spans="1:16" x14ac:dyDescent="0.35">
      <c r="A77" t="s">
        <v>6767</v>
      </c>
      <c r="B77" t="s">
        <v>6768</v>
      </c>
      <c r="C77" t="s">
        <v>16</v>
      </c>
      <c r="D77" s="6">
        <v>2597955262.2200313</v>
      </c>
      <c r="E77" s="6" t="e">
        <v>#N/A</v>
      </c>
      <c r="F77" s="6">
        <v>44.279998779296875</v>
      </c>
      <c r="G77" s="6">
        <v>44.409999847412109</v>
      </c>
      <c r="H77" s="6">
        <v>14.105993989755911</v>
      </c>
      <c r="I77" s="6">
        <v>0.33406768552797894</v>
      </c>
      <c r="J77" s="6">
        <v>1053603000.0000001</v>
      </c>
      <c r="K77" s="6">
        <v>-8.5561497326203284</v>
      </c>
      <c r="L77" t="s">
        <v>6529</v>
      </c>
      <c r="M77" t="s">
        <v>6530</v>
      </c>
      <c r="N77" s="4" t="s">
        <v>6769</v>
      </c>
      <c r="O77" s="4" t="s">
        <v>6770</v>
      </c>
      <c r="P77" s="4" t="s">
        <v>233</v>
      </c>
    </row>
    <row r="78" spans="1:16" x14ac:dyDescent="0.35">
      <c r="A78" t="s">
        <v>6771</v>
      </c>
      <c r="B78" t="s">
        <v>6772</v>
      </c>
      <c r="C78" t="s">
        <v>16</v>
      </c>
      <c r="D78" s="6">
        <v>4036944221.6278605</v>
      </c>
      <c r="E78" s="6">
        <v>5826930221.627861</v>
      </c>
      <c r="F78" s="6">
        <v>27.680000305175781</v>
      </c>
      <c r="G78" s="6">
        <v>28.459999084472656</v>
      </c>
      <c r="H78" s="6">
        <v>9.2349043030302305</v>
      </c>
      <c r="I78" s="6">
        <v>-0.26144412405945894</v>
      </c>
      <c r="J78" s="6">
        <v>3016891000</v>
      </c>
      <c r="K78" s="6">
        <v>-36.065573770491802</v>
      </c>
      <c r="L78" t="s">
        <v>6523</v>
      </c>
      <c r="M78" t="s">
        <v>6524</v>
      </c>
      <c r="N78" s="4" t="s">
        <v>6773</v>
      </c>
      <c r="O78" s="4" t="s">
        <v>6774</v>
      </c>
      <c r="P78" s="4" t="s">
        <v>233</v>
      </c>
    </row>
    <row r="79" spans="1:16" x14ac:dyDescent="0.35">
      <c r="A79" t="s">
        <v>6775</v>
      </c>
      <c r="B79" t="s">
        <v>6776</v>
      </c>
      <c r="C79" t="s">
        <v>16</v>
      </c>
      <c r="D79" s="6">
        <v>2056688741.8076248</v>
      </c>
      <c r="E79" s="6" t="e">
        <v>#N/A</v>
      </c>
      <c r="F79" s="6">
        <v>31.659999847412109</v>
      </c>
      <c r="G79" s="6">
        <v>32.229999542236328</v>
      </c>
      <c r="H79" s="6">
        <v>18.195402211156384</v>
      </c>
      <c r="I79" s="6">
        <v>2.2225646356986761E-2</v>
      </c>
      <c r="J79" s="6">
        <v>1607345000</v>
      </c>
      <c r="K79" s="6">
        <v>2.9585798816568074</v>
      </c>
      <c r="L79" t="s">
        <v>6529</v>
      </c>
      <c r="M79" t="s">
        <v>6530</v>
      </c>
      <c r="N79" s="4" t="s">
        <v>6777</v>
      </c>
      <c r="O79" s="4" t="s">
        <v>6778</v>
      </c>
      <c r="P79" s="4" t="s">
        <v>233</v>
      </c>
    </row>
    <row r="80" spans="1:16" x14ac:dyDescent="0.35">
      <c r="A80" t="s">
        <v>6779</v>
      </c>
      <c r="B80" t="s">
        <v>3236</v>
      </c>
      <c r="C80" t="s">
        <v>16</v>
      </c>
      <c r="D80" s="6">
        <v>1028562547.3057059</v>
      </c>
      <c r="E80" s="6">
        <v>818542547.3057059</v>
      </c>
      <c r="F80" s="6">
        <v>9.8599996566772461</v>
      </c>
      <c r="G80" s="6">
        <v>9.6899995803833008</v>
      </c>
      <c r="H80" s="6" t="e">
        <v>#N/A</v>
      </c>
      <c r="I80" s="6">
        <v>-0.67022298835030636</v>
      </c>
      <c r="J80" s="6">
        <v>0</v>
      </c>
      <c r="K80" s="6">
        <v>14.596273291925458</v>
      </c>
      <c r="L80" t="s">
        <v>17</v>
      </c>
      <c r="M80" t="s">
        <v>18</v>
      </c>
      <c r="N80" s="4" t="s">
        <v>3237</v>
      </c>
      <c r="O80" s="4" t="s">
        <v>3238</v>
      </c>
      <c r="P80" s="4" t="s">
        <v>233</v>
      </c>
    </row>
    <row r="81" spans="1:16" x14ac:dyDescent="0.35">
      <c r="A81" t="s">
        <v>6780</v>
      </c>
      <c r="B81" t="s">
        <v>2988</v>
      </c>
      <c r="C81" t="s">
        <v>16</v>
      </c>
      <c r="D81" s="6">
        <v>241518715.99740314</v>
      </c>
      <c r="E81" s="6">
        <v>141002715.99740314</v>
      </c>
      <c r="F81" s="6">
        <v>10.140000343322754</v>
      </c>
      <c r="G81" s="6">
        <v>10.149999618530273</v>
      </c>
      <c r="H81" s="6" t="e">
        <v>#N/A</v>
      </c>
      <c r="I81" s="6">
        <v>0.16369570840310277</v>
      </c>
      <c r="J81" s="6">
        <v>331520000</v>
      </c>
      <c r="K81" s="6">
        <v>60.801393728222997</v>
      </c>
      <c r="L81" t="s">
        <v>17</v>
      </c>
      <c r="M81" t="s">
        <v>27</v>
      </c>
      <c r="N81" s="4" t="s">
        <v>2989</v>
      </c>
      <c r="O81" s="4" t="s">
        <v>2990</v>
      </c>
      <c r="P81" s="4" t="s">
        <v>233</v>
      </c>
    </row>
    <row r="82" spans="1:16" x14ac:dyDescent="0.35">
      <c r="A82" t="s">
        <v>6781</v>
      </c>
      <c r="B82" t="s">
        <v>6782</v>
      </c>
      <c r="C82" t="s">
        <v>16</v>
      </c>
      <c r="D82" s="6">
        <v>3353160273.5171776</v>
      </c>
      <c r="E82" s="6">
        <v>3194989273.5171776</v>
      </c>
      <c r="F82" s="6">
        <v>44.909999847412109</v>
      </c>
      <c r="G82" s="6">
        <v>44.430000305175781</v>
      </c>
      <c r="H82" s="6" t="e">
        <v>#N/A</v>
      </c>
      <c r="I82" s="6">
        <v>1.0957736949770207</v>
      </c>
      <c r="J82" s="6">
        <v>342918000</v>
      </c>
      <c r="K82" s="6">
        <v>61.724666710927082</v>
      </c>
      <c r="L82" t="s">
        <v>6518</v>
      </c>
      <c r="M82" t="s">
        <v>6519</v>
      </c>
      <c r="N82" s="4" t="s">
        <v>6783</v>
      </c>
      <c r="O82" s="4" t="s">
        <v>6784</v>
      </c>
      <c r="P82" s="4" t="s">
        <v>233</v>
      </c>
    </row>
    <row r="83" spans="1:16" x14ac:dyDescent="0.35">
      <c r="A83" t="s">
        <v>6785</v>
      </c>
      <c r="B83" t="s">
        <v>3321</v>
      </c>
      <c r="C83" t="s">
        <v>16</v>
      </c>
      <c r="D83" s="6">
        <v>6578735628.1876221</v>
      </c>
      <c r="E83" s="6">
        <v>6369182628.1876221</v>
      </c>
      <c r="F83" s="6">
        <v>103.55999755859375</v>
      </c>
      <c r="G83" s="6">
        <v>99.330001831054688</v>
      </c>
      <c r="H83" s="6" t="e">
        <v>#N/A</v>
      </c>
      <c r="I83" s="6">
        <v>0.33451323265165112</v>
      </c>
      <c r="J83" s="6">
        <v>434414000</v>
      </c>
      <c r="K83" s="6">
        <v>77.584330794341682</v>
      </c>
      <c r="L83" t="s">
        <v>17</v>
      </c>
      <c r="M83" t="s">
        <v>18</v>
      </c>
      <c r="N83" s="4" t="s">
        <v>3322</v>
      </c>
      <c r="O83" s="4" t="s">
        <v>3323</v>
      </c>
      <c r="P83" s="4" t="s">
        <v>233</v>
      </c>
    </row>
    <row r="84" spans="1:16" x14ac:dyDescent="0.35">
      <c r="A84" t="s">
        <v>6786</v>
      </c>
      <c r="B84" t="s">
        <v>5274</v>
      </c>
      <c r="C84" t="s">
        <v>16</v>
      </c>
      <c r="D84" s="6">
        <v>3602562488.1994634</v>
      </c>
      <c r="E84" s="6">
        <v>3424544488.1994634</v>
      </c>
      <c r="F84" s="6">
        <v>66.230003356933594</v>
      </c>
      <c r="G84" s="6">
        <v>65</v>
      </c>
      <c r="H84" s="6" t="e">
        <v>#N/A</v>
      </c>
      <c r="I84" s="6">
        <v>0.30999653552251827</v>
      </c>
      <c r="J84" s="6">
        <v>136191000</v>
      </c>
      <c r="K84" s="6">
        <v>-14.285714285714299</v>
      </c>
      <c r="L84" t="s">
        <v>17</v>
      </c>
      <c r="M84" t="s">
        <v>27</v>
      </c>
      <c r="N84" s="4" t="s">
        <v>5275</v>
      </c>
      <c r="O84" s="4" t="s">
        <v>5276</v>
      </c>
      <c r="P84" s="4" t="s">
        <v>233</v>
      </c>
    </row>
    <row r="85" spans="1:16" x14ac:dyDescent="0.35">
      <c r="A85" t="s">
        <v>6787</v>
      </c>
      <c r="B85" t="s">
        <v>5259</v>
      </c>
      <c r="C85" t="s">
        <v>16</v>
      </c>
      <c r="D85" s="6">
        <v>810951068.21786678</v>
      </c>
      <c r="E85" s="6">
        <v>852311068.21786678</v>
      </c>
      <c r="F85" s="6">
        <v>5.2399997711181641</v>
      </c>
      <c r="G85" s="6">
        <v>5.25</v>
      </c>
      <c r="H85" s="6">
        <v>6.2846763884675747</v>
      </c>
      <c r="I85" s="6">
        <v>-0.45439658408781025</v>
      </c>
      <c r="J85" s="6">
        <v>251415000</v>
      </c>
      <c r="K85" s="6">
        <v>-2883.3333333333335</v>
      </c>
      <c r="L85" t="s">
        <v>17</v>
      </c>
      <c r="M85" t="s">
        <v>32</v>
      </c>
      <c r="N85" s="4" t="s">
        <v>5260</v>
      </c>
      <c r="O85" s="4" t="s">
        <v>5261</v>
      </c>
      <c r="P85" s="4" t="s">
        <v>233</v>
      </c>
    </row>
    <row r="86" spans="1:16" x14ac:dyDescent="0.35">
      <c r="A86" t="s">
        <v>6788</v>
      </c>
      <c r="B86" t="s">
        <v>4816</v>
      </c>
      <c r="C86" t="s">
        <v>16</v>
      </c>
      <c r="D86" s="6">
        <v>368634643.66064066</v>
      </c>
      <c r="E86" s="6">
        <v>-2837356.3393594027</v>
      </c>
      <c r="F86" s="6">
        <v>4.3400001525878906</v>
      </c>
      <c r="G86" s="6">
        <v>4.2300000190734863</v>
      </c>
      <c r="H86" s="6" t="e">
        <v>#N/A</v>
      </c>
      <c r="I86" s="6">
        <v>-0.3800728505356531</v>
      </c>
      <c r="J86" s="6">
        <v>0</v>
      </c>
      <c r="K86" s="6">
        <v>7.0866141732283348</v>
      </c>
      <c r="L86" t="s">
        <v>17</v>
      </c>
      <c r="M86" t="s">
        <v>87</v>
      </c>
      <c r="N86" s="4" t="s">
        <v>4817</v>
      </c>
      <c r="O86" s="4" t="s">
        <v>4818</v>
      </c>
      <c r="P86" s="4" t="s">
        <v>233</v>
      </c>
    </row>
    <row r="87" spans="1:16" x14ac:dyDescent="0.35">
      <c r="A87" t="s">
        <v>6790</v>
      </c>
      <c r="B87" t="s">
        <v>5255</v>
      </c>
      <c r="C87" t="s">
        <v>16</v>
      </c>
      <c r="D87" s="6">
        <v>609260009.70964897</v>
      </c>
      <c r="E87" s="6">
        <v>412287009.70964897</v>
      </c>
      <c r="F87" s="6">
        <v>12.039999961853027</v>
      </c>
      <c r="G87" s="6">
        <v>11.979999542236328</v>
      </c>
      <c r="H87" s="6" t="e">
        <v>#N/A</v>
      </c>
      <c r="I87" s="6">
        <v>-0.37793245799932362</v>
      </c>
      <c r="J87" s="6">
        <v>0</v>
      </c>
      <c r="K87" s="6">
        <v>-22.72727272727273</v>
      </c>
      <c r="L87" t="s">
        <v>17</v>
      </c>
      <c r="M87" t="s">
        <v>18</v>
      </c>
      <c r="N87" s="4" t="s">
        <v>5256</v>
      </c>
      <c r="O87" s="4" t="s">
        <v>5257</v>
      </c>
      <c r="P87" s="4" t="s">
        <v>233</v>
      </c>
    </row>
    <row r="88" spans="1:16" x14ac:dyDescent="0.35">
      <c r="A88" t="s">
        <v>6791</v>
      </c>
      <c r="B88" t="s">
        <v>6792</v>
      </c>
      <c r="C88" t="s">
        <v>16</v>
      </c>
      <c r="D88" s="6">
        <v>748033205.31504059</v>
      </c>
      <c r="E88" s="6">
        <v>624206205.31504059</v>
      </c>
      <c r="F88" s="6">
        <v>6.2100000381469727</v>
      </c>
      <c r="G88" s="6">
        <v>5.9499998092651367</v>
      </c>
      <c r="H88" s="6" t="e">
        <v>#N/A</v>
      </c>
      <c r="I88" s="6">
        <v>-0.27304935424316401</v>
      </c>
      <c r="J88" s="6">
        <v>3903000</v>
      </c>
      <c r="K88" s="6">
        <v>-2.0942408376963368</v>
      </c>
      <c r="L88" t="s">
        <v>6563</v>
      </c>
      <c r="M88" t="s">
        <v>6564</v>
      </c>
      <c r="N88" s="4" t="s">
        <v>6793</v>
      </c>
      <c r="O88" s="4" t="s">
        <v>6794</v>
      </c>
      <c r="P88" s="4" t="s">
        <v>233</v>
      </c>
    </row>
    <row r="89" spans="1:16" x14ac:dyDescent="0.35">
      <c r="A89" t="s">
        <v>6795</v>
      </c>
      <c r="B89" t="s">
        <v>6796</v>
      </c>
      <c r="C89" t="s">
        <v>16</v>
      </c>
      <c r="D89" s="6">
        <v>2209083499.2069168</v>
      </c>
      <c r="E89" s="6">
        <v>3313775499.2069168</v>
      </c>
      <c r="F89" s="6">
        <v>71.349998474121094</v>
      </c>
      <c r="G89" s="6">
        <v>71.319999694824219</v>
      </c>
      <c r="H89" s="6">
        <v>6.7956786982204367</v>
      </c>
      <c r="I89" s="6">
        <v>-0.20529276438857258</v>
      </c>
      <c r="J89" s="6">
        <v>4398288000</v>
      </c>
      <c r="K89" s="6">
        <v>30.418719211822669</v>
      </c>
      <c r="L89" t="s">
        <v>6540</v>
      </c>
      <c r="M89" t="s">
        <v>6797</v>
      </c>
      <c r="N89" s="4" t="s">
        <v>6798</v>
      </c>
      <c r="O89" s="4" t="s">
        <v>6799</v>
      </c>
      <c r="P89" s="4" t="s">
        <v>233</v>
      </c>
    </row>
    <row r="90" spans="1:16" x14ac:dyDescent="0.35">
      <c r="A90" t="s">
        <v>6800</v>
      </c>
      <c r="B90" t="s">
        <v>6801</v>
      </c>
      <c r="C90" t="s">
        <v>16</v>
      </c>
      <c r="D90" s="6">
        <v>1773400054.5480173</v>
      </c>
      <c r="E90" s="6" t="e">
        <v>#N/A</v>
      </c>
      <c r="F90" s="6">
        <v>9.7600002288818359</v>
      </c>
      <c r="G90" s="6">
        <v>9.2200002670288086</v>
      </c>
      <c r="H90" s="6" t="e">
        <v>#N/A</v>
      </c>
      <c r="I90" s="6">
        <v>1.3793208039872349</v>
      </c>
      <c r="J90" s="6">
        <v>2026598000</v>
      </c>
      <c r="K90" s="6" t="e">
        <v>#N/A</v>
      </c>
      <c r="L90" t="s">
        <v>6547</v>
      </c>
      <c r="M90" t="s">
        <v>6802</v>
      </c>
      <c r="N90" s="4" t="s">
        <v>6803</v>
      </c>
      <c r="O90" s="4" t="s">
        <v>6804</v>
      </c>
      <c r="P90" s="4" t="s">
        <v>233</v>
      </c>
    </row>
    <row r="91" spans="1:16" x14ac:dyDescent="0.35">
      <c r="A91" t="s">
        <v>6805</v>
      </c>
      <c r="B91" t="s">
        <v>6806</v>
      </c>
      <c r="C91" t="s">
        <v>16</v>
      </c>
      <c r="D91" s="6">
        <v>1672491697.6156535</v>
      </c>
      <c r="E91" s="6">
        <v>2085591697.6156535</v>
      </c>
      <c r="F91" s="6">
        <v>37.060001373291016</v>
      </c>
      <c r="G91" s="6">
        <v>37.169998168945313</v>
      </c>
      <c r="H91" s="6">
        <v>132.86249976980662</v>
      </c>
      <c r="I91" s="6">
        <v>-0.13858848403992619</v>
      </c>
      <c r="J91" s="6">
        <v>1979000000</v>
      </c>
      <c r="K91" s="6" t="e">
        <v>#N/A</v>
      </c>
      <c r="L91" t="s">
        <v>6518</v>
      </c>
      <c r="M91" t="s">
        <v>6807</v>
      </c>
      <c r="N91" s="4" t="s">
        <v>6808</v>
      </c>
      <c r="O91" s="4" t="s">
        <v>6809</v>
      </c>
      <c r="P91" s="4" t="s">
        <v>233</v>
      </c>
    </row>
    <row r="92" spans="1:16" x14ac:dyDescent="0.35">
      <c r="A92" t="s">
        <v>6810</v>
      </c>
      <c r="B92" t="s">
        <v>6811</v>
      </c>
      <c r="C92" t="s">
        <v>16</v>
      </c>
      <c r="D92" s="6">
        <v>987071262.87994194</v>
      </c>
      <c r="E92" s="6">
        <v>1406050557.8799419</v>
      </c>
      <c r="F92" s="6">
        <v>23.059999465942383</v>
      </c>
      <c r="G92" s="6">
        <v>23.219999313354492</v>
      </c>
      <c r="H92" s="6">
        <v>6.2548958166361741</v>
      </c>
      <c r="I92" s="6">
        <v>-0.27529258038748106</v>
      </c>
      <c r="J92" s="6">
        <v>418844865</v>
      </c>
      <c r="K92" s="6">
        <v>-48.057543782666421</v>
      </c>
      <c r="L92" t="s">
        <v>6523</v>
      </c>
      <c r="M92" t="s">
        <v>6524</v>
      </c>
      <c r="N92" s="4" t="s">
        <v>233</v>
      </c>
      <c r="O92" s="4" t="s">
        <v>6812</v>
      </c>
      <c r="P92" s="4" t="s">
        <v>13198</v>
      </c>
    </row>
    <row r="93" spans="1:16" x14ac:dyDescent="0.35">
      <c r="A93" t="s">
        <v>6813</v>
      </c>
      <c r="B93" t="s">
        <v>5448</v>
      </c>
      <c r="C93" t="s">
        <v>16</v>
      </c>
      <c r="D93" s="6">
        <v>3423737656.789742</v>
      </c>
      <c r="E93" s="6">
        <v>2812387656.789742</v>
      </c>
      <c r="F93" s="6">
        <v>63.314998626708984</v>
      </c>
      <c r="G93" s="6">
        <v>61.330001831054688</v>
      </c>
      <c r="H93" s="6" t="e">
        <v>#N/A</v>
      </c>
      <c r="I93" s="6">
        <v>-1.9383705404179552E-2</v>
      </c>
      <c r="J93" s="6">
        <v>155818000</v>
      </c>
      <c r="K93" s="6">
        <v>72.117744544540997</v>
      </c>
      <c r="L93" t="s">
        <v>17</v>
      </c>
      <c r="M93" t="s">
        <v>18</v>
      </c>
      <c r="N93" s="4" t="s">
        <v>5449</v>
      </c>
      <c r="O93" s="4" t="s">
        <v>5450</v>
      </c>
      <c r="P93" s="4" t="s">
        <v>233</v>
      </c>
    </row>
    <row r="94" spans="1:16" x14ac:dyDescent="0.35">
      <c r="A94" t="s">
        <v>6815</v>
      </c>
      <c r="B94" t="s">
        <v>6816</v>
      </c>
      <c r="C94" t="s">
        <v>16</v>
      </c>
      <c r="D94" s="6">
        <v>529750538.1724453</v>
      </c>
      <c r="E94" s="6">
        <v>1260125538.1724453</v>
      </c>
      <c r="F94" s="6">
        <v>7.929999828338623</v>
      </c>
      <c r="G94" s="6">
        <v>7.7600002288818359</v>
      </c>
      <c r="H94" s="6">
        <v>688.36804065439435</v>
      </c>
      <c r="I94" s="6">
        <v>-0.10145526008550743</v>
      </c>
      <c r="J94" s="6">
        <v>136585000</v>
      </c>
      <c r="K94" s="6" t="e">
        <v>#N/A</v>
      </c>
      <c r="L94" t="s">
        <v>6623</v>
      </c>
      <c r="M94" t="s">
        <v>6624</v>
      </c>
      <c r="N94" s="4" t="s">
        <v>6817</v>
      </c>
      <c r="O94" s="4" t="s">
        <v>6818</v>
      </c>
      <c r="P94" s="4" t="s">
        <v>233</v>
      </c>
    </row>
    <row r="95" spans="1:16" x14ac:dyDescent="0.35">
      <c r="A95" t="s">
        <v>6819</v>
      </c>
      <c r="B95" t="s">
        <v>6820</v>
      </c>
      <c r="C95" t="s">
        <v>16</v>
      </c>
      <c r="D95" s="6">
        <v>1529572383.0735397</v>
      </c>
      <c r="E95" s="6">
        <v>1387773383.0735397</v>
      </c>
      <c r="F95" s="6">
        <v>34.930000305175781</v>
      </c>
      <c r="G95" s="6">
        <v>35</v>
      </c>
      <c r="H95" s="6">
        <v>30.992634085664761</v>
      </c>
      <c r="I95" s="6">
        <v>1.2572651370508425</v>
      </c>
      <c r="J95" s="6">
        <v>576130000</v>
      </c>
      <c r="K95" s="6">
        <v>136</v>
      </c>
      <c r="L95" t="s">
        <v>6735</v>
      </c>
      <c r="M95" t="s">
        <v>6747</v>
      </c>
      <c r="N95" s="4" t="s">
        <v>6821</v>
      </c>
      <c r="O95" s="4" t="s">
        <v>6822</v>
      </c>
      <c r="P95" s="4" t="s">
        <v>233</v>
      </c>
    </row>
    <row r="96" spans="1:16" x14ac:dyDescent="0.35">
      <c r="A96" t="s">
        <v>6823</v>
      </c>
      <c r="B96" t="s">
        <v>6824</v>
      </c>
      <c r="C96" t="s">
        <v>16</v>
      </c>
      <c r="D96" s="6">
        <v>120586194.45046806</v>
      </c>
      <c r="E96" s="6">
        <v>112430194.45046805</v>
      </c>
      <c r="F96" s="6">
        <v>5.3499999046325684</v>
      </c>
      <c r="G96" s="6">
        <v>5.3499999046325684</v>
      </c>
      <c r="H96" s="6">
        <v>0.41136719887325124</v>
      </c>
      <c r="I96" s="6">
        <v>-0.40994076888832098</v>
      </c>
      <c r="J96" s="6">
        <v>1117950000</v>
      </c>
      <c r="K96" s="6">
        <v>-53</v>
      </c>
      <c r="L96" t="s">
        <v>6540</v>
      </c>
      <c r="M96" t="s">
        <v>6825</v>
      </c>
      <c r="N96" s="4" t="s">
        <v>6826</v>
      </c>
      <c r="O96" s="4" t="s">
        <v>6827</v>
      </c>
      <c r="P96" s="4" t="s">
        <v>233</v>
      </c>
    </row>
    <row r="97" spans="1:16" x14ac:dyDescent="0.35">
      <c r="A97" t="s">
        <v>6828</v>
      </c>
      <c r="B97" t="s">
        <v>6829</v>
      </c>
      <c r="C97" t="s">
        <v>16</v>
      </c>
      <c r="D97" s="6">
        <v>201848179.5</v>
      </c>
      <c r="E97" s="6">
        <v>183915179.5</v>
      </c>
      <c r="F97" s="6">
        <v>16.5</v>
      </c>
      <c r="G97" s="6">
        <v>16.5</v>
      </c>
      <c r="H97" s="6">
        <v>17.237722823685257</v>
      </c>
      <c r="I97" s="6">
        <v>-1.4884898446464789E-2</v>
      </c>
      <c r="J97" s="6">
        <v>43628000</v>
      </c>
      <c r="K97" s="6">
        <v>-25.827163179153441</v>
      </c>
      <c r="L97" t="s">
        <v>6529</v>
      </c>
      <c r="M97" t="s">
        <v>6639</v>
      </c>
      <c r="N97" s="4" t="s">
        <v>6830</v>
      </c>
      <c r="O97" s="4" t="s">
        <v>6831</v>
      </c>
      <c r="P97" s="4" t="s">
        <v>233</v>
      </c>
    </row>
    <row r="98" spans="1:16" x14ac:dyDescent="0.35">
      <c r="A98" t="s">
        <v>6832</v>
      </c>
      <c r="B98" t="s">
        <v>6833</v>
      </c>
      <c r="C98" t="s">
        <v>16</v>
      </c>
      <c r="D98" s="6">
        <v>1000083245.5657426</v>
      </c>
      <c r="E98" s="6">
        <v>2703171245.565743</v>
      </c>
      <c r="F98" s="6">
        <v>19.069999694824219</v>
      </c>
      <c r="G98" s="6">
        <v>19.379999160766602</v>
      </c>
      <c r="H98" s="6">
        <v>18.444063511436596</v>
      </c>
      <c r="I98" s="6">
        <v>-0.23357817152457072</v>
      </c>
      <c r="J98" s="6">
        <v>1678629000</v>
      </c>
      <c r="K98" s="6">
        <v>15.730337078651671</v>
      </c>
      <c r="L98" t="s">
        <v>6547</v>
      </c>
      <c r="M98" t="s">
        <v>6651</v>
      </c>
      <c r="N98" s="4" t="s">
        <v>6834</v>
      </c>
      <c r="O98" s="4" t="s">
        <v>6835</v>
      </c>
      <c r="P98" s="4" t="s">
        <v>233</v>
      </c>
    </row>
    <row r="99" spans="1:16" x14ac:dyDescent="0.35">
      <c r="A99" t="s">
        <v>6836</v>
      </c>
      <c r="B99" t="s">
        <v>6837</v>
      </c>
      <c r="C99" t="s">
        <v>16</v>
      </c>
      <c r="D99" s="6">
        <v>6116996714.4275208</v>
      </c>
      <c r="E99" s="6">
        <v>5960750714.4275208</v>
      </c>
      <c r="F99" s="6">
        <v>140.47000122070313</v>
      </c>
      <c r="G99" s="6">
        <v>137.82000732421875</v>
      </c>
      <c r="H99" s="6">
        <v>23.450751455876983</v>
      </c>
      <c r="I99" s="6">
        <v>1.2715494574942525</v>
      </c>
      <c r="J99" s="6">
        <v>2193315000</v>
      </c>
      <c r="K99" s="6">
        <v>56.857855361596023</v>
      </c>
      <c r="L99" t="s">
        <v>6540</v>
      </c>
      <c r="M99" t="s">
        <v>6838</v>
      </c>
      <c r="N99" s="4" t="s">
        <v>6839</v>
      </c>
      <c r="O99" s="4" t="s">
        <v>6840</v>
      </c>
      <c r="P99" s="4" t="s">
        <v>233</v>
      </c>
    </row>
    <row r="100" spans="1:16" x14ac:dyDescent="0.35">
      <c r="A100" t="s">
        <v>6841</v>
      </c>
      <c r="B100" t="s">
        <v>6842</v>
      </c>
      <c r="C100" t="s">
        <v>16</v>
      </c>
      <c r="D100" s="6">
        <v>118389526.74621819</v>
      </c>
      <c r="E100" s="6">
        <v>-100704473.25378181</v>
      </c>
      <c r="F100" s="6">
        <v>4.0999999046325684</v>
      </c>
      <c r="G100" s="6">
        <v>4.0199999809265137</v>
      </c>
      <c r="H100" s="6" t="e">
        <v>#N/A</v>
      </c>
      <c r="I100" s="6">
        <v>-0.88971017820204024</v>
      </c>
      <c r="J100" s="6">
        <v>9416000</v>
      </c>
      <c r="K100" s="6">
        <v>53.709677419354847</v>
      </c>
      <c r="L100" t="s">
        <v>6547</v>
      </c>
      <c r="M100" t="s">
        <v>6843</v>
      </c>
      <c r="N100" s="4" t="s">
        <v>6844</v>
      </c>
      <c r="O100" s="4" t="s">
        <v>6845</v>
      </c>
      <c r="P100" s="4" t="s">
        <v>233</v>
      </c>
    </row>
    <row r="101" spans="1:16" x14ac:dyDescent="0.35">
      <c r="A101" t="s">
        <v>6846</v>
      </c>
      <c r="B101" t="s">
        <v>6847</v>
      </c>
      <c r="C101" t="s">
        <v>16</v>
      </c>
      <c r="D101" s="6">
        <v>947224711.72348881</v>
      </c>
      <c r="E101" s="6">
        <v>1711986711.7234888</v>
      </c>
      <c r="F101" s="6">
        <v>8.130000114440918</v>
      </c>
      <c r="G101" s="6">
        <v>7.9699997901916504</v>
      </c>
      <c r="H101" s="6">
        <v>16.14341250377954</v>
      </c>
      <c r="I101" s="6">
        <v>-0.15972342472937617</v>
      </c>
      <c r="J101" s="6">
        <v>695332000</v>
      </c>
      <c r="K101" s="6">
        <v>-11.655008968937127</v>
      </c>
      <c r="L101" t="s">
        <v>6563</v>
      </c>
      <c r="M101" t="s">
        <v>6764</v>
      </c>
      <c r="N101" s="4" t="s">
        <v>6848</v>
      </c>
      <c r="O101" s="4" t="s">
        <v>6849</v>
      </c>
      <c r="P101" s="4" t="s">
        <v>233</v>
      </c>
    </row>
    <row r="102" spans="1:16" x14ac:dyDescent="0.35">
      <c r="A102" t="s">
        <v>6850</v>
      </c>
      <c r="B102" t="s">
        <v>6851</v>
      </c>
      <c r="C102" t="s">
        <v>16</v>
      </c>
      <c r="D102" s="6">
        <v>3136372878.0860782</v>
      </c>
      <c r="E102" s="6">
        <v>5332372878.0860786</v>
      </c>
      <c r="F102" s="6">
        <v>21.340000152587891</v>
      </c>
      <c r="G102" s="6">
        <v>21.579999923706055</v>
      </c>
      <c r="H102" s="6">
        <v>14.375733541393821</v>
      </c>
      <c r="I102" s="6">
        <v>0.19694121167631473</v>
      </c>
      <c r="J102" s="6">
        <v>6440000000</v>
      </c>
      <c r="K102" s="6">
        <v>-1.7699115044247802</v>
      </c>
      <c r="L102" t="s">
        <v>6547</v>
      </c>
      <c r="M102" t="s">
        <v>6553</v>
      </c>
      <c r="N102" s="4" t="s">
        <v>6852</v>
      </c>
      <c r="O102" s="4" t="s">
        <v>6853</v>
      </c>
      <c r="P102" s="4" t="s">
        <v>233</v>
      </c>
    </row>
    <row r="103" spans="1:16" x14ac:dyDescent="0.35">
      <c r="A103" t="s">
        <v>6854</v>
      </c>
      <c r="B103" t="s">
        <v>6855</v>
      </c>
      <c r="C103" t="s">
        <v>16</v>
      </c>
      <c r="D103" s="6">
        <v>660420429.94357109</v>
      </c>
      <c r="E103" s="6">
        <v>1469573429.9435711</v>
      </c>
      <c r="F103" s="6">
        <v>28.690000534057617</v>
      </c>
      <c r="G103" s="6">
        <v>28.399999618530273</v>
      </c>
      <c r="H103" s="6">
        <v>12.841124779591704</v>
      </c>
      <c r="I103" s="6">
        <v>6.9578320562888596E-2</v>
      </c>
      <c r="J103" s="6">
        <v>10593047000</v>
      </c>
      <c r="K103" s="6">
        <v>-52.936244725738398</v>
      </c>
      <c r="L103" t="s">
        <v>6540</v>
      </c>
      <c r="M103" t="s">
        <v>6856</v>
      </c>
      <c r="N103" s="4" t="s">
        <v>6857</v>
      </c>
      <c r="O103" s="4" t="s">
        <v>6858</v>
      </c>
      <c r="P103" s="4" t="s">
        <v>233</v>
      </c>
    </row>
    <row r="104" spans="1:16" x14ac:dyDescent="0.35">
      <c r="A104" t="s">
        <v>13061</v>
      </c>
      <c r="B104" t="s">
        <v>12196</v>
      </c>
      <c r="C104" t="s">
        <v>16</v>
      </c>
      <c r="D104" s="6">
        <v>303391598.99959558</v>
      </c>
      <c r="E104" s="6" t="e">
        <v>#N/A</v>
      </c>
      <c r="F104" s="6">
        <v>17.309999465942383</v>
      </c>
      <c r="G104" s="6">
        <v>17.440000534057617</v>
      </c>
      <c r="H104" s="6">
        <v>12.613317263152267</v>
      </c>
      <c r="I104" s="6">
        <v>0.52217147215934889</v>
      </c>
      <c r="J104" s="6">
        <v>176616000</v>
      </c>
      <c r="K104" s="6">
        <v>9.6774193548387188</v>
      </c>
      <c r="L104" t="s">
        <v>6529</v>
      </c>
      <c r="M104" t="s">
        <v>6530</v>
      </c>
      <c r="N104" s="4" t="s">
        <v>12197</v>
      </c>
      <c r="O104" s="4" t="s">
        <v>12198</v>
      </c>
      <c r="P104" s="4" t="s">
        <v>233</v>
      </c>
    </row>
    <row r="105" spans="1:16" x14ac:dyDescent="0.35">
      <c r="A105" t="s">
        <v>6859</v>
      </c>
      <c r="B105" t="s">
        <v>228</v>
      </c>
      <c r="C105" t="s">
        <v>16</v>
      </c>
      <c r="D105" s="6">
        <v>17993155.930996656</v>
      </c>
      <c r="E105" s="6">
        <v>-28663747.069003344</v>
      </c>
      <c r="F105" s="6">
        <v>2.1800000667572021</v>
      </c>
      <c r="G105" s="6">
        <v>2.0999999046325684</v>
      </c>
      <c r="H105" s="6" t="e">
        <v>#N/A</v>
      </c>
      <c r="I105" s="6">
        <v>-0.84315730064180072</v>
      </c>
      <c r="J105" s="6">
        <v>10066550</v>
      </c>
      <c r="K105" s="6">
        <v>76.800802140099037</v>
      </c>
      <c r="L105" t="s">
        <v>17</v>
      </c>
      <c r="M105" t="s">
        <v>18</v>
      </c>
      <c r="N105" s="4" t="s">
        <v>229</v>
      </c>
      <c r="O105" s="4" t="s">
        <v>230</v>
      </c>
      <c r="P105" s="4" t="s">
        <v>233</v>
      </c>
    </row>
    <row r="106" spans="1:16" x14ac:dyDescent="0.35">
      <c r="A106" t="s">
        <v>6860</v>
      </c>
      <c r="B106" t="s">
        <v>6861</v>
      </c>
      <c r="C106" t="s">
        <v>16</v>
      </c>
      <c r="D106" s="6">
        <v>4080160799.9204102</v>
      </c>
      <c r="E106" s="6">
        <v>4409318799.9204102</v>
      </c>
      <c r="F106" s="6">
        <v>941.52001953125</v>
      </c>
      <c r="G106" s="6">
        <v>940.83001708984375</v>
      </c>
      <c r="H106" s="6">
        <v>30.300889302737456</v>
      </c>
      <c r="I106" s="6">
        <v>0.27904664514742872</v>
      </c>
      <c r="J106" s="6">
        <v>4711917000</v>
      </c>
      <c r="K106" s="6">
        <v>55.356393806339675</v>
      </c>
      <c r="L106" t="s">
        <v>6540</v>
      </c>
      <c r="M106" t="s">
        <v>6838</v>
      </c>
      <c r="N106" s="4" t="s">
        <v>6862</v>
      </c>
      <c r="O106" s="4" t="s">
        <v>6863</v>
      </c>
      <c r="P106" s="4" t="s">
        <v>233</v>
      </c>
    </row>
    <row r="107" spans="1:16" x14ac:dyDescent="0.35">
      <c r="A107" t="s">
        <v>6864</v>
      </c>
      <c r="B107" t="s">
        <v>6865</v>
      </c>
      <c r="C107" t="s">
        <v>16</v>
      </c>
      <c r="D107" s="6">
        <v>1022337317.411622</v>
      </c>
      <c r="E107" s="6">
        <v>5255518317.411623</v>
      </c>
      <c r="F107" s="6">
        <v>4.6999998092651367</v>
      </c>
      <c r="G107" s="6">
        <v>4.6700000762939453</v>
      </c>
      <c r="H107" s="6" t="e">
        <v>#N/A</v>
      </c>
      <c r="I107" s="6">
        <v>6.6400102390293814E-3</v>
      </c>
      <c r="J107" s="6">
        <v>763655000</v>
      </c>
      <c r="K107" s="6">
        <v>-133.33333333333331</v>
      </c>
      <c r="L107" t="s">
        <v>6623</v>
      </c>
      <c r="M107" t="s">
        <v>6866</v>
      </c>
      <c r="N107" s="4" t="s">
        <v>6867</v>
      </c>
      <c r="O107" s="4" t="s">
        <v>6868</v>
      </c>
      <c r="P107" s="4" t="s">
        <v>233</v>
      </c>
    </row>
    <row r="108" spans="1:16" x14ac:dyDescent="0.35">
      <c r="A108" t="s">
        <v>6869</v>
      </c>
      <c r="B108" t="s">
        <v>6870</v>
      </c>
      <c r="C108" t="s">
        <v>16</v>
      </c>
      <c r="D108" s="6">
        <v>491580791.56309485</v>
      </c>
      <c r="E108" s="6">
        <v>1164802791.5630949</v>
      </c>
      <c r="F108" s="6">
        <v>3.4700000286102295</v>
      </c>
      <c r="G108" s="6">
        <v>3.5099999904632568</v>
      </c>
      <c r="H108" s="6">
        <v>1.1545496170556022</v>
      </c>
      <c r="I108" s="6">
        <v>-0.36829643517960997</v>
      </c>
      <c r="J108" s="6">
        <v>250880000</v>
      </c>
      <c r="K108" s="6" t="e">
        <v>#N/A</v>
      </c>
      <c r="L108" t="s">
        <v>6529</v>
      </c>
      <c r="M108" t="s">
        <v>6568</v>
      </c>
      <c r="N108" s="4" t="s">
        <v>6871</v>
      </c>
      <c r="O108" s="4" t="s">
        <v>6872</v>
      </c>
      <c r="P108" s="4" t="s">
        <v>233</v>
      </c>
    </row>
    <row r="109" spans="1:16" x14ac:dyDescent="0.35">
      <c r="A109" t="s">
        <v>6873</v>
      </c>
      <c r="B109" t="s">
        <v>6874</v>
      </c>
      <c r="C109" t="s">
        <v>16</v>
      </c>
      <c r="D109" s="6">
        <v>4559388460.3205557</v>
      </c>
      <c r="E109" s="6">
        <v>4327079460.3205557</v>
      </c>
      <c r="F109" s="6">
        <v>118.72000122070313</v>
      </c>
      <c r="G109" s="6">
        <v>120.08999633789063</v>
      </c>
      <c r="H109" s="6">
        <v>11.598109603961795</v>
      </c>
      <c r="I109" s="6">
        <v>-0.12394690936159902</v>
      </c>
      <c r="J109" s="6">
        <v>6801070000</v>
      </c>
      <c r="K109" s="6">
        <v>-19.118804091266728</v>
      </c>
      <c r="L109" t="s">
        <v>6547</v>
      </c>
      <c r="M109" t="s">
        <v>6875</v>
      </c>
      <c r="N109" s="4" t="s">
        <v>6876</v>
      </c>
      <c r="O109" s="4" t="s">
        <v>6877</v>
      </c>
      <c r="P109" s="4" t="s">
        <v>233</v>
      </c>
    </row>
    <row r="110" spans="1:16" x14ac:dyDescent="0.35">
      <c r="A110" t="s">
        <v>6878</v>
      </c>
      <c r="B110" t="s">
        <v>2070</v>
      </c>
      <c r="C110" t="s">
        <v>16</v>
      </c>
      <c r="D110" s="6">
        <v>182168448.13043544</v>
      </c>
      <c r="E110" s="6">
        <v>178640448.13043544</v>
      </c>
      <c r="F110" s="6">
        <v>2.1500000953674316</v>
      </c>
      <c r="G110" s="6">
        <v>2.2999999523162842</v>
      </c>
      <c r="H110" s="6" t="e">
        <v>#N/A</v>
      </c>
      <c r="I110" s="6">
        <v>-0.21194009587103213</v>
      </c>
      <c r="J110" s="6">
        <v>25143000</v>
      </c>
      <c r="K110" s="6">
        <v>-3.7037037037037068</v>
      </c>
      <c r="L110" t="s">
        <v>17</v>
      </c>
      <c r="M110" t="s">
        <v>27</v>
      </c>
      <c r="N110" s="4" t="s">
        <v>2071</v>
      </c>
      <c r="O110" s="4" t="s">
        <v>2072</v>
      </c>
      <c r="P110" s="4" t="s">
        <v>233</v>
      </c>
    </row>
    <row r="111" spans="1:16" x14ac:dyDescent="0.35">
      <c r="A111" t="s">
        <v>6879</v>
      </c>
      <c r="B111" t="s">
        <v>6880</v>
      </c>
      <c r="C111" t="s">
        <v>16</v>
      </c>
      <c r="D111" s="6">
        <v>5123336139.5568848</v>
      </c>
      <c r="E111" s="6">
        <v>5517136139.5568848</v>
      </c>
      <c r="F111" s="6">
        <v>97.449996948242188</v>
      </c>
      <c r="G111" s="6">
        <v>93.360000610351563</v>
      </c>
      <c r="H111" s="6">
        <v>27.341545134942159</v>
      </c>
      <c r="I111" s="6">
        <v>0.31307046226441493</v>
      </c>
      <c r="J111" s="6">
        <v>2539800000</v>
      </c>
      <c r="K111" s="6">
        <v>-29.137529137529139</v>
      </c>
      <c r="L111" t="s">
        <v>6540</v>
      </c>
      <c r="M111" t="s">
        <v>6881</v>
      </c>
      <c r="N111" s="4" t="s">
        <v>6882</v>
      </c>
      <c r="O111" s="4" t="s">
        <v>6883</v>
      </c>
      <c r="P111" s="4" t="s">
        <v>233</v>
      </c>
    </row>
    <row r="112" spans="1:16" x14ac:dyDescent="0.35">
      <c r="A112" t="s">
        <v>6884</v>
      </c>
      <c r="B112" t="s">
        <v>6885</v>
      </c>
      <c r="C112" t="s">
        <v>16</v>
      </c>
      <c r="D112" s="6">
        <v>349195623.13012791</v>
      </c>
      <c r="E112" s="6">
        <v>645664623.13012791</v>
      </c>
      <c r="F112" s="6">
        <v>11.289999961853027</v>
      </c>
      <c r="G112" s="6">
        <v>11.340000152587891</v>
      </c>
      <c r="H112" s="6" t="e">
        <v>#N/A</v>
      </c>
      <c r="I112" s="6">
        <v>0.23992856965552312</v>
      </c>
      <c r="J112" s="6">
        <v>1436125000</v>
      </c>
      <c r="K112" s="6">
        <v>83.163265306122454</v>
      </c>
      <c r="L112" t="s">
        <v>6540</v>
      </c>
      <c r="M112" t="s">
        <v>6541</v>
      </c>
      <c r="N112" s="4" t="s">
        <v>6886</v>
      </c>
      <c r="O112" s="4" t="s">
        <v>6887</v>
      </c>
      <c r="P112" s="4" t="s">
        <v>233</v>
      </c>
    </row>
    <row r="113" spans="1:16" x14ac:dyDescent="0.35">
      <c r="A113" t="s">
        <v>6888</v>
      </c>
      <c r="B113" t="s">
        <v>6889</v>
      </c>
      <c r="C113" t="s">
        <v>16</v>
      </c>
      <c r="D113" s="6">
        <v>2925958280.9999995</v>
      </c>
      <c r="E113" s="6">
        <v>5524358281</v>
      </c>
      <c r="F113" s="6">
        <v>12.75</v>
      </c>
      <c r="G113" s="6">
        <v>12.680000305175781</v>
      </c>
      <c r="H113" s="6">
        <v>14.909124501129</v>
      </c>
      <c r="I113" s="6">
        <v>0.18549371754261612</v>
      </c>
      <c r="J113" s="6">
        <v>9369400000</v>
      </c>
      <c r="K113" s="6" t="e">
        <v>#N/A</v>
      </c>
      <c r="L113" t="s">
        <v>6623</v>
      </c>
      <c r="M113" t="s">
        <v>6634</v>
      </c>
      <c r="N113" s="4" t="s">
        <v>233</v>
      </c>
      <c r="O113" s="4" t="s">
        <v>6890</v>
      </c>
      <c r="P113" s="4" t="s">
        <v>13199</v>
      </c>
    </row>
    <row r="114" spans="1:16" x14ac:dyDescent="0.35">
      <c r="A114" t="s">
        <v>6891</v>
      </c>
      <c r="B114" t="s">
        <v>2669</v>
      </c>
      <c r="C114" t="s">
        <v>16</v>
      </c>
      <c r="D114" s="6">
        <v>136954636.48745346</v>
      </c>
      <c r="E114" s="6">
        <v>126599636.48745346</v>
      </c>
      <c r="F114" s="6">
        <v>2.7899999618530273</v>
      </c>
      <c r="G114" s="6">
        <v>2.7100000381469727</v>
      </c>
      <c r="H114" s="6">
        <v>5.8124999205271406</v>
      </c>
      <c r="I114" s="6">
        <v>-0.56033203641019136</v>
      </c>
      <c r="J114" s="6">
        <v>243591000</v>
      </c>
      <c r="K114" s="6">
        <v>517.22045057092896</v>
      </c>
      <c r="L114" t="s">
        <v>17</v>
      </c>
      <c r="M114" t="s">
        <v>18</v>
      </c>
      <c r="N114" s="4" t="s">
        <v>2670</v>
      </c>
      <c r="O114" s="4" t="s">
        <v>2671</v>
      </c>
      <c r="P114" s="4" t="s">
        <v>233</v>
      </c>
    </row>
    <row r="115" spans="1:16" x14ac:dyDescent="0.35">
      <c r="A115" t="s">
        <v>6892</v>
      </c>
      <c r="B115" t="s">
        <v>6893</v>
      </c>
      <c r="C115" t="s">
        <v>16</v>
      </c>
      <c r="D115" s="6">
        <v>1443822581.5</v>
      </c>
      <c r="E115" s="6" t="e">
        <v>#N/A</v>
      </c>
      <c r="F115" s="6">
        <v>26.5</v>
      </c>
      <c r="G115" s="6">
        <v>26.920000076293945</v>
      </c>
      <c r="H115" s="6">
        <v>13.589743589743589</v>
      </c>
      <c r="I115" s="6">
        <v>0.31669784674502255</v>
      </c>
      <c r="J115" s="6">
        <v>797618000</v>
      </c>
      <c r="K115" s="6">
        <v>-1.5000000000000013</v>
      </c>
      <c r="L115" t="s">
        <v>6529</v>
      </c>
      <c r="M115" t="s">
        <v>6530</v>
      </c>
      <c r="N115" s="4" t="s">
        <v>6894</v>
      </c>
      <c r="O115" s="4" t="s">
        <v>6895</v>
      </c>
      <c r="P115" s="4" t="s">
        <v>233</v>
      </c>
    </row>
    <row r="116" spans="1:16" x14ac:dyDescent="0.35">
      <c r="A116" t="s">
        <v>6896</v>
      </c>
      <c r="B116" t="s">
        <v>3820</v>
      </c>
      <c r="C116" t="s">
        <v>16</v>
      </c>
      <c r="D116" s="6">
        <v>2422983495.788322</v>
      </c>
      <c r="E116" s="6">
        <v>5053390495.7883224</v>
      </c>
      <c r="F116" s="6">
        <v>7.820000171661377</v>
      </c>
      <c r="G116" s="6">
        <v>7.8400001525878906</v>
      </c>
      <c r="H116" s="6" t="e">
        <v>#N/A</v>
      </c>
      <c r="I116" s="6">
        <v>0.33569252388686932</v>
      </c>
      <c r="J116" s="6">
        <v>2680420000</v>
      </c>
      <c r="K116" s="6" t="e">
        <v>#N/A</v>
      </c>
      <c r="L116" t="s">
        <v>17</v>
      </c>
      <c r="M116" t="s">
        <v>87</v>
      </c>
      <c r="N116" s="4" t="s">
        <v>3821</v>
      </c>
      <c r="O116" s="4" t="s">
        <v>3822</v>
      </c>
      <c r="P116" s="4" t="s">
        <v>233</v>
      </c>
    </row>
    <row r="117" spans="1:16" x14ac:dyDescent="0.35">
      <c r="A117" t="s">
        <v>6897</v>
      </c>
      <c r="B117" t="s">
        <v>6898</v>
      </c>
      <c r="C117" t="s">
        <v>16</v>
      </c>
      <c r="D117" s="6">
        <v>6108420404.1376953</v>
      </c>
      <c r="E117" s="6">
        <v>6462020404.1376953</v>
      </c>
      <c r="F117" s="6">
        <v>35.919998168945313</v>
      </c>
      <c r="G117" s="6">
        <v>35.810001373291016</v>
      </c>
      <c r="H117" s="6">
        <v>36.977632411169587</v>
      </c>
      <c r="I117" s="6">
        <v>0.12176617236671206</v>
      </c>
      <c r="J117" s="6">
        <v>1566500000</v>
      </c>
      <c r="K117" s="6">
        <v>53.33333333333335</v>
      </c>
      <c r="L117" t="s">
        <v>6547</v>
      </c>
      <c r="M117" t="s">
        <v>6553</v>
      </c>
      <c r="N117" s="4" t="s">
        <v>6899</v>
      </c>
      <c r="O117" s="4" t="s">
        <v>6900</v>
      </c>
      <c r="P117" s="4" t="s">
        <v>233</v>
      </c>
    </row>
    <row r="118" spans="1:16" x14ac:dyDescent="0.35">
      <c r="A118" t="s">
        <v>6901</v>
      </c>
      <c r="B118" t="s">
        <v>6902</v>
      </c>
      <c r="C118" t="s">
        <v>16</v>
      </c>
      <c r="D118" s="6">
        <v>4407505467.5</v>
      </c>
      <c r="E118" s="6">
        <v>5013505467.5</v>
      </c>
      <c r="F118" s="6">
        <v>97.75</v>
      </c>
      <c r="G118" s="6">
        <v>97.069999694824219</v>
      </c>
      <c r="H118" s="6">
        <v>19.364246528748332</v>
      </c>
      <c r="I118" s="6">
        <v>0.28513143592420254</v>
      </c>
      <c r="J118" s="6">
        <v>2405146000</v>
      </c>
      <c r="K118" s="6">
        <v>202.4390243902439</v>
      </c>
      <c r="L118" t="s">
        <v>6518</v>
      </c>
      <c r="M118" t="s">
        <v>6714</v>
      </c>
      <c r="N118" s="4" t="s">
        <v>6903</v>
      </c>
      <c r="O118" s="4" t="s">
        <v>6904</v>
      </c>
      <c r="P118" s="4" t="s">
        <v>233</v>
      </c>
    </row>
    <row r="119" spans="1:16" x14ac:dyDescent="0.35">
      <c r="A119" t="s">
        <v>6905</v>
      </c>
      <c r="B119" t="s">
        <v>6906</v>
      </c>
      <c r="C119" t="s">
        <v>16</v>
      </c>
      <c r="D119" s="6">
        <v>246039697.42658326</v>
      </c>
      <c r="E119" s="6">
        <v>292386286.42658329</v>
      </c>
      <c r="F119" s="6">
        <v>4.1999998092651367</v>
      </c>
      <c r="G119" s="6">
        <v>4.2100000381469727</v>
      </c>
      <c r="H119" s="6">
        <v>3.8294297242766127</v>
      </c>
      <c r="I119" s="6">
        <v>-0.41336937413805308</v>
      </c>
      <c r="J119" s="6">
        <v>445729916</v>
      </c>
      <c r="K119" s="6" t="e">
        <v>#N/A</v>
      </c>
      <c r="L119" t="s">
        <v>6540</v>
      </c>
      <c r="M119" t="s">
        <v>6797</v>
      </c>
      <c r="N119" s="4" t="s">
        <v>6907</v>
      </c>
      <c r="O119" s="4" t="s">
        <v>6908</v>
      </c>
      <c r="P119" s="4" t="s">
        <v>233</v>
      </c>
    </row>
    <row r="120" spans="1:16" x14ac:dyDescent="0.35">
      <c r="A120" t="s">
        <v>6909</v>
      </c>
      <c r="B120" t="s">
        <v>6910</v>
      </c>
      <c r="C120" t="s">
        <v>16</v>
      </c>
      <c r="D120" s="6">
        <v>6342695826.9996643</v>
      </c>
      <c r="E120" s="6" t="e">
        <v>#N/A</v>
      </c>
      <c r="F120" s="6">
        <v>34.720001220703125</v>
      </c>
      <c r="G120" s="6">
        <v>35.069999694824219</v>
      </c>
      <c r="H120" s="6">
        <v>12.124450644269652</v>
      </c>
      <c r="I120" s="6">
        <v>0.30898323270206651</v>
      </c>
      <c r="J120" s="6">
        <v>2903867000</v>
      </c>
      <c r="K120" s="6" t="e">
        <v>#N/A</v>
      </c>
      <c r="L120" t="s">
        <v>6529</v>
      </c>
      <c r="M120" t="s">
        <v>6530</v>
      </c>
      <c r="N120" s="4" t="s">
        <v>6911</v>
      </c>
      <c r="O120" s="4" t="s">
        <v>6912</v>
      </c>
      <c r="P120" s="4" t="s">
        <v>233</v>
      </c>
    </row>
    <row r="121" spans="1:16" x14ac:dyDescent="0.35">
      <c r="A121" t="s">
        <v>6913</v>
      </c>
      <c r="B121" t="s">
        <v>6914</v>
      </c>
      <c r="C121" t="s">
        <v>16</v>
      </c>
      <c r="D121" s="6">
        <v>262662096.82011363</v>
      </c>
      <c r="E121" s="6">
        <v>399731096.8201136</v>
      </c>
      <c r="F121" s="6">
        <v>1.8600000143051147</v>
      </c>
      <c r="G121" s="6">
        <v>1.7599999904632568</v>
      </c>
      <c r="H121" s="6" t="e">
        <v>#N/A</v>
      </c>
      <c r="I121" s="6">
        <v>0.16202185332001373</v>
      </c>
      <c r="J121" s="6">
        <v>125062000</v>
      </c>
      <c r="K121" s="6">
        <v>75.212030097553054</v>
      </c>
      <c r="L121" t="s">
        <v>6547</v>
      </c>
      <c r="M121" t="s">
        <v>6548</v>
      </c>
      <c r="N121" s="4" t="s">
        <v>6915</v>
      </c>
      <c r="O121" s="4" t="s">
        <v>6916</v>
      </c>
      <c r="P121" s="4" t="s">
        <v>233</v>
      </c>
    </row>
    <row r="122" spans="1:16" x14ac:dyDescent="0.35">
      <c r="A122" t="s">
        <v>6917</v>
      </c>
      <c r="B122" t="s">
        <v>6918</v>
      </c>
      <c r="C122" t="s">
        <v>16</v>
      </c>
      <c r="D122" s="6">
        <v>196360550.09582517</v>
      </c>
      <c r="E122" s="6" t="e">
        <v>#N/A</v>
      </c>
      <c r="F122" s="6">
        <v>36.560001373291016</v>
      </c>
      <c r="G122" s="6">
        <v>36.200000762939453</v>
      </c>
      <c r="H122" s="6">
        <v>11.623648583444508</v>
      </c>
      <c r="I122" s="6">
        <v>0.22761135238518526</v>
      </c>
      <c r="J122" s="6">
        <v>83516000</v>
      </c>
      <c r="K122" s="6">
        <v>-12.22222222222222</v>
      </c>
      <c r="L122" t="s">
        <v>6529</v>
      </c>
      <c r="M122" t="s">
        <v>6530</v>
      </c>
      <c r="N122" s="4" t="s">
        <v>6919</v>
      </c>
      <c r="O122" s="4" t="s">
        <v>6920</v>
      </c>
      <c r="P122" s="4" t="s">
        <v>233</v>
      </c>
    </row>
    <row r="123" spans="1:16" x14ac:dyDescent="0.35">
      <c r="A123" t="s">
        <v>6921</v>
      </c>
      <c r="B123" t="s">
        <v>6922</v>
      </c>
      <c r="C123" t="s">
        <v>16</v>
      </c>
      <c r="D123" s="6">
        <v>2298930206.6719742</v>
      </c>
      <c r="E123" s="6" t="e">
        <v>#N/A</v>
      </c>
      <c r="F123" s="6">
        <v>37.590000152587891</v>
      </c>
      <c r="G123" s="6">
        <v>37.939998626708984</v>
      </c>
      <c r="H123" s="6">
        <v>50.797297503497148</v>
      </c>
      <c r="I123" s="6">
        <v>0.40753151542046573</v>
      </c>
      <c r="J123" s="6">
        <v>949481000</v>
      </c>
      <c r="K123" s="6">
        <v>-72.693726937269375</v>
      </c>
      <c r="L123" t="s">
        <v>6529</v>
      </c>
      <c r="M123" t="s">
        <v>6530</v>
      </c>
      <c r="N123" s="4" t="s">
        <v>6923</v>
      </c>
      <c r="O123" s="4" t="s">
        <v>6924</v>
      </c>
      <c r="P123" s="4" t="s">
        <v>233</v>
      </c>
    </row>
    <row r="124" spans="1:16" x14ac:dyDescent="0.35">
      <c r="A124" t="s">
        <v>6925</v>
      </c>
      <c r="B124" t="s">
        <v>6926</v>
      </c>
      <c r="C124" t="s">
        <v>16</v>
      </c>
      <c r="D124" s="6">
        <v>8175214819.7023325</v>
      </c>
      <c r="E124" s="6" t="e">
        <v>#N/A</v>
      </c>
      <c r="F124" s="6">
        <v>112.94000244140625</v>
      </c>
      <c r="G124" s="6">
        <v>112.31999969482422</v>
      </c>
      <c r="H124" s="6">
        <v>12.004776659649842</v>
      </c>
      <c r="I124" s="6">
        <v>0.38325439600718858</v>
      </c>
      <c r="J124" s="6">
        <v>2799126000</v>
      </c>
      <c r="K124" s="6">
        <v>25.346260387811647</v>
      </c>
      <c r="L124" t="s">
        <v>6529</v>
      </c>
      <c r="M124" t="s">
        <v>6530</v>
      </c>
      <c r="N124" s="4" t="s">
        <v>6927</v>
      </c>
      <c r="O124" s="4" t="s">
        <v>6928</v>
      </c>
      <c r="P124" s="4" t="s">
        <v>233</v>
      </c>
    </row>
    <row r="125" spans="1:16" x14ac:dyDescent="0.35">
      <c r="A125" t="s">
        <v>6929</v>
      </c>
      <c r="B125" t="s">
        <v>6930</v>
      </c>
      <c r="C125" t="s">
        <v>16</v>
      </c>
      <c r="D125" s="6">
        <v>3912805679.9999995</v>
      </c>
      <c r="E125" s="6">
        <v>4583455680</v>
      </c>
      <c r="F125" s="6">
        <v>105</v>
      </c>
      <c r="G125" s="6">
        <v>104.80999755859375</v>
      </c>
      <c r="H125" s="6">
        <v>18.553469065801028</v>
      </c>
      <c r="I125" s="6">
        <v>1.0559714729171823</v>
      </c>
      <c r="J125" s="6">
        <v>1687694000</v>
      </c>
      <c r="K125" s="6">
        <v>90.209790209790185</v>
      </c>
      <c r="L125" t="s">
        <v>6540</v>
      </c>
      <c r="M125" t="s">
        <v>6838</v>
      </c>
      <c r="N125" s="4" t="s">
        <v>6931</v>
      </c>
      <c r="O125" s="4" t="s">
        <v>6932</v>
      </c>
      <c r="P125" s="4" t="s">
        <v>233</v>
      </c>
    </row>
    <row r="126" spans="1:16" x14ac:dyDescent="0.35">
      <c r="A126" t="s">
        <v>6933</v>
      </c>
      <c r="B126" t="s">
        <v>6934</v>
      </c>
      <c r="C126" t="s">
        <v>16</v>
      </c>
      <c r="D126" s="6">
        <v>1316954256.6803894</v>
      </c>
      <c r="E126" s="6" t="e">
        <v>#N/A</v>
      </c>
      <c r="F126" s="6">
        <v>49.349998474121094</v>
      </c>
      <c r="G126" s="6">
        <v>49.970001220703125</v>
      </c>
      <c r="H126" s="6">
        <v>9.4903843219463635</v>
      </c>
      <c r="I126" s="6">
        <v>0.11441845938609951</v>
      </c>
      <c r="J126" s="6">
        <v>311169000</v>
      </c>
      <c r="K126" s="6">
        <v>-14.191419141914183</v>
      </c>
      <c r="L126" t="s">
        <v>6529</v>
      </c>
      <c r="M126" t="s">
        <v>6530</v>
      </c>
      <c r="N126" s="4" t="s">
        <v>6935</v>
      </c>
      <c r="O126" s="4" t="s">
        <v>6936</v>
      </c>
      <c r="P126" s="4" t="s">
        <v>233</v>
      </c>
    </row>
    <row r="127" spans="1:16" x14ac:dyDescent="0.35">
      <c r="A127" t="s">
        <v>6937</v>
      </c>
      <c r="B127" t="s">
        <v>6938</v>
      </c>
      <c r="C127" t="s">
        <v>16</v>
      </c>
      <c r="D127" s="6">
        <v>3773524342.0643234</v>
      </c>
      <c r="E127" s="6" t="e">
        <v>#N/A</v>
      </c>
      <c r="F127" s="6">
        <v>82.010002136230469</v>
      </c>
      <c r="G127" s="6">
        <v>82.680000305175781</v>
      </c>
      <c r="H127" s="6">
        <v>54.762085844612486</v>
      </c>
      <c r="I127" s="6">
        <v>0.37572805155358502</v>
      </c>
      <c r="J127" s="6">
        <v>1760596000</v>
      </c>
      <c r="K127" s="6">
        <v>-63.96648044692737</v>
      </c>
      <c r="L127" t="s">
        <v>6529</v>
      </c>
      <c r="M127" t="s">
        <v>6530</v>
      </c>
      <c r="N127" s="4" t="s">
        <v>6939</v>
      </c>
      <c r="O127" s="4" t="s">
        <v>6940</v>
      </c>
      <c r="P127" s="4" t="s">
        <v>233</v>
      </c>
    </row>
    <row r="128" spans="1:16" x14ac:dyDescent="0.35">
      <c r="A128" t="s">
        <v>6941</v>
      </c>
      <c r="B128" t="s">
        <v>6942</v>
      </c>
      <c r="C128" t="s">
        <v>16</v>
      </c>
      <c r="D128" s="6">
        <v>3308349665.6651306</v>
      </c>
      <c r="E128" s="6">
        <v>3226064665.6651306</v>
      </c>
      <c r="F128" s="6">
        <v>32.919998168945313</v>
      </c>
      <c r="G128" s="6">
        <v>33.439998626708984</v>
      </c>
      <c r="H128" s="6" t="e">
        <v>#N/A</v>
      </c>
      <c r="I128" s="6">
        <v>0.25809929105990315</v>
      </c>
      <c r="J128" s="6">
        <v>315562000</v>
      </c>
      <c r="K128" s="6">
        <v>18.527068965517262</v>
      </c>
      <c r="L128" t="s">
        <v>6518</v>
      </c>
      <c r="M128" t="s">
        <v>6519</v>
      </c>
      <c r="N128" s="4" t="s">
        <v>6943</v>
      </c>
      <c r="O128" s="4" t="s">
        <v>6944</v>
      </c>
      <c r="P128" s="4" t="s">
        <v>233</v>
      </c>
    </row>
    <row r="129" spans="1:16" x14ac:dyDescent="0.35">
      <c r="A129" t="s">
        <v>6945</v>
      </c>
      <c r="B129" t="s">
        <v>6946</v>
      </c>
      <c r="C129" t="s">
        <v>16</v>
      </c>
      <c r="D129" s="6">
        <v>1030626738.0393828</v>
      </c>
      <c r="E129" s="6" t="e">
        <v>#N/A</v>
      </c>
      <c r="F129" s="6">
        <v>26.860000610351563</v>
      </c>
      <c r="G129" s="6">
        <v>27.110000610351563</v>
      </c>
      <c r="H129" s="6">
        <v>14.981173478946076</v>
      </c>
      <c r="I129" s="6">
        <v>0.3068639213919051</v>
      </c>
      <c r="J129" s="6">
        <v>534616999.99999994</v>
      </c>
      <c r="K129" s="6">
        <v>-14.903846153846157</v>
      </c>
      <c r="L129" t="s">
        <v>6529</v>
      </c>
      <c r="M129" t="s">
        <v>6530</v>
      </c>
      <c r="N129" s="4" t="s">
        <v>6947</v>
      </c>
      <c r="O129" s="4" t="s">
        <v>6948</v>
      </c>
      <c r="P129" s="4" t="s">
        <v>233</v>
      </c>
    </row>
    <row r="130" spans="1:16" x14ac:dyDescent="0.35">
      <c r="A130" t="s">
        <v>13381</v>
      </c>
      <c r="B130" t="s">
        <v>13382</v>
      </c>
      <c r="C130" t="s">
        <v>16</v>
      </c>
      <c r="D130" s="6">
        <v>940412066.07132721</v>
      </c>
      <c r="E130" s="6">
        <v>1242712066.0713272</v>
      </c>
      <c r="F130" s="6">
        <v>25.200000762939453</v>
      </c>
      <c r="G130" s="6">
        <v>25.879999160766602</v>
      </c>
      <c r="H130" s="6">
        <v>13.151927599131062</v>
      </c>
      <c r="I130" s="6">
        <v>0.1135752035354749</v>
      </c>
      <c r="J130" s="6">
        <v>473600000</v>
      </c>
      <c r="K130" s="6">
        <v>-5.1136363636363553</v>
      </c>
      <c r="L130" t="s">
        <v>6529</v>
      </c>
      <c r="M130" t="s">
        <v>6568</v>
      </c>
      <c r="N130" s="4" t="s">
        <v>6949</v>
      </c>
      <c r="O130" s="4" t="s">
        <v>6950</v>
      </c>
      <c r="P130" s="4" t="s">
        <v>233</v>
      </c>
    </row>
    <row r="131" spans="1:16" x14ac:dyDescent="0.35">
      <c r="A131" t="s">
        <v>6951</v>
      </c>
      <c r="B131" t="s">
        <v>6952</v>
      </c>
      <c r="C131" t="s">
        <v>16</v>
      </c>
      <c r="D131" s="6">
        <v>915099545.30589294</v>
      </c>
      <c r="E131" s="6" t="e">
        <v>#N/A</v>
      </c>
      <c r="F131" s="6">
        <v>38.270000457763672</v>
      </c>
      <c r="G131" s="6">
        <v>38.529998779296875</v>
      </c>
      <c r="H131" s="6">
        <v>11.098470272300739</v>
      </c>
      <c r="I131" s="6">
        <v>0.21992601706850312</v>
      </c>
      <c r="J131" s="6">
        <v>453665000</v>
      </c>
      <c r="K131" s="6">
        <v>4.4164037854889626</v>
      </c>
      <c r="L131" t="s">
        <v>6529</v>
      </c>
      <c r="M131" t="s">
        <v>6530</v>
      </c>
      <c r="N131" s="4" t="s">
        <v>6953</v>
      </c>
      <c r="O131" s="4" t="s">
        <v>6954</v>
      </c>
      <c r="P131" s="4" t="s">
        <v>233</v>
      </c>
    </row>
    <row r="132" spans="1:16" x14ac:dyDescent="0.35">
      <c r="A132" t="s">
        <v>6955</v>
      </c>
      <c r="B132" t="s">
        <v>6956</v>
      </c>
      <c r="C132" t="s">
        <v>16</v>
      </c>
      <c r="D132" s="6">
        <v>438487159.44069952</v>
      </c>
      <c r="E132" s="6">
        <v>302974159.44069952</v>
      </c>
      <c r="F132" s="6">
        <v>4.1999998092651367</v>
      </c>
      <c r="G132" s="6">
        <v>4.1100001335144043</v>
      </c>
      <c r="H132" s="6" t="e">
        <v>#N/A</v>
      </c>
      <c r="I132" s="6">
        <v>-0.15113420650146836</v>
      </c>
      <c r="J132" s="6">
        <v>45599600</v>
      </c>
      <c r="K132" s="6">
        <v>7.9094594594594554</v>
      </c>
      <c r="L132" t="s">
        <v>17</v>
      </c>
      <c r="M132" t="s">
        <v>100</v>
      </c>
      <c r="N132" s="4" t="s">
        <v>6957</v>
      </c>
      <c r="O132" s="4" t="s">
        <v>6958</v>
      </c>
      <c r="P132" s="4" t="s">
        <v>233</v>
      </c>
    </row>
    <row r="133" spans="1:16" x14ac:dyDescent="0.35">
      <c r="A133" t="s">
        <v>6959</v>
      </c>
      <c r="B133" t="s">
        <v>6960</v>
      </c>
      <c r="C133" t="s">
        <v>16</v>
      </c>
      <c r="D133" s="6">
        <v>1297681884.1725214</v>
      </c>
      <c r="E133" s="6">
        <v>2670911884.1725216</v>
      </c>
      <c r="F133" s="6">
        <v>13.670000076293945</v>
      </c>
      <c r="G133" s="6">
        <v>13.579999923706055</v>
      </c>
      <c r="H133" s="6">
        <v>11.57187946646944</v>
      </c>
      <c r="I133" s="6">
        <v>0.25018541491384316</v>
      </c>
      <c r="J133" s="6">
        <v>8245268000</v>
      </c>
      <c r="K133" s="6">
        <v>1.9867549668874189</v>
      </c>
      <c r="L133" t="s">
        <v>6735</v>
      </c>
      <c r="M133" t="s">
        <v>6747</v>
      </c>
      <c r="N133" s="4" t="s">
        <v>233</v>
      </c>
      <c r="O133" s="4" t="s">
        <v>6961</v>
      </c>
      <c r="P133" s="4" t="s">
        <v>13200</v>
      </c>
    </row>
    <row r="134" spans="1:16" x14ac:dyDescent="0.35">
      <c r="A134" t="s">
        <v>6962</v>
      </c>
      <c r="B134" t="s">
        <v>5192</v>
      </c>
      <c r="C134" t="s">
        <v>16</v>
      </c>
      <c r="D134" s="6">
        <v>1285712418.1250668</v>
      </c>
      <c r="E134" s="6">
        <v>1161542418.1250668</v>
      </c>
      <c r="F134" s="6">
        <v>31.899999618530273</v>
      </c>
      <c r="G134" s="6">
        <v>31.549999237060547</v>
      </c>
      <c r="H134" s="6" t="e">
        <v>#N/A</v>
      </c>
      <c r="I134" s="6">
        <v>-0.37161851417989367</v>
      </c>
      <c r="J134" s="6">
        <v>89077000</v>
      </c>
      <c r="K134" s="6">
        <v>41.493775933609967</v>
      </c>
      <c r="L134" t="s">
        <v>17</v>
      </c>
      <c r="M134" t="s">
        <v>27</v>
      </c>
      <c r="N134" s="4" t="s">
        <v>5193</v>
      </c>
      <c r="O134" s="4" t="s">
        <v>5194</v>
      </c>
      <c r="P134" s="4" t="s">
        <v>233</v>
      </c>
    </row>
    <row r="135" spans="1:16" x14ac:dyDescent="0.35">
      <c r="A135" t="s">
        <v>6963</v>
      </c>
      <c r="B135" t="s">
        <v>6964</v>
      </c>
      <c r="C135" t="s">
        <v>16</v>
      </c>
      <c r="D135" s="6">
        <v>510718952.19588858</v>
      </c>
      <c r="E135" s="6">
        <v>3603292952.1958885</v>
      </c>
      <c r="F135" s="6">
        <v>53.490001678466797</v>
      </c>
      <c r="G135" s="6">
        <v>55.349998474121094</v>
      </c>
      <c r="H135" s="6" t="e">
        <v>#N/A</v>
      </c>
      <c r="I135" s="6">
        <v>-0.32141862921583797</v>
      </c>
      <c r="J135" s="6">
        <v>2926108000</v>
      </c>
      <c r="K135" s="6">
        <v>-103.57923145424573</v>
      </c>
      <c r="L135" t="s">
        <v>6523</v>
      </c>
      <c r="M135" t="s">
        <v>6588</v>
      </c>
      <c r="N135" s="4" t="s">
        <v>233</v>
      </c>
      <c r="O135" s="4" t="s">
        <v>6965</v>
      </c>
      <c r="P135" s="4" t="s">
        <v>13201</v>
      </c>
    </row>
    <row r="136" spans="1:16" x14ac:dyDescent="0.35">
      <c r="A136" t="s">
        <v>6966</v>
      </c>
      <c r="B136" t="s">
        <v>5188</v>
      </c>
      <c r="C136" t="s">
        <v>16</v>
      </c>
      <c r="D136" s="6">
        <v>71100411.410112143</v>
      </c>
      <c r="E136" s="6">
        <v>-21117588.589887843</v>
      </c>
      <c r="F136" s="6">
        <v>0.89749997854232788</v>
      </c>
      <c r="G136" s="6">
        <v>0.95999997854232788</v>
      </c>
      <c r="H136" s="6" t="e">
        <v>#N/A</v>
      </c>
      <c r="I136" s="6">
        <v>-0.84063123309436538</v>
      </c>
      <c r="J136" s="6">
        <v>0</v>
      </c>
      <c r="K136" s="6">
        <v>39.130434782608695</v>
      </c>
      <c r="L136" t="s">
        <v>17</v>
      </c>
      <c r="M136" t="s">
        <v>18</v>
      </c>
      <c r="N136" s="4" t="s">
        <v>5189</v>
      </c>
      <c r="O136" s="4" t="s">
        <v>5190</v>
      </c>
      <c r="P136" s="4" t="s">
        <v>233</v>
      </c>
    </row>
    <row r="137" spans="1:16" x14ac:dyDescent="0.35">
      <c r="A137" t="s">
        <v>6967</v>
      </c>
      <c r="B137" t="s">
        <v>647</v>
      </c>
      <c r="C137" t="s">
        <v>16</v>
      </c>
      <c r="D137" s="6">
        <v>2739636854.5658112</v>
      </c>
      <c r="E137" s="6">
        <v>3394695854.5658112</v>
      </c>
      <c r="F137" s="6">
        <v>31.040000915527344</v>
      </c>
      <c r="G137" s="6">
        <v>31.030000686645508</v>
      </c>
      <c r="H137" s="6">
        <v>18.082372027041618</v>
      </c>
      <c r="I137" s="6">
        <v>0.10208967471640973</v>
      </c>
      <c r="J137" s="6">
        <v>6554872000</v>
      </c>
      <c r="K137" s="6">
        <v>-16.425120772946872</v>
      </c>
      <c r="L137" t="s">
        <v>17</v>
      </c>
      <c r="M137" t="s">
        <v>40</v>
      </c>
      <c r="N137" s="4" t="s">
        <v>648</v>
      </c>
      <c r="O137" s="4" t="s">
        <v>649</v>
      </c>
      <c r="P137" s="4" t="s">
        <v>233</v>
      </c>
    </row>
    <row r="138" spans="1:16" x14ac:dyDescent="0.35">
      <c r="A138" t="s">
        <v>6968</v>
      </c>
      <c r="B138" t="s">
        <v>1423</v>
      </c>
      <c r="C138" t="s">
        <v>16</v>
      </c>
      <c r="D138" s="6">
        <v>504410678.39027303</v>
      </c>
      <c r="E138" s="6">
        <v>227554678.39027303</v>
      </c>
      <c r="F138" s="6">
        <v>1.3550000190734863</v>
      </c>
      <c r="G138" s="6">
        <v>1.2999999523162842</v>
      </c>
      <c r="H138" s="6" t="e">
        <v>#N/A</v>
      </c>
      <c r="I138" s="6">
        <v>-0.43217464051017318</v>
      </c>
      <c r="J138" s="6">
        <v>155902000</v>
      </c>
      <c r="K138" s="6">
        <v>26.041666666666668</v>
      </c>
      <c r="L138" t="s">
        <v>17</v>
      </c>
      <c r="M138" t="s">
        <v>100</v>
      </c>
      <c r="N138" s="4" t="s">
        <v>1424</v>
      </c>
      <c r="O138" s="4" t="s">
        <v>1425</v>
      </c>
      <c r="P138" s="4" t="s">
        <v>233</v>
      </c>
    </row>
    <row r="139" spans="1:16" x14ac:dyDescent="0.35">
      <c r="A139" t="s">
        <v>6969</v>
      </c>
      <c r="B139" t="s">
        <v>6970</v>
      </c>
      <c r="C139" t="s">
        <v>16</v>
      </c>
      <c r="D139" s="6">
        <v>2381820277.3712668</v>
      </c>
      <c r="E139" s="6">
        <v>5990427277.3712673</v>
      </c>
      <c r="F139" s="6">
        <v>23.399999618530273</v>
      </c>
      <c r="G139" s="6">
        <v>23.610000610351563</v>
      </c>
      <c r="H139" s="6" t="e">
        <v>#N/A</v>
      </c>
      <c r="I139" s="6">
        <v>-9.0116076954391167E-2</v>
      </c>
      <c r="J139" s="6">
        <v>6004843000</v>
      </c>
      <c r="K139" s="6" t="e">
        <v>#N/A</v>
      </c>
      <c r="L139" t="s">
        <v>6540</v>
      </c>
      <c r="M139" t="s">
        <v>6541</v>
      </c>
      <c r="N139" s="4" t="s">
        <v>6971</v>
      </c>
      <c r="O139" s="4" t="s">
        <v>6972</v>
      </c>
      <c r="P139" s="4" t="s">
        <v>233</v>
      </c>
    </row>
    <row r="140" spans="1:16" x14ac:dyDescent="0.35">
      <c r="A140" t="s">
        <v>6973</v>
      </c>
      <c r="B140" t="s">
        <v>6974</v>
      </c>
      <c r="C140" t="s">
        <v>16</v>
      </c>
      <c r="D140" s="6">
        <v>8242840242.2722607</v>
      </c>
      <c r="E140" s="6">
        <v>12065840242.272261</v>
      </c>
      <c r="F140" s="6">
        <v>192.53999328613281</v>
      </c>
      <c r="G140" s="6">
        <v>190.07000732421875</v>
      </c>
      <c r="H140" s="6">
        <v>25.955285472579632</v>
      </c>
      <c r="I140" s="6">
        <v>0.5286246414272302</v>
      </c>
      <c r="J140" s="6">
        <v>4068500000</v>
      </c>
      <c r="K140" s="6">
        <v>2339.1472167641341</v>
      </c>
      <c r="L140" t="s">
        <v>6547</v>
      </c>
      <c r="M140" t="s">
        <v>6668</v>
      </c>
      <c r="N140" s="4" t="s">
        <v>6975</v>
      </c>
      <c r="O140" s="4" t="s">
        <v>6976</v>
      </c>
      <c r="P140" s="4" t="s">
        <v>233</v>
      </c>
    </row>
    <row r="141" spans="1:16" x14ac:dyDescent="0.35">
      <c r="A141" t="s">
        <v>6977</v>
      </c>
      <c r="B141" t="s">
        <v>6978</v>
      </c>
      <c r="C141" t="s">
        <v>16</v>
      </c>
      <c r="D141" s="6">
        <v>4189254096.958446</v>
      </c>
      <c r="E141" s="6">
        <v>7052454096.9584465</v>
      </c>
      <c r="F141" s="6">
        <v>40.590000152587891</v>
      </c>
      <c r="G141" s="6">
        <v>40.869998931884766</v>
      </c>
      <c r="H141" s="6">
        <v>9.0843657936785629</v>
      </c>
      <c r="I141" s="6">
        <v>0.51109417687819647</v>
      </c>
      <c r="J141" s="6">
        <v>4449500000</v>
      </c>
      <c r="K141" s="6">
        <v>56.147540983606561</v>
      </c>
      <c r="L141" t="s">
        <v>6529</v>
      </c>
      <c r="M141" t="s">
        <v>6664</v>
      </c>
      <c r="N141" s="4" t="s">
        <v>6979</v>
      </c>
      <c r="O141" s="4" t="s">
        <v>6980</v>
      </c>
      <c r="P141" s="4" t="s">
        <v>233</v>
      </c>
    </row>
    <row r="142" spans="1:16" x14ac:dyDescent="0.35">
      <c r="A142" t="s">
        <v>6981</v>
      </c>
      <c r="B142" t="s">
        <v>6982</v>
      </c>
      <c r="C142" t="s">
        <v>16</v>
      </c>
      <c r="D142" s="6">
        <v>3921544494.9590302</v>
      </c>
      <c r="E142" s="6" t="e">
        <v>#N/A</v>
      </c>
      <c r="F142" s="6">
        <v>167.86000061035156</v>
      </c>
      <c r="G142" s="6">
        <v>163.47999572753906</v>
      </c>
      <c r="H142" s="6" t="e">
        <v>#N/A</v>
      </c>
      <c r="I142" s="6">
        <v>0.33276080944436215</v>
      </c>
      <c r="J142" s="6">
        <v>202697000</v>
      </c>
      <c r="K142" s="6">
        <v>-11.570247933884296</v>
      </c>
      <c r="L142" t="s">
        <v>6518</v>
      </c>
      <c r="M142" t="s">
        <v>6807</v>
      </c>
      <c r="N142" s="4" t="s">
        <v>6983</v>
      </c>
      <c r="O142" s="4" t="s">
        <v>6984</v>
      </c>
      <c r="P142" s="4" t="s">
        <v>233</v>
      </c>
    </row>
    <row r="143" spans="1:16" x14ac:dyDescent="0.35">
      <c r="A143" t="s">
        <v>6985</v>
      </c>
      <c r="B143" t="s">
        <v>6986</v>
      </c>
      <c r="C143" t="s">
        <v>16</v>
      </c>
      <c r="D143" s="6">
        <v>1314878946.5</v>
      </c>
      <c r="E143" s="6">
        <v>9250578946.5</v>
      </c>
      <c r="F143" s="6">
        <v>3.5</v>
      </c>
      <c r="G143" s="6">
        <v>3.3299999237060547</v>
      </c>
      <c r="H143" s="6" t="e">
        <v>#N/A</v>
      </c>
      <c r="I143" s="6">
        <v>-0.23190112792783646</v>
      </c>
      <c r="J143" s="6">
        <v>4435200000</v>
      </c>
      <c r="K143" s="6">
        <v>60.922330097087382</v>
      </c>
      <c r="L143" t="s">
        <v>6514</v>
      </c>
      <c r="M143" t="s">
        <v>6690</v>
      </c>
      <c r="N143" s="4" t="s">
        <v>6987</v>
      </c>
      <c r="O143" s="4" t="s">
        <v>6988</v>
      </c>
      <c r="P143" s="4" t="s">
        <v>233</v>
      </c>
    </row>
    <row r="144" spans="1:16" x14ac:dyDescent="0.35">
      <c r="A144" t="s">
        <v>6989</v>
      </c>
      <c r="B144" t="s">
        <v>5208</v>
      </c>
      <c r="C144" t="s">
        <v>16</v>
      </c>
      <c r="D144" s="6">
        <v>181816370.91850519</v>
      </c>
      <c r="E144" s="6">
        <v>-16659629.081494808</v>
      </c>
      <c r="F144" s="6">
        <v>1.5199999809265137</v>
      </c>
      <c r="G144" s="6">
        <v>1.5499999523162842</v>
      </c>
      <c r="H144" s="6" t="e">
        <v>#N/A</v>
      </c>
      <c r="I144" s="6">
        <v>-0.63448513154089647</v>
      </c>
      <c r="J144" s="6">
        <v>0</v>
      </c>
      <c r="K144" s="6">
        <v>18.834080717488785</v>
      </c>
      <c r="L144" t="s">
        <v>17</v>
      </c>
      <c r="M144" t="s">
        <v>18</v>
      </c>
      <c r="N144" s="4" t="s">
        <v>5209</v>
      </c>
      <c r="O144" s="4" t="s">
        <v>5210</v>
      </c>
      <c r="P144" s="4" t="s">
        <v>233</v>
      </c>
    </row>
    <row r="145" spans="1:16" x14ac:dyDescent="0.35">
      <c r="A145" t="s">
        <v>6990</v>
      </c>
      <c r="B145" t="s">
        <v>2041</v>
      </c>
      <c r="C145" t="s">
        <v>16</v>
      </c>
      <c r="D145" s="6">
        <v>1221839223.8381271</v>
      </c>
      <c r="E145" s="6">
        <v>1226918223.8381271</v>
      </c>
      <c r="F145" s="6">
        <v>26.340000152587891</v>
      </c>
      <c r="G145" s="6">
        <v>26.319999694824219</v>
      </c>
      <c r="H145" s="6" t="e">
        <v>#N/A</v>
      </c>
      <c r="I145" s="6">
        <v>0.39829001831468469</v>
      </c>
      <c r="J145" s="6">
        <v>123358000</v>
      </c>
      <c r="K145" s="6">
        <v>65.048543689320383</v>
      </c>
      <c r="L145" t="s">
        <v>17</v>
      </c>
      <c r="M145" t="s">
        <v>100</v>
      </c>
      <c r="N145" s="4" t="s">
        <v>2042</v>
      </c>
      <c r="O145" s="4" t="s">
        <v>2043</v>
      </c>
      <c r="P145" s="4" t="s">
        <v>233</v>
      </c>
    </row>
    <row r="146" spans="1:16" x14ac:dyDescent="0.35">
      <c r="A146" t="s">
        <v>8854</v>
      </c>
      <c r="B146" t="s">
        <v>13065</v>
      </c>
      <c r="C146" t="s">
        <v>16</v>
      </c>
      <c r="D146" s="6">
        <v>1725490097.490772</v>
      </c>
      <c r="E146" s="6">
        <v>2301299097.4907722</v>
      </c>
      <c r="F146" s="6">
        <v>11.800000190734863</v>
      </c>
      <c r="G146" s="6">
        <v>11.75</v>
      </c>
      <c r="H146" s="6" t="e">
        <v>#N/A</v>
      </c>
      <c r="I146" s="6">
        <v>1.1724988285216011</v>
      </c>
      <c r="J146" s="6">
        <v>534192000</v>
      </c>
      <c r="K146" s="6" t="e">
        <v>#N/A</v>
      </c>
      <c r="L146" t="s">
        <v>6563</v>
      </c>
      <c r="M146" t="s">
        <v>6764</v>
      </c>
      <c r="N146" s="4" t="s">
        <v>13066</v>
      </c>
      <c r="O146" s="4" t="s">
        <v>13067</v>
      </c>
      <c r="P146" s="4" t="s">
        <v>233</v>
      </c>
    </row>
    <row r="147" spans="1:16" x14ac:dyDescent="0.35">
      <c r="A147" t="s">
        <v>6991</v>
      </c>
      <c r="B147" t="s">
        <v>4670</v>
      </c>
      <c r="C147" t="s">
        <v>16</v>
      </c>
      <c r="D147" s="6">
        <v>306979558.21928072</v>
      </c>
      <c r="E147" s="6">
        <v>78652558.21928072</v>
      </c>
      <c r="F147" s="6">
        <v>5.5199999809265137</v>
      </c>
      <c r="G147" s="6">
        <v>5.320000171661377</v>
      </c>
      <c r="H147" s="6" t="e">
        <v>#N/A</v>
      </c>
      <c r="I147" s="6">
        <v>-0.11367172108296153</v>
      </c>
      <c r="J147" s="6">
        <v>25515000</v>
      </c>
      <c r="K147" s="6">
        <v>21.949980637377696</v>
      </c>
      <c r="L147" t="s">
        <v>17</v>
      </c>
      <c r="M147" t="s">
        <v>18</v>
      </c>
      <c r="N147" s="4" t="s">
        <v>4671</v>
      </c>
      <c r="O147" s="4" t="s">
        <v>4672</v>
      </c>
      <c r="P147" s="4" t="s">
        <v>233</v>
      </c>
    </row>
    <row r="148" spans="1:16" x14ac:dyDescent="0.35">
      <c r="A148" t="s">
        <v>6992</v>
      </c>
      <c r="B148" t="s">
        <v>6993</v>
      </c>
      <c r="C148" t="s">
        <v>16</v>
      </c>
      <c r="D148" s="6">
        <v>6827702275.7811575</v>
      </c>
      <c r="E148" s="6">
        <v>17460702275.781158</v>
      </c>
      <c r="F148" s="6">
        <v>106.70999908447266</v>
      </c>
      <c r="G148" s="6">
        <v>101.76999664306641</v>
      </c>
      <c r="H148" s="6">
        <v>11.504514649790718</v>
      </c>
      <c r="I148" s="6">
        <v>0.451540242258202</v>
      </c>
      <c r="J148" s="6">
        <v>3015000000</v>
      </c>
      <c r="K148" s="6">
        <v>39.410187667560329</v>
      </c>
      <c r="L148" t="s">
        <v>6529</v>
      </c>
      <c r="M148" t="s">
        <v>6639</v>
      </c>
      <c r="N148" s="4" t="s">
        <v>6994</v>
      </c>
      <c r="O148" s="4" t="s">
        <v>6995</v>
      </c>
      <c r="P148" s="4" t="s">
        <v>233</v>
      </c>
    </row>
    <row r="149" spans="1:16" x14ac:dyDescent="0.35">
      <c r="A149" t="s">
        <v>6996</v>
      </c>
      <c r="B149" t="s">
        <v>13284</v>
      </c>
      <c r="C149" t="s">
        <v>16</v>
      </c>
      <c r="D149" s="6">
        <v>905173934.642681</v>
      </c>
      <c r="E149" s="6">
        <v>1321676934.6426811</v>
      </c>
      <c r="F149" s="6">
        <v>10.979999542236328</v>
      </c>
      <c r="G149" s="6">
        <v>10.850000381469727</v>
      </c>
      <c r="H149" s="6" t="e">
        <v>#N/A</v>
      </c>
      <c r="I149" s="6">
        <v>-0.10194321216535518</v>
      </c>
      <c r="J149" s="6">
        <v>158999000</v>
      </c>
      <c r="K149" s="6">
        <v>-3350</v>
      </c>
      <c r="L149" t="s">
        <v>6563</v>
      </c>
      <c r="M149" t="s">
        <v>6564</v>
      </c>
      <c r="N149" s="4" t="s">
        <v>233</v>
      </c>
      <c r="O149" s="4" t="s">
        <v>6997</v>
      </c>
      <c r="P149" s="4" t="s">
        <v>13202</v>
      </c>
    </row>
    <row r="150" spans="1:16" x14ac:dyDescent="0.35">
      <c r="A150" t="s">
        <v>6998</v>
      </c>
      <c r="B150" t="s">
        <v>6999</v>
      </c>
      <c r="C150" t="s">
        <v>16</v>
      </c>
      <c r="D150" s="6">
        <v>4293936172.8573532</v>
      </c>
      <c r="E150" s="6">
        <v>9771233172.8573532</v>
      </c>
      <c r="F150" s="6">
        <v>42.819999694824219</v>
      </c>
      <c r="G150" s="6">
        <v>43.139999389648438</v>
      </c>
      <c r="H150" s="6">
        <v>35.567619756080404</v>
      </c>
      <c r="I150" s="6">
        <v>1.7664744889418271E-2</v>
      </c>
      <c r="J150" s="6">
        <v>2392739000</v>
      </c>
      <c r="K150" s="6" t="e">
        <v>#N/A</v>
      </c>
      <c r="L150" t="s">
        <v>6540</v>
      </c>
      <c r="M150" t="s">
        <v>6825</v>
      </c>
      <c r="N150" s="4" t="s">
        <v>7000</v>
      </c>
      <c r="O150" s="4" t="s">
        <v>7001</v>
      </c>
      <c r="P150" s="4" t="s">
        <v>233</v>
      </c>
    </row>
    <row r="151" spans="1:16" x14ac:dyDescent="0.35">
      <c r="A151" t="s">
        <v>7002</v>
      </c>
      <c r="B151" t="s">
        <v>7003</v>
      </c>
      <c r="C151" t="s">
        <v>16</v>
      </c>
      <c r="D151" s="6">
        <v>1794714992</v>
      </c>
      <c r="E151" s="6">
        <v>4433348992</v>
      </c>
      <c r="F151" s="6">
        <v>8</v>
      </c>
      <c r="G151" s="6">
        <v>7.940000057220459</v>
      </c>
      <c r="H151" s="6" t="e">
        <v>#N/A</v>
      </c>
      <c r="I151" s="6">
        <v>-0.52788768665348629</v>
      </c>
      <c r="J151" s="6">
        <v>2035817000</v>
      </c>
      <c r="K151" s="6">
        <v>68.248175182481745</v>
      </c>
      <c r="L151" t="s">
        <v>6547</v>
      </c>
      <c r="M151" t="s">
        <v>6602</v>
      </c>
      <c r="N151" s="4" t="s">
        <v>7004</v>
      </c>
      <c r="O151" s="4" t="s">
        <v>7005</v>
      </c>
      <c r="P151" s="4" t="s">
        <v>233</v>
      </c>
    </row>
    <row r="152" spans="1:16" x14ac:dyDescent="0.35">
      <c r="A152" t="s">
        <v>7006</v>
      </c>
      <c r="B152" t="s">
        <v>7007</v>
      </c>
      <c r="C152" t="s">
        <v>16</v>
      </c>
      <c r="D152" s="6">
        <v>516894561.34396368</v>
      </c>
      <c r="E152" s="6" t="e">
        <v>#N/A</v>
      </c>
      <c r="F152" s="6">
        <v>16.069999694824219</v>
      </c>
      <c r="G152" s="6">
        <v>16.200000762939453</v>
      </c>
      <c r="H152" s="6">
        <v>21.640969567738416</v>
      </c>
      <c r="I152" s="6">
        <v>3.6671877801747188E-2</v>
      </c>
      <c r="J152" s="6">
        <v>184558000</v>
      </c>
      <c r="K152" s="6">
        <v>-84.158689606804273</v>
      </c>
      <c r="L152" t="s">
        <v>6529</v>
      </c>
      <c r="M152" t="s">
        <v>6530</v>
      </c>
      <c r="N152" s="4" t="s">
        <v>7008</v>
      </c>
      <c r="O152" s="4" t="s">
        <v>7009</v>
      </c>
      <c r="P152" s="4" t="s">
        <v>233</v>
      </c>
    </row>
    <row r="153" spans="1:16" x14ac:dyDescent="0.35">
      <c r="A153" t="s">
        <v>7010</v>
      </c>
      <c r="B153" t="s">
        <v>7011</v>
      </c>
      <c r="C153" t="s">
        <v>16</v>
      </c>
      <c r="D153" s="6">
        <v>13807544393.902071</v>
      </c>
      <c r="E153" s="6">
        <v>13490776393.902071</v>
      </c>
      <c r="F153" s="6">
        <v>27.620000839233398</v>
      </c>
      <c r="G153" s="6">
        <v>28</v>
      </c>
      <c r="H153" s="6" t="e">
        <v>#N/A</v>
      </c>
      <c r="I153" s="6">
        <v>4.8235162376494563</v>
      </c>
      <c r="J153" s="6">
        <v>363817000</v>
      </c>
      <c r="K153" s="6">
        <v>-2.7777777777777644</v>
      </c>
      <c r="L153" t="s">
        <v>6547</v>
      </c>
      <c r="M153" t="s">
        <v>6843</v>
      </c>
      <c r="N153" s="4" t="s">
        <v>7012</v>
      </c>
      <c r="O153" s="4" t="s">
        <v>7013</v>
      </c>
      <c r="P153" s="4" t="s">
        <v>233</v>
      </c>
    </row>
    <row r="154" spans="1:16" x14ac:dyDescent="0.35">
      <c r="A154" t="s">
        <v>7014</v>
      </c>
      <c r="B154" t="s">
        <v>7015</v>
      </c>
      <c r="C154" t="s">
        <v>16</v>
      </c>
      <c r="D154" s="6">
        <v>349322141.48121643</v>
      </c>
      <c r="E154" s="6">
        <v>355148141.48121643</v>
      </c>
      <c r="F154" s="6">
        <v>26.479999542236328</v>
      </c>
      <c r="G154" s="6">
        <v>25.079999923706055</v>
      </c>
      <c r="H154" s="6">
        <v>13.44823219847942</v>
      </c>
      <c r="I154" s="6">
        <v>0.65996597412199964</v>
      </c>
      <c r="J154" s="6">
        <v>508569000</v>
      </c>
      <c r="K154" s="6">
        <v>9.1954022988505706</v>
      </c>
      <c r="L154" t="s">
        <v>6547</v>
      </c>
      <c r="M154" t="s">
        <v>6548</v>
      </c>
      <c r="N154" s="4" t="s">
        <v>233</v>
      </c>
      <c r="O154" s="4" t="s">
        <v>7016</v>
      </c>
      <c r="P154" s="4" t="s">
        <v>13203</v>
      </c>
    </row>
    <row r="155" spans="1:16" x14ac:dyDescent="0.35">
      <c r="A155" t="s">
        <v>7017</v>
      </c>
      <c r="B155" t="s">
        <v>623</v>
      </c>
      <c r="C155" t="s">
        <v>16</v>
      </c>
      <c r="D155" s="6">
        <v>782906967.90076435</v>
      </c>
      <c r="E155" s="6">
        <v>827238967.90076435</v>
      </c>
      <c r="F155" s="6">
        <v>17.790000915527344</v>
      </c>
      <c r="G155" s="6">
        <v>17.200000762939453</v>
      </c>
      <c r="H155" s="6" t="e">
        <v>#N/A</v>
      </c>
      <c r="I155" s="6">
        <v>0.76914509892033012</v>
      </c>
      <c r="J155" s="6">
        <v>180856000</v>
      </c>
      <c r="K155" s="6">
        <v>42.575921860298415</v>
      </c>
      <c r="L155" t="s">
        <v>17</v>
      </c>
      <c r="M155" t="s">
        <v>27</v>
      </c>
      <c r="N155" s="4" t="s">
        <v>624</v>
      </c>
      <c r="O155" s="4" t="s">
        <v>625</v>
      </c>
      <c r="P155" s="4" t="s">
        <v>233</v>
      </c>
    </row>
    <row r="156" spans="1:16" x14ac:dyDescent="0.35">
      <c r="A156" t="s">
        <v>7018</v>
      </c>
      <c r="B156" t="s">
        <v>7019</v>
      </c>
      <c r="C156" t="s">
        <v>16</v>
      </c>
      <c r="D156" s="6">
        <v>407268050.86192799</v>
      </c>
      <c r="E156" s="6" t="e">
        <v>#N/A</v>
      </c>
      <c r="F156" s="6">
        <v>14.779999732971191</v>
      </c>
      <c r="G156" s="6">
        <v>14.960000038146973</v>
      </c>
      <c r="H156" s="6">
        <v>14.349514303855525</v>
      </c>
      <c r="I156" s="6">
        <v>0.17716306594374642</v>
      </c>
      <c r="J156" s="6">
        <v>253266000</v>
      </c>
      <c r="K156" s="6">
        <v>-18.604651162790699</v>
      </c>
      <c r="L156" t="s">
        <v>6529</v>
      </c>
      <c r="M156" t="s">
        <v>6530</v>
      </c>
      <c r="N156" s="4" t="s">
        <v>7020</v>
      </c>
      <c r="O156" s="4" t="s">
        <v>7021</v>
      </c>
      <c r="P156" s="4" t="s">
        <v>233</v>
      </c>
    </row>
    <row r="157" spans="1:16" x14ac:dyDescent="0.35">
      <c r="A157" t="s">
        <v>7022</v>
      </c>
      <c r="B157" t="s">
        <v>7023</v>
      </c>
      <c r="C157" t="s">
        <v>16</v>
      </c>
      <c r="D157" s="6">
        <v>734671528.87878418</v>
      </c>
      <c r="E157" s="6">
        <v>721078528.87878418</v>
      </c>
      <c r="F157" s="6">
        <v>28.889999389648438</v>
      </c>
      <c r="G157" s="6">
        <v>28.709999084472656</v>
      </c>
      <c r="H157" s="6">
        <v>12.413216784718308</v>
      </c>
      <c r="I157" s="6">
        <v>-1.8734283743416458E-2</v>
      </c>
      <c r="J157" s="6">
        <v>626650000</v>
      </c>
      <c r="K157" s="6">
        <v>-23.566878980891712</v>
      </c>
      <c r="L157" t="s">
        <v>6540</v>
      </c>
      <c r="M157" t="s">
        <v>6797</v>
      </c>
      <c r="N157" s="4" t="s">
        <v>7024</v>
      </c>
      <c r="O157" s="4" t="s">
        <v>7025</v>
      </c>
      <c r="P157" s="4" t="s">
        <v>233</v>
      </c>
    </row>
    <row r="158" spans="1:16" x14ac:dyDescent="0.35">
      <c r="A158" t="s">
        <v>7026</v>
      </c>
      <c r="B158" t="s">
        <v>7027</v>
      </c>
      <c r="C158" t="s">
        <v>16</v>
      </c>
      <c r="D158" s="6">
        <v>1262942480.9371462</v>
      </c>
      <c r="E158" s="6">
        <v>4253565480.9371462</v>
      </c>
      <c r="F158" s="6">
        <v>14.949999809265137</v>
      </c>
      <c r="G158" s="6">
        <v>14.939999580383301</v>
      </c>
      <c r="H158" s="6" t="e">
        <v>#N/A</v>
      </c>
      <c r="I158" s="6">
        <v>-7.9229367976054066E-2</v>
      </c>
      <c r="J158" s="6">
        <v>564109000</v>
      </c>
      <c r="K158" s="6">
        <v>-96.969696969696997</v>
      </c>
      <c r="L158" t="s">
        <v>6623</v>
      </c>
      <c r="M158" t="s">
        <v>6866</v>
      </c>
      <c r="N158" s="4" t="s">
        <v>7028</v>
      </c>
      <c r="O158" s="4" t="s">
        <v>7029</v>
      </c>
      <c r="P158" s="4" t="s">
        <v>233</v>
      </c>
    </row>
    <row r="159" spans="1:16" x14ac:dyDescent="0.35">
      <c r="A159" t="s">
        <v>7030</v>
      </c>
      <c r="B159" t="s">
        <v>5025</v>
      </c>
      <c r="C159" t="s">
        <v>16</v>
      </c>
      <c r="D159" s="6">
        <v>1223265557.7609425</v>
      </c>
      <c r="E159" s="6">
        <v>667497557.76094246</v>
      </c>
      <c r="F159" s="6">
        <v>12.130000114440918</v>
      </c>
      <c r="G159" s="6">
        <v>11.689999580383301</v>
      </c>
      <c r="H159" s="6" t="e">
        <v>#N/A</v>
      </c>
      <c r="I159" s="6">
        <v>-0.22733455089969778</v>
      </c>
      <c r="J159" s="6" t="e">
        <v>#N/A</v>
      </c>
      <c r="K159" s="6">
        <v>55.535467158878291</v>
      </c>
      <c r="L159" t="s">
        <v>17</v>
      </c>
      <c r="M159" t="s">
        <v>18</v>
      </c>
      <c r="N159" s="4" t="s">
        <v>5026</v>
      </c>
      <c r="O159" s="4" t="s">
        <v>5027</v>
      </c>
      <c r="P159" s="4" t="s">
        <v>233</v>
      </c>
    </row>
    <row r="160" spans="1:16" x14ac:dyDescent="0.35">
      <c r="A160" t="s">
        <v>7031</v>
      </c>
      <c r="B160" t="s">
        <v>5145</v>
      </c>
      <c r="C160" t="s">
        <v>16</v>
      </c>
      <c r="D160" s="6">
        <v>129931814.05579756</v>
      </c>
      <c r="E160" s="6">
        <v>31406814.055797577</v>
      </c>
      <c r="F160" s="6">
        <v>2.559999942779541</v>
      </c>
      <c r="G160" s="6">
        <v>2.6099998950958252</v>
      </c>
      <c r="H160" s="6" t="e">
        <v>#N/A</v>
      </c>
      <c r="I160" s="6">
        <v>-0.4289681940645923</v>
      </c>
      <c r="J160" s="6">
        <v>81056000</v>
      </c>
      <c r="K160" s="6">
        <v>36.666666666666671</v>
      </c>
      <c r="L160" t="s">
        <v>17</v>
      </c>
      <c r="M160" t="s">
        <v>27</v>
      </c>
      <c r="N160" s="4" t="s">
        <v>5146</v>
      </c>
      <c r="O160" s="4" t="s">
        <v>5147</v>
      </c>
      <c r="P160" s="4" t="s">
        <v>233</v>
      </c>
    </row>
    <row r="161" spans="1:16" x14ac:dyDescent="0.35">
      <c r="A161" t="s">
        <v>7032</v>
      </c>
      <c r="B161" t="s">
        <v>7033</v>
      </c>
      <c r="C161" t="s">
        <v>16</v>
      </c>
      <c r="D161" s="6">
        <v>883013413.21125984</v>
      </c>
      <c r="E161" s="6">
        <v>683432413.21125984</v>
      </c>
      <c r="F161" s="6">
        <v>5.1999998092651367</v>
      </c>
      <c r="G161" s="6">
        <v>5.0399999618530273</v>
      </c>
      <c r="H161" s="6">
        <v>40.72617760737721</v>
      </c>
      <c r="I161" s="6">
        <v>-0.20681375776674482</v>
      </c>
      <c r="J161" s="6">
        <v>545646000</v>
      </c>
      <c r="K161" s="6">
        <v>0</v>
      </c>
      <c r="L161" t="s">
        <v>6540</v>
      </c>
      <c r="M161" t="s">
        <v>7034</v>
      </c>
      <c r="N161" s="4" t="s">
        <v>7035</v>
      </c>
      <c r="O161" s="4" t="s">
        <v>7036</v>
      </c>
      <c r="P161" s="4" t="s">
        <v>233</v>
      </c>
    </row>
    <row r="162" spans="1:16" x14ac:dyDescent="0.35">
      <c r="A162" t="s">
        <v>7037</v>
      </c>
      <c r="B162" t="s">
        <v>7038</v>
      </c>
      <c r="C162" t="s">
        <v>16</v>
      </c>
      <c r="D162" s="6">
        <v>1583016121.2946701</v>
      </c>
      <c r="E162" s="6" t="e">
        <v>#N/A</v>
      </c>
      <c r="F162" s="6">
        <v>34.799999237060547</v>
      </c>
      <c r="G162" s="6">
        <v>35.389999389648438</v>
      </c>
      <c r="H162" s="6">
        <v>20.591715524887899</v>
      </c>
      <c r="I162" s="6">
        <v>-0.12573241404799163</v>
      </c>
      <c r="J162" s="6">
        <v>936153000</v>
      </c>
      <c r="K162" s="6">
        <v>2.9940119760479069</v>
      </c>
      <c r="L162" t="s">
        <v>6529</v>
      </c>
      <c r="M162" t="s">
        <v>6530</v>
      </c>
      <c r="N162" s="4" t="s">
        <v>7039</v>
      </c>
      <c r="O162" s="4" t="s">
        <v>7040</v>
      </c>
      <c r="P162" s="4" t="s">
        <v>233</v>
      </c>
    </row>
    <row r="163" spans="1:16" x14ac:dyDescent="0.35">
      <c r="A163" t="s">
        <v>7041</v>
      </c>
      <c r="B163" t="s">
        <v>7042</v>
      </c>
      <c r="C163" t="s">
        <v>16</v>
      </c>
      <c r="D163" s="6">
        <v>5173193188.8681221</v>
      </c>
      <c r="E163" s="6">
        <v>7596632188.8681221</v>
      </c>
      <c r="F163" s="6">
        <v>37.020000457763672</v>
      </c>
      <c r="G163" s="6">
        <v>36.459999084472656</v>
      </c>
      <c r="H163" s="6">
        <v>71.240532933377352</v>
      </c>
      <c r="I163" s="6">
        <v>8.4205021451024376E-2</v>
      </c>
      <c r="J163" s="6">
        <v>661392000</v>
      </c>
      <c r="K163" s="6">
        <v>6.2500000000000062</v>
      </c>
      <c r="L163" t="s">
        <v>6623</v>
      </c>
      <c r="M163" t="s">
        <v>7043</v>
      </c>
      <c r="N163" s="4" t="s">
        <v>7044</v>
      </c>
      <c r="O163" s="4" t="s">
        <v>7045</v>
      </c>
      <c r="P163" s="4" t="s">
        <v>233</v>
      </c>
    </row>
    <row r="164" spans="1:16" x14ac:dyDescent="0.35">
      <c r="A164" t="s">
        <v>7046</v>
      </c>
      <c r="B164" t="s">
        <v>7047</v>
      </c>
      <c r="C164" t="s">
        <v>16</v>
      </c>
      <c r="D164" s="6">
        <v>2732290874.1693592</v>
      </c>
      <c r="E164" s="6">
        <v>2894890874.1693592</v>
      </c>
      <c r="F164" s="6">
        <v>12.300000190734863</v>
      </c>
      <c r="G164" s="6">
        <v>12.25</v>
      </c>
      <c r="H164" s="6" t="e">
        <v>#N/A</v>
      </c>
      <c r="I164" s="6">
        <v>0.21476736973570554</v>
      </c>
      <c r="J164" s="6">
        <v>1007000000</v>
      </c>
      <c r="K164" s="6" t="e">
        <v>#N/A</v>
      </c>
      <c r="L164" t="s">
        <v>6518</v>
      </c>
      <c r="M164" t="s">
        <v>7048</v>
      </c>
      <c r="N164" s="4" t="s">
        <v>7049</v>
      </c>
      <c r="O164" s="4" t="s">
        <v>7050</v>
      </c>
      <c r="P164" s="4" t="s">
        <v>233</v>
      </c>
    </row>
    <row r="165" spans="1:16" x14ac:dyDescent="0.35">
      <c r="A165" t="s">
        <v>7051</v>
      </c>
      <c r="B165" t="s">
        <v>7052</v>
      </c>
      <c r="C165" t="s">
        <v>16</v>
      </c>
      <c r="D165" s="6">
        <v>2292480799.5163879</v>
      </c>
      <c r="E165" s="6">
        <v>2761369799.5163879</v>
      </c>
      <c r="F165" s="6">
        <v>129.22000122070313</v>
      </c>
      <c r="G165" s="6">
        <v>127.27999877929688</v>
      </c>
      <c r="H165" s="6">
        <v>23.03554362254922</v>
      </c>
      <c r="I165" s="6">
        <v>0.23348359719875855</v>
      </c>
      <c r="J165" s="6">
        <v>1472496000</v>
      </c>
      <c r="K165" s="6">
        <v>18.362282878411918</v>
      </c>
      <c r="L165" t="s">
        <v>6547</v>
      </c>
      <c r="M165" t="s">
        <v>6548</v>
      </c>
      <c r="N165" s="4" t="s">
        <v>7053</v>
      </c>
      <c r="O165" s="4" t="s">
        <v>7054</v>
      </c>
      <c r="P165" s="4" t="s">
        <v>233</v>
      </c>
    </row>
    <row r="166" spans="1:16" x14ac:dyDescent="0.35">
      <c r="A166" t="s">
        <v>7055</v>
      </c>
      <c r="B166" t="s">
        <v>7056</v>
      </c>
      <c r="C166" t="s">
        <v>16</v>
      </c>
      <c r="D166" s="6">
        <v>5165672799.4788885</v>
      </c>
      <c r="E166" s="6">
        <v>5510279799.4788885</v>
      </c>
      <c r="F166" s="6">
        <v>55.979999542236328</v>
      </c>
      <c r="G166" s="6">
        <v>54.090000152587891</v>
      </c>
      <c r="H166" s="6">
        <v>15.236110600946265</v>
      </c>
      <c r="I166" s="6">
        <v>0.32489030492894777</v>
      </c>
      <c r="J166" s="6">
        <v>5400740000</v>
      </c>
      <c r="K166" s="6">
        <v>21.575342465753419</v>
      </c>
      <c r="L166" t="s">
        <v>6540</v>
      </c>
      <c r="M166" t="s">
        <v>6541</v>
      </c>
      <c r="N166" s="4" t="s">
        <v>7057</v>
      </c>
      <c r="O166" s="4" t="s">
        <v>7058</v>
      </c>
      <c r="P166" s="4" t="s">
        <v>233</v>
      </c>
    </row>
    <row r="167" spans="1:16" x14ac:dyDescent="0.35">
      <c r="A167" t="s">
        <v>7059</v>
      </c>
      <c r="B167" t="s">
        <v>7060</v>
      </c>
      <c r="C167" t="s">
        <v>16</v>
      </c>
      <c r="D167" s="6">
        <v>7272066658.385848</v>
      </c>
      <c r="E167" s="6">
        <v>9112566658.385849</v>
      </c>
      <c r="F167" s="6">
        <v>163.75999450683594</v>
      </c>
      <c r="G167" s="6">
        <v>163.11000061035156</v>
      </c>
      <c r="H167" s="6">
        <v>23.603193422647067</v>
      </c>
      <c r="I167" s="6">
        <v>2.5623445166167298</v>
      </c>
      <c r="J167" s="6">
        <v>4825700000</v>
      </c>
      <c r="K167" s="6">
        <v>69.827586206896555</v>
      </c>
      <c r="L167" t="s">
        <v>6540</v>
      </c>
      <c r="M167" t="s">
        <v>6825</v>
      </c>
      <c r="N167" s="4" t="s">
        <v>7061</v>
      </c>
      <c r="O167" s="4" t="s">
        <v>7062</v>
      </c>
      <c r="P167" s="4" t="s">
        <v>233</v>
      </c>
    </row>
    <row r="168" spans="1:16" x14ac:dyDescent="0.35">
      <c r="A168" t="s">
        <v>7063</v>
      </c>
      <c r="B168" t="s">
        <v>5123</v>
      </c>
      <c r="C168" t="s">
        <v>16</v>
      </c>
      <c r="D168" s="6">
        <v>150118720.27513409</v>
      </c>
      <c r="E168" s="6">
        <v>76083720.275134102</v>
      </c>
      <c r="F168" s="6">
        <v>4.2899999618530273</v>
      </c>
      <c r="G168" s="6">
        <v>4.0799999237060547</v>
      </c>
      <c r="H168" s="6" t="e">
        <v>#N/A</v>
      </c>
      <c r="I168" s="6">
        <v>-0.5164736682732225</v>
      </c>
      <c r="J168" s="6">
        <v>94000</v>
      </c>
      <c r="K168" s="6">
        <v>18.745655737704929</v>
      </c>
      <c r="L168" t="s">
        <v>17</v>
      </c>
      <c r="M168" t="s">
        <v>18</v>
      </c>
      <c r="N168" s="4" t="s">
        <v>5124</v>
      </c>
      <c r="O168" s="4" t="s">
        <v>5125</v>
      </c>
      <c r="P168" s="4" t="s">
        <v>233</v>
      </c>
    </row>
    <row r="169" spans="1:16" x14ac:dyDescent="0.35">
      <c r="A169" t="s">
        <v>7064</v>
      </c>
      <c r="B169" t="s">
        <v>7065</v>
      </c>
      <c r="C169" t="s">
        <v>16</v>
      </c>
      <c r="D169" s="6">
        <v>1412820957.1838381</v>
      </c>
      <c r="E169" s="6" t="e">
        <v>#N/A</v>
      </c>
      <c r="F169" s="6">
        <v>10.069999694824219</v>
      </c>
      <c r="G169" s="6">
        <v>9.8199996948242188</v>
      </c>
      <c r="H169" s="6" t="e">
        <v>#N/A</v>
      </c>
      <c r="I169" s="6">
        <v>-0.59603688064687521</v>
      </c>
      <c r="J169" s="6">
        <v>543676000</v>
      </c>
      <c r="K169" s="6">
        <v>-10.679611650485425</v>
      </c>
      <c r="L169" t="s">
        <v>6518</v>
      </c>
      <c r="M169" t="s">
        <v>6789</v>
      </c>
      <c r="N169" s="4" t="s">
        <v>7066</v>
      </c>
      <c r="O169" s="4" t="s">
        <v>7067</v>
      </c>
      <c r="P169" s="4" t="s">
        <v>233</v>
      </c>
    </row>
    <row r="170" spans="1:16" x14ac:dyDescent="0.35">
      <c r="A170" t="s">
        <v>7068</v>
      </c>
      <c r="B170" t="s">
        <v>7069</v>
      </c>
      <c r="C170" t="s">
        <v>16</v>
      </c>
      <c r="D170" s="6">
        <v>9319915994.9126282</v>
      </c>
      <c r="E170" s="6">
        <v>9860115994.9126282</v>
      </c>
      <c r="F170" s="6">
        <v>186.58999633789063</v>
      </c>
      <c r="G170" s="6">
        <v>182.55999755859375</v>
      </c>
      <c r="H170" s="6">
        <v>33.067215348031716</v>
      </c>
      <c r="I170" s="6">
        <v>1.9423284230782629</v>
      </c>
      <c r="J170" s="6">
        <v>2878100000</v>
      </c>
      <c r="K170" s="6">
        <v>84.192439862542955</v>
      </c>
      <c r="L170" t="s">
        <v>6563</v>
      </c>
      <c r="M170" t="s">
        <v>6564</v>
      </c>
      <c r="N170" s="4" t="s">
        <v>7070</v>
      </c>
      <c r="O170" s="4" t="s">
        <v>7071</v>
      </c>
      <c r="P170" s="4" t="s">
        <v>233</v>
      </c>
    </row>
    <row r="171" spans="1:16" x14ac:dyDescent="0.35">
      <c r="A171" t="s">
        <v>7072</v>
      </c>
      <c r="B171" t="s">
        <v>7073</v>
      </c>
      <c r="C171" t="s">
        <v>16</v>
      </c>
      <c r="D171" s="6">
        <v>3376169102.7706299</v>
      </c>
      <c r="E171" s="6">
        <v>3690892102.7706299</v>
      </c>
      <c r="F171" s="6">
        <v>12.090000152587891</v>
      </c>
      <c r="G171" s="6">
        <v>11.960000038146973</v>
      </c>
      <c r="H171" s="6" t="e">
        <v>#N/A</v>
      </c>
      <c r="I171" s="6">
        <v>1.9836252371160539</v>
      </c>
      <c r="J171" s="6">
        <v>557676000</v>
      </c>
      <c r="K171" s="6">
        <v>-300.8082578708686</v>
      </c>
      <c r="L171" t="s">
        <v>6518</v>
      </c>
      <c r="M171" t="s">
        <v>6519</v>
      </c>
      <c r="N171" s="4" t="s">
        <v>7074</v>
      </c>
      <c r="O171" s="4" t="s">
        <v>7075</v>
      </c>
      <c r="P171" s="4" t="s">
        <v>233</v>
      </c>
    </row>
    <row r="172" spans="1:16" x14ac:dyDescent="0.35">
      <c r="A172" t="s">
        <v>7076</v>
      </c>
      <c r="B172" t="s">
        <v>7077</v>
      </c>
      <c r="C172" t="s">
        <v>16</v>
      </c>
      <c r="D172" s="6">
        <v>2727747451.7954865</v>
      </c>
      <c r="E172" s="6">
        <v>3111282451.7954865</v>
      </c>
      <c r="F172" s="6">
        <v>46.709999084472656</v>
      </c>
      <c r="G172" s="6">
        <v>46</v>
      </c>
      <c r="H172" s="6">
        <v>39.638290270477789</v>
      </c>
      <c r="I172" s="6">
        <v>-0.16612965479899044</v>
      </c>
      <c r="J172" s="6">
        <v>385104000</v>
      </c>
      <c r="K172" s="6">
        <v>-25.786163522012576</v>
      </c>
      <c r="L172" t="s">
        <v>6623</v>
      </c>
      <c r="M172" t="s">
        <v>6634</v>
      </c>
      <c r="N172" s="4" t="s">
        <v>7078</v>
      </c>
      <c r="O172" s="4" t="s">
        <v>7079</v>
      </c>
      <c r="P172" s="4" t="s">
        <v>233</v>
      </c>
    </row>
    <row r="173" spans="1:16" x14ac:dyDescent="0.35">
      <c r="A173" t="s">
        <v>7080</v>
      </c>
      <c r="B173" t="s">
        <v>7081</v>
      </c>
      <c r="C173" t="s">
        <v>16</v>
      </c>
      <c r="D173" s="6">
        <v>272880880.82295799</v>
      </c>
      <c r="E173" s="6">
        <v>274615880.82295799</v>
      </c>
      <c r="F173" s="6">
        <v>7.2600002288818359</v>
      </c>
      <c r="G173" s="6">
        <v>7.4000000953674316</v>
      </c>
      <c r="H173" s="6">
        <v>80.666669209798187</v>
      </c>
      <c r="I173" s="6">
        <v>0.60766358317578173</v>
      </c>
      <c r="J173" s="6">
        <v>116468000</v>
      </c>
      <c r="K173" s="6">
        <v>-52.619609164420488</v>
      </c>
      <c r="L173" t="s">
        <v>6735</v>
      </c>
      <c r="M173" t="s">
        <v>6747</v>
      </c>
      <c r="N173" s="4" t="s">
        <v>7082</v>
      </c>
      <c r="O173" s="4" t="s">
        <v>7083</v>
      </c>
      <c r="P173" s="4" t="s">
        <v>233</v>
      </c>
    </row>
    <row r="174" spans="1:16" x14ac:dyDescent="0.35">
      <c r="A174" t="s">
        <v>7084</v>
      </c>
      <c r="B174" t="s">
        <v>7085</v>
      </c>
      <c r="C174" t="s">
        <v>16</v>
      </c>
      <c r="D174" s="6">
        <v>1318339075.4359472</v>
      </c>
      <c r="E174" s="6">
        <v>2845205075.4359469</v>
      </c>
      <c r="F174" s="6">
        <v>8.8400001525878906</v>
      </c>
      <c r="G174" s="6">
        <v>8.7299995422363281</v>
      </c>
      <c r="H174" s="6" t="e">
        <v>#N/A</v>
      </c>
      <c r="I174" s="6">
        <v>0.24255764734146279</v>
      </c>
      <c r="J174" s="6">
        <v>203861000</v>
      </c>
      <c r="K174" s="6">
        <v>-20.138888888888875</v>
      </c>
      <c r="L174" t="s">
        <v>6623</v>
      </c>
      <c r="M174" t="s">
        <v>7086</v>
      </c>
      <c r="N174" s="4" t="s">
        <v>7087</v>
      </c>
      <c r="O174" s="4" t="s">
        <v>7088</v>
      </c>
      <c r="P174" s="4" t="s">
        <v>233</v>
      </c>
    </row>
    <row r="175" spans="1:16" x14ac:dyDescent="0.35">
      <c r="A175" t="s">
        <v>7089</v>
      </c>
      <c r="B175" t="s">
        <v>7090</v>
      </c>
      <c r="C175" t="s">
        <v>16</v>
      </c>
      <c r="D175" s="6">
        <v>186768186.74999997</v>
      </c>
      <c r="E175" s="6">
        <v>456154186.75</v>
      </c>
      <c r="F175" s="6">
        <v>6.75</v>
      </c>
      <c r="G175" s="6">
        <v>6.679999828338623</v>
      </c>
      <c r="H175" s="6" t="e">
        <v>#N/A</v>
      </c>
      <c r="I175" s="6">
        <v>-0.36659324807830485</v>
      </c>
      <c r="J175" s="6">
        <v>274636000</v>
      </c>
      <c r="K175" s="6">
        <v>-57.547169811320735</v>
      </c>
      <c r="L175" t="s">
        <v>6523</v>
      </c>
      <c r="M175" t="s">
        <v>6588</v>
      </c>
      <c r="N175" s="4" t="s">
        <v>7091</v>
      </c>
      <c r="O175" s="4" t="s">
        <v>7092</v>
      </c>
      <c r="P175" s="4" t="s">
        <v>233</v>
      </c>
    </row>
    <row r="176" spans="1:16" x14ac:dyDescent="0.35">
      <c r="A176" t="s">
        <v>7093</v>
      </c>
      <c r="B176" t="s">
        <v>7094</v>
      </c>
      <c r="C176" t="s">
        <v>16</v>
      </c>
      <c r="D176" s="6">
        <v>2475974524.0076861</v>
      </c>
      <c r="E176" s="6">
        <v>3919625524.0076861</v>
      </c>
      <c r="F176" s="6">
        <v>57.090000152587891</v>
      </c>
      <c r="G176" s="6">
        <v>56.819999694824219</v>
      </c>
      <c r="H176" s="6">
        <v>27.507155113848441</v>
      </c>
      <c r="I176" s="6">
        <v>1.6347641577044714E-2</v>
      </c>
      <c r="J176" s="6">
        <v>753409000</v>
      </c>
      <c r="K176" s="6">
        <v>-2.4691358024691379</v>
      </c>
      <c r="L176" t="s">
        <v>6518</v>
      </c>
      <c r="M176" t="s">
        <v>6519</v>
      </c>
      <c r="N176" s="4" t="s">
        <v>7095</v>
      </c>
      <c r="O176" s="4" t="s">
        <v>7096</v>
      </c>
      <c r="P176" s="4" t="s">
        <v>233</v>
      </c>
    </row>
    <row r="177" spans="1:16" x14ac:dyDescent="0.35">
      <c r="A177" t="s">
        <v>7097</v>
      </c>
      <c r="B177" t="s">
        <v>5967</v>
      </c>
      <c r="C177" t="s">
        <v>16</v>
      </c>
      <c r="D177" s="6">
        <v>124964695.80950403</v>
      </c>
      <c r="E177" s="6">
        <v>210238695.80950403</v>
      </c>
      <c r="F177" s="6">
        <v>2.9000000953674316</v>
      </c>
      <c r="G177" s="6">
        <v>2.9000000953674316</v>
      </c>
      <c r="H177" s="6" t="e">
        <v>#N/A</v>
      </c>
      <c r="I177" s="6">
        <v>-0.4085182647493717</v>
      </c>
      <c r="J177" s="6">
        <v>241933000</v>
      </c>
      <c r="K177" s="6">
        <v>-83.8138638156165</v>
      </c>
      <c r="L177" t="s">
        <v>17</v>
      </c>
      <c r="M177" t="s">
        <v>40</v>
      </c>
      <c r="N177" s="4" t="s">
        <v>5968</v>
      </c>
      <c r="O177" s="4" t="s">
        <v>7098</v>
      </c>
      <c r="P177" s="4" t="s">
        <v>233</v>
      </c>
    </row>
    <row r="178" spans="1:16" x14ac:dyDescent="0.35">
      <c r="A178" t="s">
        <v>7099</v>
      </c>
      <c r="B178" t="s">
        <v>7100</v>
      </c>
      <c r="C178" t="s">
        <v>16</v>
      </c>
      <c r="D178" s="6">
        <v>290113424.03841585</v>
      </c>
      <c r="E178" s="6">
        <v>251011424.03841585</v>
      </c>
      <c r="F178" s="6">
        <v>14.050000190734863</v>
      </c>
      <c r="G178" s="6">
        <v>14.25</v>
      </c>
      <c r="H178" s="6">
        <v>61.222178510513928</v>
      </c>
      <c r="I178" s="6">
        <v>2.1017410735441056E-2</v>
      </c>
      <c r="J178" s="6">
        <v>362555000</v>
      </c>
      <c r="K178" s="6" t="e">
        <v>#N/A</v>
      </c>
      <c r="L178" t="s">
        <v>6529</v>
      </c>
      <c r="M178" t="s">
        <v>6664</v>
      </c>
      <c r="N178" s="4" t="s">
        <v>7101</v>
      </c>
      <c r="O178" s="4" t="s">
        <v>7102</v>
      </c>
      <c r="P178" s="4" t="s">
        <v>233</v>
      </c>
    </row>
    <row r="179" spans="1:16" x14ac:dyDescent="0.35">
      <c r="A179" t="s">
        <v>7103</v>
      </c>
      <c r="B179" t="s">
        <v>7104</v>
      </c>
      <c r="C179" t="s">
        <v>16</v>
      </c>
      <c r="D179" s="6">
        <v>364528275.75152779</v>
      </c>
      <c r="E179" s="6">
        <v>-977724.24847221375</v>
      </c>
      <c r="F179" s="6">
        <v>11.880000114440918</v>
      </c>
      <c r="G179" s="6">
        <v>11.539999961853027</v>
      </c>
      <c r="H179" s="6">
        <v>4.7130738264291239</v>
      </c>
      <c r="I179" s="6">
        <v>0.91272750469770547</v>
      </c>
      <c r="J179" s="6">
        <v>793688000</v>
      </c>
      <c r="K179" s="6">
        <v>136.79245283018864</v>
      </c>
      <c r="L179" t="s">
        <v>6529</v>
      </c>
      <c r="M179" t="s">
        <v>6664</v>
      </c>
      <c r="N179" s="4" t="s">
        <v>7105</v>
      </c>
      <c r="O179" s="4" t="s">
        <v>7106</v>
      </c>
      <c r="P179" s="4" t="s">
        <v>233</v>
      </c>
    </row>
    <row r="180" spans="1:16" x14ac:dyDescent="0.35">
      <c r="A180" t="s">
        <v>7107</v>
      </c>
      <c r="B180" t="s">
        <v>4586</v>
      </c>
      <c r="C180" t="s">
        <v>16</v>
      </c>
      <c r="D180" s="6">
        <v>14431859992.168686</v>
      </c>
      <c r="E180" s="6">
        <v>13952638992.168686</v>
      </c>
      <c r="F180" s="6">
        <v>19.569999694824219</v>
      </c>
      <c r="G180" s="6">
        <v>18.700000762939453</v>
      </c>
      <c r="H180" s="6" t="e">
        <v>#N/A</v>
      </c>
      <c r="I180" s="6">
        <v>3.1742046381130153</v>
      </c>
      <c r="J180" s="6">
        <v>0</v>
      </c>
      <c r="K180" s="6">
        <v>81.81496774193549</v>
      </c>
      <c r="L180" t="s">
        <v>17</v>
      </c>
      <c r="M180" t="s">
        <v>18</v>
      </c>
      <c r="N180" s="4" t="s">
        <v>4587</v>
      </c>
      <c r="O180" s="4" t="s">
        <v>4588</v>
      </c>
      <c r="P180" s="4" t="s">
        <v>233</v>
      </c>
    </row>
    <row r="181" spans="1:16" x14ac:dyDescent="0.35">
      <c r="A181" t="s">
        <v>7108</v>
      </c>
      <c r="B181" t="s">
        <v>7109</v>
      </c>
      <c r="C181" t="s">
        <v>16</v>
      </c>
      <c r="D181" s="6">
        <v>3373187115.9345589</v>
      </c>
      <c r="E181" s="6">
        <v>4441130115.9345589</v>
      </c>
      <c r="F181" s="6">
        <v>8.7299995422363281</v>
      </c>
      <c r="G181" s="6">
        <v>9.1700000762939453</v>
      </c>
      <c r="H181" s="6" t="e">
        <v>#N/A</v>
      </c>
      <c r="I181" s="6">
        <v>-0.13684100843339742</v>
      </c>
      <c r="J181" s="6">
        <v>5377911000</v>
      </c>
      <c r="K181" s="6" t="e">
        <v>#N/A</v>
      </c>
      <c r="L181" t="s">
        <v>6523</v>
      </c>
      <c r="M181" t="s">
        <v>6588</v>
      </c>
      <c r="N181" s="4" t="s">
        <v>7110</v>
      </c>
      <c r="O181" s="4" t="s">
        <v>7111</v>
      </c>
      <c r="P181" s="4" t="s">
        <v>233</v>
      </c>
    </row>
    <row r="182" spans="1:16" x14ac:dyDescent="0.35">
      <c r="A182" t="s">
        <v>7112</v>
      </c>
      <c r="B182" t="s">
        <v>7113</v>
      </c>
      <c r="C182" t="s">
        <v>16</v>
      </c>
      <c r="D182" s="6">
        <v>344903453.99999994</v>
      </c>
      <c r="E182" s="6">
        <v>913687454</v>
      </c>
      <c r="F182" s="6">
        <v>12.25</v>
      </c>
      <c r="G182" s="6">
        <v>12.869999885559082</v>
      </c>
      <c r="H182" s="6" t="e">
        <v>#N/A</v>
      </c>
      <c r="I182" s="6">
        <v>-0.49440976242221457</v>
      </c>
      <c r="J182" s="6">
        <v>2722332000</v>
      </c>
      <c r="K182" s="6">
        <v>-989.13043478260863</v>
      </c>
      <c r="L182" t="s">
        <v>6563</v>
      </c>
      <c r="M182" t="s">
        <v>6564</v>
      </c>
      <c r="N182" s="4" t="s">
        <v>7114</v>
      </c>
      <c r="O182" s="4" t="s">
        <v>7115</v>
      </c>
      <c r="P182" s="4" t="s">
        <v>233</v>
      </c>
    </row>
    <row r="183" spans="1:16" x14ac:dyDescent="0.35">
      <c r="A183" t="s">
        <v>7116</v>
      </c>
      <c r="B183" t="s">
        <v>7117</v>
      </c>
      <c r="C183" t="s">
        <v>16</v>
      </c>
      <c r="D183" s="6">
        <v>4303357642.5</v>
      </c>
      <c r="E183" s="6">
        <v>4603757642.5</v>
      </c>
      <c r="F183" s="6">
        <v>7.5</v>
      </c>
      <c r="G183" s="6">
        <v>7.2100000381469727</v>
      </c>
      <c r="H183" s="6" t="e">
        <v>#N/A</v>
      </c>
      <c r="I183" s="6">
        <v>0.93948211237228163</v>
      </c>
      <c r="J183" s="6">
        <v>5345100000</v>
      </c>
      <c r="K183" s="6">
        <v>54.022988505747129</v>
      </c>
      <c r="L183" t="s">
        <v>6623</v>
      </c>
      <c r="M183" t="s">
        <v>6634</v>
      </c>
      <c r="N183" s="4" t="s">
        <v>7118</v>
      </c>
      <c r="O183" s="4" t="s">
        <v>7119</v>
      </c>
      <c r="P183" s="4" t="s">
        <v>233</v>
      </c>
    </row>
    <row r="184" spans="1:16" x14ac:dyDescent="0.35">
      <c r="A184" t="s">
        <v>13343</v>
      </c>
      <c r="B184" t="s">
        <v>5834</v>
      </c>
      <c r="C184" t="s">
        <v>16</v>
      </c>
      <c r="D184" s="6">
        <v>158451424.69504166</v>
      </c>
      <c r="E184" s="6">
        <v>316587424.69504166</v>
      </c>
      <c r="F184" s="6">
        <v>4.4200000762939453</v>
      </c>
      <c r="G184" s="6">
        <v>4.2899999618530273</v>
      </c>
      <c r="H184" s="6" t="e">
        <v>#N/A</v>
      </c>
      <c r="I184" s="6">
        <v>-0.97606014709914912</v>
      </c>
      <c r="J184" s="6">
        <v>0</v>
      </c>
      <c r="K184" s="6">
        <v>0</v>
      </c>
      <c r="L184" t="s">
        <v>17</v>
      </c>
      <c r="M184" t="s">
        <v>87</v>
      </c>
      <c r="N184" s="4" t="s">
        <v>5835</v>
      </c>
      <c r="O184" s="4" t="s">
        <v>5836</v>
      </c>
      <c r="P184" s="4" t="s">
        <v>233</v>
      </c>
    </row>
    <row r="185" spans="1:16" x14ac:dyDescent="0.35">
      <c r="A185" t="s">
        <v>7123</v>
      </c>
      <c r="B185" t="s">
        <v>3767</v>
      </c>
      <c r="C185" t="s">
        <v>16</v>
      </c>
      <c r="D185" s="6">
        <v>81981685.298068374</v>
      </c>
      <c r="E185" s="6">
        <v>25207685.298068359</v>
      </c>
      <c r="F185" s="6">
        <v>0.48069998621940613</v>
      </c>
      <c r="G185" s="6">
        <v>0.46000000834465027</v>
      </c>
      <c r="H185" s="6" t="e">
        <v>#N/A</v>
      </c>
      <c r="I185" s="6">
        <v>-0.52775580069765349</v>
      </c>
      <c r="J185" s="6">
        <v>1123000</v>
      </c>
      <c r="K185" s="6">
        <v>88.60759493670885</v>
      </c>
      <c r="L185" t="s">
        <v>17</v>
      </c>
      <c r="M185" t="s">
        <v>18</v>
      </c>
      <c r="N185" s="4" t="s">
        <v>3768</v>
      </c>
      <c r="O185" s="4" t="s">
        <v>3769</v>
      </c>
      <c r="P185" s="4" t="s">
        <v>233</v>
      </c>
    </row>
    <row r="186" spans="1:16" x14ac:dyDescent="0.35">
      <c r="A186" t="s">
        <v>7124</v>
      </c>
      <c r="B186" t="s">
        <v>7125</v>
      </c>
      <c r="C186" t="s">
        <v>16</v>
      </c>
      <c r="D186" s="6">
        <v>2084693876.75</v>
      </c>
      <c r="E186" s="6" t="e">
        <v>#N/A</v>
      </c>
      <c r="F186" s="6">
        <v>9.25</v>
      </c>
      <c r="G186" s="6">
        <v>9.5299997329711914</v>
      </c>
      <c r="H186" s="6">
        <v>38.954421221526424</v>
      </c>
      <c r="I186" s="6">
        <v>0.17334387045632682</v>
      </c>
      <c r="J186" s="6">
        <v>3775000000</v>
      </c>
      <c r="K186" s="6" t="e">
        <v>#N/A</v>
      </c>
      <c r="L186" t="s">
        <v>6547</v>
      </c>
      <c r="M186" t="s">
        <v>6814</v>
      </c>
      <c r="N186" s="4" t="s">
        <v>7126</v>
      </c>
      <c r="O186" s="4" t="s">
        <v>7127</v>
      </c>
      <c r="P186" s="4" t="s">
        <v>233</v>
      </c>
    </row>
    <row r="187" spans="1:16" x14ac:dyDescent="0.35">
      <c r="A187" t="s">
        <v>7128</v>
      </c>
      <c r="B187" t="s">
        <v>7129</v>
      </c>
      <c r="C187" t="s">
        <v>16</v>
      </c>
      <c r="D187" s="6">
        <v>4567438494.3053961</v>
      </c>
      <c r="E187" s="6">
        <v>5379438494.3053961</v>
      </c>
      <c r="F187" s="6">
        <v>92.129997253417969</v>
      </c>
      <c r="G187" s="6">
        <v>90.930000305175781</v>
      </c>
      <c r="H187" s="6">
        <v>18.22228163096209</v>
      </c>
      <c r="I187" s="6">
        <v>-0.18100922357010374</v>
      </c>
      <c r="J187" s="6">
        <v>4972000000</v>
      </c>
      <c r="K187" s="6">
        <v>-17.098920265780727</v>
      </c>
      <c r="L187" t="s">
        <v>6547</v>
      </c>
      <c r="M187" t="s">
        <v>6548</v>
      </c>
      <c r="N187" s="4" t="s">
        <v>7130</v>
      </c>
      <c r="O187" s="4" t="s">
        <v>7131</v>
      </c>
      <c r="P187" s="4" t="s">
        <v>233</v>
      </c>
    </row>
    <row r="188" spans="1:16" x14ac:dyDescent="0.35">
      <c r="A188" t="s">
        <v>7132</v>
      </c>
      <c r="B188" t="s">
        <v>7133</v>
      </c>
      <c r="C188" t="s">
        <v>16</v>
      </c>
      <c r="D188" s="6">
        <v>5486089743.4602966</v>
      </c>
      <c r="E188" s="6">
        <v>5705790743.4602966</v>
      </c>
      <c r="F188" s="6">
        <v>108.91000366210938</v>
      </c>
      <c r="G188" s="6">
        <v>107.87000274658203</v>
      </c>
      <c r="H188" s="6">
        <v>10.617638641740681</v>
      </c>
      <c r="I188" s="6">
        <v>-5.2322600373245542E-2</v>
      </c>
      <c r="J188" s="6">
        <v>4816577000</v>
      </c>
      <c r="K188" s="6">
        <v>154.45783132530116</v>
      </c>
      <c r="L188" t="s">
        <v>6540</v>
      </c>
      <c r="M188" t="s">
        <v>6541</v>
      </c>
      <c r="N188" s="4" t="s">
        <v>7134</v>
      </c>
      <c r="O188" s="4" t="s">
        <v>7135</v>
      </c>
      <c r="P188" s="4" t="s">
        <v>233</v>
      </c>
    </row>
    <row r="189" spans="1:16" x14ac:dyDescent="0.35">
      <c r="A189" t="s">
        <v>7136</v>
      </c>
      <c r="B189" t="s">
        <v>7137</v>
      </c>
      <c r="C189" t="s">
        <v>16</v>
      </c>
      <c r="D189" s="6">
        <v>3832397388.0241013</v>
      </c>
      <c r="E189" s="6">
        <v>6081365388.0241013</v>
      </c>
      <c r="F189" s="6">
        <v>63.369998931884766</v>
      </c>
      <c r="G189" s="6">
        <v>62.310001373291016</v>
      </c>
      <c r="H189" s="6">
        <v>31.146721819458499</v>
      </c>
      <c r="I189" s="6">
        <v>-5.5308543634179363E-2</v>
      </c>
      <c r="J189" s="6">
        <v>890253000</v>
      </c>
      <c r="K189" s="6">
        <v>8.2417582417582231</v>
      </c>
      <c r="L189" t="s">
        <v>6719</v>
      </c>
      <c r="M189" t="s">
        <v>7138</v>
      </c>
      <c r="N189" s="4" t="s">
        <v>7139</v>
      </c>
      <c r="O189" s="4" t="s">
        <v>7140</v>
      </c>
      <c r="P189" s="4" t="s">
        <v>233</v>
      </c>
    </row>
    <row r="190" spans="1:16" x14ac:dyDescent="0.35">
      <c r="A190" t="s">
        <v>7141</v>
      </c>
      <c r="B190" t="s">
        <v>7142</v>
      </c>
      <c r="C190" t="s">
        <v>16</v>
      </c>
      <c r="D190" s="6">
        <v>353325705.60137033</v>
      </c>
      <c r="E190" s="6">
        <v>316295705.60137033</v>
      </c>
      <c r="F190" s="6">
        <v>1.940000057220459</v>
      </c>
      <c r="G190" s="6">
        <v>1.7999999523162842</v>
      </c>
      <c r="H190" s="6" t="e">
        <v>#N/A</v>
      </c>
      <c r="I190" s="6">
        <v>-0.4556763482671653</v>
      </c>
      <c r="J190" s="6">
        <v>193399000</v>
      </c>
      <c r="K190" s="6">
        <v>0</v>
      </c>
      <c r="L190" t="s">
        <v>6540</v>
      </c>
      <c r="M190" t="s">
        <v>6838</v>
      </c>
      <c r="N190" s="4" t="s">
        <v>7143</v>
      </c>
      <c r="O190" s="4" t="s">
        <v>7144</v>
      </c>
      <c r="P190" s="4" t="s">
        <v>233</v>
      </c>
    </row>
    <row r="191" spans="1:16" x14ac:dyDescent="0.35">
      <c r="A191" t="s">
        <v>7145</v>
      </c>
      <c r="B191" t="s">
        <v>7146</v>
      </c>
      <c r="C191" t="s">
        <v>16</v>
      </c>
      <c r="D191" s="6">
        <v>2794571208.3761439</v>
      </c>
      <c r="E191" s="6">
        <v>3161548208.3761439</v>
      </c>
      <c r="F191" s="6">
        <v>53.409999847412109</v>
      </c>
      <c r="G191" s="6">
        <v>54.259998321533203</v>
      </c>
      <c r="H191" s="6">
        <v>16.948378003541389</v>
      </c>
      <c r="I191" s="6">
        <v>-0.22191397554403136</v>
      </c>
      <c r="J191" s="6">
        <v>1303408000</v>
      </c>
      <c r="K191" s="6">
        <v>152.55474452554745</v>
      </c>
      <c r="L191" t="s">
        <v>6523</v>
      </c>
      <c r="M191" t="s">
        <v>6588</v>
      </c>
      <c r="N191" s="4" t="s">
        <v>7147</v>
      </c>
      <c r="O191" s="4" t="s">
        <v>7148</v>
      </c>
      <c r="P191" s="4" t="s">
        <v>233</v>
      </c>
    </row>
    <row r="192" spans="1:16" x14ac:dyDescent="0.35">
      <c r="A192" t="s">
        <v>7149</v>
      </c>
      <c r="B192" t="s">
        <v>7150</v>
      </c>
      <c r="C192" t="s">
        <v>16</v>
      </c>
      <c r="D192" s="6">
        <v>339025594.25021172</v>
      </c>
      <c r="E192" s="6">
        <v>912240594.2502116</v>
      </c>
      <c r="F192" s="6">
        <v>2.8299999237060547</v>
      </c>
      <c r="G192" s="6">
        <v>2.8299999237060547</v>
      </c>
      <c r="H192" s="6">
        <v>14.953211367114847</v>
      </c>
      <c r="I192" s="6">
        <v>-0.45381636181291352</v>
      </c>
      <c r="J192" s="6">
        <v>659704000</v>
      </c>
      <c r="K192" s="6">
        <v>-74.603174603174608</v>
      </c>
      <c r="L192" t="s">
        <v>6540</v>
      </c>
      <c r="M192" t="s">
        <v>6881</v>
      </c>
      <c r="N192" s="4" t="s">
        <v>7151</v>
      </c>
      <c r="O192" s="4" t="s">
        <v>7152</v>
      </c>
      <c r="P192" s="4" t="s">
        <v>233</v>
      </c>
    </row>
    <row r="193" spans="1:16" x14ac:dyDescent="0.35">
      <c r="A193" t="s">
        <v>7156</v>
      </c>
      <c r="B193" t="s">
        <v>7157</v>
      </c>
      <c r="C193" t="s">
        <v>16</v>
      </c>
      <c r="D193" s="6">
        <v>2047413022.9423389</v>
      </c>
      <c r="E193" s="6">
        <v>2221058022.9423389</v>
      </c>
      <c r="F193" s="6">
        <v>15.939999580383301</v>
      </c>
      <c r="G193" s="6">
        <v>15.649999618530273</v>
      </c>
      <c r="H193" s="6" t="e">
        <v>#N/A</v>
      </c>
      <c r="I193" s="6">
        <v>-0.21771818381537511</v>
      </c>
      <c r="J193" s="6">
        <v>615070000</v>
      </c>
      <c r="K193" s="6">
        <v>40.217391304347821</v>
      </c>
      <c r="L193" t="s">
        <v>6518</v>
      </c>
      <c r="M193" t="s">
        <v>6519</v>
      </c>
      <c r="N193" s="4" t="s">
        <v>7158</v>
      </c>
      <c r="O193" s="4" t="s">
        <v>7159</v>
      </c>
      <c r="P193" s="4" t="s">
        <v>233</v>
      </c>
    </row>
    <row r="194" spans="1:16" x14ac:dyDescent="0.35">
      <c r="A194" t="s">
        <v>7160</v>
      </c>
      <c r="B194" t="s">
        <v>7161</v>
      </c>
      <c r="C194" t="s">
        <v>16</v>
      </c>
      <c r="D194" s="6">
        <v>9676619211.5506992</v>
      </c>
      <c r="E194" s="6">
        <v>13124500211.550699</v>
      </c>
      <c r="F194" s="6">
        <v>61.439998626708984</v>
      </c>
      <c r="G194" s="6">
        <v>61.610000610351563</v>
      </c>
      <c r="H194" s="6">
        <v>13.09690658620702</v>
      </c>
      <c r="I194" s="6">
        <v>1.0267966878140018</v>
      </c>
      <c r="J194" s="6">
        <v>1446081000</v>
      </c>
      <c r="K194" s="6">
        <v>180.57340066748472</v>
      </c>
      <c r="L194" t="s">
        <v>6523</v>
      </c>
      <c r="M194" t="s">
        <v>6524</v>
      </c>
      <c r="N194" s="4" t="s">
        <v>7162</v>
      </c>
      <c r="O194" s="4" t="s">
        <v>7163</v>
      </c>
      <c r="P194" s="4" t="s">
        <v>233</v>
      </c>
    </row>
    <row r="195" spans="1:16" x14ac:dyDescent="0.35">
      <c r="A195" t="s">
        <v>7164</v>
      </c>
      <c r="B195" t="s">
        <v>7165</v>
      </c>
      <c r="C195" t="s">
        <v>16</v>
      </c>
      <c r="D195" s="6">
        <v>521099881.64459991</v>
      </c>
      <c r="E195" s="6">
        <v>427035881.64459991</v>
      </c>
      <c r="F195" s="6">
        <v>10.760000228881836</v>
      </c>
      <c r="G195" s="6">
        <v>10.729999542236328</v>
      </c>
      <c r="H195" s="6" t="e">
        <v>#N/A</v>
      </c>
      <c r="I195" s="6">
        <v>-0.2459156824583526</v>
      </c>
      <c r="J195" s="6">
        <v>203059000</v>
      </c>
      <c r="K195" s="6">
        <v>8.0357142857142918</v>
      </c>
      <c r="L195" t="s">
        <v>6518</v>
      </c>
      <c r="M195" t="s">
        <v>6714</v>
      </c>
      <c r="N195" s="4" t="s">
        <v>7166</v>
      </c>
      <c r="O195" s="4" t="s">
        <v>7167</v>
      </c>
      <c r="P195" s="4" t="s">
        <v>233</v>
      </c>
    </row>
    <row r="196" spans="1:16" x14ac:dyDescent="0.35">
      <c r="A196" t="s">
        <v>7168</v>
      </c>
      <c r="B196" t="s">
        <v>7169</v>
      </c>
      <c r="C196" t="s">
        <v>16</v>
      </c>
      <c r="D196" s="6">
        <v>1633832724.8437481</v>
      </c>
      <c r="E196" s="6">
        <v>2053266724.8437481</v>
      </c>
      <c r="F196" s="6">
        <v>28.059999465942383</v>
      </c>
      <c r="G196" s="6">
        <v>28.190000534057617</v>
      </c>
      <c r="H196" s="6">
        <v>33.262682098301994</v>
      </c>
      <c r="I196" s="6">
        <v>2.2091856820457254</v>
      </c>
      <c r="J196" s="6">
        <v>420960000</v>
      </c>
      <c r="K196" s="6">
        <v>63.489058343391619</v>
      </c>
      <c r="L196" t="s">
        <v>6523</v>
      </c>
      <c r="M196" t="s">
        <v>6588</v>
      </c>
      <c r="N196" s="4" t="s">
        <v>7170</v>
      </c>
      <c r="O196" s="4" t="s">
        <v>7171</v>
      </c>
      <c r="P196" s="4" t="s">
        <v>233</v>
      </c>
    </row>
    <row r="197" spans="1:16" x14ac:dyDescent="0.35">
      <c r="A197" t="s">
        <v>7172</v>
      </c>
      <c r="B197" t="s">
        <v>7173</v>
      </c>
      <c r="C197" t="s">
        <v>16</v>
      </c>
      <c r="D197" s="6">
        <v>4010754069.106842</v>
      </c>
      <c r="E197" s="6">
        <v>5016895069.106842</v>
      </c>
      <c r="F197" s="6">
        <v>79.080001831054688</v>
      </c>
      <c r="G197" s="6">
        <v>78.860000610351563</v>
      </c>
      <c r="H197" s="6">
        <v>71.298163748702549</v>
      </c>
      <c r="I197" s="6">
        <v>-4.3078732733420222E-2</v>
      </c>
      <c r="J197" s="6">
        <v>1148274000</v>
      </c>
      <c r="K197" s="6" t="e">
        <v>#N/A</v>
      </c>
      <c r="L197" t="s">
        <v>6518</v>
      </c>
      <c r="M197" t="s">
        <v>6519</v>
      </c>
      <c r="N197" s="4" t="s">
        <v>7174</v>
      </c>
      <c r="O197" s="4" t="s">
        <v>7175</v>
      </c>
      <c r="P197" s="4" t="s">
        <v>233</v>
      </c>
    </row>
    <row r="198" spans="1:16" x14ac:dyDescent="0.35">
      <c r="A198" t="s">
        <v>7176</v>
      </c>
      <c r="B198" t="s">
        <v>7177</v>
      </c>
      <c r="C198" t="s">
        <v>16</v>
      </c>
      <c r="D198" s="6">
        <v>339537343.24248403</v>
      </c>
      <c r="E198" s="6">
        <v>445517343.24248403</v>
      </c>
      <c r="F198" s="6">
        <v>5.380000114440918</v>
      </c>
      <c r="G198" s="6">
        <v>5.369999885559082</v>
      </c>
      <c r="H198" s="6">
        <v>52.77355549012622</v>
      </c>
      <c r="I198" s="6">
        <v>-0.11338151679390995</v>
      </c>
      <c r="J198" s="6">
        <v>736259000</v>
      </c>
      <c r="K198" s="6" t="e">
        <v>#N/A</v>
      </c>
      <c r="L198" t="s">
        <v>6523</v>
      </c>
      <c r="M198" t="s">
        <v>6588</v>
      </c>
      <c r="N198" s="4" t="s">
        <v>7178</v>
      </c>
      <c r="O198" s="4" t="s">
        <v>7179</v>
      </c>
      <c r="P198" s="4" t="s">
        <v>233</v>
      </c>
    </row>
    <row r="199" spans="1:16" x14ac:dyDescent="0.35">
      <c r="A199" t="s">
        <v>7180</v>
      </c>
      <c r="B199" t="s">
        <v>7181</v>
      </c>
      <c r="C199" t="s">
        <v>16</v>
      </c>
      <c r="D199" s="6">
        <v>175907062.35769987</v>
      </c>
      <c r="E199" s="6">
        <v>270989062.35769987</v>
      </c>
      <c r="F199" s="6">
        <v>4.6500000953674316</v>
      </c>
      <c r="G199" s="6">
        <v>4.6700000762939453</v>
      </c>
      <c r="H199" s="6">
        <v>11.787909142771682</v>
      </c>
      <c r="I199" s="6">
        <v>-0.53006711487520808</v>
      </c>
      <c r="J199" s="6">
        <v>799017000</v>
      </c>
      <c r="K199" s="6">
        <v>-84.072749999999999</v>
      </c>
      <c r="L199" t="s">
        <v>6529</v>
      </c>
      <c r="M199" t="s">
        <v>6664</v>
      </c>
      <c r="N199" s="4" t="s">
        <v>233</v>
      </c>
      <c r="O199" s="4" t="s">
        <v>7182</v>
      </c>
      <c r="P199" s="4" t="s">
        <v>13204</v>
      </c>
    </row>
    <row r="200" spans="1:16" x14ac:dyDescent="0.35">
      <c r="A200" t="s">
        <v>7183</v>
      </c>
      <c r="B200" t="s">
        <v>7184</v>
      </c>
      <c r="C200" t="s">
        <v>16</v>
      </c>
      <c r="D200" s="6">
        <v>4441457119.3515463</v>
      </c>
      <c r="E200" s="6">
        <v>6716528119.3515463</v>
      </c>
      <c r="F200" s="6">
        <v>29.840000152587891</v>
      </c>
      <c r="G200" s="6">
        <v>29.649999618530273</v>
      </c>
      <c r="H200" s="6">
        <v>16.429763944700348</v>
      </c>
      <c r="I200" s="6">
        <v>0.49036981874862096</v>
      </c>
      <c r="J200" s="6">
        <v>1526739000</v>
      </c>
      <c r="K200" s="6" t="e">
        <v>#N/A</v>
      </c>
      <c r="L200" t="s">
        <v>6523</v>
      </c>
      <c r="M200" t="s">
        <v>6524</v>
      </c>
      <c r="N200" s="4" t="s">
        <v>7185</v>
      </c>
      <c r="O200" s="4" t="s">
        <v>7186</v>
      </c>
      <c r="P200" s="4" t="s">
        <v>233</v>
      </c>
    </row>
    <row r="201" spans="1:16" x14ac:dyDescent="0.35">
      <c r="A201" t="s">
        <v>7187</v>
      </c>
      <c r="B201" t="s">
        <v>7188</v>
      </c>
      <c r="C201" t="s">
        <v>16</v>
      </c>
      <c r="D201" s="6">
        <v>56221760.971890152</v>
      </c>
      <c r="E201" s="6">
        <v>263049760.97189018</v>
      </c>
      <c r="F201" s="6">
        <v>0.61169999837875366</v>
      </c>
      <c r="G201" s="6">
        <v>0.56999999284744263</v>
      </c>
      <c r="H201" s="6" t="e">
        <v>#N/A</v>
      </c>
      <c r="I201" s="6">
        <v>-0.69468084296574273</v>
      </c>
      <c r="J201" s="6">
        <v>269269000</v>
      </c>
      <c r="K201" s="6">
        <v>-214.58349766476385</v>
      </c>
      <c r="L201" t="s">
        <v>6514</v>
      </c>
      <c r="M201" t="s">
        <v>6578</v>
      </c>
      <c r="N201" s="4" t="s">
        <v>7189</v>
      </c>
      <c r="O201" s="4" t="s">
        <v>7190</v>
      </c>
      <c r="P201" s="4" t="s">
        <v>233</v>
      </c>
    </row>
    <row r="202" spans="1:16" x14ac:dyDescent="0.35">
      <c r="A202" t="s">
        <v>7191</v>
      </c>
      <c r="B202" t="s">
        <v>7192</v>
      </c>
      <c r="C202" t="s">
        <v>16</v>
      </c>
      <c r="D202" s="6">
        <v>3176941258.7718024</v>
      </c>
      <c r="E202" s="6">
        <v>3122081258.7718024</v>
      </c>
      <c r="F202" s="6">
        <v>26.170000076293945</v>
      </c>
      <c r="G202" s="6">
        <v>25.440000534057617</v>
      </c>
      <c r="H202" s="6" t="e">
        <v>#N/A</v>
      </c>
      <c r="I202" s="6">
        <v>0.82070187607670397</v>
      </c>
      <c r="J202" s="6">
        <v>742527000</v>
      </c>
      <c r="K202" s="6">
        <v>51.785714285714285</v>
      </c>
      <c r="L202" t="s">
        <v>6540</v>
      </c>
      <c r="M202" t="s">
        <v>6541</v>
      </c>
      <c r="N202" s="4" t="s">
        <v>7193</v>
      </c>
      <c r="O202" s="4" t="s">
        <v>7194</v>
      </c>
      <c r="P202" s="4" t="s">
        <v>233</v>
      </c>
    </row>
    <row r="203" spans="1:16" x14ac:dyDescent="0.35">
      <c r="A203" t="s">
        <v>7195</v>
      </c>
      <c r="B203" t="s">
        <v>7196</v>
      </c>
      <c r="C203" t="s">
        <v>16</v>
      </c>
      <c r="D203" s="6">
        <v>826627567.9942646</v>
      </c>
      <c r="E203" s="6">
        <v>1160127567.9942646</v>
      </c>
      <c r="F203" s="6">
        <v>9.8299999237060547</v>
      </c>
      <c r="G203" s="6">
        <v>9.7899999618530273</v>
      </c>
      <c r="H203" s="6">
        <v>9.3571013772035645</v>
      </c>
      <c r="I203" s="6">
        <v>-9.3390559082926927E-2</v>
      </c>
      <c r="J203" s="6">
        <v>1935400000</v>
      </c>
      <c r="K203" s="6">
        <v>66.176470588235262</v>
      </c>
      <c r="L203" t="s">
        <v>6563</v>
      </c>
      <c r="M203" t="s">
        <v>6564</v>
      </c>
      <c r="N203" s="4" t="s">
        <v>7197</v>
      </c>
      <c r="O203" s="4" t="s">
        <v>7198</v>
      </c>
      <c r="P203" s="4" t="s">
        <v>233</v>
      </c>
    </row>
    <row r="204" spans="1:16" x14ac:dyDescent="0.35">
      <c r="A204" t="s">
        <v>7199</v>
      </c>
      <c r="B204" t="s">
        <v>7200</v>
      </c>
      <c r="C204" t="s">
        <v>16</v>
      </c>
      <c r="D204" s="6">
        <v>2027036420.5471191</v>
      </c>
      <c r="E204" s="6">
        <v>1520754420.5471191</v>
      </c>
      <c r="F204" s="6">
        <v>149.32000732421875</v>
      </c>
      <c r="G204" s="6">
        <v>146.32000732421875</v>
      </c>
      <c r="H204" s="6">
        <v>31.238495256112706</v>
      </c>
      <c r="I204" s="6">
        <v>2.2152955441429225</v>
      </c>
      <c r="J204" s="6">
        <v>806259000</v>
      </c>
      <c r="K204" s="6">
        <v>94.466403162055343</v>
      </c>
      <c r="L204" t="s">
        <v>6547</v>
      </c>
      <c r="M204" t="s">
        <v>6651</v>
      </c>
      <c r="N204" s="4" t="s">
        <v>7201</v>
      </c>
      <c r="O204" s="4" t="s">
        <v>7202</v>
      </c>
      <c r="P204" s="4" t="s">
        <v>233</v>
      </c>
    </row>
    <row r="205" spans="1:16" x14ac:dyDescent="0.35">
      <c r="A205" t="s">
        <v>7203</v>
      </c>
      <c r="B205" t="s">
        <v>7204</v>
      </c>
      <c r="C205" t="s">
        <v>16</v>
      </c>
      <c r="D205" s="6">
        <v>932154834.80955493</v>
      </c>
      <c r="E205" s="6">
        <v>4041954834.8095551</v>
      </c>
      <c r="F205" s="6">
        <v>24.209999084472656</v>
      </c>
      <c r="G205" s="6">
        <v>25.079999923706055</v>
      </c>
      <c r="H205" s="6">
        <v>8.6073998343484881</v>
      </c>
      <c r="I205" s="6">
        <v>-0.60347277073523187</v>
      </c>
      <c r="J205" s="6">
        <v>2197300000</v>
      </c>
      <c r="K205" s="6">
        <v>-23.150550620841575</v>
      </c>
      <c r="L205" t="s">
        <v>6540</v>
      </c>
      <c r="M205" t="s">
        <v>6825</v>
      </c>
      <c r="N205" s="4" t="s">
        <v>7205</v>
      </c>
      <c r="O205" s="4" t="s">
        <v>7206</v>
      </c>
      <c r="P205" s="4" t="s">
        <v>233</v>
      </c>
    </row>
    <row r="206" spans="1:16" x14ac:dyDescent="0.35">
      <c r="A206" t="s">
        <v>7207</v>
      </c>
      <c r="B206" t="s">
        <v>7208</v>
      </c>
      <c r="C206" t="s">
        <v>16</v>
      </c>
      <c r="D206" s="6">
        <v>123702649.64450169</v>
      </c>
      <c r="E206" s="6">
        <v>89072649.644501686</v>
      </c>
      <c r="F206" s="6">
        <v>5.630000114440918</v>
      </c>
      <c r="G206" s="6">
        <v>5.6700000762939453</v>
      </c>
      <c r="H206" s="6">
        <v>91.144570413484161</v>
      </c>
      <c r="I206" s="6">
        <v>-0.37085353747007554</v>
      </c>
      <c r="J206" s="6">
        <v>53865000</v>
      </c>
      <c r="K206" s="6">
        <v>-83.287488955274114</v>
      </c>
      <c r="L206" t="s">
        <v>6518</v>
      </c>
      <c r="M206" t="s">
        <v>6807</v>
      </c>
      <c r="N206" s="4" t="s">
        <v>7209</v>
      </c>
      <c r="O206" s="4" t="s">
        <v>7210</v>
      </c>
      <c r="P206" s="4" t="s">
        <v>233</v>
      </c>
    </row>
    <row r="207" spans="1:16" x14ac:dyDescent="0.35">
      <c r="A207" t="s">
        <v>7213</v>
      </c>
      <c r="B207" t="s">
        <v>7214</v>
      </c>
      <c r="C207" t="s">
        <v>16</v>
      </c>
      <c r="D207" s="6">
        <v>4519941297.2939453</v>
      </c>
      <c r="E207" s="6">
        <v>10147267297.293945</v>
      </c>
      <c r="F207" s="6">
        <v>50.110000610351563</v>
      </c>
      <c r="G207" s="6">
        <v>49.540000915527344</v>
      </c>
      <c r="H207" s="6">
        <v>19.509904891785073</v>
      </c>
      <c r="I207" s="6">
        <v>0.38911235752104689</v>
      </c>
      <c r="J207" s="6">
        <v>1906349000</v>
      </c>
      <c r="K207" s="6">
        <v>7.2084750073626029</v>
      </c>
      <c r="L207" t="s">
        <v>6719</v>
      </c>
      <c r="M207" t="s">
        <v>7215</v>
      </c>
      <c r="N207" s="4" t="s">
        <v>7216</v>
      </c>
      <c r="O207" s="4" t="s">
        <v>7217</v>
      </c>
      <c r="P207" s="4" t="s">
        <v>233</v>
      </c>
    </row>
    <row r="208" spans="1:16" x14ac:dyDescent="0.35">
      <c r="A208" t="s">
        <v>7218</v>
      </c>
      <c r="B208" t="s">
        <v>7219</v>
      </c>
      <c r="C208" t="s">
        <v>16</v>
      </c>
      <c r="D208" s="6">
        <v>53106736.037320822</v>
      </c>
      <c r="E208" s="6">
        <v>55289257.037320822</v>
      </c>
      <c r="F208" s="6">
        <v>0.40099999308586121</v>
      </c>
      <c r="G208" s="6">
        <v>0.40999999642372131</v>
      </c>
      <c r="H208" s="6" t="e">
        <v>#N/A</v>
      </c>
      <c r="I208" s="6">
        <v>-0.5485062697764973</v>
      </c>
      <c r="J208" s="6">
        <v>0</v>
      </c>
      <c r="K208" s="6" t="e">
        <v>#N/A</v>
      </c>
      <c r="L208" t="s">
        <v>6547</v>
      </c>
      <c r="M208" t="s">
        <v>6602</v>
      </c>
      <c r="N208" s="4" t="s">
        <v>7220</v>
      </c>
      <c r="O208" s="4" t="s">
        <v>7221</v>
      </c>
      <c r="P208" s="4" t="s">
        <v>233</v>
      </c>
    </row>
    <row r="209" spans="1:16" x14ac:dyDescent="0.35">
      <c r="A209" t="s">
        <v>7222</v>
      </c>
      <c r="B209" t="s">
        <v>7223</v>
      </c>
      <c r="C209" t="s">
        <v>16</v>
      </c>
      <c r="D209" s="6">
        <v>1023816595.2705382</v>
      </c>
      <c r="E209" s="6">
        <v>2163314595.2705383</v>
      </c>
      <c r="F209" s="6">
        <v>61.779998779296875</v>
      </c>
      <c r="G209" s="6">
        <v>60.619998931884766</v>
      </c>
      <c r="H209" s="6" t="e">
        <v>#N/A</v>
      </c>
      <c r="I209" s="6">
        <v>0.18630525581696822</v>
      </c>
      <c r="J209" s="6">
        <v>258642000</v>
      </c>
      <c r="K209" s="6" t="e">
        <v>#N/A</v>
      </c>
      <c r="L209" t="s">
        <v>6623</v>
      </c>
      <c r="M209" t="s">
        <v>7086</v>
      </c>
      <c r="N209" s="4" t="s">
        <v>7224</v>
      </c>
      <c r="O209" s="4" t="s">
        <v>7225</v>
      </c>
      <c r="P209" s="4" t="s">
        <v>233</v>
      </c>
    </row>
    <row r="210" spans="1:16" x14ac:dyDescent="0.35">
      <c r="A210" t="s">
        <v>7226</v>
      </c>
      <c r="B210" t="s">
        <v>4875</v>
      </c>
      <c r="C210" t="s">
        <v>16</v>
      </c>
      <c r="D210" s="6">
        <v>300178750.55089188</v>
      </c>
      <c r="E210" s="6">
        <v>377777750.55089188</v>
      </c>
      <c r="F210" s="6">
        <v>4.6599998474121094</v>
      </c>
      <c r="G210" s="6">
        <v>4.8499999046325684</v>
      </c>
      <c r="H210" s="6">
        <v>9.3046470272292918</v>
      </c>
      <c r="I210" s="6">
        <v>-6.3791997783116949E-3</v>
      </c>
      <c r="J210" s="6">
        <v>193060000</v>
      </c>
      <c r="K210" s="6" t="e">
        <v>#N/A</v>
      </c>
      <c r="L210" t="s">
        <v>17</v>
      </c>
      <c r="M210" t="s">
        <v>87</v>
      </c>
      <c r="N210" s="4" t="s">
        <v>4876</v>
      </c>
      <c r="O210" s="4" t="s">
        <v>4877</v>
      </c>
      <c r="P210" s="4" t="s">
        <v>233</v>
      </c>
    </row>
    <row r="211" spans="1:16" x14ac:dyDescent="0.35">
      <c r="A211" t="s">
        <v>7227</v>
      </c>
      <c r="B211" t="s">
        <v>7228</v>
      </c>
      <c r="C211" t="s">
        <v>16</v>
      </c>
      <c r="D211" s="6">
        <v>1058758242.4990462</v>
      </c>
      <c r="E211" s="6">
        <v>1754584242.4990463</v>
      </c>
      <c r="F211" s="6">
        <v>25.399999618530273</v>
      </c>
      <c r="G211" s="6">
        <v>25.770000457763672</v>
      </c>
      <c r="H211" s="6">
        <v>35.502726467604845</v>
      </c>
      <c r="I211" s="6">
        <v>-0.63305199576080451</v>
      </c>
      <c r="J211" s="6">
        <v>1373579000</v>
      </c>
      <c r="K211" s="6">
        <v>-93.614264339152115</v>
      </c>
      <c r="L211" t="s">
        <v>6540</v>
      </c>
      <c r="M211" t="s">
        <v>6881</v>
      </c>
      <c r="N211" s="4" t="s">
        <v>7229</v>
      </c>
      <c r="O211" s="4" t="s">
        <v>7230</v>
      </c>
      <c r="P211" s="4" t="s">
        <v>233</v>
      </c>
    </row>
    <row r="212" spans="1:16" x14ac:dyDescent="0.35">
      <c r="A212" t="s">
        <v>7231</v>
      </c>
      <c r="B212" t="s">
        <v>7232</v>
      </c>
      <c r="C212" t="s">
        <v>16</v>
      </c>
      <c r="D212" s="6">
        <v>193472295.08183956</v>
      </c>
      <c r="E212" s="6">
        <v>338201295.08183956</v>
      </c>
      <c r="F212" s="6">
        <v>2.1500000953674316</v>
      </c>
      <c r="G212" s="6">
        <v>2.190000057220459</v>
      </c>
      <c r="H212" s="6" t="e">
        <v>#N/A</v>
      </c>
      <c r="I212" s="6">
        <v>-0.41060491691694734</v>
      </c>
      <c r="J212" s="6">
        <v>777318000</v>
      </c>
      <c r="K212" s="6">
        <v>-833.33333333333326</v>
      </c>
      <c r="L212" t="s">
        <v>6514</v>
      </c>
      <c r="M212" t="s">
        <v>6534</v>
      </c>
      <c r="N212" s="4" t="s">
        <v>7233</v>
      </c>
      <c r="O212" s="4" t="s">
        <v>7234</v>
      </c>
      <c r="P212" s="4" t="s">
        <v>233</v>
      </c>
    </row>
    <row r="213" spans="1:16" x14ac:dyDescent="0.35">
      <c r="A213" t="s">
        <v>7235</v>
      </c>
      <c r="B213" t="s">
        <v>7236</v>
      </c>
      <c r="C213" t="s">
        <v>16</v>
      </c>
      <c r="D213" s="6">
        <v>210950093.33109534</v>
      </c>
      <c r="E213" s="6">
        <v>196907093.33109534</v>
      </c>
      <c r="F213" s="6">
        <v>1.3799999952316284</v>
      </c>
      <c r="G213" s="6">
        <v>1.2899999618530273</v>
      </c>
      <c r="H213" s="6">
        <v>5.7778056699182656</v>
      </c>
      <c r="I213" s="6">
        <v>0.45115041995807892</v>
      </c>
      <c r="J213" s="6">
        <v>178253000</v>
      </c>
      <c r="K213" s="6">
        <v>97.918317307849065</v>
      </c>
      <c r="L213" t="s">
        <v>6518</v>
      </c>
      <c r="M213" t="s">
        <v>6519</v>
      </c>
      <c r="N213" s="4" t="s">
        <v>7237</v>
      </c>
      <c r="O213" s="4" t="s">
        <v>7238</v>
      </c>
      <c r="P213" s="4" t="s">
        <v>233</v>
      </c>
    </row>
    <row r="214" spans="1:16" x14ac:dyDescent="0.35">
      <c r="A214" t="s">
        <v>7239</v>
      </c>
      <c r="B214" t="s">
        <v>7240</v>
      </c>
      <c r="C214" t="s">
        <v>16</v>
      </c>
      <c r="D214" s="6">
        <v>545596121.5</v>
      </c>
      <c r="E214" s="6">
        <v>1550596121.5</v>
      </c>
      <c r="F214" s="6">
        <v>11.5</v>
      </c>
      <c r="G214" s="6">
        <v>11.630000114440918</v>
      </c>
      <c r="H214" s="6" t="e">
        <v>#N/A</v>
      </c>
      <c r="I214" s="6">
        <v>-0.27105980784481087</v>
      </c>
      <c r="J214" s="6">
        <v>398000000</v>
      </c>
      <c r="K214" s="6" t="e">
        <v>#N/A</v>
      </c>
      <c r="L214" t="s">
        <v>6529</v>
      </c>
      <c r="M214" t="s">
        <v>6664</v>
      </c>
      <c r="N214" s="4" t="s">
        <v>7241</v>
      </c>
      <c r="O214" s="4" t="s">
        <v>7242</v>
      </c>
      <c r="P214" s="4" t="s">
        <v>233</v>
      </c>
    </row>
    <row r="215" spans="1:16" x14ac:dyDescent="0.35">
      <c r="A215" t="s">
        <v>7243</v>
      </c>
      <c r="B215" t="s">
        <v>7244</v>
      </c>
      <c r="C215" t="s">
        <v>16</v>
      </c>
      <c r="D215" s="6">
        <v>952631958.38928235</v>
      </c>
      <c r="E215" s="6">
        <v>920841958.38928235</v>
      </c>
      <c r="F215" s="6">
        <v>5.2399997711181641</v>
      </c>
      <c r="G215" s="6">
        <v>5</v>
      </c>
      <c r="H215" s="6" t="e">
        <v>#N/A</v>
      </c>
      <c r="I215" s="6">
        <v>0.82913917261158354</v>
      </c>
      <c r="J215" s="6">
        <v>1095350000</v>
      </c>
      <c r="K215" s="6">
        <v>-50</v>
      </c>
      <c r="L215" t="s">
        <v>6623</v>
      </c>
      <c r="M215" t="s">
        <v>6634</v>
      </c>
      <c r="N215" s="4" t="s">
        <v>7245</v>
      </c>
      <c r="O215" s="4" t="s">
        <v>7246</v>
      </c>
      <c r="P215" s="4" t="s">
        <v>233</v>
      </c>
    </row>
    <row r="216" spans="1:16" x14ac:dyDescent="0.35">
      <c r="A216" t="s">
        <v>7247</v>
      </c>
      <c r="B216" t="s">
        <v>7248</v>
      </c>
      <c r="C216" t="s">
        <v>16</v>
      </c>
      <c r="D216" s="6">
        <v>1015567475.0307997</v>
      </c>
      <c r="E216" s="6">
        <v>964560475.03079975</v>
      </c>
      <c r="F216" s="6">
        <v>80.569999694824219</v>
      </c>
      <c r="G216" s="6">
        <v>80</v>
      </c>
      <c r="H216" s="6">
        <v>16.413463582018775</v>
      </c>
      <c r="I216" s="6">
        <v>6.2840660230044865E-2</v>
      </c>
      <c r="J216" s="6">
        <v>524943000</v>
      </c>
      <c r="K216" s="6">
        <v>-26.906545618980616</v>
      </c>
      <c r="L216" t="s">
        <v>6518</v>
      </c>
      <c r="M216" t="s">
        <v>6714</v>
      </c>
      <c r="N216" s="4" t="s">
        <v>7249</v>
      </c>
      <c r="O216" s="4" t="s">
        <v>7250</v>
      </c>
      <c r="P216" s="4" t="s">
        <v>233</v>
      </c>
    </row>
    <row r="217" spans="1:16" x14ac:dyDescent="0.35">
      <c r="A217" t="s">
        <v>7251</v>
      </c>
      <c r="B217" t="s">
        <v>7252</v>
      </c>
      <c r="C217" t="s">
        <v>16</v>
      </c>
      <c r="D217" s="6">
        <v>1759431983.4493945</v>
      </c>
      <c r="E217" s="6">
        <v>2103232983.4493945</v>
      </c>
      <c r="F217" s="6">
        <v>12.520000457763672</v>
      </c>
      <c r="G217" s="6">
        <v>12.199999809265137</v>
      </c>
      <c r="H217" s="6">
        <v>22.429076928441344</v>
      </c>
      <c r="I217" s="6">
        <v>1.6526558215610221E-2</v>
      </c>
      <c r="J217" s="6">
        <v>1268104000</v>
      </c>
      <c r="K217" s="6">
        <v>-45.098039215686271</v>
      </c>
      <c r="L217" t="s">
        <v>6540</v>
      </c>
      <c r="M217" t="s">
        <v>6541</v>
      </c>
      <c r="N217" s="4" t="s">
        <v>7253</v>
      </c>
      <c r="O217" s="4" t="s">
        <v>7254</v>
      </c>
      <c r="P217" s="4" t="s">
        <v>233</v>
      </c>
    </row>
    <row r="218" spans="1:16" x14ac:dyDescent="0.35">
      <c r="A218" t="s">
        <v>7255</v>
      </c>
      <c r="B218" t="s">
        <v>2021</v>
      </c>
      <c r="C218" t="s">
        <v>16</v>
      </c>
      <c r="D218" s="6">
        <v>301657451.4382515</v>
      </c>
      <c r="E218" s="6">
        <v>316973679.4382515</v>
      </c>
      <c r="F218" s="6">
        <v>34.509998321533203</v>
      </c>
      <c r="G218" s="6">
        <v>34.069999694824219</v>
      </c>
      <c r="H218" s="6" t="e">
        <v>#N/A</v>
      </c>
      <c r="I218" s="6">
        <v>-8.96918687543794E-2</v>
      </c>
      <c r="J218" s="6">
        <v>78056873</v>
      </c>
      <c r="K218" s="6">
        <v>-97.119281645418127</v>
      </c>
      <c r="L218" t="s">
        <v>17</v>
      </c>
      <c r="M218" t="s">
        <v>27</v>
      </c>
      <c r="N218" s="4" t="s">
        <v>2022</v>
      </c>
      <c r="O218" s="4" t="s">
        <v>2023</v>
      </c>
      <c r="P218" s="4" t="s">
        <v>233</v>
      </c>
    </row>
    <row r="219" spans="1:16" x14ac:dyDescent="0.35">
      <c r="A219" t="s">
        <v>7256</v>
      </c>
      <c r="B219" t="s">
        <v>7257</v>
      </c>
      <c r="C219" t="s">
        <v>16</v>
      </c>
      <c r="D219" s="6">
        <v>1901567760.8813171</v>
      </c>
      <c r="E219" s="6">
        <v>2181836760.8813171</v>
      </c>
      <c r="F219" s="6">
        <v>20.319999694824219</v>
      </c>
      <c r="G219" s="6">
        <v>19.850000381469727</v>
      </c>
      <c r="H219" s="6" t="e">
        <v>#N/A</v>
      </c>
      <c r="I219" s="6">
        <v>1.2378812715494392</v>
      </c>
      <c r="J219" s="6" t="e">
        <v>#N/A</v>
      </c>
      <c r="K219" s="6" t="e">
        <v>#N/A</v>
      </c>
      <c r="L219" t="s">
        <v>6518</v>
      </c>
      <c r="M219" t="s">
        <v>6519</v>
      </c>
      <c r="N219" s="4" t="s">
        <v>7258</v>
      </c>
      <c r="O219" s="4" t="s">
        <v>7259</v>
      </c>
      <c r="P219" s="4" t="s">
        <v>233</v>
      </c>
    </row>
    <row r="220" spans="1:16" x14ac:dyDescent="0.35">
      <c r="A220" t="s">
        <v>7260</v>
      </c>
      <c r="B220" t="s">
        <v>7261</v>
      </c>
      <c r="C220" t="s">
        <v>16</v>
      </c>
      <c r="D220" s="6">
        <v>995831067.33617496</v>
      </c>
      <c r="E220" s="6">
        <v>901631067.33617496</v>
      </c>
      <c r="F220" s="6">
        <v>13.560000419616699</v>
      </c>
      <c r="G220" s="6">
        <v>13.25</v>
      </c>
      <c r="H220" s="6" t="e">
        <v>#N/A</v>
      </c>
      <c r="I220" s="6">
        <v>-0.15684648603297824</v>
      </c>
      <c r="J220" s="6">
        <v>599400000</v>
      </c>
      <c r="K220" s="6">
        <v>-7.142857142857129</v>
      </c>
      <c r="L220" t="s">
        <v>6529</v>
      </c>
      <c r="M220" t="s">
        <v>6646</v>
      </c>
      <c r="N220" s="4" t="s">
        <v>7262</v>
      </c>
      <c r="O220" s="4" t="s">
        <v>7263</v>
      </c>
      <c r="P220" s="4" t="s">
        <v>233</v>
      </c>
    </row>
    <row r="221" spans="1:16" x14ac:dyDescent="0.35">
      <c r="A221" t="s">
        <v>7264</v>
      </c>
      <c r="B221" t="s">
        <v>7265</v>
      </c>
      <c r="C221" t="s">
        <v>16</v>
      </c>
      <c r="D221" s="6">
        <v>7951475698.8049765</v>
      </c>
      <c r="E221" s="6">
        <v>6151475698.8049765</v>
      </c>
      <c r="F221" s="6">
        <v>46.360000610351563</v>
      </c>
      <c r="G221" s="6">
        <v>46.889999389648438</v>
      </c>
      <c r="H221" s="6">
        <v>32.344983813799757</v>
      </c>
      <c r="I221" s="6">
        <v>0.12925350395234769</v>
      </c>
      <c r="J221" s="6">
        <v>15875000000</v>
      </c>
      <c r="K221" s="6">
        <v>114.74477632870565</v>
      </c>
      <c r="L221" t="s">
        <v>6547</v>
      </c>
      <c r="M221" t="s">
        <v>6651</v>
      </c>
      <c r="N221" s="4" t="s">
        <v>7266</v>
      </c>
      <c r="O221" s="4" t="s">
        <v>7267</v>
      </c>
      <c r="P221" s="4" t="s">
        <v>233</v>
      </c>
    </row>
    <row r="222" spans="1:16" x14ac:dyDescent="0.35">
      <c r="A222" t="s">
        <v>7268</v>
      </c>
      <c r="B222" t="s">
        <v>7269</v>
      </c>
      <c r="C222" t="s">
        <v>16</v>
      </c>
      <c r="D222" s="6">
        <v>3947660144.3898463</v>
      </c>
      <c r="E222" s="6" t="e">
        <v>#N/A</v>
      </c>
      <c r="F222" s="6">
        <v>18.389999389648438</v>
      </c>
      <c r="G222" s="6">
        <v>18.629999160766602</v>
      </c>
      <c r="H222" s="6">
        <v>21.598220689015488</v>
      </c>
      <c r="I222" s="6">
        <v>0.32655485506768089</v>
      </c>
      <c r="J222" s="6">
        <v>1070683000</v>
      </c>
      <c r="K222" s="6" t="e">
        <v>#N/A</v>
      </c>
      <c r="L222" t="s">
        <v>6529</v>
      </c>
      <c r="M222" t="s">
        <v>6530</v>
      </c>
      <c r="N222" s="4" t="s">
        <v>7270</v>
      </c>
      <c r="O222" s="4" t="s">
        <v>7271</v>
      </c>
      <c r="P222" s="4" t="s">
        <v>233</v>
      </c>
    </row>
    <row r="223" spans="1:16" x14ac:dyDescent="0.35">
      <c r="A223" t="s">
        <v>7272</v>
      </c>
      <c r="B223" t="s">
        <v>7273</v>
      </c>
      <c r="C223" t="s">
        <v>16</v>
      </c>
      <c r="D223" s="6">
        <v>62442426.015975468</v>
      </c>
      <c r="E223" s="6">
        <v>191384426.01597551</v>
      </c>
      <c r="F223" s="6">
        <v>1.809999942779541</v>
      </c>
      <c r="G223" s="6">
        <v>1.9099999666213989</v>
      </c>
      <c r="H223" s="6">
        <v>6.3775732902273052</v>
      </c>
      <c r="I223" s="6">
        <v>-0.7284788488641073</v>
      </c>
      <c r="J223" s="6">
        <v>856835000</v>
      </c>
      <c r="K223" s="6" t="e">
        <v>#N/A</v>
      </c>
      <c r="L223" t="s">
        <v>6547</v>
      </c>
      <c r="M223" t="s">
        <v>6668</v>
      </c>
      <c r="N223" s="4" t="s">
        <v>7274</v>
      </c>
      <c r="O223" s="4" t="s">
        <v>7275</v>
      </c>
      <c r="P223" s="4" t="s">
        <v>233</v>
      </c>
    </row>
    <row r="224" spans="1:16" x14ac:dyDescent="0.35">
      <c r="A224" t="s">
        <v>7276</v>
      </c>
      <c r="B224" t="s">
        <v>7277</v>
      </c>
      <c r="C224" t="s">
        <v>16</v>
      </c>
      <c r="D224" s="6">
        <v>2513291438.7620692</v>
      </c>
      <c r="E224" s="6">
        <v>3168103438.7620692</v>
      </c>
      <c r="F224" s="6">
        <v>39.590000152587891</v>
      </c>
      <c r="G224" s="6">
        <v>39.220001220703125</v>
      </c>
      <c r="H224" s="6" t="e">
        <v>#N/A</v>
      </c>
      <c r="I224" s="6">
        <v>-2.8389591910823797E-2</v>
      </c>
      <c r="J224" s="6">
        <v>678378000</v>
      </c>
      <c r="K224" s="6">
        <v>52.864157119476261</v>
      </c>
      <c r="L224" t="s">
        <v>6514</v>
      </c>
      <c r="M224" t="s">
        <v>6690</v>
      </c>
      <c r="N224" s="4" t="s">
        <v>7278</v>
      </c>
      <c r="O224" s="4" t="s">
        <v>7279</v>
      </c>
      <c r="P224" s="4" t="s">
        <v>233</v>
      </c>
    </row>
    <row r="225" spans="1:16" x14ac:dyDescent="0.35">
      <c r="A225" t="s">
        <v>7280</v>
      </c>
      <c r="B225" t="s">
        <v>7281</v>
      </c>
      <c r="C225" t="s">
        <v>16</v>
      </c>
      <c r="D225" s="6">
        <v>357008493.60368729</v>
      </c>
      <c r="E225" s="6" t="e">
        <v>#N/A</v>
      </c>
      <c r="F225" s="6">
        <v>26.059999465942383</v>
      </c>
      <c r="G225" s="6">
        <v>26.829999923706055</v>
      </c>
      <c r="H225" s="6">
        <v>15.329411450554343</v>
      </c>
      <c r="I225" s="6">
        <v>0.21321104852543793</v>
      </c>
      <c r="J225" s="6">
        <v>175491000</v>
      </c>
      <c r="K225" s="6">
        <v>-5.0279329608938585</v>
      </c>
      <c r="L225" t="s">
        <v>6529</v>
      </c>
      <c r="M225" t="s">
        <v>6530</v>
      </c>
      <c r="N225" s="4" t="s">
        <v>7282</v>
      </c>
      <c r="O225" s="4" t="s">
        <v>7283</v>
      </c>
      <c r="P225" s="4" t="s">
        <v>233</v>
      </c>
    </row>
    <row r="226" spans="1:16" x14ac:dyDescent="0.35">
      <c r="A226" t="s">
        <v>7284</v>
      </c>
      <c r="B226" t="s">
        <v>7277</v>
      </c>
      <c r="C226" t="s">
        <v>16</v>
      </c>
      <c r="D226" s="6">
        <v>2513291438.7620692</v>
      </c>
      <c r="E226" s="6">
        <v>3168103438.7620692</v>
      </c>
      <c r="F226" s="6">
        <v>43.340000152587891</v>
      </c>
      <c r="G226" s="6">
        <v>43.200000762939453</v>
      </c>
      <c r="H226" s="6" t="e">
        <v>#N/A</v>
      </c>
      <c r="I226" s="6">
        <v>-6.4015881350153458E-3</v>
      </c>
      <c r="J226" s="6">
        <v>678378000</v>
      </c>
      <c r="K226" s="6">
        <v>52.864157119476261</v>
      </c>
      <c r="L226" t="s">
        <v>6514</v>
      </c>
      <c r="M226" t="s">
        <v>6690</v>
      </c>
      <c r="N226" s="4" t="s">
        <v>7285</v>
      </c>
      <c r="O226" s="4" t="s">
        <v>7286</v>
      </c>
      <c r="P226" s="4" t="s">
        <v>233</v>
      </c>
    </row>
    <row r="227" spans="1:16" x14ac:dyDescent="0.35">
      <c r="A227" t="s">
        <v>7287</v>
      </c>
      <c r="B227" t="s">
        <v>7288</v>
      </c>
      <c r="C227" t="s">
        <v>16</v>
      </c>
      <c r="D227" s="6">
        <v>528836217.00539583</v>
      </c>
      <c r="E227" s="6">
        <v>471095217.00539583</v>
      </c>
      <c r="F227" s="6">
        <v>20.329999923706055</v>
      </c>
      <c r="G227" s="6">
        <v>20.370000839233398</v>
      </c>
      <c r="H227" s="6">
        <v>12.850740465424401</v>
      </c>
      <c r="I227" s="6">
        <v>0.16855775083151681</v>
      </c>
      <c r="J227" s="6">
        <v>399351000</v>
      </c>
      <c r="K227" s="6">
        <v>-7.5581395348837273</v>
      </c>
      <c r="L227" t="s">
        <v>6547</v>
      </c>
      <c r="M227" t="s">
        <v>6802</v>
      </c>
      <c r="N227" s="4" t="s">
        <v>7289</v>
      </c>
      <c r="O227" s="4" t="s">
        <v>7290</v>
      </c>
      <c r="P227" s="4" t="s">
        <v>233</v>
      </c>
    </row>
    <row r="228" spans="1:16" x14ac:dyDescent="0.35">
      <c r="A228" t="s">
        <v>7291</v>
      </c>
      <c r="B228" t="s">
        <v>7292</v>
      </c>
      <c r="C228" t="s">
        <v>16</v>
      </c>
      <c r="D228" s="6">
        <v>1230644790.4058781</v>
      </c>
      <c r="E228" s="6">
        <v>1699771790.4058781</v>
      </c>
      <c r="F228" s="6">
        <v>23.469999313354492</v>
      </c>
      <c r="G228" s="6">
        <v>23.469999313354492</v>
      </c>
      <c r="H228" s="6" t="e">
        <v>#N/A</v>
      </c>
      <c r="I228" s="6">
        <v>1.547328788899812</v>
      </c>
      <c r="J228" s="6">
        <v>4280744000</v>
      </c>
      <c r="K228" s="6">
        <v>39.952153110047853</v>
      </c>
      <c r="L228" t="s">
        <v>6547</v>
      </c>
      <c r="M228" t="s">
        <v>6651</v>
      </c>
      <c r="N228" s="4" t="s">
        <v>7293</v>
      </c>
      <c r="O228" s="4" t="s">
        <v>7294</v>
      </c>
      <c r="P228" s="4" t="s">
        <v>233</v>
      </c>
    </row>
    <row r="229" spans="1:16" x14ac:dyDescent="0.35">
      <c r="A229" t="s">
        <v>7295</v>
      </c>
      <c r="B229" t="s">
        <v>7296</v>
      </c>
      <c r="C229" t="s">
        <v>16</v>
      </c>
      <c r="D229" s="6">
        <v>1424656455.7911985</v>
      </c>
      <c r="E229" s="6">
        <v>1740556455.7911985</v>
      </c>
      <c r="F229" s="6">
        <v>28.069999694824219</v>
      </c>
      <c r="G229" s="6">
        <v>28.709999084472656</v>
      </c>
      <c r="H229" s="6">
        <v>8.9617262752339375</v>
      </c>
      <c r="I229" s="6">
        <v>-4.5997231905545721E-2</v>
      </c>
      <c r="J229" s="6">
        <v>3430600000</v>
      </c>
      <c r="K229" s="6">
        <v>77.401129943502823</v>
      </c>
      <c r="L229" t="s">
        <v>6563</v>
      </c>
      <c r="M229" t="s">
        <v>6564</v>
      </c>
      <c r="N229" s="4" t="s">
        <v>7297</v>
      </c>
      <c r="O229" s="4" t="s">
        <v>7298</v>
      </c>
      <c r="P229" s="4" t="s">
        <v>233</v>
      </c>
    </row>
    <row r="230" spans="1:16" x14ac:dyDescent="0.35">
      <c r="A230" t="s">
        <v>7299</v>
      </c>
      <c r="B230" t="s">
        <v>7300</v>
      </c>
      <c r="C230" t="s">
        <v>16</v>
      </c>
      <c r="D230" s="6">
        <v>2517404460.0294685</v>
      </c>
      <c r="E230" s="6">
        <v>2951998460.0294685</v>
      </c>
      <c r="F230" s="6">
        <v>24.909999847412109</v>
      </c>
      <c r="G230" s="6">
        <v>25.239999771118164</v>
      </c>
      <c r="H230" s="6">
        <v>24.077123974873292</v>
      </c>
      <c r="I230" s="6">
        <v>0.17503512225971085</v>
      </c>
      <c r="J230" s="6">
        <v>2602340000</v>
      </c>
      <c r="K230" s="6">
        <v>75.000000000000014</v>
      </c>
      <c r="L230" t="s">
        <v>6523</v>
      </c>
      <c r="M230" t="s">
        <v>6588</v>
      </c>
      <c r="N230" s="4" t="s">
        <v>7301</v>
      </c>
      <c r="O230" s="4" t="s">
        <v>7302</v>
      </c>
      <c r="P230" s="4" t="s">
        <v>233</v>
      </c>
    </row>
    <row r="231" spans="1:16" x14ac:dyDescent="0.35">
      <c r="A231" t="s">
        <v>7303</v>
      </c>
      <c r="B231" t="s">
        <v>2621</v>
      </c>
      <c r="C231" t="s">
        <v>16</v>
      </c>
      <c r="D231" s="6">
        <v>1930678312.5</v>
      </c>
      <c r="E231" s="6" t="e">
        <v>#N/A</v>
      </c>
      <c r="F231" s="6">
        <v>62.5</v>
      </c>
      <c r="G231" s="6">
        <v>63.939998626708984</v>
      </c>
      <c r="H231" s="6">
        <v>19.842687176068132</v>
      </c>
      <c r="I231" s="6">
        <v>-0.2785439658456399</v>
      </c>
      <c r="J231" s="6">
        <v>1307015000</v>
      </c>
      <c r="K231" s="6">
        <v>104.28571428571428</v>
      </c>
      <c r="L231" t="s">
        <v>17</v>
      </c>
      <c r="M231" t="s">
        <v>27</v>
      </c>
      <c r="N231" s="4" t="s">
        <v>2622</v>
      </c>
      <c r="O231" s="4" t="s">
        <v>2623</v>
      </c>
      <c r="P231" s="4" t="s">
        <v>233</v>
      </c>
    </row>
    <row r="232" spans="1:16" x14ac:dyDescent="0.35">
      <c r="A232" t="s">
        <v>7304</v>
      </c>
      <c r="B232" t="s">
        <v>897</v>
      </c>
      <c r="C232" t="s">
        <v>16</v>
      </c>
      <c r="D232" s="6">
        <v>7393161047.6531982</v>
      </c>
      <c r="E232" s="6">
        <v>8231009047.6531982</v>
      </c>
      <c r="F232" s="6">
        <v>58.110000610351563</v>
      </c>
      <c r="G232" s="6">
        <v>56.709999084472656</v>
      </c>
      <c r="H232" s="6">
        <v>19.172997652570359</v>
      </c>
      <c r="I232" s="6">
        <v>0.62602008164722367</v>
      </c>
      <c r="J232" s="6">
        <v>947355000</v>
      </c>
      <c r="K232" s="6">
        <v>61.256544502617814</v>
      </c>
      <c r="L232" t="s">
        <v>17</v>
      </c>
      <c r="M232" t="s">
        <v>18</v>
      </c>
      <c r="N232" s="4" t="s">
        <v>898</v>
      </c>
      <c r="O232" s="4" t="s">
        <v>899</v>
      </c>
      <c r="P232" s="4" t="s">
        <v>233</v>
      </c>
    </row>
    <row r="233" spans="1:16" x14ac:dyDescent="0.35">
      <c r="A233" t="s">
        <v>7305</v>
      </c>
      <c r="B233" t="s">
        <v>7306</v>
      </c>
      <c r="C233" t="s">
        <v>16</v>
      </c>
      <c r="D233" s="6">
        <v>542694138.37488544</v>
      </c>
      <c r="E233" s="6">
        <v>1197894138.3748856</v>
      </c>
      <c r="F233" s="6">
        <v>19.180000305175781</v>
      </c>
      <c r="G233" s="6">
        <v>19.370000839233398</v>
      </c>
      <c r="H233" s="6">
        <v>6.1474359952486477</v>
      </c>
      <c r="I233" s="6">
        <v>0.40015918254077176</v>
      </c>
      <c r="J233" s="6">
        <v>2076900000</v>
      </c>
      <c r="K233" s="6" t="e">
        <v>#N/A</v>
      </c>
      <c r="L233" t="s">
        <v>6563</v>
      </c>
      <c r="M233" t="s">
        <v>6764</v>
      </c>
      <c r="N233" s="4" t="s">
        <v>7307</v>
      </c>
      <c r="O233" s="4" t="s">
        <v>7308</v>
      </c>
      <c r="P233" s="4" t="s">
        <v>233</v>
      </c>
    </row>
    <row r="234" spans="1:16" x14ac:dyDescent="0.35">
      <c r="A234" t="s">
        <v>7309</v>
      </c>
      <c r="B234" t="s">
        <v>7310</v>
      </c>
      <c r="C234" t="s">
        <v>16</v>
      </c>
      <c r="D234" s="6">
        <v>5399690602.2901258</v>
      </c>
      <c r="E234" s="6" t="e">
        <v>#N/A</v>
      </c>
      <c r="F234" s="6">
        <v>30.700000762939453</v>
      </c>
      <c r="G234" s="6">
        <v>30.639999389648438</v>
      </c>
      <c r="H234" s="6">
        <v>25.581863011993022</v>
      </c>
      <c r="I234" s="6">
        <v>0.29554753632060149</v>
      </c>
      <c r="J234" s="6">
        <v>449610000</v>
      </c>
      <c r="K234" s="6">
        <v>-7.2000000000000055</v>
      </c>
      <c r="L234" t="s">
        <v>6623</v>
      </c>
      <c r="M234" t="s">
        <v>6700</v>
      </c>
      <c r="N234" s="4" t="s">
        <v>7311</v>
      </c>
      <c r="O234" s="4" t="s">
        <v>7312</v>
      </c>
      <c r="P234" s="4" t="s">
        <v>233</v>
      </c>
    </row>
    <row r="235" spans="1:16" x14ac:dyDescent="0.35">
      <c r="A235" t="s">
        <v>7313</v>
      </c>
      <c r="B235" t="s">
        <v>7314</v>
      </c>
      <c r="C235" t="s">
        <v>16</v>
      </c>
      <c r="D235" s="6">
        <v>5215074612.0792694</v>
      </c>
      <c r="E235" s="6">
        <v>7089984612.0792694</v>
      </c>
      <c r="F235" s="6">
        <v>116.51000213623047</v>
      </c>
      <c r="G235" s="6">
        <v>113.5</v>
      </c>
      <c r="H235" s="6">
        <v>17.538786690548047</v>
      </c>
      <c r="I235" s="6">
        <v>-8.4272727465781738E-3</v>
      </c>
      <c r="J235" s="6">
        <v>3388514000</v>
      </c>
      <c r="K235" s="6">
        <v>19.502074688796668</v>
      </c>
      <c r="L235" t="s">
        <v>6529</v>
      </c>
      <c r="M235" t="s">
        <v>6646</v>
      </c>
      <c r="N235" s="4" t="s">
        <v>7315</v>
      </c>
      <c r="O235" s="4" t="s">
        <v>7316</v>
      </c>
      <c r="P235" s="4" t="s">
        <v>233</v>
      </c>
    </row>
    <row r="236" spans="1:16" x14ac:dyDescent="0.35">
      <c r="A236" t="s">
        <v>7317</v>
      </c>
      <c r="B236" t="s">
        <v>7318</v>
      </c>
      <c r="C236" t="s">
        <v>16</v>
      </c>
      <c r="D236" s="6">
        <v>3622185898.0072632</v>
      </c>
      <c r="E236" s="6">
        <v>3574186898.0072632</v>
      </c>
      <c r="F236" s="6">
        <v>15.479999542236328</v>
      </c>
      <c r="G236" s="6">
        <v>14.649999618530273</v>
      </c>
      <c r="H236" s="6" t="e">
        <v>#N/A</v>
      </c>
      <c r="I236" s="6">
        <v>1.625699376196712</v>
      </c>
      <c r="J236" s="6">
        <v>863767000</v>
      </c>
      <c r="K236" s="6">
        <v>94.871794871794862</v>
      </c>
      <c r="L236" t="s">
        <v>6540</v>
      </c>
      <c r="M236" t="s">
        <v>6825</v>
      </c>
      <c r="N236" s="4" t="s">
        <v>7319</v>
      </c>
      <c r="O236" s="4" t="s">
        <v>7320</v>
      </c>
      <c r="P236" s="4" t="s">
        <v>233</v>
      </c>
    </row>
    <row r="237" spans="1:16" x14ac:dyDescent="0.35">
      <c r="A237" t="s">
        <v>7321</v>
      </c>
      <c r="B237" t="s">
        <v>7322</v>
      </c>
      <c r="C237" t="s">
        <v>16</v>
      </c>
      <c r="D237" s="6">
        <v>2345926639.6818161</v>
      </c>
      <c r="E237" s="6">
        <v>2764648639.6818161</v>
      </c>
      <c r="F237" s="6">
        <v>17.270000457763672</v>
      </c>
      <c r="G237" s="6">
        <v>16.590000152587891</v>
      </c>
      <c r="H237" s="6">
        <v>36.22291767049871</v>
      </c>
      <c r="I237" s="6">
        <v>-0.21765105639735371</v>
      </c>
      <c r="J237" s="6">
        <v>2937587000</v>
      </c>
      <c r="K237" s="6" t="e">
        <v>#N/A</v>
      </c>
      <c r="L237" t="s">
        <v>6518</v>
      </c>
      <c r="M237" t="s">
        <v>6714</v>
      </c>
      <c r="N237" s="4" t="s">
        <v>7323</v>
      </c>
      <c r="O237" s="4" t="s">
        <v>7324</v>
      </c>
      <c r="P237" s="4" t="s">
        <v>233</v>
      </c>
    </row>
    <row r="238" spans="1:16" x14ac:dyDescent="0.35">
      <c r="A238" t="s">
        <v>7325</v>
      </c>
      <c r="B238" t="s">
        <v>7326</v>
      </c>
      <c r="C238" t="s">
        <v>16</v>
      </c>
      <c r="D238" s="6">
        <v>7376428964.0537109</v>
      </c>
      <c r="E238" s="6">
        <v>11015228964.053711</v>
      </c>
      <c r="F238" s="6">
        <v>119.19000244140625</v>
      </c>
      <c r="G238" s="6">
        <v>118.26999664306641</v>
      </c>
      <c r="H238" s="6">
        <v>16.563513888657759</v>
      </c>
      <c r="I238" s="6">
        <v>0.36850840470476887</v>
      </c>
      <c r="J238" s="6">
        <v>9659100000</v>
      </c>
      <c r="K238" s="6" t="e">
        <v>#N/A</v>
      </c>
      <c r="L238" t="s">
        <v>6547</v>
      </c>
      <c r="M238" t="s">
        <v>6875</v>
      </c>
      <c r="N238" s="4" t="s">
        <v>7327</v>
      </c>
      <c r="O238" s="4" t="s">
        <v>7328</v>
      </c>
      <c r="P238" s="4" t="s">
        <v>233</v>
      </c>
    </row>
    <row r="239" spans="1:16" x14ac:dyDescent="0.35">
      <c r="A239" t="s">
        <v>7329</v>
      </c>
      <c r="B239" t="s">
        <v>7330</v>
      </c>
      <c r="C239" t="s">
        <v>16</v>
      </c>
      <c r="D239" s="6">
        <v>3074633320.9500299</v>
      </c>
      <c r="E239" s="6">
        <v>3509633320.9500299</v>
      </c>
      <c r="F239" s="6">
        <v>7.1999998092651367</v>
      </c>
      <c r="G239" s="6">
        <v>7.3000001907348633</v>
      </c>
      <c r="H239" s="6">
        <v>113.92765292042691</v>
      </c>
      <c r="I239" s="6">
        <v>0.1515546799885823</v>
      </c>
      <c r="J239" s="6">
        <v>7424000000</v>
      </c>
      <c r="K239" s="6">
        <v>-71.962650602409653</v>
      </c>
      <c r="L239" t="s">
        <v>6529</v>
      </c>
      <c r="M239" t="s">
        <v>6664</v>
      </c>
      <c r="N239" s="4" t="s">
        <v>7331</v>
      </c>
      <c r="O239" s="4" t="s">
        <v>7332</v>
      </c>
      <c r="P239" s="4" t="s">
        <v>233</v>
      </c>
    </row>
    <row r="240" spans="1:16" x14ac:dyDescent="0.35">
      <c r="A240" t="s">
        <v>7333</v>
      </c>
      <c r="B240" t="s">
        <v>7334</v>
      </c>
      <c r="C240" t="s">
        <v>16</v>
      </c>
      <c r="D240" s="6">
        <v>828283104.27765656</v>
      </c>
      <c r="E240" s="6">
        <v>1123634104.2776566</v>
      </c>
      <c r="F240" s="6">
        <v>19.700000762939453</v>
      </c>
      <c r="G240" s="6">
        <v>19.760000228881836</v>
      </c>
      <c r="H240" s="6" t="e">
        <v>#N/A</v>
      </c>
      <c r="I240" s="6">
        <v>-9.4007820335987757E-2</v>
      </c>
      <c r="J240" s="6">
        <v>873723000</v>
      </c>
      <c r="K240" s="6">
        <v>-534.86842105263145</v>
      </c>
      <c r="L240" t="s">
        <v>6514</v>
      </c>
      <c r="M240" t="s">
        <v>6534</v>
      </c>
      <c r="N240" s="4" t="s">
        <v>7335</v>
      </c>
      <c r="O240" s="4" t="s">
        <v>7336</v>
      </c>
      <c r="P240" s="4" t="s">
        <v>233</v>
      </c>
    </row>
    <row r="241" spans="1:16" x14ac:dyDescent="0.35">
      <c r="A241" t="s">
        <v>7337</v>
      </c>
      <c r="B241" t="s">
        <v>7338</v>
      </c>
      <c r="C241" t="s">
        <v>16</v>
      </c>
      <c r="D241" s="6">
        <v>500573222.14280319</v>
      </c>
      <c r="E241" s="6">
        <v>416353222.14280319</v>
      </c>
      <c r="F241" s="6">
        <v>14.100000381469727</v>
      </c>
      <c r="G241" s="6">
        <v>14.079999923706055</v>
      </c>
      <c r="H241" s="6">
        <v>47.000001271565758</v>
      </c>
      <c r="I241" s="6">
        <v>0.31437831996021548</v>
      </c>
      <c r="J241" s="6">
        <v>102402000</v>
      </c>
      <c r="K241" s="6">
        <v>7.142857142857129</v>
      </c>
      <c r="L241" t="s">
        <v>6518</v>
      </c>
      <c r="M241" t="s">
        <v>6519</v>
      </c>
      <c r="N241" s="4" t="s">
        <v>7339</v>
      </c>
      <c r="O241" s="4" t="s">
        <v>7340</v>
      </c>
      <c r="P241" s="4" t="s">
        <v>233</v>
      </c>
    </row>
    <row r="242" spans="1:16" x14ac:dyDescent="0.35">
      <c r="A242" t="s">
        <v>7341</v>
      </c>
      <c r="B242" t="s">
        <v>4348</v>
      </c>
      <c r="C242" t="s">
        <v>16</v>
      </c>
      <c r="D242" s="6">
        <v>276810040.82805824</v>
      </c>
      <c r="E242" s="6">
        <v>224840040.82805824</v>
      </c>
      <c r="F242" s="6">
        <v>7.0100002288818359</v>
      </c>
      <c r="G242" s="6">
        <v>6.690000057220459</v>
      </c>
      <c r="H242" s="6" t="e">
        <v>#N/A</v>
      </c>
      <c r="I242" s="6">
        <v>-0.5205370522052809</v>
      </c>
      <c r="J242" s="6">
        <v>79302000</v>
      </c>
      <c r="K242" s="6">
        <v>9.2592592592592808</v>
      </c>
      <c r="L242" t="s">
        <v>17</v>
      </c>
      <c r="M242" t="s">
        <v>27</v>
      </c>
      <c r="N242" s="4" t="s">
        <v>4349</v>
      </c>
      <c r="O242" s="4" t="s">
        <v>4350</v>
      </c>
      <c r="P242" s="4" t="s">
        <v>233</v>
      </c>
    </row>
    <row r="243" spans="1:16" x14ac:dyDescent="0.35">
      <c r="A243" t="s">
        <v>7342</v>
      </c>
      <c r="B243" t="s">
        <v>4375</v>
      </c>
      <c r="C243" t="s">
        <v>16</v>
      </c>
      <c r="D243" s="6">
        <v>413175564.07382482</v>
      </c>
      <c r="E243" s="6">
        <v>-98222435.926175117</v>
      </c>
      <c r="F243" s="6">
        <v>10.199999809265137</v>
      </c>
      <c r="G243" s="6">
        <v>10.25</v>
      </c>
      <c r="H243" s="6" t="e">
        <v>#N/A</v>
      </c>
      <c r="I243" s="6">
        <v>-0.82130362631813858</v>
      </c>
      <c r="J243" s="6">
        <v>651000</v>
      </c>
      <c r="K243" s="6">
        <v>-5.2525252525252482</v>
      </c>
      <c r="L243" t="s">
        <v>17</v>
      </c>
      <c r="M243" t="s">
        <v>18</v>
      </c>
      <c r="N243" s="4" t="s">
        <v>4376</v>
      </c>
      <c r="O243" s="4" t="s">
        <v>4377</v>
      </c>
      <c r="P243" s="4" t="s">
        <v>233</v>
      </c>
    </row>
    <row r="244" spans="1:16" x14ac:dyDescent="0.35">
      <c r="A244" t="s">
        <v>7343</v>
      </c>
      <c r="B244" t="s">
        <v>7344</v>
      </c>
      <c r="C244" t="s">
        <v>16</v>
      </c>
      <c r="D244" s="6">
        <v>831830184.44779587</v>
      </c>
      <c r="E244" s="6">
        <v>1019130184.4477959</v>
      </c>
      <c r="F244" s="6">
        <v>11.729999542236328</v>
      </c>
      <c r="G244" s="6">
        <v>11.569999694824219</v>
      </c>
      <c r="H244" s="6">
        <v>18.451692966076457</v>
      </c>
      <c r="I244" s="6">
        <v>9.5986392892626116E-2</v>
      </c>
      <c r="J244" s="6">
        <v>1234700000</v>
      </c>
      <c r="K244" s="6" t="e">
        <v>#N/A</v>
      </c>
      <c r="L244" t="s">
        <v>6735</v>
      </c>
      <c r="M244" t="s">
        <v>6747</v>
      </c>
      <c r="N244" s="4" t="s">
        <v>7345</v>
      </c>
      <c r="O244" s="4" t="s">
        <v>7346</v>
      </c>
      <c r="P244" s="4" t="s">
        <v>233</v>
      </c>
    </row>
    <row r="245" spans="1:16" x14ac:dyDescent="0.35">
      <c r="A245" t="s">
        <v>7347</v>
      </c>
      <c r="B245" t="s">
        <v>7348</v>
      </c>
      <c r="C245" t="s">
        <v>16</v>
      </c>
      <c r="D245" s="6">
        <v>304751542.16012955</v>
      </c>
      <c r="E245" s="6" t="e">
        <v>#N/A</v>
      </c>
      <c r="F245" s="6">
        <v>23.020000457763672</v>
      </c>
      <c r="G245" s="6">
        <v>21.520000457763672</v>
      </c>
      <c r="H245" s="6">
        <v>21.570566258053752</v>
      </c>
      <c r="I245" s="6">
        <v>-0.29663602717959348</v>
      </c>
      <c r="J245" s="6">
        <v>306522000</v>
      </c>
      <c r="K245" s="6">
        <v>-60.846560846560841</v>
      </c>
      <c r="L245" t="s">
        <v>6518</v>
      </c>
      <c r="M245" t="s">
        <v>6714</v>
      </c>
      <c r="N245" s="4" t="s">
        <v>7349</v>
      </c>
      <c r="O245" s="4" t="s">
        <v>7350</v>
      </c>
      <c r="P245" s="4" t="s">
        <v>233</v>
      </c>
    </row>
    <row r="246" spans="1:16" x14ac:dyDescent="0.35">
      <c r="A246" t="s">
        <v>7351</v>
      </c>
      <c r="B246" t="s">
        <v>7352</v>
      </c>
      <c r="C246" t="s">
        <v>16</v>
      </c>
      <c r="D246" s="6">
        <v>784391318.78371251</v>
      </c>
      <c r="E246" s="6">
        <v>826671318.78371251</v>
      </c>
      <c r="F246" s="6">
        <v>10.739999771118164</v>
      </c>
      <c r="G246" s="6">
        <v>10.399999618530273</v>
      </c>
      <c r="H246" s="6">
        <v>48.292668737097962</v>
      </c>
      <c r="I246" s="6">
        <v>0.65767208986841075</v>
      </c>
      <c r="J246" s="6">
        <v>285112000</v>
      </c>
      <c r="K246" s="6">
        <v>5.2631578947368469</v>
      </c>
      <c r="L246" t="s">
        <v>6529</v>
      </c>
      <c r="M246" t="s">
        <v>6639</v>
      </c>
      <c r="N246" s="4" t="s">
        <v>7353</v>
      </c>
      <c r="O246" s="4" t="s">
        <v>7354</v>
      </c>
      <c r="P246" s="4" t="s">
        <v>233</v>
      </c>
    </row>
    <row r="247" spans="1:16" x14ac:dyDescent="0.35">
      <c r="A247" t="s">
        <v>7355</v>
      </c>
      <c r="B247" t="s">
        <v>7356</v>
      </c>
      <c r="C247" t="s">
        <v>16</v>
      </c>
      <c r="D247" s="6">
        <v>1657443883.7949798</v>
      </c>
      <c r="E247" s="6">
        <v>3431569883.79498</v>
      </c>
      <c r="F247" s="6">
        <v>9.2100000381469727</v>
      </c>
      <c r="G247" s="6">
        <v>9.5900001525878906</v>
      </c>
      <c r="H247" s="6">
        <v>54.22176193141901</v>
      </c>
      <c r="I247" s="6">
        <v>-0.27015440519881306</v>
      </c>
      <c r="J247" s="6">
        <v>1873342000</v>
      </c>
      <c r="K247" s="6">
        <v>-44.329896907216487</v>
      </c>
      <c r="L247" t="s">
        <v>6523</v>
      </c>
      <c r="M247" t="s">
        <v>6524</v>
      </c>
      <c r="N247" s="4" t="s">
        <v>7357</v>
      </c>
      <c r="O247" s="4" t="s">
        <v>7358</v>
      </c>
      <c r="P247" s="4" t="s">
        <v>233</v>
      </c>
    </row>
    <row r="248" spans="1:16" x14ac:dyDescent="0.35">
      <c r="A248" t="s">
        <v>7359</v>
      </c>
      <c r="B248" t="s">
        <v>7360</v>
      </c>
      <c r="C248" t="s">
        <v>16</v>
      </c>
      <c r="D248" s="6">
        <v>539733366.94930458</v>
      </c>
      <c r="E248" s="6">
        <v>729795661.71676719</v>
      </c>
      <c r="F248" s="6">
        <v>2.9000000953674316</v>
      </c>
      <c r="G248" s="6">
        <v>2.869999885559082</v>
      </c>
      <c r="H248" s="6" t="e">
        <v>#N/A</v>
      </c>
      <c r="I248" s="6">
        <v>-0.3924764837999194</v>
      </c>
      <c r="J248" s="6">
        <v>60899437.993317693</v>
      </c>
      <c r="K248" s="6">
        <v>-487.46416068661364</v>
      </c>
      <c r="L248" t="s">
        <v>6523</v>
      </c>
      <c r="M248" t="s">
        <v>6524</v>
      </c>
      <c r="N248" s="4" t="s">
        <v>7361</v>
      </c>
      <c r="O248" s="4" t="s">
        <v>7362</v>
      </c>
      <c r="P248" s="4" t="s">
        <v>233</v>
      </c>
    </row>
    <row r="249" spans="1:16" x14ac:dyDescent="0.35">
      <c r="A249" t="s">
        <v>7363</v>
      </c>
      <c r="B249" t="s">
        <v>463</v>
      </c>
      <c r="C249" t="s">
        <v>16</v>
      </c>
      <c r="D249" s="6">
        <v>319311797.79475206</v>
      </c>
      <c r="E249" s="6">
        <v>285642797.79475206</v>
      </c>
      <c r="F249" s="6">
        <v>27.100000381469727</v>
      </c>
      <c r="G249" s="6">
        <v>26.579999923706055</v>
      </c>
      <c r="H249" s="6" t="e">
        <v>#N/A</v>
      </c>
      <c r="I249" s="6">
        <v>0.29573070767131893</v>
      </c>
      <c r="J249" s="6">
        <v>21606000</v>
      </c>
      <c r="K249" s="6">
        <v>-22.420071174377224</v>
      </c>
      <c r="L249" t="s">
        <v>17</v>
      </c>
      <c r="M249" t="s">
        <v>18</v>
      </c>
      <c r="N249" s="4" t="s">
        <v>464</v>
      </c>
      <c r="O249" s="4" t="s">
        <v>465</v>
      </c>
      <c r="P249" s="4" t="s">
        <v>233</v>
      </c>
    </row>
    <row r="250" spans="1:16" x14ac:dyDescent="0.35">
      <c r="A250" t="s">
        <v>7364</v>
      </c>
      <c r="B250" t="s">
        <v>3387</v>
      </c>
      <c r="C250" t="s">
        <v>16</v>
      </c>
      <c r="D250" s="6">
        <v>1366093766.2735748</v>
      </c>
      <c r="E250" s="6">
        <v>1107686766.2735748</v>
      </c>
      <c r="F250" s="6">
        <v>23.270000457763672</v>
      </c>
      <c r="G250" s="6">
        <v>21.629999160766602</v>
      </c>
      <c r="H250" s="6" t="e">
        <v>#N/A</v>
      </c>
      <c r="I250" s="6">
        <v>3.2296985534783662E-2</v>
      </c>
      <c r="J250" s="6">
        <v>0</v>
      </c>
      <c r="K250" s="6">
        <v>90.178522123963617</v>
      </c>
      <c r="L250" t="s">
        <v>17</v>
      </c>
      <c r="M250" t="s">
        <v>18</v>
      </c>
      <c r="N250" s="4" t="s">
        <v>3388</v>
      </c>
      <c r="O250" s="4" t="s">
        <v>3389</v>
      </c>
      <c r="P250" s="4" t="s">
        <v>233</v>
      </c>
    </row>
    <row r="251" spans="1:16" x14ac:dyDescent="0.35">
      <c r="A251" t="s">
        <v>7365</v>
      </c>
      <c r="B251" t="s">
        <v>7366</v>
      </c>
      <c r="C251" t="s">
        <v>16</v>
      </c>
      <c r="D251" s="6">
        <v>1595148919.1882706</v>
      </c>
      <c r="E251" s="6">
        <v>1489332919.1882706</v>
      </c>
      <c r="F251" s="6">
        <v>9.2299995422363281</v>
      </c>
      <c r="G251" s="6">
        <v>9.119999885559082</v>
      </c>
      <c r="H251" s="6">
        <v>52.62047433817537</v>
      </c>
      <c r="I251" s="6">
        <v>-0.13944102031963646</v>
      </c>
      <c r="J251" s="6">
        <v>678838000</v>
      </c>
      <c r="K251" s="6">
        <v>179.99999999999994</v>
      </c>
      <c r="L251" t="s">
        <v>6547</v>
      </c>
      <c r="M251" t="s">
        <v>6548</v>
      </c>
      <c r="N251" s="4" t="s">
        <v>7367</v>
      </c>
      <c r="O251" s="4" t="s">
        <v>7368</v>
      </c>
      <c r="P251" s="4" t="s">
        <v>233</v>
      </c>
    </row>
    <row r="252" spans="1:16" x14ac:dyDescent="0.35">
      <c r="A252" t="s">
        <v>7369</v>
      </c>
      <c r="B252" t="s">
        <v>4184</v>
      </c>
      <c r="C252" t="s">
        <v>16</v>
      </c>
      <c r="D252" s="6">
        <v>780003343.53393734</v>
      </c>
      <c r="E252" s="6">
        <v>526958343.53393734</v>
      </c>
      <c r="F252" s="6">
        <v>27.850000381469727</v>
      </c>
      <c r="G252" s="6">
        <v>27.700000762939453</v>
      </c>
      <c r="H252" s="6">
        <v>139.2500019073486</v>
      </c>
      <c r="I252" s="6">
        <v>0.13173007633216116</v>
      </c>
      <c r="J252" s="6">
        <v>311878000</v>
      </c>
      <c r="K252" s="6" t="e">
        <v>#N/A</v>
      </c>
      <c r="L252" t="s">
        <v>17</v>
      </c>
      <c r="M252" t="s">
        <v>40</v>
      </c>
      <c r="N252" s="4" t="s">
        <v>4185</v>
      </c>
      <c r="O252" s="4" t="s">
        <v>4186</v>
      </c>
      <c r="P252" s="4" t="s">
        <v>233</v>
      </c>
    </row>
    <row r="253" spans="1:16" x14ac:dyDescent="0.35">
      <c r="A253" t="s">
        <v>7370</v>
      </c>
      <c r="B253" t="s">
        <v>4128</v>
      </c>
      <c r="C253" t="s">
        <v>16</v>
      </c>
      <c r="D253" s="6">
        <v>331011263.00173086</v>
      </c>
      <c r="E253" s="6">
        <v>308087263.00173086</v>
      </c>
      <c r="F253" s="6">
        <v>5.440000057220459</v>
      </c>
      <c r="G253" s="6">
        <v>5.4099998474121094</v>
      </c>
      <c r="H253" s="6" t="e">
        <v>#N/A</v>
      </c>
      <c r="I253" s="6">
        <v>-0.468865627113487</v>
      </c>
      <c r="J253" s="6">
        <v>302062000</v>
      </c>
      <c r="K253" s="6">
        <v>39.461883408071742</v>
      </c>
      <c r="L253" t="s">
        <v>17</v>
      </c>
      <c r="M253" t="s">
        <v>32</v>
      </c>
      <c r="N253" s="4" t="s">
        <v>4129</v>
      </c>
      <c r="O253" s="4" t="s">
        <v>4130</v>
      </c>
      <c r="P253" s="4" t="s">
        <v>233</v>
      </c>
    </row>
    <row r="254" spans="1:16" x14ac:dyDescent="0.35">
      <c r="A254" t="s">
        <v>7371</v>
      </c>
      <c r="B254" t="s">
        <v>5089</v>
      </c>
      <c r="C254" t="s">
        <v>16</v>
      </c>
      <c r="D254" s="6">
        <v>449051787.45664501</v>
      </c>
      <c r="E254" s="6">
        <v>1471975787.456645</v>
      </c>
      <c r="F254" s="6">
        <v>1.5399999618530273</v>
      </c>
      <c r="G254" s="6">
        <v>1.5499999523162842</v>
      </c>
      <c r="H254" s="6" t="e">
        <v>#N/A</v>
      </c>
      <c r="I254" s="6">
        <v>0.16617536848043502</v>
      </c>
      <c r="J254" s="6">
        <v>0</v>
      </c>
      <c r="K254" s="6">
        <v>5.7011864406779527</v>
      </c>
      <c r="L254" t="s">
        <v>17</v>
      </c>
      <c r="M254" t="s">
        <v>18</v>
      </c>
      <c r="N254" s="4" t="s">
        <v>233</v>
      </c>
      <c r="O254" s="4" t="s">
        <v>5090</v>
      </c>
      <c r="P254" s="4" t="s">
        <v>13082</v>
      </c>
    </row>
    <row r="255" spans="1:16" x14ac:dyDescent="0.35">
      <c r="A255" t="s">
        <v>7372</v>
      </c>
      <c r="B255" t="s">
        <v>7373</v>
      </c>
      <c r="C255" t="s">
        <v>16</v>
      </c>
      <c r="D255" s="6">
        <v>1751600001.7829018</v>
      </c>
      <c r="E255" s="6">
        <v>1783462001.7829018</v>
      </c>
      <c r="F255" s="6">
        <v>35.340000152587891</v>
      </c>
      <c r="G255" s="6">
        <v>34.299999237060547</v>
      </c>
      <c r="H255" s="6" t="e">
        <v>#N/A</v>
      </c>
      <c r="I255" s="6">
        <v>5.4143652274065035E-2</v>
      </c>
      <c r="J255" s="6">
        <v>463406000</v>
      </c>
      <c r="K255" s="6">
        <v>16.071428571428573</v>
      </c>
      <c r="L255" t="s">
        <v>6547</v>
      </c>
      <c r="M255" t="s">
        <v>6875</v>
      </c>
      <c r="N255" s="4" t="s">
        <v>7374</v>
      </c>
      <c r="O255" s="4" t="s">
        <v>7375</v>
      </c>
      <c r="P255" s="4" t="s">
        <v>233</v>
      </c>
    </row>
    <row r="256" spans="1:16" x14ac:dyDescent="0.35">
      <c r="A256" t="s">
        <v>7376</v>
      </c>
      <c r="B256" t="s">
        <v>5111</v>
      </c>
      <c r="C256" t="s">
        <v>16</v>
      </c>
      <c r="D256" s="6">
        <v>70742558.226844072</v>
      </c>
      <c r="E256" s="6">
        <v>-51021441.773155928</v>
      </c>
      <c r="F256" s="6">
        <v>2.4500000476837158</v>
      </c>
      <c r="G256" s="6">
        <v>2.4600000381469727</v>
      </c>
      <c r="H256" s="6" t="e">
        <v>#N/A</v>
      </c>
      <c r="I256" s="6">
        <v>-0.87920447253028355</v>
      </c>
      <c r="J256" s="6">
        <v>0</v>
      </c>
      <c r="K256" s="6">
        <v>-36.666666666666664</v>
      </c>
      <c r="L256" t="s">
        <v>17</v>
      </c>
      <c r="M256" t="s">
        <v>18</v>
      </c>
      <c r="N256" s="4" t="s">
        <v>5112</v>
      </c>
      <c r="O256" s="4" t="s">
        <v>5113</v>
      </c>
      <c r="P256" s="4" t="s">
        <v>233</v>
      </c>
    </row>
    <row r="257" spans="1:16" x14ac:dyDescent="0.35">
      <c r="A257" t="s">
        <v>7377</v>
      </c>
      <c r="B257" t="s">
        <v>7378</v>
      </c>
      <c r="C257" t="s">
        <v>16</v>
      </c>
      <c r="D257" s="6">
        <v>1751960788.6546211</v>
      </c>
      <c r="E257" s="6">
        <v>1785581788.6546211</v>
      </c>
      <c r="F257" s="6">
        <v>10.770000457763672</v>
      </c>
      <c r="G257" s="6">
        <v>10.550000190734863</v>
      </c>
      <c r="H257" s="6">
        <v>50.778415910398358</v>
      </c>
      <c r="I257" s="6">
        <v>-0.32488421498257369</v>
      </c>
      <c r="J257" s="6">
        <v>511358000</v>
      </c>
      <c r="K257" s="6">
        <v>299.99999999999989</v>
      </c>
      <c r="L257" t="s">
        <v>6514</v>
      </c>
      <c r="M257" t="s">
        <v>6534</v>
      </c>
      <c r="N257" s="4" t="s">
        <v>7379</v>
      </c>
      <c r="O257" s="4" t="s">
        <v>7380</v>
      </c>
      <c r="P257" s="4" t="s">
        <v>233</v>
      </c>
    </row>
    <row r="258" spans="1:16" x14ac:dyDescent="0.35">
      <c r="A258" t="s">
        <v>7381</v>
      </c>
      <c r="B258" t="s">
        <v>7382</v>
      </c>
      <c r="C258" t="s">
        <v>16</v>
      </c>
      <c r="D258" s="6">
        <v>5653125965.6970215</v>
      </c>
      <c r="E258" s="6">
        <v>5388538965.6970215</v>
      </c>
      <c r="F258" s="6">
        <v>71.199996948242188</v>
      </c>
      <c r="G258" s="6">
        <v>69.319999694824219</v>
      </c>
      <c r="H258" s="6" t="e">
        <v>#N/A</v>
      </c>
      <c r="I258" s="6">
        <v>0.69682404636247242</v>
      </c>
      <c r="J258" s="6">
        <v>465029000</v>
      </c>
      <c r="K258" s="6">
        <v>63.75</v>
      </c>
      <c r="L258" t="s">
        <v>6518</v>
      </c>
      <c r="M258" t="s">
        <v>6519</v>
      </c>
      <c r="N258" s="4" t="s">
        <v>7383</v>
      </c>
      <c r="O258" s="4" t="s">
        <v>7384</v>
      </c>
      <c r="P258" s="4" t="s">
        <v>233</v>
      </c>
    </row>
    <row r="259" spans="1:16" x14ac:dyDescent="0.35">
      <c r="A259" t="s">
        <v>7385</v>
      </c>
      <c r="B259" t="s">
        <v>5107</v>
      </c>
      <c r="C259" t="s">
        <v>16</v>
      </c>
      <c r="D259" s="6">
        <v>369451008.60631371</v>
      </c>
      <c r="E259" s="6" t="e">
        <v>#N/A</v>
      </c>
      <c r="F259" s="6">
        <v>14.699999809265137</v>
      </c>
      <c r="G259" s="6">
        <v>14.25</v>
      </c>
      <c r="H259" s="6" t="e">
        <v>#N/A</v>
      </c>
      <c r="I259" s="6">
        <v>-0.37657591175307503</v>
      </c>
      <c r="J259" s="6">
        <v>51292000</v>
      </c>
      <c r="K259" s="6">
        <v>-33.165829145728637</v>
      </c>
      <c r="L259" t="s">
        <v>17</v>
      </c>
      <c r="M259" t="s">
        <v>27</v>
      </c>
      <c r="N259" s="4" t="s">
        <v>5108</v>
      </c>
      <c r="O259" s="4" t="s">
        <v>5109</v>
      </c>
      <c r="P259" s="4" t="s">
        <v>233</v>
      </c>
    </row>
    <row r="260" spans="1:16" x14ac:dyDescent="0.35">
      <c r="A260" t="s">
        <v>7386</v>
      </c>
      <c r="B260" t="s">
        <v>3892</v>
      </c>
      <c r="C260" t="s">
        <v>16</v>
      </c>
      <c r="D260" s="6">
        <v>503307906.91197348</v>
      </c>
      <c r="E260" s="6">
        <v>467169906.91197348</v>
      </c>
      <c r="F260" s="6">
        <v>6.440000057220459</v>
      </c>
      <c r="G260" s="6">
        <v>6.2800002098083496</v>
      </c>
      <c r="H260" s="6" t="e">
        <v>#N/A</v>
      </c>
      <c r="I260" s="6">
        <v>-3.8702013154876203E-2</v>
      </c>
      <c r="J260" s="6">
        <v>13929000</v>
      </c>
      <c r="K260" s="6">
        <v>47.179910842820036</v>
      </c>
      <c r="L260" t="s">
        <v>17</v>
      </c>
      <c r="M260" t="s">
        <v>18</v>
      </c>
      <c r="N260" s="4" t="s">
        <v>233</v>
      </c>
      <c r="O260" s="4" t="s">
        <v>3893</v>
      </c>
      <c r="P260" s="4" t="s">
        <v>13088</v>
      </c>
    </row>
    <row r="261" spans="1:16" x14ac:dyDescent="0.35">
      <c r="A261" t="s">
        <v>13471</v>
      </c>
      <c r="B261" t="s">
        <v>4363</v>
      </c>
      <c r="C261" t="s">
        <v>16</v>
      </c>
      <c r="D261" s="6">
        <v>12862428.050488474</v>
      </c>
      <c r="E261" s="6">
        <v>-3439571.9495115336</v>
      </c>
      <c r="F261" s="6">
        <v>0.19650000333786011</v>
      </c>
      <c r="G261" s="6">
        <v>0.19460000097751617</v>
      </c>
      <c r="H261" s="6" t="e">
        <v>#N/A</v>
      </c>
      <c r="I261" s="6">
        <v>-0.95929546491873419</v>
      </c>
      <c r="J261" s="6">
        <v>1471000</v>
      </c>
      <c r="K261" s="6">
        <v>4.191204874196834</v>
      </c>
      <c r="L261" t="s">
        <v>17</v>
      </c>
      <c r="M261" t="s">
        <v>87</v>
      </c>
      <c r="N261" s="4" t="s">
        <v>4364</v>
      </c>
      <c r="O261" s="4" t="s">
        <v>4365</v>
      </c>
      <c r="P261" s="4" t="s">
        <v>233</v>
      </c>
    </row>
    <row r="262" spans="1:16" x14ac:dyDescent="0.35">
      <c r="A262" t="s">
        <v>7387</v>
      </c>
      <c r="B262" t="s">
        <v>7388</v>
      </c>
      <c r="C262" t="s">
        <v>16</v>
      </c>
      <c r="D262" s="6">
        <v>299362183.18453217</v>
      </c>
      <c r="E262" s="6">
        <v>247803183.18453217</v>
      </c>
      <c r="F262" s="6">
        <v>28.969999313354492</v>
      </c>
      <c r="G262" s="6">
        <v>28.649999618530273</v>
      </c>
      <c r="H262" s="6" t="e">
        <v>#N/A</v>
      </c>
      <c r="I262" s="6">
        <v>-0.36725558749659648</v>
      </c>
      <c r="J262" s="6">
        <v>561851000</v>
      </c>
      <c r="K262" s="6" t="e">
        <v>#N/A</v>
      </c>
      <c r="L262" t="s">
        <v>6540</v>
      </c>
      <c r="M262" t="s">
        <v>6571</v>
      </c>
      <c r="N262" s="4" t="s">
        <v>7389</v>
      </c>
      <c r="O262" s="4" t="s">
        <v>7390</v>
      </c>
      <c r="P262" s="4" t="s">
        <v>233</v>
      </c>
    </row>
    <row r="263" spans="1:16" x14ac:dyDescent="0.35">
      <c r="A263" t="s">
        <v>7391</v>
      </c>
      <c r="B263" t="s">
        <v>7392</v>
      </c>
      <c r="C263" t="s">
        <v>16</v>
      </c>
      <c r="D263" s="6">
        <v>1426508179.1004238</v>
      </c>
      <c r="E263" s="6">
        <v>2303352179.1004238</v>
      </c>
      <c r="F263" s="6">
        <v>18.079999923706055</v>
      </c>
      <c r="G263" s="6">
        <v>17.899999618530273</v>
      </c>
      <c r="H263" s="6">
        <v>100.91538247212578</v>
      </c>
      <c r="I263" s="6">
        <v>0.28931120577273672</v>
      </c>
      <c r="J263" s="6">
        <v>246084000</v>
      </c>
      <c r="K263" s="6" t="e">
        <v>#N/A</v>
      </c>
      <c r="L263" t="s">
        <v>6623</v>
      </c>
      <c r="M263" t="s">
        <v>7086</v>
      </c>
      <c r="N263" s="4" t="s">
        <v>7393</v>
      </c>
      <c r="O263" s="4" t="s">
        <v>7394</v>
      </c>
      <c r="P263" s="4" t="s">
        <v>233</v>
      </c>
    </row>
    <row r="264" spans="1:16" x14ac:dyDescent="0.35">
      <c r="A264" t="s">
        <v>7395</v>
      </c>
      <c r="B264" t="s">
        <v>7396</v>
      </c>
      <c r="C264" t="s">
        <v>16</v>
      </c>
      <c r="D264" s="6">
        <v>261347833.24457645</v>
      </c>
      <c r="E264" s="6">
        <v>328288833.24457645</v>
      </c>
      <c r="F264" s="6">
        <v>10.119999885559082</v>
      </c>
      <c r="G264" s="6">
        <v>10</v>
      </c>
      <c r="H264" s="6" t="e">
        <v>#N/A</v>
      </c>
      <c r="I264" s="6">
        <v>-0.10336356239206523</v>
      </c>
      <c r="J264" s="6">
        <v>107223000</v>
      </c>
      <c r="K264" s="6">
        <v>46.216988766597318</v>
      </c>
      <c r="L264" t="s">
        <v>6547</v>
      </c>
      <c r="M264" t="s">
        <v>6548</v>
      </c>
      <c r="N264" s="4" t="s">
        <v>7397</v>
      </c>
      <c r="O264" s="4" t="s">
        <v>7398</v>
      </c>
      <c r="P264" s="4" t="s">
        <v>233</v>
      </c>
    </row>
    <row r="265" spans="1:16" x14ac:dyDescent="0.35">
      <c r="A265" t="s">
        <v>7399</v>
      </c>
      <c r="B265" t="s">
        <v>2919</v>
      </c>
      <c r="C265" t="s">
        <v>16</v>
      </c>
      <c r="D265" s="6">
        <v>142367916.24999997</v>
      </c>
      <c r="E265" s="6">
        <v>-48232536.470000029</v>
      </c>
      <c r="F265" s="6">
        <v>1.25</v>
      </c>
      <c r="G265" s="6">
        <v>1.190000057220459</v>
      </c>
      <c r="H265" s="6" t="e">
        <v>#N/A</v>
      </c>
      <c r="I265" s="6">
        <v>-0.81693464825233908</v>
      </c>
      <c r="J265" s="6">
        <v>13447000</v>
      </c>
      <c r="K265" s="6">
        <v>6.7796610169491585</v>
      </c>
      <c r="L265" t="s">
        <v>17</v>
      </c>
      <c r="M265" t="s">
        <v>18</v>
      </c>
      <c r="N265" s="4" t="s">
        <v>2920</v>
      </c>
      <c r="O265" s="4" t="s">
        <v>2921</v>
      </c>
      <c r="P265" s="4" t="s">
        <v>233</v>
      </c>
    </row>
    <row r="266" spans="1:16" x14ac:dyDescent="0.35">
      <c r="A266" t="s">
        <v>7400</v>
      </c>
      <c r="B266" t="s">
        <v>7401</v>
      </c>
      <c r="C266" t="s">
        <v>16</v>
      </c>
      <c r="D266" s="6">
        <v>256965182.39896205</v>
      </c>
      <c r="E266" s="6">
        <v>434565182.39896202</v>
      </c>
      <c r="F266" s="6">
        <v>9.5600004196166992</v>
      </c>
      <c r="G266" s="6">
        <v>9.2600002288818359</v>
      </c>
      <c r="H266" s="6" t="e">
        <v>#N/A</v>
      </c>
      <c r="I266" s="6">
        <v>-8.2317594918859371E-2</v>
      </c>
      <c r="J266" s="6">
        <v>289772000</v>
      </c>
      <c r="K266" s="6">
        <v>-89.473684210526315</v>
      </c>
      <c r="L266" t="s">
        <v>6735</v>
      </c>
      <c r="M266" t="s">
        <v>6747</v>
      </c>
      <c r="N266" s="4" t="s">
        <v>233</v>
      </c>
      <c r="O266" s="4" t="s">
        <v>7402</v>
      </c>
      <c r="P266" s="4" t="s">
        <v>13205</v>
      </c>
    </row>
    <row r="267" spans="1:16" x14ac:dyDescent="0.35">
      <c r="A267" t="s">
        <v>7403</v>
      </c>
      <c r="B267" t="s">
        <v>7404</v>
      </c>
      <c r="C267" t="s">
        <v>16</v>
      </c>
      <c r="D267" s="6">
        <v>253653884.04507589</v>
      </c>
      <c r="E267" s="6">
        <v>4236204884.0450759</v>
      </c>
      <c r="F267" s="6">
        <v>2.0299999713897705</v>
      </c>
      <c r="G267" s="6">
        <v>2.0099999904632568</v>
      </c>
      <c r="H267" s="6" t="e">
        <v>#N/A</v>
      </c>
      <c r="I267" s="6">
        <v>-0.83210300474032017</v>
      </c>
      <c r="J267" s="6">
        <v>809977000</v>
      </c>
      <c r="K267" s="6">
        <v>-55.813953488372086</v>
      </c>
      <c r="L267" t="s">
        <v>6719</v>
      </c>
      <c r="M267" t="s">
        <v>7138</v>
      </c>
      <c r="N267" s="4" t="s">
        <v>7405</v>
      </c>
      <c r="O267" s="4" t="s">
        <v>7406</v>
      </c>
      <c r="P267" s="4" t="s">
        <v>233</v>
      </c>
    </row>
    <row r="268" spans="1:16" x14ac:dyDescent="0.35">
      <c r="A268" t="s">
        <v>7407</v>
      </c>
      <c r="B268" t="s">
        <v>7408</v>
      </c>
      <c r="C268" t="s">
        <v>16</v>
      </c>
      <c r="D268" s="6">
        <v>2236030913.2313232</v>
      </c>
      <c r="E268" s="6">
        <v>3228889913.2313232</v>
      </c>
      <c r="F268" s="6">
        <v>11.130000114440918</v>
      </c>
      <c r="G268" s="6">
        <v>11.079999923706055</v>
      </c>
      <c r="H268" s="6">
        <v>74.288651887525234</v>
      </c>
      <c r="I268" s="6">
        <v>6.6864569922123307E-2</v>
      </c>
      <c r="J268" s="6">
        <v>910264000</v>
      </c>
      <c r="K268" s="6">
        <v>90</v>
      </c>
      <c r="L268" t="s">
        <v>6623</v>
      </c>
      <c r="M268" t="s">
        <v>7409</v>
      </c>
      <c r="N268" s="4" t="s">
        <v>7410</v>
      </c>
      <c r="O268" s="4" t="s">
        <v>7411</v>
      </c>
      <c r="P268" s="4" t="s">
        <v>233</v>
      </c>
    </row>
    <row r="269" spans="1:16" x14ac:dyDescent="0.35">
      <c r="A269" t="s">
        <v>7412</v>
      </c>
      <c r="B269" t="s">
        <v>7413</v>
      </c>
      <c r="C269" t="s">
        <v>16</v>
      </c>
      <c r="D269" s="6">
        <v>1562364524.9320707</v>
      </c>
      <c r="E269" s="6">
        <v>1298662524.9320707</v>
      </c>
      <c r="F269" s="6">
        <v>13.119999885559082</v>
      </c>
      <c r="G269" s="6">
        <v>13</v>
      </c>
      <c r="H269" s="6" t="e">
        <v>#N/A</v>
      </c>
      <c r="I269" s="6">
        <v>-0.28861071423988394</v>
      </c>
      <c r="J269" s="6">
        <v>1456045000</v>
      </c>
      <c r="K269" s="6">
        <v>-2700.000000000005</v>
      </c>
      <c r="L269" t="s">
        <v>6540</v>
      </c>
      <c r="M269" t="s">
        <v>6797</v>
      </c>
      <c r="N269" s="4" t="s">
        <v>7414</v>
      </c>
      <c r="O269" s="4" t="s">
        <v>7415</v>
      </c>
      <c r="P269" s="4" t="s">
        <v>233</v>
      </c>
    </row>
    <row r="270" spans="1:16" x14ac:dyDescent="0.35">
      <c r="A270" t="s">
        <v>7416</v>
      </c>
      <c r="B270" t="s">
        <v>7417</v>
      </c>
      <c r="C270" t="s">
        <v>16</v>
      </c>
      <c r="D270" s="6">
        <v>421706901.29411608</v>
      </c>
      <c r="E270" s="6" t="e">
        <v>#N/A</v>
      </c>
      <c r="F270" s="6">
        <v>5.119999885559082</v>
      </c>
      <c r="G270" s="6">
        <v>5.2800002098083496</v>
      </c>
      <c r="H270" s="6" t="e">
        <v>#N/A</v>
      </c>
      <c r="I270" s="6">
        <v>-0.37449337314541398</v>
      </c>
      <c r="J270" s="6">
        <v>545124000</v>
      </c>
      <c r="K270" s="6">
        <v>60.056657223796037</v>
      </c>
      <c r="L270" t="s">
        <v>6529</v>
      </c>
      <c r="M270" t="s">
        <v>6530</v>
      </c>
      <c r="N270" s="4" t="s">
        <v>7418</v>
      </c>
      <c r="O270" s="4" t="s">
        <v>7419</v>
      </c>
      <c r="P270" s="4" t="s">
        <v>233</v>
      </c>
    </row>
    <row r="271" spans="1:16" x14ac:dyDescent="0.35">
      <c r="A271" t="s">
        <v>7420</v>
      </c>
      <c r="B271" t="s">
        <v>4096</v>
      </c>
      <c r="C271" t="s">
        <v>16</v>
      </c>
      <c r="D271" s="6">
        <v>62983759.231943965</v>
      </c>
      <c r="E271" s="6">
        <v>-33912240.768056035</v>
      </c>
      <c r="F271" s="6">
        <v>0.54129999876022339</v>
      </c>
      <c r="G271" s="6">
        <v>0.57999998331069946</v>
      </c>
      <c r="H271" s="6" t="e">
        <v>#N/A</v>
      </c>
      <c r="I271" s="6">
        <v>-0.80718206918886626</v>
      </c>
      <c r="J271" s="6">
        <v>10449000</v>
      </c>
      <c r="K271" s="6">
        <v>-12.406349138366165</v>
      </c>
      <c r="L271" t="s">
        <v>17</v>
      </c>
      <c r="M271" t="s">
        <v>18</v>
      </c>
      <c r="N271" s="4" t="s">
        <v>4097</v>
      </c>
      <c r="O271" s="4" t="s">
        <v>4098</v>
      </c>
      <c r="P271" s="4" t="s">
        <v>233</v>
      </c>
    </row>
    <row r="272" spans="1:16" x14ac:dyDescent="0.35">
      <c r="A272" t="s">
        <v>7421</v>
      </c>
      <c r="B272" t="s">
        <v>7422</v>
      </c>
      <c r="C272" t="s">
        <v>16</v>
      </c>
      <c r="D272" s="6">
        <v>899291160.75970459</v>
      </c>
      <c r="E272" s="6">
        <v>1311291160.7597046</v>
      </c>
      <c r="F272" s="6">
        <v>51.330001831054688</v>
      </c>
      <c r="G272" s="6">
        <v>51.950000762939453</v>
      </c>
      <c r="H272" s="6">
        <v>5.7609429664483374</v>
      </c>
      <c r="I272" s="6">
        <v>-0.27256490305094661</v>
      </c>
      <c r="J272" s="6">
        <v>4267900000</v>
      </c>
      <c r="K272" s="6">
        <v>43.037974683544299</v>
      </c>
      <c r="L272" t="s">
        <v>6547</v>
      </c>
      <c r="M272" t="s">
        <v>6668</v>
      </c>
      <c r="N272" s="4" t="s">
        <v>7423</v>
      </c>
      <c r="O272" s="4" t="s">
        <v>7424</v>
      </c>
      <c r="P272" s="4" t="s">
        <v>233</v>
      </c>
    </row>
    <row r="273" spans="1:16" x14ac:dyDescent="0.35">
      <c r="A273" t="s">
        <v>7425</v>
      </c>
      <c r="B273" t="s">
        <v>7426</v>
      </c>
      <c r="C273" t="s">
        <v>16</v>
      </c>
      <c r="D273" s="6">
        <v>1166534292.5675812</v>
      </c>
      <c r="E273" s="6" t="e">
        <v>#N/A</v>
      </c>
      <c r="F273" s="6">
        <v>37.389999389648438</v>
      </c>
      <c r="G273" s="6">
        <v>37.509998321533203</v>
      </c>
      <c r="H273" s="6">
        <v>14.76108843966664</v>
      </c>
      <c r="I273" s="6">
        <v>0.55494012949841576</v>
      </c>
      <c r="J273" s="6">
        <v>419597000</v>
      </c>
      <c r="K273" s="6">
        <v>1.2448132780082906</v>
      </c>
      <c r="L273" t="s">
        <v>6529</v>
      </c>
      <c r="M273" t="s">
        <v>6530</v>
      </c>
      <c r="N273" s="4" t="s">
        <v>7427</v>
      </c>
      <c r="O273" s="4" t="s">
        <v>7428</v>
      </c>
      <c r="P273" s="4" t="s">
        <v>233</v>
      </c>
    </row>
    <row r="274" spans="1:16" x14ac:dyDescent="0.35">
      <c r="A274" t="s">
        <v>7429</v>
      </c>
      <c r="B274" t="s">
        <v>7430</v>
      </c>
      <c r="C274" t="s">
        <v>16</v>
      </c>
      <c r="D274" s="6">
        <v>3035368445.7325516</v>
      </c>
      <c r="E274" s="6">
        <v>4025831445.7325516</v>
      </c>
      <c r="F274" s="6">
        <v>19.850000381469727</v>
      </c>
      <c r="G274" s="6">
        <v>20.159999847412109</v>
      </c>
      <c r="H274" s="6">
        <v>20.912083266403847</v>
      </c>
      <c r="I274" s="6">
        <v>-2.2639453815598842E-2</v>
      </c>
      <c r="J274" s="6">
        <v>618668000</v>
      </c>
      <c r="K274" s="6" t="e">
        <v>#N/A</v>
      </c>
      <c r="L274" t="s">
        <v>6523</v>
      </c>
      <c r="M274" t="s">
        <v>6524</v>
      </c>
      <c r="N274" s="4" t="s">
        <v>7431</v>
      </c>
      <c r="O274" s="4" t="s">
        <v>7432</v>
      </c>
      <c r="P274" s="4" t="s">
        <v>233</v>
      </c>
    </row>
    <row r="275" spans="1:16" x14ac:dyDescent="0.35">
      <c r="A275" t="s">
        <v>7433</v>
      </c>
      <c r="B275" t="s">
        <v>7434</v>
      </c>
      <c r="C275" t="s">
        <v>16</v>
      </c>
      <c r="D275" s="6">
        <v>4509521715.8279877</v>
      </c>
      <c r="E275" s="6">
        <v>5641104715.8279877</v>
      </c>
      <c r="F275" s="6">
        <v>80.599998474121094</v>
      </c>
      <c r="G275" s="6">
        <v>78.660003662109375</v>
      </c>
      <c r="H275" s="6">
        <v>67.336127983860294</v>
      </c>
      <c r="I275" s="6">
        <v>0.69474818932695359</v>
      </c>
      <c r="J275" s="6">
        <v>1988964000</v>
      </c>
      <c r="K275" s="6">
        <v>-1.2839090909090807</v>
      </c>
      <c r="L275" t="s">
        <v>6547</v>
      </c>
      <c r="M275" t="s">
        <v>6651</v>
      </c>
      <c r="N275" s="4" t="s">
        <v>7435</v>
      </c>
      <c r="O275" s="4" t="s">
        <v>7436</v>
      </c>
      <c r="P275" s="4" t="s">
        <v>233</v>
      </c>
    </row>
    <row r="276" spans="1:16" x14ac:dyDescent="0.35">
      <c r="A276" t="s">
        <v>7437</v>
      </c>
      <c r="B276" t="s">
        <v>2808</v>
      </c>
      <c r="C276" t="s">
        <v>16</v>
      </c>
      <c r="D276" s="6">
        <v>74670151.823013067</v>
      </c>
      <c r="E276" s="6">
        <v>-11393848.176986933</v>
      </c>
      <c r="F276" s="6">
        <v>1.1399999856948853</v>
      </c>
      <c r="G276" s="6">
        <v>1.1200000047683716</v>
      </c>
      <c r="H276" s="6" t="e">
        <v>#N/A</v>
      </c>
      <c r="I276" s="6">
        <v>-0.30839258260039182</v>
      </c>
      <c r="J276" s="6">
        <v>0</v>
      </c>
      <c r="K276" s="6">
        <v>32.704402515723274</v>
      </c>
      <c r="L276" t="s">
        <v>17</v>
      </c>
      <c r="M276" t="s">
        <v>18</v>
      </c>
      <c r="N276" s="4" t="s">
        <v>2809</v>
      </c>
      <c r="O276" s="4" t="s">
        <v>2810</v>
      </c>
      <c r="P276" s="4" t="s">
        <v>233</v>
      </c>
    </row>
    <row r="277" spans="1:16" x14ac:dyDescent="0.35">
      <c r="A277" t="s">
        <v>7438</v>
      </c>
      <c r="B277" t="s">
        <v>7439</v>
      </c>
      <c r="C277" t="s">
        <v>16</v>
      </c>
      <c r="D277" s="6">
        <v>131825457.5</v>
      </c>
      <c r="E277" s="6">
        <v>348281457.5</v>
      </c>
      <c r="F277" s="6">
        <v>2.5</v>
      </c>
      <c r="G277" s="6">
        <v>2.5799999237060547</v>
      </c>
      <c r="H277" s="6" t="e">
        <v>#N/A</v>
      </c>
      <c r="I277" s="6">
        <v>-0.37341579099543476</v>
      </c>
      <c r="J277" s="6">
        <v>1177258000</v>
      </c>
      <c r="K277" s="6">
        <v>81.25</v>
      </c>
      <c r="L277" t="s">
        <v>6735</v>
      </c>
      <c r="M277" t="s">
        <v>6736</v>
      </c>
      <c r="N277" s="4" t="s">
        <v>7440</v>
      </c>
      <c r="O277" s="4" t="s">
        <v>7441</v>
      </c>
      <c r="P277" s="4" t="s">
        <v>233</v>
      </c>
    </row>
    <row r="278" spans="1:16" x14ac:dyDescent="0.35">
      <c r="A278" t="s">
        <v>7442</v>
      </c>
      <c r="B278" t="s">
        <v>7443</v>
      </c>
      <c r="C278" t="s">
        <v>16</v>
      </c>
      <c r="D278" s="6">
        <v>2092872581.5257034</v>
      </c>
      <c r="E278" s="6">
        <v>2279539406.5257034</v>
      </c>
      <c r="F278" s="6">
        <v>73.870002746582031</v>
      </c>
      <c r="G278" s="6">
        <v>72.779998779296875</v>
      </c>
      <c r="H278" s="6">
        <v>13.048984785944551</v>
      </c>
      <c r="I278" s="6">
        <v>-0.1362112864284033</v>
      </c>
      <c r="J278" s="6">
        <v>310929000</v>
      </c>
      <c r="K278" s="6">
        <v>-2.515471698113215</v>
      </c>
      <c r="L278" t="s">
        <v>6623</v>
      </c>
      <c r="M278" t="s">
        <v>7444</v>
      </c>
      <c r="N278" s="4" t="s">
        <v>7445</v>
      </c>
      <c r="O278" s="4" t="s">
        <v>7446</v>
      </c>
      <c r="P278" s="4" t="s">
        <v>233</v>
      </c>
    </row>
    <row r="279" spans="1:16" x14ac:dyDescent="0.35">
      <c r="A279" t="s">
        <v>7447</v>
      </c>
      <c r="B279" t="s">
        <v>7448</v>
      </c>
      <c r="C279" t="s">
        <v>16</v>
      </c>
      <c r="D279" s="6">
        <v>81757434.557500124</v>
      </c>
      <c r="E279" s="6">
        <v>65677434.557500124</v>
      </c>
      <c r="F279" s="6">
        <v>1.3799999952316284</v>
      </c>
      <c r="G279" s="6">
        <v>1.4199999570846558</v>
      </c>
      <c r="H279" s="6" t="e">
        <v>#N/A</v>
      </c>
      <c r="I279" s="6">
        <v>-0.3939059526644717</v>
      </c>
      <c r="J279" s="6">
        <v>200882000</v>
      </c>
      <c r="K279" s="6">
        <v>-55.357142857142861</v>
      </c>
      <c r="L279" t="s">
        <v>6540</v>
      </c>
      <c r="M279" t="s">
        <v>6541</v>
      </c>
      <c r="N279" s="4" t="s">
        <v>7449</v>
      </c>
      <c r="O279" s="4" t="s">
        <v>7450</v>
      </c>
      <c r="P279" s="4" t="s">
        <v>233</v>
      </c>
    </row>
    <row r="280" spans="1:16" x14ac:dyDescent="0.35">
      <c r="A280" t="s">
        <v>7451</v>
      </c>
      <c r="B280" t="s">
        <v>7452</v>
      </c>
      <c r="C280" t="s">
        <v>16</v>
      </c>
      <c r="D280" s="6">
        <v>467139947.14715576</v>
      </c>
      <c r="E280" s="6" t="e">
        <v>#N/A</v>
      </c>
      <c r="F280" s="6">
        <v>40.889999389648438</v>
      </c>
      <c r="G280" s="6">
        <v>40.840000152587891</v>
      </c>
      <c r="H280" s="6">
        <v>14.923357441477531</v>
      </c>
      <c r="I280" s="6">
        <v>0.37553735067974903</v>
      </c>
      <c r="J280" s="6">
        <v>183897000</v>
      </c>
      <c r="K280" s="6">
        <v>7.0038910505836638</v>
      </c>
      <c r="L280" t="s">
        <v>6529</v>
      </c>
      <c r="M280" t="s">
        <v>6530</v>
      </c>
      <c r="N280" s="4" t="s">
        <v>7453</v>
      </c>
      <c r="O280" s="4" t="s">
        <v>7454</v>
      </c>
      <c r="P280" s="4" t="s">
        <v>233</v>
      </c>
    </row>
    <row r="281" spans="1:16" x14ac:dyDescent="0.35">
      <c r="A281" t="s">
        <v>7455</v>
      </c>
      <c r="B281" t="s">
        <v>2729</v>
      </c>
      <c r="C281" t="s">
        <v>16</v>
      </c>
      <c r="D281" s="6">
        <v>1529951183.3867111</v>
      </c>
      <c r="E281" s="6">
        <v>1909308183.3867111</v>
      </c>
      <c r="F281" s="6">
        <v>31.819999694824219</v>
      </c>
      <c r="G281" s="6">
        <v>32.110000610351563</v>
      </c>
      <c r="H281" s="6">
        <v>9.8828315135063445</v>
      </c>
      <c r="I281" s="6">
        <v>-0.43111010158892182</v>
      </c>
      <c r="J281" s="6">
        <v>723549000</v>
      </c>
      <c r="K281" s="6">
        <v>16.264787352019635</v>
      </c>
      <c r="L281" t="s">
        <v>17</v>
      </c>
      <c r="M281" t="s">
        <v>87</v>
      </c>
      <c r="N281" s="4" t="s">
        <v>2730</v>
      </c>
      <c r="O281" s="4" t="s">
        <v>2731</v>
      </c>
      <c r="P281" s="4" t="s">
        <v>233</v>
      </c>
    </row>
    <row r="282" spans="1:16" x14ac:dyDescent="0.35">
      <c r="A282" t="s">
        <v>7456</v>
      </c>
      <c r="B282" t="s">
        <v>7457</v>
      </c>
      <c r="C282" t="s">
        <v>16</v>
      </c>
      <c r="D282" s="6">
        <v>733428596</v>
      </c>
      <c r="E282" s="6">
        <v>473080595.99999994</v>
      </c>
      <c r="F282" s="6">
        <v>41.75</v>
      </c>
      <c r="G282" s="6">
        <v>41.380001068115234</v>
      </c>
      <c r="H282" s="6">
        <v>10.918697936771455</v>
      </c>
      <c r="I282" s="6">
        <v>-5.7409406884816105E-2</v>
      </c>
      <c r="J282" s="6">
        <v>671877000</v>
      </c>
      <c r="K282" s="6">
        <v>38.489208633093547</v>
      </c>
      <c r="L282" t="s">
        <v>6523</v>
      </c>
      <c r="M282" t="s">
        <v>6524</v>
      </c>
      <c r="N282" s="4" t="s">
        <v>7458</v>
      </c>
      <c r="O282" s="4" t="s">
        <v>7459</v>
      </c>
      <c r="P282" s="4" t="s">
        <v>233</v>
      </c>
    </row>
    <row r="283" spans="1:16" x14ac:dyDescent="0.35">
      <c r="A283" t="s">
        <v>7460</v>
      </c>
      <c r="B283" t="s">
        <v>7461</v>
      </c>
      <c r="C283" t="s">
        <v>16</v>
      </c>
      <c r="D283" s="6">
        <v>330068281.3250103</v>
      </c>
      <c r="E283" s="6">
        <v>746097281.3250103</v>
      </c>
      <c r="F283" s="6">
        <v>4.2899999618530273</v>
      </c>
      <c r="G283" s="6">
        <v>4.440000057220459</v>
      </c>
      <c r="H283" s="6">
        <v>6.3539364219088279</v>
      </c>
      <c r="I283" s="6">
        <v>-0.30270944084315976</v>
      </c>
      <c r="J283" s="6">
        <v>889041000</v>
      </c>
      <c r="K283" s="6">
        <v>83.333333333333357</v>
      </c>
      <c r="L283" t="s">
        <v>6523</v>
      </c>
      <c r="M283" t="s">
        <v>6524</v>
      </c>
      <c r="N283" s="4" t="s">
        <v>7462</v>
      </c>
      <c r="O283" s="4" t="s">
        <v>7463</v>
      </c>
      <c r="P283" s="4" t="s">
        <v>233</v>
      </c>
    </row>
    <row r="284" spans="1:16" x14ac:dyDescent="0.35">
      <c r="A284" t="s">
        <v>7464</v>
      </c>
      <c r="B284" t="s">
        <v>7465</v>
      </c>
      <c r="C284" t="s">
        <v>16</v>
      </c>
      <c r="D284" s="6">
        <v>334182859.61870956</v>
      </c>
      <c r="E284" s="6">
        <v>772585859.61870956</v>
      </c>
      <c r="F284" s="6">
        <v>17.770000457763672</v>
      </c>
      <c r="G284" s="6">
        <v>17.5</v>
      </c>
      <c r="H284" s="6" t="e">
        <v>#N/A</v>
      </c>
      <c r="I284" s="6">
        <v>0.13262051426723609</v>
      </c>
      <c r="J284" s="6">
        <v>95169000</v>
      </c>
      <c r="K284" s="6" t="e">
        <v>#N/A</v>
      </c>
      <c r="L284" t="s">
        <v>6623</v>
      </c>
      <c r="M284" t="s">
        <v>7086</v>
      </c>
      <c r="N284" s="4" t="s">
        <v>7466</v>
      </c>
      <c r="O284" s="4" t="s">
        <v>7467</v>
      </c>
      <c r="P284" s="4" t="s">
        <v>233</v>
      </c>
    </row>
    <row r="285" spans="1:16" x14ac:dyDescent="0.35">
      <c r="A285" t="s">
        <v>7468</v>
      </c>
      <c r="B285" t="s">
        <v>7469</v>
      </c>
      <c r="C285" t="s">
        <v>16</v>
      </c>
      <c r="D285" s="6">
        <v>4757361141.8879471</v>
      </c>
      <c r="E285" s="6">
        <v>4599897141.8879471</v>
      </c>
      <c r="F285" s="6">
        <v>39.599998474121094</v>
      </c>
      <c r="G285" s="6">
        <v>39.549999237060547</v>
      </c>
      <c r="H285" s="6" t="e">
        <v>#N/A</v>
      </c>
      <c r="I285" s="6">
        <v>-0.21763799132510209</v>
      </c>
      <c r="J285" s="6">
        <v>900021000</v>
      </c>
      <c r="K285" s="6">
        <v>54.411764705882362</v>
      </c>
      <c r="L285" t="s">
        <v>6518</v>
      </c>
      <c r="M285" t="s">
        <v>6519</v>
      </c>
      <c r="N285" s="4" t="s">
        <v>7470</v>
      </c>
      <c r="O285" s="4" t="s">
        <v>7471</v>
      </c>
      <c r="P285" s="4" t="s">
        <v>233</v>
      </c>
    </row>
    <row r="286" spans="1:16" x14ac:dyDescent="0.35">
      <c r="A286" t="s">
        <v>7472</v>
      </c>
      <c r="B286" t="s">
        <v>7473</v>
      </c>
      <c r="C286" t="s">
        <v>16</v>
      </c>
      <c r="D286" s="6">
        <v>4961431931.9413261</v>
      </c>
      <c r="E286" s="6">
        <v>4780711931.9413261</v>
      </c>
      <c r="F286" s="6">
        <v>25.049999237060547</v>
      </c>
      <c r="G286" s="6">
        <v>24.989999771118164</v>
      </c>
      <c r="H286" s="6" t="e">
        <v>#N/A</v>
      </c>
      <c r="I286" s="6">
        <v>0.3565895707386515</v>
      </c>
      <c r="J286" s="6">
        <v>944285000</v>
      </c>
      <c r="K286" s="6">
        <v>4.4117647058823568</v>
      </c>
      <c r="L286" t="s">
        <v>6529</v>
      </c>
      <c r="M286" t="s">
        <v>6639</v>
      </c>
      <c r="N286" s="4" t="s">
        <v>7474</v>
      </c>
      <c r="O286" s="4" t="s">
        <v>7475</v>
      </c>
      <c r="P286" s="4" t="s">
        <v>233</v>
      </c>
    </row>
    <row r="287" spans="1:16" x14ac:dyDescent="0.35">
      <c r="A287" t="s">
        <v>7476</v>
      </c>
      <c r="B287" t="s">
        <v>7477</v>
      </c>
      <c r="C287" t="s">
        <v>16</v>
      </c>
      <c r="D287" s="6">
        <v>2911005992.1373434</v>
      </c>
      <c r="E287" s="6">
        <v>3439272992.1373434</v>
      </c>
      <c r="F287" s="6">
        <v>7.2899999618530273</v>
      </c>
      <c r="G287" s="6">
        <v>6.9800000190734863</v>
      </c>
      <c r="H287" s="6">
        <v>390.88471645324557</v>
      </c>
      <c r="I287" s="6">
        <v>1.6154040278811466</v>
      </c>
      <c r="J287" s="6">
        <v>1010652000</v>
      </c>
      <c r="K287" s="6">
        <v>58.9321533019951</v>
      </c>
      <c r="L287" t="s">
        <v>6563</v>
      </c>
      <c r="M287" t="s">
        <v>6564</v>
      </c>
      <c r="N287" s="4" t="s">
        <v>7478</v>
      </c>
      <c r="O287" s="4" t="s">
        <v>7479</v>
      </c>
      <c r="P287" s="4" t="s">
        <v>233</v>
      </c>
    </row>
    <row r="288" spans="1:16" x14ac:dyDescent="0.35">
      <c r="A288" t="s">
        <v>7480</v>
      </c>
      <c r="B288" t="s">
        <v>7481</v>
      </c>
      <c r="C288" t="s">
        <v>16</v>
      </c>
      <c r="D288" s="6">
        <v>1556809942.5</v>
      </c>
      <c r="E288" s="6">
        <v>1607051942.5</v>
      </c>
      <c r="F288" s="6">
        <v>13.25</v>
      </c>
      <c r="G288" s="6">
        <v>13.239999771118164</v>
      </c>
      <c r="H288" s="6">
        <v>32.072306712915342</v>
      </c>
      <c r="I288" s="6">
        <v>-0.27174539638485162</v>
      </c>
      <c r="J288" s="6">
        <v>1682709000</v>
      </c>
      <c r="K288" s="6">
        <v>600.00000000000034</v>
      </c>
      <c r="L288" t="s">
        <v>6523</v>
      </c>
      <c r="M288" t="s">
        <v>6588</v>
      </c>
      <c r="N288" s="4" t="s">
        <v>233</v>
      </c>
      <c r="O288" s="4" t="s">
        <v>7482</v>
      </c>
      <c r="P288" s="4" t="s">
        <v>13206</v>
      </c>
    </row>
    <row r="289" spans="1:16" x14ac:dyDescent="0.35">
      <c r="A289" t="s">
        <v>7483</v>
      </c>
      <c r="B289" t="s">
        <v>7484</v>
      </c>
      <c r="C289" t="s">
        <v>16</v>
      </c>
      <c r="D289" s="6">
        <v>1237878749.4433737</v>
      </c>
      <c r="E289" s="6">
        <v>1458659749.4433737</v>
      </c>
      <c r="F289" s="6">
        <v>3.6500000953674316</v>
      </c>
      <c r="G289" s="6">
        <v>3.7000000476837158</v>
      </c>
      <c r="H289" s="6" t="e">
        <v>#N/A</v>
      </c>
      <c r="I289" s="6">
        <v>0.7110951687159448</v>
      </c>
      <c r="J289" s="6">
        <v>1589700000</v>
      </c>
      <c r="K289" s="6">
        <v>48.872180451127825</v>
      </c>
      <c r="L289" t="s">
        <v>6514</v>
      </c>
      <c r="M289" t="s">
        <v>6578</v>
      </c>
      <c r="N289" s="4" t="s">
        <v>7485</v>
      </c>
      <c r="O289" s="4" t="s">
        <v>7486</v>
      </c>
      <c r="P289" s="4" t="s">
        <v>233</v>
      </c>
    </row>
    <row r="290" spans="1:16" x14ac:dyDescent="0.35">
      <c r="A290" t="s">
        <v>7487</v>
      </c>
      <c r="B290" t="s">
        <v>7488</v>
      </c>
      <c r="C290" t="s">
        <v>16</v>
      </c>
      <c r="D290" s="6">
        <v>1370425036.4303589</v>
      </c>
      <c r="E290" s="6">
        <v>2664825036.4303589</v>
      </c>
      <c r="F290" s="6">
        <v>14.350000381469727</v>
      </c>
      <c r="G290" s="6">
        <v>14.399999618530273</v>
      </c>
      <c r="H290" s="6">
        <v>93.193318535856534</v>
      </c>
      <c r="I290" s="6">
        <v>0.6957694283992284</v>
      </c>
      <c r="J290" s="6">
        <v>2739600000</v>
      </c>
      <c r="K290" s="6" t="e">
        <v>#N/A</v>
      </c>
      <c r="L290" t="s">
        <v>6547</v>
      </c>
      <c r="M290" t="s">
        <v>6802</v>
      </c>
      <c r="N290" s="4" t="s">
        <v>7489</v>
      </c>
      <c r="O290" s="4" t="s">
        <v>7490</v>
      </c>
      <c r="P290" s="4" t="s">
        <v>233</v>
      </c>
    </row>
    <row r="291" spans="1:16" x14ac:dyDescent="0.35">
      <c r="A291" t="s">
        <v>7491</v>
      </c>
      <c r="B291" t="s">
        <v>7492</v>
      </c>
      <c r="C291" t="s">
        <v>16</v>
      </c>
      <c r="D291" s="6">
        <v>596317860.64946175</v>
      </c>
      <c r="E291" s="6">
        <v>626475860.64946175</v>
      </c>
      <c r="F291" s="6">
        <v>29.780000686645508</v>
      </c>
      <c r="G291" s="6">
        <v>29.899999618530273</v>
      </c>
      <c r="H291" s="6">
        <v>16.461988554355244</v>
      </c>
      <c r="I291" s="6">
        <v>0.17497248217416272</v>
      </c>
      <c r="J291" s="6">
        <v>405651000</v>
      </c>
      <c r="K291" s="6">
        <v>36.974789915966383</v>
      </c>
      <c r="L291" t="s">
        <v>6547</v>
      </c>
      <c r="M291" t="s">
        <v>6875</v>
      </c>
      <c r="N291" s="4" t="s">
        <v>7493</v>
      </c>
      <c r="O291" s="4" t="s">
        <v>7494</v>
      </c>
      <c r="P291" s="4" t="s">
        <v>233</v>
      </c>
    </row>
    <row r="292" spans="1:16" x14ac:dyDescent="0.35">
      <c r="A292" t="s">
        <v>7495</v>
      </c>
      <c r="B292" t="s">
        <v>7496</v>
      </c>
      <c r="C292" t="s">
        <v>16</v>
      </c>
      <c r="D292" s="6">
        <v>2923379042.4224429</v>
      </c>
      <c r="E292" s="6" t="e">
        <v>#N/A</v>
      </c>
      <c r="F292" s="6">
        <v>60.990001678466797</v>
      </c>
      <c r="G292" s="6">
        <v>61.330001831054688</v>
      </c>
      <c r="H292" s="6">
        <v>14.216783608034218</v>
      </c>
      <c r="I292" s="6">
        <v>0.37245769240801607</v>
      </c>
      <c r="J292" s="6" t="e">
        <v>#N/A</v>
      </c>
      <c r="K292" s="6">
        <v>23.579545454545443</v>
      </c>
      <c r="L292" t="s">
        <v>6529</v>
      </c>
      <c r="M292" t="s">
        <v>6530</v>
      </c>
      <c r="N292" s="4" t="s">
        <v>7497</v>
      </c>
      <c r="O292" s="4" t="s">
        <v>7498</v>
      </c>
      <c r="P292" s="4" t="s">
        <v>233</v>
      </c>
    </row>
    <row r="293" spans="1:16" x14ac:dyDescent="0.35">
      <c r="A293" t="s">
        <v>7499</v>
      </c>
      <c r="B293" t="s">
        <v>5330</v>
      </c>
      <c r="C293" t="s">
        <v>16</v>
      </c>
      <c r="D293" s="6">
        <v>114551280.87717474</v>
      </c>
      <c r="E293" s="6">
        <v>-125162719.12282526</v>
      </c>
      <c r="F293" s="6">
        <v>1.6200000047683716</v>
      </c>
      <c r="G293" s="6">
        <v>1.6100000143051147</v>
      </c>
      <c r="H293" s="6" t="e">
        <v>#N/A</v>
      </c>
      <c r="I293" s="6">
        <v>-0.33532218087554433</v>
      </c>
      <c r="J293" s="6">
        <v>0</v>
      </c>
      <c r="K293" s="6">
        <v>-59.420289855072468</v>
      </c>
      <c r="L293" t="s">
        <v>17</v>
      </c>
      <c r="M293" t="s">
        <v>87</v>
      </c>
      <c r="N293" s="4" t="s">
        <v>5331</v>
      </c>
      <c r="O293" s="4" t="s">
        <v>5332</v>
      </c>
      <c r="P293" s="4" t="s">
        <v>233</v>
      </c>
    </row>
    <row r="294" spans="1:16" x14ac:dyDescent="0.35">
      <c r="A294" t="s">
        <v>7500</v>
      </c>
      <c r="B294" t="s">
        <v>7501</v>
      </c>
      <c r="C294" t="s">
        <v>16</v>
      </c>
      <c r="D294" s="6">
        <v>2256796464.1671448</v>
      </c>
      <c r="E294" s="6">
        <v>2100105464.1671448</v>
      </c>
      <c r="F294" s="6">
        <v>39.779998779296875</v>
      </c>
      <c r="G294" s="6">
        <v>39.080001831054688</v>
      </c>
      <c r="H294" s="6">
        <v>37.444122109725853</v>
      </c>
      <c r="I294" s="6">
        <v>0.92294436115537137</v>
      </c>
      <c r="J294" s="6">
        <v>494864000</v>
      </c>
      <c r="K294" s="6">
        <v>59.090909090909086</v>
      </c>
      <c r="L294" t="s">
        <v>6735</v>
      </c>
      <c r="M294" t="s">
        <v>7502</v>
      </c>
      <c r="N294" s="4" t="s">
        <v>7503</v>
      </c>
      <c r="O294" s="4" t="s">
        <v>7504</v>
      </c>
      <c r="P294" s="4" t="s">
        <v>233</v>
      </c>
    </row>
    <row r="295" spans="1:16" x14ac:dyDescent="0.35">
      <c r="A295" t="s">
        <v>7505</v>
      </c>
      <c r="B295" t="s">
        <v>7506</v>
      </c>
      <c r="C295" t="s">
        <v>16</v>
      </c>
      <c r="D295" s="6">
        <v>1121020644.0855982</v>
      </c>
      <c r="E295" s="6">
        <v>1781043644.0855982</v>
      </c>
      <c r="F295" s="6">
        <v>15.090000152587891</v>
      </c>
      <c r="G295" s="6">
        <v>14.800000190734863</v>
      </c>
      <c r="H295" s="6">
        <v>34.731492999815615</v>
      </c>
      <c r="I295" s="6">
        <v>7.533838384186553E-2</v>
      </c>
      <c r="J295" s="6">
        <v>713803000</v>
      </c>
      <c r="K295" s="6">
        <v>62.962962962962962</v>
      </c>
      <c r="L295" t="s">
        <v>6540</v>
      </c>
      <c r="M295" t="s">
        <v>6825</v>
      </c>
      <c r="N295" s="4" t="s">
        <v>7507</v>
      </c>
      <c r="O295" s="4" t="s">
        <v>7508</v>
      </c>
      <c r="P295" s="4" t="s">
        <v>233</v>
      </c>
    </row>
    <row r="296" spans="1:16" x14ac:dyDescent="0.35">
      <c r="A296" t="s">
        <v>7509</v>
      </c>
      <c r="B296" t="s">
        <v>7510</v>
      </c>
      <c r="C296" t="s">
        <v>16</v>
      </c>
      <c r="D296" s="6">
        <v>4006827068.1397901</v>
      </c>
      <c r="E296" s="6">
        <v>4524397068.1397896</v>
      </c>
      <c r="F296" s="6">
        <v>6.2899999618530273</v>
      </c>
      <c r="G296" s="6">
        <v>6.0300002098083496</v>
      </c>
      <c r="H296" s="6">
        <v>104.45034808789485</v>
      </c>
      <c r="I296" s="6">
        <v>0.70968443033035178</v>
      </c>
      <c r="J296" s="6">
        <v>840960000</v>
      </c>
      <c r="K296" s="6">
        <v>50.062421972534324</v>
      </c>
      <c r="L296" t="s">
        <v>6563</v>
      </c>
      <c r="M296" t="s">
        <v>6564</v>
      </c>
      <c r="N296" s="4" t="s">
        <v>7511</v>
      </c>
      <c r="O296" s="4" t="s">
        <v>7512</v>
      </c>
      <c r="P296" s="4" t="s">
        <v>233</v>
      </c>
    </row>
    <row r="297" spans="1:16" x14ac:dyDescent="0.35">
      <c r="A297" t="s">
        <v>7513</v>
      </c>
      <c r="B297" t="s">
        <v>7514</v>
      </c>
      <c r="C297" t="s">
        <v>16</v>
      </c>
      <c r="D297" s="6">
        <v>222640476.3166618</v>
      </c>
      <c r="E297" s="6" t="e">
        <v>#N/A</v>
      </c>
      <c r="F297" s="6">
        <v>12.229999542236328</v>
      </c>
      <c r="G297" s="6">
        <v>12.25</v>
      </c>
      <c r="H297" s="6">
        <v>14.914633588093084</v>
      </c>
      <c r="I297" s="6">
        <v>3.5464173659715215E-2</v>
      </c>
      <c r="J297" s="6" t="e">
        <v>#N/A</v>
      </c>
      <c r="K297" s="6">
        <v>277.27272727272725</v>
      </c>
      <c r="L297" t="s">
        <v>6529</v>
      </c>
      <c r="M297" t="s">
        <v>6530</v>
      </c>
      <c r="N297" s="4" t="s">
        <v>7515</v>
      </c>
      <c r="O297" s="4" t="s">
        <v>7516</v>
      </c>
      <c r="P297" s="4" t="s">
        <v>233</v>
      </c>
    </row>
    <row r="298" spans="1:16" x14ac:dyDescent="0.35">
      <c r="A298" t="s">
        <v>7517</v>
      </c>
      <c r="B298" t="s">
        <v>7518</v>
      </c>
      <c r="C298" t="s">
        <v>16</v>
      </c>
      <c r="D298" s="6">
        <v>433285959.30716509</v>
      </c>
      <c r="E298" s="6">
        <v>5938944959.3071661</v>
      </c>
      <c r="F298" s="6">
        <v>2.5999999046325684</v>
      </c>
      <c r="G298" s="6">
        <v>2.7699999809265137</v>
      </c>
      <c r="H298" s="6" t="e">
        <v>#N/A</v>
      </c>
      <c r="I298" s="6">
        <v>-0.64074892455247912</v>
      </c>
      <c r="J298" s="6">
        <v>1884419000</v>
      </c>
      <c r="K298" s="6">
        <v>-1030.7692307692307</v>
      </c>
      <c r="L298" t="s">
        <v>6623</v>
      </c>
      <c r="M298" t="s">
        <v>7409</v>
      </c>
      <c r="N298" s="4" t="s">
        <v>7519</v>
      </c>
      <c r="O298" s="4" t="s">
        <v>7520</v>
      </c>
      <c r="P298" s="4" t="s">
        <v>233</v>
      </c>
    </row>
    <row r="299" spans="1:16" x14ac:dyDescent="0.35">
      <c r="A299" t="s">
        <v>7521</v>
      </c>
      <c r="B299" t="s">
        <v>7522</v>
      </c>
      <c r="C299" t="s">
        <v>16</v>
      </c>
      <c r="D299" s="6">
        <v>636967010.03079391</v>
      </c>
      <c r="E299" s="6">
        <v>3325731010.0307932</v>
      </c>
      <c r="F299" s="6">
        <v>2.6400001049041748</v>
      </c>
      <c r="G299" s="6">
        <v>2.619999885559082</v>
      </c>
      <c r="H299" s="6" t="e">
        <v>#N/A</v>
      </c>
      <c r="I299" s="6">
        <v>-5.3639491981066656E-2</v>
      </c>
      <c r="J299" s="6">
        <v>1477343000</v>
      </c>
      <c r="K299" s="6">
        <v>-39.097932191725931</v>
      </c>
      <c r="L299" t="s">
        <v>6623</v>
      </c>
      <c r="M299" t="s">
        <v>6624</v>
      </c>
      <c r="N299" s="4" t="s">
        <v>7523</v>
      </c>
      <c r="O299" s="4" t="s">
        <v>7524</v>
      </c>
      <c r="P299" s="4" t="s">
        <v>233</v>
      </c>
    </row>
    <row r="300" spans="1:16" x14ac:dyDescent="0.35">
      <c r="A300" t="s">
        <v>7525</v>
      </c>
      <c r="B300" t="s">
        <v>7526</v>
      </c>
      <c r="C300" t="s">
        <v>16</v>
      </c>
      <c r="D300" s="6">
        <v>5904178718.3167868</v>
      </c>
      <c r="E300" s="6">
        <v>10813178718.316788</v>
      </c>
      <c r="F300" s="6">
        <v>207.86000061035156</v>
      </c>
      <c r="G300" s="6">
        <v>202.55000305175781</v>
      </c>
      <c r="H300" s="6">
        <v>19.865608538403251</v>
      </c>
      <c r="I300" s="6">
        <v>0.36560958618195194</v>
      </c>
      <c r="J300" s="6">
        <v>3448000000</v>
      </c>
      <c r="K300" s="6">
        <v>-0.16246953696183061</v>
      </c>
      <c r="L300" t="s">
        <v>6547</v>
      </c>
      <c r="M300" t="s">
        <v>6875</v>
      </c>
      <c r="N300" s="4" t="s">
        <v>7527</v>
      </c>
      <c r="O300" s="4" t="s">
        <v>7528</v>
      </c>
      <c r="P300" s="4" t="s">
        <v>233</v>
      </c>
    </row>
    <row r="301" spans="1:16" x14ac:dyDescent="0.35">
      <c r="A301" t="s">
        <v>7529</v>
      </c>
      <c r="B301" t="s">
        <v>7530</v>
      </c>
      <c r="C301" t="s">
        <v>16</v>
      </c>
      <c r="D301" s="6">
        <v>2988317632.1451416</v>
      </c>
      <c r="E301" s="6">
        <v>4127527632.1451416</v>
      </c>
      <c r="F301" s="6">
        <v>65.790000915527344</v>
      </c>
      <c r="G301" s="6">
        <v>65.449996948242188</v>
      </c>
      <c r="H301" s="6">
        <v>23.663705945466415</v>
      </c>
      <c r="I301" s="6">
        <v>0.2887895849008153</v>
      </c>
      <c r="J301" s="6">
        <v>328892000</v>
      </c>
      <c r="K301" s="6">
        <v>20.164609053497934</v>
      </c>
      <c r="L301" t="s">
        <v>6623</v>
      </c>
      <c r="M301" t="s">
        <v>6624</v>
      </c>
      <c r="N301" s="4" t="s">
        <v>7531</v>
      </c>
      <c r="O301" s="4" t="s">
        <v>7532</v>
      </c>
      <c r="P301" s="4" t="s">
        <v>233</v>
      </c>
    </row>
    <row r="302" spans="1:16" x14ac:dyDescent="0.35">
      <c r="A302" t="s">
        <v>7533</v>
      </c>
      <c r="B302" t="s">
        <v>7534</v>
      </c>
      <c r="C302" t="s">
        <v>16</v>
      </c>
      <c r="D302" s="6">
        <v>2553947267.7816162</v>
      </c>
      <c r="E302" s="6">
        <v>2894771267.7816162</v>
      </c>
      <c r="F302" s="6">
        <v>67.550003051757813</v>
      </c>
      <c r="G302" s="6">
        <v>68.069999694824219</v>
      </c>
      <c r="H302" s="6" t="e">
        <v>#N/A</v>
      </c>
      <c r="I302" s="6">
        <v>0.3807349301637879</v>
      </c>
      <c r="J302" s="6">
        <v>388109000</v>
      </c>
      <c r="K302" s="6">
        <v>-8.4745762711864483</v>
      </c>
      <c r="L302" t="s">
        <v>6518</v>
      </c>
      <c r="M302" t="s">
        <v>6714</v>
      </c>
      <c r="N302" s="4" t="s">
        <v>7535</v>
      </c>
      <c r="O302" s="4" t="s">
        <v>7536</v>
      </c>
      <c r="P302" s="4" t="s">
        <v>233</v>
      </c>
    </row>
    <row r="303" spans="1:16" x14ac:dyDescent="0.35">
      <c r="A303" t="s">
        <v>7537</v>
      </c>
      <c r="B303" t="s">
        <v>7538</v>
      </c>
      <c r="C303" t="s">
        <v>16</v>
      </c>
      <c r="D303" s="6">
        <v>2993919356.6902409</v>
      </c>
      <c r="E303" s="6">
        <v>7163519356.6902409</v>
      </c>
      <c r="F303" s="6">
        <v>18.479999542236328</v>
      </c>
      <c r="G303" s="6">
        <v>18.329999923706055</v>
      </c>
      <c r="H303" s="6">
        <v>25.576088911867327</v>
      </c>
      <c r="I303" s="6">
        <v>0.49981260604418787</v>
      </c>
      <c r="J303" s="6">
        <v>1838900000</v>
      </c>
      <c r="K303" s="6" t="e">
        <v>#N/A</v>
      </c>
      <c r="L303" t="s">
        <v>6623</v>
      </c>
      <c r="M303" t="s">
        <v>7539</v>
      </c>
      <c r="N303" s="4" t="s">
        <v>13425</v>
      </c>
      <c r="O303" s="4" t="s">
        <v>13426</v>
      </c>
      <c r="P303" s="4" t="s">
        <v>233</v>
      </c>
    </row>
    <row r="304" spans="1:16" x14ac:dyDescent="0.35">
      <c r="A304" t="s">
        <v>7540</v>
      </c>
      <c r="B304" t="s">
        <v>7541</v>
      </c>
      <c r="C304" t="s">
        <v>16</v>
      </c>
      <c r="D304" s="6">
        <v>1296283321.6329942</v>
      </c>
      <c r="E304" s="6">
        <v>1003221321.6329942</v>
      </c>
      <c r="F304" s="6">
        <v>6.0300002098083496</v>
      </c>
      <c r="G304" s="6">
        <v>6</v>
      </c>
      <c r="H304" s="6">
        <v>15.254199229975004</v>
      </c>
      <c r="I304" s="6">
        <v>-0.11984944585210888</v>
      </c>
      <c r="J304" s="6">
        <v>1414999000</v>
      </c>
      <c r="K304" s="6">
        <v>-52.222222222222221</v>
      </c>
      <c r="L304" t="s">
        <v>6523</v>
      </c>
      <c r="M304" t="s">
        <v>6588</v>
      </c>
      <c r="N304" s="4" t="s">
        <v>7542</v>
      </c>
      <c r="O304" s="4" t="s">
        <v>7543</v>
      </c>
      <c r="P304" s="4" t="s">
        <v>233</v>
      </c>
    </row>
    <row r="305" spans="1:16" x14ac:dyDescent="0.35">
      <c r="A305" t="s">
        <v>7544</v>
      </c>
      <c r="B305" t="s">
        <v>7545</v>
      </c>
      <c r="C305" t="s">
        <v>16</v>
      </c>
      <c r="D305" s="6">
        <v>1137184688.2024155</v>
      </c>
      <c r="E305" s="6">
        <v>1602593688.2024155</v>
      </c>
      <c r="F305" s="6">
        <v>75.540000915527344</v>
      </c>
      <c r="G305" s="6">
        <v>75.050003051757813</v>
      </c>
      <c r="H305" s="6">
        <v>11.540326660526391</v>
      </c>
      <c r="I305" s="6">
        <v>-0.21521829323797548</v>
      </c>
      <c r="J305" s="6">
        <v>1786990000</v>
      </c>
      <c r="K305" s="6">
        <v>-1.605839416058386</v>
      </c>
      <c r="L305" t="s">
        <v>6547</v>
      </c>
      <c r="M305" t="s">
        <v>6553</v>
      </c>
      <c r="N305" s="4" t="s">
        <v>7546</v>
      </c>
      <c r="O305" s="4" t="s">
        <v>7547</v>
      </c>
      <c r="P305" s="4" t="s">
        <v>233</v>
      </c>
    </row>
    <row r="306" spans="1:16" x14ac:dyDescent="0.35">
      <c r="A306" t="s">
        <v>7548</v>
      </c>
      <c r="B306" t="s">
        <v>7549</v>
      </c>
      <c r="C306" t="s">
        <v>16</v>
      </c>
      <c r="D306" s="6">
        <v>190901843.35776186</v>
      </c>
      <c r="E306" s="6">
        <v>166823733.35776186</v>
      </c>
      <c r="F306" s="6">
        <v>1.559999942779541</v>
      </c>
      <c r="G306" s="6">
        <v>1.5800000429153442</v>
      </c>
      <c r="H306" s="6" t="e">
        <v>#N/A</v>
      </c>
      <c r="I306" s="6">
        <v>-0.6978525867288079</v>
      </c>
      <c r="J306" s="6">
        <v>113190</v>
      </c>
      <c r="K306" s="6">
        <v>1.5460295151089254</v>
      </c>
      <c r="L306" t="s">
        <v>6518</v>
      </c>
      <c r="M306" t="s">
        <v>6714</v>
      </c>
      <c r="N306" s="4" t="s">
        <v>7550</v>
      </c>
      <c r="O306" s="4" t="s">
        <v>7551</v>
      </c>
      <c r="P306" s="4" t="s">
        <v>233</v>
      </c>
    </row>
    <row r="307" spans="1:16" x14ac:dyDescent="0.35">
      <c r="A307" t="s">
        <v>7552</v>
      </c>
      <c r="B307" t="s">
        <v>7553</v>
      </c>
      <c r="C307" t="s">
        <v>16</v>
      </c>
      <c r="D307" s="6">
        <v>232570387.37912753</v>
      </c>
      <c r="E307" s="6">
        <v>393680387.3791275</v>
      </c>
      <c r="F307" s="6">
        <v>26.920000076293945</v>
      </c>
      <c r="G307" s="6">
        <v>25.739999771118164</v>
      </c>
      <c r="H307" s="6">
        <v>208.10785797561738</v>
      </c>
      <c r="I307" s="6">
        <v>-0.31534665844093357</v>
      </c>
      <c r="J307" s="6">
        <v>48732000</v>
      </c>
      <c r="K307" s="6">
        <v>-95.262483994878352</v>
      </c>
      <c r="L307" t="s">
        <v>6623</v>
      </c>
      <c r="M307" t="s">
        <v>6634</v>
      </c>
      <c r="N307" s="4" t="s">
        <v>7554</v>
      </c>
      <c r="O307" s="4" t="s">
        <v>7555</v>
      </c>
      <c r="P307" s="4" t="s">
        <v>233</v>
      </c>
    </row>
    <row r="308" spans="1:16" x14ac:dyDescent="0.35">
      <c r="A308" t="s">
        <v>7556</v>
      </c>
      <c r="B308" t="s">
        <v>7557</v>
      </c>
      <c r="C308" t="s">
        <v>16</v>
      </c>
      <c r="D308" s="6">
        <v>2854716674.9999995</v>
      </c>
      <c r="E308" s="6">
        <v>2810953674.9999995</v>
      </c>
      <c r="F308" s="6">
        <v>18.75</v>
      </c>
      <c r="G308" s="6">
        <v>17.920000076293945</v>
      </c>
      <c r="H308" s="6" t="e">
        <v>#N/A</v>
      </c>
      <c r="I308" s="6">
        <v>2.5255441099017863</v>
      </c>
      <c r="J308" s="6">
        <v>203515000</v>
      </c>
      <c r="K308" s="6" t="e">
        <v>#N/A</v>
      </c>
      <c r="L308" t="s">
        <v>6547</v>
      </c>
      <c r="M308" t="s">
        <v>6843</v>
      </c>
      <c r="N308" s="4" t="s">
        <v>7558</v>
      </c>
      <c r="O308" s="4" t="s">
        <v>7559</v>
      </c>
      <c r="P308" s="4" t="s">
        <v>233</v>
      </c>
    </row>
    <row r="309" spans="1:16" x14ac:dyDescent="0.35">
      <c r="A309" t="s">
        <v>7560</v>
      </c>
      <c r="B309" t="s">
        <v>7561</v>
      </c>
      <c r="C309" t="s">
        <v>16</v>
      </c>
      <c r="D309" s="6">
        <v>141882992.08264732</v>
      </c>
      <c r="E309" s="6">
        <v>173788992.08264732</v>
      </c>
      <c r="F309" s="6">
        <v>10.029999732971191</v>
      </c>
      <c r="G309" s="6">
        <v>11</v>
      </c>
      <c r="H309" s="6">
        <v>21.660446539881118</v>
      </c>
      <c r="I309" s="6">
        <v>-0.33009225433176659</v>
      </c>
      <c r="J309" s="6">
        <v>321397000</v>
      </c>
      <c r="K309" s="6">
        <v>-17.073170731707318</v>
      </c>
      <c r="L309" t="s">
        <v>6547</v>
      </c>
      <c r="M309" t="s">
        <v>6668</v>
      </c>
      <c r="N309" s="4" t="s">
        <v>7562</v>
      </c>
      <c r="O309" s="4" t="s">
        <v>7563</v>
      </c>
      <c r="P309" s="4" t="s">
        <v>233</v>
      </c>
    </row>
    <row r="310" spans="1:16" x14ac:dyDescent="0.35">
      <c r="A310" t="s">
        <v>7564</v>
      </c>
      <c r="B310" t="s">
        <v>4943</v>
      </c>
      <c r="C310" t="s">
        <v>16</v>
      </c>
      <c r="D310" s="6">
        <v>1470903679.1448414</v>
      </c>
      <c r="E310" s="6">
        <v>1034051679.1448414</v>
      </c>
      <c r="F310" s="6">
        <v>3.5699999332427979</v>
      </c>
      <c r="G310" s="6">
        <v>3.309999942779541</v>
      </c>
      <c r="H310" s="6" t="e">
        <v>#N/A</v>
      </c>
      <c r="I310" s="6">
        <v>-0.51984124339779147</v>
      </c>
      <c r="J310" s="6">
        <v>4316363000</v>
      </c>
      <c r="K310" s="6">
        <v>-118.18181818181819</v>
      </c>
      <c r="L310" t="s">
        <v>17</v>
      </c>
      <c r="M310" t="s">
        <v>40</v>
      </c>
      <c r="N310" s="4" t="s">
        <v>4944</v>
      </c>
      <c r="O310" s="4" t="s">
        <v>4945</v>
      </c>
      <c r="P310" s="4" t="s">
        <v>233</v>
      </c>
    </row>
    <row r="311" spans="1:16" x14ac:dyDescent="0.35">
      <c r="A311" t="s">
        <v>7565</v>
      </c>
      <c r="B311" t="s">
        <v>7566</v>
      </c>
      <c r="C311" t="s">
        <v>16</v>
      </c>
      <c r="D311" s="6">
        <v>1929963285.2500002</v>
      </c>
      <c r="E311" s="6">
        <v>1693679285.2500002</v>
      </c>
      <c r="F311" s="6">
        <v>71.75</v>
      </c>
      <c r="G311" s="6">
        <v>71.209999084472656</v>
      </c>
      <c r="H311" s="6">
        <v>19.649125497526811</v>
      </c>
      <c r="I311" s="6">
        <v>0.19144825669885579</v>
      </c>
      <c r="J311" s="6">
        <v>4758831000</v>
      </c>
      <c r="K311" s="6">
        <v>-14.423076923076936</v>
      </c>
      <c r="L311" t="s">
        <v>6735</v>
      </c>
      <c r="M311" t="s">
        <v>6736</v>
      </c>
      <c r="N311" s="4" t="s">
        <v>7567</v>
      </c>
      <c r="O311" s="4" t="s">
        <v>7568</v>
      </c>
      <c r="P311" s="4" t="s">
        <v>233</v>
      </c>
    </row>
    <row r="312" spans="1:16" x14ac:dyDescent="0.35">
      <c r="A312" t="s">
        <v>7569</v>
      </c>
      <c r="B312" t="s">
        <v>3816</v>
      </c>
      <c r="C312" t="s">
        <v>16</v>
      </c>
      <c r="D312" s="6">
        <v>306430738.4840641</v>
      </c>
      <c r="E312" s="6">
        <v>303915738.4840641</v>
      </c>
      <c r="F312" s="6">
        <v>7.869999885559082</v>
      </c>
      <c r="G312" s="6">
        <v>7.8499999046325684</v>
      </c>
      <c r="H312" s="6">
        <v>30.582584191714652</v>
      </c>
      <c r="I312" s="6">
        <v>-0.12329203709345182</v>
      </c>
      <c r="J312" s="6">
        <v>214301000</v>
      </c>
      <c r="K312" s="6">
        <v>12.692083333333327</v>
      </c>
      <c r="L312" t="s">
        <v>17</v>
      </c>
      <c r="M312" t="s">
        <v>40</v>
      </c>
      <c r="N312" s="4" t="s">
        <v>3817</v>
      </c>
      <c r="O312" s="4" t="s">
        <v>3818</v>
      </c>
      <c r="P312" s="4" t="s">
        <v>233</v>
      </c>
    </row>
    <row r="313" spans="1:16" x14ac:dyDescent="0.35">
      <c r="A313" t="s">
        <v>7570</v>
      </c>
      <c r="B313" t="s">
        <v>7571</v>
      </c>
      <c r="C313" t="s">
        <v>16</v>
      </c>
      <c r="D313" s="6">
        <v>411273163.83058548</v>
      </c>
      <c r="E313" s="6">
        <v>987016163.83058548</v>
      </c>
      <c r="F313" s="6">
        <v>17.950000762939453</v>
      </c>
      <c r="G313" s="6">
        <v>18.329999923706055</v>
      </c>
      <c r="H313" s="6" t="e">
        <v>#N/A</v>
      </c>
      <c r="I313" s="6">
        <v>0.32663507164427719</v>
      </c>
      <c r="J313" s="6">
        <v>686459000</v>
      </c>
      <c r="K313" s="6">
        <v>77.364080773887352</v>
      </c>
      <c r="L313" t="s">
        <v>6529</v>
      </c>
      <c r="M313" t="s">
        <v>6664</v>
      </c>
      <c r="N313" s="4" t="s">
        <v>7572</v>
      </c>
      <c r="O313" s="4" t="s">
        <v>7573</v>
      </c>
      <c r="P313" s="4" t="s">
        <v>233</v>
      </c>
    </row>
    <row r="314" spans="1:16" x14ac:dyDescent="0.35">
      <c r="A314" t="s">
        <v>7574</v>
      </c>
      <c r="B314" t="s">
        <v>2445</v>
      </c>
      <c r="C314" t="s">
        <v>16</v>
      </c>
      <c r="D314" s="6">
        <v>5420384018</v>
      </c>
      <c r="E314" s="6" t="e">
        <v>#N/A</v>
      </c>
      <c r="F314" s="6">
        <v>33.5</v>
      </c>
      <c r="G314" s="6">
        <v>32.389999389648438</v>
      </c>
      <c r="H314" s="6">
        <v>15.199499097104383</v>
      </c>
      <c r="I314" s="6">
        <v>0.17409791043627365</v>
      </c>
      <c r="J314" s="6">
        <v>1557632000</v>
      </c>
      <c r="K314" s="6">
        <v>-27.959795802841651</v>
      </c>
      <c r="L314" t="s">
        <v>17</v>
      </c>
      <c r="M314" t="s">
        <v>18</v>
      </c>
      <c r="N314" s="4" t="s">
        <v>233</v>
      </c>
      <c r="O314" s="4" t="s">
        <v>2446</v>
      </c>
      <c r="P314" s="4" t="s">
        <v>13109</v>
      </c>
    </row>
    <row r="315" spans="1:16" x14ac:dyDescent="0.35">
      <c r="A315" t="s">
        <v>7575</v>
      </c>
      <c r="B315" t="s">
        <v>7576</v>
      </c>
      <c r="C315" t="s">
        <v>16</v>
      </c>
      <c r="D315" s="6">
        <v>1197602911.6026936</v>
      </c>
      <c r="E315" s="6">
        <v>1125799911.6026936</v>
      </c>
      <c r="F315" s="6">
        <v>30.350000381469727</v>
      </c>
      <c r="G315" s="6">
        <v>30.799999237060547</v>
      </c>
      <c r="H315" s="6">
        <v>117.26160496350684</v>
      </c>
      <c r="I315" s="6">
        <v>1.3238653874183108</v>
      </c>
      <c r="J315" s="6">
        <v>198192000</v>
      </c>
      <c r="K315" s="6" t="e">
        <v>#N/A</v>
      </c>
      <c r="L315" t="s">
        <v>6547</v>
      </c>
      <c r="M315" t="s">
        <v>6602</v>
      </c>
      <c r="N315" s="4" t="s">
        <v>7577</v>
      </c>
      <c r="O315" s="4" t="s">
        <v>7578</v>
      </c>
      <c r="P315" s="4" t="s">
        <v>233</v>
      </c>
    </row>
    <row r="316" spans="1:16" x14ac:dyDescent="0.35">
      <c r="A316" t="s">
        <v>7579</v>
      </c>
      <c r="B316" t="s">
        <v>7580</v>
      </c>
      <c r="C316" t="s">
        <v>16</v>
      </c>
      <c r="D316" s="6">
        <v>1954069619.2737081</v>
      </c>
      <c r="E316" s="6">
        <v>2016868619.2737081</v>
      </c>
      <c r="F316" s="6">
        <v>48.729999542236328</v>
      </c>
      <c r="G316" s="6">
        <v>48.279998779296875</v>
      </c>
      <c r="H316" s="6">
        <v>24.208588083510602</v>
      </c>
      <c r="I316" s="6">
        <v>0.54514105694758119</v>
      </c>
      <c r="J316" s="6">
        <v>885969000</v>
      </c>
      <c r="K316" s="6">
        <v>88.709677419354833</v>
      </c>
      <c r="L316" t="s">
        <v>6529</v>
      </c>
      <c r="M316" t="s">
        <v>6664</v>
      </c>
      <c r="N316" s="4" t="s">
        <v>7581</v>
      </c>
      <c r="O316" s="4" t="s">
        <v>7582</v>
      </c>
      <c r="P316" s="4" t="s">
        <v>233</v>
      </c>
    </row>
    <row r="317" spans="1:16" x14ac:dyDescent="0.35">
      <c r="A317" t="s">
        <v>7583</v>
      </c>
      <c r="B317" t="s">
        <v>5387</v>
      </c>
      <c r="C317" t="s">
        <v>16</v>
      </c>
      <c r="D317" s="6">
        <v>290585064.17703426</v>
      </c>
      <c r="E317" s="6">
        <v>297006447.17703426</v>
      </c>
      <c r="F317" s="6">
        <v>1.6599999666213989</v>
      </c>
      <c r="G317" s="6">
        <v>1.5099999904632568</v>
      </c>
      <c r="H317" s="6">
        <v>61.148560305794369</v>
      </c>
      <c r="I317" s="6">
        <v>-0.63415835615603333</v>
      </c>
      <c r="J317" s="6">
        <v>0</v>
      </c>
      <c r="K317" s="6">
        <v>87.217214582515297</v>
      </c>
      <c r="L317" t="s">
        <v>17</v>
      </c>
      <c r="M317" t="s">
        <v>18</v>
      </c>
      <c r="N317" s="4" t="s">
        <v>5388</v>
      </c>
      <c r="O317" s="4" t="s">
        <v>5389</v>
      </c>
      <c r="P317" s="4" t="s">
        <v>233</v>
      </c>
    </row>
    <row r="318" spans="1:16" x14ac:dyDescent="0.35">
      <c r="A318" t="s">
        <v>7584</v>
      </c>
      <c r="B318" t="s">
        <v>7585</v>
      </c>
      <c r="C318" t="s">
        <v>16</v>
      </c>
      <c r="D318" s="6">
        <v>317242954.27960205</v>
      </c>
      <c r="E318" s="6" t="e">
        <v>#N/A</v>
      </c>
      <c r="F318" s="6">
        <v>17.930000305175781</v>
      </c>
      <c r="G318" s="6">
        <v>18.110000610351563</v>
      </c>
      <c r="H318" s="6">
        <v>10.778693118153701</v>
      </c>
      <c r="I318" s="6">
        <v>2.6805190707391624E-2</v>
      </c>
      <c r="J318" s="6">
        <v>231996000</v>
      </c>
      <c r="K318" s="6">
        <v>-34.375000000000007</v>
      </c>
      <c r="L318" t="s">
        <v>6529</v>
      </c>
      <c r="M318" t="s">
        <v>6530</v>
      </c>
      <c r="N318" s="4" t="s">
        <v>7586</v>
      </c>
      <c r="O318" s="4" t="s">
        <v>7587</v>
      </c>
      <c r="P318" s="4" t="s">
        <v>233</v>
      </c>
    </row>
    <row r="319" spans="1:16" x14ac:dyDescent="0.35">
      <c r="A319" t="s">
        <v>7588</v>
      </c>
      <c r="B319" t="s">
        <v>7589</v>
      </c>
      <c r="C319" t="s">
        <v>16</v>
      </c>
      <c r="D319" s="6">
        <v>2075850384.4970274</v>
      </c>
      <c r="E319" s="6" t="e">
        <v>#N/A</v>
      </c>
      <c r="F319" s="6">
        <v>15.529999732971191</v>
      </c>
      <c r="G319" s="6">
        <v>14.850000381469727</v>
      </c>
      <c r="H319" s="6">
        <v>9.9734830787758693</v>
      </c>
      <c r="I319" s="6">
        <v>5.5587909604610797E-2</v>
      </c>
      <c r="J319" s="6">
        <v>769325000</v>
      </c>
      <c r="K319" s="6">
        <v>360.00000000000011</v>
      </c>
      <c r="L319" t="s">
        <v>6547</v>
      </c>
      <c r="M319" t="s">
        <v>6548</v>
      </c>
      <c r="N319" s="4" t="s">
        <v>7590</v>
      </c>
      <c r="O319" s="4" t="s">
        <v>7591</v>
      </c>
      <c r="P319" s="4" t="s">
        <v>233</v>
      </c>
    </row>
    <row r="320" spans="1:16" x14ac:dyDescent="0.35">
      <c r="A320" t="s">
        <v>7592</v>
      </c>
      <c r="B320" t="s">
        <v>7593</v>
      </c>
      <c r="C320" t="s">
        <v>16</v>
      </c>
      <c r="D320" s="6">
        <v>1129843916.7263184</v>
      </c>
      <c r="E320" s="6">
        <v>1001518916.7263184</v>
      </c>
      <c r="F320" s="6">
        <v>11.260000228881836</v>
      </c>
      <c r="G320" s="6">
        <v>11.289999961853027</v>
      </c>
      <c r="H320" s="6" t="e">
        <v>#N/A</v>
      </c>
      <c r="I320" s="6">
        <v>0.23799955161371833</v>
      </c>
      <c r="J320" s="6">
        <v>524407000</v>
      </c>
      <c r="K320" s="6">
        <v>50</v>
      </c>
      <c r="L320" t="s">
        <v>6518</v>
      </c>
      <c r="M320" t="s">
        <v>6714</v>
      </c>
      <c r="N320" s="4" t="s">
        <v>7594</v>
      </c>
      <c r="O320" s="4" t="s">
        <v>7595</v>
      </c>
      <c r="P320" s="4" t="s">
        <v>233</v>
      </c>
    </row>
    <row r="321" spans="1:16" x14ac:dyDescent="0.35">
      <c r="A321" t="s">
        <v>7596</v>
      </c>
      <c r="B321" t="s">
        <v>3850</v>
      </c>
      <c r="C321" t="s">
        <v>16</v>
      </c>
      <c r="D321" s="6">
        <v>899158511.98402488</v>
      </c>
      <c r="E321" s="6">
        <v>682039511.98402488</v>
      </c>
      <c r="F321" s="6">
        <v>8.1400003433227539</v>
      </c>
      <c r="G321" s="6">
        <v>8.2399997711181641</v>
      </c>
      <c r="H321" s="6" t="e">
        <v>#N/A</v>
      </c>
      <c r="I321" s="6">
        <v>0.40456433272978387</v>
      </c>
      <c r="J321" s="6">
        <v>0</v>
      </c>
      <c r="K321" s="6">
        <v>-5.9829059829059883</v>
      </c>
      <c r="L321" t="s">
        <v>17</v>
      </c>
      <c r="M321" t="s">
        <v>18</v>
      </c>
      <c r="N321" s="4" t="s">
        <v>3851</v>
      </c>
      <c r="O321" s="4" t="s">
        <v>3852</v>
      </c>
      <c r="P321" s="4" t="s">
        <v>233</v>
      </c>
    </row>
    <row r="322" spans="1:16" x14ac:dyDescent="0.35">
      <c r="A322" t="s">
        <v>7597</v>
      </c>
      <c r="B322" t="s">
        <v>7598</v>
      </c>
      <c r="C322" t="s">
        <v>16</v>
      </c>
      <c r="D322" s="6">
        <v>5089842779.033145</v>
      </c>
      <c r="E322" s="6">
        <v>9466082779.033144</v>
      </c>
      <c r="F322" s="6">
        <v>20.479999542236328</v>
      </c>
      <c r="G322" s="6">
        <v>20.270000457763672</v>
      </c>
      <c r="H322" s="6" t="e">
        <v>#N/A</v>
      </c>
      <c r="I322" s="6">
        <v>0.24517182930232795</v>
      </c>
      <c r="J322" s="6">
        <v>883216000</v>
      </c>
      <c r="K322" s="6" t="e">
        <v>#N/A</v>
      </c>
      <c r="L322" t="s">
        <v>6623</v>
      </c>
      <c r="M322" t="s">
        <v>7043</v>
      </c>
      <c r="N322" s="4" t="s">
        <v>7599</v>
      </c>
      <c r="O322" s="4" t="s">
        <v>7600</v>
      </c>
      <c r="P322" s="4" t="s">
        <v>233</v>
      </c>
    </row>
    <row r="323" spans="1:16" x14ac:dyDescent="0.35">
      <c r="A323" t="s">
        <v>13006</v>
      </c>
      <c r="B323" t="s">
        <v>13007</v>
      </c>
      <c r="C323" t="s">
        <v>16</v>
      </c>
      <c r="D323" s="6">
        <v>5130819947.3216105</v>
      </c>
      <c r="E323" s="6" t="e">
        <v>#N/A</v>
      </c>
      <c r="F323" s="6">
        <v>12.359999656677246</v>
      </c>
      <c r="G323" s="6">
        <v>12.75</v>
      </c>
      <c r="H323" s="6" t="e">
        <v>#N/A</v>
      </c>
      <c r="I323" s="6">
        <v>-0.14365486711133801</v>
      </c>
      <c r="J323" s="6">
        <v>6353000000</v>
      </c>
      <c r="K323" s="6">
        <v>-608.33333333326254</v>
      </c>
      <c r="L323" t="s">
        <v>6529</v>
      </c>
      <c r="M323" t="s">
        <v>6530</v>
      </c>
      <c r="N323" s="4" t="s">
        <v>7601</v>
      </c>
      <c r="O323" s="4" t="s">
        <v>7602</v>
      </c>
      <c r="P323" s="4" t="s">
        <v>233</v>
      </c>
    </row>
    <row r="324" spans="1:16" x14ac:dyDescent="0.35">
      <c r="A324" t="s">
        <v>7603</v>
      </c>
      <c r="B324" t="s">
        <v>7604</v>
      </c>
      <c r="C324" t="s">
        <v>16</v>
      </c>
      <c r="D324" s="6">
        <v>1443122028.9230349</v>
      </c>
      <c r="E324" s="6">
        <v>10092122028.923033</v>
      </c>
      <c r="F324" s="6">
        <v>7.3600001335144043</v>
      </c>
      <c r="G324" s="6">
        <v>6.820000171661377</v>
      </c>
      <c r="H324" s="6">
        <v>4.9494265010274789</v>
      </c>
      <c r="I324" s="6">
        <v>6.0348507658320116E-2</v>
      </c>
      <c r="J324" s="6">
        <v>4465400000</v>
      </c>
      <c r="K324" s="6" t="e">
        <v>#N/A</v>
      </c>
      <c r="L324" t="s">
        <v>6514</v>
      </c>
      <c r="M324" t="s">
        <v>6515</v>
      </c>
      <c r="N324" s="4" t="s">
        <v>233</v>
      </c>
      <c r="O324" s="4" t="s">
        <v>7605</v>
      </c>
      <c r="P324" s="4" t="s">
        <v>13207</v>
      </c>
    </row>
    <row r="325" spans="1:16" x14ac:dyDescent="0.35">
      <c r="A325" t="s">
        <v>7606</v>
      </c>
      <c r="B325" t="s">
        <v>7604</v>
      </c>
      <c r="C325" t="s">
        <v>16</v>
      </c>
      <c r="D325" s="6">
        <v>1443122028.9230349</v>
      </c>
      <c r="E325" s="6">
        <v>10092122028.923033</v>
      </c>
      <c r="F325" s="6">
        <v>7.3400001525878906</v>
      </c>
      <c r="G325" s="6">
        <v>6.809999942779541</v>
      </c>
      <c r="H325" s="6">
        <v>4.9359769855625295</v>
      </c>
      <c r="I325" s="6">
        <v>4.39736561011288E-2</v>
      </c>
      <c r="J325" s="6">
        <v>4465400000</v>
      </c>
      <c r="K325" s="6" t="e">
        <v>#N/A</v>
      </c>
      <c r="L325" t="s">
        <v>6514</v>
      </c>
      <c r="M325" t="s">
        <v>6515</v>
      </c>
      <c r="N325" s="4" t="s">
        <v>233</v>
      </c>
      <c r="O325" s="4" t="s">
        <v>7607</v>
      </c>
      <c r="P325" s="4" t="s">
        <v>13208</v>
      </c>
    </row>
    <row r="326" spans="1:16" x14ac:dyDescent="0.35">
      <c r="A326" t="s">
        <v>7608</v>
      </c>
      <c r="B326" t="s">
        <v>7609</v>
      </c>
      <c r="C326" t="s">
        <v>16</v>
      </c>
      <c r="D326" s="6">
        <v>1535862544.3514013</v>
      </c>
      <c r="E326" s="6">
        <v>4394859024.3514004</v>
      </c>
      <c r="F326" s="6">
        <v>9.2100000381469727</v>
      </c>
      <c r="G326" s="6">
        <v>9.1599998474121094</v>
      </c>
      <c r="H326" s="6">
        <v>40.229583980444197</v>
      </c>
      <c r="I326" s="6">
        <v>-6.6922729124714087E-2</v>
      </c>
      <c r="J326" s="6">
        <v>763203000</v>
      </c>
      <c r="K326" s="6">
        <v>-18.18181818181818</v>
      </c>
      <c r="L326" t="s">
        <v>6623</v>
      </c>
      <c r="M326" t="s">
        <v>6700</v>
      </c>
      <c r="N326" s="4" t="s">
        <v>7610</v>
      </c>
      <c r="O326" s="4" t="s">
        <v>7611</v>
      </c>
      <c r="P326" s="4" t="s">
        <v>233</v>
      </c>
    </row>
    <row r="327" spans="1:16" x14ac:dyDescent="0.35">
      <c r="A327" t="s">
        <v>7612</v>
      </c>
      <c r="B327" t="s">
        <v>7613</v>
      </c>
      <c r="C327" t="s">
        <v>16</v>
      </c>
      <c r="D327" s="6">
        <v>170024904.00629997</v>
      </c>
      <c r="E327" s="6">
        <v>463384904.00629997</v>
      </c>
      <c r="F327" s="6">
        <v>8.4899997711181641</v>
      </c>
      <c r="G327" s="6">
        <v>8.25</v>
      </c>
      <c r="H327" s="6" t="e">
        <v>#N/A</v>
      </c>
      <c r="I327" s="6">
        <v>-0.53228731772072568</v>
      </c>
      <c r="J327" s="6">
        <v>664513000</v>
      </c>
      <c r="K327" s="6" t="e">
        <v>#N/A</v>
      </c>
      <c r="L327" t="s">
        <v>6523</v>
      </c>
      <c r="M327" t="s">
        <v>6588</v>
      </c>
      <c r="N327" s="4" t="s">
        <v>7614</v>
      </c>
      <c r="O327" s="4" t="s">
        <v>7615</v>
      </c>
      <c r="P327" s="4" t="s">
        <v>233</v>
      </c>
    </row>
    <row r="328" spans="1:16" x14ac:dyDescent="0.35">
      <c r="A328" t="s">
        <v>7616</v>
      </c>
      <c r="B328" t="s">
        <v>7617</v>
      </c>
      <c r="C328" t="s">
        <v>16</v>
      </c>
      <c r="D328" s="6">
        <v>836225736.86965942</v>
      </c>
      <c r="E328" s="6">
        <v>945515736.86965954</v>
      </c>
      <c r="F328" s="6">
        <v>99.779998779296875</v>
      </c>
      <c r="G328" s="6">
        <v>100.62999725341797</v>
      </c>
      <c r="H328" s="6">
        <v>12.006114813653962</v>
      </c>
      <c r="I328" s="6">
        <v>-0.19263697136463154</v>
      </c>
      <c r="J328" s="6">
        <v>2954424000</v>
      </c>
      <c r="K328" s="6">
        <v>-68.194317140238311</v>
      </c>
      <c r="L328" t="s">
        <v>6547</v>
      </c>
      <c r="M328" t="s">
        <v>6875</v>
      </c>
      <c r="N328" s="4" t="s">
        <v>7618</v>
      </c>
      <c r="O328" s="4" t="s">
        <v>7619</v>
      </c>
      <c r="P328" s="4" t="s">
        <v>233</v>
      </c>
    </row>
    <row r="329" spans="1:16" x14ac:dyDescent="0.35">
      <c r="A329" t="s">
        <v>7620</v>
      </c>
      <c r="B329" t="s">
        <v>7621</v>
      </c>
      <c r="C329" t="s">
        <v>16</v>
      </c>
      <c r="D329" s="6">
        <v>308030205.3951121</v>
      </c>
      <c r="E329" s="6">
        <v>699793205.39511216</v>
      </c>
      <c r="F329" s="6">
        <v>9.8000001907348633</v>
      </c>
      <c r="G329" s="6">
        <v>9.6700000762939453</v>
      </c>
      <c r="H329" s="6" t="e">
        <v>#N/A</v>
      </c>
      <c r="I329" s="6">
        <v>-3.6283918120823433E-2</v>
      </c>
      <c r="J329" s="6">
        <v>311818000</v>
      </c>
      <c r="K329" s="6">
        <v>83.852431945617411</v>
      </c>
      <c r="L329" t="s">
        <v>6623</v>
      </c>
      <c r="M329" t="s">
        <v>6634</v>
      </c>
      <c r="N329" s="4" t="s">
        <v>7622</v>
      </c>
      <c r="O329" s="4" t="s">
        <v>7623</v>
      </c>
      <c r="P329" s="4" t="s">
        <v>233</v>
      </c>
    </row>
    <row r="330" spans="1:16" x14ac:dyDescent="0.35">
      <c r="A330" t="s">
        <v>7624</v>
      </c>
      <c r="B330" t="s">
        <v>7625</v>
      </c>
      <c r="C330" t="s">
        <v>16</v>
      </c>
      <c r="D330" s="6">
        <v>58502102.227186203</v>
      </c>
      <c r="E330" s="6">
        <v>672661102.2271862</v>
      </c>
      <c r="F330" s="6">
        <v>1.2300000190734863</v>
      </c>
      <c r="G330" s="6">
        <v>1.2999999523162842</v>
      </c>
      <c r="H330" s="6" t="e">
        <v>#N/A</v>
      </c>
      <c r="I330" s="6">
        <v>-0.61818919264399264</v>
      </c>
      <c r="J330" s="6">
        <v>1286627000</v>
      </c>
      <c r="K330" s="6">
        <v>-8.2911869711831372</v>
      </c>
      <c r="L330" t="s">
        <v>6547</v>
      </c>
      <c r="M330" t="s">
        <v>6602</v>
      </c>
      <c r="N330" s="4" t="s">
        <v>7626</v>
      </c>
      <c r="O330" s="4" t="s">
        <v>7627</v>
      </c>
      <c r="P330" s="4" t="s">
        <v>233</v>
      </c>
    </row>
    <row r="331" spans="1:16" x14ac:dyDescent="0.35">
      <c r="A331" t="s">
        <v>7628</v>
      </c>
      <c r="B331" t="s">
        <v>7629</v>
      </c>
      <c r="C331" t="s">
        <v>16</v>
      </c>
      <c r="D331" s="6">
        <v>1781387183.820425</v>
      </c>
      <c r="E331" s="6">
        <v>2938116183.820425</v>
      </c>
      <c r="F331" s="6">
        <v>11.140000343322754</v>
      </c>
      <c r="G331" s="6">
        <v>10.880000114440918</v>
      </c>
      <c r="H331" s="6">
        <v>22.932192233774042</v>
      </c>
      <c r="I331" s="6">
        <v>-0.45328541060966998</v>
      </c>
      <c r="J331" s="6">
        <v>1518397000</v>
      </c>
      <c r="K331" s="6">
        <v>-1.9684308942322926</v>
      </c>
      <c r="L331" t="s">
        <v>6540</v>
      </c>
      <c r="M331" t="s">
        <v>7630</v>
      </c>
      <c r="N331" s="4" t="s">
        <v>7631</v>
      </c>
      <c r="O331" s="4" t="s">
        <v>7632</v>
      </c>
      <c r="P331" s="4" t="s">
        <v>233</v>
      </c>
    </row>
    <row r="332" spans="1:16" x14ac:dyDescent="0.35">
      <c r="A332" t="s">
        <v>7633</v>
      </c>
      <c r="B332" t="s">
        <v>7634</v>
      </c>
      <c r="C332" t="s">
        <v>16</v>
      </c>
      <c r="D332" s="6">
        <v>1945616900.7588844</v>
      </c>
      <c r="E332" s="6">
        <v>1646016900.7588844</v>
      </c>
      <c r="F332" s="6">
        <v>16.549999237060547</v>
      </c>
      <c r="G332" s="6">
        <v>16.479999542236328</v>
      </c>
      <c r="H332" s="6">
        <v>4.1990910266715993</v>
      </c>
      <c r="I332" s="6">
        <v>0.2802687378358697</v>
      </c>
      <c r="J332" s="6">
        <v>2300000000</v>
      </c>
      <c r="K332" s="6" t="e">
        <v>#N/A</v>
      </c>
      <c r="L332" t="s">
        <v>6529</v>
      </c>
      <c r="M332" t="s">
        <v>6664</v>
      </c>
      <c r="N332" s="4" t="s">
        <v>233</v>
      </c>
      <c r="O332" s="4" t="s">
        <v>7635</v>
      </c>
      <c r="P332" s="4" t="s">
        <v>13209</v>
      </c>
    </row>
    <row r="333" spans="1:16" x14ac:dyDescent="0.35">
      <c r="A333" t="s">
        <v>7636</v>
      </c>
      <c r="B333" t="s">
        <v>3991</v>
      </c>
      <c r="C333" t="s">
        <v>16</v>
      </c>
      <c r="D333" s="6">
        <v>265599212.99144554</v>
      </c>
      <c r="E333" s="6">
        <v>198552212.99144554</v>
      </c>
      <c r="F333" s="6">
        <v>5.929999828338623</v>
      </c>
      <c r="G333" s="6">
        <v>5.6700000762939453</v>
      </c>
      <c r="H333" s="6" t="e">
        <v>#N/A</v>
      </c>
      <c r="I333" s="6">
        <v>-0.58604827778729685</v>
      </c>
      <c r="J333" s="6">
        <v>84553000</v>
      </c>
      <c r="K333" s="6">
        <v>-21.757364629485586</v>
      </c>
      <c r="L333" t="s">
        <v>17</v>
      </c>
      <c r="M333" t="s">
        <v>18</v>
      </c>
      <c r="N333" s="4" t="s">
        <v>3992</v>
      </c>
      <c r="O333" s="4" t="s">
        <v>3993</v>
      </c>
      <c r="P333" s="4" t="s">
        <v>233</v>
      </c>
    </row>
    <row r="334" spans="1:16" x14ac:dyDescent="0.35">
      <c r="A334" t="s">
        <v>7637</v>
      </c>
      <c r="B334" t="s">
        <v>7638</v>
      </c>
      <c r="C334" t="s">
        <v>16</v>
      </c>
      <c r="D334" s="6">
        <v>3891596414.5013461</v>
      </c>
      <c r="E334" s="6">
        <v>6692696414.5013466</v>
      </c>
      <c r="F334" s="6">
        <v>44.439998626708984</v>
      </c>
      <c r="G334" s="6">
        <v>45.069999694824219</v>
      </c>
      <c r="H334" s="6">
        <v>29.872074803004271</v>
      </c>
      <c r="I334" s="6">
        <v>0.92186090734640169</v>
      </c>
      <c r="J334" s="6">
        <v>1075772000</v>
      </c>
      <c r="K334" s="6" t="e">
        <v>#N/A</v>
      </c>
      <c r="L334" t="s">
        <v>6523</v>
      </c>
      <c r="M334" t="s">
        <v>6588</v>
      </c>
      <c r="N334" s="4" t="s">
        <v>7639</v>
      </c>
      <c r="O334" s="4" t="s">
        <v>7640</v>
      </c>
      <c r="P334" s="4" t="s">
        <v>233</v>
      </c>
    </row>
    <row r="335" spans="1:16" x14ac:dyDescent="0.35">
      <c r="A335" t="s">
        <v>7641</v>
      </c>
      <c r="B335" t="s">
        <v>7642</v>
      </c>
      <c r="C335" t="s">
        <v>16</v>
      </c>
      <c r="D335" s="6">
        <v>79033358.041199669</v>
      </c>
      <c r="E335" s="6">
        <v>602061358.04119956</v>
      </c>
      <c r="F335" s="6">
        <v>0.48559999465942383</v>
      </c>
      <c r="G335" s="6">
        <v>0.49029999971389771</v>
      </c>
      <c r="H335" s="6" t="e">
        <v>#N/A</v>
      </c>
      <c r="I335" s="6">
        <v>-0.85849030614918354</v>
      </c>
      <c r="J335" s="6">
        <v>256183000</v>
      </c>
      <c r="K335" s="6">
        <v>-485.71819459332858</v>
      </c>
      <c r="L335" t="s">
        <v>6547</v>
      </c>
      <c r="M335" t="s">
        <v>6602</v>
      </c>
      <c r="N335" s="4" t="s">
        <v>7643</v>
      </c>
      <c r="O335" s="4" t="s">
        <v>7644</v>
      </c>
      <c r="P335" s="4" t="s">
        <v>233</v>
      </c>
    </row>
    <row r="336" spans="1:16" x14ac:dyDescent="0.35">
      <c r="A336" t="s">
        <v>7645</v>
      </c>
      <c r="B336" t="s">
        <v>2441</v>
      </c>
      <c r="C336" t="s">
        <v>16</v>
      </c>
      <c r="D336" s="6">
        <v>146347385.17756969</v>
      </c>
      <c r="E336" s="6">
        <v>114994385.17756969</v>
      </c>
      <c r="F336" s="6">
        <v>0.64099997282028198</v>
      </c>
      <c r="G336" s="6">
        <v>0.64670002460479736</v>
      </c>
      <c r="H336" s="6" t="e">
        <v>#N/A</v>
      </c>
      <c r="I336" s="6">
        <v>-0.40563491757420034</v>
      </c>
      <c r="J336" s="6">
        <v>8719000</v>
      </c>
      <c r="K336" s="6">
        <v>16.05011064523643</v>
      </c>
      <c r="L336" t="s">
        <v>17</v>
      </c>
      <c r="M336" t="s">
        <v>18</v>
      </c>
      <c r="N336" s="4" t="s">
        <v>2442</v>
      </c>
      <c r="O336" s="4" t="s">
        <v>2443</v>
      </c>
      <c r="P336" s="4" t="s">
        <v>233</v>
      </c>
    </row>
    <row r="337" spans="1:16" x14ac:dyDescent="0.35">
      <c r="A337" t="s">
        <v>7646</v>
      </c>
      <c r="B337" t="s">
        <v>7647</v>
      </c>
      <c r="C337" t="s">
        <v>16</v>
      </c>
      <c r="D337" s="6">
        <v>151245629.12376094</v>
      </c>
      <c r="E337" s="6">
        <v>415298629.12376082</v>
      </c>
      <c r="F337" s="6">
        <v>1.4500000476837158</v>
      </c>
      <c r="G337" s="6">
        <v>1.309999942779541</v>
      </c>
      <c r="H337" s="6" t="e">
        <v>#N/A</v>
      </c>
      <c r="I337" s="6">
        <v>-0.83497451841428894</v>
      </c>
      <c r="J337" s="6">
        <v>662077000</v>
      </c>
      <c r="K337" s="6" t="e">
        <v>#N/A</v>
      </c>
      <c r="L337" t="s">
        <v>6540</v>
      </c>
      <c r="M337" t="s">
        <v>6838</v>
      </c>
      <c r="N337" s="4" t="s">
        <v>7648</v>
      </c>
      <c r="O337" s="4" t="s">
        <v>7649</v>
      </c>
      <c r="P337" s="4" t="s">
        <v>233</v>
      </c>
    </row>
    <row r="338" spans="1:16" x14ac:dyDescent="0.35">
      <c r="A338" t="s">
        <v>7650</v>
      </c>
      <c r="B338" t="s">
        <v>3948</v>
      </c>
      <c r="C338" t="s">
        <v>16</v>
      </c>
      <c r="D338" s="6">
        <v>1375768203.3251209</v>
      </c>
      <c r="E338" s="6">
        <v>1174091203.3251209</v>
      </c>
      <c r="F338" s="6">
        <v>16.254999160766602</v>
      </c>
      <c r="G338" s="6">
        <v>15.970000267028809</v>
      </c>
      <c r="H338" s="6" t="e">
        <v>#N/A</v>
      </c>
      <c r="I338" s="6">
        <v>7.9124053609586076E-2</v>
      </c>
      <c r="J338" s="6">
        <v>15610000</v>
      </c>
      <c r="K338" s="6">
        <v>-84.804818576857926</v>
      </c>
      <c r="L338" t="s">
        <v>17</v>
      </c>
      <c r="M338" t="s">
        <v>87</v>
      </c>
      <c r="N338" s="4" t="s">
        <v>3949</v>
      </c>
      <c r="O338" s="4" t="s">
        <v>3950</v>
      </c>
      <c r="P338" s="4" t="s">
        <v>233</v>
      </c>
    </row>
    <row r="339" spans="1:16" x14ac:dyDescent="0.35">
      <c r="A339" t="s">
        <v>7651</v>
      </c>
      <c r="B339" t="s">
        <v>595</v>
      </c>
      <c r="C339" t="s">
        <v>16</v>
      </c>
      <c r="D339" s="6">
        <v>4593358974.3720818</v>
      </c>
      <c r="E339" s="6">
        <v>5805598974.3720818</v>
      </c>
      <c r="F339" s="6">
        <v>62.049999237060547</v>
      </c>
      <c r="G339" s="6">
        <v>60.779998779296875</v>
      </c>
      <c r="H339" s="6">
        <v>192.88336303123916</v>
      </c>
      <c r="I339" s="6">
        <v>0.602118031026184</v>
      </c>
      <c r="J339" s="6">
        <v>1772946000</v>
      </c>
      <c r="K339" s="6" t="e">
        <v>#N/A</v>
      </c>
      <c r="L339" t="s">
        <v>17</v>
      </c>
      <c r="M339" t="s">
        <v>40</v>
      </c>
      <c r="N339" s="4" t="s">
        <v>596</v>
      </c>
      <c r="O339" s="4" t="s">
        <v>597</v>
      </c>
      <c r="P339" s="4" t="s">
        <v>233</v>
      </c>
    </row>
    <row r="340" spans="1:16" x14ac:dyDescent="0.35">
      <c r="A340" t="s">
        <v>7652</v>
      </c>
      <c r="B340" t="s">
        <v>7653</v>
      </c>
      <c r="C340" t="s">
        <v>16</v>
      </c>
      <c r="D340" s="6">
        <v>2610987641.7842102</v>
      </c>
      <c r="E340" s="6">
        <v>2267900641.7842102</v>
      </c>
      <c r="F340" s="6">
        <v>39.669998168945313</v>
      </c>
      <c r="G340" s="6">
        <v>39.520000457763672</v>
      </c>
      <c r="H340" s="6">
        <v>20.306048647984269</v>
      </c>
      <c r="I340" s="6">
        <v>-0.13180131058256306</v>
      </c>
      <c r="J340" s="6">
        <v>1392488000</v>
      </c>
      <c r="K340" s="6">
        <v>31.818181818181795</v>
      </c>
      <c r="L340" t="s">
        <v>6514</v>
      </c>
      <c r="M340" t="s">
        <v>6578</v>
      </c>
      <c r="N340" s="4" t="s">
        <v>7654</v>
      </c>
      <c r="O340" s="4" t="s">
        <v>7655</v>
      </c>
      <c r="P340" s="4" t="s">
        <v>233</v>
      </c>
    </row>
    <row r="341" spans="1:16" x14ac:dyDescent="0.35">
      <c r="A341" t="s">
        <v>7656</v>
      </c>
      <c r="B341" t="s">
        <v>7657</v>
      </c>
      <c r="C341" t="s">
        <v>16</v>
      </c>
      <c r="D341" s="6">
        <v>212036996.65069577</v>
      </c>
      <c r="E341" s="6">
        <v>910244996.6506958</v>
      </c>
      <c r="F341" s="6">
        <v>4.8299999237060547</v>
      </c>
      <c r="G341" s="6">
        <v>4.75</v>
      </c>
      <c r="H341" s="6">
        <v>8.4308052967557181</v>
      </c>
      <c r="I341" s="6">
        <v>-0.29794801130282078</v>
      </c>
      <c r="J341" s="6">
        <v>112277000</v>
      </c>
      <c r="K341" s="6" t="e">
        <v>#N/A</v>
      </c>
      <c r="L341" t="s">
        <v>6547</v>
      </c>
      <c r="M341" t="s">
        <v>7658</v>
      </c>
      <c r="N341" s="4" t="s">
        <v>233</v>
      </c>
      <c r="O341" s="4" t="s">
        <v>7659</v>
      </c>
      <c r="P341" s="4" t="s">
        <v>13210</v>
      </c>
    </row>
    <row r="342" spans="1:16" x14ac:dyDescent="0.35">
      <c r="A342" t="s">
        <v>7660</v>
      </c>
      <c r="B342" t="s">
        <v>7661</v>
      </c>
      <c r="C342" t="s">
        <v>16</v>
      </c>
      <c r="D342" s="6">
        <v>65258267.146039002</v>
      </c>
      <c r="E342" s="6">
        <v>53950839.146039002</v>
      </c>
      <c r="F342" s="6">
        <v>5.8000001907348633</v>
      </c>
      <c r="G342" s="6">
        <v>6.0399999618530273</v>
      </c>
      <c r="H342" s="6">
        <v>11.095297489277471</v>
      </c>
      <c r="I342" s="6">
        <v>-0.51731013125911174</v>
      </c>
      <c r="J342" s="6">
        <v>31771647</v>
      </c>
      <c r="K342" s="6">
        <v>-18.071705730064505</v>
      </c>
      <c r="L342" t="s">
        <v>6547</v>
      </c>
      <c r="M342" t="s">
        <v>6843</v>
      </c>
      <c r="N342" s="4" t="s">
        <v>7662</v>
      </c>
      <c r="O342" s="4" t="s">
        <v>7663</v>
      </c>
      <c r="P342" s="4" t="s">
        <v>233</v>
      </c>
    </row>
    <row r="343" spans="1:16" x14ac:dyDescent="0.35">
      <c r="A343" t="s">
        <v>7664</v>
      </c>
      <c r="B343" t="s">
        <v>7665</v>
      </c>
      <c r="C343" t="s">
        <v>16</v>
      </c>
      <c r="D343" s="6">
        <v>2780626711.5227656</v>
      </c>
      <c r="E343" s="6">
        <v>4196802711.5227661</v>
      </c>
      <c r="F343" s="6">
        <v>122.05999755859375</v>
      </c>
      <c r="G343" s="6">
        <v>120.98000335693359</v>
      </c>
      <c r="H343" s="6">
        <v>22.280674728536415</v>
      </c>
      <c r="I343" s="6">
        <v>0.18536666140751001</v>
      </c>
      <c r="J343" s="6">
        <v>757489000</v>
      </c>
      <c r="K343" s="6">
        <v>-0.60483870967742437</v>
      </c>
      <c r="L343" t="s">
        <v>6719</v>
      </c>
      <c r="M343" t="s">
        <v>7212</v>
      </c>
      <c r="N343" s="4" t="s">
        <v>7666</v>
      </c>
      <c r="O343" s="4" t="s">
        <v>7667</v>
      </c>
      <c r="P343" s="4" t="s">
        <v>233</v>
      </c>
    </row>
    <row r="344" spans="1:16" x14ac:dyDescent="0.35">
      <c r="A344" t="s">
        <v>7668</v>
      </c>
      <c r="B344" t="s">
        <v>7669</v>
      </c>
      <c r="C344" t="s">
        <v>16</v>
      </c>
      <c r="D344" s="6">
        <v>370657629.67379284</v>
      </c>
      <c r="E344" s="6">
        <v>449997629.67379284</v>
      </c>
      <c r="F344" s="6">
        <v>4.929999828338623</v>
      </c>
      <c r="G344" s="6">
        <v>4.8899998664855957</v>
      </c>
      <c r="H344" s="6" t="e">
        <v>#N/A</v>
      </c>
      <c r="I344" s="6">
        <v>0.78987024585217713</v>
      </c>
      <c r="J344" s="6">
        <v>5542000</v>
      </c>
      <c r="K344" s="6">
        <v>13.800440403658325</v>
      </c>
      <c r="L344" t="s">
        <v>6719</v>
      </c>
      <c r="M344" t="s">
        <v>6720</v>
      </c>
      <c r="N344" s="4" t="s">
        <v>7670</v>
      </c>
      <c r="O344" s="4" t="s">
        <v>7671</v>
      </c>
      <c r="P344" s="4" t="s">
        <v>233</v>
      </c>
    </row>
    <row r="345" spans="1:16" x14ac:dyDescent="0.35">
      <c r="A345" t="s">
        <v>7672</v>
      </c>
      <c r="B345" t="s">
        <v>4148</v>
      </c>
      <c r="C345" t="s">
        <v>16</v>
      </c>
      <c r="D345" s="6">
        <v>543441196.14317894</v>
      </c>
      <c r="E345" s="6">
        <v>277339196.14317894</v>
      </c>
      <c r="F345" s="6">
        <v>10.260000228881836</v>
      </c>
      <c r="G345" s="6">
        <v>10.029999732971191</v>
      </c>
      <c r="H345" s="6" t="e">
        <v>#N/A</v>
      </c>
      <c r="I345" s="6">
        <v>1.056176201139051</v>
      </c>
      <c r="J345" s="6">
        <v>16742000</v>
      </c>
      <c r="K345" s="6">
        <v>13.259171292497113</v>
      </c>
      <c r="L345" t="s">
        <v>17</v>
      </c>
      <c r="M345" t="s">
        <v>18</v>
      </c>
      <c r="N345" s="4" t="s">
        <v>4149</v>
      </c>
      <c r="O345" s="4" t="s">
        <v>4150</v>
      </c>
      <c r="P345" s="4" t="s">
        <v>233</v>
      </c>
    </row>
    <row r="346" spans="1:16" x14ac:dyDescent="0.35">
      <c r="A346" t="s">
        <v>7673</v>
      </c>
      <c r="B346" t="s">
        <v>7674</v>
      </c>
      <c r="C346" t="s">
        <v>16</v>
      </c>
      <c r="D346" s="6">
        <v>259636793.19913194</v>
      </c>
      <c r="E346" s="6">
        <v>656133413.19913197</v>
      </c>
      <c r="F346" s="6">
        <v>1.309999942779541</v>
      </c>
      <c r="G346" s="6">
        <v>1.3500000238418579</v>
      </c>
      <c r="H346" s="6">
        <v>5.2813847016402171</v>
      </c>
      <c r="I346" s="6">
        <v>-2.9549924715231213E-2</v>
      </c>
      <c r="J346" s="6">
        <v>382829586</v>
      </c>
      <c r="K346" s="6">
        <v>50.000000000000021</v>
      </c>
      <c r="L346" t="s">
        <v>6523</v>
      </c>
      <c r="M346" t="s">
        <v>6524</v>
      </c>
      <c r="N346" s="4" t="s">
        <v>7675</v>
      </c>
      <c r="O346" s="4" t="s">
        <v>7676</v>
      </c>
      <c r="P346" s="4" t="s">
        <v>233</v>
      </c>
    </row>
    <row r="347" spans="1:16" x14ac:dyDescent="0.35">
      <c r="A347" t="s">
        <v>7677</v>
      </c>
      <c r="B347" t="s">
        <v>5490</v>
      </c>
      <c r="C347" t="s">
        <v>16</v>
      </c>
      <c r="D347" s="6">
        <v>966194341.86835861</v>
      </c>
      <c r="E347" s="6">
        <v>2333594341.8683586</v>
      </c>
      <c r="F347" s="6">
        <v>16.620000839233398</v>
      </c>
      <c r="G347" s="6">
        <v>17.200000762939453</v>
      </c>
      <c r="H347" s="6">
        <v>8.5538536803357097</v>
      </c>
      <c r="I347" s="6">
        <v>0.15471445114372839</v>
      </c>
      <c r="J347" s="6">
        <v>1107700000</v>
      </c>
      <c r="K347" s="6">
        <v>4.1666666666666705</v>
      </c>
      <c r="L347" t="s">
        <v>17</v>
      </c>
      <c r="M347" t="s">
        <v>27</v>
      </c>
      <c r="N347" s="4" t="s">
        <v>5491</v>
      </c>
      <c r="O347" s="4" t="s">
        <v>5492</v>
      </c>
      <c r="P347" s="4" t="s">
        <v>233</v>
      </c>
    </row>
    <row r="348" spans="1:16" x14ac:dyDescent="0.35">
      <c r="A348" t="s">
        <v>7678</v>
      </c>
      <c r="B348" t="s">
        <v>1531</v>
      </c>
      <c r="C348" t="s">
        <v>16</v>
      </c>
      <c r="D348" s="6">
        <v>204790244.266305</v>
      </c>
      <c r="E348" s="6">
        <v>-58839755.73369506</v>
      </c>
      <c r="F348" s="6">
        <v>3.0299999713897705</v>
      </c>
      <c r="G348" s="6">
        <v>3.0999999046325684</v>
      </c>
      <c r="H348" s="6" t="e">
        <v>#N/A</v>
      </c>
      <c r="I348" s="6">
        <v>-0.63393327205947703</v>
      </c>
      <c r="J348" s="6" t="e">
        <v>#N/A</v>
      </c>
      <c r="K348" s="6">
        <v>-26.515888888888906</v>
      </c>
      <c r="L348" t="s">
        <v>17</v>
      </c>
      <c r="M348" t="s">
        <v>18</v>
      </c>
      <c r="N348" s="4" t="s">
        <v>1532</v>
      </c>
      <c r="O348" s="4" t="s">
        <v>1533</v>
      </c>
      <c r="P348" s="4" t="s">
        <v>233</v>
      </c>
    </row>
    <row r="349" spans="1:16" x14ac:dyDescent="0.35">
      <c r="A349" t="s">
        <v>7679</v>
      </c>
      <c r="B349" t="s">
        <v>7680</v>
      </c>
      <c r="C349" t="s">
        <v>16</v>
      </c>
      <c r="D349" s="6">
        <v>1766841006.4678345</v>
      </c>
      <c r="E349" s="6">
        <v>2150594006.4678345</v>
      </c>
      <c r="F349" s="6">
        <v>42.529998779296875</v>
      </c>
      <c r="G349" s="6">
        <v>42.279998779296875</v>
      </c>
      <c r="H349" s="6">
        <v>10.965228591195455</v>
      </c>
      <c r="I349" s="6">
        <v>0.28861187845008618</v>
      </c>
      <c r="J349" s="6">
        <v>2417577000</v>
      </c>
      <c r="K349" s="6">
        <v>11.782477341389718</v>
      </c>
      <c r="L349" t="s">
        <v>6529</v>
      </c>
      <c r="M349" t="s">
        <v>6646</v>
      </c>
      <c r="N349" s="4" t="s">
        <v>7681</v>
      </c>
      <c r="O349" s="4" t="s">
        <v>7682</v>
      </c>
      <c r="P349" s="4" t="s">
        <v>233</v>
      </c>
    </row>
    <row r="350" spans="1:16" x14ac:dyDescent="0.35">
      <c r="A350" t="s">
        <v>7683</v>
      </c>
      <c r="B350" t="s">
        <v>7684</v>
      </c>
      <c r="C350" t="s">
        <v>16</v>
      </c>
      <c r="D350" s="6">
        <v>473885421.49202466</v>
      </c>
      <c r="E350" s="6">
        <v>445969421.49202466</v>
      </c>
      <c r="F350" s="6">
        <v>3.1400001049041748</v>
      </c>
      <c r="G350" s="6">
        <v>3.1400001049041748</v>
      </c>
      <c r="H350" s="6" t="e">
        <v>#N/A</v>
      </c>
      <c r="I350" s="6">
        <v>1.0616986365788166</v>
      </c>
      <c r="J350" s="6">
        <v>139882000</v>
      </c>
      <c r="K350" s="6">
        <v>-64.285714285714278</v>
      </c>
      <c r="L350" t="s">
        <v>6514</v>
      </c>
      <c r="M350" t="s">
        <v>6534</v>
      </c>
      <c r="N350" s="4" t="s">
        <v>7685</v>
      </c>
      <c r="O350" s="4" t="s">
        <v>7686</v>
      </c>
      <c r="P350" s="4" t="s">
        <v>233</v>
      </c>
    </row>
    <row r="351" spans="1:16" x14ac:dyDescent="0.35">
      <c r="A351" t="s">
        <v>7687</v>
      </c>
      <c r="B351" t="s">
        <v>7688</v>
      </c>
      <c r="C351" t="s">
        <v>16</v>
      </c>
      <c r="D351" s="6">
        <v>956834475.27342224</v>
      </c>
      <c r="E351" s="6" t="e">
        <v>#N/A</v>
      </c>
      <c r="F351" s="6">
        <v>28.930000305175781</v>
      </c>
      <c r="G351" s="6">
        <v>29.360000610351563</v>
      </c>
      <c r="H351" s="6" t="e">
        <v>#N/A</v>
      </c>
      <c r="I351" s="6">
        <v>0.49344844615765582</v>
      </c>
      <c r="J351" s="6">
        <v>273134000</v>
      </c>
      <c r="K351" s="6">
        <v>169.88999999999982</v>
      </c>
      <c r="L351" t="s">
        <v>6518</v>
      </c>
      <c r="M351" t="s">
        <v>6519</v>
      </c>
      <c r="N351" s="4" t="s">
        <v>7689</v>
      </c>
      <c r="O351" s="4" t="s">
        <v>7690</v>
      </c>
      <c r="P351" s="4" t="s">
        <v>233</v>
      </c>
    </row>
    <row r="352" spans="1:16" x14ac:dyDescent="0.35">
      <c r="A352" t="s">
        <v>7691</v>
      </c>
      <c r="B352" t="s">
        <v>7692</v>
      </c>
      <c r="C352" t="s">
        <v>16</v>
      </c>
      <c r="D352" s="6">
        <v>328813200</v>
      </c>
      <c r="E352" s="6">
        <v>481618200</v>
      </c>
      <c r="F352" s="6">
        <v>12.5</v>
      </c>
      <c r="G352" s="6">
        <v>12.550000190734863</v>
      </c>
      <c r="H352" s="6" t="e">
        <v>#N/A</v>
      </c>
      <c r="I352" s="6">
        <v>0.14924564686325215</v>
      </c>
      <c r="J352" s="6">
        <v>0</v>
      </c>
      <c r="K352" s="6">
        <v>50.067173157635459</v>
      </c>
      <c r="L352" t="s">
        <v>6529</v>
      </c>
      <c r="M352" t="s">
        <v>6639</v>
      </c>
      <c r="N352" s="4" t="s">
        <v>7693</v>
      </c>
      <c r="O352" s="4" t="s">
        <v>7694</v>
      </c>
      <c r="P352" s="4" t="s">
        <v>233</v>
      </c>
    </row>
    <row r="353" spans="1:16" x14ac:dyDescent="0.35">
      <c r="A353" t="s">
        <v>7695</v>
      </c>
      <c r="B353" t="s">
        <v>7696</v>
      </c>
      <c r="C353" t="s">
        <v>16</v>
      </c>
      <c r="D353" s="6">
        <v>1712583385.9620292</v>
      </c>
      <c r="E353" s="6">
        <v>2707730385.9620295</v>
      </c>
      <c r="F353" s="6">
        <v>7.9499998092651367</v>
      </c>
      <c r="G353" s="6">
        <v>7.9000000953674316</v>
      </c>
      <c r="H353" s="6" t="e">
        <v>#N/A</v>
      </c>
      <c r="I353" s="6">
        <v>-7.9651864087607049E-2</v>
      </c>
      <c r="J353" s="6">
        <v>425000</v>
      </c>
      <c r="K353" s="6">
        <v>79.569133017883672</v>
      </c>
      <c r="L353" t="s">
        <v>6547</v>
      </c>
      <c r="M353" t="s">
        <v>6602</v>
      </c>
      <c r="N353" s="4" t="s">
        <v>7697</v>
      </c>
      <c r="O353" s="4" t="s">
        <v>7698</v>
      </c>
      <c r="P353" s="4" t="s">
        <v>233</v>
      </c>
    </row>
    <row r="354" spans="1:16" x14ac:dyDescent="0.35">
      <c r="A354" t="s">
        <v>7699</v>
      </c>
      <c r="B354" t="s">
        <v>7700</v>
      </c>
      <c r="C354" t="s">
        <v>16</v>
      </c>
      <c r="D354" s="6">
        <v>8098311561.7735748</v>
      </c>
      <c r="E354" s="6">
        <v>8585487561.7735748</v>
      </c>
      <c r="F354" s="6">
        <v>88.769996643066406</v>
      </c>
      <c r="G354" s="6">
        <v>83.540000915527344</v>
      </c>
      <c r="H354" s="6" t="e">
        <v>#N/A</v>
      </c>
      <c r="I354" s="6">
        <v>1.496413236836212</v>
      </c>
      <c r="J354" s="6">
        <v>636528000</v>
      </c>
      <c r="K354" s="6">
        <v>49.825783972125443</v>
      </c>
      <c r="L354" t="s">
        <v>6529</v>
      </c>
      <c r="M354" t="s">
        <v>6646</v>
      </c>
      <c r="N354" s="4" t="s">
        <v>7701</v>
      </c>
      <c r="O354" s="4" t="s">
        <v>7702</v>
      </c>
      <c r="P354" s="4" t="s">
        <v>233</v>
      </c>
    </row>
    <row r="355" spans="1:16" x14ac:dyDescent="0.35">
      <c r="A355" t="s">
        <v>7703</v>
      </c>
      <c r="B355" t="s">
        <v>7704</v>
      </c>
      <c r="C355" t="s">
        <v>16</v>
      </c>
      <c r="D355" s="6">
        <v>2892317605.9010005</v>
      </c>
      <c r="E355" s="6">
        <v>3469317605.9010005</v>
      </c>
      <c r="F355" s="6">
        <v>70.529998779296875</v>
      </c>
      <c r="G355" s="6">
        <v>73.680000305175781</v>
      </c>
      <c r="H355" s="6">
        <v>9.531387466150516</v>
      </c>
      <c r="I355" s="6">
        <v>0.50924608404097582</v>
      </c>
      <c r="J355" s="6">
        <v>3773000000</v>
      </c>
      <c r="K355" s="6">
        <v>19.443122923588053</v>
      </c>
      <c r="L355" t="s">
        <v>6563</v>
      </c>
      <c r="M355" t="s">
        <v>7705</v>
      </c>
      <c r="N355" s="4" t="s">
        <v>7706</v>
      </c>
      <c r="O355" s="4" t="s">
        <v>7707</v>
      </c>
      <c r="P355" s="4" t="s">
        <v>233</v>
      </c>
    </row>
    <row r="356" spans="1:16" x14ac:dyDescent="0.35">
      <c r="A356" t="s">
        <v>7708</v>
      </c>
      <c r="B356" t="s">
        <v>4215</v>
      </c>
      <c r="C356" t="s">
        <v>16</v>
      </c>
      <c r="D356" s="6">
        <v>4409625879.0362854</v>
      </c>
      <c r="E356" s="6">
        <v>3918412879.0362854</v>
      </c>
      <c r="F356" s="6">
        <v>59.279998779296875</v>
      </c>
      <c r="G356" s="6">
        <v>57.159999847412109</v>
      </c>
      <c r="H356" s="6" t="e">
        <v>#N/A</v>
      </c>
      <c r="I356" s="6">
        <v>0.29032054438719213</v>
      </c>
      <c r="J356" s="6">
        <v>135487000</v>
      </c>
      <c r="K356" s="6">
        <v>20.536137936702207</v>
      </c>
      <c r="L356" t="s">
        <v>17</v>
      </c>
      <c r="M356" t="s">
        <v>18</v>
      </c>
      <c r="N356" s="4" t="s">
        <v>4216</v>
      </c>
      <c r="O356" s="4" t="s">
        <v>4217</v>
      </c>
      <c r="P356" s="4" t="s">
        <v>233</v>
      </c>
    </row>
    <row r="357" spans="1:16" x14ac:dyDescent="0.35">
      <c r="A357" t="s">
        <v>7709</v>
      </c>
      <c r="B357" t="s">
        <v>7710</v>
      </c>
      <c r="C357" t="s">
        <v>16</v>
      </c>
      <c r="D357" s="6">
        <v>541732405.13526928</v>
      </c>
      <c r="E357" s="6" t="e">
        <v>#N/A</v>
      </c>
      <c r="F357" s="6">
        <v>21.379999160766602</v>
      </c>
      <c r="G357" s="6">
        <v>21.590000152587891</v>
      </c>
      <c r="H357" s="6">
        <v>21.816325674251633</v>
      </c>
      <c r="I357" s="6">
        <v>-4.0203033841833213E-2</v>
      </c>
      <c r="J357" s="6">
        <v>336510000</v>
      </c>
      <c r="K357" s="6">
        <v>69.491525423728817</v>
      </c>
      <c r="L357" t="s">
        <v>6529</v>
      </c>
      <c r="M357" t="s">
        <v>6639</v>
      </c>
      <c r="N357" s="4" t="s">
        <v>7711</v>
      </c>
      <c r="O357" s="4" t="s">
        <v>7712</v>
      </c>
      <c r="P357" s="4" t="s">
        <v>233</v>
      </c>
    </row>
    <row r="358" spans="1:16" x14ac:dyDescent="0.35">
      <c r="A358" t="s">
        <v>7713</v>
      </c>
      <c r="B358" t="s">
        <v>7714</v>
      </c>
      <c r="C358" t="s">
        <v>16</v>
      </c>
      <c r="D358" s="6">
        <v>1629173648.1838474</v>
      </c>
      <c r="E358" s="6">
        <v>1478600648.1838474</v>
      </c>
      <c r="F358" s="6">
        <v>9.9899997711181641</v>
      </c>
      <c r="G358" s="6">
        <v>9.9899997711181641</v>
      </c>
      <c r="H358" s="6" t="e">
        <v>#N/A</v>
      </c>
      <c r="I358" s="6">
        <v>0.14000161534889299</v>
      </c>
      <c r="J358" s="6">
        <v>452763000</v>
      </c>
      <c r="K358" s="6">
        <v>57.101384312063793</v>
      </c>
      <c r="L358" t="s">
        <v>6518</v>
      </c>
      <c r="M358" t="s">
        <v>6519</v>
      </c>
      <c r="N358" s="4" t="s">
        <v>7715</v>
      </c>
      <c r="O358" s="4" t="s">
        <v>7716</v>
      </c>
      <c r="P358" s="4" t="s">
        <v>233</v>
      </c>
    </row>
    <row r="359" spans="1:16" x14ac:dyDescent="0.35">
      <c r="A359" t="s">
        <v>7717</v>
      </c>
      <c r="B359" t="s">
        <v>7718</v>
      </c>
      <c r="C359" t="s">
        <v>16</v>
      </c>
      <c r="D359" s="6">
        <v>2045510581.2148287</v>
      </c>
      <c r="E359" s="6">
        <v>2654387581.214829</v>
      </c>
      <c r="F359" s="6">
        <v>109.01999664306641</v>
      </c>
      <c r="G359" s="6">
        <v>113.98999786376953</v>
      </c>
      <c r="H359" s="6">
        <v>18.084324951055443</v>
      </c>
      <c r="I359" s="6">
        <v>-0.26147848211605407</v>
      </c>
      <c r="J359" s="6">
        <v>2001815000</v>
      </c>
      <c r="K359" s="6">
        <v>56.250000000000014</v>
      </c>
      <c r="L359" t="s">
        <v>6547</v>
      </c>
      <c r="M359" t="s">
        <v>6548</v>
      </c>
      <c r="N359" s="4" t="s">
        <v>7719</v>
      </c>
      <c r="O359" s="4" t="s">
        <v>7720</v>
      </c>
      <c r="P359" s="4" t="s">
        <v>233</v>
      </c>
    </row>
    <row r="360" spans="1:16" x14ac:dyDescent="0.35">
      <c r="A360" t="s">
        <v>7721</v>
      </c>
      <c r="B360" t="s">
        <v>683</v>
      </c>
      <c r="C360" t="s">
        <v>16</v>
      </c>
      <c r="D360" s="6">
        <v>2352829554.4758797</v>
      </c>
      <c r="E360" s="6">
        <v>7115767554.4758797</v>
      </c>
      <c r="F360" s="6">
        <v>18.239999771118164</v>
      </c>
      <c r="G360" s="6">
        <v>18.770000457763672</v>
      </c>
      <c r="H360" s="6">
        <v>8.2249820173744475</v>
      </c>
      <c r="I360" s="6">
        <v>0.27954030329927781</v>
      </c>
      <c r="J360" s="6">
        <v>6968548000</v>
      </c>
      <c r="K360" s="6">
        <v>20.903954802259896</v>
      </c>
      <c r="L360" t="s">
        <v>17</v>
      </c>
      <c r="M360" t="s">
        <v>40</v>
      </c>
      <c r="N360" s="4" t="s">
        <v>684</v>
      </c>
      <c r="O360" s="4" t="s">
        <v>685</v>
      </c>
      <c r="P360" s="4" t="s">
        <v>233</v>
      </c>
    </row>
    <row r="361" spans="1:16" x14ac:dyDescent="0.35">
      <c r="A361" t="s">
        <v>7722</v>
      </c>
      <c r="B361" t="s">
        <v>7723</v>
      </c>
      <c r="C361" t="s">
        <v>16</v>
      </c>
      <c r="D361" s="6">
        <v>2310650957.981873</v>
      </c>
      <c r="E361" s="6">
        <v>2040250957.981873</v>
      </c>
      <c r="F361" s="6">
        <v>32.360000610351563</v>
      </c>
      <c r="G361" s="6">
        <v>31.930000305175781</v>
      </c>
      <c r="H361" s="6" t="e">
        <v>#N/A</v>
      </c>
      <c r="I361" s="6">
        <v>0.90465382795375882</v>
      </c>
      <c r="J361" s="6">
        <v>493200000</v>
      </c>
      <c r="K361" s="6">
        <v>18.498659517426272</v>
      </c>
      <c r="L361" t="s">
        <v>6529</v>
      </c>
      <c r="M361" t="s">
        <v>6664</v>
      </c>
      <c r="N361" s="4" t="s">
        <v>7724</v>
      </c>
      <c r="O361" s="4" t="s">
        <v>7725</v>
      </c>
      <c r="P361" s="4" t="s">
        <v>233</v>
      </c>
    </row>
    <row r="362" spans="1:16" x14ac:dyDescent="0.35">
      <c r="A362" t="s">
        <v>7726</v>
      </c>
      <c r="B362" t="s">
        <v>7727</v>
      </c>
      <c r="C362" t="s">
        <v>16</v>
      </c>
      <c r="D362" s="6">
        <v>4856799482.1977224</v>
      </c>
      <c r="E362" s="6" t="e">
        <v>#N/A</v>
      </c>
      <c r="F362" s="6">
        <v>89.029998779296875</v>
      </c>
      <c r="G362" s="6">
        <v>89.680000305175781</v>
      </c>
      <c r="H362" s="6">
        <v>21.280618234905443</v>
      </c>
      <c r="I362" s="6">
        <v>0.40030859015639697</v>
      </c>
      <c r="J362" s="6">
        <v>981177000</v>
      </c>
      <c r="K362" s="6">
        <v>9.7368421052631628</v>
      </c>
      <c r="L362" t="s">
        <v>6529</v>
      </c>
      <c r="M362" t="s">
        <v>6530</v>
      </c>
      <c r="N362" s="4" t="s">
        <v>7728</v>
      </c>
      <c r="O362" s="4" t="s">
        <v>7729</v>
      </c>
      <c r="P362" s="4" t="s">
        <v>233</v>
      </c>
    </row>
    <row r="363" spans="1:16" x14ac:dyDescent="0.35">
      <c r="A363" t="s">
        <v>7730</v>
      </c>
      <c r="B363" t="s">
        <v>7731</v>
      </c>
      <c r="C363" t="s">
        <v>16</v>
      </c>
      <c r="D363" s="6">
        <v>1262333727</v>
      </c>
      <c r="E363" s="6" t="e">
        <v>#N/A</v>
      </c>
      <c r="F363" s="6">
        <v>40.5</v>
      </c>
      <c r="G363" s="6">
        <v>40.229999542236328</v>
      </c>
      <c r="H363" s="6">
        <v>16.760456248587776</v>
      </c>
      <c r="I363" s="6">
        <v>0.33533220042903644</v>
      </c>
      <c r="J363" s="6">
        <v>619964000</v>
      </c>
      <c r="K363" s="6">
        <v>-9.5588235294117716</v>
      </c>
      <c r="L363" t="s">
        <v>6529</v>
      </c>
      <c r="M363" t="s">
        <v>6530</v>
      </c>
      <c r="N363" s="4" t="s">
        <v>7732</v>
      </c>
      <c r="O363" s="4" t="s">
        <v>7733</v>
      </c>
      <c r="P363" s="4" t="s">
        <v>233</v>
      </c>
    </row>
    <row r="364" spans="1:16" x14ac:dyDescent="0.35">
      <c r="A364" t="s">
        <v>7734</v>
      </c>
      <c r="B364" t="s">
        <v>7735</v>
      </c>
      <c r="C364" t="s">
        <v>16</v>
      </c>
      <c r="D364" s="6">
        <v>249040117.56698418</v>
      </c>
      <c r="E364" s="6">
        <v>229896117.56698418</v>
      </c>
      <c r="F364" s="6">
        <v>5.9250001907348633</v>
      </c>
      <c r="G364" s="6">
        <v>5.6500000953674316</v>
      </c>
      <c r="H364" s="6" t="e">
        <v>#N/A</v>
      </c>
      <c r="I364" s="6">
        <v>0.80898644971938105</v>
      </c>
      <c r="J364" s="6">
        <v>110023000</v>
      </c>
      <c r="K364" s="6">
        <v>98.703176568994238</v>
      </c>
      <c r="L364" t="s">
        <v>6563</v>
      </c>
      <c r="M364" t="s">
        <v>6764</v>
      </c>
      <c r="N364" s="4" t="s">
        <v>7736</v>
      </c>
      <c r="O364" s="4" t="s">
        <v>7737</v>
      </c>
      <c r="P364" s="4" t="s">
        <v>233</v>
      </c>
    </row>
    <row r="365" spans="1:16" x14ac:dyDescent="0.35">
      <c r="A365" t="s">
        <v>7738</v>
      </c>
      <c r="B365" t="s">
        <v>7739</v>
      </c>
      <c r="C365" t="s">
        <v>16</v>
      </c>
      <c r="D365" s="6">
        <v>3048030519.4932475</v>
      </c>
      <c r="E365" s="6">
        <v>4926030519.493248</v>
      </c>
      <c r="F365" s="6">
        <v>61.310001373291016</v>
      </c>
      <c r="G365" s="6">
        <v>62.049999237060547</v>
      </c>
      <c r="H365" s="6">
        <v>11.066787251496573</v>
      </c>
      <c r="I365" s="6">
        <v>0.65953836015879119</v>
      </c>
      <c r="J365" s="6">
        <v>4798000000</v>
      </c>
      <c r="K365" s="6">
        <v>-61.99118100799658</v>
      </c>
      <c r="L365" t="s">
        <v>6529</v>
      </c>
      <c r="M365" t="s">
        <v>6646</v>
      </c>
      <c r="N365" s="4" t="s">
        <v>7740</v>
      </c>
      <c r="O365" s="4" t="s">
        <v>7741</v>
      </c>
      <c r="P365" s="4" t="s">
        <v>233</v>
      </c>
    </row>
    <row r="366" spans="1:16" x14ac:dyDescent="0.35">
      <c r="A366" t="s">
        <v>7742</v>
      </c>
      <c r="B366" t="s">
        <v>7743</v>
      </c>
      <c r="C366" t="s">
        <v>16</v>
      </c>
      <c r="D366" s="6">
        <v>5431539982.3063431</v>
      </c>
      <c r="E366" s="6" t="e">
        <v>#N/A</v>
      </c>
      <c r="F366" s="6">
        <v>9.8400001525878906</v>
      </c>
      <c r="G366" s="6">
        <v>10.119999885559082</v>
      </c>
      <c r="H366" s="6">
        <v>14.314268230453738</v>
      </c>
      <c r="I366" s="6">
        <v>0.16627874509713103</v>
      </c>
      <c r="J366" s="6">
        <v>3581998000</v>
      </c>
      <c r="K366" s="6">
        <v>-26.315789473684212</v>
      </c>
      <c r="L366" t="s">
        <v>6529</v>
      </c>
      <c r="M366" t="s">
        <v>6530</v>
      </c>
      <c r="N366" s="4" t="s">
        <v>7744</v>
      </c>
      <c r="O366" s="4" t="s">
        <v>7745</v>
      </c>
      <c r="P366" s="4" t="s">
        <v>233</v>
      </c>
    </row>
    <row r="367" spans="1:16" x14ac:dyDescent="0.35">
      <c r="A367" t="s">
        <v>7746</v>
      </c>
      <c r="B367" t="s">
        <v>7747</v>
      </c>
      <c r="C367" t="s">
        <v>16</v>
      </c>
      <c r="D367" s="6">
        <v>1201099515</v>
      </c>
      <c r="E367" s="6">
        <v>2609599515</v>
      </c>
      <c r="F367" s="6">
        <v>7.5</v>
      </c>
      <c r="G367" s="6">
        <v>7.8000001907348633</v>
      </c>
      <c r="H367" s="6" t="e">
        <v>#N/A</v>
      </c>
      <c r="I367" s="6">
        <v>3.4386941826960893E-2</v>
      </c>
      <c r="J367" s="6">
        <v>2225300000</v>
      </c>
      <c r="K367" s="6" t="e">
        <v>#N/A</v>
      </c>
      <c r="L367" t="s">
        <v>6523</v>
      </c>
      <c r="M367" t="s">
        <v>6588</v>
      </c>
      <c r="N367" s="4" t="s">
        <v>7748</v>
      </c>
      <c r="O367" s="4" t="s">
        <v>7749</v>
      </c>
      <c r="P367" s="4" t="s">
        <v>233</v>
      </c>
    </row>
    <row r="368" spans="1:16" x14ac:dyDescent="0.35">
      <c r="A368" t="s">
        <v>7750</v>
      </c>
      <c r="B368" t="s">
        <v>7751</v>
      </c>
      <c r="C368" t="s">
        <v>16</v>
      </c>
      <c r="D368" s="6">
        <v>1399113698.7286661</v>
      </c>
      <c r="E368" s="6">
        <v>2691413698.7286663</v>
      </c>
      <c r="F368" s="6">
        <v>29.010000228881836</v>
      </c>
      <c r="G368" s="6">
        <v>28.120000839233398</v>
      </c>
      <c r="H368" s="6">
        <v>9.8983112235390216</v>
      </c>
      <c r="I368" s="6">
        <v>-0.26019561948829928</v>
      </c>
      <c r="J368" s="6">
        <v>2243200000</v>
      </c>
      <c r="K368" s="6">
        <v>-12.626921204123834</v>
      </c>
      <c r="L368" t="s">
        <v>6735</v>
      </c>
      <c r="M368" t="s">
        <v>7752</v>
      </c>
      <c r="N368" s="4" t="s">
        <v>7753</v>
      </c>
      <c r="O368" s="4" t="s">
        <v>7754</v>
      </c>
      <c r="P368" s="4" t="s">
        <v>233</v>
      </c>
    </row>
    <row r="369" spans="1:16" x14ac:dyDescent="0.35">
      <c r="A369" t="s">
        <v>7755</v>
      </c>
      <c r="B369" t="s">
        <v>7756</v>
      </c>
      <c r="C369" t="s">
        <v>16</v>
      </c>
      <c r="D369" s="6">
        <v>1448333320.6264496</v>
      </c>
      <c r="E369" s="6">
        <v>49044333320.62645</v>
      </c>
      <c r="F369" s="6">
        <v>13.489999771118164</v>
      </c>
      <c r="G369" s="6">
        <v>13.439999580383301</v>
      </c>
      <c r="H369" s="6">
        <v>5.9469805169677032</v>
      </c>
      <c r="I369" s="6">
        <v>-0.14905525223636118</v>
      </c>
      <c r="J369" s="6">
        <v>4425000000</v>
      </c>
      <c r="K369" s="6">
        <v>-35.8288770053476</v>
      </c>
      <c r="L369" t="s">
        <v>6529</v>
      </c>
      <c r="M369" t="s">
        <v>6646</v>
      </c>
      <c r="N369" s="4" t="s">
        <v>7757</v>
      </c>
      <c r="O369" s="4" t="s">
        <v>7758</v>
      </c>
      <c r="P369" s="4" t="s">
        <v>233</v>
      </c>
    </row>
    <row r="370" spans="1:16" x14ac:dyDescent="0.35">
      <c r="A370" t="s">
        <v>7759</v>
      </c>
      <c r="B370" t="s">
        <v>7760</v>
      </c>
      <c r="C370" t="s">
        <v>16</v>
      </c>
      <c r="D370" s="6">
        <v>5282474430</v>
      </c>
      <c r="E370" s="6">
        <v>5157617430</v>
      </c>
      <c r="F370" s="6">
        <v>314.75</v>
      </c>
      <c r="G370" s="6">
        <v>318.57000732421875</v>
      </c>
      <c r="H370" s="6">
        <v>38.289184494504298</v>
      </c>
      <c r="I370" s="6">
        <v>0.38111167369861709</v>
      </c>
      <c r="J370" s="6">
        <v>858611000</v>
      </c>
      <c r="K370" s="6">
        <v>34.615384615384585</v>
      </c>
      <c r="L370" t="s">
        <v>6547</v>
      </c>
      <c r="M370" t="s">
        <v>6553</v>
      </c>
      <c r="N370" s="4" t="s">
        <v>7761</v>
      </c>
      <c r="O370" s="4" t="s">
        <v>7762</v>
      </c>
      <c r="P370" s="4" t="s">
        <v>233</v>
      </c>
    </row>
    <row r="371" spans="1:16" x14ac:dyDescent="0.35">
      <c r="A371" t="s">
        <v>7763</v>
      </c>
      <c r="B371" t="s">
        <v>5358</v>
      </c>
      <c r="C371" t="s">
        <v>16</v>
      </c>
      <c r="D371" s="6">
        <v>474859467.04795361</v>
      </c>
      <c r="E371" s="6">
        <v>191120467.04795355</v>
      </c>
      <c r="F371" s="6">
        <v>12.689999580383301</v>
      </c>
      <c r="G371" s="6">
        <v>12.010000228881836</v>
      </c>
      <c r="H371" s="6" t="e">
        <v>#N/A</v>
      </c>
      <c r="I371" s="6">
        <v>-0.16307249457013695</v>
      </c>
      <c r="J371" s="6">
        <v>129013000</v>
      </c>
      <c r="K371" s="6">
        <v>93.377483443708613</v>
      </c>
      <c r="L371" t="s">
        <v>17</v>
      </c>
      <c r="M371" t="s">
        <v>18</v>
      </c>
      <c r="N371" s="4" t="s">
        <v>5359</v>
      </c>
      <c r="O371" s="4" t="s">
        <v>5360</v>
      </c>
      <c r="P371" s="4" t="s">
        <v>233</v>
      </c>
    </row>
    <row r="372" spans="1:16" x14ac:dyDescent="0.35">
      <c r="A372" t="s">
        <v>7764</v>
      </c>
      <c r="B372" t="s">
        <v>7765</v>
      </c>
      <c r="C372" t="s">
        <v>16</v>
      </c>
      <c r="D372" s="6">
        <v>7407230562.6266479</v>
      </c>
      <c r="E372" s="6" t="e">
        <v>#N/A</v>
      </c>
      <c r="F372" s="6">
        <v>172.92999267578125</v>
      </c>
      <c r="G372" s="6">
        <v>169.5</v>
      </c>
      <c r="H372" s="6">
        <v>35.078799542651232</v>
      </c>
      <c r="I372" s="6">
        <v>0.75956068085542183</v>
      </c>
      <c r="J372" s="6">
        <v>1493177000</v>
      </c>
      <c r="K372" s="6">
        <v>63.019264986888992</v>
      </c>
      <c r="L372" t="s">
        <v>6529</v>
      </c>
      <c r="M372" t="s">
        <v>6568</v>
      </c>
      <c r="N372" s="4" t="s">
        <v>7766</v>
      </c>
      <c r="O372" s="4" t="s">
        <v>7767</v>
      </c>
      <c r="P372" s="4" t="s">
        <v>233</v>
      </c>
    </row>
    <row r="373" spans="1:16" x14ac:dyDescent="0.35">
      <c r="A373" t="s">
        <v>7768</v>
      </c>
      <c r="B373" t="s">
        <v>1776</v>
      </c>
      <c r="C373" t="s">
        <v>16</v>
      </c>
      <c r="D373" s="6">
        <v>1204958918.5722342</v>
      </c>
      <c r="E373" s="6">
        <v>1135175918.5722342</v>
      </c>
      <c r="F373" s="6">
        <v>8.1999998092651367</v>
      </c>
      <c r="G373" s="6">
        <v>8</v>
      </c>
      <c r="H373" s="6">
        <v>15.242315287791902</v>
      </c>
      <c r="I373" s="6">
        <v>-1.2015495693673661E-2</v>
      </c>
      <c r="J373" s="6">
        <v>342805000</v>
      </c>
      <c r="K373" s="6" t="e">
        <v>#N/A</v>
      </c>
      <c r="L373" t="s">
        <v>17</v>
      </c>
      <c r="M373" t="s">
        <v>18</v>
      </c>
      <c r="N373" s="4" t="s">
        <v>1777</v>
      </c>
      <c r="O373" s="4" t="s">
        <v>1778</v>
      </c>
      <c r="P373" s="4" t="s">
        <v>233</v>
      </c>
    </row>
    <row r="374" spans="1:16" x14ac:dyDescent="0.35">
      <c r="A374" t="s">
        <v>7769</v>
      </c>
      <c r="B374" t="s">
        <v>5349</v>
      </c>
      <c r="C374" t="s">
        <v>16</v>
      </c>
      <c r="D374" s="6">
        <v>395615614.53099436</v>
      </c>
      <c r="E374" s="6">
        <v>189022614.53099439</v>
      </c>
      <c r="F374" s="6">
        <v>7.9200000762939453</v>
      </c>
      <c r="G374" s="6">
        <v>7.5900001525878906</v>
      </c>
      <c r="H374" s="6" t="e">
        <v>#N/A</v>
      </c>
      <c r="I374" s="6">
        <v>-0.10883007979122106</v>
      </c>
      <c r="J374" s="6">
        <v>0</v>
      </c>
      <c r="K374" s="6">
        <v>1.5306122448979607</v>
      </c>
      <c r="L374" t="s">
        <v>17</v>
      </c>
      <c r="M374" t="s">
        <v>18</v>
      </c>
      <c r="N374" s="4" t="s">
        <v>5350</v>
      </c>
      <c r="O374" s="4" t="s">
        <v>5351</v>
      </c>
      <c r="P374" s="4" t="s">
        <v>233</v>
      </c>
    </row>
    <row r="375" spans="1:16" x14ac:dyDescent="0.35">
      <c r="A375" t="s">
        <v>7770</v>
      </c>
      <c r="B375" t="s">
        <v>5337</v>
      </c>
      <c r="C375" t="s">
        <v>16</v>
      </c>
      <c r="D375" s="6">
        <v>329350199.27205086</v>
      </c>
      <c r="E375" s="6">
        <v>425570199.27205086</v>
      </c>
      <c r="F375" s="6">
        <v>5.690000057220459</v>
      </c>
      <c r="G375" s="6">
        <v>5.25</v>
      </c>
      <c r="H375" s="6" t="e">
        <v>#N/A</v>
      </c>
      <c r="I375" s="6">
        <v>-0.19810664205394712</v>
      </c>
      <c r="J375" s="6">
        <v>188780000</v>
      </c>
      <c r="K375" s="6">
        <v>-7.6923076923076987</v>
      </c>
      <c r="L375" t="s">
        <v>17</v>
      </c>
      <c r="M375" t="s">
        <v>40</v>
      </c>
      <c r="N375" s="4" t="s">
        <v>5338</v>
      </c>
      <c r="O375" s="4" t="s">
        <v>5339</v>
      </c>
      <c r="P375" s="4" t="s">
        <v>233</v>
      </c>
    </row>
    <row r="376" spans="1:16" x14ac:dyDescent="0.35">
      <c r="A376" t="s">
        <v>7771</v>
      </c>
      <c r="B376" t="s">
        <v>7772</v>
      </c>
      <c r="C376" t="s">
        <v>16</v>
      </c>
      <c r="D376" s="6">
        <v>655365105.82475364</v>
      </c>
      <c r="E376" s="6">
        <v>7710863105.8247538</v>
      </c>
      <c r="F376" s="6">
        <v>1.3400000333786011</v>
      </c>
      <c r="G376" s="6">
        <v>1.3500000238418579</v>
      </c>
      <c r="H376" s="6" t="e">
        <v>#N/A</v>
      </c>
      <c r="I376" s="6">
        <v>-0.25906008150643023</v>
      </c>
      <c r="J376" s="6">
        <v>2231395000</v>
      </c>
      <c r="K376" s="6">
        <v>-469.12861181202436</v>
      </c>
      <c r="L376" t="s">
        <v>6514</v>
      </c>
      <c r="M376" t="s">
        <v>6534</v>
      </c>
      <c r="N376" s="4" t="s">
        <v>7773</v>
      </c>
      <c r="O376" s="4" t="s">
        <v>7774</v>
      </c>
      <c r="P376" s="4" t="s">
        <v>233</v>
      </c>
    </row>
    <row r="377" spans="1:16" x14ac:dyDescent="0.35">
      <c r="A377" t="s">
        <v>7775</v>
      </c>
      <c r="B377" t="s">
        <v>7776</v>
      </c>
      <c r="C377" t="s">
        <v>16</v>
      </c>
      <c r="D377" s="6">
        <v>1477054978.63392</v>
      </c>
      <c r="E377" s="6">
        <v>1597896978.63392</v>
      </c>
      <c r="F377" s="6">
        <v>12.380000114440918</v>
      </c>
      <c r="G377" s="6">
        <v>12.710000038146973</v>
      </c>
      <c r="H377" s="6">
        <v>15.105832479541748</v>
      </c>
      <c r="I377" s="6">
        <v>0.64408601667561993</v>
      </c>
      <c r="J377" s="6">
        <v>1477888000</v>
      </c>
      <c r="K377" s="6">
        <v>12.962962962962974</v>
      </c>
      <c r="L377" t="s">
        <v>6523</v>
      </c>
      <c r="M377" t="s">
        <v>6588</v>
      </c>
      <c r="N377" s="4" t="s">
        <v>7777</v>
      </c>
      <c r="O377" s="4" t="s">
        <v>7778</v>
      </c>
      <c r="P377" s="4" t="s">
        <v>233</v>
      </c>
    </row>
    <row r="378" spans="1:16" x14ac:dyDescent="0.35">
      <c r="A378" t="s">
        <v>7779</v>
      </c>
      <c r="B378" t="s">
        <v>7780</v>
      </c>
      <c r="C378" t="s">
        <v>16</v>
      </c>
      <c r="D378" s="6">
        <v>1126358908.6286643</v>
      </c>
      <c r="E378" s="6">
        <v>696648908.62866426</v>
      </c>
      <c r="F378" s="6">
        <v>7.7199997901916504</v>
      </c>
      <c r="G378" s="6">
        <v>7.559999942779541</v>
      </c>
      <c r="H378" s="6" t="e">
        <v>#N/A</v>
      </c>
      <c r="I378" s="6">
        <v>-0.46556578709446372</v>
      </c>
      <c r="J378" s="6">
        <v>728937000</v>
      </c>
      <c r="K378" s="6">
        <v>34.86238532110093</v>
      </c>
      <c r="L378" t="s">
        <v>6540</v>
      </c>
      <c r="M378" t="s">
        <v>6838</v>
      </c>
      <c r="N378" s="4" t="s">
        <v>7781</v>
      </c>
      <c r="O378" s="4" t="s">
        <v>7782</v>
      </c>
      <c r="P378" s="4" t="s">
        <v>233</v>
      </c>
    </row>
    <row r="379" spans="1:16" x14ac:dyDescent="0.35">
      <c r="A379" t="s">
        <v>7783</v>
      </c>
      <c r="B379" t="s">
        <v>7784</v>
      </c>
      <c r="C379" t="s">
        <v>16</v>
      </c>
      <c r="D379" s="6">
        <v>515047026.14718097</v>
      </c>
      <c r="E379" s="6">
        <v>2583247026.1471806</v>
      </c>
      <c r="F379" s="6">
        <v>5.1100001335144043</v>
      </c>
      <c r="G379" s="6">
        <v>5.119999885559082</v>
      </c>
      <c r="H379" s="6">
        <v>3.1438976907514684</v>
      </c>
      <c r="I379" s="6">
        <v>-0.59312112700072572</v>
      </c>
      <c r="J379" s="6">
        <v>5000700000</v>
      </c>
      <c r="K379" s="6">
        <v>-54.255319148936167</v>
      </c>
      <c r="L379" t="s">
        <v>6735</v>
      </c>
      <c r="M379" t="s">
        <v>7752</v>
      </c>
      <c r="N379" s="4" t="s">
        <v>233</v>
      </c>
      <c r="O379" s="4" t="s">
        <v>7785</v>
      </c>
      <c r="P379" s="4" t="s">
        <v>13211</v>
      </c>
    </row>
    <row r="380" spans="1:16" x14ac:dyDescent="0.35">
      <c r="A380" t="s">
        <v>7786</v>
      </c>
      <c r="B380" t="s">
        <v>7787</v>
      </c>
      <c r="C380" t="s">
        <v>16</v>
      </c>
      <c r="D380" s="6">
        <v>5051312010.2651978</v>
      </c>
      <c r="E380" s="6">
        <v>4523223010.2651978</v>
      </c>
      <c r="F380" s="6">
        <v>138.05000305175781</v>
      </c>
      <c r="G380" s="6">
        <v>135.38999938964844</v>
      </c>
      <c r="H380" s="6">
        <v>29.688172699302754</v>
      </c>
      <c r="I380" s="6">
        <v>-0.19526831195885785</v>
      </c>
      <c r="J380" s="6">
        <v>607571000</v>
      </c>
      <c r="K380" s="6">
        <v>14.841849148418477</v>
      </c>
      <c r="L380" t="s">
        <v>6518</v>
      </c>
      <c r="M380" t="s">
        <v>6519</v>
      </c>
      <c r="N380" s="4" t="s">
        <v>7788</v>
      </c>
      <c r="O380" s="4" t="s">
        <v>7789</v>
      </c>
      <c r="P380" s="4" t="s">
        <v>233</v>
      </c>
    </row>
    <row r="381" spans="1:16" x14ac:dyDescent="0.35">
      <c r="A381" t="s">
        <v>7790</v>
      </c>
      <c r="B381" t="s">
        <v>7791</v>
      </c>
      <c r="C381" t="s">
        <v>16</v>
      </c>
      <c r="D381" s="6">
        <v>754268058.00422275</v>
      </c>
      <c r="E381" s="6">
        <v>1482412058.0042229</v>
      </c>
      <c r="F381" s="6">
        <v>28.659999847412109</v>
      </c>
      <c r="G381" s="6">
        <v>28.329999923706055</v>
      </c>
      <c r="H381" s="6">
        <v>5.8133873929842013</v>
      </c>
      <c r="I381" s="6">
        <v>-9.791598154165182E-2</v>
      </c>
      <c r="J381" s="6">
        <v>1846035000</v>
      </c>
      <c r="K381" s="6">
        <v>39.943342776203984</v>
      </c>
      <c r="L381" t="s">
        <v>6547</v>
      </c>
      <c r="M381" t="s">
        <v>7792</v>
      </c>
      <c r="N381" s="4" t="s">
        <v>7793</v>
      </c>
      <c r="O381" s="4" t="s">
        <v>7794</v>
      </c>
      <c r="P381" s="4" t="s">
        <v>233</v>
      </c>
    </row>
    <row r="382" spans="1:16" x14ac:dyDescent="0.35">
      <c r="A382" t="s">
        <v>7795</v>
      </c>
      <c r="B382" t="s">
        <v>7796</v>
      </c>
      <c r="C382" t="s">
        <v>16</v>
      </c>
      <c r="D382" s="6">
        <v>695411707.02053833</v>
      </c>
      <c r="E382" s="6" t="e">
        <v>#N/A</v>
      </c>
      <c r="F382" s="6">
        <v>83.569999694824219</v>
      </c>
      <c r="G382" s="6">
        <v>84.040000915527344</v>
      </c>
      <c r="H382" s="6">
        <v>16.25875480444051</v>
      </c>
      <c r="I382" s="6">
        <v>0.7204556376311575</v>
      </c>
      <c r="J382" s="6">
        <v>138268000</v>
      </c>
      <c r="K382" s="6">
        <v>4.9897014134285591</v>
      </c>
      <c r="L382" t="s">
        <v>6529</v>
      </c>
      <c r="M382" t="s">
        <v>6530</v>
      </c>
      <c r="N382" s="4" t="s">
        <v>7797</v>
      </c>
      <c r="O382" s="4" t="s">
        <v>7798</v>
      </c>
      <c r="P382" s="4" t="s">
        <v>233</v>
      </c>
    </row>
    <row r="383" spans="1:16" x14ac:dyDescent="0.35">
      <c r="A383" t="s">
        <v>7799</v>
      </c>
      <c r="B383" t="s">
        <v>3846</v>
      </c>
      <c r="C383" t="s">
        <v>16</v>
      </c>
      <c r="D383" s="6">
        <v>32400665.705477949</v>
      </c>
      <c r="E383" s="6">
        <v>-38280334.294522047</v>
      </c>
      <c r="F383" s="6">
        <v>2.6600000858306885</v>
      </c>
      <c r="G383" s="6">
        <v>2.8499999046325684</v>
      </c>
      <c r="H383" s="6" t="e">
        <v>#N/A</v>
      </c>
      <c r="I383" s="6">
        <v>-0.776192318598664</v>
      </c>
      <c r="J383" s="6">
        <v>0</v>
      </c>
      <c r="K383" s="6">
        <v>91.232845465802654</v>
      </c>
      <c r="L383" t="s">
        <v>17</v>
      </c>
      <c r="M383" t="s">
        <v>18</v>
      </c>
      <c r="N383" s="4" t="s">
        <v>3847</v>
      </c>
      <c r="O383" s="4" t="s">
        <v>3848</v>
      </c>
      <c r="P383" s="4" t="s">
        <v>233</v>
      </c>
    </row>
    <row r="384" spans="1:16" x14ac:dyDescent="0.35">
      <c r="A384" t="s">
        <v>7800</v>
      </c>
      <c r="B384" t="s">
        <v>7801</v>
      </c>
      <c r="C384" t="s">
        <v>16</v>
      </c>
      <c r="D384" s="6">
        <v>904752463.41354167</v>
      </c>
      <c r="E384" s="6">
        <v>1022700463.4135417</v>
      </c>
      <c r="F384" s="6">
        <v>8.7899999618530273</v>
      </c>
      <c r="G384" s="6">
        <v>8.8999996185302734</v>
      </c>
      <c r="H384" s="6">
        <v>34.453158840637592</v>
      </c>
      <c r="I384" s="6">
        <v>0.11093134151785189</v>
      </c>
      <c r="J384" s="6">
        <v>1471508000</v>
      </c>
      <c r="K384" s="6" t="e">
        <v>#N/A</v>
      </c>
      <c r="L384" t="s">
        <v>6523</v>
      </c>
      <c r="M384" t="s">
        <v>6588</v>
      </c>
      <c r="N384" s="4" t="s">
        <v>7802</v>
      </c>
      <c r="O384" s="4" t="s">
        <v>7803</v>
      </c>
      <c r="P384" s="4" t="s">
        <v>233</v>
      </c>
    </row>
    <row r="385" spans="1:16" x14ac:dyDescent="0.35">
      <c r="A385" t="s">
        <v>7804</v>
      </c>
      <c r="B385" t="s">
        <v>5792</v>
      </c>
      <c r="C385" t="s">
        <v>16</v>
      </c>
      <c r="D385" s="6">
        <v>589978220.71381569</v>
      </c>
      <c r="E385" s="6">
        <v>270968220.71381569</v>
      </c>
      <c r="F385" s="6">
        <v>16.129999160766602</v>
      </c>
      <c r="G385" s="6">
        <v>15.239999771118164</v>
      </c>
      <c r="H385" s="6" t="e">
        <v>#N/A</v>
      </c>
      <c r="I385" s="6">
        <v>-0.31011980992171173</v>
      </c>
      <c r="J385" s="6" t="e">
        <v>#N/A</v>
      </c>
      <c r="K385" s="6" t="e">
        <v>#N/A</v>
      </c>
      <c r="L385" t="s">
        <v>17</v>
      </c>
      <c r="M385" t="s">
        <v>87</v>
      </c>
      <c r="N385" s="4" t="s">
        <v>5793</v>
      </c>
      <c r="O385" s="4" t="s">
        <v>5794</v>
      </c>
      <c r="P385" s="4" t="s">
        <v>233</v>
      </c>
    </row>
    <row r="386" spans="1:16" x14ac:dyDescent="0.35">
      <c r="A386" t="s">
        <v>7805</v>
      </c>
      <c r="B386" t="s">
        <v>5708</v>
      </c>
      <c r="C386" t="s">
        <v>16</v>
      </c>
      <c r="D386" s="6">
        <v>7528768143.75</v>
      </c>
      <c r="E386" s="6">
        <v>9746938143.75</v>
      </c>
      <c r="F386" s="6">
        <v>43.75</v>
      </c>
      <c r="G386" s="6">
        <v>42.200000762939453</v>
      </c>
      <c r="H386" s="6" t="e">
        <v>#N/A</v>
      </c>
      <c r="I386" s="6">
        <v>1.9820248579202584</v>
      </c>
      <c r="J386" s="6">
        <v>791010000</v>
      </c>
      <c r="K386" s="6">
        <v>0</v>
      </c>
      <c r="L386" t="s">
        <v>17</v>
      </c>
      <c r="M386" t="s">
        <v>32</v>
      </c>
      <c r="N386" s="4" t="s">
        <v>5709</v>
      </c>
      <c r="O386" s="4" t="s">
        <v>5710</v>
      </c>
      <c r="P386" s="4" t="s">
        <v>233</v>
      </c>
    </row>
    <row r="387" spans="1:16" x14ac:dyDescent="0.35">
      <c r="A387" t="s">
        <v>7806</v>
      </c>
      <c r="B387" t="s">
        <v>7807</v>
      </c>
      <c r="C387" t="s">
        <v>16</v>
      </c>
      <c r="D387" s="6">
        <v>983653324.26095581</v>
      </c>
      <c r="E387" s="6" t="e">
        <v>#N/A</v>
      </c>
      <c r="F387" s="6">
        <v>23.360000610351563</v>
      </c>
      <c r="G387" s="6">
        <v>23.409999847412109</v>
      </c>
      <c r="H387" s="6">
        <v>244.54075969214207</v>
      </c>
      <c r="I387" s="6">
        <v>3.0837916960156475E-2</v>
      </c>
      <c r="J387" s="6" t="e">
        <v>#N/A</v>
      </c>
      <c r="K387" s="6" t="e">
        <v>#N/A</v>
      </c>
      <c r="L387" t="s">
        <v>6529</v>
      </c>
      <c r="M387" t="s">
        <v>6530</v>
      </c>
      <c r="N387" s="4" t="s">
        <v>7808</v>
      </c>
      <c r="O387" s="4" t="s">
        <v>7809</v>
      </c>
      <c r="P387" s="4" t="s">
        <v>233</v>
      </c>
    </row>
    <row r="388" spans="1:16" x14ac:dyDescent="0.35">
      <c r="A388" t="s">
        <v>7810</v>
      </c>
      <c r="B388" t="s">
        <v>7811</v>
      </c>
      <c r="C388" t="s">
        <v>16</v>
      </c>
      <c r="D388" s="6">
        <v>8200178010.2796926</v>
      </c>
      <c r="E388" s="6">
        <v>8298387010.2796926</v>
      </c>
      <c r="F388" s="6">
        <v>50.970001220703125</v>
      </c>
      <c r="G388" s="6">
        <v>50.119998931884766</v>
      </c>
      <c r="H388" s="6">
        <v>43.727314875868409</v>
      </c>
      <c r="I388" s="6">
        <v>0.63985114013862754</v>
      </c>
      <c r="J388" s="6">
        <v>1771004000</v>
      </c>
      <c r="K388" s="6">
        <v>9.108159392789382</v>
      </c>
      <c r="L388" t="s">
        <v>6547</v>
      </c>
      <c r="M388" t="s">
        <v>6548</v>
      </c>
      <c r="N388" s="4" t="s">
        <v>7812</v>
      </c>
      <c r="O388" s="4" t="s">
        <v>7813</v>
      </c>
      <c r="P388" s="4" t="s">
        <v>233</v>
      </c>
    </row>
    <row r="389" spans="1:16" x14ac:dyDescent="0.35">
      <c r="A389" t="s">
        <v>7814</v>
      </c>
      <c r="B389" t="s">
        <v>7815</v>
      </c>
      <c r="C389" t="s">
        <v>16</v>
      </c>
      <c r="D389" s="6">
        <v>399855207.64806551</v>
      </c>
      <c r="E389" s="6">
        <v>531874207.64806551</v>
      </c>
      <c r="F389" s="6">
        <v>22.809999465942383</v>
      </c>
      <c r="G389" s="6">
        <v>22.979999542236328</v>
      </c>
      <c r="H389" s="6" t="e">
        <v>#N/A</v>
      </c>
      <c r="I389" s="6">
        <v>-0.3902579553167268</v>
      </c>
      <c r="J389" s="6">
        <v>406309000</v>
      </c>
      <c r="K389" s="6" t="e">
        <v>#N/A</v>
      </c>
      <c r="L389" t="s">
        <v>6547</v>
      </c>
      <c r="M389" t="s">
        <v>6651</v>
      </c>
      <c r="N389" s="4" t="s">
        <v>7816</v>
      </c>
      <c r="O389" s="4" t="s">
        <v>7817</v>
      </c>
      <c r="P389" s="4" t="s">
        <v>233</v>
      </c>
    </row>
    <row r="390" spans="1:16" x14ac:dyDescent="0.35">
      <c r="A390" t="s">
        <v>7818</v>
      </c>
      <c r="B390" t="s">
        <v>7819</v>
      </c>
      <c r="C390" t="s">
        <v>16</v>
      </c>
      <c r="D390" s="6">
        <v>118667691.31055687</v>
      </c>
      <c r="E390" s="6">
        <v>664158691.31055689</v>
      </c>
      <c r="F390" s="6">
        <v>2.190000057220459</v>
      </c>
      <c r="G390" s="6">
        <v>2.3399999141693115</v>
      </c>
      <c r="H390" s="6">
        <v>17.973803036837751</v>
      </c>
      <c r="I390" s="6">
        <v>-0.61478399126830174</v>
      </c>
      <c r="J390" s="6">
        <v>66708000</v>
      </c>
      <c r="K390" s="6" t="e">
        <v>#N/A</v>
      </c>
      <c r="L390" t="s">
        <v>6547</v>
      </c>
      <c r="M390" t="s">
        <v>6802</v>
      </c>
      <c r="N390" s="4" t="s">
        <v>7820</v>
      </c>
      <c r="O390" s="4" t="s">
        <v>7821</v>
      </c>
      <c r="P390" s="4" t="s">
        <v>233</v>
      </c>
    </row>
    <row r="391" spans="1:16" x14ac:dyDescent="0.35">
      <c r="A391" t="s">
        <v>7822</v>
      </c>
      <c r="B391" t="s">
        <v>7823</v>
      </c>
      <c r="C391" t="s">
        <v>16</v>
      </c>
      <c r="D391" s="6">
        <v>2792155471.8903313</v>
      </c>
      <c r="E391" s="6" t="e">
        <v>#N/A</v>
      </c>
      <c r="F391" s="6">
        <v>19.989999771118164</v>
      </c>
      <c r="G391" s="6">
        <v>20.309999465942383</v>
      </c>
      <c r="H391" s="6">
        <v>13.881944285498726</v>
      </c>
      <c r="I391" s="6">
        <v>0.17425680113919784</v>
      </c>
      <c r="J391" s="6">
        <v>684586000</v>
      </c>
      <c r="K391" s="6">
        <v>-9.4339622641509511</v>
      </c>
      <c r="L391" t="s">
        <v>6529</v>
      </c>
      <c r="M391" t="s">
        <v>6530</v>
      </c>
      <c r="N391" s="4" t="s">
        <v>7824</v>
      </c>
      <c r="O391" s="4" t="s">
        <v>7825</v>
      </c>
      <c r="P391" s="4" t="s">
        <v>233</v>
      </c>
    </row>
    <row r="392" spans="1:16" x14ac:dyDescent="0.35">
      <c r="A392" t="s">
        <v>7826</v>
      </c>
      <c r="B392" t="s">
        <v>13394</v>
      </c>
      <c r="C392" t="s">
        <v>16</v>
      </c>
      <c r="D392" s="6">
        <v>7741625808</v>
      </c>
      <c r="E392" s="6">
        <v>6278850808</v>
      </c>
      <c r="F392" s="6">
        <v>42</v>
      </c>
      <c r="G392" s="6">
        <v>40.729999542236328</v>
      </c>
      <c r="H392" s="6" t="e">
        <v>#N/A</v>
      </c>
      <c r="I392" s="6">
        <v>0.37270409286531292</v>
      </c>
      <c r="J392" s="6">
        <v>742000</v>
      </c>
      <c r="K392" s="6">
        <v>-10.134785276073623</v>
      </c>
      <c r="L392" t="s">
        <v>17</v>
      </c>
      <c r="M392" t="s">
        <v>18</v>
      </c>
      <c r="N392" s="4" t="s">
        <v>4315</v>
      </c>
      <c r="O392" s="4" t="s">
        <v>4316</v>
      </c>
      <c r="P392" s="4" t="s">
        <v>233</v>
      </c>
    </row>
    <row r="393" spans="1:16" x14ac:dyDescent="0.35">
      <c r="A393" t="s">
        <v>7827</v>
      </c>
      <c r="B393" t="s">
        <v>1368</v>
      </c>
      <c r="C393" t="s">
        <v>16</v>
      </c>
      <c r="D393" s="6">
        <v>1284432388.5505066</v>
      </c>
      <c r="E393" s="6">
        <v>1609783388.5505066</v>
      </c>
      <c r="F393" s="6">
        <v>85.089996337890625</v>
      </c>
      <c r="G393" s="6">
        <v>86.319999694824219</v>
      </c>
      <c r="H393" s="6">
        <v>27.504681788334711</v>
      </c>
      <c r="I393" s="6">
        <v>-0.10312758988587778</v>
      </c>
      <c r="J393" s="6">
        <v>645699000</v>
      </c>
      <c r="K393" s="6">
        <v>-30.84285363299924</v>
      </c>
      <c r="L393" t="s">
        <v>17</v>
      </c>
      <c r="M393" t="s">
        <v>40</v>
      </c>
      <c r="N393" s="4" t="s">
        <v>1369</v>
      </c>
      <c r="O393" s="4" t="s">
        <v>1370</v>
      </c>
      <c r="P393" s="4" t="s">
        <v>233</v>
      </c>
    </row>
    <row r="394" spans="1:16" x14ac:dyDescent="0.35">
      <c r="A394" t="s">
        <v>7828</v>
      </c>
      <c r="B394" t="s">
        <v>7829</v>
      </c>
      <c r="C394" t="s">
        <v>16</v>
      </c>
      <c r="D394" s="6">
        <v>184799997.32971191</v>
      </c>
      <c r="E394" s="6">
        <v>196800997.32971191</v>
      </c>
      <c r="F394" s="6">
        <v>13.199999809265137</v>
      </c>
      <c r="G394" s="6">
        <v>12.789999961853027</v>
      </c>
      <c r="H394" s="6">
        <v>21.231729548399716</v>
      </c>
      <c r="I394" s="6">
        <v>2.2317517369872197E-2</v>
      </c>
      <c r="J394" s="6">
        <v>36279000</v>
      </c>
      <c r="K394" s="6">
        <v>-77.777777777777771</v>
      </c>
      <c r="L394" t="s">
        <v>6547</v>
      </c>
      <c r="M394" t="s">
        <v>6548</v>
      </c>
      <c r="N394" s="4" t="s">
        <v>7830</v>
      </c>
      <c r="O394" s="4" t="s">
        <v>7831</v>
      </c>
      <c r="P394" s="4" t="s">
        <v>233</v>
      </c>
    </row>
    <row r="395" spans="1:16" x14ac:dyDescent="0.35">
      <c r="A395" t="s">
        <v>7832</v>
      </c>
      <c r="B395" t="s">
        <v>7833</v>
      </c>
      <c r="C395" t="s">
        <v>16</v>
      </c>
      <c r="D395" s="6">
        <v>2982519504.7140117</v>
      </c>
      <c r="E395" s="6">
        <v>3110606504.7140117</v>
      </c>
      <c r="F395" s="6">
        <v>104.51000213623047</v>
      </c>
      <c r="G395" s="6">
        <v>104.23999786376953</v>
      </c>
      <c r="H395" s="6">
        <v>404.3894386537267</v>
      </c>
      <c r="I395" s="6">
        <v>-3.9764620137191176E-2</v>
      </c>
      <c r="J395" s="6">
        <v>366087000</v>
      </c>
      <c r="K395" s="6" t="e">
        <v>#N/A</v>
      </c>
      <c r="L395" t="s">
        <v>6518</v>
      </c>
      <c r="M395" t="s">
        <v>6807</v>
      </c>
      <c r="N395" s="4" t="s">
        <v>7834</v>
      </c>
      <c r="O395" s="4" t="s">
        <v>7835</v>
      </c>
      <c r="P395" s="4" t="s">
        <v>233</v>
      </c>
    </row>
    <row r="396" spans="1:16" x14ac:dyDescent="0.35">
      <c r="A396" t="s">
        <v>7836</v>
      </c>
      <c r="B396" t="s">
        <v>7837</v>
      </c>
      <c r="C396" t="s">
        <v>16</v>
      </c>
      <c r="D396" s="6">
        <v>4205700532.1665039</v>
      </c>
      <c r="E396" s="6">
        <v>3858247532.1665039</v>
      </c>
      <c r="F396" s="6">
        <v>524.8499755859375</v>
      </c>
      <c r="G396" s="6">
        <v>518.59002685546875</v>
      </c>
      <c r="H396" s="6">
        <v>25.426671316762874</v>
      </c>
      <c r="I396" s="6">
        <v>0.40643131058276016</v>
      </c>
      <c r="J396" s="6">
        <v>1927218000</v>
      </c>
      <c r="K396" s="6">
        <v>3.063787041687609</v>
      </c>
      <c r="L396" t="s">
        <v>6540</v>
      </c>
      <c r="M396" t="s">
        <v>6797</v>
      </c>
      <c r="N396" s="4" t="s">
        <v>7838</v>
      </c>
      <c r="O396" s="4" t="s">
        <v>7839</v>
      </c>
      <c r="P396" s="4" t="s">
        <v>233</v>
      </c>
    </row>
    <row r="397" spans="1:16" x14ac:dyDescent="0.35">
      <c r="A397" t="s">
        <v>7840</v>
      </c>
      <c r="B397" t="s">
        <v>2559</v>
      </c>
      <c r="C397" t="s">
        <v>16</v>
      </c>
      <c r="D397" s="6">
        <v>2341641882.78791</v>
      </c>
      <c r="E397" s="6">
        <v>1908048882.78791</v>
      </c>
      <c r="F397" s="6">
        <v>18.569999694824219</v>
      </c>
      <c r="G397" s="6">
        <v>18.350000381469727</v>
      </c>
      <c r="H397" s="6" t="e">
        <v>#N/A</v>
      </c>
      <c r="I397" s="6">
        <v>-0.42349527890365002</v>
      </c>
      <c r="J397" s="6">
        <v>2500000</v>
      </c>
      <c r="K397" s="6">
        <v>-86.841601447636251</v>
      </c>
      <c r="L397" t="s">
        <v>17</v>
      </c>
      <c r="M397" t="s">
        <v>18</v>
      </c>
      <c r="N397" s="4" t="s">
        <v>2560</v>
      </c>
      <c r="O397" s="4" t="s">
        <v>2561</v>
      </c>
      <c r="P397" s="4" t="s">
        <v>233</v>
      </c>
    </row>
    <row r="398" spans="1:16" x14ac:dyDescent="0.35">
      <c r="A398" t="s">
        <v>7841</v>
      </c>
      <c r="B398" t="s">
        <v>7842</v>
      </c>
      <c r="C398" t="s">
        <v>16</v>
      </c>
      <c r="D398" s="6">
        <v>765504626.1195159</v>
      </c>
      <c r="E398" s="6">
        <v>2599142626.1195154</v>
      </c>
      <c r="F398" s="6">
        <v>6.7300000190734863</v>
      </c>
      <c r="G398" s="6">
        <v>6.5999999046325684</v>
      </c>
      <c r="H398" s="6" t="e">
        <v>#N/A</v>
      </c>
      <c r="I398" s="6">
        <v>0.50678931593951249</v>
      </c>
      <c r="J398" s="6">
        <v>332173000</v>
      </c>
      <c r="K398" s="6">
        <v>1.4899925168843715</v>
      </c>
      <c r="L398" t="s">
        <v>6547</v>
      </c>
      <c r="M398" t="s">
        <v>7792</v>
      </c>
      <c r="N398" s="4" t="s">
        <v>7843</v>
      </c>
      <c r="O398" s="4" t="s">
        <v>7844</v>
      </c>
      <c r="P398" s="4" t="s">
        <v>233</v>
      </c>
    </row>
    <row r="399" spans="1:16" x14ac:dyDescent="0.35">
      <c r="A399" t="s">
        <v>7845</v>
      </c>
      <c r="B399" t="s">
        <v>7846</v>
      </c>
      <c r="C399" t="s">
        <v>16</v>
      </c>
      <c r="D399" s="6">
        <v>4299740481.2771196</v>
      </c>
      <c r="E399" s="6">
        <v>5164382481.2771196</v>
      </c>
      <c r="F399" s="6">
        <v>26.090000152587891</v>
      </c>
      <c r="G399" s="6">
        <v>25.760000228881836</v>
      </c>
      <c r="H399" s="6">
        <v>33.508776181653644</v>
      </c>
      <c r="I399" s="6">
        <v>0.13003740037194267</v>
      </c>
      <c r="J399" s="6">
        <v>868720000</v>
      </c>
      <c r="K399" s="6">
        <v>16.981132075471692</v>
      </c>
      <c r="L399" t="s">
        <v>6547</v>
      </c>
      <c r="M399" t="s">
        <v>6548</v>
      </c>
      <c r="N399" s="4" t="s">
        <v>7847</v>
      </c>
      <c r="O399" s="4" t="s">
        <v>7848</v>
      </c>
      <c r="P399" s="4" t="s">
        <v>233</v>
      </c>
    </row>
    <row r="400" spans="1:16" x14ac:dyDescent="0.35">
      <c r="A400" t="s">
        <v>7849</v>
      </c>
      <c r="B400" t="s">
        <v>2417</v>
      </c>
      <c r="C400" t="s">
        <v>16</v>
      </c>
      <c r="D400" s="6">
        <v>229312066.02133656</v>
      </c>
      <c r="E400" s="6">
        <v>380218066.02133656</v>
      </c>
      <c r="F400" s="6">
        <v>2.2300000190734863</v>
      </c>
      <c r="G400" s="6">
        <v>2.2200000286102295</v>
      </c>
      <c r="H400" s="6" t="e">
        <v>#N/A</v>
      </c>
      <c r="I400" s="6">
        <v>-0.20590425715943683</v>
      </c>
      <c r="J400" s="6">
        <v>453140000</v>
      </c>
      <c r="K400" s="6">
        <v>73.333333333333329</v>
      </c>
      <c r="L400" t="s">
        <v>17</v>
      </c>
      <c r="M400" t="s">
        <v>27</v>
      </c>
      <c r="N400" s="4" t="s">
        <v>2418</v>
      </c>
      <c r="O400" s="4" t="s">
        <v>2419</v>
      </c>
      <c r="P400" s="4" t="s">
        <v>233</v>
      </c>
    </row>
    <row r="401" spans="1:16" x14ac:dyDescent="0.35">
      <c r="A401" t="s">
        <v>7850</v>
      </c>
      <c r="B401" t="s">
        <v>7851</v>
      </c>
      <c r="C401" t="s">
        <v>16</v>
      </c>
      <c r="D401" s="6">
        <v>754792609.7035799</v>
      </c>
      <c r="E401" s="6">
        <v>1223127609.7035799</v>
      </c>
      <c r="F401" s="6">
        <v>11.220000267028809</v>
      </c>
      <c r="G401" s="6">
        <v>11.140000343322754</v>
      </c>
      <c r="H401" s="6">
        <v>15.009290867246449</v>
      </c>
      <c r="I401" s="6">
        <v>0.29618824964820512</v>
      </c>
      <c r="J401" s="6">
        <v>741648000</v>
      </c>
      <c r="K401" s="6" t="e">
        <v>#N/A</v>
      </c>
      <c r="L401" t="s">
        <v>6547</v>
      </c>
      <c r="M401" t="s">
        <v>6651</v>
      </c>
      <c r="N401" s="4" t="s">
        <v>7852</v>
      </c>
      <c r="O401" s="4" t="s">
        <v>7853</v>
      </c>
      <c r="P401" s="4" t="s">
        <v>233</v>
      </c>
    </row>
    <row r="402" spans="1:16" x14ac:dyDescent="0.35">
      <c r="A402" t="s">
        <v>7854</v>
      </c>
      <c r="B402" t="s">
        <v>2717</v>
      </c>
      <c r="C402" t="s">
        <v>16</v>
      </c>
      <c r="D402" s="6">
        <v>3744421643.5902901</v>
      </c>
      <c r="E402" s="6">
        <v>3769098643.5902901</v>
      </c>
      <c r="F402" s="6">
        <v>15.840000152587891</v>
      </c>
      <c r="G402" s="6">
        <v>15.539999961853027</v>
      </c>
      <c r="H402" s="6">
        <v>42.583850807555116</v>
      </c>
      <c r="I402" s="6">
        <v>1.8926687686614474</v>
      </c>
      <c r="J402" s="6">
        <v>382808677</v>
      </c>
      <c r="K402" s="6" t="e">
        <v>#N/A</v>
      </c>
      <c r="L402" t="s">
        <v>17</v>
      </c>
      <c r="M402" t="s">
        <v>18</v>
      </c>
      <c r="N402" s="4" t="s">
        <v>2718</v>
      </c>
      <c r="O402" s="4" t="s">
        <v>2719</v>
      </c>
      <c r="P402" s="4" t="s">
        <v>233</v>
      </c>
    </row>
    <row r="403" spans="1:16" x14ac:dyDescent="0.35">
      <c r="A403" t="s">
        <v>7855</v>
      </c>
      <c r="B403" t="s">
        <v>7856</v>
      </c>
      <c r="C403" t="s">
        <v>16</v>
      </c>
      <c r="D403" s="6">
        <v>858700652.90991211</v>
      </c>
      <c r="E403" s="6" t="e">
        <v>#N/A</v>
      </c>
      <c r="F403" s="6">
        <v>104.55999755859375</v>
      </c>
      <c r="G403" s="6">
        <v>106.30999755859375</v>
      </c>
      <c r="H403" s="6">
        <v>12.172293080162254</v>
      </c>
      <c r="I403" s="6">
        <v>0.88626914053127859</v>
      </c>
      <c r="J403" s="6">
        <v>299779000</v>
      </c>
      <c r="K403" s="6">
        <v>21.329639889196677</v>
      </c>
      <c r="L403" t="s">
        <v>6529</v>
      </c>
      <c r="M403" t="s">
        <v>6530</v>
      </c>
      <c r="N403" s="4" t="s">
        <v>7857</v>
      </c>
      <c r="O403" s="4" t="s">
        <v>7858</v>
      </c>
      <c r="P403" s="4" t="s">
        <v>233</v>
      </c>
    </row>
    <row r="404" spans="1:16" x14ac:dyDescent="0.35">
      <c r="A404" t="s">
        <v>7859</v>
      </c>
      <c r="B404" t="s">
        <v>4108</v>
      </c>
      <c r="C404" t="s">
        <v>16</v>
      </c>
      <c r="D404" s="6">
        <v>356215235.52596569</v>
      </c>
      <c r="E404" s="6">
        <v>291835235.52596569</v>
      </c>
      <c r="F404" s="6">
        <v>4.0500001907348633</v>
      </c>
      <c r="G404" s="6">
        <v>3.9000000953674316</v>
      </c>
      <c r="H404" s="6" t="e">
        <v>#N/A</v>
      </c>
      <c r="I404" s="6">
        <v>1.2829667518507044</v>
      </c>
      <c r="J404" s="6">
        <v>0</v>
      </c>
      <c r="K404" s="6">
        <v>-62.962962962962962</v>
      </c>
      <c r="L404" t="s">
        <v>17</v>
      </c>
      <c r="M404" t="s">
        <v>87</v>
      </c>
      <c r="N404" s="4" t="s">
        <v>4109</v>
      </c>
      <c r="O404" s="4" t="s">
        <v>4110</v>
      </c>
      <c r="P404" s="4" t="s">
        <v>233</v>
      </c>
    </row>
    <row r="405" spans="1:16" x14ac:dyDescent="0.35">
      <c r="A405" t="s">
        <v>7860</v>
      </c>
      <c r="B405" t="s">
        <v>7861</v>
      </c>
      <c r="C405" t="s">
        <v>16</v>
      </c>
      <c r="D405" s="6">
        <v>331366889.60718155</v>
      </c>
      <c r="E405" s="6">
        <v>446848889.60718155</v>
      </c>
      <c r="F405" s="6">
        <v>7.4200000762939453</v>
      </c>
      <c r="G405" s="6">
        <v>7.25</v>
      </c>
      <c r="H405" s="6">
        <v>72.114450844516057</v>
      </c>
      <c r="I405" s="6">
        <v>0.14994734304911383</v>
      </c>
      <c r="J405" s="6">
        <v>352075000</v>
      </c>
      <c r="K405" s="6">
        <v>-68</v>
      </c>
      <c r="L405" t="s">
        <v>6540</v>
      </c>
      <c r="M405" t="s">
        <v>6541</v>
      </c>
      <c r="N405" s="4" t="s">
        <v>7862</v>
      </c>
      <c r="O405" s="4" t="s">
        <v>7863</v>
      </c>
      <c r="P405" s="4" t="s">
        <v>233</v>
      </c>
    </row>
    <row r="406" spans="1:16" x14ac:dyDescent="0.35">
      <c r="A406" t="s">
        <v>7864</v>
      </c>
      <c r="B406" t="s">
        <v>7865</v>
      </c>
      <c r="C406" t="s">
        <v>16</v>
      </c>
      <c r="D406" s="6">
        <v>5077661278.7627554</v>
      </c>
      <c r="E406" s="6">
        <v>5221279278.7627554</v>
      </c>
      <c r="F406" s="6">
        <v>33.060001373291016</v>
      </c>
      <c r="G406" s="6">
        <v>33.490001678466797</v>
      </c>
      <c r="H406" s="6">
        <v>7.2460388154658029</v>
      </c>
      <c r="I406" s="6">
        <v>0.23993457628398396</v>
      </c>
      <c r="J406" s="6">
        <v>1201774000</v>
      </c>
      <c r="K406" s="6">
        <v>6.2801932367149931</v>
      </c>
      <c r="L406" t="s">
        <v>6529</v>
      </c>
      <c r="M406" t="s">
        <v>6639</v>
      </c>
      <c r="N406" s="4" t="s">
        <v>7866</v>
      </c>
      <c r="O406" s="4" t="s">
        <v>7867</v>
      </c>
      <c r="P406" s="4" t="s">
        <v>233</v>
      </c>
    </row>
    <row r="407" spans="1:16" x14ac:dyDescent="0.35">
      <c r="A407" t="s">
        <v>7868</v>
      </c>
      <c r="B407" t="s">
        <v>7869</v>
      </c>
      <c r="C407" t="s">
        <v>16</v>
      </c>
      <c r="D407" s="6">
        <v>2691760960.3160586</v>
      </c>
      <c r="E407" s="6">
        <v>3902081960.3160582</v>
      </c>
      <c r="F407" s="6">
        <v>45.259998321533203</v>
      </c>
      <c r="G407" s="6">
        <v>45.029998779296875</v>
      </c>
      <c r="H407" s="6">
        <v>13.080924370385318</v>
      </c>
      <c r="I407" s="6">
        <v>-3.0372233313133878E-2</v>
      </c>
      <c r="J407" s="6">
        <v>1029123000</v>
      </c>
      <c r="K407" s="6">
        <v>373.97260273972603</v>
      </c>
      <c r="L407" t="s">
        <v>6719</v>
      </c>
      <c r="M407" t="s">
        <v>6720</v>
      </c>
      <c r="N407" s="4" t="s">
        <v>7870</v>
      </c>
      <c r="O407" s="4" t="s">
        <v>7871</v>
      </c>
      <c r="P407" s="4" t="s">
        <v>233</v>
      </c>
    </row>
    <row r="408" spans="1:16" x14ac:dyDescent="0.35">
      <c r="A408" t="s">
        <v>7872</v>
      </c>
      <c r="B408" t="s">
        <v>7873</v>
      </c>
      <c r="C408" t="s">
        <v>16</v>
      </c>
      <c r="D408" s="6">
        <v>386208742.77701569</v>
      </c>
      <c r="E408" s="6">
        <v>346099742.77701569</v>
      </c>
      <c r="F408" s="6">
        <v>38.259998321533203</v>
      </c>
      <c r="G408" s="6">
        <v>38.849998474121094</v>
      </c>
      <c r="H408" s="6">
        <v>21.087475726271325</v>
      </c>
      <c r="I408" s="6">
        <v>-0.45496055885897269</v>
      </c>
      <c r="J408" s="6">
        <v>102863000</v>
      </c>
      <c r="K408" s="6">
        <v>-16.859493755573322</v>
      </c>
      <c r="L408" t="s">
        <v>6547</v>
      </c>
      <c r="M408" t="s">
        <v>6668</v>
      </c>
      <c r="N408" s="4" t="s">
        <v>7874</v>
      </c>
      <c r="O408" s="4" t="s">
        <v>7875</v>
      </c>
      <c r="P408" s="4" t="s">
        <v>233</v>
      </c>
    </row>
    <row r="409" spans="1:16" x14ac:dyDescent="0.35">
      <c r="A409" t="s">
        <v>7876</v>
      </c>
      <c r="B409" t="s">
        <v>7877</v>
      </c>
      <c r="C409" t="s">
        <v>16</v>
      </c>
      <c r="D409" s="6">
        <v>350794958.19284916</v>
      </c>
      <c r="E409" s="6">
        <v>439074958.19284916</v>
      </c>
      <c r="F409" s="6">
        <v>8.9700002670288086</v>
      </c>
      <c r="G409" s="6">
        <v>8.6499996185302734</v>
      </c>
      <c r="H409" s="6" t="e">
        <v>#N/A</v>
      </c>
      <c r="I409" s="6">
        <v>-0.21811419993159864</v>
      </c>
      <c r="J409" s="6">
        <v>318458000</v>
      </c>
      <c r="K409" s="6">
        <v>-1.3888888888889006</v>
      </c>
      <c r="L409" t="s">
        <v>6518</v>
      </c>
      <c r="M409" t="s">
        <v>6519</v>
      </c>
      <c r="N409" s="4" t="s">
        <v>7878</v>
      </c>
      <c r="O409" s="4" t="s">
        <v>7879</v>
      </c>
      <c r="P409" s="4" t="s">
        <v>233</v>
      </c>
    </row>
    <row r="410" spans="1:16" x14ac:dyDescent="0.35">
      <c r="A410" t="s">
        <v>7880</v>
      </c>
      <c r="B410" t="s">
        <v>7881</v>
      </c>
      <c r="C410" t="s">
        <v>16</v>
      </c>
      <c r="D410" s="6">
        <v>4294000000</v>
      </c>
      <c r="E410" s="6">
        <v>10854000000</v>
      </c>
      <c r="F410" s="6">
        <v>38</v>
      </c>
      <c r="G410" s="6">
        <v>36.830001831054688</v>
      </c>
      <c r="H410" s="6">
        <v>195.37275064267351</v>
      </c>
      <c r="I410" s="6">
        <v>1.0153681094717104</v>
      </c>
      <c r="J410" s="6">
        <v>5037000000</v>
      </c>
      <c r="K410" s="6">
        <v>-581.36797468354428</v>
      </c>
      <c r="L410" t="s">
        <v>6514</v>
      </c>
      <c r="M410" t="s">
        <v>7882</v>
      </c>
      <c r="N410" s="4" t="s">
        <v>7883</v>
      </c>
      <c r="O410" s="4" t="s">
        <v>7884</v>
      </c>
      <c r="P410" s="4" t="s">
        <v>233</v>
      </c>
    </row>
    <row r="411" spans="1:16" x14ac:dyDescent="0.35">
      <c r="A411" t="s">
        <v>7885</v>
      </c>
      <c r="B411" t="s">
        <v>7886</v>
      </c>
      <c r="C411" t="s">
        <v>16</v>
      </c>
      <c r="D411" s="6">
        <v>237609460.70069891</v>
      </c>
      <c r="E411" s="6">
        <v>423894460.70069885</v>
      </c>
      <c r="F411" s="6">
        <v>27.280000686645508</v>
      </c>
      <c r="G411" s="6">
        <v>27.600000381469727</v>
      </c>
      <c r="H411" s="6" t="e">
        <v>#N/A</v>
      </c>
      <c r="I411" s="6">
        <v>-8.4649042378247663E-2</v>
      </c>
      <c r="J411" s="6">
        <v>757086000</v>
      </c>
      <c r="K411" s="6">
        <v>-183.33333333333326</v>
      </c>
      <c r="L411" t="s">
        <v>6540</v>
      </c>
      <c r="M411" t="s">
        <v>6541</v>
      </c>
      <c r="N411" s="4" t="s">
        <v>7887</v>
      </c>
      <c r="O411" s="4" t="s">
        <v>7888</v>
      </c>
      <c r="P411" s="4" t="s">
        <v>233</v>
      </c>
    </row>
    <row r="412" spans="1:16" x14ac:dyDescent="0.35">
      <c r="A412" t="s">
        <v>7889</v>
      </c>
      <c r="B412" t="s">
        <v>7890</v>
      </c>
      <c r="C412" t="s">
        <v>16</v>
      </c>
      <c r="D412" s="6">
        <v>2727845281.9594922</v>
      </c>
      <c r="E412" s="6">
        <v>3958853281.9594922</v>
      </c>
      <c r="F412" s="6">
        <v>14.199999809265137</v>
      </c>
      <c r="G412" s="6">
        <v>14.289999961853027</v>
      </c>
      <c r="H412" s="6">
        <v>7.8327367633725427</v>
      </c>
      <c r="I412" s="6">
        <v>-0.35191542368715845</v>
      </c>
      <c r="J412" s="6">
        <v>5402929000</v>
      </c>
      <c r="K412" s="6">
        <v>5.3097345132743614</v>
      </c>
      <c r="L412" t="s">
        <v>6540</v>
      </c>
      <c r="M412" t="s">
        <v>6541</v>
      </c>
      <c r="N412" s="4" t="s">
        <v>7891</v>
      </c>
      <c r="O412" s="4" t="s">
        <v>7892</v>
      </c>
      <c r="P412" s="4" t="s">
        <v>233</v>
      </c>
    </row>
    <row r="413" spans="1:16" x14ac:dyDescent="0.35">
      <c r="A413" t="s">
        <v>7893</v>
      </c>
      <c r="B413" t="s">
        <v>7894</v>
      </c>
      <c r="C413" t="s">
        <v>16</v>
      </c>
      <c r="D413" s="6">
        <v>248267938.27258348</v>
      </c>
      <c r="E413" s="6">
        <v>1551136938.2725835</v>
      </c>
      <c r="F413" s="6">
        <v>5.179999828338623</v>
      </c>
      <c r="G413" s="6">
        <v>5.1500000953674316</v>
      </c>
      <c r="H413" s="6">
        <v>29.296818797125876</v>
      </c>
      <c r="I413" s="6">
        <v>-0.45747785870216506</v>
      </c>
      <c r="J413" s="6">
        <v>3050038000</v>
      </c>
      <c r="K413" s="6" t="e">
        <v>#N/A</v>
      </c>
      <c r="L413" t="s">
        <v>6540</v>
      </c>
      <c r="M413" t="s">
        <v>6541</v>
      </c>
      <c r="N413" s="4" t="s">
        <v>7895</v>
      </c>
      <c r="O413" s="4" t="s">
        <v>7896</v>
      </c>
      <c r="P413" s="4" t="s">
        <v>233</v>
      </c>
    </row>
    <row r="414" spans="1:16" x14ac:dyDescent="0.35">
      <c r="A414" t="s">
        <v>7897</v>
      </c>
      <c r="B414" t="s">
        <v>7898</v>
      </c>
      <c r="C414" t="s">
        <v>16</v>
      </c>
      <c r="D414" s="6">
        <v>726024537.92604923</v>
      </c>
      <c r="E414" s="6">
        <v>2219206537.9260492</v>
      </c>
      <c r="F414" s="6">
        <v>9.0600004196166992</v>
      </c>
      <c r="G414" s="6">
        <v>9.1499996185302734</v>
      </c>
      <c r="H414" s="6" t="e">
        <v>#N/A</v>
      </c>
      <c r="I414" s="6">
        <v>8.091518849936441E-2</v>
      </c>
      <c r="J414" s="6">
        <v>2312753000</v>
      </c>
      <c r="K414" s="6">
        <v>-527.27272727272737</v>
      </c>
      <c r="L414" t="s">
        <v>6547</v>
      </c>
      <c r="M414" t="s">
        <v>6802</v>
      </c>
      <c r="N414" s="4" t="s">
        <v>7899</v>
      </c>
      <c r="O414" s="4" t="s">
        <v>7900</v>
      </c>
      <c r="P414" s="4" t="s">
        <v>233</v>
      </c>
    </row>
    <row r="415" spans="1:16" x14ac:dyDescent="0.35">
      <c r="A415" t="s">
        <v>7901</v>
      </c>
      <c r="B415" t="s">
        <v>7902</v>
      </c>
      <c r="C415" t="s">
        <v>16</v>
      </c>
      <c r="D415" s="6">
        <v>1616896053.5773561</v>
      </c>
      <c r="E415" s="6">
        <v>1486464053.5773561</v>
      </c>
      <c r="F415" s="6">
        <v>10.529999732971191</v>
      </c>
      <c r="G415" s="6">
        <v>10.5</v>
      </c>
      <c r="H415" s="6" t="e">
        <v>#N/A</v>
      </c>
      <c r="I415" s="6">
        <v>-0.14566788785082507</v>
      </c>
      <c r="J415" s="6">
        <v>4452534000</v>
      </c>
      <c r="K415" s="6" t="e">
        <v>#N/A</v>
      </c>
      <c r="L415" t="s">
        <v>6623</v>
      </c>
      <c r="M415" t="s">
        <v>6634</v>
      </c>
      <c r="N415" s="4" t="s">
        <v>7903</v>
      </c>
      <c r="O415" s="4" t="s">
        <v>7904</v>
      </c>
      <c r="P415" s="4" t="s">
        <v>233</v>
      </c>
    </row>
    <row r="416" spans="1:16" x14ac:dyDescent="0.35">
      <c r="A416" t="s">
        <v>7905</v>
      </c>
      <c r="B416" t="s">
        <v>7906</v>
      </c>
      <c r="C416" t="s">
        <v>16</v>
      </c>
      <c r="D416" s="6">
        <v>831307129.36165619</v>
      </c>
      <c r="E416" s="6">
        <v>919445129.36165619</v>
      </c>
      <c r="F416" s="6">
        <v>71.430000305175781</v>
      </c>
      <c r="G416" s="6">
        <v>71.400001525878906</v>
      </c>
      <c r="H416" s="6">
        <v>17.64503619546436</v>
      </c>
      <c r="I416" s="6">
        <v>-0.27763458314731404</v>
      </c>
      <c r="J416" s="6">
        <v>1118719000</v>
      </c>
      <c r="K416" s="6">
        <v>-27.758620689655178</v>
      </c>
      <c r="L416" t="s">
        <v>6735</v>
      </c>
      <c r="M416" t="s">
        <v>6747</v>
      </c>
      <c r="N416" s="4" t="s">
        <v>7907</v>
      </c>
      <c r="O416" s="4" t="s">
        <v>7908</v>
      </c>
      <c r="P416" s="4" t="s">
        <v>233</v>
      </c>
    </row>
    <row r="417" spans="1:16" x14ac:dyDescent="0.35">
      <c r="A417" t="s">
        <v>7909</v>
      </c>
      <c r="B417" t="s">
        <v>7910</v>
      </c>
      <c r="C417" t="s">
        <v>16</v>
      </c>
      <c r="D417" s="6">
        <v>955629592.12341321</v>
      </c>
      <c r="E417" s="6">
        <v>1206978592.1234133</v>
      </c>
      <c r="F417" s="6">
        <v>64.660003662109375</v>
      </c>
      <c r="G417" s="6">
        <v>65.669998168945313</v>
      </c>
      <c r="H417" s="6">
        <v>25.717217872116855</v>
      </c>
      <c r="I417" s="6">
        <v>0.2690065602900813</v>
      </c>
      <c r="J417" s="6">
        <v>781490000</v>
      </c>
      <c r="K417" s="6">
        <v>35.333333333333321</v>
      </c>
      <c r="L417" t="s">
        <v>6547</v>
      </c>
      <c r="M417" t="s">
        <v>6843</v>
      </c>
      <c r="N417" s="4" t="s">
        <v>7911</v>
      </c>
      <c r="O417" s="4" t="s">
        <v>7912</v>
      </c>
      <c r="P417" s="4" t="s">
        <v>233</v>
      </c>
    </row>
    <row r="418" spans="1:16" x14ac:dyDescent="0.35">
      <c r="A418" t="s">
        <v>7913</v>
      </c>
      <c r="B418" t="s">
        <v>7914</v>
      </c>
      <c r="C418" t="s">
        <v>16</v>
      </c>
      <c r="D418" s="6">
        <v>1058111494.0576172</v>
      </c>
      <c r="E418" s="6">
        <v>943535494.05761719</v>
      </c>
      <c r="F418" s="6">
        <v>27.290000915527344</v>
      </c>
      <c r="G418" s="6">
        <v>27.350000381469727</v>
      </c>
      <c r="H418" s="6">
        <v>176.51549064401533</v>
      </c>
      <c r="I418" s="6">
        <v>-0.19639923934591652</v>
      </c>
      <c r="J418" s="6">
        <v>170505000</v>
      </c>
      <c r="K418" s="6">
        <v>57.142857142857174</v>
      </c>
      <c r="L418" t="s">
        <v>6518</v>
      </c>
      <c r="M418" t="s">
        <v>6807</v>
      </c>
      <c r="N418" s="4" t="s">
        <v>7915</v>
      </c>
      <c r="O418" s="4" t="s">
        <v>7916</v>
      </c>
      <c r="P418" s="4" t="s">
        <v>233</v>
      </c>
    </row>
    <row r="419" spans="1:16" x14ac:dyDescent="0.35">
      <c r="A419" t="s">
        <v>7917</v>
      </c>
      <c r="B419" t="s">
        <v>1878</v>
      </c>
      <c r="C419" t="s">
        <v>16</v>
      </c>
      <c r="D419" s="6">
        <v>1191651174.5908737</v>
      </c>
      <c r="E419" s="6">
        <v>1234851174.5908737</v>
      </c>
      <c r="F419" s="6">
        <v>13.090000152587891</v>
      </c>
      <c r="G419" s="6">
        <v>12.850000381469727</v>
      </c>
      <c r="H419" s="6" t="e">
        <v>#N/A</v>
      </c>
      <c r="I419" s="6">
        <v>-0.43122549804849808</v>
      </c>
      <c r="J419" s="6">
        <v>823600000</v>
      </c>
      <c r="K419" s="6">
        <v>61.30952380952381</v>
      </c>
      <c r="L419" t="s">
        <v>17</v>
      </c>
      <c r="M419" t="s">
        <v>18</v>
      </c>
      <c r="N419" s="4" t="s">
        <v>1879</v>
      </c>
      <c r="O419" s="4" t="s">
        <v>1880</v>
      </c>
      <c r="P419" s="4" t="s">
        <v>233</v>
      </c>
    </row>
    <row r="420" spans="1:16" x14ac:dyDescent="0.35">
      <c r="A420" t="s">
        <v>7918</v>
      </c>
      <c r="B420" t="s">
        <v>7919</v>
      </c>
      <c r="C420" t="s">
        <v>16</v>
      </c>
      <c r="D420" s="6">
        <v>249994820.80753326</v>
      </c>
      <c r="E420" s="6">
        <v>252886820.80753326</v>
      </c>
      <c r="F420" s="6">
        <v>17.969999313354492</v>
      </c>
      <c r="G420" s="6">
        <v>18.319999694824219</v>
      </c>
      <c r="H420" s="6">
        <v>17.234466741750083</v>
      </c>
      <c r="I420" s="6">
        <v>0.1308600709487493</v>
      </c>
      <c r="J420" s="6">
        <v>120231000</v>
      </c>
      <c r="K420" s="6">
        <v>-35.77235772357723</v>
      </c>
      <c r="L420" t="s">
        <v>6529</v>
      </c>
      <c r="M420" t="s">
        <v>6568</v>
      </c>
      <c r="N420" s="4" t="s">
        <v>7920</v>
      </c>
      <c r="O420" s="4" t="s">
        <v>7921</v>
      </c>
      <c r="P420" s="4" t="s">
        <v>233</v>
      </c>
    </row>
    <row r="421" spans="1:16" x14ac:dyDescent="0.35">
      <c r="A421" t="s">
        <v>7922</v>
      </c>
      <c r="B421" t="s">
        <v>7923</v>
      </c>
      <c r="C421" t="s">
        <v>16</v>
      </c>
      <c r="D421" s="6">
        <v>4517704669.0257263</v>
      </c>
      <c r="E421" s="6" t="e">
        <v>#N/A</v>
      </c>
      <c r="F421" s="6">
        <v>20.069999694824219</v>
      </c>
      <c r="G421" s="6">
        <v>19.590000152587891</v>
      </c>
      <c r="H421" s="6">
        <v>87.156659189335443</v>
      </c>
      <c r="I421" s="6">
        <v>0.40109220948661184</v>
      </c>
      <c r="J421" s="6">
        <v>640035000</v>
      </c>
      <c r="K421" s="6" t="e">
        <v>#N/A</v>
      </c>
      <c r="L421" t="s">
        <v>6623</v>
      </c>
      <c r="M421" t="s">
        <v>7086</v>
      </c>
      <c r="N421" s="4" t="s">
        <v>7924</v>
      </c>
      <c r="O421" s="4" t="s">
        <v>7925</v>
      </c>
      <c r="P421" s="4" t="s">
        <v>233</v>
      </c>
    </row>
    <row r="422" spans="1:16" x14ac:dyDescent="0.35">
      <c r="A422" t="s">
        <v>7926</v>
      </c>
      <c r="B422" t="s">
        <v>7927</v>
      </c>
      <c r="C422" t="s">
        <v>16</v>
      </c>
      <c r="D422" s="6">
        <v>563178815.07386386</v>
      </c>
      <c r="E422" s="6">
        <v>331034715.07386386</v>
      </c>
      <c r="F422" s="6">
        <v>19.909999847412109</v>
      </c>
      <c r="G422" s="6">
        <v>20.040000915527344</v>
      </c>
      <c r="H422" s="6">
        <v>10.250168912803606</v>
      </c>
      <c r="I422" s="6">
        <v>0.231164364133013</v>
      </c>
      <c r="J422" s="6">
        <v>1511183000</v>
      </c>
      <c r="K422" s="6">
        <v>6.7510548523206619</v>
      </c>
      <c r="L422" t="s">
        <v>6529</v>
      </c>
      <c r="M422" t="s">
        <v>6664</v>
      </c>
      <c r="N422" s="4" t="s">
        <v>7928</v>
      </c>
      <c r="O422" s="4" t="s">
        <v>7929</v>
      </c>
      <c r="P422" s="4" t="s">
        <v>233</v>
      </c>
    </row>
    <row r="423" spans="1:16" x14ac:dyDescent="0.35">
      <c r="A423" t="s">
        <v>7930</v>
      </c>
      <c r="B423" t="s">
        <v>7931</v>
      </c>
      <c r="C423" t="s">
        <v>16</v>
      </c>
      <c r="D423" s="6">
        <v>503999743.08308125</v>
      </c>
      <c r="E423" s="6">
        <v>510348969.08308125</v>
      </c>
      <c r="F423" s="6">
        <v>15.060000419616699</v>
      </c>
      <c r="G423" s="6">
        <v>15.100000381469727</v>
      </c>
      <c r="H423" s="6">
        <v>27.996364598945021</v>
      </c>
      <c r="I423" s="6">
        <v>6.5258468959845883E-2</v>
      </c>
      <c r="J423" s="6">
        <v>979118960</v>
      </c>
      <c r="K423" s="6">
        <v>148.78256337860927</v>
      </c>
      <c r="L423" t="s">
        <v>6529</v>
      </c>
      <c r="M423" t="s">
        <v>6664</v>
      </c>
      <c r="N423" s="4" t="s">
        <v>7932</v>
      </c>
      <c r="O423" s="4" t="s">
        <v>7933</v>
      </c>
      <c r="P423" s="4" t="s">
        <v>233</v>
      </c>
    </row>
    <row r="424" spans="1:16" x14ac:dyDescent="0.35">
      <c r="A424" t="s">
        <v>7934</v>
      </c>
      <c r="B424" t="s">
        <v>4982</v>
      </c>
      <c r="C424" t="s">
        <v>16</v>
      </c>
      <c r="D424" s="6">
        <v>2896832636.4569855</v>
      </c>
      <c r="E424" s="6">
        <v>2528308636.4569855</v>
      </c>
      <c r="F424" s="6">
        <v>24.139999389648438</v>
      </c>
      <c r="G424" s="6">
        <v>23.620000839233398</v>
      </c>
      <c r="H424" s="6">
        <v>241.39999389648438</v>
      </c>
      <c r="I424" s="6">
        <v>0.11570777644907682</v>
      </c>
      <c r="J424" s="6">
        <v>1716318000</v>
      </c>
      <c r="K424" s="6">
        <v>-66.198879646501737</v>
      </c>
      <c r="L424" t="s">
        <v>17</v>
      </c>
      <c r="M424" t="s">
        <v>40</v>
      </c>
      <c r="N424" s="4" t="s">
        <v>4983</v>
      </c>
      <c r="O424" s="4" t="s">
        <v>4984</v>
      </c>
      <c r="P424" s="4" t="s">
        <v>233</v>
      </c>
    </row>
    <row r="425" spans="1:16" x14ac:dyDescent="0.35">
      <c r="A425" t="s">
        <v>7935</v>
      </c>
      <c r="B425" t="s">
        <v>7936</v>
      </c>
      <c r="C425" t="s">
        <v>16</v>
      </c>
      <c r="D425" s="6">
        <v>1008901373.5534235</v>
      </c>
      <c r="E425" s="6">
        <v>1847875373.5534234</v>
      </c>
      <c r="F425" s="6">
        <v>6.6399998664855957</v>
      </c>
      <c r="G425" s="6">
        <v>6.7199997901916504</v>
      </c>
      <c r="H425" s="6">
        <v>61.134485434391799</v>
      </c>
      <c r="I425" s="6">
        <v>-0.58060326239709181</v>
      </c>
      <c r="J425" s="6">
        <v>982190000</v>
      </c>
      <c r="K425" s="6" t="e">
        <v>#N/A</v>
      </c>
      <c r="L425" t="s">
        <v>6547</v>
      </c>
      <c r="M425" t="s">
        <v>6602</v>
      </c>
      <c r="N425" s="4" t="s">
        <v>7937</v>
      </c>
      <c r="O425" s="4" t="s">
        <v>7938</v>
      </c>
      <c r="P425" s="4" t="s">
        <v>233</v>
      </c>
    </row>
    <row r="426" spans="1:16" x14ac:dyDescent="0.35">
      <c r="A426" t="s">
        <v>7939</v>
      </c>
      <c r="B426" t="s">
        <v>2951</v>
      </c>
      <c r="C426" t="s">
        <v>16</v>
      </c>
      <c r="D426" s="6">
        <v>2161414658.098556</v>
      </c>
      <c r="E426" s="6">
        <v>2164055658.098556</v>
      </c>
      <c r="F426" s="6">
        <v>32.909999847412109</v>
      </c>
      <c r="G426" s="6">
        <v>32.950000762939453</v>
      </c>
      <c r="H426" s="6" t="e">
        <v>#N/A</v>
      </c>
      <c r="I426" s="6">
        <v>0.37063716051589979</v>
      </c>
      <c r="J426" s="6">
        <v>854351000</v>
      </c>
      <c r="K426" s="6">
        <v>40.247678018575854</v>
      </c>
      <c r="L426" t="s">
        <v>17</v>
      </c>
      <c r="M426" t="s">
        <v>27</v>
      </c>
      <c r="N426" s="4" t="s">
        <v>2952</v>
      </c>
      <c r="O426" s="4" t="s">
        <v>2953</v>
      </c>
      <c r="P426" s="4" t="s">
        <v>233</v>
      </c>
    </row>
    <row r="427" spans="1:16" x14ac:dyDescent="0.35">
      <c r="A427" t="s">
        <v>7940</v>
      </c>
      <c r="B427" t="s">
        <v>4955</v>
      </c>
      <c r="C427" t="s">
        <v>16</v>
      </c>
      <c r="D427" s="6">
        <v>3258622206.819458</v>
      </c>
      <c r="E427" s="6">
        <v>2921600206.819458</v>
      </c>
      <c r="F427" s="6">
        <v>8.3400001525878906</v>
      </c>
      <c r="G427" s="6">
        <v>7.4499998092651367</v>
      </c>
      <c r="H427" s="6" t="e">
        <v>#N/A</v>
      </c>
      <c r="I427" s="6">
        <v>-0.23709451982197416</v>
      </c>
      <c r="J427" s="6">
        <v>65184000</v>
      </c>
      <c r="K427" s="6">
        <v>-6.1643835616438105</v>
      </c>
      <c r="L427" t="s">
        <v>17</v>
      </c>
      <c r="M427" t="s">
        <v>18</v>
      </c>
      <c r="N427" s="4" t="s">
        <v>4956</v>
      </c>
      <c r="O427" s="4" t="s">
        <v>4957</v>
      </c>
      <c r="P427" s="4" t="s">
        <v>233</v>
      </c>
    </row>
    <row r="428" spans="1:16" x14ac:dyDescent="0.35">
      <c r="A428" t="s">
        <v>7941</v>
      </c>
      <c r="B428" t="s">
        <v>4974</v>
      </c>
      <c r="C428" t="s">
        <v>16</v>
      </c>
      <c r="D428" s="6">
        <v>904293795.19070005</v>
      </c>
      <c r="E428" s="6">
        <v>2158902795.1907001</v>
      </c>
      <c r="F428" s="6">
        <v>4.679999828338623</v>
      </c>
      <c r="G428" s="6">
        <v>4.75</v>
      </c>
      <c r="H428" s="6" t="e">
        <v>#N/A</v>
      </c>
      <c r="I428" s="6">
        <v>0.85400433971034451</v>
      </c>
      <c r="J428" s="6">
        <v>1983475000</v>
      </c>
      <c r="K428" s="6">
        <v>81.621621621621628</v>
      </c>
      <c r="L428" t="s">
        <v>17</v>
      </c>
      <c r="M428" t="s">
        <v>40</v>
      </c>
      <c r="N428" s="4" t="s">
        <v>4975</v>
      </c>
      <c r="O428" s="4" t="s">
        <v>4976</v>
      </c>
      <c r="P428" s="4" t="s">
        <v>233</v>
      </c>
    </row>
    <row r="429" spans="1:16" x14ac:dyDescent="0.35">
      <c r="A429" t="s">
        <v>7942</v>
      </c>
      <c r="B429" t="s">
        <v>4962</v>
      </c>
      <c r="C429" t="s">
        <v>16</v>
      </c>
      <c r="D429" s="6">
        <v>111021985.1126733</v>
      </c>
      <c r="E429" s="6">
        <v>156645985.11267331</v>
      </c>
      <c r="F429" s="6">
        <v>2.2400000095367432</v>
      </c>
      <c r="G429" s="6">
        <v>2.25</v>
      </c>
      <c r="H429" s="6" t="e">
        <v>#N/A</v>
      </c>
      <c r="I429" s="6">
        <v>-0.61997537422653348</v>
      </c>
      <c r="J429" s="6">
        <v>86815000</v>
      </c>
      <c r="K429" s="6">
        <v>32.95454545454546</v>
      </c>
      <c r="L429" t="s">
        <v>17</v>
      </c>
      <c r="M429" t="s">
        <v>100</v>
      </c>
      <c r="N429" s="4" t="s">
        <v>4963</v>
      </c>
      <c r="O429" s="4" t="s">
        <v>4964</v>
      </c>
      <c r="P429" s="4" t="s">
        <v>233</v>
      </c>
    </row>
    <row r="430" spans="1:16" x14ac:dyDescent="0.35">
      <c r="A430" t="s">
        <v>7943</v>
      </c>
      <c r="B430" t="s">
        <v>7944</v>
      </c>
      <c r="C430" t="s">
        <v>16</v>
      </c>
      <c r="D430" s="6">
        <v>85599481.855998993</v>
      </c>
      <c r="E430" s="6">
        <v>235878481.85599902</v>
      </c>
      <c r="F430" s="6">
        <v>5.9499998092651367</v>
      </c>
      <c r="G430" s="6">
        <v>6</v>
      </c>
      <c r="H430" s="6">
        <v>13.522726839238947</v>
      </c>
      <c r="I430" s="6">
        <v>-0.65124510552353609</v>
      </c>
      <c r="J430" s="6">
        <v>388869000</v>
      </c>
      <c r="K430" s="6">
        <v>200.00000000000003</v>
      </c>
      <c r="L430" t="s">
        <v>6547</v>
      </c>
      <c r="M430" t="s">
        <v>6548</v>
      </c>
      <c r="N430" s="4" t="s">
        <v>7945</v>
      </c>
      <c r="O430" s="4" t="s">
        <v>7946</v>
      </c>
      <c r="P430" s="4" t="s">
        <v>233</v>
      </c>
    </row>
    <row r="431" spans="1:16" x14ac:dyDescent="0.35">
      <c r="A431" t="s">
        <v>7947</v>
      </c>
      <c r="B431" t="s">
        <v>4966</v>
      </c>
      <c r="C431" t="s">
        <v>16</v>
      </c>
      <c r="D431" s="6">
        <v>126110631.4511981</v>
      </c>
      <c r="E431" s="6">
        <v>-40459368.548801929</v>
      </c>
      <c r="F431" s="6">
        <v>3.4800000190734863</v>
      </c>
      <c r="G431" s="6">
        <v>3.4000000953674316</v>
      </c>
      <c r="H431" s="6" t="e">
        <v>#N/A</v>
      </c>
      <c r="I431" s="6">
        <v>-0.80438773832247512</v>
      </c>
      <c r="J431" s="6">
        <v>0</v>
      </c>
      <c r="K431" s="6">
        <v>-22.857142857142865</v>
      </c>
      <c r="L431" t="s">
        <v>17</v>
      </c>
      <c r="M431" t="s">
        <v>18</v>
      </c>
      <c r="N431" s="4" t="s">
        <v>4967</v>
      </c>
      <c r="O431" s="4" t="s">
        <v>4968</v>
      </c>
      <c r="P431" s="4" t="s">
        <v>233</v>
      </c>
    </row>
    <row r="432" spans="1:16" x14ac:dyDescent="0.35">
      <c r="A432" t="s">
        <v>7948</v>
      </c>
      <c r="B432" t="s">
        <v>7949</v>
      </c>
      <c r="C432" t="s">
        <v>16</v>
      </c>
      <c r="D432" s="6">
        <v>285762511.54618263</v>
      </c>
      <c r="E432" s="6" t="e">
        <v>#N/A</v>
      </c>
      <c r="F432" s="6">
        <v>20.030000686645508</v>
      </c>
      <c r="G432" s="6">
        <v>20.360000610351563</v>
      </c>
      <c r="H432" s="6">
        <v>11.511494647497418</v>
      </c>
      <c r="I432" s="6">
        <v>0.26298236207086223</v>
      </c>
      <c r="J432" s="6">
        <v>191910000</v>
      </c>
      <c r="K432" s="6">
        <v>-18.224299065420567</v>
      </c>
      <c r="L432" t="s">
        <v>6529</v>
      </c>
      <c r="M432" t="s">
        <v>6530</v>
      </c>
      <c r="N432" s="4" t="s">
        <v>7950</v>
      </c>
      <c r="O432" s="4" t="s">
        <v>7951</v>
      </c>
      <c r="P432" s="4" t="s">
        <v>233</v>
      </c>
    </row>
    <row r="433" spans="1:16" x14ac:dyDescent="0.35">
      <c r="A433" t="s">
        <v>7952</v>
      </c>
      <c r="B433" t="s">
        <v>7953</v>
      </c>
      <c r="C433" t="s">
        <v>16</v>
      </c>
      <c r="D433" s="6">
        <v>617596153.14011383</v>
      </c>
      <c r="E433" s="6">
        <v>563461153.14011383</v>
      </c>
      <c r="F433" s="6">
        <v>3.9200000762939453</v>
      </c>
      <c r="G433" s="6">
        <v>3.8499999046325684</v>
      </c>
      <c r="H433" s="6" t="e">
        <v>#N/A</v>
      </c>
      <c r="I433" s="6">
        <v>-0.30550135199041129</v>
      </c>
      <c r="J433" s="6">
        <v>89220000</v>
      </c>
      <c r="K433" s="6">
        <v>86.597938144329902</v>
      </c>
      <c r="L433" t="s">
        <v>6518</v>
      </c>
      <c r="M433" t="s">
        <v>6714</v>
      </c>
      <c r="N433" s="4" t="s">
        <v>7954</v>
      </c>
      <c r="O433" s="4" t="s">
        <v>7955</v>
      </c>
      <c r="P433" s="4" t="s">
        <v>233</v>
      </c>
    </row>
    <row r="434" spans="1:16" x14ac:dyDescent="0.35">
      <c r="A434" t="s">
        <v>7956</v>
      </c>
      <c r="B434" t="s">
        <v>7957</v>
      </c>
      <c r="C434" t="s">
        <v>16</v>
      </c>
      <c r="D434" s="6">
        <v>661013963.32578075</v>
      </c>
      <c r="E434" s="6">
        <v>1159830963.3257809</v>
      </c>
      <c r="F434" s="6">
        <v>6.309999942779541</v>
      </c>
      <c r="G434" s="6">
        <v>6.320000171661377</v>
      </c>
      <c r="H434" s="6">
        <v>43.700481624879089</v>
      </c>
      <c r="I434" s="6">
        <v>0.26624906648724145</v>
      </c>
      <c r="J434" s="6">
        <v>1151945000</v>
      </c>
      <c r="K434" s="6">
        <v>-77.083333333333343</v>
      </c>
      <c r="L434" t="s">
        <v>6540</v>
      </c>
      <c r="M434" t="s">
        <v>6541</v>
      </c>
      <c r="N434" s="4" t="s">
        <v>7958</v>
      </c>
      <c r="O434" s="4" t="s">
        <v>7959</v>
      </c>
      <c r="P434" s="4" t="s">
        <v>233</v>
      </c>
    </row>
    <row r="435" spans="1:16" x14ac:dyDescent="0.35">
      <c r="A435" t="s">
        <v>7960</v>
      </c>
      <c r="B435" t="s">
        <v>7961</v>
      </c>
      <c r="C435" t="s">
        <v>16</v>
      </c>
      <c r="D435" s="6">
        <v>139761250.52255198</v>
      </c>
      <c r="E435" s="6">
        <v>132494210.52255198</v>
      </c>
      <c r="F435" s="6">
        <v>2.6099998950958252</v>
      </c>
      <c r="G435" s="6">
        <v>2.6400001049041748</v>
      </c>
      <c r="H435" s="6">
        <v>17.399999300638832</v>
      </c>
      <c r="I435" s="6">
        <v>-0.17621879315798006</v>
      </c>
      <c r="J435" s="6">
        <v>56467600</v>
      </c>
      <c r="K435" s="6">
        <v>433.33333333333337</v>
      </c>
      <c r="L435" t="s">
        <v>6529</v>
      </c>
      <c r="M435" t="s">
        <v>6639</v>
      </c>
      <c r="N435" s="4" t="s">
        <v>7962</v>
      </c>
      <c r="O435" s="4" t="s">
        <v>7963</v>
      </c>
      <c r="P435" s="4" t="s">
        <v>233</v>
      </c>
    </row>
    <row r="436" spans="1:16" x14ac:dyDescent="0.35">
      <c r="A436" t="s">
        <v>7964</v>
      </c>
      <c r="B436" t="s">
        <v>7965</v>
      </c>
      <c r="C436" t="s">
        <v>16</v>
      </c>
      <c r="D436" s="6">
        <v>391326620.08415222</v>
      </c>
      <c r="E436" s="6">
        <v>457326620.08415222</v>
      </c>
      <c r="F436" s="6">
        <v>14.609999656677246</v>
      </c>
      <c r="G436" s="6">
        <v>14.340000152587891</v>
      </c>
      <c r="H436" s="6">
        <v>16.406936570711256</v>
      </c>
      <c r="I436" s="6">
        <v>0.88099014935731956</v>
      </c>
      <c r="J436" s="6">
        <v>384400000</v>
      </c>
      <c r="K436" s="6">
        <v>-13.170235546038537</v>
      </c>
      <c r="L436" t="s">
        <v>6547</v>
      </c>
      <c r="M436" t="s">
        <v>6668</v>
      </c>
      <c r="N436" s="4" t="s">
        <v>233</v>
      </c>
      <c r="O436" s="4" t="s">
        <v>7966</v>
      </c>
      <c r="P436" s="4" t="s">
        <v>13212</v>
      </c>
    </row>
    <row r="437" spans="1:16" x14ac:dyDescent="0.35">
      <c r="A437" t="s">
        <v>7967</v>
      </c>
      <c r="B437" t="s">
        <v>7968</v>
      </c>
      <c r="C437" t="s">
        <v>16</v>
      </c>
      <c r="D437" s="6">
        <v>123994561.04211956</v>
      </c>
      <c r="E437" s="6">
        <v>143394561.04211956</v>
      </c>
      <c r="F437" s="6">
        <v>0.80119997262954712</v>
      </c>
      <c r="G437" s="6">
        <v>0.79900002479553223</v>
      </c>
      <c r="H437" s="6" t="e">
        <v>#N/A</v>
      </c>
      <c r="I437" s="6">
        <v>-0.68846354999143822</v>
      </c>
      <c r="J437" s="6">
        <v>801473000</v>
      </c>
      <c r="K437" s="6">
        <v>-705.71428571428567</v>
      </c>
      <c r="L437" t="s">
        <v>6540</v>
      </c>
      <c r="M437" t="s">
        <v>6797</v>
      </c>
      <c r="N437" s="4" t="s">
        <v>7969</v>
      </c>
      <c r="O437" s="4" t="s">
        <v>7970</v>
      </c>
      <c r="P437" s="4" t="s">
        <v>233</v>
      </c>
    </row>
    <row r="438" spans="1:16" x14ac:dyDescent="0.35">
      <c r="A438" t="s">
        <v>7971</v>
      </c>
      <c r="B438" t="s">
        <v>7972</v>
      </c>
      <c r="C438" t="s">
        <v>16</v>
      </c>
      <c r="D438" s="6">
        <v>546397335.59143066</v>
      </c>
      <c r="E438" s="6">
        <v>203340335.59143072</v>
      </c>
      <c r="F438" s="6">
        <v>396.67999267578125</v>
      </c>
      <c r="G438" s="6">
        <v>386.5</v>
      </c>
      <c r="H438" s="6">
        <v>253.16245187199763</v>
      </c>
      <c r="I438" s="6">
        <v>0.16209011392631623</v>
      </c>
      <c r="J438" s="6">
        <v>69931000</v>
      </c>
      <c r="K438" s="6">
        <v>264.12066752246471</v>
      </c>
      <c r="L438" t="s">
        <v>6518</v>
      </c>
      <c r="M438" t="s">
        <v>6519</v>
      </c>
      <c r="N438" s="4" t="s">
        <v>7973</v>
      </c>
      <c r="O438" s="4" t="s">
        <v>7974</v>
      </c>
      <c r="P438" s="4" t="s">
        <v>233</v>
      </c>
    </row>
    <row r="439" spans="1:16" x14ac:dyDescent="0.35">
      <c r="A439" t="s">
        <v>7975</v>
      </c>
      <c r="B439" t="s">
        <v>3713</v>
      </c>
      <c r="C439" t="s">
        <v>16</v>
      </c>
      <c r="D439" s="6">
        <v>4352046334.0085449</v>
      </c>
      <c r="E439" s="6">
        <v>3771198334.0085449</v>
      </c>
      <c r="F439" s="6">
        <v>151.32000732421875</v>
      </c>
      <c r="G439" s="6">
        <v>146.97999572753906</v>
      </c>
      <c r="H439" s="6">
        <v>54.584887693445467</v>
      </c>
      <c r="I439" s="6">
        <v>0.30488197966984965</v>
      </c>
      <c r="J439" s="6">
        <v>241518000</v>
      </c>
      <c r="K439" s="6" t="e">
        <v>#N/A</v>
      </c>
      <c r="L439" t="s">
        <v>17</v>
      </c>
      <c r="M439" t="s">
        <v>18</v>
      </c>
      <c r="N439" s="4" t="s">
        <v>3714</v>
      </c>
      <c r="O439" s="4" t="s">
        <v>3715</v>
      </c>
      <c r="P439" s="4" t="s">
        <v>233</v>
      </c>
    </row>
    <row r="440" spans="1:16" x14ac:dyDescent="0.35">
      <c r="A440" t="s">
        <v>7976</v>
      </c>
      <c r="B440" t="s">
        <v>7977</v>
      </c>
      <c r="C440" t="s">
        <v>16</v>
      </c>
      <c r="D440" s="6">
        <v>446193429.50243753</v>
      </c>
      <c r="E440" s="6">
        <v>353496429.50243753</v>
      </c>
      <c r="F440" s="6">
        <v>11.989999771118164</v>
      </c>
      <c r="G440" s="6">
        <v>12.199999809265137</v>
      </c>
      <c r="H440" s="6">
        <v>8.490972071937561</v>
      </c>
      <c r="I440" s="6">
        <v>-2.0810620347676223E-2</v>
      </c>
      <c r="J440" s="6">
        <v>120243000</v>
      </c>
      <c r="K440" s="6">
        <v>-71.308527396929776</v>
      </c>
      <c r="L440" t="s">
        <v>6523</v>
      </c>
      <c r="M440" t="s">
        <v>6524</v>
      </c>
      <c r="N440" s="4" t="s">
        <v>7978</v>
      </c>
      <c r="O440" s="4" t="s">
        <v>7979</v>
      </c>
      <c r="P440" s="4" t="s">
        <v>233</v>
      </c>
    </row>
    <row r="441" spans="1:16" x14ac:dyDescent="0.35">
      <c r="A441" t="s">
        <v>7980</v>
      </c>
      <c r="B441" t="s">
        <v>7981</v>
      </c>
      <c r="C441" t="s">
        <v>16</v>
      </c>
      <c r="D441" s="6">
        <v>1544947446.5872879</v>
      </c>
      <c r="E441" s="6" t="e">
        <v>#N/A</v>
      </c>
      <c r="F441" s="6">
        <v>28.930000305175781</v>
      </c>
      <c r="G441" s="6">
        <v>29.340000152587891</v>
      </c>
      <c r="H441" s="6">
        <v>13.220954598235064</v>
      </c>
      <c r="I441" s="6">
        <v>0.18542476138078579</v>
      </c>
      <c r="J441" s="6">
        <v>624677000</v>
      </c>
      <c r="K441" s="6">
        <v>-10.204081632653061</v>
      </c>
      <c r="L441" t="s">
        <v>6529</v>
      </c>
      <c r="M441" t="s">
        <v>6530</v>
      </c>
      <c r="N441" s="4" t="s">
        <v>7982</v>
      </c>
      <c r="O441" s="4" t="s">
        <v>7983</v>
      </c>
      <c r="P441" s="4" t="s">
        <v>233</v>
      </c>
    </row>
    <row r="442" spans="1:16" x14ac:dyDescent="0.35">
      <c r="A442" t="s">
        <v>7984</v>
      </c>
      <c r="B442" t="s">
        <v>7985</v>
      </c>
      <c r="C442" t="s">
        <v>16</v>
      </c>
      <c r="D442" s="6">
        <v>559032180.40702808</v>
      </c>
      <c r="E442" s="6">
        <v>1131840180.4070282</v>
      </c>
      <c r="F442" s="6">
        <v>28.959999084472656</v>
      </c>
      <c r="G442" s="6">
        <v>28.430000305175781</v>
      </c>
      <c r="H442" s="6">
        <v>6.6971412235355174</v>
      </c>
      <c r="I442" s="6">
        <v>0.38375132762280018</v>
      </c>
      <c r="J442" s="6">
        <v>351153000</v>
      </c>
      <c r="K442" s="6">
        <v>17.480719794344477</v>
      </c>
      <c r="L442" t="s">
        <v>6518</v>
      </c>
      <c r="M442" t="s">
        <v>6519</v>
      </c>
      <c r="N442" s="4" t="s">
        <v>7986</v>
      </c>
      <c r="O442" s="4" t="s">
        <v>7987</v>
      </c>
      <c r="P442" s="4" t="s">
        <v>233</v>
      </c>
    </row>
    <row r="443" spans="1:16" x14ac:dyDescent="0.35">
      <c r="A443" t="s">
        <v>7988</v>
      </c>
      <c r="B443" t="s">
        <v>7989</v>
      </c>
      <c r="C443" t="s">
        <v>16</v>
      </c>
      <c r="D443" s="6">
        <v>4538141351.5198259</v>
      </c>
      <c r="E443" s="6">
        <v>5746933351.5198259</v>
      </c>
      <c r="F443" s="6">
        <v>9.4600000381469727</v>
      </c>
      <c r="G443" s="6">
        <v>9.1499996185302734</v>
      </c>
      <c r="H443" s="6">
        <v>28.378496054150048</v>
      </c>
      <c r="I443" s="6">
        <v>0.26835493989880921</v>
      </c>
      <c r="J443" s="6">
        <v>2276341000</v>
      </c>
      <c r="K443" s="6">
        <v>525</v>
      </c>
      <c r="L443" t="s">
        <v>6529</v>
      </c>
      <c r="M443" t="s">
        <v>6568</v>
      </c>
      <c r="N443" s="4" t="s">
        <v>7990</v>
      </c>
      <c r="O443" s="4" t="s">
        <v>7991</v>
      </c>
      <c r="P443" s="4" t="s">
        <v>233</v>
      </c>
    </row>
    <row r="444" spans="1:16" x14ac:dyDescent="0.35">
      <c r="A444" t="s">
        <v>7992</v>
      </c>
      <c r="B444" t="s">
        <v>7993</v>
      </c>
      <c r="C444" t="s">
        <v>16</v>
      </c>
      <c r="D444" s="6">
        <v>4592373550.6110687</v>
      </c>
      <c r="E444" s="6">
        <v>9491660550.6110687</v>
      </c>
      <c r="F444" s="6">
        <v>63.740001678466797</v>
      </c>
      <c r="G444" s="6">
        <v>62.919998168945313</v>
      </c>
      <c r="H444" s="6" t="e">
        <v>#N/A</v>
      </c>
      <c r="I444" s="6">
        <v>0.46897438465304186</v>
      </c>
      <c r="J444" s="6">
        <v>886272000</v>
      </c>
      <c r="K444" s="6" t="e">
        <v>#N/A</v>
      </c>
      <c r="L444" t="s">
        <v>6623</v>
      </c>
      <c r="M444" t="s">
        <v>6866</v>
      </c>
      <c r="N444" s="4" t="s">
        <v>7994</v>
      </c>
      <c r="O444" s="4" t="s">
        <v>7995</v>
      </c>
      <c r="P444" s="4" t="s">
        <v>233</v>
      </c>
    </row>
    <row r="445" spans="1:16" x14ac:dyDescent="0.35">
      <c r="A445" t="s">
        <v>7996</v>
      </c>
      <c r="B445" t="s">
        <v>7997</v>
      </c>
      <c r="C445" t="s">
        <v>16</v>
      </c>
      <c r="D445" s="6">
        <v>1300562120.4367673</v>
      </c>
      <c r="E445" s="6">
        <v>7473562120.4367676</v>
      </c>
      <c r="F445" s="6">
        <v>4.2600002288818359</v>
      </c>
      <c r="G445" s="6">
        <v>4.320000171661377</v>
      </c>
      <c r="H445" s="6" t="e">
        <v>#N/A</v>
      </c>
      <c r="I445" s="6">
        <v>-0.50826121889970288</v>
      </c>
      <c r="J445" s="6">
        <v>9193000000</v>
      </c>
      <c r="K445" s="6" t="e">
        <v>#N/A</v>
      </c>
      <c r="L445" t="s">
        <v>6547</v>
      </c>
      <c r="M445" t="s">
        <v>7792</v>
      </c>
      <c r="N445" s="4" t="s">
        <v>7998</v>
      </c>
      <c r="O445" s="4" t="s">
        <v>7999</v>
      </c>
      <c r="P445" s="4" t="s">
        <v>233</v>
      </c>
    </row>
    <row r="446" spans="1:16" x14ac:dyDescent="0.35">
      <c r="A446" t="s">
        <v>13347</v>
      </c>
      <c r="B446" t="s">
        <v>13348</v>
      </c>
      <c r="C446" t="s">
        <v>16</v>
      </c>
      <c r="D446" s="6">
        <v>2453694561.1990166</v>
      </c>
      <c r="E446" s="6">
        <v>5151882561.1990166</v>
      </c>
      <c r="F446" s="6">
        <v>20.799999237060547</v>
      </c>
      <c r="G446" s="6">
        <v>20.100000381469727</v>
      </c>
      <c r="H446" s="6" t="e">
        <v>#N/A</v>
      </c>
      <c r="I446" s="6">
        <v>-0.48359092664163428</v>
      </c>
      <c r="J446" s="6">
        <v>1807814000</v>
      </c>
      <c r="K446" s="6" t="e">
        <v>#N/A</v>
      </c>
      <c r="L446" t="s">
        <v>6540</v>
      </c>
      <c r="M446" t="s">
        <v>6838</v>
      </c>
      <c r="N446" s="4" t="s">
        <v>13349</v>
      </c>
      <c r="O446" s="4" t="s">
        <v>13350</v>
      </c>
      <c r="P446" s="4" t="s">
        <v>233</v>
      </c>
    </row>
    <row r="447" spans="1:16" x14ac:dyDescent="0.35">
      <c r="A447" t="s">
        <v>8000</v>
      </c>
      <c r="B447" t="s">
        <v>8001</v>
      </c>
      <c r="C447" t="s">
        <v>16</v>
      </c>
      <c r="D447" s="6">
        <v>1030812382.9622191</v>
      </c>
      <c r="E447" s="6">
        <v>1027931382.9622191</v>
      </c>
      <c r="F447" s="6">
        <v>91.44000244140625</v>
      </c>
      <c r="G447" s="6">
        <v>91.620002746582031</v>
      </c>
      <c r="H447" s="6">
        <v>35.947240601749186</v>
      </c>
      <c r="I447" s="6">
        <v>1.0503326213329145</v>
      </c>
      <c r="J447" s="6">
        <v>517822000</v>
      </c>
      <c r="K447" s="6">
        <v>29.120879120879106</v>
      </c>
      <c r="L447" t="s">
        <v>6547</v>
      </c>
      <c r="M447" t="s">
        <v>6651</v>
      </c>
      <c r="N447" s="4" t="s">
        <v>8002</v>
      </c>
      <c r="O447" s="4" t="s">
        <v>8003</v>
      </c>
      <c r="P447" s="4" t="s">
        <v>233</v>
      </c>
    </row>
    <row r="448" spans="1:16" x14ac:dyDescent="0.35">
      <c r="A448" t="s">
        <v>8004</v>
      </c>
      <c r="B448" t="s">
        <v>8005</v>
      </c>
      <c r="C448" t="s">
        <v>16</v>
      </c>
      <c r="D448" s="6">
        <v>2337024635.2217107</v>
      </c>
      <c r="E448" s="6">
        <v>1859147635.2217107</v>
      </c>
      <c r="F448" s="6">
        <v>179.55000305175781</v>
      </c>
      <c r="G448" s="6">
        <v>183.44999694824219</v>
      </c>
      <c r="H448" s="6">
        <v>6.5784535828008117</v>
      </c>
      <c r="I448" s="6">
        <v>-0.51738628113146823</v>
      </c>
      <c r="J448" s="6">
        <v>3299929000</v>
      </c>
      <c r="K448" s="6">
        <v>-45.33359420856975</v>
      </c>
      <c r="L448" t="s">
        <v>6563</v>
      </c>
      <c r="M448" t="s">
        <v>6564</v>
      </c>
      <c r="N448" s="4" t="s">
        <v>8006</v>
      </c>
      <c r="O448" s="4" t="s">
        <v>8007</v>
      </c>
      <c r="P448" s="4" t="s">
        <v>233</v>
      </c>
    </row>
    <row r="449" spans="1:16" x14ac:dyDescent="0.35">
      <c r="A449" t="s">
        <v>8008</v>
      </c>
      <c r="B449" t="s">
        <v>5157</v>
      </c>
      <c r="C449" t="s">
        <v>16</v>
      </c>
      <c r="D449" s="6">
        <v>360169929.38473219</v>
      </c>
      <c r="E449" s="6">
        <v>326993929.38473219</v>
      </c>
      <c r="F449" s="6">
        <v>8.5500001907348633</v>
      </c>
      <c r="G449" s="6">
        <v>8.1099996566772461</v>
      </c>
      <c r="H449" s="6" t="e">
        <v>#N/A</v>
      </c>
      <c r="I449" s="6">
        <v>5.1206242615330533</v>
      </c>
      <c r="J449" s="6">
        <v>0</v>
      </c>
      <c r="K449" s="6">
        <v>-101.53846153846153</v>
      </c>
      <c r="L449" t="s">
        <v>17</v>
      </c>
      <c r="M449" t="s">
        <v>18</v>
      </c>
      <c r="N449" s="4" t="s">
        <v>5158</v>
      </c>
      <c r="O449" s="4" t="s">
        <v>5159</v>
      </c>
      <c r="P449" s="4" t="s">
        <v>233</v>
      </c>
    </row>
    <row r="450" spans="1:16" x14ac:dyDescent="0.35">
      <c r="A450" t="s">
        <v>8009</v>
      </c>
      <c r="B450" t="s">
        <v>8010</v>
      </c>
      <c r="C450" t="s">
        <v>16</v>
      </c>
      <c r="D450" s="6">
        <v>532839362.02419281</v>
      </c>
      <c r="E450" s="6" t="e">
        <v>#N/A</v>
      </c>
      <c r="F450" s="6">
        <v>42.869998931884766</v>
      </c>
      <c r="G450" s="6">
        <v>43.369998931884766</v>
      </c>
      <c r="H450" s="6">
        <v>13.428561875815328</v>
      </c>
      <c r="I450" s="6">
        <v>0.58963608572382076</v>
      </c>
      <c r="J450" s="6">
        <v>253149000</v>
      </c>
      <c r="K450" s="6">
        <v>0.6430868167202578</v>
      </c>
      <c r="L450" t="s">
        <v>6529</v>
      </c>
      <c r="M450" t="s">
        <v>6530</v>
      </c>
      <c r="N450" s="4" t="s">
        <v>8011</v>
      </c>
      <c r="O450" s="4" t="s">
        <v>8012</v>
      </c>
      <c r="P450" s="4" t="s">
        <v>233</v>
      </c>
    </row>
    <row r="451" spans="1:16" x14ac:dyDescent="0.35">
      <c r="A451" t="s">
        <v>8013</v>
      </c>
      <c r="B451" t="s">
        <v>2903</v>
      </c>
      <c r="C451" t="s">
        <v>16</v>
      </c>
      <c r="D451" s="6">
        <v>559379965.49443924</v>
      </c>
      <c r="E451" s="6">
        <v>536497965.49443924</v>
      </c>
      <c r="F451" s="6">
        <v>1.9099999666213989</v>
      </c>
      <c r="G451" s="6">
        <v>1.7000000476837158</v>
      </c>
      <c r="H451" s="6" t="e">
        <v>#N/A</v>
      </c>
      <c r="I451" s="6">
        <v>0.33460850117069807</v>
      </c>
      <c r="J451" s="6">
        <v>3963000</v>
      </c>
      <c r="K451" s="6">
        <v>-40.032871088937405</v>
      </c>
      <c r="L451" t="s">
        <v>17</v>
      </c>
      <c r="M451" t="s">
        <v>18</v>
      </c>
      <c r="N451" s="4" t="s">
        <v>2904</v>
      </c>
      <c r="O451" s="4" t="s">
        <v>2905</v>
      </c>
      <c r="P451" s="4" t="s">
        <v>233</v>
      </c>
    </row>
    <row r="452" spans="1:16" x14ac:dyDescent="0.35">
      <c r="A452" t="s">
        <v>8014</v>
      </c>
      <c r="B452" t="s">
        <v>8015</v>
      </c>
      <c r="C452" t="s">
        <v>16</v>
      </c>
      <c r="D452" s="6">
        <v>400896606.27075195</v>
      </c>
      <c r="E452" s="6" t="e">
        <v>#N/A</v>
      </c>
      <c r="F452" s="6">
        <v>49.639999389648438</v>
      </c>
      <c r="G452" s="6">
        <v>50.080001831054688</v>
      </c>
      <c r="H452" s="6">
        <v>10.916163770969126</v>
      </c>
      <c r="I452" s="6">
        <v>0.32497238355383962</v>
      </c>
      <c r="J452" s="6">
        <v>199392000</v>
      </c>
      <c r="K452" s="6">
        <v>-8.7907370517928172</v>
      </c>
      <c r="L452" t="s">
        <v>6529</v>
      </c>
      <c r="M452" t="s">
        <v>6530</v>
      </c>
      <c r="N452" s="4" t="s">
        <v>8016</v>
      </c>
      <c r="O452" s="4" t="s">
        <v>8017</v>
      </c>
      <c r="P452" s="4" t="s">
        <v>233</v>
      </c>
    </row>
    <row r="453" spans="1:16" x14ac:dyDescent="0.35">
      <c r="A453" t="s">
        <v>8018</v>
      </c>
      <c r="B453" t="s">
        <v>8019</v>
      </c>
      <c r="C453" t="s">
        <v>16</v>
      </c>
      <c r="D453" s="6">
        <v>4771688454.2262831</v>
      </c>
      <c r="E453" s="6">
        <v>7016606454.2262831</v>
      </c>
      <c r="F453" s="6">
        <v>27.239999771118164</v>
      </c>
      <c r="G453" s="6">
        <v>27.670000076293945</v>
      </c>
      <c r="H453" s="6">
        <v>27.007385162711728</v>
      </c>
      <c r="I453" s="6">
        <v>0.70033321020310235</v>
      </c>
      <c r="J453" s="6">
        <v>1090768000</v>
      </c>
      <c r="K453" s="6">
        <v>71.698113207547138</v>
      </c>
      <c r="L453" t="s">
        <v>6523</v>
      </c>
      <c r="M453" t="s">
        <v>6588</v>
      </c>
      <c r="N453" s="4" t="s">
        <v>8020</v>
      </c>
      <c r="O453" s="4" t="s">
        <v>8021</v>
      </c>
      <c r="P453" s="4" t="s">
        <v>233</v>
      </c>
    </row>
    <row r="454" spans="1:16" x14ac:dyDescent="0.35">
      <c r="A454" t="s">
        <v>8022</v>
      </c>
      <c r="B454" t="s">
        <v>8023</v>
      </c>
      <c r="C454" t="s">
        <v>16</v>
      </c>
      <c r="D454" s="6">
        <v>667451482.42388153</v>
      </c>
      <c r="E454" s="6">
        <v>643810482.42388153</v>
      </c>
      <c r="F454" s="6">
        <v>35.909999847412109</v>
      </c>
      <c r="G454" s="6">
        <v>36</v>
      </c>
      <c r="H454" s="6" t="e">
        <v>#N/A</v>
      </c>
      <c r="I454" s="6">
        <v>0.11007197365023957</v>
      </c>
      <c r="J454" s="6">
        <v>5902000</v>
      </c>
      <c r="K454" s="6" t="e">
        <v>#N/A</v>
      </c>
      <c r="L454" t="s">
        <v>6514</v>
      </c>
      <c r="M454" t="s">
        <v>6515</v>
      </c>
      <c r="N454" s="4" t="s">
        <v>8024</v>
      </c>
      <c r="O454" s="4" t="s">
        <v>8025</v>
      </c>
      <c r="P454" s="4" t="s">
        <v>233</v>
      </c>
    </row>
    <row r="455" spans="1:16" x14ac:dyDescent="0.35">
      <c r="A455" t="s">
        <v>8026</v>
      </c>
      <c r="B455" t="s">
        <v>8027</v>
      </c>
      <c r="C455" t="s">
        <v>16</v>
      </c>
      <c r="D455" s="6">
        <v>648782383.79660797</v>
      </c>
      <c r="E455" s="6" t="e">
        <v>#N/A</v>
      </c>
      <c r="F455" s="6">
        <v>37.009998321533203</v>
      </c>
      <c r="G455" s="6">
        <v>37.110000610351563</v>
      </c>
      <c r="H455" s="6">
        <v>11.463360552450748</v>
      </c>
      <c r="I455" s="6">
        <v>0.3719135338293158</v>
      </c>
      <c r="J455" s="6">
        <v>295065000</v>
      </c>
      <c r="K455" s="6">
        <v>14.087077464788745</v>
      </c>
      <c r="L455" t="s">
        <v>6529</v>
      </c>
      <c r="M455" t="s">
        <v>6530</v>
      </c>
      <c r="N455" s="4" t="s">
        <v>8028</v>
      </c>
      <c r="O455" s="4" t="s">
        <v>8029</v>
      </c>
      <c r="P455" s="4" t="s">
        <v>233</v>
      </c>
    </row>
    <row r="456" spans="1:16" x14ac:dyDescent="0.35">
      <c r="A456" t="s">
        <v>8030</v>
      </c>
      <c r="B456" t="s">
        <v>212</v>
      </c>
      <c r="C456" t="s">
        <v>16</v>
      </c>
      <c r="D456" s="6">
        <v>1252679962.4498751</v>
      </c>
      <c r="E456" s="6">
        <v>1443292962.4498751</v>
      </c>
      <c r="F456" s="6">
        <v>27.129999160766602</v>
      </c>
      <c r="G456" s="6">
        <v>27.239999771118164</v>
      </c>
      <c r="H456" s="6">
        <v>19.538169764423245</v>
      </c>
      <c r="I456" s="6">
        <v>-9.6019204651076273E-2</v>
      </c>
      <c r="J456" s="6">
        <v>694957000</v>
      </c>
      <c r="K456" s="6" t="e">
        <v>#N/A</v>
      </c>
      <c r="L456" t="s">
        <v>17</v>
      </c>
      <c r="M456" t="s">
        <v>87</v>
      </c>
      <c r="N456" s="4" t="s">
        <v>213</v>
      </c>
      <c r="O456" s="4" t="s">
        <v>214</v>
      </c>
      <c r="P456" s="4" t="s">
        <v>233</v>
      </c>
    </row>
    <row r="457" spans="1:16" x14ac:dyDescent="0.35">
      <c r="A457" t="s">
        <v>8031</v>
      </c>
      <c r="B457" t="s">
        <v>4336</v>
      </c>
      <c r="C457" t="s">
        <v>16</v>
      </c>
      <c r="D457" s="6">
        <v>4680402165.4068604</v>
      </c>
      <c r="E457" s="6">
        <v>4601588165.4068604</v>
      </c>
      <c r="F457" s="6">
        <v>79.919998168945313</v>
      </c>
      <c r="G457" s="6">
        <v>79.860000610351563</v>
      </c>
      <c r="H457" s="6" t="e">
        <v>#N/A</v>
      </c>
      <c r="I457" s="6">
        <v>0.37696134617803301</v>
      </c>
      <c r="J457" s="6">
        <v>574498000</v>
      </c>
      <c r="K457" s="6">
        <v>-2600</v>
      </c>
      <c r="L457" t="s">
        <v>17</v>
      </c>
      <c r="M457" t="s">
        <v>27</v>
      </c>
      <c r="N457" s="4" t="s">
        <v>4337</v>
      </c>
      <c r="O457" s="4" t="s">
        <v>4338</v>
      </c>
      <c r="P457" s="4" t="s">
        <v>233</v>
      </c>
    </row>
    <row r="458" spans="1:16" x14ac:dyDescent="0.35">
      <c r="A458" t="s">
        <v>8032</v>
      </c>
      <c r="B458" t="s">
        <v>8033</v>
      </c>
      <c r="C458" t="s">
        <v>16</v>
      </c>
      <c r="D458" s="6">
        <v>1223921549.8576014</v>
      </c>
      <c r="E458" s="6">
        <v>5563023549.8576021</v>
      </c>
      <c r="F458" s="6">
        <v>17.129999160766602</v>
      </c>
      <c r="G458" s="6">
        <v>17.049999237060547</v>
      </c>
      <c r="H458" s="6">
        <v>11.574323757274732</v>
      </c>
      <c r="I458" s="6">
        <v>-0.14864432674524775</v>
      </c>
      <c r="J458" s="6">
        <v>365685000</v>
      </c>
      <c r="K458" s="6" t="e">
        <v>#N/A</v>
      </c>
      <c r="L458" t="s">
        <v>6623</v>
      </c>
      <c r="M458" t="s">
        <v>7539</v>
      </c>
      <c r="N458" s="4" t="s">
        <v>8034</v>
      </c>
      <c r="O458" s="4" t="s">
        <v>8035</v>
      </c>
      <c r="P458" s="4" t="s">
        <v>233</v>
      </c>
    </row>
    <row r="459" spans="1:16" x14ac:dyDescent="0.35">
      <c r="A459" t="s">
        <v>8036</v>
      </c>
      <c r="B459" t="s">
        <v>3105</v>
      </c>
      <c r="C459" t="s">
        <v>16</v>
      </c>
      <c r="D459" s="6">
        <v>1285067500.0567245</v>
      </c>
      <c r="E459" s="6">
        <v>1074179500.0567245</v>
      </c>
      <c r="F459" s="6">
        <v>23.959999084472656</v>
      </c>
      <c r="G459" s="6">
        <v>22.280000686645508</v>
      </c>
      <c r="H459" s="6" t="e">
        <v>#N/A</v>
      </c>
      <c r="I459" s="6">
        <v>1.6346736853375656</v>
      </c>
      <c r="J459" s="6">
        <v>312775000</v>
      </c>
      <c r="K459" s="6">
        <v>-61.676646706586823</v>
      </c>
      <c r="L459" t="s">
        <v>17</v>
      </c>
      <c r="M459" t="s">
        <v>18</v>
      </c>
      <c r="N459" s="4" t="s">
        <v>3106</v>
      </c>
      <c r="O459" s="4" t="s">
        <v>3107</v>
      </c>
      <c r="P459" s="4" t="s">
        <v>233</v>
      </c>
    </row>
    <row r="460" spans="1:16" x14ac:dyDescent="0.35">
      <c r="A460" t="s">
        <v>8037</v>
      </c>
      <c r="B460" t="s">
        <v>8038</v>
      </c>
      <c r="C460" t="s">
        <v>16</v>
      </c>
      <c r="D460" s="6">
        <v>191645282.41119024</v>
      </c>
      <c r="E460" s="6">
        <v>-125364717.58880976</v>
      </c>
      <c r="F460" s="6">
        <v>0.5899999737739563</v>
      </c>
      <c r="G460" s="6">
        <v>0.58499997854232788</v>
      </c>
      <c r="H460" s="6">
        <v>4.4118414860724604</v>
      </c>
      <c r="I460" s="6">
        <v>-0.69119983540409147</v>
      </c>
      <c r="J460" s="6">
        <v>423378000</v>
      </c>
      <c r="K460" s="6">
        <v>-40.251619976290868</v>
      </c>
      <c r="L460" t="s">
        <v>6529</v>
      </c>
      <c r="M460" t="s">
        <v>6568</v>
      </c>
      <c r="N460" s="4" t="s">
        <v>8039</v>
      </c>
      <c r="O460" s="4" t="s">
        <v>8040</v>
      </c>
      <c r="P460" s="4" t="s">
        <v>233</v>
      </c>
    </row>
    <row r="461" spans="1:16" x14ac:dyDescent="0.35">
      <c r="A461" t="s">
        <v>8041</v>
      </c>
      <c r="B461" t="s">
        <v>643</v>
      </c>
      <c r="C461" t="s">
        <v>16</v>
      </c>
      <c r="D461" s="6">
        <v>2065187742.1166227</v>
      </c>
      <c r="E461" s="6" t="e">
        <v>#N/A</v>
      </c>
      <c r="F461" s="6">
        <v>42.360000610351563</v>
      </c>
      <c r="G461" s="6">
        <v>40.669998168945313</v>
      </c>
      <c r="H461" s="6" t="e">
        <v>#N/A</v>
      </c>
      <c r="I461" s="6">
        <v>0.26291525780300873</v>
      </c>
      <c r="J461" s="6">
        <v>465307000</v>
      </c>
      <c r="K461" s="6">
        <v>-43.939393939393923</v>
      </c>
      <c r="L461" t="s">
        <v>17</v>
      </c>
      <c r="M461" t="s">
        <v>27</v>
      </c>
      <c r="N461" s="4" t="s">
        <v>644</v>
      </c>
      <c r="O461" s="4" t="s">
        <v>645</v>
      </c>
      <c r="P461" s="4" t="s">
        <v>233</v>
      </c>
    </row>
    <row r="462" spans="1:16" x14ac:dyDescent="0.35">
      <c r="A462" t="s">
        <v>8042</v>
      </c>
      <c r="B462" t="s">
        <v>8043</v>
      </c>
      <c r="C462" t="s">
        <v>16</v>
      </c>
      <c r="D462" s="6">
        <v>5745659341.0588989</v>
      </c>
      <c r="E462" s="6">
        <v>5517110341.0588989</v>
      </c>
      <c r="F462" s="6">
        <v>152.94000244140625</v>
      </c>
      <c r="G462" s="6">
        <v>151.08000183105469</v>
      </c>
      <c r="H462" s="6">
        <v>74.970589432061885</v>
      </c>
      <c r="I462" s="6">
        <v>-0.23906471731314516</v>
      </c>
      <c r="J462" s="6">
        <v>637765000</v>
      </c>
      <c r="K462" s="6">
        <v>14.999999999999988</v>
      </c>
      <c r="L462" t="s">
        <v>6518</v>
      </c>
      <c r="M462" t="s">
        <v>6519</v>
      </c>
      <c r="N462" s="4" t="s">
        <v>8044</v>
      </c>
      <c r="O462" s="4" t="s">
        <v>8045</v>
      </c>
      <c r="P462" s="4" t="s">
        <v>233</v>
      </c>
    </row>
    <row r="463" spans="1:16" x14ac:dyDescent="0.35">
      <c r="A463" t="s">
        <v>8046</v>
      </c>
      <c r="B463" t="s">
        <v>8047</v>
      </c>
      <c r="C463" t="s">
        <v>16</v>
      </c>
      <c r="D463" s="6">
        <v>4604678762.6350403</v>
      </c>
      <c r="E463" s="6" t="e">
        <v>#N/A</v>
      </c>
      <c r="F463" s="6">
        <v>66.669998168945313</v>
      </c>
      <c r="G463" s="6">
        <v>67.05999755859375</v>
      </c>
      <c r="H463" s="6">
        <v>13.350131933217162</v>
      </c>
      <c r="I463" s="6">
        <v>0.37910005944539327</v>
      </c>
      <c r="J463" s="6">
        <v>1671541000</v>
      </c>
      <c r="K463" s="6">
        <v>33.589743589743591</v>
      </c>
      <c r="L463" t="s">
        <v>6529</v>
      </c>
      <c r="M463" t="s">
        <v>6530</v>
      </c>
      <c r="N463" s="4" t="s">
        <v>8048</v>
      </c>
      <c r="O463" s="4" t="s">
        <v>8049</v>
      </c>
      <c r="P463" s="4" t="s">
        <v>233</v>
      </c>
    </row>
    <row r="464" spans="1:16" x14ac:dyDescent="0.35">
      <c r="A464" t="s">
        <v>8050</v>
      </c>
      <c r="B464" t="s">
        <v>3209</v>
      </c>
      <c r="C464" t="s">
        <v>16</v>
      </c>
      <c r="D464" s="6">
        <v>216535963.13750792</v>
      </c>
      <c r="E464" s="6">
        <v>186431963.13750792</v>
      </c>
      <c r="F464" s="6">
        <v>5.7199997901916504</v>
      </c>
      <c r="G464" s="6">
        <v>5.7199997901916504</v>
      </c>
      <c r="H464" s="6" t="e">
        <v>#N/A</v>
      </c>
      <c r="I464" s="6">
        <v>-0.6700745334413738</v>
      </c>
      <c r="J464" s="6">
        <v>419146000</v>
      </c>
      <c r="K464" s="6">
        <v>33.91608391608392</v>
      </c>
      <c r="L464" t="s">
        <v>17</v>
      </c>
      <c r="M464" t="s">
        <v>27</v>
      </c>
      <c r="N464" s="4" t="s">
        <v>3210</v>
      </c>
      <c r="O464" s="4" t="s">
        <v>3211</v>
      </c>
      <c r="P464" s="4" t="s">
        <v>233</v>
      </c>
    </row>
    <row r="465" spans="1:16" x14ac:dyDescent="0.35">
      <c r="A465" t="s">
        <v>8051</v>
      </c>
      <c r="B465" t="s">
        <v>8052</v>
      </c>
      <c r="C465" t="s">
        <v>16</v>
      </c>
      <c r="D465" s="6">
        <v>410165175.48760575</v>
      </c>
      <c r="E465" s="6">
        <v>381303175.48760575</v>
      </c>
      <c r="F465" s="6">
        <v>2.7400000095367432</v>
      </c>
      <c r="G465" s="6">
        <v>2.690000057220459</v>
      </c>
      <c r="H465" s="6" t="e">
        <v>#N/A</v>
      </c>
      <c r="I465" s="6">
        <v>0.7315706522632206</v>
      </c>
      <c r="J465" s="6">
        <v>177584000</v>
      </c>
      <c r="K465" s="6">
        <v>27.777777777777775</v>
      </c>
      <c r="L465" t="s">
        <v>6518</v>
      </c>
      <c r="M465" t="s">
        <v>6519</v>
      </c>
      <c r="N465" s="4" t="s">
        <v>8053</v>
      </c>
      <c r="O465" s="4" t="s">
        <v>8054</v>
      </c>
      <c r="P465" s="4" t="s">
        <v>233</v>
      </c>
    </row>
    <row r="466" spans="1:16" x14ac:dyDescent="0.35">
      <c r="A466" t="s">
        <v>8055</v>
      </c>
      <c r="B466" t="s">
        <v>8056</v>
      </c>
      <c r="C466" t="s">
        <v>16</v>
      </c>
      <c r="D466" s="6">
        <v>317516471.22669029</v>
      </c>
      <c r="E466" s="6">
        <v>248776471.22669029</v>
      </c>
      <c r="F466" s="6">
        <v>5.3000001907348633</v>
      </c>
      <c r="G466" s="6">
        <v>5.190000057220459</v>
      </c>
      <c r="H466" s="6" t="e">
        <v>#N/A</v>
      </c>
      <c r="I466" s="6">
        <v>-0.36825319157655345</v>
      </c>
      <c r="J466" s="6">
        <v>143584000</v>
      </c>
      <c r="K466" s="6">
        <v>35.48387096774195</v>
      </c>
      <c r="L466" t="s">
        <v>6518</v>
      </c>
      <c r="M466" t="s">
        <v>6519</v>
      </c>
      <c r="N466" s="4" t="s">
        <v>8057</v>
      </c>
      <c r="O466" s="4" t="s">
        <v>8058</v>
      </c>
      <c r="P466" s="4" t="s">
        <v>233</v>
      </c>
    </row>
    <row r="467" spans="1:16" x14ac:dyDescent="0.35">
      <c r="A467" t="s">
        <v>8059</v>
      </c>
      <c r="B467" t="s">
        <v>8060</v>
      </c>
      <c r="C467" t="s">
        <v>16</v>
      </c>
      <c r="D467" s="6">
        <v>191781437.488718</v>
      </c>
      <c r="E467" s="6" t="e">
        <v>#N/A</v>
      </c>
      <c r="F467" s="6">
        <v>10.170000076293945</v>
      </c>
      <c r="G467" s="6">
        <v>10.210000038146973</v>
      </c>
      <c r="H467" s="6" t="e">
        <v>#N/A</v>
      </c>
      <c r="I467" s="6">
        <v>-0.22253505867564638</v>
      </c>
      <c r="J467" s="6">
        <v>358188000</v>
      </c>
      <c r="K467" s="6">
        <v>-423.97260273972603</v>
      </c>
      <c r="L467" t="s">
        <v>6529</v>
      </c>
      <c r="M467" t="s">
        <v>6530</v>
      </c>
      <c r="N467" s="4" t="s">
        <v>8061</v>
      </c>
      <c r="O467" s="4" t="s">
        <v>8062</v>
      </c>
      <c r="P467" s="4" t="s">
        <v>233</v>
      </c>
    </row>
    <row r="468" spans="1:16" x14ac:dyDescent="0.35">
      <c r="A468" t="s">
        <v>8063</v>
      </c>
      <c r="B468" t="s">
        <v>4650</v>
      </c>
      <c r="C468" t="s">
        <v>16</v>
      </c>
      <c r="D468" s="6">
        <v>1591666184.2389908</v>
      </c>
      <c r="E468" s="6">
        <v>1182153184.2389908</v>
      </c>
      <c r="F468" s="6">
        <v>85.400001525878906</v>
      </c>
      <c r="G468" s="6">
        <v>81.269996643066406</v>
      </c>
      <c r="H468" s="6" t="e">
        <v>#N/A</v>
      </c>
      <c r="I468" s="6">
        <v>0.90926810169076444</v>
      </c>
      <c r="J468" s="6">
        <v>1605000</v>
      </c>
      <c r="K468" s="6">
        <v>69.481481481481509</v>
      </c>
      <c r="L468" t="s">
        <v>17</v>
      </c>
      <c r="M468" t="s">
        <v>18</v>
      </c>
      <c r="N468" s="4" t="s">
        <v>4651</v>
      </c>
      <c r="O468" s="4" t="s">
        <v>4652</v>
      </c>
      <c r="P468" s="4" t="s">
        <v>233</v>
      </c>
    </row>
    <row r="469" spans="1:16" x14ac:dyDescent="0.35">
      <c r="A469" t="s">
        <v>8064</v>
      </c>
      <c r="B469" t="s">
        <v>8065</v>
      </c>
      <c r="C469" t="s">
        <v>16</v>
      </c>
      <c r="D469" s="6">
        <v>333252158.72424603</v>
      </c>
      <c r="E469" s="6">
        <v>575214262.72424603</v>
      </c>
      <c r="F469" s="6">
        <v>5.130000114440918</v>
      </c>
      <c r="G469" s="6">
        <v>5.2100000381469727</v>
      </c>
      <c r="H469" s="6">
        <v>13.840924116233861</v>
      </c>
      <c r="I469" s="6">
        <v>-0.36715578703776519</v>
      </c>
      <c r="J469" s="6">
        <v>521238386</v>
      </c>
      <c r="K469" s="6">
        <v>-47.764505494505492</v>
      </c>
      <c r="L469" t="s">
        <v>6547</v>
      </c>
      <c r="M469" t="s">
        <v>7658</v>
      </c>
      <c r="N469" s="4" t="s">
        <v>233</v>
      </c>
      <c r="O469" s="4" t="s">
        <v>8066</v>
      </c>
      <c r="P469" s="4" t="s">
        <v>13213</v>
      </c>
    </row>
    <row r="470" spans="1:16" x14ac:dyDescent="0.35">
      <c r="A470" t="s">
        <v>8067</v>
      </c>
      <c r="B470" t="s">
        <v>4344</v>
      </c>
      <c r="C470" t="s">
        <v>16</v>
      </c>
      <c r="D470" s="6">
        <v>565001174.10908842</v>
      </c>
      <c r="E470" s="6">
        <v>577414174.10908842</v>
      </c>
      <c r="F470" s="6">
        <v>6.9000000953674316</v>
      </c>
      <c r="G470" s="6">
        <v>6.8899998664855957</v>
      </c>
      <c r="H470" s="6" t="e">
        <v>#N/A</v>
      </c>
      <c r="I470" s="6">
        <v>-0.50335894087799327</v>
      </c>
      <c r="J470" s="6">
        <v>446718000</v>
      </c>
      <c r="K470" s="6">
        <v>-36.363636363636367</v>
      </c>
      <c r="L470" t="s">
        <v>17</v>
      </c>
      <c r="M470" t="s">
        <v>40</v>
      </c>
      <c r="N470" s="4" t="s">
        <v>4345</v>
      </c>
      <c r="O470" s="4" t="s">
        <v>4346</v>
      </c>
      <c r="P470" s="4" t="s">
        <v>233</v>
      </c>
    </row>
    <row r="471" spans="1:16" x14ac:dyDescent="0.35">
      <c r="A471" t="s">
        <v>8068</v>
      </c>
      <c r="B471" t="s">
        <v>8069</v>
      </c>
      <c r="C471" t="s">
        <v>16</v>
      </c>
      <c r="D471" s="6">
        <v>1852544138.926321</v>
      </c>
      <c r="E471" s="6">
        <v>1153009138.926321</v>
      </c>
      <c r="F471" s="6">
        <v>28.190000534057617</v>
      </c>
      <c r="G471" s="6">
        <v>28.030000686645508</v>
      </c>
      <c r="H471" s="6">
        <v>12.778652141912218</v>
      </c>
      <c r="I471" s="6">
        <v>0.57967362721117044</v>
      </c>
      <c r="J471" s="6">
        <v>652751000</v>
      </c>
      <c r="K471" s="6">
        <v>-7.305936073059347</v>
      </c>
      <c r="L471" t="s">
        <v>6540</v>
      </c>
      <c r="M471" t="s">
        <v>6838</v>
      </c>
      <c r="N471" s="4" t="s">
        <v>8070</v>
      </c>
      <c r="O471" s="4" t="s">
        <v>8071</v>
      </c>
      <c r="P471" s="4" t="s">
        <v>233</v>
      </c>
    </row>
    <row r="472" spans="1:16" x14ac:dyDescent="0.35">
      <c r="A472" t="s">
        <v>8072</v>
      </c>
      <c r="B472" t="s">
        <v>3044</v>
      </c>
      <c r="C472" t="s">
        <v>16</v>
      </c>
      <c r="D472" s="6">
        <v>460362313.33188099</v>
      </c>
      <c r="E472" s="6">
        <v>474924313.33188099</v>
      </c>
      <c r="F472" s="6">
        <v>2.1099998950958252</v>
      </c>
      <c r="G472" s="6">
        <v>2.0799999237060547</v>
      </c>
      <c r="H472" s="6" t="e">
        <v>#N/A</v>
      </c>
      <c r="I472" s="6">
        <v>0.30152899310732884</v>
      </c>
      <c r="J472" s="6">
        <v>169879000</v>
      </c>
      <c r="K472" s="6">
        <v>28.125</v>
      </c>
      <c r="L472" t="s">
        <v>17</v>
      </c>
      <c r="M472" t="s">
        <v>18</v>
      </c>
      <c r="N472" s="4" t="s">
        <v>3045</v>
      </c>
      <c r="O472" s="4" t="s">
        <v>3046</v>
      </c>
      <c r="P472" s="4" t="s">
        <v>233</v>
      </c>
    </row>
    <row r="473" spans="1:16" x14ac:dyDescent="0.35">
      <c r="A473" t="s">
        <v>8073</v>
      </c>
      <c r="B473" t="s">
        <v>8074</v>
      </c>
      <c r="C473" t="s">
        <v>16</v>
      </c>
      <c r="D473" s="6">
        <v>11763473584.202965</v>
      </c>
      <c r="E473" s="6">
        <v>14870087584.202965</v>
      </c>
      <c r="F473" s="6">
        <v>114.70999908447266</v>
      </c>
      <c r="G473" s="6">
        <v>115.73999786376953</v>
      </c>
      <c r="H473" s="6">
        <v>53.67313015955142</v>
      </c>
      <c r="I473" s="6">
        <v>1.1434914715642117</v>
      </c>
      <c r="J473" s="6">
        <v>1548819000</v>
      </c>
      <c r="K473" s="6" t="e">
        <v>#N/A</v>
      </c>
      <c r="L473" t="s">
        <v>6547</v>
      </c>
      <c r="M473" t="s">
        <v>6875</v>
      </c>
      <c r="N473" s="4" t="s">
        <v>233</v>
      </c>
      <c r="O473" s="4" t="s">
        <v>8075</v>
      </c>
      <c r="P473" s="4" t="s">
        <v>13214</v>
      </c>
    </row>
    <row r="474" spans="1:16" x14ac:dyDescent="0.35">
      <c r="A474" t="s">
        <v>8076</v>
      </c>
      <c r="B474" t="s">
        <v>8077</v>
      </c>
      <c r="C474" t="s">
        <v>16</v>
      </c>
      <c r="D474" s="6">
        <v>269123203.46832275</v>
      </c>
      <c r="E474" s="6">
        <v>232253203.46832275</v>
      </c>
      <c r="F474" s="6">
        <v>2.9600000381469727</v>
      </c>
      <c r="G474" s="6">
        <v>2.7999999523162842</v>
      </c>
      <c r="H474" s="6">
        <v>7.117335130653526</v>
      </c>
      <c r="I474" s="6">
        <v>-0.10815408953326699</v>
      </c>
      <c r="J474" s="6">
        <v>426651000</v>
      </c>
      <c r="K474" s="6" t="e">
        <v>#N/A</v>
      </c>
      <c r="L474" t="s">
        <v>6518</v>
      </c>
      <c r="M474" t="s">
        <v>6519</v>
      </c>
      <c r="N474" s="4" t="s">
        <v>8078</v>
      </c>
      <c r="O474" s="4" t="s">
        <v>8079</v>
      </c>
      <c r="P474" s="4" t="s">
        <v>233</v>
      </c>
    </row>
    <row r="475" spans="1:16" x14ac:dyDescent="0.35">
      <c r="A475" t="s">
        <v>8080</v>
      </c>
      <c r="B475" t="s">
        <v>8081</v>
      </c>
      <c r="C475" t="s">
        <v>16</v>
      </c>
      <c r="D475" s="6">
        <v>2703644185.8233089</v>
      </c>
      <c r="E475" s="6">
        <v>5959457185.8233089</v>
      </c>
      <c r="F475" s="6">
        <v>7.6700000762939453</v>
      </c>
      <c r="G475" s="6">
        <v>7.3499999046325684</v>
      </c>
      <c r="H475" s="6">
        <v>21.647648750092284</v>
      </c>
      <c r="I475" s="6">
        <v>0.5762230737858085</v>
      </c>
      <c r="J475" s="6">
        <v>3589735000</v>
      </c>
      <c r="K475" s="6">
        <v>93.536063915400007</v>
      </c>
      <c r="L475" t="s">
        <v>6540</v>
      </c>
      <c r="M475" t="s">
        <v>7034</v>
      </c>
      <c r="N475" s="4" t="s">
        <v>8082</v>
      </c>
      <c r="O475" s="4" t="s">
        <v>8083</v>
      </c>
      <c r="P475" s="4" t="s">
        <v>233</v>
      </c>
    </row>
    <row r="476" spans="1:16" x14ac:dyDescent="0.35">
      <c r="A476" t="s">
        <v>13455</v>
      </c>
      <c r="B476" t="s">
        <v>7120</v>
      </c>
      <c r="C476" t="s">
        <v>16</v>
      </c>
      <c r="D476" s="6">
        <v>218764168.9768014</v>
      </c>
      <c r="E476" s="6">
        <v>88638168.976801395</v>
      </c>
      <c r="F476" s="6">
        <v>4.059999942779541</v>
      </c>
      <c r="G476" s="6">
        <v>4.0999999046325684</v>
      </c>
      <c r="H476" s="6" t="e">
        <v>#N/A</v>
      </c>
      <c r="I476" s="6">
        <v>0.7254312926786568</v>
      </c>
      <c r="J476" s="6">
        <v>7980000</v>
      </c>
      <c r="K476" s="6">
        <v>23.761194029850742</v>
      </c>
      <c r="L476" t="s">
        <v>6518</v>
      </c>
      <c r="M476" t="s">
        <v>6714</v>
      </c>
      <c r="N476" s="4" t="s">
        <v>7121</v>
      </c>
      <c r="O476" s="4" t="s">
        <v>7122</v>
      </c>
      <c r="P476" s="4" t="s">
        <v>233</v>
      </c>
    </row>
    <row r="477" spans="1:16" x14ac:dyDescent="0.35">
      <c r="A477" t="s">
        <v>8084</v>
      </c>
      <c r="B477" t="s">
        <v>8085</v>
      </c>
      <c r="C477" t="s">
        <v>16</v>
      </c>
      <c r="D477" s="6">
        <v>819938028.82218921</v>
      </c>
      <c r="E477" s="6">
        <v>714915028.82218921</v>
      </c>
      <c r="F477" s="6">
        <v>17.139999389648438</v>
      </c>
      <c r="G477" s="6">
        <v>16.399999618530273</v>
      </c>
      <c r="H477" s="6">
        <v>55.290320611769154</v>
      </c>
      <c r="I477" s="6">
        <v>8.3201441228322404E-2</v>
      </c>
      <c r="J477" s="6">
        <v>290354000</v>
      </c>
      <c r="K477" s="6">
        <v>580.00000000000011</v>
      </c>
      <c r="L477" t="s">
        <v>6514</v>
      </c>
      <c r="M477" t="s">
        <v>6534</v>
      </c>
      <c r="N477" s="4" t="s">
        <v>8086</v>
      </c>
      <c r="O477" s="4" t="s">
        <v>8087</v>
      </c>
      <c r="P477" s="4" t="s">
        <v>233</v>
      </c>
    </row>
    <row r="478" spans="1:16" x14ac:dyDescent="0.35">
      <c r="A478" t="s">
        <v>8088</v>
      </c>
      <c r="B478" t="s">
        <v>8089</v>
      </c>
      <c r="C478" t="s">
        <v>16</v>
      </c>
      <c r="D478" s="6">
        <v>6669149952.5105286</v>
      </c>
      <c r="E478" s="6">
        <v>8225478952.5105286</v>
      </c>
      <c r="F478" s="6">
        <v>64.449996948242188</v>
      </c>
      <c r="G478" s="6">
        <v>62.25</v>
      </c>
      <c r="H478" s="6">
        <v>7.3906317686914687</v>
      </c>
      <c r="I478" s="6">
        <v>0.15188689056669569</v>
      </c>
      <c r="J478" s="6">
        <v>8168136000</v>
      </c>
      <c r="K478" s="6">
        <v>18.899858956276447</v>
      </c>
      <c r="L478" t="s">
        <v>6540</v>
      </c>
      <c r="M478" t="s">
        <v>6797</v>
      </c>
      <c r="N478" s="4" t="s">
        <v>8090</v>
      </c>
      <c r="O478" s="4" t="s">
        <v>8091</v>
      </c>
      <c r="P478" s="4" t="s">
        <v>233</v>
      </c>
    </row>
    <row r="479" spans="1:16" x14ac:dyDescent="0.35">
      <c r="A479" t="s">
        <v>8092</v>
      </c>
      <c r="B479" t="s">
        <v>5452</v>
      </c>
      <c r="C479" t="s">
        <v>16</v>
      </c>
      <c r="D479" s="6">
        <v>413838284.58175665</v>
      </c>
      <c r="E479" s="6">
        <v>980938284.58175659</v>
      </c>
      <c r="F479" s="6">
        <v>8.2299995422363281</v>
      </c>
      <c r="G479" s="6">
        <v>8.1999998092651367</v>
      </c>
      <c r="H479" s="6" t="e">
        <v>#N/A</v>
      </c>
      <c r="I479" s="6">
        <v>-0.1012655800649418</v>
      </c>
      <c r="J479" s="6">
        <v>1037200000</v>
      </c>
      <c r="K479" s="6">
        <v>-73.134328358208961</v>
      </c>
      <c r="L479" t="s">
        <v>17</v>
      </c>
      <c r="M479" t="s">
        <v>40</v>
      </c>
      <c r="N479" s="4" t="s">
        <v>5453</v>
      </c>
      <c r="O479" s="4" t="s">
        <v>5454</v>
      </c>
      <c r="P479" s="4" t="s">
        <v>233</v>
      </c>
    </row>
    <row r="480" spans="1:16" x14ac:dyDescent="0.35">
      <c r="A480" t="s">
        <v>8093</v>
      </c>
      <c r="B480" t="s">
        <v>8094</v>
      </c>
      <c r="C480" t="s">
        <v>16</v>
      </c>
      <c r="D480" s="6">
        <v>4759884673.0081635</v>
      </c>
      <c r="E480" s="6">
        <v>5786398673.0081635</v>
      </c>
      <c r="F480" s="6">
        <v>31.959999084472656</v>
      </c>
      <c r="G480" s="6">
        <v>32.090000152587891</v>
      </c>
      <c r="H480" s="6">
        <v>8.5235278670758081</v>
      </c>
      <c r="I480" s="6">
        <v>0.17690543351725263</v>
      </c>
      <c r="J480" s="6">
        <v>1290283000</v>
      </c>
      <c r="K480" s="6">
        <v>3.9370078740157455</v>
      </c>
      <c r="L480" t="s">
        <v>6529</v>
      </c>
      <c r="M480" t="s">
        <v>6639</v>
      </c>
      <c r="N480" s="4" t="s">
        <v>8095</v>
      </c>
      <c r="O480" s="4" t="s">
        <v>8096</v>
      </c>
      <c r="P480" s="4" t="s">
        <v>233</v>
      </c>
    </row>
    <row r="481" spans="1:16" x14ac:dyDescent="0.35">
      <c r="A481" t="s">
        <v>8097</v>
      </c>
      <c r="B481" t="s">
        <v>8098</v>
      </c>
      <c r="C481" t="s">
        <v>16</v>
      </c>
      <c r="D481" s="6">
        <v>373016142.54200941</v>
      </c>
      <c r="E481" s="6">
        <v>518405142.54200941</v>
      </c>
      <c r="F481" s="6">
        <v>12.460000038146973</v>
      </c>
      <c r="G481" s="6">
        <v>12.380000114440918</v>
      </c>
      <c r="H481" s="6">
        <v>56.608059779869031</v>
      </c>
      <c r="I481" s="6">
        <v>-1.6529673241256204E-2</v>
      </c>
      <c r="J481" s="6">
        <v>471719000</v>
      </c>
      <c r="K481" s="6">
        <v>652.94117647058818</v>
      </c>
      <c r="L481" t="s">
        <v>6540</v>
      </c>
      <c r="M481" t="s">
        <v>6825</v>
      </c>
      <c r="N481" s="4" t="s">
        <v>8099</v>
      </c>
      <c r="O481" s="4" t="s">
        <v>8100</v>
      </c>
      <c r="P481" s="4" t="s">
        <v>233</v>
      </c>
    </row>
    <row r="482" spans="1:16" x14ac:dyDescent="0.35">
      <c r="A482" t="s">
        <v>8101</v>
      </c>
      <c r="B482" t="s">
        <v>1792</v>
      </c>
      <c r="C482" t="s">
        <v>16</v>
      </c>
      <c r="D482" s="6">
        <v>1119272157.7970018</v>
      </c>
      <c r="E482" s="6">
        <v>1220499157.7970018</v>
      </c>
      <c r="F482" s="6">
        <v>1.6399999856948853</v>
      </c>
      <c r="G482" s="6">
        <v>1.6100000143051147</v>
      </c>
      <c r="H482" s="6" t="e">
        <v>#N/A</v>
      </c>
      <c r="I482" s="6">
        <v>0.57496185246388865</v>
      </c>
      <c r="J482" s="6">
        <v>711404000</v>
      </c>
      <c r="K482" s="6">
        <v>33.333333333333336</v>
      </c>
      <c r="L482" t="s">
        <v>17</v>
      </c>
      <c r="M482" t="s">
        <v>40</v>
      </c>
      <c r="N482" s="4" t="s">
        <v>1793</v>
      </c>
      <c r="O482" s="4" t="s">
        <v>1794</v>
      </c>
      <c r="P482" s="4" t="s">
        <v>233</v>
      </c>
    </row>
    <row r="483" spans="1:16" x14ac:dyDescent="0.35">
      <c r="A483" t="s">
        <v>8102</v>
      </c>
      <c r="B483" t="s">
        <v>1047</v>
      </c>
      <c r="C483" t="s">
        <v>16</v>
      </c>
      <c r="D483" s="6">
        <v>452970667.75488806</v>
      </c>
      <c r="E483" s="6">
        <v>13101970667.754889</v>
      </c>
      <c r="F483" s="6">
        <v>3.2599999904632568</v>
      </c>
      <c r="G483" s="6">
        <v>3.4000000953674316</v>
      </c>
      <c r="H483" s="6" t="e">
        <v>#N/A</v>
      </c>
      <c r="I483" s="6">
        <v>-0.2101434264390275</v>
      </c>
      <c r="J483" s="6">
        <v>12551000000</v>
      </c>
      <c r="K483" s="6" t="e">
        <v>#N/A</v>
      </c>
      <c r="L483" t="s">
        <v>17</v>
      </c>
      <c r="M483" t="s">
        <v>40</v>
      </c>
      <c r="N483" s="4" t="s">
        <v>1048</v>
      </c>
      <c r="O483" s="4" t="s">
        <v>1049</v>
      </c>
      <c r="P483" s="4" t="s">
        <v>233</v>
      </c>
    </row>
    <row r="484" spans="1:16" x14ac:dyDescent="0.35">
      <c r="A484" t="s">
        <v>8103</v>
      </c>
      <c r="B484" t="s">
        <v>8104</v>
      </c>
      <c r="C484" t="s">
        <v>16</v>
      </c>
      <c r="D484" s="6">
        <v>4754613007.9565048</v>
      </c>
      <c r="E484" s="6">
        <v>4727589007.9565048</v>
      </c>
      <c r="F484" s="6">
        <v>59.060001373291016</v>
      </c>
      <c r="G484" s="6">
        <v>59.220001220703125</v>
      </c>
      <c r="H484" s="6">
        <v>21.141982539891266</v>
      </c>
      <c r="I484" s="6">
        <v>0.36760266859724866</v>
      </c>
      <c r="J484" s="6">
        <v>1132559000</v>
      </c>
      <c r="K484" s="6">
        <v>20.253164556962023</v>
      </c>
      <c r="L484" t="s">
        <v>6523</v>
      </c>
      <c r="M484" t="s">
        <v>6588</v>
      </c>
      <c r="N484" s="4" t="s">
        <v>8105</v>
      </c>
      <c r="O484" s="4" t="s">
        <v>8106</v>
      </c>
      <c r="P484" s="4" t="s">
        <v>233</v>
      </c>
    </row>
    <row r="485" spans="1:16" x14ac:dyDescent="0.35">
      <c r="A485" t="s">
        <v>8107</v>
      </c>
      <c r="B485" t="s">
        <v>5138</v>
      </c>
      <c r="C485" t="s">
        <v>16</v>
      </c>
      <c r="D485" s="6">
        <v>387665825.8845616</v>
      </c>
      <c r="E485" s="6">
        <v>201291825.88456157</v>
      </c>
      <c r="F485" s="6">
        <v>6.309999942779541</v>
      </c>
      <c r="G485" s="6">
        <v>6.070000171661377</v>
      </c>
      <c r="H485" s="6" t="e">
        <v>#N/A</v>
      </c>
      <c r="I485" s="6">
        <v>0.35295626205688313</v>
      </c>
      <c r="J485" s="6">
        <v>0</v>
      </c>
      <c r="K485" s="6">
        <v>-14.347826086956525</v>
      </c>
      <c r="L485" t="s">
        <v>17</v>
      </c>
      <c r="M485" t="s">
        <v>18</v>
      </c>
      <c r="N485" s="4" t="s">
        <v>5139</v>
      </c>
      <c r="O485" s="4" t="s">
        <v>5140</v>
      </c>
      <c r="P485" s="4" t="s">
        <v>233</v>
      </c>
    </row>
    <row r="486" spans="1:16" x14ac:dyDescent="0.35">
      <c r="A486" t="s">
        <v>8108</v>
      </c>
      <c r="B486" t="s">
        <v>3431</v>
      </c>
      <c r="C486" t="s">
        <v>16</v>
      </c>
      <c r="D486" s="6">
        <v>491423202.692379</v>
      </c>
      <c r="E486" s="6">
        <v>77800202.692379057</v>
      </c>
      <c r="F486" s="6">
        <v>16.149999618530273</v>
      </c>
      <c r="G486" s="6">
        <v>12.550000190734863</v>
      </c>
      <c r="H486" s="6" t="e">
        <v>#N/A</v>
      </c>
      <c r="I486" s="6">
        <v>-0.2992742487644684</v>
      </c>
      <c r="J486" s="6">
        <v>57172000</v>
      </c>
      <c r="K486" s="6">
        <v>-12.177121771217699</v>
      </c>
      <c r="L486" t="s">
        <v>17</v>
      </c>
      <c r="M486" t="s">
        <v>18</v>
      </c>
      <c r="N486" s="4" t="s">
        <v>3432</v>
      </c>
      <c r="O486" s="4" t="s">
        <v>3433</v>
      </c>
      <c r="P486" s="4" t="s">
        <v>233</v>
      </c>
    </row>
    <row r="487" spans="1:16" x14ac:dyDescent="0.35">
      <c r="A487" t="s">
        <v>8109</v>
      </c>
      <c r="B487" t="s">
        <v>789</v>
      </c>
      <c r="C487" t="s">
        <v>16</v>
      </c>
      <c r="D487" s="6">
        <v>1118230082.6972167</v>
      </c>
      <c r="E487" s="6">
        <v>857334082.69721675</v>
      </c>
      <c r="F487" s="6">
        <v>7.809999942779541</v>
      </c>
      <c r="G487" s="6">
        <v>7.5500001907348633</v>
      </c>
      <c r="H487" s="6" t="e">
        <v>#N/A</v>
      </c>
      <c r="I487" s="6">
        <v>-6.1135830033174021E-2</v>
      </c>
      <c r="J487" s="6">
        <v>220361000</v>
      </c>
      <c r="K487" s="6">
        <v>71.698113207547166</v>
      </c>
      <c r="L487" t="s">
        <v>17</v>
      </c>
      <c r="M487" t="s">
        <v>18</v>
      </c>
      <c r="N487" s="4" t="s">
        <v>790</v>
      </c>
      <c r="O487" s="4" t="s">
        <v>791</v>
      </c>
      <c r="P487" s="4" t="s">
        <v>233</v>
      </c>
    </row>
    <row r="488" spans="1:16" x14ac:dyDescent="0.35">
      <c r="A488" t="s">
        <v>8110</v>
      </c>
      <c r="B488" t="s">
        <v>4714</v>
      </c>
      <c r="C488" t="s">
        <v>16</v>
      </c>
      <c r="D488" s="6">
        <v>337565345.01004928</v>
      </c>
      <c r="E488" s="6">
        <v>124501345.01004928</v>
      </c>
      <c r="F488" s="6">
        <v>4.940000057220459</v>
      </c>
      <c r="G488" s="6">
        <v>5.1100001335144043</v>
      </c>
      <c r="H488" s="6" t="e">
        <v>#N/A</v>
      </c>
      <c r="I488" s="6">
        <v>-0.70178082591450819</v>
      </c>
      <c r="J488" s="6">
        <v>0</v>
      </c>
      <c r="K488" s="6">
        <v>5.6034482758620454</v>
      </c>
      <c r="L488" t="s">
        <v>17</v>
      </c>
      <c r="M488" t="s">
        <v>18</v>
      </c>
      <c r="N488" s="4" t="s">
        <v>4715</v>
      </c>
      <c r="O488" s="4" t="s">
        <v>4716</v>
      </c>
      <c r="P488" s="4" t="s">
        <v>233</v>
      </c>
    </row>
    <row r="489" spans="1:16" x14ac:dyDescent="0.35">
      <c r="A489" t="s">
        <v>8111</v>
      </c>
      <c r="B489" t="s">
        <v>8112</v>
      </c>
      <c r="C489" t="s">
        <v>16</v>
      </c>
      <c r="D489" s="6">
        <v>403264449.81461614</v>
      </c>
      <c r="E489" s="6">
        <v>888853449.8146162</v>
      </c>
      <c r="F489" s="6">
        <v>6.2300000190734863</v>
      </c>
      <c r="G489" s="6">
        <v>6.130000114440918</v>
      </c>
      <c r="H489" s="6" t="e">
        <v>#N/A</v>
      </c>
      <c r="I489" s="6">
        <v>-0.74589889519700314</v>
      </c>
      <c r="J489" s="6">
        <v>2458796000</v>
      </c>
      <c r="K489" s="6">
        <v>18.867924528301888</v>
      </c>
      <c r="L489" t="s">
        <v>6523</v>
      </c>
      <c r="M489" t="s">
        <v>6524</v>
      </c>
      <c r="N489" s="4" t="s">
        <v>8113</v>
      </c>
      <c r="O489" s="4" t="s">
        <v>8114</v>
      </c>
      <c r="P489" s="4" t="s">
        <v>233</v>
      </c>
    </row>
    <row r="490" spans="1:16" x14ac:dyDescent="0.35">
      <c r="A490" t="s">
        <v>8115</v>
      </c>
      <c r="B490" t="s">
        <v>8116</v>
      </c>
      <c r="C490" t="s">
        <v>16</v>
      </c>
      <c r="D490" s="6">
        <v>466024985.97520351</v>
      </c>
      <c r="E490" s="6">
        <v>1137204985.9752035</v>
      </c>
      <c r="F490" s="6">
        <v>7.070000171661377</v>
      </c>
      <c r="G490" s="6">
        <v>7.0100002288818359</v>
      </c>
      <c r="H490" s="6" t="e">
        <v>#N/A</v>
      </c>
      <c r="I490" s="6">
        <v>0.53183176599502091</v>
      </c>
      <c r="J490" s="6">
        <v>1629804000</v>
      </c>
      <c r="K490" s="6">
        <v>-133.33333333333343</v>
      </c>
      <c r="L490" t="s">
        <v>6563</v>
      </c>
      <c r="M490" t="s">
        <v>6764</v>
      </c>
      <c r="N490" s="4" t="s">
        <v>8117</v>
      </c>
      <c r="O490" s="4" t="s">
        <v>8118</v>
      </c>
      <c r="P490" s="4" t="s">
        <v>233</v>
      </c>
    </row>
    <row r="491" spans="1:16" x14ac:dyDescent="0.35">
      <c r="A491" t="s">
        <v>8119</v>
      </c>
      <c r="B491" t="s">
        <v>8120</v>
      </c>
      <c r="C491" t="s">
        <v>16</v>
      </c>
      <c r="D491" s="6">
        <v>3101791149.6021647</v>
      </c>
      <c r="E491" s="6">
        <v>2881234149.6021647</v>
      </c>
      <c r="F491" s="6">
        <v>74.379997253417969</v>
      </c>
      <c r="G491" s="6">
        <v>70.980003356933594</v>
      </c>
      <c r="H491" s="6" t="e">
        <v>#N/A</v>
      </c>
      <c r="I491" s="6">
        <v>0.34103614796992132</v>
      </c>
      <c r="J491" s="6">
        <v>252466000</v>
      </c>
      <c r="K491" s="6">
        <v>-27.392739273927376</v>
      </c>
      <c r="L491" t="s">
        <v>6518</v>
      </c>
      <c r="M491" t="s">
        <v>6807</v>
      </c>
      <c r="N491" s="4" t="s">
        <v>233</v>
      </c>
      <c r="O491" s="4" t="s">
        <v>8121</v>
      </c>
      <c r="P491" s="4" t="s">
        <v>13215</v>
      </c>
    </row>
    <row r="492" spans="1:16" x14ac:dyDescent="0.35">
      <c r="A492" t="s">
        <v>8122</v>
      </c>
      <c r="B492" t="s">
        <v>8123</v>
      </c>
      <c r="C492" t="s">
        <v>16</v>
      </c>
      <c r="D492" s="6">
        <v>3628343745.8798847</v>
      </c>
      <c r="E492" s="6">
        <v>3395156745.8798847</v>
      </c>
      <c r="F492" s="6">
        <v>19.350000381469727</v>
      </c>
      <c r="G492" s="6">
        <v>19.25</v>
      </c>
      <c r="H492" s="6" t="e">
        <v>#N/A</v>
      </c>
      <c r="I492" s="6">
        <v>1.4129200273843199</v>
      </c>
      <c r="J492" s="6">
        <v>315923000</v>
      </c>
      <c r="K492" s="6">
        <v>76.190476190476204</v>
      </c>
      <c r="L492" t="s">
        <v>6518</v>
      </c>
      <c r="M492" t="s">
        <v>6519</v>
      </c>
      <c r="N492" s="4" t="s">
        <v>8124</v>
      </c>
      <c r="O492" s="4" t="s">
        <v>8125</v>
      </c>
      <c r="P492" s="4" t="s">
        <v>233</v>
      </c>
    </row>
    <row r="493" spans="1:16" x14ac:dyDescent="0.35">
      <c r="A493" t="s">
        <v>8126</v>
      </c>
      <c r="B493" t="s">
        <v>8127</v>
      </c>
      <c r="C493" t="s">
        <v>16</v>
      </c>
      <c r="D493" s="6">
        <v>254779742.29944947</v>
      </c>
      <c r="E493" s="6">
        <v>195659742.29944947</v>
      </c>
      <c r="F493" s="6">
        <v>3.5199999809265137</v>
      </c>
      <c r="G493" s="6">
        <v>3.6600000858306885</v>
      </c>
      <c r="H493" s="6" t="e">
        <v>#N/A</v>
      </c>
      <c r="I493" s="6">
        <v>-0.19033638282130227</v>
      </c>
      <c r="J493" s="6">
        <v>122959000</v>
      </c>
      <c r="K493" s="6">
        <v>-14.754098360655732</v>
      </c>
      <c r="L493" t="s">
        <v>6518</v>
      </c>
      <c r="M493" t="s">
        <v>6519</v>
      </c>
      <c r="N493" s="4" t="s">
        <v>8128</v>
      </c>
      <c r="O493" s="4" t="s">
        <v>8129</v>
      </c>
      <c r="P493" s="4" t="s">
        <v>233</v>
      </c>
    </row>
    <row r="494" spans="1:16" x14ac:dyDescent="0.35">
      <c r="A494" t="s">
        <v>8130</v>
      </c>
      <c r="B494" t="s">
        <v>8131</v>
      </c>
      <c r="C494" t="s">
        <v>16</v>
      </c>
      <c r="D494" s="6">
        <v>2431145578.3326726</v>
      </c>
      <c r="E494" s="6">
        <v>2493706578.3326726</v>
      </c>
      <c r="F494" s="6">
        <v>44.689998626708984</v>
      </c>
      <c r="G494" s="6">
        <v>44.959999084472656</v>
      </c>
      <c r="H494" s="6">
        <v>25.913675176628743</v>
      </c>
      <c r="I494" s="6">
        <v>0.42094748270164151</v>
      </c>
      <c r="J494" s="6">
        <v>592736000</v>
      </c>
      <c r="K494" s="6">
        <v>33.614745762711863</v>
      </c>
      <c r="L494" t="s">
        <v>6547</v>
      </c>
      <c r="M494" t="s">
        <v>6668</v>
      </c>
      <c r="N494" s="4" t="s">
        <v>8132</v>
      </c>
      <c r="O494" s="4" t="s">
        <v>8133</v>
      </c>
      <c r="P494" s="4" t="s">
        <v>233</v>
      </c>
    </row>
    <row r="495" spans="1:16" x14ac:dyDescent="0.35">
      <c r="A495" t="s">
        <v>8134</v>
      </c>
      <c r="B495" t="s">
        <v>8135</v>
      </c>
      <c r="C495" t="s">
        <v>16</v>
      </c>
      <c r="D495" s="6">
        <v>964055634</v>
      </c>
      <c r="E495" s="6" t="e">
        <v>#N/A</v>
      </c>
      <c r="F495" s="6">
        <v>11.75</v>
      </c>
      <c r="G495" s="6">
        <v>11.789999961853027</v>
      </c>
      <c r="H495" s="6">
        <v>69.117647058823522</v>
      </c>
      <c r="I495" s="6">
        <v>-5.2279943479082935E-2</v>
      </c>
      <c r="J495" s="6">
        <v>452699000</v>
      </c>
      <c r="K495" s="6" t="e">
        <v>#N/A</v>
      </c>
      <c r="L495" t="s">
        <v>6563</v>
      </c>
      <c r="M495" t="s">
        <v>6764</v>
      </c>
      <c r="N495" s="4" t="s">
        <v>8136</v>
      </c>
      <c r="O495" s="4" t="s">
        <v>8137</v>
      </c>
      <c r="P495" s="4" t="s">
        <v>233</v>
      </c>
    </row>
    <row r="496" spans="1:16" x14ac:dyDescent="0.35">
      <c r="A496" t="s">
        <v>8138</v>
      </c>
      <c r="B496" t="s">
        <v>8139</v>
      </c>
      <c r="C496" t="s">
        <v>16</v>
      </c>
      <c r="D496" s="6">
        <v>929533716.09570324</v>
      </c>
      <c r="E496" s="6">
        <v>862062716.09570324</v>
      </c>
      <c r="F496" s="6">
        <v>2.8499999046325684</v>
      </c>
      <c r="G496" s="6">
        <v>2.7000000476837158</v>
      </c>
      <c r="H496" s="6" t="e">
        <v>#N/A</v>
      </c>
      <c r="I496" s="6">
        <v>0.12611566805199881</v>
      </c>
      <c r="J496" s="6">
        <v>239306000</v>
      </c>
      <c r="K496" s="6">
        <v>-1.5255421343086393</v>
      </c>
      <c r="L496" t="s">
        <v>6540</v>
      </c>
      <c r="M496" t="s">
        <v>6541</v>
      </c>
      <c r="N496" s="4" t="s">
        <v>8140</v>
      </c>
      <c r="O496" s="4" t="s">
        <v>8141</v>
      </c>
      <c r="P496" s="4" t="s">
        <v>233</v>
      </c>
    </row>
    <row r="497" spans="1:16" x14ac:dyDescent="0.35">
      <c r="A497" t="s">
        <v>8142</v>
      </c>
      <c r="B497" t="s">
        <v>8143</v>
      </c>
      <c r="C497" t="s">
        <v>16</v>
      </c>
      <c r="D497" s="6">
        <v>166142024.91913033</v>
      </c>
      <c r="E497" s="6">
        <v>219570224.91913033</v>
      </c>
      <c r="F497" s="6">
        <v>26.870000839233398</v>
      </c>
      <c r="G497" s="6">
        <v>26.069999694824219</v>
      </c>
      <c r="H497" s="6">
        <v>12.149729169673607</v>
      </c>
      <c r="I497" s="6">
        <v>0.137038977089041</v>
      </c>
      <c r="J497" s="6">
        <v>279341753</v>
      </c>
      <c r="K497" s="6">
        <v>159.55560467139134</v>
      </c>
      <c r="L497" t="s">
        <v>6547</v>
      </c>
      <c r="M497" t="s">
        <v>6668</v>
      </c>
      <c r="N497" s="4" t="s">
        <v>8144</v>
      </c>
      <c r="O497" s="4" t="s">
        <v>8145</v>
      </c>
      <c r="P497" s="4" t="s">
        <v>233</v>
      </c>
    </row>
    <row r="498" spans="1:16" x14ac:dyDescent="0.35">
      <c r="A498" t="s">
        <v>8146</v>
      </c>
      <c r="B498" t="s">
        <v>8147</v>
      </c>
      <c r="C498" t="s">
        <v>16</v>
      </c>
      <c r="D498" s="6">
        <v>2005480044.8348691</v>
      </c>
      <c r="E498" s="6">
        <v>2450412044.8348689</v>
      </c>
      <c r="F498" s="6">
        <v>10.930000305175781</v>
      </c>
      <c r="G498" s="6">
        <v>10.779999732971191</v>
      </c>
      <c r="H498" s="6" t="e">
        <v>#N/A</v>
      </c>
      <c r="I498" s="6">
        <v>7.7688371188758154E-2</v>
      </c>
      <c r="J498" s="6">
        <v>693206000</v>
      </c>
      <c r="K498" s="6">
        <v>-38.512377070265366</v>
      </c>
      <c r="L498" t="s">
        <v>6518</v>
      </c>
      <c r="M498" t="s">
        <v>6519</v>
      </c>
      <c r="N498" s="4" t="s">
        <v>8148</v>
      </c>
      <c r="O498" s="4" t="s">
        <v>8149</v>
      </c>
      <c r="P498" s="4" t="s">
        <v>233</v>
      </c>
    </row>
    <row r="499" spans="1:16" x14ac:dyDescent="0.35">
      <c r="A499" t="s">
        <v>8150</v>
      </c>
      <c r="B499" t="s">
        <v>8151</v>
      </c>
      <c r="C499" t="s">
        <v>16</v>
      </c>
      <c r="D499" s="6">
        <v>1471621356.3356438</v>
      </c>
      <c r="E499" s="6">
        <v>1351313356.3356438</v>
      </c>
      <c r="F499" s="6">
        <v>26.399999618530273</v>
      </c>
      <c r="G499" s="6">
        <v>26.159999847412109</v>
      </c>
      <c r="H499" s="6">
        <v>20.687077095040877</v>
      </c>
      <c r="I499" s="6">
        <v>-5.4652759805281392E-2</v>
      </c>
      <c r="J499" s="6">
        <v>538933000</v>
      </c>
      <c r="K499" s="6">
        <v>18.691588785046726</v>
      </c>
      <c r="L499" t="s">
        <v>6518</v>
      </c>
      <c r="M499" t="s">
        <v>6519</v>
      </c>
      <c r="N499" s="4" t="s">
        <v>233</v>
      </c>
      <c r="O499" s="4" t="s">
        <v>8152</v>
      </c>
      <c r="P499" s="4" t="s">
        <v>13216</v>
      </c>
    </row>
    <row r="500" spans="1:16" x14ac:dyDescent="0.35">
      <c r="A500" t="s">
        <v>8153</v>
      </c>
      <c r="B500" t="s">
        <v>8154</v>
      </c>
      <c r="C500" t="s">
        <v>16</v>
      </c>
      <c r="D500" s="6">
        <v>1448400077.8198242</v>
      </c>
      <c r="E500" s="6">
        <v>2811711077.8198242</v>
      </c>
      <c r="F500" s="6">
        <v>8.5200004577636719</v>
      </c>
      <c r="G500" s="6">
        <v>8.7399997711181641</v>
      </c>
      <c r="H500" s="6" t="e">
        <v>#N/A</v>
      </c>
      <c r="I500" s="6">
        <v>-0.37506054419783041</v>
      </c>
      <c r="J500" s="6">
        <v>1712279000</v>
      </c>
      <c r="K500" s="6" t="e">
        <v>#N/A</v>
      </c>
      <c r="L500" t="s">
        <v>6540</v>
      </c>
      <c r="M500" t="s">
        <v>6825</v>
      </c>
      <c r="N500" s="4" t="s">
        <v>8155</v>
      </c>
      <c r="O500" s="4" t="s">
        <v>8156</v>
      </c>
      <c r="P500" s="4" t="s">
        <v>233</v>
      </c>
    </row>
    <row r="501" spans="1:16" x14ac:dyDescent="0.35">
      <c r="A501" t="s">
        <v>8157</v>
      </c>
      <c r="B501" t="s">
        <v>5115</v>
      </c>
      <c r="C501" t="s">
        <v>16</v>
      </c>
      <c r="D501" s="6">
        <v>82309296.146482706</v>
      </c>
      <c r="E501" s="6">
        <v>-193474703.85351729</v>
      </c>
      <c r="F501" s="6">
        <v>1.3700000047683716</v>
      </c>
      <c r="G501" s="6">
        <v>1.3200000524520874</v>
      </c>
      <c r="H501" s="6" t="e">
        <v>#N/A</v>
      </c>
      <c r="I501" s="6">
        <v>-0.58385011392419495</v>
      </c>
      <c r="J501" s="6">
        <v>0</v>
      </c>
      <c r="K501" s="6">
        <v>-1.8867924528301903</v>
      </c>
      <c r="L501" t="s">
        <v>17</v>
      </c>
      <c r="M501" t="s">
        <v>18</v>
      </c>
      <c r="N501" s="4" t="s">
        <v>5116</v>
      </c>
      <c r="O501" s="4" t="s">
        <v>5117</v>
      </c>
      <c r="P501" s="4" t="s">
        <v>233</v>
      </c>
    </row>
    <row r="502" spans="1:16" x14ac:dyDescent="0.35">
      <c r="A502" t="s">
        <v>8158</v>
      </c>
      <c r="B502" t="s">
        <v>4451</v>
      </c>
      <c r="C502" t="s">
        <v>16</v>
      </c>
      <c r="D502" s="6">
        <v>146077316.06902742</v>
      </c>
      <c r="E502" s="6">
        <v>-51528683.930972576</v>
      </c>
      <c r="F502" s="6">
        <v>2.0699999332427979</v>
      </c>
      <c r="G502" s="6">
        <v>2.0099999904632568</v>
      </c>
      <c r="H502" s="6" t="e">
        <v>#N/A</v>
      </c>
      <c r="I502" s="6">
        <v>-0.81612498010008494</v>
      </c>
      <c r="J502" s="6">
        <v>0</v>
      </c>
      <c r="K502" s="6">
        <v>24.800000000000004</v>
      </c>
      <c r="L502" t="s">
        <v>17</v>
      </c>
      <c r="M502" t="s">
        <v>18</v>
      </c>
      <c r="N502" s="4" t="s">
        <v>4452</v>
      </c>
      <c r="O502" s="4" t="s">
        <v>4453</v>
      </c>
      <c r="P502" s="4" t="s">
        <v>233</v>
      </c>
    </row>
    <row r="503" spans="1:16" x14ac:dyDescent="0.35">
      <c r="A503" t="s">
        <v>8159</v>
      </c>
      <c r="B503" t="s">
        <v>8160</v>
      </c>
      <c r="C503" t="s">
        <v>16</v>
      </c>
      <c r="D503" s="6">
        <v>2555253011.2766833</v>
      </c>
      <c r="E503" s="6">
        <v>2517899011.2766833</v>
      </c>
      <c r="F503" s="6">
        <v>20.989999771118164</v>
      </c>
      <c r="G503" s="6">
        <v>21.510000228881836</v>
      </c>
      <c r="H503" s="6">
        <v>14.182432277782544</v>
      </c>
      <c r="I503" s="6">
        <v>0.23135083184313521</v>
      </c>
      <c r="J503" s="6">
        <v>613960000</v>
      </c>
      <c r="K503" s="6" t="e">
        <v>#N/A</v>
      </c>
      <c r="L503" t="s">
        <v>6523</v>
      </c>
      <c r="M503" t="s">
        <v>6588</v>
      </c>
      <c r="N503" s="4" t="s">
        <v>8161</v>
      </c>
      <c r="O503" s="4" t="s">
        <v>8162</v>
      </c>
      <c r="P503" s="4" t="s">
        <v>233</v>
      </c>
    </row>
    <row r="504" spans="1:16" x14ac:dyDescent="0.35">
      <c r="A504" t="s">
        <v>8163</v>
      </c>
      <c r="B504" t="s">
        <v>8164</v>
      </c>
      <c r="C504" t="s">
        <v>16</v>
      </c>
      <c r="D504" s="6">
        <v>1982471333.8688426</v>
      </c>
      <c r="E504" s="6">
        <v>2494120333.8688426</v>
      </c>
      <c r="F504" s="6">
        <v>40.299999237060547</v>
      </c>
      <c r="G504" s="6">
        <v>40.130001068115234</v>
      </c>
      <c r="H504" s="6">
        <v>4.3739840241110226</v>
      </c>
      <c r="I504" s="6">
        <v>-0.1366054902769821</v>
      </c>
      <c r="J504" s="6">
        <v>1007734000</v>
      </c>
      <c r="K504" s="6">
        <v>-20.320855614973262</v>
      </c>
      <c r="L504" t="s">
        <v>6523</v>
      </c>
      <c r="M504" t="s">
        <v>6524</v>
      </c>
      <c r="N504" s="4" t="s">
        <v>233</v>
      </c>
      <c r="O504" s="4" t="s">
        <v>8165</v>
      </c>
      <c r="P504" s="4" t="s">
        <v>13217</v>
      </c>
    </row>
    <row r="505" spans="1:16" x14ac:dyDescent="0.35">
      <c r="A505" t="s">
        <v>8166</v>
      </c>
      <c r="B505" t="s">
        <v>1698</v>
      </c>
      <c r="C505" t="s">
        <v>16</v>
      </c>
      <c r="D505" s="6">
        <v>276963684</v>
      </c>
      <c r="E505" s="6">
        <v>-91357316</v>
      </c>
      <c r="F505" s="6">
        <v>4.75</v>
      </c>
      <c r="G505" s="6">
        <v>4.6500000953674316</v>
      </c>
      <c r="H505" s="6" t="e">
        <v>#N/A</v>
      </c>
      <c r="I505" s="6">
        <v>9.6720247920112357E-2</v>
      </c>
      <c r="J505" s="6">
        <v>190858000</v>
      </c>
      <c r="K505" s="6" t="e">
        <v>#N/A</v>
      </c>
      <c r="L505" t="s">
        <v>17</v>
      </c>
      <c r="M505" t="s">
        <v>18</v>
      </c>
      <c r="N505" s="4" t="s">
        <v>1699</v>
      </c>
      <c r="O505" s="4" t="s">
        <v>1700</v>
      </c>
      <c r="P505" s="4" t="s">
        <v>233</v>
      </c>
    </row>
    <row r="506" spans="1:16" x14ac:dyDescent="0.35">
      <c r="A506" t="s">
        <v>8167</v>
      </c>
      <c r="B506" t="s">
        <v>8168</v>
      </c>
      <c r="C506" t="s">
        <v>16</v>
      </c>
      <c r="D506" s="6">
        <v>293484821.718431</v>
      </c>
      <c r="E506" s="6">
        <v>1402054821.718431</v>
      </c>
      <c r="F506" s="6">
        <v>5.3499999046325684</v>
      </c>
      <c r="G506" s="6">
        <v>5.2600002288818359</v>
      </c>
      <c r="H506" s="6" t="e">
        <v>#N/A</v>
      </c>
      <c r="I506" s="6">
        <v>-0.29032685258252255</v>
      </c>
      <c r="J506" s="6">
        <v>175635000</v>
      </c>
      <c r="K506" s="6">
        <v>11.111111111111107</v>
      </c>
      <c r="L506" t="s">
        <v>6529</v>
      </c>
      <c r="M506" t="s">
        <v>8169</v>
      </c>
      <c r="N506" s="4" t="s">
        <v>8170</v>
      </c>
      <c r="O506" s="4" t="s">
        <v>8171</v>
      </c>
      <c r="P506" s="4" t="s">
        <v>233</v>
      </c>
    </row>
    <row r="507" spans="1:16" x14ac:dyDescent="0.35">
      <c r="A507" t="s">
        <v>8172</v>
      </c>
      <c r="B507" t="s">
        <v>1902</v>
      </c>
      <c r="C507" t="s">
        <v>16</v>
      </c>
      <c r="D507" s="6">
        <v>278982136.67138535</v>
      </c>
      <c r="E507" s="6">
        <v>11518136.671385288</v>
      </c>
      <c r="F507" s="6">
        <v>3.7400000095367432</v>
      </c>
      <c r="G507" s="6">
        <v>3.7899999618530273</v>
      </c>
      <c r="H507" s="6">
        <v>36.823346489344296</v>
      </c>
      <c r="I507" s="6">
        <v>-0.49021629825296997</v>
      </c>
      <c r="J507" s="6">
        <v>224263000</v>
      </c>
      <c r="K507" s="6">
        <v>-77.272727272727266</v>
      </c>
      <c r="L507" t="s">
        <v>17</v>
      </c>
      <c r="M507" t="s">
        <v>27</v>
      </c>
      <c r="N507" s="4" t="s">
        <v>1903</v>
      </c>
      <c r="O507" s="4" t="s">
        <v>1904</v>
      </c>
      <c r="P507" s="4" t="s">
        <v>233</v>
      </c>
    </row>
    <row r="508" spans="1:16" x14ac:dyDescent="0.35">
      <c r="A508" t="s">
        <v>8173</v>
      </c>
      <c r="B508" t="s">
        <v>8174</v>
      </c>
      <c r="C508" t="s">
        <v>16</v>
      </c>
      <c r="D508" s="6">
        <v>1434979332</v>
      </c>
      <c r="E508" s="6">
        <v>1822623332</v>
      </c>
      <c r="F508" s="6">
        <v>19</v>
      </c>
      <c r="G508" s="6">
        <v>19.100000381469727</v>
      </c>
      <c r="H508" s="6" t="e">
        <v>#N/A</v>
      </c>
      <c r="I508" s="6">
        <v>-6.2590564525527581E-3</v>
      </c>
      <c r="J508" s="6">
        <v>311440000</v>
      </c>
      <c r="K508" s="6">
        <v>-191.30434782608697</v>
      </c>
      <c r="L508" t="s">
        <v>6518</v>
      </c>
      <c r="M508" t="s">
        <v>6519</v>
      </c>
      <c r="N508" s="4" t="s">
        <v>8175</v>
      </c>
      <c r="O508" s="4" t="s">
        <v>8176</v>
      </c>
      <c r="P508" s="4" t="s">
        <v>233</v>
      </c>
    </row>
    <row r="509" spans="1:16" x14ac:dyDescent="0.35">
      <c r="A509" t="s">
        <v>8177</v>
      </c>
      <c r="B509" t="s">
        <v>8178</v>
      </c>
      <c r="C509" t="s">
        <v>16</v>
      </c>
      <c r="D509" s="6">
        <v>1152580138.1931441</v>
      </c>
      <c r="E509" s="6">
        <v>1696380138.1931441</v>
      </c>
      <c r="F509" s="6">
        <v>8.1700000762939453</v>
      </c>
      <c r="G509" s="6">
        <v>8.1499996185302734</v>
      </c>
      <c r="H509" s="6">
        <v>10.634919081275703</v>
      </c>
      <c r="I509" s="6">
        <v>-0.46752642322720406</v>
      </c>
      <c r="J509" s="6">
        <v>996700000</v>
      </c>
      <c r="K509" s="6">
        <v>-19.999999999999993</v>
      </c>
      <c r="L509" t="s">
        <v>6547</v>
      </c>
      <c r="M509" t="s">
        <v>6553</v>
      </c>
      <c r="N509" s="4" t="s">
        <v>8179</v>
      </c>
      <c r="O509" s="4" t="s">
        <v>8180</v>
      </c>
      <c r="P509" s="4" t="s">
        <v>233</v>
      </c>
    </row>
    <row r="510" spans="1:16" x14ac:dyDescent="0.35">
      <c r="A510" t="s">
        <v>8181</v>
      </c>
      <c r="B510" t="s">
        <v>8182</v>
      </c>
      <c r="C510" t="s">
        <v>16</v>
      </c>
      <c r="D510" s="6">
        <v>4181310505.3904347</v>
      </c>
      <c r="E510" s="6">
        <v>5366577505.3904343</v>
      </c>
      <c r="F510" s="6">
        <v>45.310001373291016</v>
      </c>
      <c r="G510" s="6">
        <v>44.520000457763672</v>
      </c>
      <c r="H510" s="6">
        <v>43.128312554413455</v>
      </c>
      <c r="I510" s="6">
        <v>0.14868873040106823</v>
      </c>
      <c r="J510" s="6">
        <v>756564000</v>
      </c>
      <c r="K510" s="6" t="e">
        <v>#N/A</v>
      </c>
      <c r="L510" t="s">
        <v>6518</v>
      </c>
      <c r="M510" t="s">
        <v>6789</v>
      </c>
      <c r="N510" s="4" t="s">
        <v>8183</v>
      </c>
      <c r="O510" s="4" t="s">
        <v>8184</v>
      </c>
      <c r="P510" s="4" t="s">
        <v>233</v>
      </c>
    </row>
    <row r="511" spans="1:16" x14ac:dyDescent="0.35">
      <c r="A511" t="s">
        <v>8185</v>
      </c>
      <c r="B511" t="s">
        <v>8186</v>
      </c>
      <c r="C511" t="s">
        <v>16</v>
      </c>
      <c r="D511" s="6">
        <v>310681379.17901993</v>
      </c>
      <c r="E511" s="6" t="e">
        <v>#N/A</v>
      </c>
      <c r="F511" s="6">
        <v>8.9499998092651367</v>
      </c>
      <c r="G511" s="6">
        <v>8.8199996948242188</v>
      </c>
      <c r="H511" s="6">
        <v>18.018162729711722</v>
      </c>
      <c r="I511" s="6">
        <v>-0.15695763097767135</v>
      </c>
      <c r="J511" s="6">
        <v>236555000</v>
      </c>
      <c r="K511" s="6">
        <v>-58.677685950413228</v>
      </c>
      <c r="L511" t="s">
        <v>6540</v>
      </c>
      <c r="M511" t="s">
        <v>6571</v>
      </c>
      <c r="N511" s="4" t="s">
        <v>8187</v>
      </c>
      <c r="O511" s="4" t="s">
        <v>8188</v>
      </c>
      <c r="P511" s="4" t="s">
        <v>233</v>
      </c>
    </row>
    <row r="512" spans="1:16" x14ac:dyDescent="0.35">
      <c r="A512" t="s">
        <v>8189</v>
      </c>
      <c r="B512" t="s">
        <v>8190</v>
      </c>
      <c r="C512" t="s">
        <v>16</v>
      </c>
      <c r="D512" s="6">
        <v>149487415.47985789</v>
      </c>
      <c r="E512" s="6">
        <v>123413415.47985786</v>
      </c>
      <c r="F512" s="6">
        <v>7.309999942779541</v>
      </c>
      <c r="G512" s="6">
        <v>6.9200000762939453</v>
      </c>
      <c r="H512" s="6" t="e">
        <v>#N/A</v>
      </c>
      <c r="I512" s="6">
        <v>-0.83674854044763602</v>
      </c>
      <c r="J512" s="6">
        <v>112132000</v>
      </c>
      <c r="K512" s="6">
        <v>0.61923076923076781</v>
      </c>
      <c r="L512" t="s">
        <v>6547</v>
      </c>
      <c r="M512" t="s">
        <v>6602</v>
      </c>
      <c r="N512" s="4" t="s">
        <v>13037</v>
      </c>
      <c r="O512" s="4" t="s">
        <v>13038</v>
      </c>
      <c r="P512" s="4" t="s">
        <v>233</v>
      </c>
    </row>
    <row r="513" spans="1:16" x14ac:dyDescent="0.35">
      <c r="A513" t="s">
        <v>8191</v>
      </c>
      <c r="B513" t="s">
        <v>8192</v>
      </c>
      <c r="C513" t="s">
        <v>16</v>
      </c>
      <c r="D513" s="6">
        <v>3599229890.500772</v>
      </c>
      <c r="E513" s="6">
        <v>3467835890.500772</v>
      </c>
      <c r="F513" s="6">
        <v>21.469999313354492</v>
      </c>
      <c r="G513" s="6">
        <v>21</v>
      </c>
      <c r="H513" s="6" t="e">
        <v>#N/A</v>
      </c>
      <c r="I513" s="6">
        <v>0.47504457341860284</v>
      </c>
      <c r="J513" s="6">
        <v>596019000</v>
      </c>
      <c r="K513" s="6">
        <v>1.1050979269945163</v>
      </c>
      <c r="L513" t="s">
        <v>6547</v>
      </c>
      <c r="M513" t="s">
        <v>6802</v>
      </c>
      <c r="N513" s="4" t="s">
        <v>8193</v>
      </c>
      <c r="O513" s="4" t="s">
        <v>8194</v>
      </c>
      <c r="P513" s="4" t="s">
        <v>233</v>
      </c>
    </row>
    <row r="514" spans="1:16" x14ac:dyDescent="0.35">
      <c r="A514" t="s">
        <v>8195</v>
      </c>
      <c r="B514" t="s">
        <v>4654</v>
      </c>
      <c r="C514" t="s">
        <v>16</v>
      </c>
      <c r="D514" s="6">
        <v>2000415264.5655975</v>
      </c>
      <c r="E514" s="6">
        <v>1755171264.5655975</v>
      </c>
      <c r="F514" s="6">
        <v>52.330001831054688</v>
      </c>
      <c r="G514" s="6">
        <v>50.650001525878906</v>
      </c>
      <c r="H514" s="6" t="e">
        <v>#N/A</v>
      </c>
      <c r="I514" s="6">
        <v>0.6954692750184881</v>
      </c>
      <c r="J514" s="6">
        <v>129621000</v>
      </c>
      <c r="K514" s="6">
        <v>2.1262015610522815</v>
      </c>
      <c r="L514" t="s">
        <v>17</v>
      </c>
      <c r="M514" t="s">
        <v>87</v>
      </c>
      <c r="N514" s="4" t="s">
        <v>4655</v>
      </c>
      <c r="O514" s="4" t="s">
        <v>4656</v>
      </c>
      <c r="P514" s="4" t="s">
        <v>233</v>
      </c>
    </row>
    <row r="515" spans="1:16" x14ac:dyDescent="0.35">
      <c r="A515" t="s">
        <v>8196</v>
      </c>
      <c r="B515" t="s">
        <v>8197</v>
      </c>
      <c r="C515" t="s">
        <v>16</v>
      </c>
      <c r="D515" s="6">
        <v>658745137.82208729</v>
      </c>
      <c r="E515" s="6" t="e">
        <v>#N/A</v>
      </c>
      <c r="F515" s="6">
        <v>4.119999885559082</v>
      </c>
      <c r="G515" s="6">
        <v>3.869999885559082</v>
      </c>
      <c r="H515" s="6" t="e">
        <v>#N/A</v>
      </c>
      <c r="I515" s="6">
        <v>0.15360987051383135</v>
      </c>
      <c r="J515" s="6">
        <v>3356000000</v>
      </c>
      <c r="K515" s="6" t="e">
        <v>#N/A</v>
      </c>
      <c r="L515" t="s">
        <v>6547</v>
      </c>
      <c r="M515" t="s">
        <v>6548</v>
      </c>
      <c r="N515" s="4" t="s">
        <v>8198</v>
      </c>
      <c r="O515" s="4" t="s">
        <v>8199</v>
      </c>
      <c r="P515" s="4" t="s">
        <v>233</v>
      </c>
    </row>
    <row r="516" spans="1:16" x14ac:dyDescent="0.35">
      <c r="A516" t="s">
        <v>8200</v>
      </c>
      <c r="B516" t="s">
        <v>8201</v>
      </c>
      <c r="C516" t="s">
        <v>16</v>
      </c>
      <c r="D516" s="6">
        <v>262804955.40585133</v>
      </c>
      <c r="E516" s="6" t="e">
        <v>#N/A</v>
      </c>
      <c r="F516" s="6">
        <v>5.119999885559082</v>
      </c>
      <c r="G516" s="6">
        <v>6.6599998474121094</v>
      </c>
      <c r="H516" s="6">
        <v>11.082994498676495</v>
      </c>
      <c r="I516" s="6">
        <v>-0.50388377493033376</v>
      </c>
      <c r="J516" s="6">
        <v>452334000</v>
      </c>
      <c r="K516" s="6">
        <v>13.888888888888888</v>
      </c>
      <c r="L516" t="s">
        <v>6540</v>
      </c>
      <c r="M516" t="s">
        <v>6825</v>
      </c>
      <c r="N516" s="4" t="s">
        <v>8202</v>
      </c>
      <c r="O516" s="4" t="s">
        <v>8203</v>
      </c>
      <c r="P516" s="4" t="s">
        <v>233</v>
      </c>
    </row>
    <row r="517" spans="1:16" x14ac:dyDescent="0.35">
      <c r="A517" t="s">
        <v>8204</v>
      </c>
      <c r="B517" t="s">
        <v>8205</v>
      </c>
      <c r="C517" t="s">
        <v>16</v>
      </c>
      <c r="D517" s="6">
        <v>208992173.94314766</v>
      </c>
      <c r="E517" s="6">
        <v>246270173.94314766</v>
      </c>
      <c r="F517" s="6">
        <v>15.060000419616699</v>
      </c>
      <c r="G517" s="6">
        <v>15.140000343322754</v>
      </c>
      <c r="H517" s="6">
        <v>21.088627432322031</v>
      </c>
      <c r="I517" s="6">
        <v>-7.0532043735619498E-2</v>
      </c>
      <c r="J517" s="6">
        <v>253074000</v>
      </c>
      <c r="K517" s="6">
        <v>35.211267605633807</v>
      </c>
      <c r="L517" t="s">
        <v>6540</v>
      </c>
      <c r="M517" t="s">
        <v>6571</v>
      </c>
      <c r="N517" s="4" t="s">
        <v>8206</v>
      </c>
      <c r="O517" s="4" t="s">
        <v>8207</v>
      </c>
      <c r="P517" s="4" t="s">
        <v>233</v>
      </c>
    </row>
    <row r="518" spans="1:16" x14ac:dyDescent="0.35">
      <c r="A518" t="s">
        <v>8208</v>
      </c>
      <c r="B518" t="s">
        <v>8209</v>
      </c>
      <c r="C518" t="s">
        <v>16</v>
      </c>
      <c r="D518" s="6">
        <v>149860874.69110638</v>
      </c>
      <c r="E518" s="6">
        <v>47104874.691106394</v>
      </c>
      <c r="F518" s="6">
        <v>0.81000000238418579</v>
      </c>
      <c r="G518" s="6">
        <v>0.81000000238418579</v>
      </c>
      <c r="H518" s="6" t="e">
        <v>#N/A</v>
      </c>
      <c r="I518" s="6">
        <v>-0.56117303108810601</v>
      </c>
      <c r="J518" s="6">
        <v>79799000</v>
      </c>
      <c r="K518" s="6">
        <v>17.307692307692299</v>
      </c>
      <c r="L518" t="s">
        <v>6529</v>
      </c>
      <c r="M518" t="s">
        <v>6568</v>
      </c>
      <c r="N518" s="4" t="s">
        <v>8210</v>
      </c>
      <c r="O518" s="4" t="s">
        <v>8211</v>
      </c>
      <c r="P518" s="4" t="s">
        <v>233</v>
      </c>
    </row>
    <row r="519" spans="1:16" x14ac:dyDescent="0.35">
      <c r="A519" t="s">
        <v>8212</v>
      </c>
      <c r="B519" t="s">
        <v>8213</v>
      </c>
      <c r="C519" t="s">
        <v>16</v>
      </c>
      <c r="D519" s="6">
        <v>1381834986.5068815</v>
      </c>
      <c r="E519" s="6">
        <v>1382315986.5068815</v>
      </c>
      <c r="F519" s="6">
        <v>108.31999969482422</v>
      </c>
      <c r="G519" s="6">
        <v>101.87999725341797</v>
      </c>
      <c r="H519" s="6">
        <v>991.55094326249002</v>
      </c>
      <c r="I519" s="6">
        <v>4.1472481001924724</v>
      </c>
      <c r="J519" s="6">
        <v>319355000</v>
      </c>
      <c r="K519" s="6" t="e">
        <v>#N/A</v>
      </c>
      <c r="L519" t="s">
        <v>6529</v>
      </c>
      <c r="M519" t="s">
        <v>6646</v>
      </c>
      <c r="N519" s="4" t="s">
        <v>8214</v>
      </c>
      <c r="O519" s="4" t="s">
        <v>8215</v>
      </c>
      <c r="P519" s="4" t="s">
        <v>233</v>
      </c>
    </row>
    <row r="520" spans="1:16" x14ac:dyDescent="0.35">
      <c r="A520" t="s">
        <v>8216</v>
      </c>
      <c r="B520" t="s">
        <v>8217</v>
      </c>
      <c r="C520" t="s">
        <v>16</v>
      </c>
      <c r="D520" s="6">
        <v>784687924.16172218</v>
      </c>
      <c r="E520" s="6">
        <v>2101797924.1617224</v>
      </c>
      <c r="F520" s="6">
        <v>4.880000114440918</v>
      </c>
      <c r="G520" s="6">
        <v>4.8600001335144043</v>
      </c>
      <c r="H520" s="6" t="e">
        <v>#N/A</v>
      </c>
      <c r="I520" s="6">
        <v>-0.29412438184302248</v>
      </c>
      <c r="J520" s="6">
        <v>155162000</v>
      </c>
      <c r="K520" s="6" t="e">
        <v>#N/A</v>
      </c>
      <c r="L520" t="s">
        <v>6719</v>
      </c>
      <c r="M520" t="s">
        <v>7138</v>
      </c>
      <c r="N520" s="4" t="s">
        <v>8218</v>
      </c>
      <c r="O520" s="4" t="s">
        <v>8219</v>
      </c>
      <c r="P520" s="4" t="s">
        <v>233</v>
      </c>
    </row>
    <row r="521" spans="1:16" x14ac:dyDescent="0.35">
      <c r="A521" t="s">
        <v>8220</v>
      </c>
      <c r="B521" t="s">
        <v>3404</v>
      </c>
      <c r="C521" t="s">
        <v>16</v>
      </c>
      <c r="D521" s="6">
        <v>356724501.75002766</v>
      </c>
      <c r="E521" s="6">
        <v>162218501.75002769</v>
      </c>
      <c r="F521" s="6">
        <v>7.1999998092651367</v>
      </c>
      <c r="G521" s="6">
        <v>7.3000001907348633</v>
      </c>
      <c r="H521" s="6" t="e">
        <v>#N/A</v>
      </c>
      <c r="I521" s="6">
        <v>-0.58425496301234203</v>
      </c>
      <c r="J521" s="6">
        <v>84327000</v>
      </c>
      <c r="K521" s="6">
        <v>15.886287625418063</v>
      </c>
      <c r="L521" t="s">
        <v>17</v>
      </c>
      <c r="M521" t="s">
        <v>18</v>
      </c>
      <c r="N521" s="4" t="s">
        <v>3405</v>
      </c>
      <c r="O521" s="4" t="s">
        <v>3406</v>
      </c>
      <c r="P521" s="4" t="s">
        <v>233</v>
      </c>
    </row>
    <row r="522" spans="1:16" x14ac:dyDescent="0.35">
      <c r="A522" t="s">
        <v>8221</v>
      </c>
      <c r="B522" t="s">
        <v>5676</v>
      </c>
      <c r="C522" t="s">
        <v>16</v>
      </c>
      <c r="D522" s="6">
        <v>274653816.5038318</v>
      </c>
      <c r="E522" s="6">
        <v>-63720183.496168196</v>
      </c>
      <c r="F522" s="6">
        <v>1.7000000476837158</v>
      </c>
      <c r="G522" s="6">
        <v>1.6599999666213989</v>
      </c>
      <c r="H522" s="6" t="e">
        <v>#N/A</v>
      </c>
      <c r="I522" s="6">
        <v>-0.90525960289780105</v>
      </c>
      <c r="J522" s="6">
        <v>0</v>
      </c>
      <c r="K522" s="6">
        <v>34.95652173913043</v>
      </c>
      <c r="L522" t="s">
        <v>17</v>
      </c>
      <c r="M522" t="s">
        <v>87</v>
      </c>
      <c r="N522" s="4" t="s">
        <v>5677</v>
      </c>
      <c r="O522" s="4" t="s">
        <v>5678</v>
      </c>
      <c r="P522" s="4" t="s">
        <v>233</v>
      </c>
    </row>
    <row r="523" spans="1:16" x14ac:dyDescent="0.35">
      <c r="A523" t="s">
        <v>8222</v>
      </c>
      <c r="B523" t="s">
        <v>3119</v>
      </c>
      <c r="C523" t="s">
        <v>16</v>
      </c>
      <c r="D523" s="6">
        <v>440203571.13875198</v>
      </c>
      <c r="E523" s="6" t="e">
        <v>#N/A</v>
      </c>
      <c r="F523" s="6">
        <v>7.1599998474121094</v>
      </c>
      <c r="G523" s="6">
        <v>7.119999885559082</v>
      </c>
      <c r="H523" s="6" t="e">
        <v>#N/A</v>
      </c>
      <c r="I523" s="6">
        <v>-0.69854966085857439</v>
      </c>
      <c r="J523" s="6">
        <v>41243000</v>
      </c>
      <c r="K523" s="6">
        <v>27.182320441988956</v>
      </c>
      <c r="L523" t="s">
        <v>17</v>
      </c>
      <c r="M523" t="s">
        <v>18</v>
      </c>
      <c r="N523" s="4" t="s">
        <v>3120</v>
      </c>
      <c r="O523" s="4" t="s">
        <v>3121</v>
      </c>
      <c r="P523" s="4" t="s">
        <v>233</v>
      </c>
    </row>
    <row r="524" spans="1:16" x14ac:dyDescent="0.35">
      <c r="A524" t="s">
        <v>8223</v>
      </c>
      <c r="B524" t="s">
        <v>8224</v>
      </c>
      <c r="C524" t="s">
        <v>16</v>
      </c>
      <c r="D524" s="6">
        <v>273161267.29026604</v>
      </c>
      <c r="E524" s="6" t="e">
        <v>#N/A</v>
      </c>
      <c r="F524" s="6">
        <v>14.100000381469727</v>
      </c>
      <c r="G524" s="6">
        <v>14.090000152587891</v>
      </c>
      <c r="H524" s="6">
        <v>13.960396417296758</v>
      </c>
      <c r="I524" s="6">
        <v>0.12847332822147983</v>
      </c>
      <c r="J524" s="6">
        <v>202470000</v>
      </c>
      <c r="K524" s="6">
        <v>114.8936170212766</v>
      </c>
      <c r="L524" t="s">
        <v>6529</v>
      </c>
      <c r="M524" t="s">
        <v>6639</v>
      </c>
      <c r="N524" s="4" t="s">
        <v>8225</v>
      </c>
      <c r="O524" s="4" t="s">
        <v>8226</v>
      </c>
      <c r="P524" s="4" t="s">
        <v>233</v>
      </c>
    </row>
    <row r="525" spans="1:16" x14ac:dyDescent="0.35">
      <c r="A525" t="s">
        <v>8227</v>
      </c>
      <c r="B525" t="s">
        <v>8228</v>
      </c>
      <c r="C525" t="s">
        <v>16</v>
      </c>
      <c r="D525" s="6">
        <v>1146044329.7221451</v>
      </c>
      <c r="E525" s="6">
        <v>1104195329.7221451</v>
      </c>
      <c r="F525" s="6">
        <v>35.689998626708984</v>
      </c>
      <c r="G525" s="6">
        <v>36.020000457763672</v>
      </c>
      <c r="H525" s="6">
        <v>11.031873933930843</v>
      </c>
      <c r="I525" s="6">
        <v>0.15084720081026393</v>
      </c>
      <c r="J525" s="6">
        <v>1343366000</v>
      </c>
      <c r="K525" s="6">
        <v>76.315789473684205</v>
      </c>
      <c r="L525" t="s">
        <v>6547</v>
      </c>
      <c r="M525" t="s">
        <v>6668</v>
      </c>
      <c r="N525" s="4" t="s">
        <v>8229</v>
      </c>
      <c r="O525" s="4" t="s">
        <v>8230</v>
      </c>
      <c r="P525" s="4" t="s">
        <v>233</v>
      </c>
    </row>
    <row r="526" spans="1:16" x14ac:dyDescent="0.35">
      <c r="A526" t="s">
        <v>8231</v>
      </c>
      <c r="B526" t="s">
        <v>8232</v>
      </c>
      <c r="C526" t="s">
        <v>16</v>
      </c>
      <c r="D526" s="6">
        <v>637650910.55387878</v>
      </c>
      <c r="E526" s="6">
        <v>1073468910.5538788</v>
      </c>
      <c r="F526" s="6">
        <v>18.590000152587891</v>
      </c>
      <c r="G526" s="6">
        <v>18.670000076293945</v>
      </c>
      <c r="H526" s="6" t="e">
        <v>#N/A</v>
      </c>
      <c r="I526" s="6">
        <v>-0.46914818515865531</v>
      </c>
      <c r="J526" s="6">
        <v>673079000</v>
      </c>
      <c r="K526" s="6">
        <v>21.578947368421051</v>
      </c>
      <c r="L526" t="s">
        <v>6547</v>
      </c>
      <c r="M526" t="s">
        <v>6802</v>
      </c>
      <c r="N526" s="4" t="s">
        <v>8233</v>
      </c>
      <c r="O526" s="4" t="s">
        <v>8234</v>
      </c>
      <c r="P526" s="4" t="s">
        <v>233</v>
      </c>
    </row>
    <row r="527" spans="1:16" x14ac:dyDescent="0.35">
      <c r="A527" t="s">
        <v>8235</v>
      </c>
      <c r="B527" t="s">
        <v>8236</v>
      </c>
      <c r="C527" t="s">
        <v>16</v>
      </c>
      <c r="D527" s="6">
        <v>146296137.12586594</v>
      </c>
      <c r="E527" s="6">
        <v>126125018.12586594</v>
      </c>
      <c r="F527" s="6">
        <v>11.470000267028809</v>
      </c>
      <c r="G527" s="6">
        <v>11.550000190734863</v>
      </c>
      <c r="H527" s="6" t="e">
        <v>#N/A</v>
      </c>
      <c r="I527" s="6">
        <v>0.15433413679921371</v>
      </c>
      <c r="J527" s="6" t="e">
        <v>#N/A</v>
      </c>
      <c r="K527" s="6" t="e">
        <v>#N/A</v>
      </c>
      <c r="L527" t="s">
        <v>6529</v>
      </c>
      <c r="M527" t="s">
        <v>8169</v>
      </c>
      <c r="N527" s="4" t="s">
        <v>8237</v>
      </c>
      <c r="O527" s="4" t="s">
        <v>8238</v>
      </c>
      <c r="P527" s="4" t="s">
        <v>233</v>
      </c>
    </row>
    <row r="528" spans="1:16" x14ac:dyDescent="0.35">
      <c r="A528" t="s">
        <v>8239</v>
      </c>
      <c r="B528" t="s">
        <v>8240</v>
      </c>
      <c r="C528" t="s">
        <v>16</v>
      </c>
      <c r="D528" s="6">
        <v>2121022390.974396</v>
      </c>
      <c r="E528" s="6">
        <v>30436084390.974396</v>
      </c>
      <c r="F528" s="6">
        <v>200.69000244140625</v>
      </c>
      <c r="G528" s="6">
        <v>198.32000732421875</v>
      </c>
      <c r="H528" s="6">
        <v>12.927119584222398</v>
      </c>
      <c r="I528" s="6">
        <v>0.10339785934056156</v>
      </c>
      <c r="J528" s="6">
        <v>1575276000</v>
      </c>
      <c r="K528" s="6">
        <v>0.95543711260760955</v>
      </c>
      <c r="L528" t="s">
        <v>6529</v>
      </c>
      <c r="M528" t="s">
        <v>6639</v>
      </c>
      <c r="N528" s="4" t="s">
        <v>8241</v>
      </c>
      <c r="O528" s="4" t="s">
        <v>8242</v>
      </c>
      <c r="P528" s="4" t="s">
        <v>233</v>
      </c>
    </row>
    <row r="529" spans="1:16" x14ac:dyDescent="0.35">
      <c r="A529" t="s">
        <v>8243</v>
      </c>
      <c r="B529" t="s">
        <v>8244</v>
      </c>
      <c r="C529" t="s">
        <v>16</v>
      </c>
      <c r="D529" s="6">
        <v>472176704.33409017</v>
      </c>
      <c r="E529" s="6">
        <v>518645835.33409017</v>
      </c>
      <c r="F529" s="6">
        <v>15.050000190734863</v>
      </c>
      <c r="G529" s="6">
        <v>14.789999961853027</v>
      </c>
      <c r="H529" s="6" t="e">
        <v>#N/A</v>
      </c>
      <c r="I529" s="6">
        <v>-2.076347646980059E-2</v>
      </c>
      <c r="J529" s="6">
        <v>105014906</v>
      </c>
      <c r="K529" s="6" t="e">
        <v>#N/A</v>
      </c>
      <c r="L529" t="s">
        <v>6514</v>
      </c>
      <c r="M529" t="s">
        <v>6534</v>
      </c>
      <c r="N529" s="4" t="s">
        <v>8245</v>
      </c>
      <c r="O529" s="4" t="s">
        <v>8246</v>
      </c>
      <c r="P529" s="4" t="s">
        <v>233</v>
      </c>
    </row>
    <row r="530" spans="1:16" x14ac:dyDescent="0.35">
      <c r="A530" t="s">
        <v>8247</v>
      </c>
      <c r="B530" t="s">
        <v>8248</v>
      </c>
      <c r="C530" t="s">
        <v>16</v>
      </c>
      <c r="D530" s="6">
        <v>1778529374.3048284</v>
      </c>
      <c r="E530" s="6" t="e">
        <v>#N/A</v>
      </c>
      <c r="F530" s="6">
        <v>43.020000457763672</v>
      </c>
      <c r="G530" s="6">
        <v>43.729999542236328</v>
      </c>
      <c r="H530" s="6">
        <v>15.530865503776099</v>
      </c>
      <c r="I530" s="6">
        <v>0.22377779412971499</v>
      </c>
      <c r="J530" s="6">
        <v>537139000</v>
      </c>
      <c r="K530" s="6">
        <v>-27.165354330708659</v>
      </c>
      <c r="L530" t="s">
        <v>6529</v>
      </c>
      <c r="M530" t="s">
        <v>6530</v>
      </c>
      <c r="N530" s="4" t="s">
        <v>8249</v>
      </c>
      <c r="O530" s="4" t="s">
        <v>8250</v>
      </c>
      <c r="P530" s="4" t="s">
        <v>233</v>
      </c>
    </row>
    <row r="531" spans="1:16" x14ac:dyDescent="0.35">
      <c r="A531" t="s">
        <v>8251</v>
      </c>
      <c r="B531" t="s">
        <v>8252</v>
      </c>
      <c r="C531" t="s">
        <v>16</v>
      </c>
      <c r="D531" s="6">
        <v>3264997956.6308441</v>
      </c>
      <c r="E531" s="6">
        <v>5594031956.6308441</v>
      </c>
      <c r="F531" s="6">
        <v>14.880000114440918</v>
      </c>
      <c r="G531" s="6">
        <v>14.890000343322754</v>
      </c>
      <c r="H531" s="6">
        <v>8.3934119131399854</v>
      </c>
      <c r="I531" s="6">
        <v>5.7546922160849334E-3</v>
      </c>
      <c r="J531" s="6">
        <v>1159127000</v>
      </c>
      <c r="K531" s="6">
        <v>36.45179120617621</v>
      </c>
      <c r="L531" t="s">
        <v>6529</v>
      </c>
      <c r="M531" t="s">
        <v>6639</v>
      </c>
      <c r="N531" s="4" t="s">
        <v>233</v>
      </c>
      <c r="O531" s="4" t="s">
        <v>8253</v>
      </c>
      <c r="P531" s="4" t="s">
        <v>13218</v>
      </c>
    </row>
    <row r="532" spans="1:16" x14ac:dyDescent="0.35">
      <c r="A532" t="s">
        <v>8254</v>
      </c>
      <c r="B532" t="s">
        <v>3663</v>
      </c>
      <c r="C532" t="s">
        <v>16</v>
      </c>
      <c r="D532" s="6">
        <v>79715782.60805206</v>
      </c>
      <c r="E532" s="6">
        <v>-55408217.39194794</v>
      </c>
      <c r="F532" s="6">
        <v>0.64529997110366821</v>
      </c>
      <c r="G532" s="6">
        <v>0.6600000262260437</v>
      </c>
      <c r="H532" s="6" t="e">
        <v>#N/A</v>
      </c>
      <c r="I532" s="6">
        <v>-0.83498900024471767</v>
      </c>
      <c r="J532" s="6">
        <v>34837000</v>
      </c>
      <c r="K532" s="6">
        <v>65.730337078651672</v>
      </c>
      <c r="L532" t="s">
        <v>17</v>
      </c>
      <c r="M532" t="s">
        <v>18</v>
      </c>
      <c r="N532" s="4" t="s">
        <v>3664</v>
      </c>
      <c r="O532" s="4" t="s">
        <v>3665</v>
      </c>
      <c r="P532" s="4" t="s">
        <v>233</v>
      </c>
    </row>
    <row r="533" spans="1:16" x14ac:dyDescent="0.35">
      <c r="A533" t="s">
        <v>8255</v>
      </c>
      <c r="B533" t="s">
        <v>8256</v>
      </c>
      <c r="C533" t="s">
        <v>16</v>
      </c>
      <c r="D533" s="6">
        <v>99469144</v>
      </c>
      <c r="E533" s="6">
        <v>426614144</v>
      </c>
      <c r="F533" s="6">
        <v>2</v>
      </c>
      <c r="G533" s="6">
        <v>2.0399999618530273</v>
      </c>
      <c r="H533" s="6" t="e">
        <v>#N/A</v>
      </c>
      <c r="I533" s="6">
        <v>-0.45413625738248875</v>
      </c>
      <c r="J533" s="6">
        <v>291400000</v>
      </c>
      <c r="K533" s="6">
        <v>-80.800000000000026</v>
      </c>
      <c r="L533" t="s">
        <v>6523</v>
      </c>
      <c r="M533" t="s">
        <v>6524</v>
      </c>
      <c r="N533" s="4" t="s">
        <v>8257</v>
      </c>
      <c r="O533" s="4" t="s">
        <v>8258</v>
      </c>
      <c r="P533" s="4" t="s">
        <v>233</v>
      </c>
    </row>
    <row r="534" spans="1:16" x14ac:dyDescent="0.35">
      <c r="A534" t="s">
        <v>8259</v>
      </c>
      <c r="B534" t="s">
        <v>4088</v>
      </c>
      <c r="C534" t="s">
        <v>16</v>
      </c>
      <c r="D534" s="6">
        <v>429605504.44029331</v>
      </c>
      <c r="E534" s="6">
        <v>221849504.44029331</v>
      </c>
      <c r="F534" s="6">
        <v>15.859999656677246</v>
      </c>
      <c r="G534" s="6">
        <v>15.710000038146973</v>
      </c>
      <c r="H534" s="6" t="e">
        <v>#N/A</v>
      </c>
      <c r="I534" s="6">
        <v>-0.61792739147527875</v>
      </c>
      <c r="J534" s="6">
        <v>160399000</v>
      </c>
      <c r="K534" s="6" t="e">
        <v>#N/A</v>
      </c>
      <c r="L534" t="s">
        <v>17</v>
      </c>
      <c r="M534" t="s">
        <v>18</v>
      </c>
      <c r="N534" s="4" t="s">
        <v>4089</v>
      </c>
      <c r="O534" s="4" t="s">
        <v>4090</v>
      </c>
      <c r="P534" s="4" t="s">
        <v>233</v>
      </c>
    </row>
    <row r="535" spans="1:16" x14ac:dyDescent="0.35">
      <c r="A535" t="s">
        <v>8260</v>
      </c>
      <c r="B535" t="s">
        <v>8261</v>
      </c>
      <c r="C535" t="s">
        <v>16</v>
      </c>
      <c r="D535" s="6">
        <v>1090187890.27561</v>
      </c>
      <c r="E535" s="6">
        <v>11339687890.27561</v>
      </c>
      <c r="F535" s="6">
        <v>5.0500001907348633</v>
      </c>
      <c r="G535" s="6">
        <v>4.9800000190734863</v>
      </c>
      <c r="H535" s="6" t="e">
        <v>#N/A</v>
      </c>
      <c r="I535" s="6">
        <v>1.1264020873092249</v>
      </c>
      <c r="J535" s="6">
        <v>4823400000</v>
      </c>
      <c r="K535" s="6">
        <v>67.635270541082164</v>
      </c>
      <c r="L535" t="s">
        <v>6518</v>
      </c>
      <c r="M535" t="s">
        <v>7048</v>
      </c>
      <c r="N535" s="4" t="s">
        <v>8262</v>
      </c>
      <c r="O535" s="4" t="s">
        <v>8263</v>
      </c>
      <c r="P535" s="4" t="s">
        <v>233</v>
      </c>
    </row>
    <row r="536" spans="1:16" x14ac:dyDescent="0.35">
      <c r="A536" t="s">
        <v>8264</v>
      </c>
      <c r="B536" t="s">
        <v>8265</v>
      </c>
      <c r="C536" t="s">
        <v>16</v>
      </c>
      <c r="D536" s="6">
        <v>336289616.56661987</v>
      </c>
      <c r="E536" s="6" t="e">
        <v>#N/A</v>
      </c>
      <c r="F536" s="6">
        <v>21.370000839233398</v>
      </c>
      <c r="G536" s="6">
        <v>21.540000915527344</v>
      </c>
      <c r="H536" s="6">
        <v>10.631841213548956</v>
      </c>
      <c r="I536" s="6">
        <v>0.39256873802438275</v>
      </c>
      <c r="J536" s="6">
        <v>244443000</v>
      </c>
      <c r="K536" s="6">
        <v>-28.975265017667855</v>
      </c>
      <c r="L536" t="s">
        <v>6529</v>
      </c>
      <c r="M536" t="s">
        <v>6530</v>
      </c>
      <c r="N536" s="4" t="s">
        <v>8266</v>
      </c>
      <c r="O536" s="4" t="s">
        <v>8267</v>
      </c>
      <c r="P536" s="4" t="s">
        <v>233</v>
      </c>
    </row>
    <row r="537" spans="1:16" x14ac:dyDescent="0.35">
      <c r="A537" t="s">
        <v>8268</v>
      </c>
      <c r="B537" t="s">
        <v>8269</v>
      </c>
      <c r="C537" t="s">
        <v>16</v>
      </c>
      <c r="D537" s="6">
        <v>564129655.27888477</v>
      </c>
      <c r="E537" s="6">
        <v>573460655.27888477</v>
      </c>
      <c r="F537" s="6">
        <v>18.139999389648438</v>
      </c>
      <c r="G537" s="6">
        <v>18.229999542236328</v>
      </c>
      <c r="H537" s="6">
        <v>9.4716744655596727</v>
      </c>
      <c r="I537" s="6">
        <v>-0.15234863474673965</v>
      </c>
      <c r="J537" s="6">
        <v>665673000</v>
      </c>
      <c r="K537" s="6">
        <v>20.39473684210525</v>
      </c>
      <c r="L537" t="s">
        <v>6529</v>
      </c>
      <c r="M537" t="s">
        <v>6639</v>
      </c>
      <c r="N537" s="4" t="s">
        <v>8270</v>
      </c>
      <c r="O537" s="4" t="s">
        <v>8271</v>
      </c>
      <c r="P537" s="4" t="s">
        <v>233</v>
      </c>
    </row>
    <row r="538" spans="1:16" x14ac:dyDescent="0.35">
      <c r="A538" t="s">
        <v>8272</v>
      </c>
      <c r="B538" t="s">
        <v>3197</v>
      </c>
      <c r="C538" t="s">
        <v>16</v>
      </c>
      <c r="D538" s="6">
        <v>129797008.87260748</v>
      </c>
      <c r="E538" s="6">
        <v>335619008.87260747</v>
      </c>
      <c r="F538" s="6">
        <v>1.1200000047683716</v>
      </c>
      <c r="G538" s="6">
        <v>1.1000000238418579</v>
      </c>
      <c r="H538" s="6" t="e">
        <v>#N/A</v>
      </c>
      <c r="I538" s="6">
        <v>-0.60183358071011561</v>
      </c>
      <c r="J538" s="6">
        <v>304340000</v>
      </c>
      <c r="K538" s="6">
        <v>100</v>
      </c>
      <c r="L538" t="s">
        <v>17</v>
      </c>
      <c r="M538" t="s">
        <v>18</v>
      </c>
      <c r="N538" s="4" t="s">
        <v>3198</v>
      </c>
      <c r="O538" s="4" t="s">
        <v>3199</v>
      </c>
      <c r="P538" s="4" t="s">
        <v>233</v>
      </c>
    </row>
    <row r="539" spans="1:16" x14ac:dyDescent="0.35">
      <c r="A539" t="s">
        <v>8273</v>
      </c>
      <c r="B539" t="s">
        <v>8274</v>
      </c>
      <c r="C539" t="s">
        <v>16</v>
      </c>
      <c r="D539" s="6">
        <v>7602809337.500001</v>
      </c>
      <c r="E539" s="6">
        <v>6674271337.500001</v>
      </c>
      <c r="F539" s="6">
        <v>211.25</v>
      </c>
      <c r="G539" s="6">
        <v>201.96000671386719</v>
      </c>
      <c r="H539" s="6">
        <v>23.626978934241503</v>
      </c>
      <c r="I539" s="6">
        <v>3.1808702997937255E-2</v>
      </c>
      <c r="J539" s="6">
        <v>3122632000</v>
      </c>
      <c r="K539" s="6">
        <v>28.898426323319018</v>
      </c>
      <c r="L539" t="s">
        <v>6518</v>
      </c>
      <c r="M539" t="s">
        <v>6714</v>
      </c>
      <c r="N539" s="4" t="s">
        <v>233</v>
      </c>
      <c r="O539" s="4" t="s">
        <v>8275</v>
      </c>
      <c r="P539" s="4" t="s">
        <v>13219</v>
      </c>
    </row>
    <row r="540" spans="1:16" x14ac:dyDescent="0.35">
      <c r="A540" t="s">
        <v>8276</v>
      </c>
      <c r="B540" t="s">
        <v>4289</v>
      </c>
      <c r="C540" t="s">
        <v>16</v>
      </c>
      <c r="D540" s="6">
        <v>82357424.536462784</v>
      </c>
      <c r="E540" s="6">
        <v>-8075575.4635372162</v>
      </c>
      <c r="F540" s="6">
        <v>5.4899997711181641</v>
      </c>
      <c r="G540" s="6">
        <v>5.3299999237060547</v>
      </c>
      <c r="H540" s="6" t="e">
        <v>#N/A</v>
      </c>
      <c r="I540" s="6">
        <v>-0.67700736405578188</v>
      </c>
      <c r="J540" s="6">
        <v>0</v>
      </c>
      <c r="K540" s="6">
        <v>42.876144578313244</v>
      </c>
      <c r="L540" t="s">
        <v>17</v>
      </c>
      <c r="M540" t="s">
        <v>18</v>
      </c>
      <c r="N540" s="4" t="s">
        <v>4290</v>
      </c>
      <c r="O540" s="4" t="s">
        <v>4291</v>
      </c>
      <c r="P540" s="4" t="s">
        <v>233</v>
      </c>
    </row>
    <row r="541" spans="1:16" x14ac:dyDescent="0.35">
      <c r="A541" t="s">
        <v>8277</v>
      </c>
      <c r="B541" t="s">
        <v>4459</v>
      </c>
      <c r="C541" t="s">
        <v>16</v>
      </c>
      <c r="D541" s="6">
        <v>629359920.48371172</v>
      </c>
      <c r="E541" s="6">
        <v>-160434079.51628816</v>
      </c>
      <c r="F541" s="6">
        <v>3.7599999904632568</v>
      </c>
      <c r="G541" s="6">
        <v>3.630000114440918</v>
      </c>
      <c r="H541" s="6" t="e">
        <v>#N/A</v>
      </c>
      <c r="I541" s="6">
        <v>-0.60195338388868747</v>
      </c>
      <c r="J541" s="6">
        <v>10007000</v>
      </c>
      <c r="K541" s="6">
        <v>2.9739776951672892</v>
      </c>
      <c r="L541" t="s">
        <v>17</v>
      </c>
      <c r="M541" t="s">
        <v>18</v>
      </c>
      <c r="N541" s="4" t="s">
        <v>4460</v>
      </c>
      <c r="O541" s="4" t="s">
        <v>4461</v>
      </c>
      <c r="P541" s="4" t="s">
        <v>233</v>
      </c>
    </row>
    <row r="542" spans="1:16" x14ac:dyDescent="0.35">
      <c r="A542" t="s">
        <v>8278</v>
      </c>
      <c r="B542" t="s">
        <v>5749</v>
      </c>
      <c r="C542" t="s">
        <v>16</v>
      </c>
      <c r="D542" s="6">
        <v>84956031.772075653</v>
      </c>
      <c r="E542" s="6">
        <v>-84785968.227924347</v>
      </c>
      <c r="F542" s="6">
        <v>3.1500000953674316</v>
      </c>
      <c r="G542" s="6">
        <v>3.0699999332427979</v>
      </c>
      <c r="H542" s="6" t="e">
        <v>#N/A</v>
      </c>
      <c r="I542" s="6">
        <v>-0.77294895988615098</v>
      </c>
      <c r="J542" s="6">
        <v>0</v>
      </c>
      <c r="K542" s="6">
        <v>20.768442767971088</v>
      </c>
      <c r="L542" t="s">
        <v>17</v>
      </c>
      <c r="M542" t="s">
        <v>87</v>
      </c>
      <c r="N542" s="4" t="s">
        <v>5750</v>
      </c>
      <c r="O542" s="4" t="s">
        <v>5751</v>
      </c>
      <c r="P542" s="4" t="s">
        <v>233</v>
      </c>
    </row>
    <row r="543" spans="1:16" x14ac:dyDescent="0.35">
      <c r="A543" t="s">
        <v>13039</v>
      </c>
      <c r="B543" t="s">
        <v>8951</v>
      </c>
      <c r="C543" t="s">
        <v>16</v>
      </c>
      <c r="D543" s="6">
        <v>1732509174.8591309</v>
      </c>
      <c r="E543" s="6">
        <v>3503580174.8591309</v>
      </c>
      <c r="F543" s="6">
        <v>52.099998474121094</v>
      </c>
      <c r="G543" s="6">
        <v>51.439998626708984</v>
      </c>
      <c r="H543" s="6">
        <v>18.693828264395002</v>
      </c>
      <c r="I543" s="6">
        <v>-0.20398185775349131</v>
      </c>
      <c r="J543" s="6">
        <v>721957000</v>
      </c>
      <c r="K543" s="6">
        <v>-13.479623824451416</v>
      </c>
      <c r="L543" t="s">
        <v>6719</v>
      </c>
      <c r="M543" t="s">
        <v>6720</v>
      </c>
      <c r="N543" s="4" t="s">
        <v>8952</v>
      </c>
      <c r="O543" s="4" t="s">
        <v>8953</v>
      </c>
      <c r="P543" s="4" t="s">
        <v>233</v>
      </c>
    </row>
    <row r="544" spans="1:16" x14ac:dyDescent="0.35">
      <c r="A544" t="s">
        <v>8279</v>
      </c>
      <c r="B544" t="s">
        <v>8280</v>
      </c>
      <c r="C544" t="s">
        <v>16</v>
      </c>
      <c r="D544" s="6">
        <v>307971854.39982605</v>
      </c>
      <c r="E544" s="6" t="e">
        <v>#N/A</v>
      </c>
      <c r="F544" s="6">
        <v>13.659999847412109</v>
      </c>
      <c r="G544" s="6">
        <v>13.869999885559082</v>
      </c>
      <c r="H544" s="6">
        <v>17.296306045112349</v>
      </c>
      <c r="I544" s="6">
        <v>0.27327748932073392</v>
      </c>
      <c r="J544" s="6">
        <v>179398000</v>
      </c>
      <c r="K544" s="6">
        <v>-34.482758620689651</v>
      </c>
      <c r="L544" t="s">
        <v>6529</v>
      </c>
      <c r="M544" t="s">
        <v>6530</v>
      </c>
      <c r="N544" s="4" t="s">
        <v>8281</v>
      </c>
      <c r="O544" s="4" t="s">
        <v>8282</v>
      </c>
      <c r="P544" s="4" t="s">
        <v>233</v>
      </c>
    </row>
    <row r="545" spans="1:16" x14ac:dyDescent="0.35">
      <c r="A545" t="s">
        <v>8283</v>
      </c>
      <c r="B545" t="s">
        <v>3522</v>
      </c>
      <c r="C545" t="s">
        <v>16</v>
      </c>
      <c r="D545" s="6">
        <v>553727982.71179199</v>
      </c>
      <c r="E545" s="6">
        <v>953427982.71179199</v>
      </c>
      <c r="F545" s="6">
        <v>13.439999580383301</v>
      </c>
      <c r="G545" s="6">
        <v>13.239999771118164</v>
      </c>
      <c r="H545" s="6">
        <v>937.23846446187554</v>
      </c>
      <c r="I545" s="6">
        <v>-0.24351633510093607</v>
      </c>
      <c r="J545" s="6">
        <v>820800000</v>
      </c>
      <c r="K545" s="6" t="e">
        <v>#N/A</v>
      </c>
      <c r="L545" t="s">
        <v>17</v>
      </c>
      <c r="M545" t="s">
        <v>27</v>
      </c>
      <c r="N545" s="4" t="s">
        <v>3523</v>
      </c>
      <c r="O545" s="4" t="s">
        <v>3524</v>
      </c>
      <c r="P545" s="4" t="s">
        <v>233</v>
      </c>
    </row>
    <row r="546" spans="1:16" x14ac:dyDescent="0.35">
      <c r="A546" t="s">
        <v>8284</v>
      </c>
      <c r="B546" t="s">
        <v>8285</v>
      </c>
      <c r="C546" t="s">
        <v>16</v>
      </c>
      <c r="D546" s="6">
        <v>250395037.8311615</v>
      </c>
      <c r="E546" s="6">
        <v>644261037.8311615</v>
      </c>
      <c r="F546" s="6">
        <v>10.649999618530273</v>
      </c>
      <c r="G546" s="6">
        <v>10.699999809265137</v>
      </c>
      <c r="H546" s="6">
        <v>5.4052186593891314</v>
      </c>
      <c r="I546" s="6">
        <v>0.13577784636196877</v>
      </c>
      <c r="J546" s="6">
        <v>162246000</v>
      </c>
      <c r="K546" s="6" t="e">
        <v>#N/A</v>
      </c>
      <c r="L546" t="s">
        <v>6529</v>
      </c>
      <c r="M546" t="s">
        <v>8169</v>
      </c>
      <c r="N546" s="4" t="s">
        <v>8286</v>
      </c>
      <c r="O546" s="4" t="s">
        <v>8287</v>
      </c>
      <c r="P546" s="4" t="s">
        <v>233</v>
      </c>
    </row>
    <row r="547" spans="1:16" x14ac:dyDescent="0.35">
      <c r="A547" t="s">
        <v>8288</v>
      </c>
      <c r="B547" t="s">
        <v>5081</v>
      </c>
      <c r="C547" t="s">
        <v>16</v>
      </c>
      <c r="D547" s="6">
        <v>680697270.37033081</v>
      </c>
      <c r="E547" s="6">
        <v>131654270.37033081</v>
      </c>
      <c r="F547" s="6">
        <v>8.0399999618530273</v>
      </c>
      <c r="G547" s="6">
        <v>7.630000114440918</v>
      </c>
      <c r="H547" s="6" t="e">
        <v>#N/A</v>
      </c>
      <c r="I547" s="6">
        <v>-0.40050049100032881</v>
      </c>
      <c r="J547" s="6">
        <v>11758000</v>
      </c>
      <c r="K547" s="6">
        <v>-7.2164948453608231</v>
      </c>
      <c r="L547" t="s">
        <v>17</v>
      </c>
      <c r="M547" t="s">
        <v>18</v>
      </c>
      <c r="N547" s="4" t="s">
        <v>5082</v>
      </c>
      <c r="O547" s="4" t="s">
        <v>5083</v>
      </c>
      <c r="P547" s="4" t="s">
        <v>233</v>
      </c>
    </row>
    <row r="548" spans="1:16" x14ac:dyDescent="0.35">
      <c r="A548" t="s">
        <v>8289</v>
      </c>
      <c r="B548" t="s">
        <v>5130</v>
      </c>
      <c r="C548" t="s">
        <v>16</v>
      </c>
      <c r="D548" s="6">
        <v>156832384.79808331</v>
      </c>
      <c r="E548" s="6">
        <v>-342729615.20191658</v>
      </c>
      <c r="F548" s="6">
        <v>0.53680002689361572</v>
      </c>
      <c r="G548" s="6">
        <v>0.53100001811981201</v>
      </c>
      <c r="H548" s="6" t="e">
        <v>#N/A</v>
      </c>
      <c r="I548" s="6">
        <v>-0.72089112369545916</v>
      </c>
      <c r="J548" s="6">
        <v>130000</v>
      </c>
      <c r="K548" s="6">
        <v>-25.675675675675684</v>
      </c>
      <c r="L548" t="s">
        <v>17</v>
      </c>
      <c r="M548" t="s">
        <v>18</v>
      </c>
      <c r="N548" s="4" t="s">
        <v>5131</v>
      </c>
      <c r="O548" s="4" t="s">
        <v>5132</v>
      </c>
      <c r="P548" s="4" t="s">
        <v>233</v>
      </c>
    </row>
    <row r="549" spans="1:16" x14ac:dyDescent="0.35">
      <c r="A549" t="s">
        <v>8290</v>
      </c>
      <c r="B549" t="s">
        <v>8291</v>
      </c>
      <c r="C549" t="s">
        <v>16</v>
      </c>
      <c r="D549" s="6">
        <v>4153265515.4419246</v>
      </c>
      <c r="E549" s="6">
        <v>9140265515.441925</v>
      </c>
      <c r="F549" s="6">
        <v>42.169998168945313</v>
      </c>
      <c r="G549" s="6">
        <v>40.700000762939453</v>
      </c>
      <c r="H549" s="6">
        <v>13.19432045615534</v>
      </c>
      <c r="I549" s="6">
        <v>-4.4511575104170698E-2</v>
      </c>
      <c r="J549" s="6">
        <v>4716000000</v>
      </c>
      <c r="K549" s="6">
        <v>-69.20415224913495</v>
      </c>
      <c r="L549" t="s">
        <v>6540</v>
      </c>
      <c r="M549" t="s">
        <v>6825</v>
      </c>
      <c r="N549" s="4" t="s">
        <v>8292</v>
      </c>
      <c r="O549" s="4" t="s">
        <v>8293</v>
      </c>
      <c r="P549" s="4" t="s">
        <v>233</v>
      </c>
    </row>
    <row r="550" spans="1:16" x14ac:dyDescent="0.35">
      <c r="A550" t="s">
        <v>8294</v>
      </c>
      <c r="B550" t="s">
        <v>8295</v>
      </c>
      <c r="C550" t="s">
        <v>16</v>
      </c>
      <c r="D550" s="6">
        <v>159864197.47156906</v>
      </c>
      <c r="E550" s="6">
        <v>441098197.47156906</v>
      </c>
      <c r="F550" s="6">
        <v>19.770000457763672</v>
      </c>
      <c r="G550" s="6">
        <v>19.510000228881836</v>
      </c>
      <c r="H550" s="6" t="e">
        <v>#N/A</v>
      </c>
      <c r="I550" s="6">
        <v>-0.18260640965839092</v>
      </c>
      <c r="J550" s="6">
        <v>48157000</v>
      </c>
      <c r="K550" s="6" t="e">
        <v>#N/A</v>
      </c>
      <c r="L550" t="s">
        <v>6623</v>
      </c>
      <c r="M550" t="s">
        <v>6634</v>
      </c>
      <c r="N550" s="4" t="s">
        <v>8296</v>
      </c>
      <c r="O550" s="4" t="s">
        <v>8297</v>
      </c>
      <c r="P550" s="4" t="s">
        <v>233</v>
      </c>
    </row>
    <row r="551" spans="1:16" x14ac:dyDescent="0.35">
      <c r="A551" t="s">
        <v>8298</v>
      </c>
      <c r="B551" t="s">
        <v>8299</v>
      </c>
      <c r="C551" t="s">
        <v>16</v>
      </c>
      <c r="D551" s="6">
        <v>880623692.1349926</v>
      </c>
      <c r="E551" s="6">
        <v>1313428692.1349926</v>
      </c>
      <c r="F551" s="6">
        <v>7.3600001335144043</v>
      </c>
      <c r="G551" s="6">
        <v>7.2800002098083496</v>
      </c>
      <c r="H551" s="6">
        <v>115.04853818821071</v>
      </c>
      <c r="I551" s="6">
        <v>0.1659121198785769</v>
      </c>
      <c r="J551" s="6">
        <v>711683000</v>
      </c>
      <c r="K551" s="6">
        <v>68.181818181818187</v>
      </c>
      <c r="L551" t="s">
        <v>6735</v>
      </c>
      <c r="M551" t="s">
        <v>6747</v>
      </c>
      <c r="N551" s="4" t="s">
        <v>8300</v>
      </c>
      <c r="O551" s="4" t="s">
        <v>8301</v>
      </c>
      <c r="P551" s="4" t="s">
        <v>233</v>
      </c>
    </row>
    <row r="552" spans="1:16" x14ac:dyDescent="0.35">
      <c r="A552" t="s">
        <v>8302</v>
      </c>
      <c r="B552" t="s">
        <v>8303</v>
      </c>
      <c r="C552" t="s">
        <v>16</v>
      </c>
      <c r="D552" s="6">
        <v>1652170650.9259529</v>
      </c>
      <c r="E552" s="6">
        <v>1745570650.9259529</v>
      </c>
      <c r="F552" s="6">
        <v>31.739999771118164</v>
      </c>
      <c r="G552" s="6">
        <v>31.829999923706055</v>
      </c>
      <c r="H552" s="6">
        <v>22.737692540488112</v>
      </c>
      <c r="I552" s="6">
        <v>0.8265775776621036</v>
      </c>
      <c r="J552" s="6">
        <v>2380200000</v>
      </c>
      <c r="K552" s="6">
        <v>522.07792207792204</v>
      </c>
      <c r="L552" t="s">
        <v>6547</v>
      </c>
      <c r="M552" t="s">
        <v>6668</v>
      </c>
      <c r="N552" s="4" t="s">
        <v>8304</v>
      </c>
      <c r="O552" s="4" t="s">
        <v>8305</v>
      </c>
      <c r="P552" s="4" t="s">
        <v>233</v>
      </c>
    </row>
    <row r="553" spans="1:16" x14ac:dyDescent="0.35">
      <c r="A553" t="s">
        <v>8309</v>
      </c>
      <c r="B553" t="s">
        <v>8310</v>
      </c>
      <c r="C553" t="s">
        <v>16</v>
      </c>
      <c r="D553" s="6">
        <v>472764344.89251703</v>
      </c>
      <c r="E553" s="6">
        <v>1373364344.8925171</v>
      </c>
      <c r="F553" s="6">
        <v>5.0900001525878906</v>
      </c>
      <c r="G553" s="6">
        <v>5</v>
      </c>
      <c r="H553" s="6">
        <v>6.4175709716352083</v>
      </c>
      <c r="I553" s="6">
        <v>-0.17645506280070389</v>
      </c>
      <c r="J553" s="6">
        <v>1706700000</v>
      </c>
      <c r="K553" s="6" t="e">
        <v>#N/A</v>
      </c>
      <c r="L553" t="s">
        <v>6547</v>
      </c>
      <c r="M553" t="s">
        <v>6802</v>
      </c>
      <c r="N553" s="4" t="s">
        <v>8311</v>
      </c>
      <c r="O553" s="4" t="s">
        <v>8312</v>
      </c>
      <c r="P553" s="4" t="s">
        <v>233</v>
      </c>
    </row>
    <row r="554" spans="1:16" x14ac:dyDescent="0.35">
      <c r="A554" t="s">
        <v>8313</v>
      </c>
      <c r="B554" t="s">
        <v>8314</v>
      </c>
      <c r="C554" t="s">
        <v>16</v>
      </c>
      <c r="D554" s="6">
        <v>589944693.99999988</v>
      </c>
      <c r="E554" s="6">
        <v>670298693.99999988</v>
      </c>
      <c r="F554" s="6">
        <v>31</v>
      </c>
      <c r="G554" s="6">
        <v>31.129999160766602</v>
      </c>
      <c r="H554" s="6">
        <v>279.41269254689172</v>
      </c>
      <c r="I554" s="6">
        <v>1.2211238511754541E-2</v>
      </c>
      <c r="J554" s="6">
        <v>41348000</v>
      </c>
      <c r="K554" s="6">
        <v>50</v>
      </c>
      <c r="L554" t="s">
        <v>6623</v>
      </c>
      <c r="M554" t="s">
        <v>6634</v>
      </c>
      <c r="N554" s="4" t="s">
        <v>8315</v>
      </c>
      <c r="O554" s="4" t="s">
        <v>8316</v>
      </c>
      <c r="P554" s="4" t="s">
        <v>233</v>
      </c>
    </row>
    <row r="555" spans="1:16" x14ac:dyDescent="0.35">
      <c r="A555" t="s">
        <v>8317</v>
      </c>
      <c r="B555" t="s">
        <v>8318</v>
      </c>
      <c r="C555" t="s">
        <v>16</v>
      </c>
      <c r="D555" s="6">
        <v>241544674.96664044</v>
      </c>
      <c r="E555" s="6">
        <v>564900674.96664047</v>
      </c>
      <c r="F555" s="6">
        <v>16.440000534057617</v>
      </c>
      <c r="G555" s="6">
        <v>16.25</v>
      </c>
      <c r="H555" s="6">
        <v>720.98941031741151</v>
      </c>
      <c r="I555" s="6">
        <v>9.6429438279477697E-2</v>
      </c>
      <c r="J555" s="6">
        <v>52227000</v>
      </c>
      <c r="K555" s="6">
        <v>-28.571428571428573</v>
      </c>
      <c r="L555" t="s">
        <v>6623</v>
      </c>
      <c r="M555" t="s">
        <v>6700</v>
      </c>
      <c r="N555" s="4" t="s">
        <v>8319</v>
      </c>
      <c r="O555" s="4" t="s">
        <v>8320</v>
      </c>
      <c r="P555" s="4" t="s">
        <v>233</v>
      </c>
    </row>
    <row r="556" spans="1:16" x14ac:dyDescent="0.35">
      <c r="A556" t="s">
        <v>8321</v>
      </c>
      <c r="B556" t="s">
        <v>8322</v>
      </c>
      <c r="C556" t="s">
        <v>16</v>
      </c>
      <c r="D556" s="6">
        <v>303242660</v>
      </c>
      <c r="E556" s="6">
        <v>379326660</v>
      </c>
      <c r="F556" s="6">
        <v>28</v>
      </c>
      <c r="G556" s="6">
        <v>27.690000534057617</v>
      </c>
      <c r="H556" s="6">
        <v>6.9359241982752824</v>
      </c>
      <c r="I556" s="6">
        <v>0.17496363771680712</v>
      </c>
      <c r="J556" s="6">
        <v>537459000</v>
      </c>
      <c r="K556" s="6" t="e">
        <v>#N/A</v>
      </c>
      <c r="L556" t="s">
        <v>6547</v>
      </c>
      <c r="M556" t="s">
        <v>6668</v>
      </c>
      <c r="N556" s="4" t="s">
        <v>8323</v>
      </c>
      <c r="O556" s="4" t="s">
        <v>8324</v>
      </c>
      <c r="P556" s="4" t="s">
        <v>233</v>
      </c>
    </row>
    <row r="557" spans="1:16" x14ac:dyDescent="0.35">
      <c r="A557" t="s">
        <v>8325</v>
      </c>
      <c r="B557" t="s">
        <v>1706</v>
      </c>
      <c r="C557" t="s">
        <v>16</v>
      </c>
      <c r="D557" s="6">
        <v>982117733.77290297</v>
      </c>
      <c r="E557" s="6">
        <v>5890313733.7729034</v>
      </c>
      <c r="F557" s="6">
        <v>4.929999828338623</v>
      </c>
      <c r="G557" s="6">
        <v>4.6999998092651367</v>
      </c>
      <c r="H557" s="6" t="e">
        <v>#N/A</v>
      </c>
      <c r="I557" s="6">
        <v>-0.17515028207560523</v>
      </c>
      <c r="J557" s="6">
        <v>3099022000</v>
      </c>
      <c r="K557" s="6">
        <v>-61.403508771929815</v>
      </c>
      <c r="L557" t="s">
        <v>17</v>
      </c>
      <c r="M557" t="s">
        <v>40</v>
      </c>
      <c r="N557" s="4" t="s">
        <v>1707</v>
      </c>
      <c r="O557" s="4" t="s">
        <v>1708</v>
      </c>
      <c r="P557" s="4" t="s">
        <v>233</v>
      </c>
    </row>
    <row r="558" spans="1:16" x14ac:dyDescent="0.35">
      <c r="A558" t="s">
        <v>8326</v>
      </c>
      <c r="B558" t="s">
        <v>5757</v>
      </c>
      <c r="C558" t="s">
        <v>16</v>
      </c>
      <c r="D558" s="6">
        <v>114836491.62544917</v>
      </c>
      <c r="E558" s="6">
        <v>-197614508.37455076</v>
      </c>
      <c r="F558" s="6">
        <v>2.6600000858306885</v>
      </c>
      <c r="G558" s="6">
        <v>2.9000000953674316</v>
      </c>
      <c r="H558" s="6" t="e">
        <v>#N/A</v>
      </c>
      <c r="I558" s="6">
        <v>-0.91053624275891676</v>
      </c>
      <c r="J558" s="6" t="e">
        <v>#N/A</v>
      </c>
      <c r="K558" s="6" t="e">
        <v>#N/A</v>
      </c>
      <c r="L558" t="s">
        <v>17</v>
      </c>
      <c r="M558" t="s">
        <v>18</v>
      </c>
      <c r="N558" s="4" t="s">
        <v>5758</v>
      </c>
      <c r="O558" s="4" t="s">
        <v>5759</v>
      </c>
      <c r="P558" s="4" t="s">
        <v>233</v>
      </c>
    </row>
    <row r="559" spans="1:16" x14ac:dyDescent="0.35">
      <c r="A559" t="s">
        <v>8327</v>
      </c>
      <c r="B559" t="s">
        <v>8328</v>
      </c>
      <c r="C559" t="s">
        <v>16</v>
      </c>
      <c r="D559" s="6">
        <v>215315158.89887044</v>
      </c>
      <c r="E559" s="6">
        <v>82010158.898870438</v>
      </c>
      <c r="F559" s="6">
        <v>4.9200000762939453</v>
      </c>
      <c r="G559" s="6">
        <v>4.9000000953674316</v>
      </c>
      <c r="H559" s="6">
        <v>6.5868921868936186</v>
      </c>
      <c r="I559" s="6">
        <v>0.20869989740241346</v>
      </c>
      <c r="J559" s="6">
        <v>273839000</v>
      </c>
      <c r="K559" s="6">
        <v>26.153846153846178</v>
      </c>
      <c r="L559" t="s">
        <v>6523</v>
      </c>
      <c r="M559" t="s">
        <v>6524</v>
      </c>
      <c r="N559" s="4" t="s">
        <v>8329</v>
      </c>
      <c r="O559" s="4" t="s">
        <v>8330</v>
      </c>
      <c r="P559" s="4" t="s">
        <v>233</v>
      </c>
    </row>
    <row r="560" spans="1:16" x14ac:dyDescent="0.35">
      <c r="A560" t="s">
        <v>8331</v>
      </c>
      <c r="B560" t="s">
        <v>3740</v>
      </c>
      <c r="C560" t="s">
        <v>16</v>
      </c>
      <c r="D560" s="6">
        <v>3542385419.6495819</v>
      </c>
      <c r="E560" s="6">
        <v>3398025419.6495819</v>
      </c>
      <c r="F560" s="6">
        <v>57.639999389648438</v>
      </c>
      <c r="G560" s="6">
        <v>56.389999389648438</v>
      </c>
      <c r="H560" s="6" t="e">
        <v>#N/A</v>
      </c>
      <c r="I560" s="6">
        <v>9.8877029671529559E-2</v>
      </c>
      <c r="J560" s="6">
        <v>112530000</v>
      </c>
      <c r="K560" s="6">
        <v>-33.230769230769234</v>
      </c>
      <c r="L560" t="s">
        <v>17</v>
      </c>
      <c r="M560" t="s">
        <v>18</v>
      </c>
      <c r="N560" s="4" t="s">
        <v>3741</v>
      </c>
      <c r="O560" s="4" t="s">
        <v>3742</v>
      </c>
      <c r="P560" s="4" t="s">
        <v>233</v>
      </c>
    </row>
    <row r="561" spans="1:16" x14ac:dyDescent="0.35">
      <c r="A561" t="s">
        <v>8332</v>
      </c>
      <c r="B561" t="s">
        <v>13399</v>
      </c>
      <c r="C561" t="s">
        <v>16</v>
      </c>
      <c r="D561" s="6">
        <v>421669108.91114688</v>
      </c>
      <c r="E561" s="6">
        <v>6740169108.9111471</v>
      </c>
      <c r="F561" s="6">
        <v>3.9300000667572021</v>
      </c>
      <c r="G561" s="6">
        <v>4.1999998092651367</v>
      </c>
      <c r="H561" s="6">
        <v>1.9605094864000019</v>
      </c>
      <c r="I561" s="6">
        <v>-0.5064294650915524</v>
      </c>
      <c r="J561" s="6">
        <v>3463000000</v>
      </c>
      <c r="K561" s="6">
        <v>102.66666666666667</v>
      </c>
      <c r="L561" t="s">
        <v>6514</v>
      </c>
      <c r="M561" t="s">
        <v>6534</v>
      </c>
      <c r="N561" s="4" t="s">
        <v>8333</v>
      </c>
      <c r="O561" s="4" t="s">
        <v>8334</v>
      </c>
      <c r="P561" s="4" t="s">
        <v>233</v>
      </c>
    </row>
    <row r="562" spans="1:16" x14ac:dyDescent="0.35">
      <c r="A562" t="s">
        <v>8335</v>
      </c>
      <c r="B562" t="s">
        <v>5633</v>
      </c>
      <c r="C562" t="s">
        <v>16</v>
      </c>
      <c r="D562" s="6">
        <v>200651138</v>
      </c>
      <c r="E562" s="6">
        <v>-519105862.00000012</v>
      </c>
      <c r="F562" s="6">
        <v>2</v>
      </c>
      <c r="G562" s="6">
        <v>2.0199999809265137</v>
      </c>
      <c r="H562" s="6" t="e">
        <v>#N/A</v>
      </c>
      <c r="I562" s="6">
        <v>-0.74097863190059288</v>
      </c>
      <c r="J562" s="6">
        <v>0</v>
      </c>
      <c r="K562" s="6">
        <v>74.253200568990039</v>
      </c>
      <c r="L562" t="s">
        <v>17</v>
      </c>
      <c r="M562" t="s">
        <v>18</v>
      </c>
      <c r="N562" s="4" t="s">
        <v>5634</v>
      </c>
      <c r="O562" s="4" t="s">
        <v>5635</v>
      </c>
      <c r="P562" s="4" t="s">
        <v>233</v>
      </c>
    </row>
    <row r="563" spans="1:16" x14ac:dyDescent="0.35">
      <c r="A563" t="s">
        <v>8336</v>
      </c>
      <c r="B563" t="s">
        <v>8337</v>
      </c>
      <c r="C563" t="s">
        <v>16</v>
      </c>
      <c r="D563" s="6">
        <v>702812036.95321655</v>
      </c>
      <c r="E563" s="6">
        <v>1042468036.9532166</v>
      </c>
      <c r="F563" s="6">
        <v>7.190000057220459</v>
      </c>
      <c r="G563" s="6">
        <v>7.1500000953674316</v>
      </c>
      <c r="H563" s="6" t="e">
        <v>#N/A</v>
      </c>
      <c r="I563" s="6">
        <v>-0.14164565374531224</v>
      </c>
      <c r="J563" s="6">
        <v>310758000</v>
      </c>
      <c r="K563" s="6">
        <v>-72.000000000000014</v>
      </c>
      <c r="L563" t="s">
        <v>6529</v>
      </c>
      <c r="M563" t="s">
        <v>6639</v>
      </c>
      <c r="N563" s="4" t="s">
        <v>8338</v>
      </c>
      <c r="O563" s="4" t="s">
        <v>8339</v>
      </c>
      <c r="P563" s="4" t="s">
        <v>233</v>
      </c>
    </row>
    <row r="564" spans="1:16" x14ac:dyDescent="0.35">
      <c r="A564" t="s">
        <v>8340</v>
      </c>
      <c r="B564" t="s">
        <v>8341</v>
      </c>
      <c r="C564" t="s">
        <v>16</v>
      </c>
      <c r="D564" s="6">
        <v>271702841.00141525</v>
      </c>
      <c r="E564" s="6" t="e">
        <v>#N/A</v>
      </c>
      <c r="F564" s="6">
        <v>10.989999771118164</v>
      </c>
      <c r="G564" s="6">
        <v>11.090000152587891</v>
      </c>
      <c r="H564" s="6" t="e">
        <v>#N/A</v>
      </c>
      <c r="I564" s="6">
        <v>-0.10398007815429156</v>
      </c>
      <c r="J564" s="6">
        <v>254171000</v>
      </c>
      <c r="K564" s="6">
        <v>3.1250000000000027</v>
      </c>
      <c r="L564" t="s">
        <v>6529</v>
      </c>
      <c r="M564" t="s">
        <v>6530</v>
      </c>
      <c r="N564" s="4" t="s">
        <v>8342</v>
      </c>
      <c r="O564" s="4" t="s">
        <v>8343</v>
      </c>
      <c r="P564" s="4" t="s">
        <v>233</v>
      </c>
    </row>
    <row r="565" spans="1:16" x14ac:dyDescent="0.35">
      <c r="A565" t="s">
        <v>8344</v>
      </c>
      <c r="B565" t="s">
        <v>8345</v>
      </c>
      <c r="C565" t="s">
        <v>16</v>
      </c>
      <c r="D565" s="6">
        <v>243537175.47131538</v>
      </c>
      <c r="E565" s="6" t="e">
        <v>#N/A</v>
      </c>
      <c r="F565" s="6">
        <v>30.989999771118164</v>
      </c>
      <c r="G565" s="6">
        <v>31</v>
      </c>
      <c r="H565" s="6">
        <v>26.487179291553989</v>
      </c>
      <c r="I565" s="6">
        <v>0.20445210267246683</v>
      </c>
      <c r="J565" s="6">
        <v>195712000</v>
      </c>
      <c r="K565" s="6">
        <v>-74.946921443736727</v>
      </c>
      <c r="L565" t="s">
        <v>6529</v>
      </c>
      <c r="M565" t="s">
        <v>6530</v>
      </c>
      <c r="N565" s="4" t="s">
        <v>8346</v>
      </c>
      <c r="O565" s="4" t="s">
        <v>8347</v>
      </c>
      <c r="P565" s="4" t="s">
        <v>233</v>
      </c>
    </row>
    <row r="566" spans="1:16" x14ac:dyDescent="0.35">
      <c r="A566" t="s">
        <v>8348</v>
      </c>
      <c r="B566" t="s">
        <v>8349</v>
      </c>
      <c r="C566" t="s">
        <v>16</v>
      </c>
      <c r="D566" s="6">
        <v>3305487096.9740748</v>
      </c>
      <c r="E566" s="6">
        <v>4712787096.9740753</v>
      </c>
      <c r="F566" s="6">
        <v>53.139999389648438</v>
      </c>
      <c r="G566" s="6">
        <v>53.209999084472656</v>
      </c>
      <c r="H566" s="6">
        <v>14.861853667974449</v>
      </c>
      <c r="I566" s="6">
        <v>0.31819615122119238</v>
      </c>
      <c r="J566" s="6">
        <v>8359400000</v>
      </c>
      <c r="K566" s="6">
        <v>-66.141732283464563</v>
      </c>
      <c r="L566" t="s">
        <v>6547</v>
      </c>
      <c r="M566" t="s">
        <v>6802</v>
      </c>
      <c r="N566" s="4" t="s">
        <v>8350</v>
      </c>
      <c r="O566" s="4" t="s">
        <v>8351</v>
      </c>
      <c r="P566" s="4" t="s">
        <v>233</v>
      </c>
    </row>
    <row r="567" spans="1:16" x14ac:dyDescent="0.35">
      <c r="A567" t="s">
        <v>8352</v>
      </c>
      <c r="B567" t="s">
        <v>2657</v>
      </c>
      <c r="C567" t="s">
        <v>16</v>
      </c>
      <c r="D567" s="6">
        <v>270599674.68442154</v>
      </c>
      <c r="E567" s="6">
        <v>220013674.68442154</v>
      </c>
      <c r="F567" s="6">
        <v>6.0799999237060547</v>
      </c>
      <c r="G567" s="6">
        <v>5.6500000953674316</v>
      </c>
      <c r="H567" s="6" t="e">
        <v>#N/A</v>
      </c>
      <c r="I567" s="6">
        <v>-0.48641571151774621</v>
      </c>
      <c r="J567" s="6">
        <v>10000000</v>
      </c>
      <c r="K567" s="6">
        <v>21.03960396041111</v>
      </c>
      <c r="L567" t="s">
        <v>17</v>
      </c>
      <c r="M567" t="s">
        <v>18</v>
      </c>
      <c r="N567" s="4" t="s">
        <v>2658</v>
      </c>
      <c r="O567" s="4" t="s">
        <v>2659</v>
      </c>
      <c r="P567" s="4" t="s">
        <v>233</v>
      </c>
    </row>
    <row r="568" spans="1:16" x14ac:dyDescent="0.35">
      <c r="A568" t="s">
        <v>8353</v>
      </c>
      <c r="B568" t="s">
        <v>8354</v>
      </c>
      <c r="C568" t="s">
        <v>16</v>
      </c>
      <c r="D568" s="6">
        <v>1283686179.75</v>
      </c>
      <c r="E568" s="6">
        <v>1705488179.75</v>
      </c>
      <c r="F568" s="6">
        <v>29.25</v>
      </c>
      <c r="G568" s="6">
        <v>29.489999771118164</v>
      </c>
      <c r="H568" s="6">
        <v>7.3394486204722194</v>
      </c>
      <c r="I568" s="6">
        <v>-8.1993830677881019E-2</v>
      </c>
      <c r="J568" s="6">
        <v>3106043000</v>
      </c>
      <c r="K568" s="6" t="e">
        <v>#N/A</v>
      </c>
      <c r="L568" t="s">
        <v>6540</v>
      </c>
      <c r="M568" t="s">
        <v>7034</v>
      </c>
      <c r="N568" s="4" t="s">
        <v>8355</v>
      </c>
      <c r="O568" s="4" t="s">
        <v>8356</v>
      </c>
      <c r="P568" s="4" t="s">
        <v>233</v>
      </c>
    </row>
    <row r="569" spans="1:16" x14ac:dyDescent="0.35">
      <c r="A569" t="s">
        <v>8357</v>
      </c>
      <c r="B569" t="s">
        <v>8358</v>
      </c>
      <c r="C569" t="s">
        <v>16</v>
      </c>
      <c r="D569" s="6">
        <v>3203291726.8364258</v>
      </c>
      <c r="E569" s="6">
        <v>4952181726.8364258</v>
      </c>
      <c r="F569" s="6">
        <v>87.510002136230469</v>
      </c>
      <c r="G569" s="6">
        <v>86.300003051757813</v>
      </c>
      <c r="H569" s="6">
        <v>23.22907250311512</v>
      </c>
      <c r="I569" s="6">
        <v>0.56533825896058532</v>
      </c>
      <c r="J569" s="6">
        <v>1518307000</v>
      </c>
      <c r="K569" s="6">
        <v>-13.852813852813856</v>
      </c>
      <c r="L569" t="s">
        <v>6547</v>
      </c>
      <c r="M569" t="s">
        <v>6875</v>
      </c>
      <c r="N569" s="4" t="s">
        <v>8359</v>
      </c>
      <c r="O569" s="4" t="s">
        <v>8360</v>
      </c>
      <c r="P569" s="4" t="s">
        <v>233</v>
      </c>
    </row>
    <row r="570" spans="1:16" x14ac:dyDescent="0.35">
      <c r="A570" t="s">
        <v>8361</v>
      </c>
      <c r="B570" t="s">
        <v>168</v>
      </c>
      <c r="C570" t="s">
        <v>16</v>
      </c>
      <c r="D570" s="6">
        <v>1125567407.7234993</v>
      </c>
      <c r="E570" s="6">
        <v>1124005407.7234993</v>
      </c>
      <c r="F570" s="6">
        <v>17.979999542236328</v>
      </c>
      <c r="G570" s="6">
        <v>17.920000076293945</v>
      </c>
      <c r="H570" s="6">
        <v>9.8292990431665501</v>
      </c>
      <c r="I570" s="6">
        <v>0.14407196926569732</v>
      </c>
      <c r="J570" s="6">
        <v>352745000</v>
      </c>
      <c r="K570" s="6">
        <v>25.92592592592592</v>
      </c>
      <c r="L570" t="s">
        <v>17</v>
      </c>
      <c r="M570" t="s">
        <v>87</v>
      </c>
      <c r="N570" s="4" t="s">
        <v>169</v>
      </c>
      <c r="O570" s="4" t="s">
        <v>170</v>
      </c>
      <c r="P570" s="4" t="s">
        <v>233</v>
      </c>
    </row>
    <row r="571" spans="1:16" x14ac:dyDescent="0.35">
      <c r="A571" t="s">
        <v>8362</v>
      </c>
      <c r="B571" t="s">
        <v>8363</v>
      </c>
      <c r="C571" t="s">
        <v>16</v>
      </c>
      <c r="D571" s="6">
        <v>1567631364.4001245</v>
      </c>
      <c r="E571" s="6">
        <v>2188267364.4001245</v>
      </c>
      <c r="F571" s="6">
        <v>6.619999885559082</v>
      </c>
      <c r="G571" s="6">
        <v>6.619999885559082</v>
      </c>
      <c r="H571" s="6" t="e">
        <v>#N/A</v>
      </c>
      <c r="I571" s="6">
        <v>0.24129093843153449</v>
      </c>
      <c r="J571" s="6">
        <v>1457515000</v>
      </c>
      <c r="K571" s="6">
        <v>-2299.9999999999982</v>
      </c>
      <c r="L571" t="s">
        <v>6518</v>
      </c>
      <c r="M571" t="s">
        <v>7048</v>
      </c>
      <c r="N571" s="4" t="s">
        <v>8364</v>
      </c>
      <c r="O571" s="4" t="s">
        <v>8365</v>
      </c>
      <c r="P571" s="4" t="s">
        <v>233</v>
      </c>
    </row>
    <row r="572" spans="1:16" x14ac:dyDescent="0.35">
      <c r="A572" t="s">
        <v>8366</v>
      </c>
      <c r="B572" t="s">
        <v>8367</v>
      </c>
      <c r="C572" t="s">
        <v>16</v>
      </c>
      <c r="D572" s="6">
        <v>694647922.49999988</v>
      </c>
      <c r="E572" s="6" t="e">
        <v>#N/A</v>
      </c>
      <c r="F572" s="6">
        <v>59.5</v>
      </c>
      <c r="G572" s="6">
        <v>60.549999237060547</v>
      </c>
      <c r="H572" s="6">
        <v>11.311787072243346</v>
      </c>
      <c r="I572" s="6">
        <v>0.17564222741337288</v>
      </c>
      <c r="J572" s="6">
        <v>355263000</v>
      </c>
      <c r="K572" s="6">
        <v>-6.5486725663716836</v>
      </c>
      <c r="L572" t="s">
        <v>6529</v>
      </c>
      <c r="M572" t="s">
        <v>6530</v>
      </c>
      <c r="N572" s="4" t="s">
        <v>8368</v>
      </c>
      <c r="O572" s="4" t="s">
        <v>8369</v>
      </c>
      <c r="P572" s="4" t="s">
        <v>233</v>
      </c>
    </row>
    <row r="573" spans="1:16" x14ac:dyDescent="0.35">
      <c r="A573" t="s">
        <v>8370</v>
      </c>
      <c r="B573" t="s">
        <v>3917</v>
      </c>
      <c r="C573" t="s">
        <v>16</v>
      </c>
      <c r="D573" s="6">
        <v>681026171.42420769</v>
      </c>
      <c r="E573" s="6">
        <v>400214171.42420769</v>
      </c>
      <c r="F573" s="6">
        <v>23.010000228881836</v>
      </c>
      <c r="G573" s="6">
        <v>22.760000228881836</v>
      </c>
      <c r="H573" s="6" t="e">
        <v>#N/A</v>
      </c>
      <c r="I573" s="6">
        <v>-9.4447493078575473E-3</v>
      </c>
      <c r="J573" s="6">
        <v>5366000</v>
      </c>
      <c r="K573" s="6">
        <v>85.78503885574338</v>
      </c>
      <c r="L573" t="s">
        <v>17</v>
      </c>
      <c r="M573" t="s">
        <v>18</v>
      </c>
      <c r="N573" s="4" t="s">
        <v>3918</v>
      </c>
      <c r="O573" s="4" t="s">
        <v>3919</v>
      </c>
      <c r="P573" s="4" t="s">
        <v>233</v>
      </c>
    </row>
    <row r="574" spans="1:16" x14ac:dyDescent="0.35">
      <c r="A574" t="s">
        <v>8371</v>
      </c>
      <c r="B574" t="s">
        <v>8372</v>
      </c>
      <c r="C574" t="s">
        <v>16</v>
      </c>
      <c r="D574" s="6">
        <v>503543379.02597046</v>
      </c>
      <c r="E574" s="6">
        <v>546088379.02597046</v>
      </c>
      <c r="F574" s="6">
        <v>16.360000610351563</v>
      </c>
      <c r="G574" s="6">
        <v>16.680000305175781</v>
      </c>
      <c r="H574" s="6" t="e">
        <v>#N/A</v>
      </c>
      <c r="I574" s="6">
        <v>0.33554224608873118</v>
      </c>
      <c r="J574" s="6">
        <v>107231000</v>
      </c>
      <c r="K574" s="6">
        <v>44.071477641459573</v>
      </c>
      <c r="L574" t="s">
        <v>6547</v>
      </c>
      <c r="M574" t="s">
        <v>6548</v>
      </c>
      <c r="N574" s="4" t="s">
        <v>8373</v>
      </c>
      <c r="O574" s="4" t="s">
        <v>8374</v>
      </c>
      <c r="P574" s="4" t="s">
        <v>233</v>
      </c>
    </row>
    <row r="575" spans="1:16" x14ac:dyDescent="0.35">
      <c r="A575" t="s">
        <v>8375</v>
      </c>
      <c r="B575" t="s">
        <v>8376</v>
      </c>
      <c r="C575" t="s">
        <v>16</v>
      </c>
      <c r="D575" s="6">
        <v>3462613570.9818268</v>
      </c>
      <c r="E575" s="6">
        <v>3462491570.9818268</v>
      </c>
      <c r="F575" s="6">
        <v>73.680000305175781</v>
      </c>
      <c r="G575" s="6">
        <v>75.580001831054688</v>
      </c>
      <c r="H575" s="6">
        <v>22.349520751771319</v>
      </c>
      <c r="I575" s="6">
        <v>0.49511445018034173</v>
      </c>
      <c r="J575" s="6">
        <v>845211000</v>
      </c>
      <c r="K575" s="6">
        <v>-24.528301886792452</v>
      </c>
      <c r="L575" t="s">
        <v>6547</v>
      </c>
      <c r="M575" t="s">
        <v>6553</v>
      </c>
      <c r="N575" s="4" t="s">
        <v>233</v>
      </c>
      <c r="O575" s="4" t="s">
        <v>8377</v>
      </c>
      <c r="P575" s="4" t="s">
        <v>13220</v>
      </c>
    </row>
    <row r="576" spans="1:16" x14ac:dyDescent="0.35">
      <c r="A576" t="s">
        <v>8378</v>
      </c>
      <c r="B576" t="s">
        <v>8379</v>
      </c>
      <c r="C576" t="s">
        <v>16</v>
      </c>
      <c r="D576" s="6">
        <v>94996282.205253854</v>
      </c>
      <c r="E576" s="6">
        <v>52608317.205253854</v>
      </c>
      <c r="F576" s="6">
        <v>1.9900000095367432</v>
      </c>
      <c r="G576" s="6">
        <v>2.0099999904632568</v>
      </c>
      <c r="H576" s="6" t="e">
        <v>#N/A</v>
      </c>
      <c r="I576" s="6">
        <v>-0.81359629838811243</v>
      </c>
      <c r="J576" s="6" t="e">
        <v>#N/A</v>
      </c>
      <c r="K576" s="6" t="e">
        <v>#N/A</v>
      </c>
      <c r="L576" t="s">
        <v>6518</v>
      </c>
      <c r="M576" t="s">
        <v>6807</v>
      </c>
      <c r="N576" s="4" t="s">
        <v>8380</v>
      </c>
      <c r="O576" s="4" t="s">
        <v>8381</v>
      </c>
      <c r="P576" s="4" t="s">
        <v>233</v>
      </c>
    </row>
    <row r="577" spans="1:16" x14ac:dyDescent="0.35">
      <c r="A577" t="s">
        <v>8382</v>
      </c>
      <c r="B577" t="s">
        <v>8383</v>
      </c>
      <c r="C577" t="s">
        <v>16</v>
      </c>
      <c r="D577" s="6">
        <v>213762113.73723769</v>
      </c>
      <c r="E577" s="6">
        <v>201603764.73723769</v>
      </c>
      <c r="F577" s="6">
        <v>1.7999999523162842</v>
      </c>
      <c r="G577" s="6">
        <v>1.7799999713897705</v>
      </c>
      <c r="H577" s="6" t="e">
        <v>#N/A</v>
      </c>
      <c r="I577" s="6">
        <v>-0.32511605343624383</v>
      </c>
      <c r="J577" s="6">
        <v>141753547</v>
      </c>
      <c r="K577" s="6">
        <v>-110.00000000000004</v>
      </c>
      <c r="L577" t="s">
        <v>6540</v>
      </c>
      <c r="M577" t="s">
        <v>6571</v>
      </c>
      <c r="N577" s="4" t="s">
        <v>8384</v>
      </c>
      <c r="O577" s="4" t="s">
        <v>8385</v>
      </c>
      <c r="P577" s="4" t="s">
        <v>233</v>
      </c>
    </row>
    <row r="578" spans="1:16" x14ac:dyDescent="0.35">
      <c r="A578" t="s">
        <v>8386</v>
      </c>
      <c r="B578" t="s">
        <v>8387</v>
      </c>
      <c r="C578" t="s">
        <v>16</v>
      </c>
      <c r="D578" s="6">
        <v>397999832.9084177</v>
      </c>
      <c r="E578" s="6">
        <v>385667272.9084177</v>
      </c>
      <c r="F578" s="6">
        <v>5.5749998092651367</v>
      </c>
      <c r="G578" s="6">
        <v>5.4499998092651367</v>
      </c>
      <c r="H578" s="6" t="e">
        <v>#N/A</v>
      </c>
      <c r="I578" s="6">
        <v>0.86137722691835195</v>
      </c>
      <c r="J578" s="6" t="e">
        <v>#N/A</v>
      </c>
      <c r="K578" s="6">
        <v>-50.027636363636361</v>
      </c>
      <c r="L578" t="s">
        <v>6563</v>
      </c>
      <c r="M578" t="s">
        <v>6764</v>
      </c>
      <c r="N578" s="4" t="s">
        <v>8388</v>
      </c>
      <c r="O578" s="4" t="s">
        <v>8389</v>
      </c>
      <c r="P578" s="4" t="s">
        <v>233</v>
      </c>
    </row>
    <row r="579" spans="1:16" x14ac:dyDescent="0.35">
      <c r="A579" t="s">
        <v>8390</v>
      </c>
      <c r="B579" t="s">
        <v>8391</v>
      </c>
      <c r="C579" t="s">
        <v>16</v>
      </c>
      <c r="D579" s="6">
        <v>1332723536</v>
      </c>
      <c r="E579" s="6">
        <v>5323623535.999999</v>
      </c>
      <c r="F579" s="6">
        <v>7.25</v>
      </c>
      <c r="G579" s="6">
        <v>7.5</v>
      </c>
      <c r="H579" s="6">
        <v>94.324893965808869</v>
      </c>
      <c r="I579" s="6">
        <v>-0.49206519285847328</v>
      </c>
      <c r="J579" s="6">
        <v>4212000000</v>
      </c>
      <c r="K579" s="6" t="e">
        <v>#N/A</v>
      </c>
      <c r="L579" t="s">
        <v>6540</v>
      </c>
      <c r="M579" t="s">
        <v>6571</v>
      </c>
      <c r="N579" s="4" t="s">
        <v>8392</v>
      </c>
      <c r="O579" s="4" t="s">
        <v>8393</v>
      </c>
      <c r="P579" s="4" t="s">
        <v>233</v>
      </c>
    </row>
    <row r="580" spans="1:16" x14ac:dyDescent="0.35">
      <c r="A580" t="s">
        <v>8394</v>
      </c>
      <c r="B580" t="s">
        <v>4399</v>
      </c>
      <c r="C580" t="s">
        <v>16</v>
      </c>
      <c r="D580" s="6">
        <v>165521856.30103612</v>
      </c>
      <c r="E580" s="6">
        <v>-208917143.69896382</v>
      </c>
      <c r="F580" s="6">
        <v>2.7200000286102295</v>
      </c>
      <c r="G580" s="6">
        <v>2.5999999046325684</v>
      </c>
      <c r="H580" s="6" t="e">
        <v>#N/A</v>
      </c>
      <c r="I580" s="6">
        <v>-0.84170404968581392</v>
      </c>
      <c r="J580" s="6">
        <v>0</v>
      </c>
      <c r="K580" s="6">
        <v>-19.713261648745529</v>
      </c>
      <c r="L580" t="s">
        <v>17</v>
      </c>
      <c r="M580" t="s">
        <v>87</v>
      </c>
      <c r="N580" s="4" t="s">
        <v>4400</v>
      </c>
      <c r="O580" s="4" t="s">
        <v>4401</v>
      </c>
      <c r="P580" s="4" t="s">
        <v>233</v>
      </c>
    </row>
    <row r="581" spans="1:16" x14ac:dyDescent="0.35">
      <c r="A581" t="s">
        <v>8395</v>
      </c>
      <c r="B581" t="s">
        <v>8396</v>
      </c>
      <c r="C581" t="s">
        <v>16</v>
      </c>
      <c r="D581" s="6">
        <v>436969114.31640244</v>
      </c>
      <c r="E581" s="6">
        <v>655578114.31640244</v>
      </c>
      <c r="F581" s="6">
        <v>25.940000534057617</v>
      </c>
      <c r="G581" s="6">
        <v>26.389999389648438</v>
      </c>
      <c r="H581" s="6">
        <v>22.341615291911729</v>
      </c>
      <c r="I581" s="6">
        <v>-0.10783165897528335</v>
      </c>
      <c r="J581" s="6">
        <v>548955000</v>
      </c>
      <c r="K581" s="6">
        <v>-39.787499999999994</v>
      </c>
      <c r="L581" t="s">
        <v>6547</v>
      </c>
      <c r="M581" t="s">
        <v>6602</v>
      </c>
      <c r="N581" s="4" t="s">
        <v>8397</v>
      </c>
      <c r="O581" s="4" t="s">
        <v>8398</v>
      </c>
      <c r="P581" s="4" t="s">
        <v>233</v>
      </c>
    </row>
    <row r="582" spans="1:16" x14ac:dyDescent="0.35">
      <c r="A582" t="s">
        <v>8399</v>
      </c>
      <c r="B582" t="s">
        <v>2595</v>
      </c>
      <c r="C582" t="s">
        <v>16</v>
      </c>
      <c r="D582" s="6">
        <v>170746678.23200706</v>
      </c>
      <c r="E582" s="6">
        <v>203220678.23200706</v>
      </c>
      <c r="F582" s="6">
        <v>8.0299997329711914</v>
      </c>
      <c r="G582" s="6">
        <v>8.0200004577636719</v>
      </c>
      <c r="H582" s="6">
        <v>117.27592313492127</v>
      </c>
      <c r="I582" s="6">
        <v>-0.16659647767579722</v>
      </c>
      <c r="J582" s="6">
        <v>132784000</v>
      </c>
      <c r="K582" s="6">
        <v>49.999999999999993</v>
      </c>
      <c r="L582" t="s">
        <v>17</v>
      </c>
      <c r="M582" t="s">
        <v>40</v>
      </c>
      <c r="N582" s="4" t="s">
        <v>2596</v>
      </c>
      <c r="O582" s="4" t="s">
        <v>2597</v>
      </c>
      <c r="P582" s="4" t="s">
        <v>233</v>
      </c>
    </row>
    <row r="583" spans="1:16" x14ac:dyDescent="0.35">
      <c r="A583" t="s">
        <v>8400</v>
      </c>
      <c r="B583" t="s">
        <v>2741</v>
      </c>
      <c r="C583" t="s">
        <v>16</v>
      </c>
      <c r="D583" s="6">
        <v>9923741725.2614212</v>
      </c>
      <c r="E583" s="6">
        <v>10736767725.261421</v>
      </c>
      <c r="F583" s="6">
        <v>114.51000213623047</v>
      </c>
      <c r="G583" s="6">
        <v>111.97000122070313</v>
      </c>
      <c r="H583" s="6">
        <v>78.166331709092702</v>
      </c>
      <c r="I583" s="6">
        <v>0.42234895856026733</v>
      </c>
      <c r="J583" s="6">
        <v>1150344000</v>
      </c>
      <c r="K583" s="6">
        <v>229.41176470588235</v>
      </c>
      <c r="L583" t="s">
        <v>17</v>
      </c>
      <c r="M583" t="s">
        <v>40</v>
      </c>
      <c r="N583" s="4" t="s">
        <v>2742</v>
      </c>
      <c r="O583" s="4" t="s">
        <v>2743</v>
      </c>
      <c r="P583" s="4" t="s">
        <v>233</v>
      </c>
    </row>
    <row r="584" spans="1:16" x14ac:dyDescent="0.35">
      <c r="A584" t="s">
        <v>8401</v>
      </c>
      <c r="B584" t="s">
        <v>8402</v>
      </c>
      <c r="C584" t="s">
        <v>16</v>
      </c>
      <c r="D584" s="6">
        <v>51033700.610695474</v>
      </c>
      <c r="E584" s="6">
        <v>49073325.610695474</v>
      </c>
      <c r="F584" s="6">
        <v>0.35699999332427979</v>
      </c>
      <c r="G584" s="6">
        <v>0.32839998602867126</v>
      </c>
      <c r="H584" s="6" t="e">
        <v>#N/A</v>
      </c>
      <c r="I584" s="6">
        <v>-0.74034689348891325</v>
      </c>
      <c r="J584" s="6" t="e">
        <v>#N/A</v>
      </c>
      <c r="K584" s="6">
        <v>-91.986247634870082</v>
      </c>
      <c r="L584" t="s">
        <v>6547</v>
      </c>
      <c r="M584" t="s">
        <v>6668</v>
      </c>
      <c r="N584" s="4" t="s">
        <v>8403</v>
      </c>
      <c r="O584" s="4" t="s">
        <v>8404</v>
      </c>
      <c r="P584" s="4" t="s">
        <v>233</v>
      </c>
    </row>
    <row r="585" spans="1:16" x14ac:dyDescent="0.35">
      <c r="A585" t="s">
        <v>8405</v>
      </c>
      <c r="B585" t="s">
        <v>4204</v>
      </c>
      <c r="C585" t="s">
        <v>16</v>
      </c>
      <c r="D585" s="6">
        <v>1313963233.8447573</v>
      </c>
      <c r="E585" s="6">
        <v>725313233.84475732</v>
      </c>
      <c r="F585" s="6">
        <v>18.889999389648438</v>
      </c>
      <c r="G585" s="6">
        <v>18.309999465942383</v>
      </c>
      <c r="H585" s="6">
        <v>8.3894514922469465</v>
      </c>
      <c r="I585" s="6">
        <v>-0.28624162830177358</v>
      </c>
      <c r="J585" s="6">
        <v>394818000</v>
      </c>
      <c r="K585" s="6">
        <v>-3.3755274261603403</v>
      </c>
      <c r="L585" t="s">
        <v>17</v>
      </c>
      <c r="M585" t="s">
        <v>27</v>
      </c>
      <c r="N585" s="4" t="s">
        <v>233</v>
      </c>
      <c r="O585" s="4" t="s">
        <v>4205</v>
      </c>
      <c r="P585" s="4" t="s">
        <v>13147</v>
      </c>
    </row>
    <row r="586" spans="1:16" x14ac:dyDescent="0.35">
      <c r="A586" t="s">
        <v>8406</v>
      </c>
      <c r="B586" t="s">
        <v>8407</v>
      </c>
      <c r="C586" t="s">
        <v>16</v>
      </c>
      <c r="D586" s="6">
        <v>57211477.910478115</v>
      </c>
      <c r="E586" s="6">
        <v>-14128522.089521885</v>
      </c>
      <c r="F586" s="6">
        <v>2.0899999141693115</v>
      </c>
      <c r="G586" s="6">
        <v>2.0799999237060547</v>
      </c>
      <c r="H586" s="6" t="e">
        <v>#N/A</v>
      </c>
      <c r="I586" s="6">
        <v>-0.77626959684241192</v>
      </c>
      <c r="J586" s="6">
        <v>985005000</v>
      </c>
      <c r="K586" s="6">
        <v>80.786026200865066</v>
      </c>
      <c r="L586" t="s">
        <v>6623</v>
      </c>
      <c r="M586" t="s">
        <v>6634</v>
      </c>
      <c r="N586" s="4" t="s">
        <v>8408</v>
      </c>
      <c r="O586" s="4" t="s">
        <v>8409</v>
      </c>
      <c r="P586" s="4" t="s">
        <v>233</v>
      </c>
    </row>
    <row r="587" spans="1:16" x14ac:dyDescent="0.35">
      <c r="A587" t="s">
        <v>8410</v>
      </c>
      <c r="B587" t="s">
        <v>4463</v>
      </c>
      <c r="C587" t="s">
        <v>16</v>
      </c>
      <c r="D587" s="6">
        <v>266332260.8263416</v>
      </c>
      <c r="E587" s="6">
        <v>-216849739.1736584</v>
      </c>
      <c r="F587" s="6">
        <v>7.2899999618530273</v>
      </c>
      <c r="G587" s="6">
        <v>7.119999885559082</v>
      </c>
      <c r="H587" s="6" t="e">
        <v>#N/A</v>
      </c>
      <c r="I587" s="6">
        <v>-0.32738019337705559</v>
      </c>
      <c r="J587" s="6">
        <v>35000000</v>
      </c>
      <c r="K587" s="6">
        <v>-82.783970677474841</v>
      </c>
      <c r="L587" t="s">
        <v>17</v>
      </c>
      <c r="M587" t="s">
        <v>18</v>
      </c>
      <c r="N587" s="4" t="s">
        <v>4464</v>
      </c>
      <c r="O587" s="4" t="s">
        <v>4465</v>
      </c>
      <c r="P587" s="4" t="s">
        <v>233</v>
      </c>
    </row>
    <row r="588" spans="1:16" x14ac:dyDescent="0.35">
      <c r="A588" t="s">
        <v>8411</v>
      </c>
      <c r="B588" t="s">
        <v>4489</v>
      </c>
      <c r="C588" t="s">
        <v>16</v>
      </c>
      <c r="D588" s="6">
        <v>86724268.831605688</v>
      </c>
      <c r="E588" s="6">
        <v>1908268.8316056877</v>
      </c>
      <c r="F588" s="6">
        <v>1.3500000238418579</v>
      </c>
      <c r="G588" s="6">
        <v>1.2799999713897705</v>
      </c>
      <c r="H588" s="6" t="e">
        <v>#N/A</v>
      </c>
      <c r="I588" s="6">
        <v>-0.7706502058956799</v>
      </c>
      <c r="J588" s="6">
        <v>0</v>
      </c>
      <c r="K588" s="6">
        <v>-6.5677162951294772</v>
      </c>
      <c r="L588" t="s">
        <v>17</v>
      </c>
      <c r="M588" t="s">
        <v>18</v>
      </c>
      <c r="N588" s="4" t="s">
        <v>4490</v>
      </c>
      <c r="O588" s="4" t="s">
        <v>4491</v>
      </c>
      <c r="P588" s="4" t="s">
        <v>233</v>
      </c>
    </row>
    <row r="589" spans="1:16" x14ac:dyDescent="0.35">
      <c r="A589" t="s">
        <v>8412</v>
      </c>
      <c r="B589" t="s">
        <v>4481</v>
      </c>
      <c r="C589" t="s">
        <v>16</v>
      </c>
      <c r="D589" s="6">
        <v>1313600761.7420673</v>
      </c>
      <c r="E589" s="6">
        <v>732320761.74206734</v>
      </c>
      <c r="F589" s="6">
        <v>17.309999465942383</v>
      </c>
      <c r="G589" s="6">
        <v>16.729999542236328</v>
      </c>
      <c r="H589" s="6" t="e">
        <v>#N/A</v>
      </c>
      <c r="I589" s="6">
        <v>0.84428980062837722</v>
      </c>
      <c r="J589" s="6">
        <v>54549000</v>
      </c>
      <c r="K589" s="6">
        <v>-8.6792452830188687</v>
      </c>
      <c r="L589" t="s">
        <v>17</v>
      </c>
      <c r="M589" t="s">
        <v>18</v>
      </c>
      <c r="N589" s="4" t="s">
        <v>4482</v>
      </c>
      <c r="O589" s="4" t="s">
        <v>4483</v>
      </c>
      <c r="P589" s="4" t="s">
        <v>233</v>
      </c>
    </row>
    <row r="590" spans="1:16" x14ac:dyDescent="0.35">
      <c r="A590" t="s">
        <v>8413</v>
      </c>
      <c r="B590" t="s">
        <v>8414</v>
      </c>
      <c r="C590" t="s">
        <v>16</v>
      </c>
      <c r="D590" s="6">
        <v>186658339.0148201</v>
      </c>
      <c r="E590" s="6">
        <v>192868345.0148201</v>
      </c>
      <c r="F590" s="6">
        <v>5.5500001907348633</v>
      </c>
      <c r="G590" s="6">
        <v>5.5799999237060547</v>
      </c>
      <c r="H590" s="6" t="e">
        <v>#N/A</v>
      </c>
      <c r="I590" s="6">
        <v>-6.3372588164560373E-2</v>
      </c>
      <c r="J590" s="6">
        <v>44730818</v>
      </c>
      <c r="K590" s="6">
        <v>-39.818143778573152</v>
      </c>
      <c r="L590" t="s">
        <v>6523</v>
      </c>
      <c r="M590" t="s">
        <v>6524</v>
      </c>
      <c r="N590" s="4" t="s">
        <v>8415</v>
      </c>
      <c r="O590" s="4" t="s">
        <v>8416</v>
      </c>
      <c r="P590" s="4" t="s">
        <v>233</v>
      </c>
    </row>
    <row r="591" spans="1:16" x14ac:dyDescent="0.35">
      <c r="A591" t="s">
        <v>8417</v>
      </c>
      <c r="B591" t="s">
        <v>4160</v>
      </c>
      <c r="C591" t="s">
        <v>16</v>
      </c>
      <c r="D591" s="6">
        <v>3759504361.6525378</v>
      </c>
      <c r="E591" s="6">
        <v>3008792361.6525378</v>
      </c>
      <c r="F591" s="6">
        <v>49.439998626708984</v>
      </c>
      <c r="G591" s="6">
        <v>49.209999084472656</v>
      </c>
      <c r="H591" s="6" t="e">
        <v>#N/A</v>
      </c>
      <c r="I591" s="6">
        <v>1.2545705727701888</v>
      </c>
      <c r="J591" s="6">
        <v>0</v>
      </c>
      <c r="K591" s="6">
        <v>-59.574468085106382</v>
      </c>
      <c r="L591" t="s">
        <v>17</v>
      </c>
      <c r="M591" t="s">
        <v>18</v>
      </c>
      <c r="N591" s="4" t="s">
        <v>4161</v>
      </c>
      <c r="O591" s="4" t="s">
        <v>4162</v>
      </c>
      <c r="P591" s="4" t="s">
        <v>233</v>
      </c>
    </row>
    <row r="592" spans="1:16" x14ac:dyDescent="0.35">
      <c r="A592" t="s">
        <v>8418</v>
      </c>
      <c r="B592" t="s">
        <v>4493</v>
      </c>
      <c r="C592" t="s">
        <v>16</v>
      </c>
      <c r="D592" s="6">
        <v>319780515</v>
      </c>
      <c r="E592" s="6">
        <v>9271515</v>
      </c>
      <c r="F592" s="6">
        <v>3</v>
      </c>
      <c r="G592" s="6">
        <v>3.0499999523162842</v>
      </c>
      <c r="H592" s="6" t="e">
        <v>#N/A</v>
      </c>
      <c r="I592" s="6">
        <v>-0.44661744402714665</v>
      </c>
      <c r="J592" s="6">
        <v>0</v>
      </c>
      <c r="K592" s="6">
        <v>44.736842105263165</v>
      </c>
      <c r="L592" t="s">
        <v>17</v>
      </c>
      <c r="M592" t="s">
        <v>18</v>
      </c>
      <c r="N592" s="4" t="s">
        <v>4494</v>
      </c>
      <c r="O592" s="4" t="s">
        <v>4495</v>
      </c>
      <c r="P592" s="4" t="s">
        <v>233</v>
      </c>
    </row>
    <row r="593" spans="1:16" x14ac:dyDescent="0.35">
      <c r="A593" t="s">
        <v>8419</v>
      </c>
      <c r="B593" t="s">
        <v>8420</v>
      </c>
      <c r="C593" t="s">
        <v>16</v>
      </c>
      <c r="D593" s="6">
        <v>296511635.46614885</v>
      </c>
      <c r="E593" s="6">
        <v>281910448.46614885</v>
      </c>
      <c r="F593" s="6">
        <v>3.1400001049041748</v>
      </c>
      <c r="G593" s="6">
        <v>3.2999999523162842</v>
      </c>
      <c r="H593" s="6" t="e">
        <v>#N/A</v>
      </c>
      <c r="I593" s="6">
        <v>0.47261608501696695</v>
      </c>
      <c r="J593" s="6">
        <v>0</v>
      </c>
      <c r="K593" s="6">
        <v>-370.80941969572746</v>
      </c>
      <c r="L593" t="s">
        <v>6563</v>
      </c>
      <c r="M593" t="s">
        <v>6564</v>
      </c>
      <c r="N593" s="4" t="s">
        <v>8421</v>
      </c>
      <c r="O593" s="4" t="s">
        <v>8422</v>
      </c>
      <c r="P593" s="4" t="s">
        <v>233</v>
      </c>
    </row>
    <row r="594" spans="1:16" x14ac:dyDescent="0.35">
      <c r="A594" t="s">
        <v>13054</v>
      </c>
      <c r="B594" t="s">
        <v>7153</v>
      </c>
      <c r="C594" t="s">
        <v>16</v>
      </c>
      <c r="D594" s="6">
        <v>948653335.0765152</v>
      </c>
      <c r="E594" s="6" t="e">
        <v>#N/A</v>
      </c>
      <c r="F594" s="6">
        <v>31.299999237060547</v>
      </c>
      <c r="G594" s="6">
        <v>31.770000457763672</v>
      </c>
      <c r="H594" s="6">
        <v>10.75601348352596</v>
      </c>
      <c r="I594" s="6">
        <v>6.1508148134422846E-2</v>
      </c>
      <c r="J594" s="6">
        <v>456069000</v>
      </c>
      <c r="K594" s="6">
        <v>3.5460992907801452</v>
      </c>
      <c r="L594" t="s">
        <v>6529</v>
      </c>
      <c r="M594" t="s">
        <v>6530</v>
      </c>
      <c r="N594" s="4" t="s">
        <v>7154</v>
      </c>
      <c r="O594" s="4" t="s">
        <v>7155</v>
      </c>
      <c r="P594" s="4" t="s">
        <v>233</v>
      </c>
    </row>
    <row r="595" spans="1:16" x14ac:dyDescent="0.35">
      <c r="A595" t="s">
        <v>8423</v>
      </c>
      <c r="B595" t="s">
        <v>8424</v>
      </c>
      <c r="C595" t="s">
        <v>16</v>
      </c>
      <c r="D595" s="6">
        <v>1335517648.8803997</v>
      </c>
      <c r="E595" s="6">
        <v>1366303648.8803997</v>
      </c>
      <c r="F595" s="6">
        <v>15.779999732971191</v>
      </c>
      <c r="G595" s="6">
        <v>16.209999084472656</v>
      </c>
      <c r="H595" s="6" t="e">
        <v>#N/A</v>
      </c>
      <c r="I595" s="6">
        <v>-0.21944072761562161</v>
      </c>
      <c r="J595" s="6">
        <v>360528000</v>
      </c>
      <c r="K595" s="6">
        <v>-221.97802197802196</v>
      </c>
      <c r="L595" t="s">
        <v>6518</v>
      </c>
      <c r="M595" t="s">
        <v>6807</v>
      </c>
      <c r="N595" s="4" t="s">
        <v>8425</v>
      </c>
      <c r="O595" s="4" t="s">
        <v>8426</v>
      </c>
      <c r="P595" s="4" t="s">
        <v>233</v>
      </c>
    </row>
    <row r="596" spans="1:16" x14ac:dyDescent="0.35">
      <c r="A596" t="s">
        <v>8427</v>
      </c>
      <c r="B596" t="s">
        <v>8428</v>
      </c>
      <c r="C596" t="s">
        <v>16</v>
      </c>
      <c r="D596" s="6">
        <v>407451763.71949005</v>
      </c>
      <c r="E596" s="6" t="e">
        <v>#N/A</v>
      </c>
      <c r="F596" s="6">
        <v>17.659999847412109</v>
      </c>
      <c r="G596" s="6">
        <v>17.860000610351563</v>
      </c>
      <c r="H596" s="6">
        <v>17.083433951547384</v>
      </c>
      <c r="I596" s="6">
        <v>0.2377057929268791</v>
      </c>
      <c r="J596" s="6" t="e">
        <v>#N/A</v>
      </c>
      <c r="K596" s="6">
        <v>6.0000000000000053</v>
      </c>
      <c r="L596" t="s">
        <v>6529</v>
      </c>
      <c r="M596" t="s">
        <v>6530</v>
      </c>
      <c r="N596" s="4" t="s">
        <v>8429</v>
      </c>
      <c r="O596" s="4" t="s">
        <v>8430</v>
      </c>
      <c r="P596" s="4" t="s">
        <v>233</v>
      </c>
    </row>
    <row r="597" spans="1:16" x14ac:dyDescent="0.35">
      <c r="A597" t="s">
        <v>8431</v>
      </c>
      <c r="B597" t="s">
        <v>8432</v>
      </c>
      <c r="C597" t="s">
        <v>16</v>
      </c>
      <c r="D597" s="6">
        <v>1552400408.2412965</v>
      </c>
      <c r="E597" s="6" t="e">
        <v>#N/A</v>
      </c>
      <c r="F597" s="6">
        <v>9.8299999237060547</v>
      </c>
      <c r="G597" s="6">
        <v>9.7200002670288086</v>
      </c>
      <c r="H597" s="6">
        <v>192.09348530877716</v>
      </c>
      <c r="I597" s="6">
        <v>-0.27402954783005862</v>
      </c>
      <c r="J597" s="6">
        <v>3074000000</v>
      </c>
      <c r="K597" s="6">
        <v>84.653465346534659</v>
      </c>
      <c r="L597" t="s">
        <v>6563</v>
      </c>
      <c r="M597" t="s">
        <v>6764</v>
      </c>
      <c r="N597" s="4" t="s">
        <v>233</v>
      </c>
      <c r="O597" s="4" t="s">
        <v>8433</v>
      </c>
      <c r="P597" s="4" t="s">
        <v>13221</v>
      </c>
    </row>
    <row r="598" spans="1:16" x14ac:dyDescent="0.35">
      <c r="A598" t="s">
        <v>8434</v>
      </c>
      <c r="B598" t="s">
        <v>8435</v>
      </c>
      <c r="C598" t="s">
        <v>16</v>
      </c>
      <c r="D598" s="6">
        <v>2987002067.6907034</v>
      </c>
      <c r="E598" s="6">
        <v>2798853067.6907034</v>
      </c>
      <c r="F598" s="6">
        <v>7.059999942779541</v>
      </c>
      <c r="G598" s="6">
        <v>6.8499999046325684</v>
      </c>
      <c r="H598" s="6" t="e">
        <v>#N/A</v>
      </c>
      <c r="I598" s="6">
        <v>-0.11054581565690913</v>
      </c>
      <c r="J598" s="6">
        <v>17203000</v>
      </c>
      <c r="K598" s="6" t="e">
        <v>#N/A</v>
      </c>
      <c r="L598" t="s">
        <v>6523</v>
      </c>
      <c r="M598" t="s">
        <v>6524</v>
      </c>
      <c r="N598" s="4" t="s">
        <v>8436</v>
      </c>
      <c r="O598" s="4" t="s">
        <v>8437</v>
      </c>
      <c r="P598" s="4" t="s">
        <v>233</v>
      </c>
    </row>
    <row r="599" spans="1:16" x14ac:dyDescent="0.35">
      <c r="A599" t="s">
        <v>8438</v>
      </c>
      <c r="B599" t="s">
        <v>3213</v>
      </c>
      <c r="C599" t="s">
        <v>16</v>
      </c>
      <c r="D599" s="6">
        <v>192024991.33038729</v>
      </c>
      <c r="E599" s="6">
        <v>160111991.33038729</v>
      </c>
      <c r="F599" s="6">
        <v>0.6600000262260437</v>
      </c>
      <c r="G599" s="6">
        <v>0.67799997329711914</v>
      </c>
      <c r="H599" s="6" t="e">
        <v>#N/A</v>
      </c>
      <c r="I599" s="6">
        <v>4.0895196801642442E-2</v>
      </c>
      <c r="J599" s="6">
        <v>9327000</v>
      </c>
      <c r="K599" s="6">
        <v>50.068290975996575</v>
      </c>
      <c r="L599" t="s">
        <v>17</v>
      </c>
      <c r="M599" t="s">
        <v>18</v>
      </c>
      <c r="N599" s="4" t="s">
        <v>3214</v>
      </c>
      <c r="O599" s="4" t="s">
        <v>3215</v>
      </c>
      <c r="P599" s="4" t="s">
        <v>233</v>
      </c>
    </row>
    <row r="600" spans="1:16" x14ac:dyDescent="0.35">
      <c r="A600" t="s">
        <v>8439</v>
      </c>
      <c r="B600" t="s">
        <v>8440</v>
      </c>
      <c r="C600" t="s">
        <v>16</v>
      </c>
      <c r="D600" s="6">
        <v>592591923.38562012</v>
      </c>
      <c r="E600" s="6" t="e">
        <v>#N/A</v>
      </c>
      <c r="F600" s="6">
        <v>271.79998779296875</v>
      </c>
      <c r="G600" s="6">
        <v>271.25</v>
      </c>
      <c r="H600" s="6">
        <v>21.151750022799124</v>
      </c>
      <c r="I600" s="6">
        <v>0.59296938107604502</v>
      </c>
      <c r="J600" s="6">
        <v>217375000</v>
      </c>
      <c r="K600" s="6">
        <v>5.6280587275693268</v>
      </c>
      <c r="L600" t="s">
        <v>6529</v>
      </c>
      <c r="M600" t="s">
        <v>6530</v>
      </c>
      <c r="N600" s="4" t="s">
        <v>8441</v>
      </c>
      <c r="O600" s="4" t="s">
        <v>8442</v>
      </c>
      <c r="P600" s="4" t="s">
        <v>233</v>
      </c>
    </row>
    <row r="601" spans="1:16" x14ac:dyDescent="0.35">
      <c r="A601" t="s">
        <v>8443</v>
      </c>
      <c r="B601" t="s">
        <v>8444</v>
      </c>
      <c r="C601" t="s">
        <v>16</v>
      </c>
      <c r="D601" s="6">
        <v>174320982.8827641</v>
      </c>
      <c r="E601" s="6">
        <v>329277982.8827641</v>
      </c>
      <c r="F601" s="6">
        <v>3.4300000667572021</v>
      </c>
      <c r="G601" s="6">
        <v>3.2899999618530273</v>
      </c>
      <c r="H601" s="6" t="e">
        <v>#N/A</v>
      </c>
      <c r="I601" s="6">
        <v>-0.48712230918250898</v>
      </c>
      <c r="J601" s="6">
        <v>293468000</v>
      </c>
      <c r="K601" s="6">
        <v>49.993144963144978</v>
      </c>
      <c r="L601" t="s">
        <v>6514</v>
      </c>
      <c r="M601" t="s">
        <v>6534</v>
      </c>
      <c r="N601" s="4" t="s">
        <v>8445</v>
      </c>
      <c r="O601" s="4" t="s">
        <v>8446</v>
      </c>
      <c r="P601" s="4" t="s">
        <v>233</v>
      </c>
    </row>
    <row r="602" spans="1:16" x14ac:dyDescent="0.35">
      <c r="A602" t="s">
        <v>8447</v>
      </c>
      <c r="B602" t="s">
        <v>8448</v>
      </c>
      <c r="C602" t="s">
        <v>16</v>
      </c>
      <c r="D602" s="6">
        <v>475606918.77714527</v>
      </c>
      <c r="E602" s="6">
        <v>554272918.77714527</v>
      </c>
      <c r="F602" s="6">
        <v>11.159999847412109</v>
      </c>
      <c r="G602" s="6">
        <v>11.069999694824219</v>
      </c>
      <c r="H602" s="6" t="e">
        <v>#N/A</v>
      </c>
      <c r="I602" s="6">
        <v>0.45542179486168344</v>
      </c>
      <c r="J602" s="6">
        <v>424814000</v>
      </c>
      <c r="K602" s="6" t="e">
        <v>#N/A</v>
      </c>
      <c r="L602" t="s">
        <v>6523</v>
      </c>
      <c r="M602" t="s">
        <v>6524</v>
      </c>
      <c r="N602" s="4" t="s">
        <v>8449</v>
      </c>
      <c r="O602" s="4" t="s">
        <v>8450</v>
      </c>
      <c r="P602" s="4" t="s">
        <v>233</v>
      </c>
    </row>
    <row r="603" spans="1:16" x14ac:dyDescent="0.35">
      <c r="A603" t="s">
        <v>8451</v>
      </c>
      <c r="B603" t="s">
        <v>8452</v>
      </c>
      <c r="C603" t="s">
        <v>16</v>
      </c>
      <c r="D603" s="6">
        <v>1006357211.336872</v>
      </c>
      <c r="E603" s="6">
        <v>1279807211.3368721</v>
      </c>
      <c r="F603" s="6">
        <v>11.729999542236328</v>
      </c>
      <c r="G603" s="6">
        <v>11.649999618530273</v>
      </c>
      <c r="H603" s="6">
        <v>25.566973358986754</v>
      </c>
      <c r="I603" s="6">
        <v>0.10111777737804228</v>
      </c>
      <c r="J603" s="6">
        <v>1210525000</v>
      </c>
      <c r="K603" s="6">
        <v>0.92648287882667546</v>
      </c>
      <c r="L603" t="s">
        <v>6540</v>
      </c>
      <c r="M603" t="s">
        <v>6825</v>
      </c>
      <c r="N603" s="4" t="s">
        <v>8453</v>
      </c>
      <c r="O603" s="4" t="s">
        <v>8454</v>
      </c>
      <c r="P603" s="4" t="s">
        <v>233</v>
      </c>
    </row>
    <row r="604" spans="1:16" x14ac:dyDescent="0.35">
      <c r="A604" t="s">
        <v>8455</v>
      </c>
      <c r="B604" t="s">
        <v>8456</v>
      </c>
      <c r="C604" t="s">
        <v>16</v>
      </c>
      <c r="D604" s="6">
        <v>5688035887.896862</v>
      </c>
      <c r="E604" s="6" t="e">
        <v>#N/A</v>
      </c>
      <c r="F604" s="6">
        <v>50.159999847412109</v>
      </c>
      <c r="G604" s="6">
        <v>50.290000915527344</v>
      </c>
      <c r="H604" s="6">
        <v>28.678195793528488</v>
      </c>
      <c r="I604" s="6">
        <v>0.38248902359086467</v>
      </c>
      <c r="J604" s="6">
        <v>1268296000</v>
      </c>
      <c r="K604" s="6">
        <v>-16.417910447761187</v>
      </c>
      <c r="L604" t="s">
        <v>6529</v>
      </c>
      <c r="M604" t="s">
        <v>6530</v>
      </c>
      <c r="N604" s="4" t="s">
        <v>8457</v>
      </c>
      <c r="O604" s="4" t="s">
        <v>8458</v>
      </c>
      <c r="P604" s="4" t="s">
        <v>233</v>
      </c>
    </row>
    <row r="605" spans="1:16" x14ac:dyDescent="0.35">
      <c r="A605" t="s">
        <v>8459</v>
      </c>
      <c r="B605" t="s">
        <v>2673</v>
      </c>
      <c r="C605" t="s">
        <v>16</v>
      </c>
      <c r="D605" s="6">
        <v>996388772.25090027</v>
      </c>
      <c r="E605" s="6">
        <v>1718778772.2509003</v>
      </c>
      <c r="F605" s="6">
        <v>24.600000381469727</v>
      </c>
      <c r="G605" s="6">
        <v>25.770000457763672</v>
      </c>
      <c r="H605" s="6">
        <v>29.564678600064088</v>
      </c>
      <c r="I605" s="6">
        <v>1.0727574093284984</v>
      </c>
      <c r="J605" s="6">
        <v>1106116000</v>
      </c>
      <c r="K605" s="6">
        <v>33.333333333333336</v>
      </c>
      <c r="L605" t="s">
        <v>17</v>
      </c>
      <c r="M605" t="s">
        <v>87</v>
      </c>
      <c r="N605" s="4" t="s">
        <v>2674</v>
      </c>
      <c r="O605" s="4" t="s">
        <v>2675</v>
      </c>
      <c r="P605" s="4" t="s">
        <v>233</v>
      </c>
    </row>
    <row r="606" spans="1:16" x14ac:dyDescent="0.35">
      <c r="A606" t="s">
        <v>8460</v>
      </c>
      <c r="B606" t="s">
        <v>8461</v>
      </c>
      <c r="C606" t="s">
        <v>16</v>
      </c>
      <c r="D606" s="6">
        <v>292077215.07041073</v>
      </c>
      <c r="E606" s="6">
        <v>476492215.07041073</v>
      </c>
      <c r="F606" s="6">
        <v>8.0500001907348633</v>
      </c>
      <c r="G606" s="6">
        <v>8.0200004577636719</v>
      </c>
      <c r="H606" s="6">
        <v>8.3460340173295418</v>
      </c>
      <c r="I606" s="6">
        <v>-0.35264284411694546</v>
      </c>
      <c r="J606" s="6">
        <v>1461271000</v>
      </c>
      <c r="K606" s="6">
        <v>-30.476190476190482</v>
      </c>
      <c r="L606" t="s">
        <v>6540</v>
      </c>
      <c r="M606" t="s">
        <v>6797</v>
      </c>
      <c r="N606" s="4" t="s">
        <v>8462</v>
      </c>
      <c r="O606" s="4" t="s">
        <v>8463</v>
      </c>
      <c r="P606" s="4" t="s">
        <v>233</v>
      </c>
    </row>
    <row r="607" spans="1:16" x14ac:dyDescent="0.35">
      <c r="A607" t="s">
        <v>8464</v>
      </c>
      <c r="B607" t="s">
        <v>8465</v>
      </c>
      <c r="C607" t="s">
        <v>16</v>
      </c>
      <c r="D607" s="6">
        <v>1806342035.9156272</v>
      </c>
      <c r="E607" s="6">
        <v>3352797035.9156275</v>
      </c>
      <c r="F607" s="6">
        <v>10.369999885559082</v>
      </c>
      <c r="G607" s="6">
        <v>10.25</v>
      </c>
      <c r="H607" s="6">
        <v>11.938435760461193</v>
      </c>
      <c r="I607" s="6">
        <v>-0.49690447062745746</v>
      </c>
      <c r="J607" s="6">
        <v>891164000</v>
      </c>
      <c r="K607" s="6">
        <v>1398.1637185690502</v>
      </c>
      <c r="L607" t="s">
        <v>6529</v>
      </c>
      <c r="M607" t="s">
        <v>6568</v>
      </c>
      <c r="N607" s="4" t="s">
        <v>8466</v>
      </c>
      <c r="O607" s="4" t="s">
        <v>8467</v>
      </c>
      <c r="P607" s="4" t="s">
        <v>233</v>
      </c>
    </row>
    <row r="608" spans="1:16" x14ac:dyDescent="0.35">
      <c r="A608" t="s">
        <v>8468</v>
      </c>
      <c r="B608" t="s">
        <v>8469</v>
      </c>
      <c r="C608" t="s">
        <v>16</v>
      </c>
      <c r="D608" s="6">
        <v>645063912.00823963</v>
      </c>
      <c r="E608" s="6">
        <v>415263912.00823963</v>
      </c>
      <c r="F608" s="6">
        <v>15.180000305175781</v>
      </c>
      <c r="G608" s="6">
        <v>15.359999656677246</v>
      </c>
      <c r="H608" s="6">
        <v>15.736294035629312</v>
      </c>
      <c r="I608" s="6">
        <v>-0.2829711770555412</v>
      </c>
      <c r="J608" s="6">
        <v>1171600000</v>
      </c>
      <c r="K608" s="6">
        <v>-31.250000000000018</v>
      </c>
      <c r="L608" t="s">
        <v>6563</v>
      </c>
      <c r="M608" t="s">
        <v>6564</v>
      </c>
      <c r="N608" s="4" t="s">
        <v>8470</v>
      </c>
      <c r="O608" s="4" t="s">
        <v>8471</v>
      </c>
      <c r="P608" s="4" t="s">
        <v>233</v>
      </c>
    </row>
    <row r="609" spans="1:16" x14ac:dyDescent="0.35">
      <c r="A609" t="s">
        <v>13304</v>
      </c>
      <c r="B609" t="s">
        <v>6533</v>
      </c>
      <c r="C609" t="s">
        <v>16</v>
      </c>
      <c r="D609" s="6">
        <v>1227583383.966095</v>
      </c>
      <c r="E609" s="6">
        <v>1227583383.966095</v>
      </c>
      <c r="F609" s="6">
        <v>17.180000305175781</v>
      </c>
      <c r="G609" s="6">
        <v>16.579999923706055</v>
      </c>
      <c r="H609" s="6" t="e">
        <v>#N/A</v>
      </c>
      <c r="I609" s="6">
        <v>-0.86300011972698043</v>
      </c>
      <c r="J609" s="6" t="e">
        <v>#N/A</v>
      </c>
      <c r="K609" s="6" t="e">
        <v>#N/A</v>
      </c>
      <c r="L609" t="s">
        <v>6514</v>
      </c>
      <c r="M609" t="s">
        <v>6534</v>
      </c>
      <c r="N609" s="4" t="s">
        <v>13285</v>
      </c>
      <c r="O609" s="4" t="s">
        <v>13286</v>
      </c>
      <c r="P609" s="4" t="s">
        <v>233</v>
      </c>
    </row>
    <row r="610" spans="1:16" x14ac:dyDescent="0.35">
      <c r="A610" t="s">
        <v>8472</v>
      </c>
      <c r="B610" t="s">
        <v>8473</v>
      </c>
      <c r="C610" t="s">
        <v>16</v>
      </c>
      <c r="D610" s="6">
        <v>4312119754.5420837</v>
      </c>
      <c r="E610" s="6">
        <v>4056121754.5420837</v>
      </c>
      <c r="F610" s="6">
        <v>140.39999389648438</v>
      </c>
      <c r="G610" s="6">
        <v>139.42999267578125</v>
      </c>
      <c r="H610" s="6">
        <v>24.101385451463152</v>
      </c>
      <c r="I610" s="6">
        <v>0.69300345510503081</v>
      </c>
      <c r="J610" s="6">
        <v>2102901000</v>
      </c>
      <c r="K610" s="6">
        <v>54.521963824289386</v>
      </c>
      <c r="L610" t="s">
        <v>6547</v>
      </c>
      <c r="M610" t="s">
        <v>6651</v>
      </c>
      <c r="N610" s="4" t="s">
        <v>8474</v>
      </c>
      <c r="O610" s="4" t="s">
        <v>8475</v>
      </c>
      <c r="P610" s="4" t="s">
        <v>233</v>
      </c>
    </row>
    <row r="611" spans="1:16" x14ac:dyDescent="0.35">
      <c r="A611" t="s">
        <v>8476</v>
      </c>
      <c r="B611" t="s">
        <v>4529</v>
      </c>
      <c r="C611" t="s">
        <v>16</v>
      </c>
      <c r="D611" s="6">
        <v>264247836.37766457</v>
      </c>
      <c r="E611" s="6">
        <v>8595836.3776645362</v>
      </c>
      <c r="F611" s="6">
        <v>2.4600000381469727</v>
      </c>
      <c r="G611" s="6">
        <v>2.4500000476837158</v>
      </c>
      <c r="H611" s="6" t="e">
        <v>#N/A</v>
      </c>
      <c r="I611" s="6">
        <v>-0.80057380075122364</v>
      </c>
      <c r="J611" s="6">
        <v>43384000</v>
      </c>
      <c r="K611" s="6">
        <v>-6.3063063063062916</v>
      </c>
      <c r="L611" t="s">
        <v>17</v>
      </c>
      <c r="M611" t="s">
        <v>18</v>
      </c>
      <c r="N611" s="4" t="s">
        <v>4530</v>
      </c>
      <c r="O611" s="4" t="s">
        <v>4531</v>
      </c>
      <c r="P611" s="4" t="s">
        <v>233</v>
      </c>
    </row>
    <row r="612" spans="1:16" x14ac:dyDescent="0.35">
      <c r="A612" t="s">
        <v>8477</v>
      </c>
      <c r="B612" t="s">
        <v>8478</v>
      </c>
      <c r="C612" t="s">
        <v>16</v>
      </c>
      <c r="D612" s="6">
        <v>2109917119.2861135</v>
      </c>
      <c r="E612" s="6">
        <v>3137317119.2861133</v>
      </c>
      <c r="F612" s="6">
        <v>16.600000381469727</v>
      </c>
      <c r="G612" s="6">
        <v>16.25</v>
      </c>
      <c r="H612" s="6">
        <v>12.175015388536803</v>
      </c>
      <c r="I612" s="6">
        <v>0.10709632531727697</v>
      </c>
      <c r="J612" s="6">
        <v>2709800000</v>
      </c>
      <c r="K612" s="6">
        <v>-7.1428571428571654</v>
      </c>
      <c r="L612" t="s">
        <v>6547</v>
      </c>
      <c r="M612" t="s">
        <v>6553</v>
      </c>
      <c r="N612" s="4" t="s">
        <v>8479</v>
      </c>
      <c r="O612" s="4" t="s">
        <v>8480</v>
      </c>
      <c r="P612" s="4" t="s">
        <v>233</v>
      </c>
    </row>
    <row r="613" spans="1:16" x14ac:dyDescent="0.35">
      <c r="A613" t="s">
        <v>13351</v>
      </c>
      <c r="B613" t="s">
        <v>13352</v>
      </c>
      <c r="C613" t="s">
        <v>16</v>
      </c>
      <c r="D613" s="6">
        <v>285531139.47541803</v>
      </c>
      <c r="E613" s="6">
        <v>285530139.47541803</v>
      </c>
      <c r="F613" s="6">
        <v>17.770000457763672</v>
      </c>
      <c r="G613" s="6">
        <v>17.700000762939453</v>
      </c>
      <c r="H613" s="6" t="e">
        <v>#N/A</v>
      </c>
      <c r="I613" s="6">
        <v>-0.10468096317112296</v>
      </c>
      <c r="J613" s="6" t="e">
        <v>#N/A</v>
      </c>
      <c r="K613" s="6" t="e">
        <v>#N/A</v>
      </c>
      <c r="L613" t="s">
        <v>6623</v>
      </c>
      <c r="M613" t="s">
        <v>7043</v>
      </c>
      <c r="N613" s="4" t="s">
        <v>13353</v>
      </c>
      <c r="O613" s="4" t="s">
        <v>13354</v>
      </c>
      <c r="P613" s="4" t="s">
        <v>233</v>
      </c>
    </row>
    <row r="614" spans="1:16" x14ac:dyDescent="0.35">
      <c r="A614" t="s">
        <v>8481</v>
      </c>
      <c r="B614" t="s">
        <v>8482</v>
      </c>
      <c r="C614" t="s">
        <v>16</v>
      </c>
      <c r="D614" s="6">
        <v>1211514517.0871129</v>
      </c>
      <c r="E614" s="6">
        <v>2823120517.0871129</v>
      </c>
      <c r="F614" s="6">
        <v>5.190000057220459</v>
      </c>
      <c r="G614" s="6">
        <v>5.119999885559082</v>
      </c>
      <c r="H614" s="6" t="e">
        <v>#N/A</v>
      </c>
      <c r="I614" s="6">
        <v>-0.24941024755971208</v>
      </c>
      <c r="J614" s="6">
        <v>1803294000</v>
      </c>
      <c r="K614" s="6" t="e">
        <v>#N/A</v>
      </c>
      <c r="L614" t="s">
        <v>6547</v>
      </c>
      <c r="M614" t="s">
        <v>6875</v>
      </c>
      <c r="N614" s="4" t="s">
        <v>8483</v>
      </c>
      <c r="O614" s="4" t="s">
        <v>8484</v>
      </c>
      <c r="P614" s="4" t="s">
        <v>233</v>
      </c>
    </row>
    <row r="615" spans="1:16" x14ac:dyDescent="0.35">
      <c r="A615" t="s">
        <v>8485</v>
      </c>
      <c r="B615" t="s">
        <v>3416</v>
      </c>
      <c r="C615" t="s">
        <v>16</v>
      </c>
      <c r="D615" s="6">
        <v>649327342.16451645</v>
      </c>
      <c r="E615" s="6">
        <v>210659342.16451645</v>
      </c>
      <c r="F615" s="6">
        <v>8.3500003814697266</v>
      </c>
      <c r="G615" s="6">
        <v>8.1899995803833008</v>
      </c>
      <c r="H615" s="6" t="e">
        <v>#N/A</v>
      </c>
      <c r="I615" s="6">
        <v>-0.58968604927241519</v>
      </c>
      <c r="J615" s="6">
        <v>0</v>
      </c>
      <c r="K615" s="6">
        <v>-16.831683168316847</v>
      </c>
      <c r="L615" t="s">
        <v>17</v>
      </c>
      <c r="M615" t="s">
        <v>18</v>
      </c>
      <c r="N615" s="4" t="s">
        <v>3417</v>
      </c>
      <c r="O615" s="4" t="s">
        <v>3418</v>
      </c>
      <c r="P615" s="4" t="s">
        <v>233</v>
      </c>
    </row>
    <row r="616" spans="1:16" x14ac:dyDescent="0.35">
      <c r="A616" t="s">
        <v>8486</v>
      </c>
      <c r="B616" t="s">
        <v>8487</v>
      </c>
      <c r="C616" t="s">
        <v>16</v>
      </c>
      <c r="D616" s="6">
        <v>5397244360.0637054</v>
      </c>
      <c r="E616" s="6">
        <v>4929978360.0637054</v>
      </c>
      <c r="F616" s="6">
        <v>210.13999938964844</v>
      </c>
      <c r="G616" s="6">
        <v>207</v>
      </c>
      <c r="H616" s="6">
        <v>18.343195781156478</v>
      </c>
      <c r="I616" s="6">
        <v>1.0399915709958445</v>
      </c>
      <c r="J616" s="6">
        <v>868516000</v>
      </c>
      <c r="K616" s="6">
        <v>77.66624843161857</v>
      </c>
      <c r="L616" t="s">
        <v>6518</v>
      </c>
      <c r="M616" t="s">
        <v>6519</v>
      </c>
      <c r="N616" s="4" t="s">
        <v>8488</v>
      </c>
      <c r="O616" s="4" t="s">
        <v>8489</v>
      </c>
      <c r="P616" s="4" t="s">
        <v>233</v>
      </c>
    </row>
    <row r="617" spans="1:16" x14ac:dyDescent="0.35">
      <c r="A617" t="s">
        <v>8490</v>
      </c>
      <c r="B617" t="s">
        <v>8491</v>
      </c>
      <c r="C617" t="s">
        <v>16</v>
      </c>
      <c r="D617" s="6">
        <v>1301092818.6122282</v>
      </c>
      <c r="E617" s="6">
        <v>2799364818.6122279</v>
      </c>
      <c r="F617" s="6">
        <v>52.419998168945313</v>
      </c>
      <c r="G617" s="6">
        <v>54.340000152587891</v>
      </c>
      <c r="H617" s="6">
        <v>9.1165230061684035</v>
      </c>
      <c r="I617" s="6">
        <v>-0.41675939371304727</v>
      </c>
      <c r="J617" s="6">
        <v>3357327000</v>
      </c>
      <c r="K617" s="6">
        <v>306.17696010766565</v>
      </c>
      <c r="L617" t="s">
        <v>6547</v>
      </c>
      <c r="M617" t="s">
        <v>6802</v>
      </c>
      <c r="N617" s="4" t="s">
        <v>233</v>
      </c>
      <c r="O617" s="4" t="s">
        <v>8492</v>
      </c>
      <c r="P617" s="4" t="s">
        <v>13222</v>
      </c>
    </row>
    <row r="618" spans="1:16" x14ac:dyDescent="0.35">
      <c r="A618" t="s">
        <v>8493</v>
      </c>
      <c r="B618" t="s">
        <v>8494</v>
      </c>
      <c r="C618" t="s">
        <v>16</v>
      </c>
      <c r="D618" s="6">
        <v>3652369289.234097</v>
      </c>
      <c r="E618" s="6">
        <v>5145915289.2340965</v>
      </c>
      <c r="F618" s="6">
        <v>52.630001068115234</v>
      </c>
      <c r="G618" s="6">
        <v>52.459999084472656</v>
      </c>
      <c r="H618" s="6">
        <v>8.8916477758911547</v>
      </c>
      <c r="I618" s="6">
        <v>-0.25089952905245672</v>
      </c>
      <c r="J618" s="6">
        <v>6051358000</v>
      </c>
      <c r="K618" s="6">
        <v>-6.3157894736842088</v>
      </c>
      <c r="L618" t="s">
        <v>6540</v>
      </c>
      <c r="M618" t="s">
        <v>6541</v>
      </c>
      <c r="N618" s="4" t="s">
        <v>8495</v>
      </c>
      <c r="O618" s="4" t="s">
        <v>8496</v>
      </c>
      <c r="P618" s="4" t="s">
        <v>233</v>
      </c>
    </row>
    <row r="619" spans="1:16" x14ac:dyDescent="0.35">
      <c r="A619" t="s">
        <v>8497</v>
      </c>
      <c r="B619" t="s">
        <v>8498</v>
      </c>
      <c r="C619" t="s">
        <v>16</v>
      </c>
      <c r="D619" s="6">
        <v>1727009996.1089249</v>
      </c>
      <c r="E619" s="6" t="e">
        <v>#N/A</v>
      </c>
      <c r="F619" s="6">
        <v>73.739997863769531</v>
      </c>
      <c r="G619" s="6">
        <v>74.779998779296875</v>
      </c>
      <c r="H619" s="6">
        <v>136.55555159957319</v>
      </c>
      <c r="I619" s="6">
        <v>-8.9732269269392706E-2</v>
      </c>
      <c r="J619" s="6">
        <v>487929000</v>
      </c>
      <c r="K619" s="6">
        <v>-66.257668711656436</v>
      </c>
      <c r="L619" t="s">
        <v>6529</v>
      </c>
      <c r="M619" t="s">
        <v>6530</v>
      </c>
      <c r="N619" s="4" t="s">
        <v>8499</v>
      </c>
      <c r="O619" s="4" t="s">
        <v>8500</v>
      </c>
      <c r="P619" s="4" t="s">
        <v>233</v>
      </c>
    </row>
    <row r="620" spans="1:16" x14ac:dyDescent="0.35">
      <c r="A620" t="s">
        <v>8501</v>
      </c>
      <c r="B620" t="s">
        <v>4610</v>
      </c>
      <c r="C620" t="s">
        <v>16</v>
      </c>
      <c r="D620" s="6">
        <v>232943561.33405614</v>
      </c>
      <c r="E620" s="6">
        <v>15638561.334056169</v>
      </c>
      <c r="F620" s="6">
        <v>3.2999999523162842</v>
      </c>
      <c r="G620" s="6">
        <v>3.2100000381469727</v>
      </c>
      <c r="H620" s="6" t="e">
        <v>#N/A</v>
      </c>
      <c r="I620" s="6">
        <v>-0.51087693046087845</v>
      </c>
      <c r="J620" s="6">
        <v>33668000</v>
      </c>
      <c r="K620" s="6">
        <v>38.238365374858013</v>
      </c>
      <c r="L620" t="s">
        <v>17</v>
      </c>
      <c r="M620" t="s">
        <v>18</v>
      </c>
      <c r="N620" s="4" t="s">
        <v>4611</v>
      </c>
      <c r="O620" s="4" t="s">
        <v>4612</v>
      </c>
      <c r="P620" s="4" t="s">
        <v>233</v>
      </c>
    </row>
    <row r="621" spans="1:16" x14ac:dyDescent="0.35">
      <c r="A621" t="s">
        <v>8502</v>
      </c>
      <c r="B621" t="s">
        <v>4522</v>
      </c>
      <c r="C621" t="s">
        <v>16</v>
      </c>
      <c r="D621" s="6">
        <v>2158064287.1822853</v>
      </c>
      <c r="E621" s="6">
        <v>1930435287.1822853</v>
      </c>
      <c r="F621" s="6">
        <v>37.840000152587891</v>
      </c>
      <c r="G621" s="6">
        <v>37.340000152587891</v>
      </c>
      <c r="H621" s="6">
        <v>13.335969567130039</v>
      </c>
      <c r="I621" s="6">
        <v>9.4636202136877179E-2</v>
      </c>
      <c r="J621" s="6">
        <v>681879000</v>
      </c>
      <c r="K621" s="6">
        <v>-14.682539682539687</v>
      </c>
      <c r="L621" t="s">
        <v>17</v>
      </c>
      <c r="M621" t="s">
        <v>87</v>
      </c>
      <c r="N621" s="4" t="s">
        <v>4523</v>
      </c>
      <c r="O621" s="4" t="s">
        <v>4524</v>
      </c>
      <c r="P621" s="4" t="s">
        <v>233</v>
      </c>
    </row>
    <row r="622" spans="1:16" x14ac:dyDescent="0.35">
      <c r="A622" t="s">
        <v>8503</v>
      </c>
      <c r="B622" t="s">
        <v>8504</v>
      </c>
      <c r="C622" t="s">
        <v>16</v>
      </c>
      <c r="D622" s="6">
        <v>4102908172.27597</v>
      </c>
      <c r="E622" s="6">
        <v>4290608172.27597</v>
      </c>
      <c r="F622" s="6">
        <v>26.200000762939453</v>
      </c>
      <c r="G622" s="6">
        <v>26.209999084472656</v>
      </c>
      <c r="H622" s="6">
        <v>24.754113021361718</v>
      </c>
      <c r="I622" s="6">
        <v>0.68484988226196064</v>
      </c>
      <c r="J622" s="6">
        <v>1362600000</v>
      </c>
      <c r="K622" s="6">
        <v>74.000000000000028</v>
      </c>
      <c r="L622" t="s">
        <v>6547</v>
      </c>
      <c r="M622" t="s">
        <v>6668</v>
      </c>
      <c r="N622" s="4" t="s">
        <v>8505</v>
      </c>
      <c r="O622" s="4" t="s">
        <v>8506</v>
      </c>
      <c r="P622" s="4" t="s">
        <v>233</v>
      </c>
    </row>
    <row r="623" spans="1:16" x14ac:dyDescent="0.35">
      <c r="A623" t="s">
        <v>8507</v>
      </c>
      <c r="B623" t="s">
        <v>8508</v>
      </c>
      <c r="C623" t="s">
        <v>16</v>
      </c>
      <c r="D623" s="6">
        <v>472808878.68816382</v>
      </c>
      <c r="E623" s="6">
        <v>475360403.68816382</v>
      </c>
      <c r="F623" s="6">
        <v>3.0799999237060547</v>
      </c>
      <c r="G623" s="6">
        <v>2.869999885559082</v>
      </c>
      <c r="H623" s="6" t="e">
        <v>#N/A</v>
      </c>
      <c r="I623" s="6">
        <v>-6.0814204830028529E-2</v>
      </c>
      <c r="J623" s="6">
        <v>44916131</v>
      </c>
      <c r="K623" s="6">
        <v>88.059701492537314</v>
      </c>
      <c r="L623" t="s">
        <v>6518</v>
      </c>
      <c r="M623" t="s">
        <v>6519</v>
      </c>
      <c r="N623" s="4" t="s">
        <v>233</v>
      </c>
      <c r="O623" s="4" t="s">
        <v>8509</v>
      </c>
      <c r="P623" s="4" t="s">
        <v>13223</v>
      </c>
    </row>
    <row r="624" spans="1:16" x14ac:dyDescent="0.35">
      <c r="A624" t="s">
        <v>8510</v>
      </c>
      <c r="B624" t="s">
        <v>8511</v>
      </c>
      <c r="C624" t="s">
        <v>16</v>
      </c>
      <c r="D624" s="6">
        <v>1220198673.6636355</v>
      </c>
      <c r="E624" s="6">
        <v>1509107713.6636355</v>
      </c>
      <c r="F624" s="6">
        <v>64.239997863769531</v>
      </c>
      <c r="G624" s="6">
        <v>64.680000305175781</v>
      </c>
      <c r="H624" s="6">
        <v>18.240164213662499</v>
      </c>
      <c r="I624" s="6">
        <v>-0.16250393794452211</v>
      </c>
      <c r="J624" s="6">
        <v>5446662441</v>
      </c>
      <c r="K624" s="6">
        <v>-57.401649165859972</v>
      </c>
      <c r="L624" t="s">
        <v>6735</v>
      </c>
      <c r="M624" t="s">
        <v>6736</v>
      </c>
      <c r="N624" s="4" t="s">
        <v>8512</v>
      </c>
      <c r="O624" s="4" t="s">
        <v>8513</v>
      </c>
      <c r="P624" s="4" t="s">
        <v>233</v>
      </c>
    </row>
    <row r="625" spans="1:16" x14ac:dyDescent="0.35">
      <c r="A625" t="s">
        <v>8514</v>
      </c>
      <c r="B625" t="s">
        <v>8515</v>
      </c>
      <c r="C625" t="s">
        <v>16</v>
      </c>
      <c r="D625" s="6">
        <v>1642355228.8787668</v>
      </c>
      <c r="E625" s="6">
        <v>3314347228.878767</v>
      </c>
      <c r="F625" s="6">
        <v>6.2399997711181641</v>
      </c>
      <c r="G625" s="6">
        <v>6.2699999809265137</v>
      </c>
      <c r="H625" s="6" t="e">
        <v>#N/A</v>
      </c>
      <c r="I625" s="6">
        <v>-8.7490466158127833E-2</v>
      </c>
      <c r="J625" s="6">
        <v>2707403000</v>
      </c>
      <c r="K625" s="6">
        <v>100</v>
      </c>
      <c r="L625" t="s">
        <v>6514</v>
      </c>
      <c r="M625" t="s">
        <v>6534</v>
      </c>
      <c r="N625" s="4" t="s">
        <v>8516</v>
      </c>
      <c r="O625" s="4" t="s">
        <v>8517</v>
      </c>
      <c r="P625" s="4" t="s">
        <v>233</v>
      </c>
    </row>
    <row r="626" spans="1:16" x14ac:dyDescent="0.35">
      <c r="A626" t="s">
        <v>8518</v>
      </c>
      <c r="B626" t="s">
        <v>8519</v>
      </c>
      <c r="C626" t="s">
        <v>16</v>
      </c>
      <c r="D626" s="6">
        <v>2744285892.7965927</v>
      </c>
      <c r="E626" s="6">
        <v>19733737016.308754</v>
      </c>
      <c r="F626" s="6">
        <v>9.2299995422363281</v>
      </c>
      <c r="G626" s="6">
        <v>9.2700004577636719</v>
      </c>
      <c r="H626" s="6">
        <v>7.6568396786941797</v>
      </c>
      <c r="I626" s="6">
        <v>-0.47314990840495841</v>
      </c>
      <c r="J626" s="6">
        <v>12896700000</v>
      </c>
      <c r="K626" s="6">
        <v>105.41461176845195</v>
      </c>
      <c r="L626" t="s">
        <v>6529</v>
      </c>
      <c r="M626" t="s">
        <v>6639</v>
      </c>
      <c r="N626" s="4" t="s">
        <v>233</v>
      </c>
      <c r="O626" s="4" t="s">
        <v>8520</v>
      </c>
      <c r="P626" s="4" t="s">
        <v>13224</v>
      </c>
    </row>
    <row r="627" spans="1:16" x14ac:dyDescent="0.35">
      <c r="A627" t="s">
        <v>8521</v>
      </c>
      <c r="B627" t="s">
        <v>8522</v>
      </c>
      <c r="C627" t="s">
        <v>16</v>
      </c>
      <c r="D627" s="6">
        <v>3539524351.3086905</v>
      </c>
      <c r="E627" s="6">
        <v>5270524351.308691</v>
      </c>
      <c r="F627" s="6">
        <v>6.6399998664855957</v>
      </c>
      <c r="G627" s="6">
        <v>6.5900001525878906</v>
      </c>
      <c r="H627" s="6" t="e">
        <v>#N/A</v>
      </c>
      <c r="I627" s="6">
        <v>-0.2916790766759837</v>
      </c>
      <c r="J627" s="6">
        <v>2612000000</v>
      </c>
      <c r="K627" s="6">
        <v>-24.121786266314142</v>
      </c>
      <c r="L627" t="s">
        <v>6547</v>
      </c>
      <c r="M627" t="s">
        <v>6548</v>
      </c>
      <c r="N627" s="4" t="s">
        <v>8523</v>
      </c>
      <c r="O627" s="4" t="s">
        <v>8524</v>
      </c>
      <c r="P627" s="4" t="s">
        <v>233</v>
      </c>
    </row>
    <row r="628" spans="1:16" x14ac:dyDescent="0.35">
      <c r="A628" t="s">
        <v>8525</v>
      </c>
      <c r="B628" t="s">
        <v>8526</v>
      </c>
      <c r="C628" t="s">
        <v>16</v>
      </c>
      <c r="D628" s="6">
        <v>383039995.1934815</v>
      </c>
      <c r="E628" s="6" t="e">
        <v>#N/A</v>
      </c>
      <c r="F628" s="6">
        <v>15.199999809265137</v>
      </c>
      <c r="G628" s="6">
        <v>15.489999771118164</v>
      </c>
      <c r="H628" s="6">
        <v>9.0499837810386978</v>
      </c>
      <c r="I628" s="6">
        <v>0.10537665457236312</v>
      </c>
      <c r="J628" s="6">
        <v>229435000</v>
      </c>
      <c r="K628" s="6">
        <v>76.842105263157904</v>
      </c>
      <c r="L628" t="s">
        <v>6529</v>
      </c>
      <c r="M628" t="s">
        <v>6530</v>
      </c>
      <c r="N628" s="4" t="s">
        <v>8527</v>
      </c>
      <c r="O628" s="4" t="s">
        <v>8528</v>
      </c>
      <c r="P628" s="4" t="s">
        <v>233</v>
      </c>
    </row>
    <row r="629" spans="1:16" x14ac:dyDescent="0.35">
      <c r="A629" t="s">
        <v>8529</v>
      </c>
      <c r="B629" t="s">
        <v>2878</v>
      </c>
      <c r="C629" t="s">
        <v>16</v>
      </c>
      <c r="D629" s="6">
        <v>62124966.929443955</v>
      </c>
      <c r="E629" s="6">
        <v>356496966.92944396</v>
      </c>
      <c r="F629" s="6">
        <v>6.3899998664855957</v>
      </c>
      <c r="G629" s="6">
        <v>5.940000057220459</v>
      </c>
      <c r="H629" s="6" t="e">
        <v>#N/A</v>
      </c>
      <c r="I629" s="6">
        <v>-0.70589627953668344</v>
      </c>
      <c r="J629" s="6">
        <v>53120000</v>
      </c>
      <c r="K629" s="6">
        <v>-361.71521816746355</v>
      </c>
      <c r="L629" t="s">
        <v>17</v>
      </c>
      <c r="M629" t="s">
        <v>18</v>
      </c>
      <c r="N629" s="4" t="s">
        <v>13309</v>
      </c>
      <c r="O629" s="4" t="s">
        <v>13310</v>
      </c>
      <c r="P629" s="4" t="s">
        <v>233</v>
      </c>
    </row>
    <row r="630" spans="1:16" x14ac:dyDescent="0.35">
      <c r="A630" t="s">
        <v>8530</v>
      </c>
      <c r="B630" t="s">
        <v>8531</v>
      </c>
      <c r="C630" t="s">
        <v>16</v>
      </c>
      <c r="D630" s="6">
        <v>182795646.89312473</v>
      </c>
      <c r="E630" s="6">
        <v>567576646.8931247</v>
      </c>
      <c r="F630" s="6">
        <v>5.4899997711181641</v>
      </c>
      <c r="G630" s="6">
        <v>5.5799999237060547</v>
      </c>
      <c r="H630" s="6" t="e">
        <v>#N/A</v>
      </c>
      <c r="I630" s="6">
        <v>-0.87175363800157712</v>
      </c>
      <c r="J630" s="6">
        <v>75026000</v>
      </c>
      <c r="K630" s="6">
        <v>40.866754966887427</v>
      </c>
      <c r="L630" t="s">
        <v>6540</v>
      </c>
      <c r="M630" t="s">
        <v>6881</v>
      </c>
      <c r="N630" s="4" t="s">
        <v>13068</v>
      </c>
      <c r="O630" s="4" t="s">
        <v>13069</v>
      </c>
      <c r="P630" s="4" t="s">
        <v>233</v>
      </c>
    </row>
    <row r="631" spans="1:16" x14ac:dyDescent="0.35">
      <c r="A631" t="s">
        <v>8532</v>
      </c>
      <c r="B631" t="s">
        <v>8533</v>
      </c>
      <c r="C631" t="s">
        <v>16</v>
      </c>
      <c r="D631" s="6">
        <v>4228145162.6789703</v>
      </c>
      <c r="E631" s="6" t="e">
        <v>#N/A</v>
      </c>
      <c r="F631" s="6">
        <v>83.629997253417969</v>
      </c>
      <c r="G631" s="6">
        <v>84.330001831054688</v>
      </c>
      <c r="H631" s="6">
        <v>27.754287844603187</v>
      </c>
      <c r="I631" s="6">
        <v>0.1908258916775587</v>
      </c>
      <c r="J631" s="6">
        <v>536760999.99999994</v>
      </c>
      <c r="K631" s="6">
        <v>14.503816793893124</v>
      </c>
      <c r="L631" t="s">
        <v>6529</v>
      </c>
      <c r="M631" t="s">
        <v>6568</v>
      </c>
      <c r="N631" s="4" t="s">
        <v>8534</v>
      </c>
      <c r="O631" s="4" t="s">
        <v>8535</v>
      </c>
      <c r="P631" s="4" t="s">
        <v>233</v>
      </c>
    </row>
    <row r="632" spans="1:16" x14ac:dyDescent="0.35">
      <c r="A632" t="s">
        <v>8536</v>
      </c>
      <c r="B632" t="s">
        <v>8537</v>
      </c>
      <c r="C632" t="s">
        <v>16</v>
      </c>
      <c r="D632" s="6">
        <v>613575809.56084251</v>
      </c>
      <c r="E632" s="6">
        <v>642642809.56084251</v>
      </c>
      <c r="F632" s="6">
        <v>14.350000381469727</v>
      </c>
      <c r="G632" s="6">
        <v>14.420000076293945</v>
      </c>
      <c r="H632" s="6">
        <v>8.7668604019374605</v>
      </c>
      <c r="I632" s="6">
        <v>-0.15108910662819941</v>
      </c>
      <c r="J632" s="6">
        <v>439330000</v>
      </c>
      <c r="K632" s="6">
        <v>539.99999999999989</v>
      </c>
      <c r="L632" t="s">
        <v>6547</v>
      </c>
      <c r="M632" t="s">
        <v>7658</v>
      </c>
      <c r="N632" s="4" t="s">
        <v>233</v>
      </c>
      <c r="O632" s="4" t="s">
        <v>8538</v>
      </c>
      <c r="P632" s="4" t="s">
        <v>13225</v>
      </c>
    </row>
    <row r="633" spans="1:16" x14ac:dyDescent="0.35">
      <c r="A633" t="s">
        <v>8539</v>
      </c>
      <c r="B633" t="s">
        <v>8540</v>
      </c>
      <c r="C633" t="s">
        <v>16</v>
      </c>
      <c r="D633" s="6">
        <v>1312470468.7347102</v>
      </c>
      <c r="E633" s="6" t="e">
        <v>#N/A</v>
      </c>
      <c r="F633" s="6">
        <v>29.569999694824219</v>
      </c>
      <c r="G633" s="6">
        <v>29.569999694824219</v>
      </c>
      <c r="H633" s="6">
        <v>10.687324621371332</v>
      </c>
      <c r="I633" s="6">
        <v>0.40532957676042769</v>
      </c>
      <c r="J633" s="6">
        <v>624780000</v>
      </c>
      <c r="K633" s="6">
        <v>3.3457249070631918</v>
      </c>
      <c r="L633" t="s">
        <v>6529</v>
      </c>
      <c r="M633" t="s">
        <v>6530</v>
      </c>
      <c r="N633" s="4" t="s">
        <v>8541</v>
      </c>
      <c r="O633" s="4" t="s">
        <v>8542</v>
      </c>
      <c r="P633" s="4" t="s">
        <v>233</v>
      </c>
    </row>
    <row r="634" spans="1:16" x14ac:dyDescent="0.35">
      <c r="A634" t="s">
        <v>8543</v>
      </c>
      <c r="B634" t="s">
        <v>8544</v>
      </c>
      <c r="C634" t="s">
        <v>16</v>
      </c>
      <c r="D634" s="6">
        <v>1105561408.5965955</v>
      </c>
      <c r="E634" s="6">
        <v>8491267408.5965958</v>
      </c>
      <c r="F634" s="6">
        <v>6.559999942779541</v>
      </c>
      <c r="G634" s="6">
        <v>6.570000171661377</v>
      </c>
      <c r="H634" s="6" t="e">
        <v>#N/A</v>
      </c>
      <c r="I634" s="6">
        <v>-0.1824517295842667</v>
      </c>
      <c r="J634" s="6">
        <v>1101552000</v>
      </c>
      <c r="K634" s="6" t="e">
        <v>#N/A</v>
      </c>
      <c r="L634" t="s">
        <v>6529</v>
      </c>
      <c r="M634" t="s">
        <v>8169</v>
      </c>
      <c r="N634" s="4" t="s">
        <v>8545</v>
      </c>
      <c r="O634" s="4" t="s">
        <v>8546</v>
      </c>
      <c r="P634" s="4" t="s">
        <v>233</v>
      </c>
    </row>
    <row r="635" spans="1:16" x14ac:dyDescent="0.35">
      <c r="A635" t="s">
        <v>8551</v>
      </c>
      <c r="B635" t="s">
        <v>8552</v>
      </c>
      <c r="C635" t="s">
        <v>16</v>
      </c>
      <c r="D635" s="6">
        <v>108800781.4426682</v>
      </c>
      <c r="E635" s="6">
        <v>152417781.4426682</v>
      </c>
      <c r="F635" s="6">
        <v>1.0099999904632568</v>
      </c>
      <c r="G635" s="6">
        <v>1.0099999904632568</v>
      </c>
      <c r="H635" s="6" t="e">
        <v>#N/A</v>
      </c>
      <c r="I635" s="6">
        <v>-0.29793106810017522</v>
      </c>
      <c r="J635" s="6">
        <v>504838000</v>
      </c>
      <c r="K635" s="6">
        <v>41.520467836257311</v>
      </c>
      <c r="L635" t="s">
        <v>6540</v>
      </c>
      <c r="M635" t="s">
        <v>6797</v>
      </c>
      <c r="N635" s="4" t="s">
        <v>8553</v>
      </c>
      <c r="O635" s="4" t="s">
        <v>8554</v>
      </c>
      <c r="P635" s="4" t="s">
        <v>233</v>
      </c>
    </row>
    <row r="636" spans="1:16" x14ac:dyDescent="0.35">
      <c r="A636" t="s">
        <v>8555</v>
      </c>
      <c r="B636" t="s">
        <v>8556</v>
      </c>
      <c r="C636" t="s">
        <v>16</v>
      </c>
      <c r="D636" s="6">
        <v>110783674.99999999</v>
      </c>
      <c r="E636" s="6">
        <v>381237675</v>
      </c>
      <c r="F636" s="6">
        <v>5</v>
      </c>
      <c r="G636" s="6">
        <v>5.0500001907348633</v>
      </c>
      <c r="H636" s="6" t="e">
        <v>#N/A</v>
      </c>
      <c r="I636" s="6">
        <v>-0.44742157563929108</v>
      </c>
      <c r="J636" s="6">
        <v>670888000</v>
      </c>
      <c r="K636" s="6">
        <v>-167.56756756756752</v>
      </c>
      <c r="L636" t="s">
        <v>6540</v>
      </c>
      <c r="M636" t="s">
        <v>6797</v>
      </c>
      <c r="N636" s="4" t="s">
        <v>8557</v>
      </c>
      <c r="O636" s="4" t="s">
        <v>8558</v>
      </c>
      <c r="P636" s="4" t="s">
        <v>233</v>
      </c>
    </row>
    <row r="637" spans="1:16" x14ac:dyDescent="0.35">
      <c r="A637" t="s">
        <v>8559</v>
      </c>
      <c r="B637" t="s">
        <v>8560</v>
      </c>
      <c r="C637" t="s">
        <v>16</v>
      </c>
      <c r="D637" s="6">
        <v>4199188518.3587646</v>
      </c>
      <c r="E637" s="6">
        <v>5089188518.3587646</v>
      </c>
      <c r="F637" s="6">
        <v>45.790000915527344</v>
      </c>
      <c r="G637" s="6">
        <v>47.659999847412109</v>
      </c>
      <c r="H637" s="6">
        <v>12.775618383031208</v>
      </c>
      <c r="I637" s="6">
        <v>-0.12137905572278906</v>
      </c>
      <c r="J637" s="6">
        <v>3047000000</v>
      </c>
      <c r="K637" s="6">
        <v>2.3328149300155721</v>
      </c>
      <c r="L637" t="s">
        <v>6523</v>
      </c>
      <c r="M637" t="s">
        <v>6524</v>
      </c>
      <c r="N637" s="4" t="s">
        <v>8561</v>
      </c>
      <c r="O637" s="4" t="s">
        <v>8562</v>
      </c>
      <c r="P637" s="4" t="s">
        <v>233</v>
      </c>
    </row>
    <row r="638" spans="1:16" x14ac:dyDescent="0.35">
      <c r="A638" t="s">
        <v>8563</v>
      </c>
      <c r="B638" t="s">
        <v>8564</v>
      </c>
      <c r="C638" t="s">
        <v>16</v>
      </c>
      <c r="D638" s="6">
        <v>840883585.29993999</v>
      </c>
      <c r="E638" s="6">
        <v>2992966585.2999401</v>
      </c>
      <c r="F638" s="6">
        <v>4.869999885559082</v>
      </c>
      <c r="G638" s="6">
        <v>4.8899998664855957</v>
      </c>
      <c r="H638" s="6" t="e">
        <v>#N/A</v>
      </c>
      <c r="I638" s="6">
        <v>0.31929725057284353</v>
      </c>
      <c r="J638" s="6">
        <v>505517000</v>
      </c>
      <c r="K638" s="6">
        <v>1.7391304347826104</v>
      </c>
      <c r="L638" t="s">
        <v>6623</v>
      </c>
      <c r="M638" t="s">
        <v>6866</v>
      </c>
      <c r="N638" s="4" t="s">
        <v>8565</v>
      </c>
      <c r="O638" s="4" t="s">
        <v>8566</v>
      </c>
      <c r="P638" s="4" t="s">
        <v>233</v>
      </c>
    </row>
    <row r="639" spans="1:16" x14ac:dyDescent="0.35">
      <c r="A639" t="s">
        <v>8567</v>
      </c>
      <c r="B639" t="s">
        <v>8568</v>
      </c>
      <c r="C639" t="s">
        <v>16</v>
      </c>
      <c r="D639" s="6">
        <v>4330435002.4446115</v>
      </c>
      <c r="E639" s="6">
        <v>4299392002.4446115</v>
      </c>
      <c r="F639" s="6">
        <v>216.44999694824219</v>
      </c>
      <c r="G639" s="6">
        <v>210.89999389648438</v>
      </c>
      <c r="H639" s="6">
        <v>21.012942977817264</v>
      </c>
      <c r="I639" s="6">
        <v>1.2804823216372565</v>
      </c>
      <c r="J639" s="6">
        <v>2999495000</v>
      </c>
      <c r="K639" s="6">
        <v>90.672413977270921</v>
      </c>
      <c r="L639" t="s">
        <v>6547</v>
      </c>
      <c r="M639" t="s">
        <v>6651</v>
      </c>
      <c r="N639" s="4" t="s">
        <v>8569</v>
      </c>
      <c r="O639" s="4" t="s">
        <v>8570</v>
      </c>
      <c r="P639" s="4" t="s">
        <v>233</v>
      </c>
    </row>
    <row r="640" spans="1:16" x14ac:dyDescent="0.35">
      <c r="A640" t="s">
        <v>8571</v>
      </c>
      <c r="B640" t="s">
        <v>8572</v>
      </c>
      <c r="C640" t="s">
        <v>16</v>
      </c>
      <c r="D640" s="6">
        <v>512829631.91992176</v>
      </c>
      <c r="E640" s="6" t="e">
        <v>#N/A</v>
      </c>
      <c r="F640" s="6">
        <v>37.490001678466797</v>
      </c>
      <c r="G640" s="6">
        <v>37.450000762939453</v>
      </c>
      <c r="H640" s="6">
        <v>13.485612114556403</v>
      </c>
      <c r="I640" s="6">
        <v>0.89586406970044274</v>
      </c>
      <c r="J640" s="6">
        <v>338977000</v>
      </c>
      <c r="K640" s="6">
        <v>48.815165876777264</v>
      </c>
      <c r="L640" t="s">
        <v>6529</v>
      </c>
      <c r="M640" t="s">
        <v>6530</v>
      </c>
      <c r="N640" s="4" t="s">
        <v>8573</v>
      </c>
      <c r="O640" s="4" t="s">
        <v>8574</v>
      </c>
      <c r="P640" s="4" t="s">
        <v>233</v>
      </c>
    </row>
    <row r="641" spans="1:16" x14ac:dyDescent="0.35">
      <c r="A641" t="s">
        <v>8575</v>
      </c>
      <c r="B641" t="s">
        <v>8576</v>
      </c>
      <c r="C641" t="s">
        <v>16</v>
      </c>
      <c r="D641" s="6">
        <v>320183925.74325567</v>
      </c>
      <c r="E641" s="6">
        <v>299761925.74325567</v>
      </c>
      <c r="F641" s="6">
        <v>21.610000610351563</v>
      </c>
      <c r="G641" s="6">
        <v>21.139999389648438</v>
      </c>
      <c r="H641" s="6">
        <v>25.13395737154357</v>
      </c>
      <c r="I641" s="6">
        <v>0.9242892057234311</v>
      </c>
      <c r="J641" s="6">
        <v>181979000</v>
      </c>
      <c r="K641" s="6">
        <v>60.714285714285708</v>
      </c>
      <c r="L641" t="s">
        <v>6735</v>
      </c>
      <c r="M641" t="s">
        <v>6747</v>
      </c>
      <c r="N641" s="4" t="s">
        <v>8577</v>
      </c>
      <c r="O641" s="4" t="s">
        <v>8578</v>
      </c>
      <c r="P641" s="4" t="s">
        <v>233</v>
      </c>
    </row>
    <row r="642" spans="1:16" x14ac:dyDescent="0.35">
      <c r="A642" t="s">
        <v>8579</v>
      </c>
      <c r="B642" t="s">
        <v>8580</v>
      </c>
      <c r="C642" t="s">
        <v>16</v>
      </c>
      <c r="D642" s="6">
        <v>309417452.12015283</v>
      </c>
      <c r="E642" s="6">
        <v>410012452.12015283</v>
      </c>
      <c r="F642" s="6">
        <v>0.69950002431869507</v>
      </c>
      <c r="G642" s="6">
        <v>0.68500000238418579</v>
      </c>
      <c r="H642" s="6" t="e">
        <v>#N/A</v>
      </c>
      <c r="I642" s="6">
        <v>-0.69085750888838482</v>
      </c>
      <c r="J642" s="6">
        <v>431026000</v>
      </c>
      <c r="K642" s="6">
        <v>40.322580645161288</v>
      </c>
      <c r="L642" t="s">
        <v>6547</v>
      </c>
      <c r="M642" t="s">
        <v>6602</v>
      </c>
      <c r="N642" s="4" t="s">
        <v>8581</v>
      </c>
      <c r="O642" s="4" t="s">
        <v>8582</v>
      </c>
      <c r="P642" s="4" t="s">
        <v>233</v>
      </c>
    </row>
    <row r="643" spans="1:16" x14ac:dyDescent="0.35">
      <c r="A643" t="s">
        <v>8583</v>
      </c>
      <c r="B643" t="s">
        <v>8584</v>
      </c>
      <c r="C643" t="s">
        <v>16</v>
      </c>
      <c r="D643" s="6">
        <v>596931653.57820511</v>
      </c>
      <c r="E643" s="6">
        <v>647513653.57820511</v>
      </c>
      <c r="F643" s="6">
        <v>19.950000762939453</v>
      </c>
      <c r="G643" s="6">
        <v>20.290000915527344</v>
      </c>
      <c r="H643" s="6">
        <v>24.950350384122139</v>
      </c>
      <c r="I643" s="6">
        <v>0.40881035484513362</v>
      </c>
      <c r="J643" s="6">
        <v>523022000</v>
      </c>
      <c r="K643" s="6">
        <v>-15.544513386729154</v>
      </c>
      <c r="L643" t="s">
        <v>6547</v>
      </c>
      <c r="M643" t="s">
        <v>6602</v>
      </c>
      <c r="N643" s="4" t="s">
        <v>8585</v>
      </c>
      <c r="O643" s="4" t="s">
        <v>8586</v>
      </c>
      <c r="P643" s="4" t="s">
        <v>233</v>
      </c>
    </row>
    <row r="644" spans="1:16" x14ac:dyDescent="0.35">
      <c r="A644" t="s">
        <v>8587</v>
      </c>
      <c r="B644" t="s">
        <v>1716</v>
      </c>
      <c r="C644" t="s">
        <v>16</v>
      </c>
      <c r="D644" s="6">
        <v>2853595189.1426778</v>
      </c>
      <c r="E644" s="6">
        <v>3048496189.1426778</v>
      </c>
      <c r="F644" s="6">
        <v>9.5500001907348633</v>
      </c>
      <c r="G644" s="6">
        <v>9.380000114440918</v>
      </c>
      <c r="H644" s="6" t="e">
        <v>#N/A</v>
      </c>
      <c r="I644" s="6">
        <v>-0.30576952132909685</v>
      </c>
      <c r="J644" s="6">
        <v>493671000</v>
      </c>
      <c r="K644" s="6">
        <v>42.428755115933136</v>
      </c>
      <c r="L644" t="s">
        <v>17</v>
      </c>
      <c r="M644" t="s">
        <v>18</v>
      </c>
      <c r="N644" s="4" t="s">
        <v>1717</v>
      </c>
      <c r="O644" s="4" t="s">
        <v>1718</v>
      </c>
      <c r="P644" s="4" t="s">
        <v>233</v>
      </c>
    </row>
    <row r="645" spans="1:16" x14ac:dyDescent="0.35">
      <c r="A645" t="s">
        <v>8588</v>
      </c>
      <c r="B645" t="s">
        <v>1886</v>
      </c>
      <c r="C645" t="s">
        <v>16</v>
      </c>
      <c r="D645" s="6">
        <v>2765058038.7544861</v>
      </c>
      <c r="E645" s="6">
        <v>2760787038.7544861</v>
      </c>
      <c r="F645" s="6">
        <v>56.020000457763672</v>
      </c>
      <c r="G645" s="6">
        <v>56.5</v>
      </c>
      <c r="H645" s="6">
        <v>933.66667429606127</v>
      </c>
      <c r="I645" s="6">
        <v>0.18082025617956132</v>
      </c>
      <c r="J645" s="6">
        <v>226844000</v>
      </c>
      <c r="K645" s="6" t="e">
        <v>#N/A</v>
      </c>
      <c r="L645" t="s">
        <v>17</v>
      </c>
      <c r="M645" t="s">
        <v>18</v>
      </c>
      <c r="N645" s="4" t="s">
        <v>1887</v>
      </c>
      <c r="O645" s="4" t="s">
        <v>1888</v>
      </c>
      <c r="P645" s="4" t="s">
        <v>233</v>
      </c>
    </row>
    <row r="646" spans="1:16" x14ac:dyDescent="0.35">
      <c r="A646" t="s">
        <v>8589</v>
      </c>
      <c r="B646" t="s">
        <v>3858</v>
      </c>
      <c r="C646" t="s">
        <v>16</v>
      </c>
      <c r="D646" s="6">
        <v>1204266230.8856916</v>
      </c>
      <c r="E646" s="6">
        <v>3290728243.2916918</v>
      </c>
      <c r="F646" s="6">
        <v>8.9499998092651367</v>
      </c>
      <c r="G646" s="6">
        <v>9.0600004196166992</v>
      </c>
      <c r="H646" s="6">
        <v>7.8937316794996146</v>
      </c>
      <c r="I646" s="6">
        <v>0.17710558129632448</v>
      </c>
      <c r="J646" s="6">
        <v>3262564000</v>
      </c>
      <c r="K646" s="6">
        <v>48.443836947975747</v>
      </c>
      <c r="L646" t="s">
        <v>17</v>
      </c>
      <c r="M646" t="s">
        <v>40</v>
      </c>
      <c r="N646" s="4" t="s">
        <v>3859</v>
      </c>
      <c r="O646" s="4" t="s">
        <v>3860</v>
      </c>
      <c r="P646" s="4" t="s">
        <v>233</v>
      </c>
    </row>
    <row r="647" spans="1:16" x14ac:dyDescent="0.35">
      <c r="A647" t="s">
        <v>8590</v>
      </c>
      <c r="B647" t="s">
        <v>8591</v>
      </c>
      <c r="C647" t="s">
        <v>16</v>
      </c>
      <c r="D647" s="6">
        <v>368634634.37886047</v>
      </c>
      <c r="E647" s="6" t="e">
        <v>#N/A</v>
      </c>
      <c r="F647" s="6">
        <v>21.899999618530273</v>
      </c>
      <c r="G647" s="6">
        <v>22.239999771118164</v>
      </c>
      <c r="H647" s="6">
        <v>15.422534942626953</v>
      </c>
      <c r="I647" s="6">
        <v>0.25908502324457583</v>
      </c>
      <c r="J647" s="6">
        <v>198500000</v>
      </c>
      <c r="K647" s="6">
        <v>-0.69444444444444509</v>
      </c>
      <c r="L647" t="s">
        <v>6529</v>
      </c>
      <c r="M647" t="s">
        <v>6530</v>
      </c>
      <c r="N647" s="4" t="s">
        <v>8592</v>
      </c>
      <c r="O647" s="4" t="s">
        <v>8593</v>
      </c>
      <c r="P647" s="4" t="s">
        <v>233</v>
      </c>
    </row>
    <row r="648" spans="1:16" x14ac:dyDescent="0.35">
      <c r="A648" t="s">
        <v>8594</v>
      </c>
      <c r="B648" t="s">
        <v>8595</v>
      </c>
      <c r="C648" t="s">
        <v>16</v>
      </c>
      <c r="D648" s="6">
        <v>459074673.41992944</v>
      </c>
      <c r="E648" s="6">
        <v>666628673.4199295</v>
      </c>
      <c r="F648" s="6">
        <v>31.049999237060547</v>
      </c>
      <c r="G648" s="6">
        <v>31</v>
      </c>
      <c r="H648" s="6" t="e">
        <v>#N/A</v>
      </c>
      <c r="I648" s="6">
        <v>0.25024198616092552</v>
      </c>
      <c r="J648" s="6" t="e">
        <v>#N/A</v>
      </c>
      <c r="K648" s="6" t="e">
        <v>#N/A</v>
      </c>
      <c r="L648" t="s">
        <v>6623</v>
      </c>
      <c r="M648" t="s">
        <v>6866</v>
      </c>
      <c r="N648" s="4" t="s">
        <v>8596</v>
      </c>
      <c r="O648" s="4" t="s">
        <v>8597</v>
      </c>
      <c r="P648" s="4" t="s">
        <v>233</v>
      </c>
    </row>
    <row r="649" spans="1:16" x14ac:dyDescent="0.35">
      <c r="A649" t="s">
        <v>8598</v>
      </c>
      <c r="B649" t="s">
        <v>2959</v>
      </c>
      <c r="C649" t="s">
        <v>16</v>
      </c>
      <c r="D649" s="6">
        <v>1135108478.5471535</v>
      </c>
      <c r="E649" s="6">
        <v>385507478.54715347</v>
      </c>
      <c r="F649" s="6">
        <v>16.219999313354492</v>
      </c>
      <c r="G649" s="6">
        <v>15.819999694824219</v>
      </c>
      <c r="H649" s="6" t="e">
        <v>#N/A</v>
      </c>
      <c r="I649" s="6">
        <v>-0.20865907381640136</v>
      </c>
      <c r="J649" s="6">
        <v>85164000</v>
      </c>
      <c r="K649" s="6">
        <v>-60.80402010050252</v>
      </c>
      <c r="L649" t="s">
        <v>17</v>
      </c>
      <c r="M649" t="s">
        <v>18</v>
      </c>
      <c r="N649" s="4" t="s">
        <v>2960</v>
      </c>
      <c r="O649" s="4" t="s">
        <v>2961</v>
      </c>
      <c r="P649" s="4" t="s">
        <v>233</v>
      </c>
    </row>
    <row r="650" spans="1:16" x14ac:dyDescent="0.35">
      <c r="A650" t="s">
        <v>8599</v>
      </c>
      <c r="B650" t="s">
        <v>8600</v>
      </c>
      <c r="C650" t="s">
        <v>16</v>
      </c>
      <c r="D650" s="6">
        <v>942909228.37985992</v>
      </c>
      <c r="E650" s="6">
        <v>961520228.37986004</v>
      </c>
      <c r="F650" s="6">
        <v>9.5299997329711914</v>
      </c>
      <c r="G650" s="6">
        <v>9.2100000381469727</v>
      </c>
      <c r="H650" s="6">
        <v>10.183723495305326</v>
      </c>
      <c r="I650" s="6">
        <v>8.44235284618855E-3</v>
      </c>
      <c r="J650" s="6">
        <v>428804000</v>
      </c>
      <c r="K650" s="6">
        <v>-42.7710843373494</v>
      </c>
      <c r="L650" t="s">
        <v>6540</v>
      </c>
      <c r="M650" t="s">
        <v>6825</v>
      </c>
      <c r="N650" s="4" t="s">
        <v>8601</v>
      </c>
      <c r="O650" s="4" t="s">
        <v>8602</v>
      </c>
      <c r="P650" s="4" t="s">
        <v>233</v>
      </c>
    </row>
    <row r="651" spans="1:16" x14ac:dyDescent="0.35">
      <c r="A651" t="s">
        <v>8603</v>
      </c>
      <c r="B651" t="s">
        <v>8604</v>
      </c>
      <c r="C651" t="s">
        <v>16</v>
      </c>
      <c r="D651" s="6">
        <v>3237315300.4859314</v>
      </c>
      <c r="E651" s="6">
        <v>3991458300.4859314</v>
      </c>
      <c r="F651" s="6">
        <v>89.410003662109375</v>
      </c>
      <c r="G651" s="6">
        <v>88.580001831054688</v>
      </c>
      <c r="H651" s="6">
        <v>27.138571117443558</v>
      </c>
      <c r="I651" s="6">
        <v>0.38109487229905326</v>
      </c>
      <c r="J651" s="6">
        <v>670035000</v>
      </c>
      <c r="K651" s="6">
        <v>-0.20617809131553527</v>
      </c>
      <c r="L651" t="s">
        <v>6719</v>
      </c>
      <c r="M651" t="s">
        <v>7215</v>
      </c>
      <c r="N651" s="4" t="s">
        <v>8605</v>
      </c>
      <c r="O651" s="4" t="s">
        <v>8606</v>
      </c>
      <c r="P651" s="4" t="s">
        <v>233</v>
      </c>
    </row>
    <row r="652" spans="1:16" x14ac:dyDescent="0.35">
      <c r="A652" t="s">
        <v>8607</v>
      </c>
      <c r="B652" t="s">
        <v>785</v>
      </c>
      <c r="C652" t="s">
        <v>16</v>
      </c>
      <c r="D652" s="6">
        <v>102972867.35080718</v>
      </c>
      <c r="E652" s="6">
        <v>122561867.35080718</v>
      </c>
      <c r="F652" s="6">
        <v>5.5900001525878906</v>
      </c>
      <c r="G652" s="6">
        <v>5.4699997901916504</v>
      </c>
      <c r="H652" s="6" t="e">
        <v>#N/A</v>
      </c>
      <c r="I652" s="6">
        <v>-0.63927683974538074</v>
      </c>
      <c r="J652" s="6">
        <v>88179946</v>
      </c>
      <c r="K652" s="6">
        <v>-66.833709847996559</v>
      </c>
      <c r="L652" t="s">
        <v>17</v>
      </c>
      <c r="M652" t="s">
        <v>32</v>
      </c>
      <c r="N652" s="4" t="s">
        <v>786</v>
      </c>
      <c r="O652" s="4" t="s">
        <v>787</v>
      </c>
      <c r="P652" s="4" t="s">
        <v>233</v>
      </c>
    </row>
    <row r="653" spans="1:16" x14ac:dyDescent="0.35">
      <c r="A653" t="s">
        <v>8608</v>
      </c>
      <c r="B653" t="s">
        <v>8609</v>
      </c>
      <c r="C653" t="s">
        <v>16</v>
      </c>
      <c r="D653" s="6">
        <v>2683341481.2472301</v>
      </c>
      <c r="E653" s="6">
        <v>2833641481.2472301</v>
      </c>
      <c r="F653" s="6">
        <v>58.040000915527344</v>
      </c>
      <c r="G653" s="6">
        <v>58.590000152587891</v>
      </c>
      <c r="H653" s="6">
        <v>16.409989882446162</v>
      </c>
      <c r="I653" s="6">
        <v>-1.4561401555163056E-2</v>
      </c>
      <c r="J653" s="6">
        <v>1315522000</v>
      </c>
      <c r="K653" s="6">
        <v>-13.081395348837201</v>
      </c>
      <c r="L653" t="s">
        <v>6547</v>
      </c>
      <c r="M653" t="s">
        <v>6548</v>
      </c>
      <c r="N653" s="4" t="s">
        <v>233</v>
      </c>
      <c r="O653" s="4" t="s">
        <v>8610</v>
      </c>
      <c r="P653" s="4" t="s">
        <v>13226</v>
      </c>
    </row>
    <row r="654" spans="1:16" x14ac:dyDescent="0.35">
      <c r="A654" t="s">
        <v>8611</v>
      </c>
      <c r="B654" t="s">
        <v>8612</v>
      </c>
      <c r="C654" t="s">
        <v>16</v>
      </c>
      <c r="D654" s="6">
        <v>8889028841.1734753</v>
      </c>
      <c r="E654" s="6">
        <v>8828028841.1734753</v>
      </c>
      <c r="F654" s="6">
        <v>33.619998931884766</v>
      </c>
      <c r="G654" s="6">
        <v>33.529998779296875</v>
      </c>
      <c r="H654" s="6">
        <v>42.751996363008921</v>
      </c>
      <c r="I654" s="6">
        <v>0.67444148752660493</v>
      </c>
      <c r="J654" s="6">
        <v>3179000000</v>
      </c>
      <c r="K654" s="6">
        <v>15.384615384615381</v>
      </c>
      <c r="L654" t="s">
        <v>6547</v>
      </c>
      <c r="M654" t="s">
        <v>6843</v>
      </c>
      <c r="N654" s="4" t="s">
        <v>8613</v>
      </c>
      <c r="O654" s="4" t="s">
        <v>8614</v>
      </c>
      <c r="P654" s="4" t="s">
        <v>233</v>
      </c>
    </row>
    <row r="655" spans="1:16" x14ac:dyDescent="0.35">
      <c r="A655" t="s">
        <v>8615</v>
      </c>
      <c r="B655" t="s">
        <v>8616</v>
      </c>
      <c r="C655" t="s">
        <v>16</v>
      </c>
      <c r="D655" s="6">
        <v>2838027767.7929649</v>
      </c>
      <c r="E655" s="6">
        <v>9501839767.7929649</v>
      </c>
      <c r="F655" s="6">
        <v>16.950000762939453</v>
      </c>
      <c r="G655" s="6">
        <v>16.719999313354492</v>
      </c>
      <c r="H655" s="6">
        <v>130.3846212533804</v>
      </c>
      <c r="I655" s="6">
        <v>0.30497465538563939</v>
      </c>
      <c r="J655" s="6">
        <v>986478000</v>
      </c>
      <c r="K655" s="6" t="e">
        <v>#N/A</v>
      </c>
      <c r="L655" t="s">
        <v>6623</v>
      </c>
      <c r="M655" t="s">
        <v>6866</v>
      </c>
      <c r="N655" s="4" t="s">
        <v>8617</v>
      </c>
      <c r="O655" s="4" t="s">
        <v>8618</v>
      </c>
      <c r="P655" s="4" t="s">
        <v>233</v>
      </c>
    </row>
    <row r="656" spans="1:16" x14ac:dyDescent="0.35">
      <c r="A656" t="s">
        <v>8619</v>
      </c>
      <c r="B656" t="s">
        <v>8620</v>
      </c>
      <c r="C656" t="s">
        <v>16</v>
      </c>
      <c r="D656" s="6">
        <v>3277846744.2218051</v>
      </c>
      <c r="E656" s="6">
        <v>4079246744.2218051</v>
      </c>
      <c r="F656" s="6">
        <v>46.090000152587891</v>
      </c>
      <c r="G656" s="6">
        <v>46.799999237060547</v>
      </c>
      <c r="H656" s="6">
        <v>3.1577624812180547</v>
      </c>
      <c r="I656" s="6">
        <v>-0.30340213279419448</v>
      </c>
      <c r="J656" s="6">
        <v>2262000000</v>
      </c>
      <c r="K656" s="6">
        <v>1747.5</v>
      </c>
      <c r="L656" t="s">
        <v>6523</v>
      </c>
      <c r="M656" t="s">
        <v>6588</v>
      </c>
      <c r="N656" s="4" t="s">
        <v>233</v>
      </c>
      <c r="O656" s="4" t="s">
        <v>8621</v>
      </c>
      <c r="P656" s="4" t="s">
        <v>13227</v>
      </c>
    </row>
    <row r="657" spans="1:16" x14ac:dyDescent="0.35">
      <c r="A657" t="s">
        <v>13040</v>
      </c>
      <c r="B657" t="s">
        <v>13041</v>
      </c>
      <c r="C657" t="s">
        <v>16</v>
      </c>
      <c r="D657" s="6">
        <v>12686209969.121693</v>
      </c>
      <c r="E657" s="6">
        <v>17426209969.121693</v>
      </c>
      <c r="F657" s="6">
        <v>33.380001068115234</v>
      </c>
      <c r="G657" s="6">
        <v>33.400001525878906</v>
      </c>
      <c r="H657" s="6" t="e">
        <v>#N/A</v>
      </c>
      <c r="I657" s="6">
        <v>1.337222398989149</v>
      </c>
      <c r="J657" s="6">
        <v>6728400000</v>
      </c>
      <c r="K657" s="6" t="e">
        <v>#N/A</v>
      </c>
      <c r="L657" t="s">
        <v>6735</v>
      </c>
      <c r="M657" t="s">
        <v>7502</v>
      </c>
      <c r="N657" s="4" t="s">
        <v>13042</v>
      </c>
      <c r="O657" s="4" t="s">
        <v>13043</v>
      </c>
      <c r="P657" s="4" t="s">
        <v>233</v>
      </c>
    </row>
    <row r="658" spans="1:16" x14ac:dyDescent="0.35">
      <c r="A658" t="s">
        <v>8622</v>
      </c>
      <c r="B658" t="s">
        <v>8623</v>
      </c>
      <c r="C658" t="s">
        <v>16</v>
      </c>
      <c r="D658" s="6">
        <v>4613707035.6519728</v>
      </c>
      <c r="E658" s="6">
        <v>5707413035.6519728</v>
      </c>
      <c r="F658" s="6">
        <v>63.939998626708984</v>
      </c>
      <c r="G658" s="6">
        <v>62.400001525878906</v>
      </c>
      <c r="H658" s="6">
        <v>7.5844497930774848</v>
      </c>
      <c r="I658" s="6">
        <v>2.1206145490565209E-2</v>
      </c>
      <c r="J658" s="6">
        <v>6930086000</v>
      </c>
      <c r="K658" s="6">
        <v>20.861117241379301</v>
      </c>
      <c r="L658" t="s">
        <v>6540</v>
      </c>
      <c r="M658" t="s">
        <v>6797</v>
      </c>
      <c r="N658" s="4" t="s">
        <v>8624</v>
      </c>
      <c r="O658" s="4" t="s">
        <v>8625</v>
      </c>
      <c r="P658" s="4" t="s">
        <v>233</v>
      </c>
    </row>
    <row r="659" spans="1:16" x14ac:dyDescent="0.35">
      <c r="A659" t="s">
        <v>8626</v>
      </c>
      <c r="B659" t="s">
        <v>8627</v>
      </c>
      <c r="C659" t="s">
        <v>16</v>
      </c>
      <c r="D659" s="6">
        <v>364354964.30674553</v>
      </c>
      <c r="E659" s="6">
        <v>3657354964.3067455</v>
      </c>
      <c r="F659" s="6">
        <v>7.1399998664855957</v>
      </c>
      <c r="G659" s="6">
        <v>7.2600002288818359</v>
      </c>
      <c r="H659" s="6" t="e">
        <v>#N/A</v>
      </c>
      <c r="I659" s="6">
        <v>0.13474206642387365</v>
      </c>
      <c r="J659" s="6">
        <v>-26000000</v>
      </c>
      <c r="K659" s="6">
        <v>-55.46861961165289</v>
      </c>
      <c r="L659" t="s">
        <v>6529</v>
      </c>
      <c r="M659" t="s">
        <v>6664</v>
      </c>
      <c r="N659" s="4" t="s">
        <v>8628</v>
      </c>
      <c r="O659" s="4" t="s">
        <v>8629</v>
      </c>
      <c r="P659" s="4" t="s">
        <v>233</v>
      </c>
    </row>
    <row r="660" spans="1:16" x14ac:dyDescent="0.35">
      <c r="A660" t="s">
        <v>8630</v>
      </c>
      <c r="B660" t="s">
        <v>8631</v>
      </c>
      <c r="C660" t="s">
        <v>16</v>
      </c>
      <c r="D660" s="6">
        <v>5041337828.1419563</v>
      </c>
      <c r="E660" s="6">
        <v>8240178828.1419563</v>
      </c>
      <c r="F660" s="6">
        <v>22.950000762939453</v>
      </c>
      <c r="G660" s="6">
        <v>22.75</v>
      </c>
      <c r="H660" s="6" t="e">
        <v>#N/A</v>
      </c>
      <c r="I660" s="6">
        <v>0.1080390567716627</v>
      </c>
      <c r="J660" s="6">
        <v>841842000</v>
      </c>
      <c r="K660" s="6">
        <v>-90.909090909090907</v>
      </c>
      <c r="L660" t="s">
        <v>6623</v>
      </c>
      <c r="M660" t="s">
        <v>7043</v>
      </c>
      <c r="N660" s="4" t="s">
        <v>8632</v>
      </c>
      <c r="O660" s="4" t="s">
        <v>8633</v>
      </c>
      <c r="P660" s="4" t="s">
        <v>233</v>
      </c>
    </row>
    <row r="661" spans="1:16" x14ac:dyDescent="0.35">
      <c r="A661" t="s">
        <v>8634</v>
      </c>
      <c r="B661" t="s">
        <v>4622</v>
      </c>
      <c r="C661" t="s">
        <v>16</v>
      </c>
      <c r="D661" s="6">
        <v>56810255.251688004</v>
      </c>
      <c r="E661" s="6">
        <v>-30505744.748311982</v>
      </c>
      <c r="F661" s="6">
        <v>1.190000057220459</v>
      </c>
      <c r="G661" s="6">
        <v>1.1799999475479126</v>
      </c>
      <c r="H661" s="6" t="e">
        <v>#N/A</v>
      </c>
      <c r="I661" s="6">
        <v>-0.86615494398466797</v>
      </c>
      <c r="J661" s="6">
        <v>6435000</v>
      </c>
      <c r="K661" s="6">
        <v>28.504672897196251</v>
      </c>
      <c r="L661" t="s">
        <v>17</v>
      </c>
      <c r="M661" t="s">
        <v>18</v>
      </c>
      <c r="N661" s="4" t="s">
        <v>4623</v>
      </c>
      <c r="O661" s="4" t="s">
        <v>4624</v>
      </c>
      <c r="P661" s="4" t="s">
        <v>233</v>
      </c>
    </row>
    <row r="662" spans="1:16" x14ac:dyDescent="0.35">
      <c r="A662" t="s">
        <v>8635</v>
      </c>
      <c r="B662" t="s">
        <v>8636</v>
      </c>
      <c r="C662" t="s">
        <v>16</v>
      </c>
      <c r="D662" s="6">
        <v>2940740789.550293</v>
      </c>
      <c r="E662" s="6">
        <v>3545246789.550293</v>
      </c>
      <c r="F662" s="6">
        <v>119.77999877929688</v>
      </c>
      <c r="G662" s="6">
        <v>121.69000244140625</v>
      </c>
      <c r="H662" s="6">
        <v>30.406177794985211</v>
      </c>
      <c r="I662" s="6">
        <v>-6.3570955147126074E-2</v>
      </c>
      <c r="J662" s="6">
        <v>888784000</v>
      </c>
      <c r="K662" s="6">
        <v>87.254432982946753</v>
      </c>
      <c r="L662" t="s">
        <v>6547</v>
      </c>
      <c r="M662" t="s">
        <v>6875</v>
      </c>
      <c r="N662" s="4" t="s">
        <v>8637</v>
      </c>
      <c r="O662" s="4" t="s">
        <v>8638</v>
      </c>
      <c r="P662" s="4" t="s">
        <v>233</v>
      </c>
    </row>
    <row r="663" spans="1:16" x14ac:dyDescent="0.35">
      <c r="A663" t="s">
        <v>13502</v>
      </c>
      <c r="B663" t="s">
        <v>11463</v>
      </c>
      <c r="C663" t="s">
        <v>16</v>
      </c>
      <c r="D663" s="6">
        <v>2659180918.1715274</v>
      </c>
      <c r="E663" s="6">
        <v>3030177918.1715274</v>
      </c>
      <c r="F663" s="6">
        <v>21.059999465942383</v>
      </c>
      <c r="G663" s="6">
        <v>23.510000228881836</v>
      </c>
      <c r="H663" s="6" t="e">
        <v>#N/A</v>
      </c>
      <c r="I663" s="6">
        <v>-1</v>
      </c>
      <c r="J663" s="6">
        <v>241581000</v>
      </c>
      <c r="K663" s="6" t="e">
        <v>#N/A</v>
      </c>
      <c r="L663" t="s">
        <v>6514</v>
      </c>
      <c r="M663" t="s">
        <v>6515</v>
      </c>
      <c r="N663" s="4" t="s">
        <v>13503</v>
      </c>
      <c r="O663" s="4" t="s">
        <v>13504</v>
      </c>
      <c r="P663" s="4" t="s">
        <v>233</v>
      </c>
    </row>
    <row r="664" spans="1:16" x14ac:dyDescent="0.35">
      <c r="A664" t="s">
        <v>8639</v>
      </c>
      <c r="B664" t="s">
        <v>8640</v>
      </c>
      <c r="C664" t="s">
        <v>16</v>
      </c>
      <c r="D664" s="6">
        <v>470534618.74089223</v>
      </c>
      <c r="E664" s="6">
        <v>497988618.74089223</v>
      </c>
      <c r="F664" s="6">
        <v>10.399999618530273</v>
      </c>
      <c r="G664" s="6">
        <v>10.180000305175781</v>
      </c>
      <c r="H664" s="6">
        <v>18.204190847370587</v>
      </c>
      <c r="I664" s="6">
        <v>-0.17612657954161992</v>
      </c>
      <c r="J664" s="6">
        <v>172420000</v>
      </c>
      <c r="K664" s="6" t="e">
        <v>#N/A</v>
      </c>
      <c r="L664" t="s">
        <v>6518</v>
      </c>
      <c r="M664" t="s">
        <v>6519</v>
      </c>
      <c r="N664" s="4" t="s">
        <v>8641</v>
      </c>
      <c r="O664" s="4" t="s">
        <v>8642</v>
      </c>
      <c r="P664" s="4" t="s">
        <v>233</v>
      </c>
    </row>
    <row r="665" spans="1:16" x14ac:dyDescent="0.35">
      <c r="A665" t="s">
        <v>8643</v>
      </c>
      <c r="B665" t="s">
        <v>8644</v>
      </c>
      <c r="C665" t="s">
        <v>16</v>
      </c>
      <c r="D665" s="6">
        <v>199626536.67774203</v>
      </c>
      <c r="E665" s="6">
        <v>244105536.67774203</v>
      </c>
      <c r="F665" s="6">
        <v>10.399999618530273</v>
      </c>
      <c r="G665" s="6">
        <v>10.199999809265137</v>
      </c>
      <c r="H665" s="6">
        <v>19.085299581463541</v>
      </c>
      <c r="I665" s="6">
        <v>5.7041034068939123E-2</v>
      </c>
      <c r="J665" s="6">
        <v>174164000</v>
      </c>
      <c r="K665" s="6" t="e">
        <v>#N/A</v>
      </c>
      <c r="L665" t="s">
        <v>6563</v>
      </c>
      <c r="M665" t="s">
        <v>6564</v>
      </c>
      <c r="N665" s="4" t="s">
        <v>233</v>
      </c>
      <c r="O665" s="4" t="s">
        <v>8645</v>
      </c>
      <c r="P665" s="4" t="s">
        <v>13228</v>
      </c>
    </row>
    <row r="666" spans="1:16" x14ac:dyDescent="0.35">
      <c r="A666" t="s">
        <v>8646</v>
      </c>
      <c r="B666" t="s">
        <v>8647</v>
      </c>
      <c r="C666" t="s">
        <v>16</v>
      </c>
      <c r="D666" s="6">
        <v>3402421730.5153861</v>
      </c>
      <c r="E666" s="6">
        <v>1553168730.5153863</v>
      </c>
      <c r="F666" s="6">
        <v>13.760000228881836</v>
      </c>
      <c r="G666" s="6">
        <v>13.899999618530273</v>
      </c>
      <c r="H666" s="6">
        <v>137.60000228881836</v>
      </c>
      <c r="I666" s="6">
        <v>-0.20550056154377172</v>
      </c>
      <c r="J666" s="6">
        <v>9177564000</v>
      </c>
      <c r="K666" s="6" t="e">
        <v>#N/A</v>
      </c>
      <c r="L666" t="s">
        <v>6529</v>
      </c>
      <c r="M666" t="s">
        <v>6664</v>
      </c>
      <c r="N666" s="4" t="s">
        <v>8648</v>
      </c>
      <c r="O666" s="4" t="s">
        <v>8649</v>
      </c>
      <c r="P666" s="4" t="s">
        <v>233</v>
      </c>
    </row>
    <row r="667" spans="1:16" x14ac:dyDescent="0.35">
      <c r="A667" t="s">
        <v>8650</v>
      </c>
      <c r="B667" t="s">
        <v>8651</v>
      </c>
      <c r="C667" t="s">
        <v>16</v>
      </c>
      <c r="D667" s="6">
        <v>487025338.73414987</v>
      </c>
      <c r="E667" s="6">
        <v>544543338.73414981</v>
      </c>
      <c r="F667" s="6">
        <v>34.479999542236328</v>
      </c>
      <c r="G667" s="6">
        <v>34.130001068115234</v>
      </c>
      <c r="H667" s="6">
        <v>21.163020654345097</v>
      </c>
      <c r="I667" s="6">
        <v>0.67386345681837367</v>
      </c>
      <c r="J667" s="6">
        <v>577414000</v>
      </c>
      <c r="K667" s="6">
        <v>778.9473684210526</v>
      </c>
      <c r="L667" t="s">
        <v>6547</v>
      </c>
      <c r="M667" t="s">
        <v>6548</v>
      </c>
      <c r="N667" s="4" t="s">
        <v>8652</v>
      </c>
      <c r="O667" s="4" t="s">
        <v>8653</v>
      </c>
      <c r="P667" s="4" t="s">
        <v>233</v>
      </c>
    </row>
    <row r="668" spans="1:16" x14ac:dyDescent="0.35">
      <c r="A668" t="s">
        <v>8654</v>
      </c>
      <c r="B668" t="s">
        <v>3123</v>
      </c>
      <c r="C668" t="s">
        <v>16</v>
      </c>
      <c r="D668" s="6">
        <v>766489705.87855899</v>
      </c>
      <c r="E668" s="6">
        <v>715032729.87855899</v>
      </c>
      <c r="F668" s="6">
        <v>60.479999542236328</v>
      </c>
      <c r="G668" s="6">
        <v>60.159999847412109</v>
      </c>
      <c r="H668" s="6">
        <v>41.425990797125884</v>
      </c>
      <c r="I668" s="6">
        <v>0.33807854819629513</v>
      </c>
      <c r="J668" s="6">
        <v>71305130</v>
      </c>
      <c r="K668" s="6">
        <v>14.72868217054263</v>
      </c>
      <c r="L668" t="s">
        <v>17</v>
      </c>
      <c r="M668" t="s">
        <v>27</v>
      </c>
      <c r="N668" s="4" t="s">
        <v>3124</v>
      </c>
      <c r="O668" s="4" t="s">
        <v>3125</v>
      </c>
      <c r="P668" s="4" t="s">
        <v>233</v>
      </c>
    </row>
    <row r="669" spans="1:16" x14ac:dyDescent="0.35">
      <c r="A669" t="s">
        <v>8655</v>
      </c>
      <c r="B669" t="s">
        <v>8656</v>
      </c>
      <c r="C669" t="s">
        <v>16</v>
      </c>
      <c r="D669" s="6">
        <v>2387615003.5318604</v>
      </c>
      <c r="E669" s="6">
        <v>3024362003.5318604</v>
      </c>
      <c r="F669" s="6">
        <v>69.410003662109375</v>
      </c>
      <c r="G669" s="6">
        <v>70.010002136230469</v>
      </c>
      <c r="H669" s="6">
        <v>6.7645471537065021</v>
      </c>
      <c r="I669" s="6">
        <v>-0.53119943905563294</v>
      </c>
      <c r="J669" s="6">
        <v>3065168000</v>
      </c>
      <c r="K669" s="6">
        <v>-38.320520402128921</v>
      </c>
      <c r="L669" t="s">
        <v>6547</v>
      </c>
      <c r="M669" t="s">
        <v>6602</v>
      </c>
      <c r="N669" s="4" t="s">
        <v>8657</v>
      </c>
      <c r="O669" s="4" t="s">
        <v>8658</v>
      </c>
      <c r="P669" s="4" t="s">
        <v>233</v>
      </c>
    </row>
    <row r="670" spans="1:16" x14ac:dyDescent="0.35">
      <c r="A670" t="s">
        <v>8659</v>
      </c>
      <c r="B670" t="s">
        <v>8660</v>
      </c>
      <c r="C670" t="s">
        <v>16</v>
      </c>
      <c r="D670" s="6">
        <v>343189770.45981598</v>
      </c>
      <c r="E670" s="6" t="e">
        <v>#N/A</v>
      </c>
      <c r="F670" s="6">
        <v>9.7700004577636719</v>
      </c>
      <c r="G670" s="6">
        <v>9.869999885559082</v>
      </c>
      <c r="H670" s="6">
        <v>23.886188448482532</v>
      </c>
      <c r="I670" s="6">
        <v>-0.43890593241363351</v>
      </c>
      <c r="J670" s="6">
        <v>2178000000</v>
      </c>
      <c r="K670" s="6">
        <v>41.071428571428569</v>
      </c>
      <c r="L670" t="s">
        <v>6547</v>
      </c>
      <c r="M670" t="s">
        <v>6668</v>
      </c>
      <c r="N670" s="4" t="s">
        <v>8661</v>
      </c>
      <c r="O670" s="4" t="s">
        <v>8662</v>
      </c>
      <c r="P670" s="4" t="s">
        <v>233</v>
      </c>
    </row>
    <row r="671" spans="1:16" x14ac:dyDescent="0.35">
      <c r="A671" t="s">
        <v>8663</v>
      </c>
      <c r="B671" t="s">
        <v>8664</v>
      </c>
      <c r="C671" t="s">
        <v>16</v>
      </c>
      <c r="D671" s="6">
        <v>154577796.92990065</v>
      </c>
      <c r="E671" s="6">
        <v>215008796.92990065</v>
      </c>
      <c r="F671" s="6">
        <v>3.1500000953674316</v>
      </c>
      <c r="G671" s="6">
        <v>3.1700000762939453</v>
      </c>
      <c r="H671" s="6">
        <v>396.17659355646197</v>
      </c>
      <c r="I671" s="6">
        <v>-0.25537599091750862</v>
      </c>
      <c r="J671" s="6">
        <v>255995000</v>
      </c>
      <c r="K671" s="6" t="e">
        <v>#N/A</v>
      </c>
      <c r="L671" t="s">
        <v>6518</v>
      </c>
      <c r="M671" t="s">
        <v>6789</v>
      </c>
      <c r="N671" s="4" t="s">
        <v>8665</v>
      </c>
      <c r="O671" s="4" t="s">
        <v>8666</v>
      </c>
      <c r="P671" s="4" t="s">
        <v>233</v>
      </c>
    </row>
    <row r="672" spans="1:16" x14ac:dyDescent="0.35">
      <c r="A672" t="s">
        <v>8667</v>
      </c>
      <c r="B672" t="s">
        <v>8668</v>
      </c>
      <c r="C672" t="s">
        <v>16</v>
      </c>
      <c r="D672" s="6">
        <v>1217153621.5213289</v>
      </c>
      <c r="E672" s="6">
        <v>1200168621.5213289</v>
      </c>
      <c r="F672" s="6">
        <v>14.949999809265137</v>
      </c>
      <c r="G672" s="6">
        <v>15.100000381469727</v>
      </c>
      <c r="H672" s="6">
        <v>53.052185641009295</v>
      </c>
      <c r="I672" s="6">
        <v>-0.24727899415553878</v>
      </c>
      <c r="J672" s="6">
        <v>963708000</v>
      </c>
      <c r="K672" s="6">
        <v>-62.068965517241381</v>
      </c>
      <c r="L672" t="s">
        <v>6547</v>
      </c>
      <c r="M672" t="s">
        <v>7792</v>
      </c>
      <c r="N672" s="4" t="s">
        <v>8669</v>
      </c>
      <c r="O672" s="4" t="s">
        <v>8670</v>
      </c>
      <c r="P672" s="4" t="s">
        <v>233</v>
      </c>
    </row>
    <row r="673" spans="1:16" x14ac:dyDescent="0.35">
      <c r="A673" t="s">
        <v>8671</v>
      </c>
      <c r="B673" t="s">
        <v>8672</v>
      </c>
      <c r="C673" t="s">
        <v>16</v>
      </c>
      <c r="D673" s="6">
        <v>894188448.69384766</v>
      </c>
      <c r="E673" s="6">
        <v>1270449448.6938477</v>
      </c>
      <c r="F673" s="6">
        <v>50.080001831054688</v>
      </c>
      <c r="G673" s="6">
        <v>49.75</v>
      </c>
      <c r="H673" s="6">
        <v>25.032753933263663</v>
      </c>
      <c r="I673" s="6">
        <v>-0.11063766365828143</v>
      </c>
      <c r="J673" s="6">
        <v>183372000</v>
      </c>
      <c r="K673" s="6">
        <v>24.864864864864863</v>
      </c>
      <c r="L673" t="s">
        <v>6719</v>
      </c>
      <c r="M673" t="s">
        <v>6720</v>
      </c>
      <c r="N673" s="4" t="s">
        <v>8673</v>
      </c>
      <c r="O673" s="4" t="s">
        <v>8674</v>
      </c>
      <c r="P673" s="4" t="s">
        <v>233</v>
      </c>
    </row>
    <row r="674" spans="1:16" x14ac:dyDescent="0.35">
      <c r="A674" t="s">
        <v>8675</v>
      </c>
      <c r="B674" t="s">
        <v>8676</v>
      </c>
      <c r="C674" t="s">
        <v>16</v>
      </c>
      <c r="D674" s="6">
        <v>564101506.87091935</v>
      </c>
      <c r="E674" s="6">
        <v>692252506.87091935</v>
      </c>
      <c r="F674" s="6">
        <v>2.5299999713897705</v>
      </c>
      <c r="G674" s="6">
        <v>2.5</v>
      </c>
      <c r="H674" s="6">
        <v>9.00782210580015</v>
      </c>
      <c r="I674" s="6">
        <v>-0.4134951042523628</v>
      </c>
      <c r="J674" s="6">
        <v>405263000</v>
      </c>
      <c r="K674" s="6">
        <v>72.413793103448285</v>
      </c>
      <c r="L674" t="s">
        <v>6735</v>
      </c>
      <c r="M674" t="s">
        <v>6747</v>
      </c>
      <c r="N674" s="4" t="s">
        <v>8677</v>
      </c>
      <c r="O674" s="4" t="s">
        <v>8678</v>
      </c>
      <c r="P674" s="4" t="s">
        <v>233</v>
      </c>
    </row>
    <row r="675" spans="1:16" x14ac:dyDescent="0.35">
      <c r="A675" t="s">
        <v>8679</v>
      </c>
      <c r="B675" t="s">
        <v>8680</v>
      </c>
      <c r="C675" t="s">
        <v>16</v>
      </c>
      <c r="D675" s="6">
        <v>2100536851.660213</v>
      </c>
      <c r="E675" s="6">
        <v>2834145851.660213</v>
      </c>
      <c r="F675" s="6">
        <v>33.020000457763672</v>
      </c>
      <c r="G675" s="6">
        <v>32.840000152587891</v>
      </c>
      <c r="H675" s="6">
        <v>23.807944771455038</v>
      </c>
      <c r="I675" s="6">
        <v>-0.2097217982597831</v>
      </c>
      <c r="J675" s="6">
        <v>823712000</v>
      </c>
      <c r="K675" s="6">
        <v>-11.409395973154357</v>
      </c>
      <c r="L675" t="s">
        <v>6529</v>
      </c>
      <c r="M675" t="s">
        <v>6639</v>
      </c>
      <c r="N675" s="4" t="s">
        <v>8681</v>
      </c>
      <c r="O675" s="4" t="s">
        <v>8682</v>
      </c>
      <c r="P675" s="4" t="s">
        <v>233</v>
      </c>
    </row>
    <row r="676" spans="1:16" x14ac:dyDescent="0.35">
      <c r="A676" t="s">
        <v>8683</v>
      </c>
      <c r="B676" t="s">
        <v>8684</v>
      </c>
      <c r="C676" t="s">
        <v>16</v>
      </c>
      <c r="D676" s="6">
        <v>783830896.94974029</v>
      </c>
      <c r="E676" s="6">
        <v>196584896.94974029</v>
      </c>
      <c r="F676" s="6">
        <v>14.949999809265137</v>
      </c>
      <c r="G676" s="6">
        <v>14.810000419616699</v>
      </c>
      <c r="H676" s="6">
        <v>39.647389661618512</v>
      </c>
      <c r="I676" s="6">
        <v>0.40362842117256781</v>
      </c>
      <c r="J676" s="6">
        <v>453191000</v>
      </c>
      <c r="K676" s="6">
        <v>737.19512195121945</v>
      </c>
      <c r="L676" t="s">
        <v>6623</v>
      </c>
      <c r="M676" t="s">
        <v>7043</v>
      </c>
      <c r="N676" s="4" t="s">
        <v>8685</v>
      </c>
      <c r="O676" s="4" t="s">
        <v>8686</v>
      </c>
      <c r="P676" s="4" t="s">
        <v>233</v>
      </c>
    </row>
    <row r="677" spans="1:16" x14ac:dyDescent="0.35">
      <c r="A677" t="s">
        <v>8687</v>
      </c>
      <c r="B677" t="s">
        <v>8688</v>
      </c>
      <c r="C677" t="s">
        <v>16</v>
      </c>
      <c r="D677" s="6">
        <v>711709041.63371456</v>
      </c>
      <c r="E677" s="6">
        <v>838524041.63371456</v>
      </c>
      <c r="F677" s="6">
        <v>3.184999942779541</v>
      </c>
      <c r="G677" s="6">
        <v>3.2200000286102295</v>
      </c>
      <c r="H677" s="6" t="e">
        <v>#N/A</v>
      </c>
      <c r="I677" s="6">
        <v>3.0659042469002751E-2</v>
      </c>
      <c r="J677" s="6">
        <v>413396000</v>
      </c>
      <c r="K677" s="6">
        <v>26.190476190476176</v>
      </c>
      <c r="L677" t="s">
        <v>6523</v>
      </c>
      <c r="M677" t="s">
        <v>6524</v>
      </c>
      <c r="N677" s="4" t="s">
        <v>8689</v>
      </c>
      <c r="O677" s="4" t="s">
        <v>8690</v>
      </c>
      <c r="P677" s="4" t="s">
        <v>233</v>
      </c>
    </row>
    <row r="678" spans="1:16" x14ac:dyDescent="0.35">
      <c r="A678" t="s">
        <v>8691</v>
      </c>
      <c r="B678" t="s">
        <v>8692</v>
      </c>
      <c r="C678" t="s">
        <v>16</v>
      </c>
      <c r="D678" s="6">
        <v>204217831.33953476</v>
      </c>
      <c r="E678" s="6">
        <v>237302831.33953476</v>
      </c>
      <c r="F678" s="6">
        <v>16.010000228881836</v>
      </c>
      <c r="G678" s="6">
        <v>16.549999237060547</v>
      </c>
      <c r="H678" s="6">
        <v>30.928652041816143</v>
      </c>
      <c r="I678" s="6">
        <v>-0.32426133155165593</v>
      </c>
      <c r="J678" s="6">
        <v>360461000</v>
      </c>
      <c r="K678" s="6">
        <v>4.5906121712282291</v>
      </c>
      <c r="L678" t="s">
        <v>6547</v>
      </c>
      <c r="M678" t="s">
        <v>6875</v>
      </c>
      <c r="N678" s="4" t="s">
        <v>8693</v>
      </c>
      <c r="O678" s="4" t="s">
        <v>8694</v>
      </c>
      <c r="P678" s="4" t="s">
        <v>233</v>
      </c>
    </row>
    <row r="679" spans="1:16" x14ac:dyDescent="0.35">
      <c r="A679" t="s">
        <v>8695</v>
      </c>
      <c r="B679" t="s">
        <v>1686</v>
      </c>
      <c r="C679" t="s">
        <v>16</v>
      </c>
      <c r="D679" s="6">
        <v>494890948.18939215</v>
      </c>
      <c r="E679" s="6">
        <v>581204948.18939209</v>
      </c>
      <c r="F679" s="6">
        <v>8.5399999618530273</v>
      </c>
      <c r="G679" s="6">
        <v>8.6000003814697266</v>
      </c>
      <c r="H679" s="6" t="e">
        <v>#N/A</v>
      </c>
      <c r="I679" s="6">
        <v>1.1767102443213635</v>
      </c>
      <c r="J679" s="6">
        <v>0</v>
      </c>
      <c r="K679" s="6">
        <v>-9.0018750000000107</v>
      </c>
      <c r="L679" t="s">
        <v>17</v>
      </c>
      <c r="M679" t="s">
        <v>87</v>
      </c>
      <c r="N679" s="4" t="s">
        <v>1687</v>
      </c>
      <c r="O679" s="4" t="s">
        <v>1688</v>
      </c>
      <c r="P679" s="4" t="s">
        <v>233</v>
      </c>
    </row>
    <row r="680" spans="1:16" x14ac:dyDescent="0.35">
      <c r="A680" t="s">
        <v>8696</v>
      </c>
      <c r="B680" t="s">
        <v>8697</v>
      </c>
      <c r="C680" t="s">
        <v>16</v>
      </c>
      <c r="D680" s="6">
        <v>698992534.06980503</v>
      </c>
      <c r="E680" s="6">
        <v>978293904.06980491</v>
      </c>
      <c r="F680" s="6">
        <v>31.840000152587891</v>
      </c>
      <c r="G680" s="6">
        <v>32.700000762939453</v>
      </c>
      <c r="H680" s="6">
        <v>5.6007193956197394</v>
      </c>
      <c r="I680" s="6">
        <v>-0.63568397525490727</v>
      </c>
      <c r="J680" s="6">
        <v>737717000</v>
      </c>
      <c r="K680" s="6">
        <v>8.0898876404494455</v>
      </c>
      <c r="L680" t="s">
        <v>6735</v>
      </c>
      <c r="M680" t="s">
        <v>7502</v>
      </c>
      <c r="N680" s="4" t="s">
        <v>8698</v>
      </c>
      <c r="O680" s="4" t="s">
        <v>8699</v>
      </c>
      <c r="P680" s="4" t="s">
        <v>233</v>
      </c>
    </row>
    <row r="681" spans="1:16" x14ac:dyDescent="0.35">
      <c r="A681" t="s">
        <v>8700</v>
      </c>
      <c r="B681" t="s">
        <v>8701</v>
      </c>
      <c r="C681" t="s">
        <v>16</v>
      </c>
      <c r="D681" s="6">
        <v>271406100.85734272</v>
      </c>
      <c r="E681" s="6">
        <v>214065100.85734272</v>
      </c>
      <c r="F681" s="6">
        <v>14.689999580383301</v>
      </c>
      <c r="G681" s="6">
        <v>14.670000076293945</v>
      </c>
      <c r="H681" s="6">
        <v>16.112914990257995</v>
      </c>
      <c r="I681" s="6">
        <v>-0.21767520779782046</v>
      </c>
      <c r="J681" s="6">
        <v>445095000</v>
      </c>
      <c r="K681" s="6">
        <v>106.9767441860465</v>
      </c>
      <c r="L681" t="s">
        <v>6735</v>
      </c>
      <c r="M681" t="s">
        <v>7752</v>
      </c>
      <c r="N681" s="4" t="s">
        <v>8702</v>
      </c>
      <c r="O681" s="4" t="s">
        <v>8703</v>
      </c>
      <c r="P681" s="4" t="s">
        <v>233</v>
      </c>
    </row>
    <row r="682" spans="1:16" x14ac:dyDescent="0.35">
      <c r="A682" t="s">
        <v>8704</v>
      </c>
      <c r="B682" t="s">
        <v>8705</v>
      </c>
      <c r="C682" t="s">
        <v>16</v>
      </c>
      <c r="D682" s="6">
        <v>3279801313.3456116</v>
      </c>
      <c r="E682" s="6">
        <v>3719701313.3456116</v>
      </c>
      <c r="F682" s="6">
        <v>39.470001220703125</v>
      </c>
      <c r="G682" s="6">
        <v>40.369998931884766</v>
      </c>
      <c r="H682" s="6">
        <v>17.667046336137197</v>
      </c>
      <c r="I682" s="6">
        <v>0.74585701204859567</v>
      </c>
      <c r="J682" s="6">
        <v>1662600000</v>
      </c>
      <c r="K682" s="6" t="e">
        <v>#N/A</v>
      </c>
      <c r="L682" t="s">
        <v>6547</v>
      </c>
      <c r="M682" t="s">
        <v>6668</v>
      </c>
      <c r="N682" s="4" t="s">
        <v>8706</v>
      </c>
      <c r="O682" s="4" t="s">
        <v>8707</v>
      </c>
      <c r="P682" s="4" t="s">
        <v>233</v>
      </c>
    </row>
    <row r="683" spans="1:16" x14ac:dyDescent="0.35">
      <c r="A683" t="s">
        <v>8708</v>
      </c>
      <c r="B683" t="s">
        <v>8709</v>
      </c>
      <c r="C683" t="s">
        <v>16</v>
      </c>
      <c r="D683" s="6">
        <v>3257989398.4569416</v>
      </c>
      <c r="E683" s="6">
        <v>9783989398.4569416</v>
      </c>
      <c r="F683" s="6">
        <v>3.7200000286102295</v>
      </c>
      <c r="G683" s="6">
        <v>3.7999999523162842</v>
      </c>
      <c r="H683" s="6" t="e">
        <v>#N/A</v>
      </c>
      <c r="I683" s="6">
        <v>-0.30137766304285862</v>
      </c>
      <c r="J683" s="6">
        <v>3313000000</v>
      </c>
      <c r="K683" s="6">
        <v>55.702073985847917</v>
      </c>
      <c r="L683" t="s">
        <v>6523</v>
      </c>
      <c r="M683" t="s">
        <v>6588</v>
      </c>
      <c r="N683" s="4" t="s">
        <v>233</v>
      </c>
      <c r="O683" s="4" t="s">
        <v>8710</v>
      </c>
      <c r="P683" s="4" t="s">
        <v>13229</v>
      </c>
    </row>
    <row r="684" spans="1:16" x14ac:dyDescent="0.35">
      <c r="A684" t="s">
        <v>8711</v>
      </c>
      <c r="B684" t="s">
        <v>8712</v>
      </c>
      <c r="C684" t="s">
        <v>16</v>
      </c>
      <c r="D684" s="6">
        <v>105217329.51855946</v>
      </c>
      <c r="E684" s="6">
        <v>111345867.51855946</v>
      </c>
      <c r="F684" s="6">
        <v>11.109999656677246</v>
      </c>
      <c r="G684" s="6">
        <v>11.100000381469727</v>
      </c>
      <c r="H684" s="6">
        <v>21.365383955148548</v>
      </c>
      <c r="I684" s="6">
        <v>-0.13469803927275459</v>
      </c>
      <c r="J684" s="6">
        <v>86216235</v>
      </c>
      <c r="K684" s="6">
        <v>20.000000000000018</v>
      </c>
      <c r="L684" t="s">
        <v>6563</v>
      </c>
      <c r="M684" t="s">
        <v>6764</v>
      </c>
      <c r="N684" s="4" t="s">
        <v>8713</v>
      </c>
      <c r="O684" s="4" t="s">
        <v>8714</v>
      </c>
      <c r="P684" s="4" t="s">
        <v>233</v>
      </c>
    </row>
    <row r="685" spans="1:16" x14ac:dyDescent="0.35">
      <c r="A685" t="s">
        <v>8715</v>
      </c>
      <c r="B685" t="s">
        <v>8716</v>
      </c>
      <c r="C685" t="s">
        <v>16</v>
      </c>
      <c r="D685" s="6">
        <v>662507239.27036142</v>
      </c>
      <c r="E685" s="6">
        <v>623007239.27036142</v>
      </c>
      <c r="F685" s="6">
        <v>6.9800000190734863</v>
      </c>
      <c r="G685" s="6">
        <v>6.9000000953674316</v>
      </c>
      <c r="H685" s="6" t="e">
        <v>#N/A</v>
      </c>
      <c r="I685" s="6">
        <v>0.72514348530692119</v>
      </c>
      <c r="J685" s="6">
        <v>245400000</v>
      </c>
      <c r="K685" s="6" t="e">
        <v>#N/A</v>
      </c>
      <c r="L685" t="s">
        <v>6514</v>
      </c>
      <c r="M685" t="s">
        <v>6534</v>
      </c>
      <c r="N685" s="4" t="s">
        <v>8717</v>
      </c>
      <c r="O685" s="4" t="s">
        <v>8718</v>
      </c>
      <c r="P685" s="4" t="s">
        <v>233</v>
      </c>
    </row>
    <row r="686" spans="1:16" x14ac:dyDescent="0.35">
      <c r="A686" t="s">
        <v>13333</v>
      </c>
      <c r="B686" t="s">
        <v>13334</v>
      </c>
      <c r="C686" t="s">
        <v>16</v>
      </c>
      <c r="D686" s="6">
        <v>586451698.58785534</v>
      </c>
      <c r="E686" s="6">
        <v>567464698.58785534</v>
      </c>
      <c r="F686" s="6">
        <v>6.7800002098083496</v>
      </c>
      <c r="G686" s="6">
        <v>6.6999998092651367</v>
      </c>
      <c r="H686" s="6">
        <v>26.163767465890047</v>
      </c>
      <c r="I686" s="6">
        <v>8.8031010549744604E-2</v>
      </c>
      <c r="J686" s="6">
        <v>560139000</v>
      </c>
      <c r="K686" s="6">
        <v>61.904761904761877</v>
      </c>
      <c r="L686" t="s">
        <v>6523</v>
      </c>
      <c r="M686" t="s">
        <v>6588</v>
      </c>
      <c r="N686" s="4" t="s">
        <v>8719</v>
      </c>
      <c r="O686" s="4" t="s">
        <v>8720</v>
      </c>
      <c r="P686" s="4" t="s">
        <v>233</v>
      </c>
    </row>
    <row r="687" spans="1:16" x14ac:dyDescent="0.35">
      <c r="A687" t="s">
        <v>8721</v>
      </c>
      <c r="B687" t="s">
        <v>8722</v>
      </c>
      <c r="C687" t="s">
        <v>16</v>
      </c>
      <c r="D687" s="6">
        <v>566028484.74999988</v>
      </c>
      <c r="E687" s="6">
        <v>1064360484.7499999</v>
      </c>
      <c r="F687" s="6">
        <v>11.75</v>
      </c>
      <c r="G687" s="6">
        <v>11.609999656677246</v>
      </c>
      <c r="H687" s="6">
        <v>130.33109644501135</v>
      </c>
      <c r="I687" s="6">
        <v>0.15855254078450498</v>
      </c>
      <c r="J687" s="6">
        <v>58345000</v>
      </c>
      <c r="K687" s="6">
        <v>-6.2158405018772873</v>
      </c>
      <c r="L687" t="s">
        <v>6623</v>
      </c>
      <c r="M687" t="s">
        <v>7539</v>
      </c>
      <c r="N687" s="4" t="s">
        <v>8723</v>
      </c>
      <c r="O687" s="4" t="s">
        <v>8724</v>
      </c>
      <c r="P687" s="4" t="s">
        <v>233</v>
      </c>
    </row>
    <row r="688" spans="1:16" x14ac:dyDescent="0.35">
      <c r="A688" t="s">
        <v>8725</v>
      </c>
      <c r="B688" t="s">
        <v>8726</v>
      </c>
      <c r="C688" t="s">
        <v>16</v>
      </c>
      <c r="D688" s="6">
        <v>478944154.94059753</v>
      </c>
      <c r="E688" s="6" t="e">
        <v>#N/A</v>
      </c>
      <c r="F688" s="6">
        <v>87.050003051757813</v>
      </c>
      <c r="G688" s="6">
        <v>88.160003662109375</v>
      </c>
      <c r="H688" s="6">
        <v>13.149547288785168</v>
      </c>
      <c r="I688" s="6">
        <v>0.85944007104827147</v>
      </c>
      <c r="J688" s="6">
        <v>195960000</v>
      </c>
      <c r="K688" s="6">
        <v>48.344370860927135</v>
      </c>
      <c r="L688" t="s">
        <v>6529</v>
      </c>
      <c r="M688" t="s">
        <v>6530</v>
      </c>
      <c r="N688" s="4" t="s">
        <v>8727</v>
      </c>
      <c r="O688" s="4" t="s">
        <v>8728</v>
      </c>
      <c r="P688" s="4" t="s">
        <v>233</v>
      </c>
    </row>
    <row r="689" spans="1:16" x14ac:dyDescent="0.35">
      <c r="A689" t="s">
        <v>8729</v>
      </c>
      <c r="B689" t="s">
        <v>8730</v>
      </c>
      <c r="C689" t="s">
        <v>16</v>
      </c>
      <c r="D689" s="6">
        <v>911855568.27791965</v>
      </c>
      <c r="E689" s="6">
        <v>818077568.27791965</v>
      </c>
      <c r="F689" s="6">
        <v>25.049999237060547</v>
      </c>
      <c r="G689" s="6">
        <v>25.430000305175781</v>
      </c>
      <c r="H689" s="6">
        <v>19.339283015986791</v>
      </c>
      <c r="I689" s="6">
        <v>-0.44991160783886752</v>
      </c>
      <c r="J689" s="6">
        <v>186533000</v>
      </c>
      <c r="K689" s="6">
        <v>9.9999999999999698</v>
      </c>
      <c r="L689" t="s">
        <v>6518</v>
      </c>
      <c r="M689" t="s">
        <v>6714</v>
      </c>
      <c r="N689" s="4" t="s">
        <v>8731</v>
      </c>
      <c r="O689" s="4" t="s">
        <v>8732</v>
      </c>
      <c r="P689" s="4" t="s">
        <v>233</v>
      </c>
    </row>
    <row r="690" spans="1:16" x14ac:dyDescent="0.35">
      <c r="A690" t="s">
        <v>8733</v>
      </c>
      <c r="B690" t="s">
        <v>8734</v>
      </c>
      <c r="C690" t="s">
        <v>16</v>
      </c>
      <c r="D690" s="6">
        <v>748800915.50720215</v>
      </c>
      <c r="E690" s="6" t="e">
        <v>#N/A</v>
      </c>
      <c r="F690" s="6">
        <v>44.409999847412109</v>
      </c>
      <c r="G690" s="6">
        <v>45</v>
      </c>
      <c r="H690" s="6">
        <v>11.823562901278203</v>
      </c>
      <c r="I690" s="6">
        <v>0.40019675286417278</v>
      </c>
      <c r="J690" s="6">
        <v>294096000</v>
      </c>
      <c r="K690" s="6">
        <v>21.812080536912745</v>
      </c>
      <c r="L690" t="s">
        <v>6529</v>
      </c>
      <c r="M690" t="s">
        <v>6530</v>
      </c>
      <c r="N690" s="4" t="s">
        <v>8735</v>
      </c>
      <c r="O690" s="4" t="s">
        <v>8736</v>
      </c>
      <c r="P690" s="4" t="s">
        <v>233</v>
      </c>
    </row>
    <row r="691" spans="1:16" x14ac:dyDescent="0.35">
      <c r="A691" t="s">
        <v>8737</v>
      </c>
      <c r="B691" t="s">
        <v>8738</v>
      </c>
      <c r="C691" t="s">
        <v>16</v>
      </c>
      <c r="D691" s="6">
        <v>470972777.88402271</v>
      </c>
      <c r="E691" s="6">
        <v>637172777.88402271</v>
      </c>
      <c r="F691" s="6">
        <v>6.7899999618530273</v>
      </c>
      <c r="G691" s="6">
        <v>6.8000001907348633</v>
      </c>
      <c r="H691" s="6" t="e">
        <v>#N/A</v>
      </c>
      <c r="I691" s="6">
        <v>-5.1538494418223113E-2</v>
      </c>
      <c r="J691" s="6">
        <v>2020600000</v>
      </c>
      <c r="K691" s="6">
        <v>-10.439024390243905</v>
      </c>
      <c r="L691" t="s">
        <v>6518</v>
      </c>
      <c r="M691" t="s">
        <v>6789</v>
      </c>
      <c r="N691" s="4" t="s">
        <v>8739</v>
      </c>
      <c r="O691" s="4" t="s">
        <v>8740</v>
      </c>
      <c r="P691" s="4" t="s">
        <v>233</v>
      </c>
    </row>
    <row r="692" spans="1:16" x14ac:dyDescent="0.35">
      <c r="A692" t="s">
        <v>8741</v>
      </c>
      <c r="B692" t="s">
        <v>8742</v>
      </c>
      <c r="C692" t="s">
        <v>16</v>
      </c>
      <c r="D692" s="6">
        <v>2180273586.4299793</v>
      </c>
      <c r="E692" s="6">
        <v>2965011586.4299793</v>
      </c>
      <c r="F692" s="6">
        <v>24.469999313354492</v>
      </c>
      <c r="G692" s="6">
        <v>24.690000534057617</v>
      </c>
      <c r="H692" s="6" t="e">
        <v>#N/A</v>
      </c>
      <c r="I692" s="6">
        <v>1.1997481961555847</v>
      </c>
      <c r="J692" s="6">
        <v>0</v>
      </c>
      <c r="K692" s="6">
        <v>-2096.4535574740053</v>
      </c>
      <c r="L692" t="s">
        <v>6523</v>
      </c>
      <c r="M692" t="s">
        <v>6524</v>
      </c>
      <c r="N692" s="4" t="s">
        <v>8743</v>
      </c>
      <c r="O692" s="4" t="s">
        <v>8744</v>
      </c>
      <c r="P692" s="4" t="s">
        <v>233</v>
      </c>
    </row>
    <row r="693" spans="1:16" x14ac:dyDescent="0.35">
      <c r="A693" t="s">
        <v>8745</v>
      </c>
      <c r="B693" t="s">
        <v>3391</v>
      </c>
      <c r="C693" t="s">
        <v>16</v>
      </c>
      <c r="D693" s="6">
        <v>2743248706.3545861</v>
      </c>
      <c r="E693" s="6">
        <v>3356779706.3545861</v>
      </c>
      <c r="F693" s="6">
        <v>3.2400000095367432</v>
      </c>
      <c r="G693" s="6">
        <v>3.0699999332427979</v>
      </c>
      <c r="H693" s="6" t="e">
        <v>#N/A</v>
      </c>
      <c r="I693" s="6">
        <v>-0.31574476773279947</v>
      </c>
      <c r="J693" s="6">
        <v>7332000</v>
      </c>
      <c r="K693" s="6">
        <v>17.165118278297719</v>
      </c>
      <c r="L693" t="s">
        <v>17</v>
      </c>
      <c r="M693" t="s">
        <v>18</v>
      </c>
      <c r="N693" s="4" t="s">
        <v>3392</v>
      </c>
      <c r="O693" s="4" t="s">
        <v>3393</v>
      </c>
      <c r="P693" s="4" t="s">
        <v>233</v>
      </c>
    </row>
    <row r="694" spans="1:16" x14ac:dyDescent="0.35">
      <c r="A694" t="s">
        <v>8746</v>
      </c>
      <c r="B694" t="s">
        <v>8747</v>
      </c>
      <c r="C694" t="s">
        <v>16</v>
      </c>
      <c r="D694" s="6">
        <v>1509452291.4716403</v>
      </c>
      <c r="E694" s="6">
        <v>1491097291.4716403</v>
      </c>
      <c r="F694" s="6">
        <v>11.560000419616699</v>
      </c>
      <c r="G694" s="6">
        <v>11.649999618530273</v>
      </c>
      <c r="H694" s="6" t="e">
        <v>#N/A</v>
      </c>
      <c r="I694" s="6">
        <v>1.6203480721585959</v>
      </c>
      <c r="J694" s="6">
        <v>3862000</v>
      </c>
      <c r="K694" s="6">
        <v>-65</v>
      </c>
      <c r="L694" t="s">
        <v>6518</v>
      </c>
      <c r="M694" t="s">
        <v>6519</v>
      </c>
      <c r="N694" s="4" t="s">
        <v>8748</v>
      </c>
      <c r="O694" s="4" t="s">
        <v>8749</v>
      </c>
      <c r="P694" s="4" t="s">
        <v>233</v>
      </c>
    </row>
    <row r="695" spans="1:16" x14ac:dyDescent="0.35">
      <c r="A695" t="s">
        <v>8750</v>
      </c>
      <c r="B695" t="s">
        <v>8751</v>
      </c>
      <c r="C695" t="s">
        <v>16</v>
      </c>
      <c r="D695" s="6">
        <v>2980032070.9228516</v>
      </c>
      <c r="E695" s="6">
        <v>5310032070.9228516</v>
      </c>
      <c r="F695" s="6">
        <v>44.880001068115234</v>
      </c>
      <c r="G695" s="6">
        <v>44.619998931884766</v>
      </c>
      <c r="H695" s="6">
        <v>7.3407150046166088</v>
      </c>
      <c r="I695" s="6">
        <v>-0.2321563457515371</v>
      </c>
      <c r="J695" s="6">
        <v>5127000000</v>
      </c>
      <c r="K695" s="6">
        <v>-34.640522875816998</v>
      </c>
      <c r="L695" t="s">
        <v>6547</v>
      </c>
      <c r="M695" t="s">
        <v>6668</v>
      </c>
      <c r="N695" s="4" t="s">
        <v>8752</v>
      </c>
      <c r="O695" s="4" t="s">
        <v>8753</v>
      </c>
      <c r="P695" s="4" t="s">
        <v>233</v>
      </c>
    </row>
    <row r="696" spans="1:16" x14ac:dyDescent="0.35">
      <c r="A696" t="s">
        <v>8754</v>
      </c>
      <c r="B696" t="s">
        <v>8755</v>
      </c>
      <c r="C696" t="s">
        <v>16</v>
      </c>
      <c r="D696" s="6">
        <v>6581729444.2924147</v>
      </c>
      <c r="E696" s="6">
        <v>10581700444.292416</v>
      </c>
      <c r="F696" s="6">
        <v>31.799999237060547</v>
      </c>
      <c r="G696" s="6">
        <v>30.889999389648438</v>
      </c>
      <c r="H696" s="6">
        <v>48.964808832544271</v>
      </c>
      <c r="I696" s="6">
        <v>1.3413996686972176</v>
      </c>
      <c r="J696" s="6">
        <v>2516546000</v>
      </c>
      <c r="K696" s="6">
        <v>111.76470588235296</v>
      </c>
      <c r="L696" t="s">
        <v>6540</v>
      </c>
      <c r="M696" t="s">
        <v>6825</v>
      </c>
      <c r="N696" s="4" t="s">
        <v>8756</v>
      </c>
      <c r="O696" s="4" t="s">
        <v>8757</v>
      </c>
      <c r="P696" s="4" t="s">
        <v>233</v>
      </c>
    </row>
    <row r="697" spans="1:16" x14ac:dyDescent="0.35">
      <c r="A697" t="s">
        <v>8758</v>
      </c>
      <c r="B697" t="s">
        <v>8759</v>
      </c>
      <c r="C697" t="s">
        <v>16</v>
      </c>
      <c r="D697" s="6">
        <v>716453548.31974781</v>
      </c>
      <c r="E697" s="6">
        <v>971751548.31974781</v>
      </c>
      <c r="F697" s="6">
        <v>33.349998474121094</v>
      </c>
      <c r="G697" s="6">
        <v>34.110000610351563</v>
      </c>
      <c r="H697" s="6">
        <v>4.7345525065618048</v>
      </c>
      <c r="I697" s="6">
        <v>0.51977608056136959</v>
      </c>
      <c r="J697" s="6">
        <v>407315000</v>
      </c>
      <c r="K697" s="6">
        <v>11.350293542074347</v>
      </c>
      <c r="L697" t="s">
        <v>6523</v>
      </c>
      <c r="M697" t="s">
        <v>6524</v>
      </c>
      <c r="N697" s="4" t="s">
        <v>8760</v>
      </c>
      <c r="O697" s="4" t="s">
        <v>8761</v>
      </c>
      <c r="P697" s="4" t="s">
        <v>233</v>
      </c>
    </row>
    <row r="698" spans="1:16" x14ac:dyDescent="0.35">
      <c r="A698" t="s">
        <v>8762</v>
      </c>
      <c r="B698" t="s">
        <v>8763</v>
      </c>
      <c r="C698" t="s">
        <v>16</v>
      </c>
      <c r="D698" s="6">
        <v>3696657191.3756757</v>
      </c>
      <c r="E698" s="6">
        <v>6228066191.3756752</v>
      </c>
      <c r="F698" s="6">
        <v>14.479999542236328</v>
      </c>
      <c r="G698" s="6">
        <v>14.840000152587891</v>
      </c>
      <c r="H698" s="6" t="e">
        <v>#N/A</v>
      </c>
      <c r="I698" s="6">
        <v>0.35834455679296306</v>
      </c>
      <c r="J698" s="6">
        <v>2713358000</v>
      </c>
      <c r="K698" s="6">
        <v>160.25581966709666</v>
      </c>
      <c r="L698" t="s">
        <v>6523</v>
      </c>
      <c r="M698" t="s">
        <v>6524</v>
      </c>
      <c r="N698" s="4" t="s">
        <v>8764</v>
      </c>
      <c r="O698" s="4" t="s">
        <v>8765</v>
      </c>
      <c r="P698" s="4" t="s">
        <v>233</v>
      </c>
    </row>
    <row r="699" spans="1:16" x14ac:dyDescent="0.35">
      <c r="A699" t="s">
        <v>8766</v>
      </c>
      <c r="B699" t="s">
        <v>8767</v>
      </c>
      <c r="C699" t="s">
        <v>16</v>
      </c>
      <c r="D699" s="6">
        <v>1981414978.6683197</v>
      </c>
      <c r="E699" s="6" t="e">
        <v>#N/A</v>
      </c>
      <c r="F699" s="6">
        <v>43.169998168945313</v>
      </c>
      <c r="G699" s="6">
        <v>43.340000152587891</v>
      </c>
      <c r="H699" s="6">
        <v>10.109745464594067</v>
      </c>
      <c r="I699" s="6">
        <v>0.20079885310470846</v>
      </c>
      <c r="J699" s="6">
        <v>873526000</v>
      </c>
      <c r="K699" s="6">
        <v>10.389610389610388</v>
      </c>
      <c r="L699" t="s">
        <v>6529</v>
      </c>
      <c r="M699" t="s">
        <v>6530</v>
      </c>
      <c r="N699" s="4" t="s">
        <v>8768</v>
      </c>
      <c r="O699" s="4" t="s">
        <v>8769</v>
      </c>
      <c r="P699" s="4" t="s">
        <v>233</v>
      </c>
    </row>
    <row r="700" spans="1:16" x14ac:dyDescent="0.35">
      <c r="A700" t="s">
        <v>8770</v>
      </c>
      <c r="B700" t="s">
        <v>2540</v>
      </c>
      <c r="C700" t="s">
        <v>16</v>
      </c>
      <c r="D700" s="6">
        <v>690148196.81142223</v>
      </c>
      <c r="E700" s="6">
        <v>816266196.81142223</v>
      </c>
      <c r="F700" s="6">
        <v>18.059999465942383</v>
      </c>
      <c r="G700" s="6">
        <v>17.879999160766602</v>
      </c>
      <c r="H700" s="6" t="e">
        <v>#N/A</v>
      </c>
      <c r="I700" s="6">
        <v>0.25339082383089329</v>
      </c>
      <c r="J700" s="6">
        <v>784249000</v>
      </c>
      <c r="K700" s="6">
        <v>19.743589743589745</v>
      </c>
      <c r="L700" t="s">
        <v>17</v>
      </c>
      <c r="M700" t="s">
        <v>27</v>
      </c>
      <c r="N700" s="4" t="s">
        <v>2541</v>
      </c>
      <c r="O700" s="4" t="s">
        <v>2542</v>
      </c>
      <c r="P700" s="4" t="s">
        <v>233</v>
      </c>
    </row>
    <row r="701" spans="1:16" x14ac:dyDescent="0.35">
      <c r="A701" t="s">
        <v>8771</v>
      </c>
      <c r="B701" t="s">
        <v>8772</v>
      </c>
      <c r="C701" t="s">
        <v>16</v>
      </c>
      <c r="D701" s="6">
        <v>1268881780.2317619</v>
      </c>
      <c r="E701" s="6">
        <v>1242306258.2317619</v>
      </c>
      <c r="F701" s="6">
        <v>34.619998931884766</v>
      </c>
      <c r="G701" s="6">
        <v>31</v>
      </c>
      <c r="H701" s="6" t="e">
        <v>#N/A</v>
      </c>
      <c r="I701" s="6">
        <v>10.867275575949598</v>
      </c>
      <c r="J701" s="6">
        <v>0</v>
      </c>
      <c r="K701" s="6">
        <v>-39.285714285714278</v>
      </c>
      <c r="L701" t="s">
        <v>6547</v>
      </c>
      <c r="M701" t="s">
        <v>6602</v>
      </c>
      <c r="N701" s="4" t="s">
        <v>8773</v>
      </c>
      <c r="O701" s="4" t="s">
        <v>8774</v>
      </c>
      <c r="P701" s="4" t="s">
        <v>233</v>
      </c>
    </row>
    <row r="702" spans="1:16" x14ac:dyDescent="0.35">
      <c r="A702" t="s">
        <v>8775</v>
      </c>
      <c r="B702" t="s">
        <v>8776</v>
      </c>
      <c r="C702" t="s">
        <v>16</v>
      </c>
      <c r="D702" s="6">
        <v>534908458.05275714</v>
      </c>
      <c r="E702" s="6">
        <v>586949458.05275714</v>
      </c>
      <c r="F702" s="6">
        <v>42.939998626708984</v>
      </c>
      <c r="G702" s="6">
        <v>42.619998931884766</v>
      </c>
      <c r="H702" s="6">
        <v>16.905371501538369</v>
      </c>
      <c r="I702" s="6">
        <v>0.25203911816876268</v>
      </c>
      <c r="J702" s="6">
        <v>454094000</v>
      </c>
      <c r="K702" s="6">
        <v>26.509648134812569</v>
      </c>
      <c r="L702" t="s">
        <v>6735</v>
      </c>
      <c r="M702" t="s">
        <v>8777</v>
      </c>
      <c r="N702" s="4" t="s">
        <v>8778</v>
      </c>
      <c r="O702" s="4" t="s">
        <v>8779</v>
      </c>
      <c r="P702" s="4" t="s">
        <v>233</v>
      </c>
    </row>
    <row r="703" spans="1:16" x14ac:dyDescent="0.35">
      <c r="A703" t="s">
        <v>8780</v>
      </c>
      <c r="B703" t="s">
        <v>8781</v>
      </c>
      <c r="C703" t="s">
        <v>16</v>
      </c>
      <c r="D703" s="6">
        <v>552213985.95318604</v>
      </c>
      <c r="E703" s="6">
        <v>953811985.95318604</v>
      </c>
      <c r="F703" s="6">
        <v>25.819999694824219</v>
      </c>
      <c r="G703" s="6">
        <v>25.639999389648438</v>
      </c>
      <c r="H703" s="6">
        <v>50.779190551420747</v>
      </c>
      <c r="I703" s="6">
        <v>0.33264068008428027</v>
      </c>
      <c r="J703" s="6">
        <v>89448000</v>
      </c>
      <c r="K703" s="6">
        <v>50.543639878915947</v>
      </c>
      <c r="L703" t="s">
        <v>6623</v>
      </c>
      <c r="M703" t="s">
        <v>6700</v>
      </c>
      <c r="N703" s="4" t="s">
        <v>8782</v>
      </c>
      <c r="O703" s="4" t="s">
        <v>8783</v>
      </c>
      <c r="P703" s="4" t="s">
        <v>233</v>
      </c>
    </row>
    <row r="704" spans="1:16" x14ac:dyDescent="0.35">
      <c r="A704" t="s">
        <v>8784</v>
      </c>
      <c r="B704" t="s">
        <v>8785</v>
      </c>
      <c r="C704" t="s">
        <v>16</v>
      </c>
      <c r="D704" s="6">
        <v>3359622296.6751175</v>
      </c>
      <c r="E704" s="6">
        <v>4090666296.6751175</v>
      </c>
      <c r="F704" s="6">
        <v>80.319999694824219</v>
      </c>
      <c r="G704" s="6">
        <v>78.5</v>
      </c>
      <c r="H704" s="6">
        <v>11.093922609782352</v>
      </c>
      <c r="I704" s="6">
        <v>-0.169402027230246</v>
      </c>
      <c r="J704" s="6">
        <v>1341750000</v>
      </c>
      <c r="K704" s="6">
        <v>8.9686098654708619</v>
      </c>
      <c r="L704" t="s">
        <v>6719</v>
      </c>
      <c r="M704" t="s">
        <v>7215</v>
      </c>
      <c r="N704" s="4" t="s">
        <v>8786</v>
      </c>
      <c r="O704" s="4" t="s">
        <v>8787</v>
      </c>
      <c r="P704" s="4" t="s">
        <v>233</v>
      </c>
    </row>
    <row r="705" spans="1:16" x14ac:dyDescent="0.35">
      <c r="A705" t="s">
        <v>8788</v>
      </c>
      <c r="B705" t="s">
        <v>5134</v>
      </c>
      <c r="C705" t="s">
        <v>16</v>
      </c>
      <c r="D705" s="6">
        <v>63576212.659931652</v>
      </c>
      <c r="E705" s="6">
        <v>-60990787.340068348</v>
      </c>
      <c r="F705" s="6">
        <v>0.74769997596740723</v>
      </c>
      <c r="G705" s="6">
        <v>0.70999997854232788</v>
      </c>
      <c r="H705" s="6" t="e">
        <v>#N/A</v>
      </c>
      <c r="I705" s="6">
        <v>-0.83874520101328953</v>
      </c>
      <c r="J705" s="6">
        <v>2235000</v>
      </c>
      <c r="K705" s="6">
        <v>-1.3215859030836918</v>
      </c>
      <c r="L705" t="s">
        <v>17</v>
      </c>
      <c r="M705" t="s">
        <v>18</v>
      </c>
      <c r="N705" s="4" t="s">
        <v>5135</v>
      </c>
      <c r="O705" s="4" t="s">
        <v>5136</v>
      </c>
      <c r="P705" s="4" t="s">
        <v>233</v>
      </c>
    </row>
    <row r="706" spans="1:16" x14ac:dyDescent="0.35">
      <c r="A706" t="s">
        <v>8789</v>
      </c>
      <c r="B706" t="s">
        <v>8790</v>
      </c>
      <c r="C706" t="s">
        <v>16</v>
      </c>
      <c r="D706" s="6">
        <v>3193290610.2984614</v>
      </c>
      <c r="E706" s="6">
        <v>3814290610.2984614</v>
      </c>
      <c r="F706" s="6">
        <v>19.860000610351563</v>
      </c>
      <c r="G706" s="6">
        <v>20.329999923706055</v>
      </c>
      <c r="H706" s="6" t="e">
        <v>#N/A</v>
      </c>
      <c r="I706" s="6">
        <v>-4.9628209050029404E-2</v>
      </c>
      <c r="J706" s="6">
        <v>4550000000</v>
      </c>
      <c r="K706" s="6" t="e">
        <v>#N/A</v>
      </c>
      <c r="L706" t="s">
        <v>6547</v>
      </c>
      <c r="M706" t="s">
        <v>7792</v>
      </c>
      <c r="N706" s="4" t="s">
        <v>8791</v>
      </c>
      <c r="O706" s="4" t="s">
        <v>8792</v>
      </c>
      <c r="P706" s="4" t="s">
        <v>233</v>
      </c>
    </row>
    <row r="707" spans="1:16" x14ac:dyDescent="0.35">
      <c r="A707" t="s">
        <v>8793</v>
      </c>
      <c r="B707" t="s">
        <v>8794</v>
      </c>
      <c r="C707" t="s">
        <v>16</v>
      </c>
      <c r="D707" s="6">
        <v>1155905778.506418</v>
      </c>
      <c r="E707" s="6">
        <v>1841205778.506418</v>
      </c>
      <c r="F707" s="6">
        <v>22.809999465942383</v>
      </c>
      <c r="G707" s="6">
        <v>22.569999694824219</v>
      </c>
      <c r="H707" s="6">
        <v>6.6637548304751775</v>
      </c>
      <c r="I707" s="6">
        <v>-0.30809008248056668</v>
      </c>
      <c r="J707" s="6">
        <v>1454000000</v>
      </c>
      <c r="K707" s="6">
        <v>-2.710027100270993</v>
      </c>
      <c r="L707" t="s">
        <v>6623</v>
      </c>
      <c r="M707" t="s">
        <v>6634</v>
      </c>
      <c r="N707" s="4" t="s">
        <v>8795</v>
      </c>
      <c r="O707" s="4" t="s">
        <v>8796</v>
      </c>
      <c r="P707" s="4" t="s">
        <v>233</v>
      </c>
    </row>
    <row r="708" spans="1:16" x14ac:dyDescent="0.35">
      <c r="A708" t="s">
        <v>8797</v>
      </c>
      <c r="B708" t="s">
        <v>4231</v>
      </c>
      <c r="C708" t="s">
        <v>16</v>
      </c>
      <c r="D708" s="6">
        <v>1254630245.9175491</v>
      </c>
      <c r="E708" s="6">
        <v>186991245.91754925</v>
      </c>
      <c r="F708" s="6">
        <v>9.1099996566772461</v>
      </c>
      <c r="G708" s="6">
        <v>8.9099998474121094</v>
      </c>
      <c r="H708" s="6" t="e">
        <v>#N/A</v>
      </c>
      <c r="I708" s="6">
        <v>-6.4510861217391913E-2</v>
      </c>
      <c r="J708" s="6">
        <v>78618000</v>
      </c>
      <c r="K708" s="6">
        <v>12.694877505567934</v>
      </c>
      <c r="L708" t="s">
        <v>17</v>
      </c>
      <c r="M708" t="s">
        <v>18</v>
      </c>
      <c r="N708" s="4" t="s">
        <v>4232</v>
      </c>
      <c r="O708" s="4" t="s">
        <v>4233</v>
      </c>
      <c r="P708" s="4" t="s">
        <v>233</v>
      </c>
    </row>
    <row r="709" spans="1:16" x14ac:dyDescent="0.35">
      <c r="A709" t="s">
        <v>8798</v>
      </c>
      <c r="B709" t="s">
        <v>8799</v>
      </c>
      <c r="C709" t="s">
        <v>16</v>
      </c>
      <c r="D709" s="6">
        <v>2700650740.5612788</v>
      </c>
      <c r="E709" s="6" t="e">
        <v>#N/A</v>
      </c>
      <c r="F709" s="6">
        <v>167.1300048828125</v>
      </c>
      <c r="G709" s="6">
        <v>171.08000183105469</v>
      </c>
      <c r="H709" s="6">
        <v>18.005214960241315</v>
      </c>
      <c r="I709" s="6">
        <v>0.29014196621847099</v>
      </c>
      <c r="J709" s="6">
        <v>645553000</v>
      </c>
      <c r="K709" s="6">
        <v>19.642857142857153</v>
      </c>
      <c r="L709" t="s">
        <v>6529</v>
      </c>
      <c r="M709" t="s">
        <v>6530</v>
      </c>
      <c r="N709" s="4" t="s">
        <v>8800</v>
      </c>
      <c r="O709" s="4" t="s">
        <v>8801</v>
      </c>
      <c r="P709" s="4" t="s">
        <v>233</v>
      </c>
    </row>
    <row r="710" spans="1:16" x14ac:dyDescent="0.35">
      <c r="A710" t="s">
        <v>8802</v>
      </c>
      <c r="B710" t="s">
        <v>8803</v>
      </c>
      <c r="C710" t="s">
        <v>16</v>
      </c>
      <c r="D710" s="6">
        <v>774151269.65009689</v>
      </c>
      <c r="E710" s="6" t="e">
        <v>#N/A</v>
      </c>
      <c r="F710" s="6">
        <v>24.530000686645508</v>
      </c>
      <c r="G710" s="6">
        <v>24.920000076293945</v>
      </c>
      <c r="H710" s="6">
        <v>10.787999191953599</v>
      </c>
      <c r="I710" s="6">
        <v>0.280113663532914</v>
      </c>
      <c r="J710" s="6">
        <v>287271000</v>
      </c>
      <c r="K710" s="6">
        <v>9.1346153846153815</v>
      </c>
      <c r="L710" t="s">
        <v>6529</v>
      </c>
      <c r="M710" t="s">
        <v>6530</v>
      </c>
      <c r="N710" s="4" t="s">
        <v>8804</v>
      </c>
      <c r="O710" s="4" t="s">
        <v>8805</v>
      </c>
      <c r="P710" s="4" t="s">
        <v>233</v>
      </c>
    </row>
    <row r="711" spans="1:16" x14ac:dyDescent="0.35">
      <c r="A711" t="s">
        <v>8806</v>
      </c>
      <c r="B711" t="s">
        <v>8807</v>
      </c>
      <c r="C711" t="s">
        <v>16</v>
      </c>
      <c r="D711" s="6">
        <v>1240117729.5066793</v>
      </c>
      <c r="E711" s="6">
        <v>1004013729.5066793</v>
      </c>
      <c r="F711" s="6">
        <v>5.6700000762939453</v>
      </c>
      <c r="G711" s="6">
        <v>5.5300002098083496</v>
      </c>
      <c r="H711" s="6">
        <v>18.304789515242515</v>
      </c>
      <c r="I711" s="6">
        <v>0.17051576607907215</v>
      </c>
      <c r="J711" s="6">
        <v>734475000</v>
      </c>
      <c r="K711" s="6">
        <v>16.666666666666657</v>
      </c>
      <c r="L711" t="s">
        <v>6540</v>
      </c>
      <c r="M711" t="s">
        <v>6797</v>
      </c>
      <c r="N711" s="4" t="s">
        <v>8808</v>
      </c>
      <c r="O711" s="4" t="s">
        <v>8809</v>
      </c>
      <c r="P711" s="4" t="s">
        <v>233</v>
      </c>
    </row>
    <row r="712" spans="1:16" x14ac:dyDescent="0.35">
      <c r="A712" t="s">
        <v>8810</v>
      </c>
      <c r="B712" t="s">
        <v>8811</v>
      </c>
      <c r="C712" t="s">
        <v>16</v>
      </c>
      <c r="D712" s="6">
        <v>161873779.52722928</v>
      </c>
      <c r="E712" s="6" t="e">
        <v>#N/A</v>
      </c>
      <c r="F712" s="6">
        <v>29.659999847412109</v>
      </c>
      <c r="G712" s="6">
        <v>29.799999237060547</v>
      </c>
      <c r="H712" s="6">
        <v>9.9530200830241977</v>
      </c>
      <c r="I712" s="6">
        <v>0.18367657598729403</v>
      </c>
      <c r="J712" s="6" t="e">
        <v>#N/A</v>
      </c>
      <c r="K712" s="6">
        <v>7.3170731707317058</v>
      </c>
      <c r="L712" t="s">
        <v>6529</v>
      </c>
      <c r="M712" t="s">
        <v>6530</v>
      </c>
      <c r="N712" s="4" t="s">
        <v>8812</v>
      </c>
      <c r="O712" s="4" t="s">
        <v>8813</v>
      </c>
      <c r="P712" s="4" t="s">
        <v>233</v>
      </c>
    </row>
    <row r="713" spans="1:16" x14ac:dyDescent="0.35">
      <c r="A713" t="s">
        <v>8814</v>
      </c>
      <c r="B713" t="s">
        <v>3936</v>
      </c>
      <c r="C713" t="s">
        <v>16</v>
      </c>
      <c r="D713" s="6">
        <v>3265291761.7661667</v>
      </c>
      <c r="E713" s="6">
        <v>2455162761.7661667</v>
      </c>
      <c r="F713" s="6">
        <v>35.209999084472656</v>
      </c>
      <c r="G713" s="6">
        <v>34.069999694824219</v>
      </c>
      <c r="H713" s="6" t="e">
        <v>#N/A</v>
      </c>
      <c r="I713" s="6">
        <v>-0.10380221999629979</v>
      </c>
      <c r="J713" s="6">
        <v>1039000</v>
      </c>
      <c r="K713" s="6">
        <v>-2.4725274725274811</v>
      </c>
      <c r="L713" t="s">
        <v>17</v>
      </c>
      <c r="M713" t="s">
        <v>18</v>
      </c>
      <c r="N713" s="4" t="s">
        <v>3937</v>
      </c>
      <c r="O713" s="4" t="s">
        <v>3938</v>
      </c>
      <c r="P713" s="4" t="s">
        <v>233</v>
      </c>
    </row>
    <row r="714" spans="1:16" x14ac:dyDescent="0.35">
      <c r="A714" t="s">
        <v>8815</v>
      </c>
      <c r="B714" t="s">
        <v>8816</v>
      </c>
      <c r="C714" t="s">
        <v>16</v>
      </c>
      <c r="D714" s="6">
        <v>1302810703.9123535</v>
      </c>
      <c r="E714" s="6" t="e">
        <v>#N/A</v>
      </c>
      <c r="F714" s="6">
        <v>88.339996337890625</v>
      </c>
      <c r="G714" s="6">
        <v>87.25</v>
      </c>
      <c r="H714" s="6">
        <v>27.108161796482147</v>
      </c>
      <c r="I714" s="6">
        <v>1.1895311969261164</v>
      </c>
      <c r="J714" s="6">
        <v>703322000</v>
      </c>
      <c r="K714" s="6">
        <v>-0.36497023809523549</v>
      </c>
      <c r="L714" t="s">
        <v>6529</v>
      </c>
      <c r="M714" t="s">
        <v>6530</v>
      </c>
      <c r="N714" s="4" t="s">
        <v>8817</v>
      </c>
      <c r="O714" s="4" t="s">
        <v>8818</v>
      </c>
      <c r="P714" s="4" t="s">
        <v>233</v>
      </c>
    </row>
    <row r="715" spans="1:16" x14ac:dyDescent="0.35">
      <c r="A715" t="s">
        <v>8819</v>
      </c>
      <c r="B715" t="s">
        <v>8820</v>
      </c>
      <c r="C715" t="s">
        <v>16</v>
      </c>
      <c r="D715" s="6">
        <v>2599461294.0937214</v>
      </c>
      <c r="E715" s="6">
        <v>2389142294.0937214</v>
      </c>
      <c r="F715" s="6">
        <v>17.670000076293945</v>
      </c>
      <c r="G715" s="6">
        <v>17.959999084472656</v>
      </c>
      <c r="H715" s="6">
        <v>259.96763390163227</v>
      </c>
      <c r="I715" s="6">
        <v>0.44217998436556205</v>
      </c>
      <c r="J715" s="6">
        <v>357567000</v>
      </c>
      <c r="K715" s="6" t="e">
        <v>#N/A</v>
      </c>
      <c r="L715" t="s">
        <v>6518</v>
      </c>
      <c r="M715" t="s">
        <v>6519</v>
      </c>
      <c r="N715" s="4" t="s">
        <v>8821</v>
      </c>
      <c r="O715" s="4" t="s">
        <v>8822</v>
      </c>
      <c r="P715" s="4" t="s">
        <v>233</v>
      </c>
    </row>
    <row r="716" spans="1:16" x14ac:dyDescent="0.35">
      <c r="A716" t="s">
        <v>8823</v>
      </c>
      <c r="B716" t="s">
        <v>8824</v>
      </c>
      <c r="C716" t="s">
        <v>16</v>
      </c>
      <c r="D716" s="6">
        <v>1094294280.7871232</v>
      </c>
      <c r="E716" s="6">
        <v>1145522280.7871232</v>
      </c>
      <c r="F716" s="6">
        <v>3.2699999809265137</v>
      </c>
      <c r="G716" s="6">
        <v>3.1500000953674316</v>
      </c>
      <c r="H716" s="6" t="e">
        <v>#N/A</v>
      </c>
      <c r="I716" s="6">
        <v>0.30184765513301315</v>
      </c>
      <c r="J716" s="6">
        <v>0</v>
      </c>
      <c r="K716" s="6">
        <v>0</v>
      </c>
      <c r="L716" t="s">
        <v>6563</v>
      </c>
      <c r="M716" t="s">
        <v>6564</v>
      </c>
      <c r="N716" s="4" t="s">
        <v>8825</v>
      </c>
      <c r="O716" s="4" t="s">
        <v>8826</v>
      </c>
      <c r="P716" s="4" t="s">
        <v>233</v>
      </c>
    </row>
    <row r="717" spans="1:16" x14ac:dyDescent="0.35">
      <c r="A717" t="s">
        <v>8827</v>
      </c>
      <c r="B717" t="s">
        <v>3205</v>
      </c>
      <c r="C717" t="s">
        <v>16</v>
      </c>
      <c r="D717" s="6">
        <v>109858933.2153244</v>
      </c>
      <c r="E717" s="6">
        <v>94045933.215324402</v>
      </c>
      <c r="F717" s="6">
        <v>9.0200004577636719</v>
      </c>
      <c r="G717" s="6">
        <v>8.6599998474121094</v>
      </c>
      <c r="H717" s="6" t="e">
        <v>#N/A</v>
      </c>
      <c r="I717" s="6">
        <v>-0.60682179336944997</v>
      </c>
      <c r="J717" s="6">
        <v>0</v>
      </c>
      <c r="K717" s="6">
        <v>58.012533572077857</v>
      </c>
      <c r="L717" t="s">
        <v>17</v>
      </c>
      <c r="M717" t="s">
        <v>18</v>
      </c>
      <c r="N717" s="4" t="s">
        <v>3206</v>
      </c>
      <c r="O717" s="4" t="s">
        <v>3207</v>
      </c>
      <c r="P717" s="4" t="s">
        <v>233</v>
      </c>
    </row>
    <row r="718" spans="1:16" x14ac:dyDescent="0.35">
      <c r="A718" t="s">
        <v>8828</v>
      </c>
      <c r="B718" t="s">
        <v>8829</v>
      </c>
      <c r="C718" t="s">
        <v>16</v>
      </c>
      <c r="D718" s="6">
        <v>759411351.32928646</v>
      </c>
      <c r="E718" s="6" t="e">
        <v>#N/A</v>
      </c>
      <c r="F718" s="6">
        <v>4.3299999237060547</v>
      </c>
      <c r="G718" s="6">
        <v>4.2199997901916504</v>
      </c>
      <c r="H718" s="6" t="e">
        <v>#N/A</v>
      </c>
      <c r="I718" s="6">
        <v>0.37777066591272646</v>
      </c>
      <c r="J718" s="6">
        <v>833881000</v>
      </c>
      <c r="K718" s="6">
        <v>20.512820512820518</v>
      </c>
      <c r="L718" t="s">
        <v>6518</v>
      </c>
      <c r="M718" t="s">
        <v>7048</v>
      </c>
      <c r="N718" s="4" t="s">
        <v>8830</v>
      </c>
      <c r="O718" s="4" t="s">
        <v>8831</v>
      </c>
      <c r="P718" s="4" t="s">
        <v>233</v>
      </c>
    </row>
    <row r="719" spans="1:16" x14ac:dyDescent="0.35">
      <c r="A719" t="s">
        <v>8832</v>
      </c>
      <c r="B719" t="s">
        <v>8833</v>
      </c>
      <c r="C719" t="s">
        <v>16</v>
      </c>
      <c r="D719" s="6">
        <v>355681097.95868874</v>
      </c>
      <c r="E719" s="6">
        <v>1008281097.9586887</v>
      </c>
      <c r="F719" s="6">
        <v>25.329999923706055</v>
      </c>
      <c r="G719" s="6">
        <v>25.5</v>
      </c>
      <c r="H719" s="6">
        <v>7.2781040046829428</v>
      </c>
      <c r="I719" s="6">
        <v>4.8648314084883459E-2</v>
      </c>
      <c r="J719" s="6">
        <v>1657100000</v>
      </c>
      <c r="K719" s="6">
        <v>112.5996174442931</v>
      </c>
      <c r="L719" t="s">
        <v>6547</v>
      </c>
      <c r="M719" t="s">
        <v>6668</v>
      </c>
      <c r="N719" s="4" t="s">
        <v>8834</v>
      </c>
      <c r="O719" s="4" t="s">
        <v>8835</v>
      </c>
      <c r="P719" s="4" t="s">
        <v>233</v>
      </c>
    </row>
    <row r="720" spans="1:16" x14ac:dyDescent="0.35">
      <c r="A720" t="s">
        <v>8836</v>
      </c>
      <c r="B720" t="s">
        <v>8837</v>
      </c>
      <c r="C720" t="s">
        <v>16</v>
      </c>
      <c r="D720" s="6">
        <v>995172147.5516814</v>
      </c>
      <c r="E720" s="6" t="e">
        <v>#N/A</v>
      </c>
      <c r="F720" s="6">
        <v>55.110000610351563</v>
      </c>
      <c r="G720" s="6">
        <v>55.970001220703125</v>
      </c>
      <c r="H720" s="6">
        <v>11.954446987061075</v>
      </c>
      <c r="I720" s="6">
        <v>0.40729301007912233</v>
      </c>
      <c r="J720" s="6">
        <v>376008000</v>
      </c>
      <c r="K720" s="6">
        <v>5.7339449541284395</v>
      </c>
      <c r="L720" t="s">
        <v>6529</v>
      </c>
      <c r="M720" t="s">
        <v>6530</v>
      </c>
      <c r="N720" s="4" t="s">
        <v>8838</v>
      </c>
      <c r="O720" s="4" t="s">
        <v>8839</v>
      </c>
      <c r="P720" s="4" t="s">
        <v>233</v>
      </c>
    </row>
    <row r="721" spans="1:16" x14ac:dyDescent="0.35">
      <c r="A721" t="s">
        <v>8840</v>
      </c>
      <c r="B721" t="s">
        <v>4710</v>
      </c>
      <c r="C721" t="s">
        <v>16</v>
      </c>
      <c r="D721" s="6">
        <v>1111593941.7838612</v>
      </c>
      <c r="E721" s="6">
        <v>1086486941.7838612</v>
      </c>
      <c r="F721" s="6">
        <v>4.2600002288818359</v>
      </c>
      <c r="G721" s="6">
        <v>4.1599998474121094</v>
      </c>
      <c r="H721" s="6" t="e">
        <v>#N/A</v>
      </c>
      <c r="I721" s="6">
        <v>-0.22491365932153928</v>
      </c>
      <c r="J721" s="6">
        <v>276920000</v>
      </c>
      <c r="K721" s="6" t="e">
        <v>#N/A</v>
      </c>
      <c r="L721" t="s">
        <v>17</v>
      </c>
      <c r="M721" t="s">
        <v>100</v>
      </c>
      <c r="N721" s="4" t="s">
        <v>4711</v>
      </c>
      <c r="O721" s="4" t="s">
        <v>4712</v>
      </c>
      <c r="P721" s="4" t="s">
        <v>233</v>
      </c>
    </row>
    <row r="722" spans="1:16" x14ac:dyDescent="0.35">
      <c r="A722" t="s">
        <v>8841</v>
      </c>
      <c r="B722" t="s">
        <v>8842</v>
      </c>
      <c r="C722" t="s">
        <v>16</v>
      </c>
      <c r="D722" s="6">
        <v>3780851974.6625977</v>
      </c>
      <c r="E722" s="6">
        <v>8934651974.6625977</v>
      </c>
      <c r="F722" s="6">
        <v>117.83999633789063</v>
      </c>
      <c r="G722" s="6">
        <v>117.73999786376953</v>
      </c>
      <c r="H722" s="6">
        <v>14.025944467528952</v>
      </c>
      <c r="I722" s="6">
        <v>0.74751109448218211</v>
      </c>
      <c r="J722" s="6">
        <v>3596300000</v>
      </c>
      <c r="K722" s="6">
        <v>18.73390163551101</v>
      </c>
      <c r="L722" t="s">
        <v>6529</v>
      </c>
      <c r="M722" t="s">
        <v>6568</v>
      </c>
      <c r="N722" s="4" t="s">
        <v>8843</v>
      </c>
      <c r="O722" s="4" t="s">
        <v>8844</v>
      </c>
      <c r="P722" s="4" t="s">
        <v>233</v>
      </c>
    </row>
    <row r="723" spans="1:16" x14ac:dyDescent="0.35">
      <c r="A723" t="s">
        <v>8845</v>
      </c>
      <c r="B723" t="s">
        <v>8846</v>
      </c>
      <c r="C723" t="s">
        <v>16</v>
      </c>
      <c r="D723" s="6">
        <v>688649503.49357939</v>
      </c>
      <c r="E723" s="6">
        <v>583381503.49357939</v>
      </c>
      <c r="F723" s="6">
        <v>5.7699999809265137</v>
      </c>
      <c r="G723" s="6">
        <v>5.8899998664855957</v>
      </c>
      <c r="H723" s="6">
        <v>192.33333269755042</v>
      </c>
      <c r="I723" s="6">
        <v>-0.25584108097223035</v>
      </c>
      <c r="J723" s="6">
        <v>95887000</v>
      </c>
      <c r="K723" s="6">
        <v>-83.333333333333329</v>
      </c>
      <c r="L723" t="s">
        <v>6529</v>
      </c>
      <c r="M723" t="s">
        <v>6568</v>
      </c>
      <c r="N723" s="4" t="s">
        <v>8847</v>
      </c>
      <c r="O723" s="4" t="s">
        <v>8848</v>
      </c>
      <c r="P723" s="4" t="s">
        <v>233</v>
      </c>
    </row>
    <row r="724" spans="1:16" x14ac:dyDescent="0.35">
      <c r="A724" t="s">
        <v>8849</v>
      </c>
      <c r="B724" t="s">
        <v>2768</v>
      </c>
      <c r="C724" t="s">
        <v>16</v>
      </c>
      <c r="D724" s="6">
        <v>3773733270.5267253</v>
      </c>
      <c r="E724" s="6">
        <v>3160581270.5267253</v>
      </c>
      <c r="F724" s="6">
        <v>48.930000305175781</v>
      </c>
      <c r="G724" s="6">
        <v>47.639999389648438</v>
      </c>
      <c r="H724" s="6" t="e">
        <v>#N/A</v>
      </c>
      <c r="I724" s="6">
        <v>0.88445723508558483</v>
      </c>
      <c r="J724" s="6">
        <v>900664000</v>
      </c>
      <c r="K724" s="6">
        <v>31.32947976878614</v>
      </c>
      <c r="L724" t="s">
        <v>17</v>
      </c>
      <c r="M724" t="s">
        <v>18</v>
      </c>
      <c r="N724" s="4" t="s">
        <v>2769</v>
      </c>
      <c r="O724" s="4" t="s">
        <v>2770</v>
      </c>
      <c r="P724" s="4" t="s">
        <v>233</v>
      </c>
    </row>
    <row r="725" spans="1:16" x14ac:dyDescent="0.35">
      <c r="A725" t="s">
        <v>8850</v>
      </c>
      <c r="B725" t="s">
        <v>8851</v>
      </c>
      <c r="C725" t="s">
        <v>16</v>
      </c>
      <c r="D725" s="6">
        <v>337505915.56549072</v>
      </c>
      <c r="E725" s="6">
        <v>339237915.56549072</v>
      </c>
      <c r="F725" s="6">
        <v>196.50999450683594</v>
      </c>
      <c r="G725" s="6">
        <v>195.25</v>
      </c>
      <c r="H725" s="6">
        <v>8.8230079461327282</v>
      </c>
      <c r="I725" s="6">
        <v>1.0568652827891176</v>
      </c>
      <c r="J725" s="6">
        <v>211144000</v>
      </c>
      <c r="K725" s="6">
        <v>76.068700817438184</v>
      </c>
      <c r="L725" t="s">
        <v>6523</v>
      </c>
      <c r="M725" t="s">
        <v>6524</v>
      </c>
      <c r="N725" s="4" t="s">
        <v>8852</v>
      </c>
      <c r="O725" s="4" t="s">
        <v>8853</v>
      </c>
      <c r="P725" s="4" t="s">
        <v>233</v>
      </c>
    </row>
    <row r="726" spans="1:16" x14ac:dyDescent="0.35">
      <c r="A726" t="s">
        <v>8855</v>
      </c>
      <c r="B726" t="s">
        <v>8856</v>
      </c>
      <c r="C726" t="s">
        <v>16</v>
      </c>
      <c r="D726" s="6">
        <v>3698714506.330925</v>
      </c>
      <c r="E726" s="6">
        <v>3636510506.330925</v>
      </c>
      <c r="F726" s="6">
        <v>39.509998321533203</v>
      </c>
      <c r="G726" s="6">
        <v>39.5</v>
      </c>
      <c r="H726" s="6">
        <v>19.942035511832074</v>
      </c>
      <c r="I726" s="6">
        <v>-0.13684871462478199</v>
      </c>
      <c r="J726" s="6">
        <v>1188055000</v>
      </c>
      <c r="K726" s="6">
        <v>12.990376256695319</v>
      </c>
      <c r="L726" t="s">
        <v>6735</v>
      </c>
      <c r="M726" t="s">
        <v>7502</v>
      </c>
      <c r="N726" s="4" t="s">
        <v>8857</v>
      </c>
      <c r="O726" s="4" t="s">
        <v>8858</v>
      </c>
      <c r="P726" s="4" t="s">
        <v>233</v>
      </c>
    </row>
    <row r="727" spans="1:16" x14ac:dyDescent="0.35">
      <c r="A727" t="s">
        <v>8859</v>
      </c>
      <c r="B727" t="s">
        <v>8860</v>
      </c>
      <c r="C727" t="s">
        <v>16</v>
      </c>
      <c r="D727" s="6">
        <v>95706369.109838471</v>
      </c>
      <c r="E727" s="6">
        <v>103398162.10983847</v>
      </c>
      <c r="F727" s="6">
        <v>1.2899999618530273</v>
      </c>
      <c r="G727" s="6">
        <v>1.2899999618530273</v>
      </c>
      <c r="H727" s="6" t="e">
        <v>#N/A</v>
      </c>
      <c r="I727" s="6">
        <v>-0.80065963097021586</v>
      </c>
      <c r="J727" s="6">
        <v>42893256</v>
      </c>
      <c r="K727" s="6" t="e">
        <v>#N/A</v>
      </c>
      <c r="L727" t="s">
        <v>6518</v>
      </c>
      <c r="M727" t="s">
        <v>6519</v>
      </c>
      <c r="N727" s="4" t="s">
        <v>233</v>
      </c>
      <c r="O727" s="4" t="s">
        <v>8861</v>
      </c>
      <c r="P727" s="4" t="s">
        <v>13230</v>
      </c>
    </row>
    <row r="728" spans="1:16" x14ac:dyDescent="0.35">
      <c r="A728" t="s">
        <v>8862</v>
      </c>
      <c r="B728" t="s">
        <v>8863</v>
      </c>
      <c r="C728" t="s">
        <v>16</v>
      </c>
      <c r="D728" s="6">
        <v>410386542.02537537</v>
      </c>
      <c r="E728" s="6">
        <v>387180542.02537537</v>
      </c>
      <c r="F728" s="6">
        <v>37.639999389648438</v>
      </c>
      <c r="G728" s="6">
        <v>37.669998168945313</v>
      </c>
      <c r="H728" s="6">
        <v>44.287979401675081</v>
      </c>
      <c r="I728" s="6">
        <v>0.64430225014591991</v>
      </c>
      <c r="J728" s="6">
        <v>199621000</v>
      </c>
      <c r="K728" s="6">
        <v>223.07692307692304</v>
      </c>
      <c r="L728" t="s">
        <v>6547</v>
      </c>
      <c r="M728" t="s">
        <v>6668</v>
      </c>
      <c r="N728" s="4" t="s">
        <v>8864</v>
      </c>
      <c r="O728" s="4" t="s">
        <v>8865</v>
      </c>
      <c r="P728" s="4" t="s">
        <v>233</v>
      </c>
    </row>
    <row r="729" spans="1:16" x14ac:dyDescent="0.35">
      <c r="A729" t="s">
        <v>8866</v>
      </c>
      <c r="B729" t="s">
        <v>8867</v>
      </c>
      <c r="C729" t="s">
        <v>16</v>
      </c>
      <c r="D729" s="6">
        <v>617874061.81051254</v>
      </c>
      <c r="E729" s="6">
        <v>1374687561.8105125</v>
      </c>
      <c r="F729" s="6">
        <v>6.559999942779541</v>
      </c>
      <c r="G729" s="6">
        <v>6.5500001907348633</v>
      </c>
      <c r="H729" s="6" t="e">
        <v>#N/A</v>
      </c>
      <c r="I729" s="6">
        <v>-0.37797930287996773</v>
      </c>
      <c r="J729" s="6">
        <v>836715000</v>
      </c>
      <c r="K729" s="6">
        <v>-31.632518742327818</v>
      </c>
      <c r="L729" t="s">
        <v>6735</v>
      </c>
      <c r="M729" t="s">
        <v>6747</v>
      </c>
      <c r="N729" s="4" t="s">
        <v>8868</v>
      </c>
      <c r="O729" s="4" t="s">
        <v>8869</v>
      </c>
      <c r="P729" s="4" t="s">
        <v>233</v>
      </c>
    </row>
    <row r="730" spans="1:16" x14ac:dyDescent="0.35">
      <c r="A730" t="s">
        <v>13045</v>
      </c>
      <c r="B730" t="s">
        <v>13046</v>
      </c>
      <c r="C730" t="s">
        <v>16</v>
      </c>
      <c r="D730" s="6">
        <v>313886311.61624902</v>
      </c>
      <c r="E730" s="6">
        <v>510312311.61624902</v>
      </c>
      <c r="F730" s="6">
        <v>14.409999847412109</v>
      </c>
      <c r="G730" s="6">
        <v>15.189999580383301</v>
      </c>
      <c r="H730" s="6" t="e">
        <v>#N/A</v>
      </c>
      <c r="I730" s="6">
        <v>-0.2374032904973683</v>
      </c>
      <c r="J730" s="6">
        <v>728286000</v>
      </c>
      <c r="K730" s="6" t="e">
        <v>#N/A</v>
      </c>
      <c r="L730" t="s">
        <v>6547</v>
      </c>
      <c r="M730" t="s">
        <v>7792</v>
      </c>
      <c r="N730" s="4" t="s">
        <v>8870</v>
      </c>
      <c r="O730" s="4" t="s">
        <v>8871</v>
      </c>
      <c r="P730" s="4" t="s">
        <v>233</v>
      </c>
    </row>
    <row r="731" spans="1:16" x14ac:dyDescent="0.35">
      <c r="A731" t="s">
        <v>8872</v>
      </c>
      <c r="B731" t="s">
        <v>8873</v>
      </c>
      <c r="C731" t="s">
        <v>16</v>
      </c>
      <c r="D731" s="6">
        <v>2516614385.2185912</v>
      </c>
      <c r="E731" s="6" t="e">
        <v>#N/A</v>
      </c>
      <c r="F731" s="6">
        <v>15.850000381469727</v>
      </c>
      <c r="G731" s="6">
        <v>16.139999389648438</v>
      </c>
      <c r="H731" s="6">
        <v>35.177196258721565</v>
      </c>
      <c r="I731" s="6">
        <v>0.17940442724596428</v>
      </c>
      <c r="J731" s="6">
        <v>1889850000</v>
      </c>
      <c r="K731" s="6" t="e">
        <v>#N/A</v>
      </c>
      <c r="L731" t="s">
        <v>6529</v>
      </c>
      <c r="M731" t="s">
        <v>6530</v>
      </c>
      <c r="N731" s="4" t="s">
        <v>8874</v>
      </c>
      <c r="O731" s="4" t="s">
        <v>8875</v>
      </c>
      <c r="P731" s="4" t="s">
        <v>233</v>
      </c>
    </row>
    <row r="732" spans="1:16" x14ac:dyDescent="0.35">
      <c r="A732" t="s">
        <v>8876</v>
      </c>
      <c r="B732" t="s">
        <v>4467</v>
      </c>
      <c r="C732" t="s">
        <v>16</v>
      </c>
      <c r="D732" s="6">
        <v>56435124.046485893</v>
      </c>
      <c r="E732" s="6">
        <v>-82303875.953514099</v>
      </c>
      <c r="F732" s="6">
        <v>1.0700000524520874</v>
      </c>
      <c r="G732" s="6">
        <v>1.0099999904632568</v>
      </c>
      <c r="H732" s="6" t="e">
        <v>#N/A</v>
      </c>
      <c r="I732" s="6">
        <v>-0.92810238977463289</v>
      </c>
      <c r="J732" s="6">
        <v>0</v>
      </c>
      <c r="K732" s="6">
        <v>16.526610644257708</v>
      </c>
      <c r="L732" t="s">
        <v>17</v>
      </c>
      <c r="M732" t="s">
        <v>18</v>
      </c>
      <c r="N732" s="4" t="s">
        <v>4468</v>
      </c>
      <c r="O732" s="4" t="s">
        <v>4469</v>
      </c>
      <c r="P732" s="4" t="s">
        <v>233</v>
      </c>
    </row>
    <row r="733" spans="1:16" x14ac:dyDescent="0.35">
      <c r="A733" t="s">
        <v>8877</v>
      </c>
      <c r="B733" t="s">
        <v>8878</v>
      </c>
      <c r="C733" t="s">
        <v>16</v>
      </c>
      <c r="D733" s="6">
        <v>1757453064.9517679</v>
      </c>
      <c r="E733" s="6">
        <v>2587453064.9517679</v>
      </c>
      <c r="F733" s="6">
        <v>12.039999961853027</v>
      </c>
      <c r="G733" s="6">
        <v>12.439999580383301</v>
      </c>
      <c r="H733" s="6" t="e">
        <v>#N/A</v>
      </c>
      <c r="I733" s="6">
        <v>-0.24361497695841683</v>
      </c>
      <c r="J733" s="6">
        <v>3412000000</v>
      </c>
      <c r="K733" s="6">
        <v>15.409091516898132</v>
      </c>
      <c r="L733" t="s">
        <v>6518</v>
      </c>
      <c r="M733" t="s">
        <v>6519</v>
      </c>
      <c r="N733" s="4" t="s">
        <v>8879</v>
      </c>
      <c r="O733" s="4" t="s">
        <v>8880</v>
      </c>
      <c r="P733" s="4" t="s">
        <v>233</v>
      </c>
    </row>
    <row r="734" spans="1:16" x14ac:dyDescent="0.35">
      <c r="A734" t="s">
        <v>8881</v>
      </c>
      <c r="B734" t="s">
        <v>8882</v>
      </c>
      <c r="C734" t="s">
        <v>16</v>
      </c>
      <c r="D734" s="6">
        <v>3812549285.433197</v>
      </c>
      <c r="E734" s="6">
        <v>4397264285.433197</v>
      </c>
      <c r="F734" s="6">
        <v>124.93000030517578</v>
      </c>
      <c r="G734" s="6">
        <v>124.47000122070313</v>
      </c>
      <c r="H734" s="6">
        <v>21.354719670832679</v>
      </c>
      <c r="I734" s="6">
        <v>0.48600265101394835</v>
      </c>
      <c r="J734" s="6">
        <v>1969721000</v>
      </c>
      <c r="K734" s="6">
        <v>94.480519480519476</v>
      </c>
      <c r="L734" t="s">
        <v>6540</v>
      </c>
      <c r="M734" t="s">
        <v>6881</v>
      </c>
      <c r="N734" s="4" t="s">
        <v>8883</v>
      </c>
      <c r="O734" s="4" t="s">
        <v>8884</v>
      </c>
      <c r="P734" s="4" t="s">
        <v>233</v>
      </c>
    </row>
    <row r="735" spans="1:16" x14ac:dyDescent="0.35">
      <c r="A735" t="s">
        <v>8885</v>
      </c>
      <c r="B735" t="s">
        <v>8886</v>
      </c>
      <c r="C735" t="s">
        <v>16</v>
      </c>
      <c r="D735" s="6">
        <v>4244950809.4516296</v>
      </c>
      <c r="E735" s="6">
        <v>3844223809.4516296</v>
      </c>
      <c r="F735" s="6">
        <v>41.020000457763672</v>
      </c>
      <c r="G735" s="6">
        <v>41.430000305175781</v>
      </c>
      <c r="H735" s="6" t="e">
        <v>#N/A</v>
      </c>
      <c r="I735" s="6">
        <v>-0.3059320177819409</v>
      </c>
      <c r="J735" s="6">
        <v>563967000</v>
      </c>
      <c r="K735" s="6">
        <v>17.985611510791379</v>
      </c>
      <c r="L735" t="s">
        <v>6518</v>
      </c>
      <c r="M735" t="s">
        <v>6519</v>
      </c>
      <c r="N735" s="4" t="s">
        <v>8887</v>
      </c>
      <c r="O735" s="4" t="s">
        <v>8888</v>
      </c>
      <c r="P735" s="4" t="s">
        <v>233</v>
      </c>
    </row>
    <row r="736" spans="1:16" x14ac:dyDescent="0.35">
      <c r="A736" t="s">
        <v>8889</v>
      </c>
      <c r="B736" t="s">
        <v>8890</v>
      </c>
      <c r="C736" t="s">
        <v>16</v>
      </c>
      <c r="D736" s="6">
        <v>187311904</v>
      </c>
      <c r="E736" s="6">
        <v>162997904</v>
      </c>
      <c r="F736" s="6">
        <v>13</v>
      </c>
      <c r="G736" s="6">
        <v>13.289999961853027</v>
      </c>
      <c r="H736" s="6" t="e">
        <v>#N/A</v>
      </c>
      <c r="I736" s="6">
        <v>0.3767072189877374</v>
      </c>
      <c r="J736" s="6">
        <v>202965000</v>
      </c>
      <c r="K736" s="6">
        <v>-95.774647887323951</v>
      </c>
      <c r="L736" t="s">
        <v>6518</v>
      </c>
      <c r="M736" t="s">
        <v>6714</v>
      </c>
      <c r="N736" s="4" t="s">
        <v>8891</v>
      </c>
      <c r="O736" s="4" t="s">
        <v>8892</v>
      </c>
      <c r="P736" s="4" t="s">
        <v>233</v>
      </c>
    </row>
    <row r="737" spans="1:16" x14ac:dyDescent="0.35">
      <c r="A737" t="s">
        <v>8893</v>
      </c>
      <c r="B737" t="s">
        <v>2725</v>
      </c>
      <c r="C737" t="s">
        <v>16</v>
      </c>
      <c r="D737" s="6">
        <v>150632281.18558884</v>
      </c>
      <c r="E737" s="6">
        <v>-15630718.814411163</v>
      </c>
      <c r="F737" s="6">
        <v>2.4000000953674316</v>
      </c>
      <c r="G737" s="6">
        <v>2.4100000858306885</v>
      </c>
      <c r="H737" s="6" t="e">
        <v>#N/A</v>
      </c>
      <c r="I737" s="6">
        <v>-0.86533372544471177</v>
      </c>
      <c r="J737" s="6">
        <v>141329000</v>
      </c>
      <c r="K737" s="6" t="e">
        <v>#N/A</v>
      </c>
      <c r="L737" t="s">
        <v>17</v>
      </c>
      <c r="M737" t="s">
        <v>18</v>
      </c>
      <c r="N737" s="4" t="s">
        <v>2726</v>
      </c>
      <c r="O737" s="4" t="s">
        <v>2727</v>
      </c>
      <c r="P737" s="4" t="s">
        <v>233</v>
      </c>
    </row>
    <row r="738" spans="1:16" x14ac:dyDescent="0.35">
      <c r="A738" t="s">
        <v>8894</v>
      </c>
      <c r="B738" t="s">
        <v>8895</v>
      </c>
      <c r="C738" t="s">
        <v>16</v>
      </c>
      <c r="D738" s="6">
        <v>5563727970.8862305</v>
      </c>
      <c r="E738" s="6">
        <v>5751265970.8862305</v>
      </c>
      <c r="F738" s="6">
        <v>29.159999847412109</v>
      </c>
      <c r="G738" s="6">
        <v>29.440000534057617</v>
      </c>
      <c r="H738" s="6">
        <v>16.272947924564122</v>
      </c>
      <c r="I738" s="6">
        <v>2.3357570294649355E-2</v>
      </c>
      <c r="J738" s="6">
        <v>3633983000</v>
      </c>
      <c r="K738" s="6">
        <v>4.9999999999999902</v>
      </c>
      <c r="L738" t="s">
        <v>6523</v>
      </c>
      <c r="M738" t="s">
        <v>6588</v>
      </c>
      <c r="N738" s="4" t="s">
        <v>8896</v>
      </c>
      <c r="O738" s="4" t="s">
        <v>8897</v>
      </c>
      <c r="P738" s="4" t="s">
        <v>233</v>
      </c>
    </row>
    <row r="739" spans="1:16" x14ac:dyDescent="0.35">
      <c r="A739" t="s">
        <v>8898</v>
      </c>
      <c r="B739" t="s">
        <v>8899</v>
      </c>
      <c r="C739" t="s">
        <v>16</v>
      </c>
      <c r="D739" s="6">
        <v>4812679811.26474</v>
      </c>
      <c r="E739" s="6">
        <v>4715618811.26474</v>
      </c>
      <c r="F739" s="6">
        <v>88.589996337890625</v>
      </c>
      <c r="G739" s="6">
        <v>87.370002746582031</v>
      </c>
      <c r="H739" s="6">
        <v>20.003806196300737</v>
      </c>
      <c r="I739" s="6">
        <v>0.43000848966861782</v>
      </c>
      <c r="J739" s="6">
        <v>7699878000</v>
      </c>
      <c r="K739" s="6">
        <v>-12.34309623430962</v>
      </c>
      <c r="L739" t="s">
        <v>6518</v>
      </c>
      <c r="M739" t="s">
        <v>6714</v>
      </c>
      <c r="N739" s="4" t="s">
        <v>8900</v>
      </c>
      <c r="O739" s="4" t="s">
        <v>8901</v>
      </c>
      <c r="P739" s="4" t="s">
        <v>233</v>
      </c>
    </row>
    <row r="740" spans="1:16" x14ac:dyDescent="0.35">
      <c r="A740" t="s">
        <v>8902</v>
      </c>
      <c r="B740" t="s">
        <v>8903</v>
      </c>
      <c r="C740" t="s">
        <v>16</v>
      </c>
      <c r="D740" s="6">
        <v>117136108.11676028</v>
      </c>
      <c r="E740" s="6">
        <v>99071108.116760284</v>
      </c>
      <c r="F740" s="6">
        <v>13.079999923706055</v>
      </c>
      <c r="G740" s="6">
        <v>13.430000305175781</v>
      </c>
      <c r="H740" s="6">
        <v>7.3028726439894536</v>
      </c>
      <c r="I740" s="6">
        <v>-0.25705718966171065</v>
      </c>
      <c r="J740" s="6">
        <v>313658000</v>
      </c>
      <c r="K740" s="6">
        <v>-33.828996282527875</v>
      </c>
      <c r="L740" t="s">
        <v>6563</v>
      </c>
      <c r="M740" t="s">
        <v>6764</v>
      </c>
      <c r="N740" s="4" t="s">
        <v>8904</v>
      </c>
      <c r="O740" s="4" t="s">
        <v>8905</v>
      </c>
      <c r="P740" s="4" t="s">
        <v>233</v>
      </c>
    </row>
    <row r="741" spans="1:16" x14ac:dyDescent="0.35">
      <c r="A741" t="s">
        <v>8906</v>
      </c>
      <c r="B741" t="s">
        <v>8907</v>
      </c>
      <c r="C741" t="s">
        <v>16</v>
      </c>
      <c r="D741" s="6">
        <v>3656457935.6855106</v>
      </c>
      <c r="E741" s="6">
        <v>5263186935.6855106</v>
      </c>
      <c r="F741" s="6">
        <v>15.239999771118164</v>
      </c>
      <c r="G741" s="6">
        <v>15.079999923706055</v>
      </c>
      <c r="H741" s="6">
        <v>18.891382939888668</v>
      </c>
      <c r="I741" s="6">
        <v>4.027129511212646E-3</v>
      </c>
      <c r="J741" s="6">
        <v>1410888000</v>
      </c>
      <c r="K741" s="6">
        <v>21.428571428571413</v>
      </c>
      <c r="L741" t="s">
        <v>6623</v>
      </c>
      <c r="M741" t="s">
        <v>7409</v>
      </c>
      <c r="N741" s="4" t="s">
        <v>8908</v>
      </c>
      <c r="O741" s="4" t="s">
        <v>8909</v>
      </c>
      <c r="P741" s="4" t="s">
        <v>233</v>
      </c>
    </row>
    <row r="742" spans="1:16" x14ac:dyDescent="0.35">
      <c r="A742" t="s">
        <v>8910</v>
      </c>
      <c r="B742" t="s">
        <v>8911</v>
      </c>
      <c r="C742" t="s">
        <v>16</v>
      </c>
      <c r="D742" s="6">
        <v>1071191337.9253179</v>
      </c>
      <c r="E742" s="6">
        <v>2005830337.9253178</v>
      </c>
      <c r="F742" s="6">
        <v>8.6400003433227539</v>
      </c>
      <c r="G742" s="6">
        <v>8.1400003433227539</v>
      </c>
      <c r="H742" s="6" t="e">
        <v>#N/A</v>
      </c>
      <c r="I742" s="6">
        <v>0.10596881755871146</v>
      </c>
      <c r="J742" s="6">
        <v>1016774000</v>
      </c>
      <c r="K742" s="6">
        <v>16.883116883116884</v>
      </c>
      <c r="L742" t="s">
        <v>6623</v>
      </c>
      <c r="M742" t="s">
        <v>6634</v>
      </c>
      <c r="N742" s="4" t="s">
        <v>8912</v>
      </c>
      <c r="O742" s="4" t="s">
        <v>8913</v>
      </c>
      <c r="P742" s="4" t="s">
        <v>233</v>
      </c>
    </row>
    <row r="743" spans="1:16" x14ac:dyDescent="0.35">
      <c r="A743" t="s">
        <v>8914</v>
      </c>
      <c r="B743" t="s">
        <v>8915</v>
      </c>
      <c r="C743" t="s">
        <v>16</v>
      </c>
      <c r="D743" s="6">
        <v>728147202.56431961</v>
      </c>
      <c r="E743" s="6">
        <v>952527202.56431961</v>
      </c>
      <c r="F743" s="6">
        <v>19.649999618530273</v>
      </c>
      <c r="G743" s="6">
        <v>20.270000457763672</v>
      </c>
      <c r="H743" s="6">
        <v>16.471246666798219</v>
      </c>
      <c r="I743" s="6">
        <v>0.19869603904969635</v>
      </c>
      <c r="J743" s="6">
        <v>1985630000</v>
      </c>
      <c r="K743" s="6">
        <v>423.80952380952374</v>
      </c>
      <c r="L743" t="s">
        <v>6529</v>
      </c>
      <c r="M743" t="s">
        <v>6664</v>
      </c>
      <c r="N743" s="4" t="s">
        <v>8916</v>
      </c>
      <c r="O743" s="4" t="s">
        <v>8917</v>
      </c>
      <c r="P743" s="4" t="s">
        <v>233</v>
      </c>
    </row>
    <row r="744" spans="1:16" x14ac:dyDescent="0.35">
      <c r="A744" t="s">
        <v>8918</v>
      </c>
      <c r="B744" t="s">
        <v>8919</v>
      </c>
      <c r="C744" t="s">
        <v>16</v>
      </c>
      <c r="D744" s="6">
        <v>940695295.45204926</v>
      </c>
      <c r="E744" s="6">
        <v>2430800295.4520493</v>
      </c>
      <c r="F744" s="6">
        <v>9.1800003051757813</v>
      </c>
      <c r="G744" s="6">
        <v>9.3999996185302734</v>
      </c>
      <c r="H744" s="6">
        <v>5.4606746997525928</v>
      </c>
      <c r="I744" s="6">
        <v>-0.33259434985201031</v>
      </c>
      <c r="J744" s="6">
        <v>3717031000</v>
      </c>
      <c r="K744" s="6">
        <v>-13.953488372093023</v>
      </c>
      <c r="L744" t="s">
        <v>6540</v>
      </c>
      <c r="M744" t="s">
        <v>6541</v>
      </c>
      <c r="N744" s="4" t="s">
        <v>8920</v>
      </c>
      <c r="O744" s="4" t="s">
        <v>8921</v>
      </c>
      <c r="P744" s="4" t="s">
        <v>233</v>
      </c>
    </row>
    <row r="745" spans="1:16" x14ac:dyDescent="0.35">
      <c r="A745" t="s">
        <v>8922</v>
      </c>
      <c r="B745" t="s">
        <v>8923</v>
      </c>
      <c r="C745" t="s">
        <v>16</v>
      </c>
      <c r="D745" s="6">
        <v>464973705.28240299</v>
      </c>
      <c r="E745" s="6" t="e">
        <v>#N/A</v>
      </c>
      <c r="F745" s="6">
        <v>7.1999998092651367</v>
      </c>
      <c r="G745" s="6">
        <v>7.3499999046325684</v>
      </c>
      <c r="H745" s="6">
        <v>16.586956683311531</v>
      </c>
      <c r="I745" s="6">
        <v>0.12751330963803031</v>
      </c>
      <c r="J745" s="6">
        <v>349320000</v>
      </c>
      <c r="K745" s="6" t="e">
        <v>#N/A</v>
      </c>
      <c r="L745" t="s">
        <v>6529</v>
      </c>
      <c r="M745" t="s">
        <v>6530</v>
      </c>
      <c r="N745" s="4" t="s">
        <v>8924</v>
      </c>
      <c r="O745" s="4" t="s">
        <v>8925</v>
      </c>
      <c r="P745" s="4" t="s">
        <v>233</v>
      </c>
    </row>
    <row r="746" spans="1:16" x14ac:dyDescent="0.35">
      <c r="A746" t="s">
        <v>8926</v>
      </c>
      <c r="B746" t="s">
        <v>8927</v>
      </c>
      <c r="C746" t="s">
        <v>16</v>
      </c>
      <c r="D746" s="6">
        <v>2915144515.1487465</v>
      </c>
      <c r="E746" s="6">
        <v>8746144515.1487465</v>
      </c>
      <c r="F746" s="6">
        <v>35.479999542236328</v>
      </c>
      <c r="G746" s="6">
        <v>36.479999542236328</v>
      </c>
      <c r="H746" s="6">
        <v>20.070813282169915</v>
      </c>
      <c r="I746" s="6">
        <v>0.37360584279910847</v>
      </c>
      <c r="J746" s="6">
        <v>3247700000</v>
      </c>
      <c r="K746" s="6">
        <v>109.09090909090909</v>
      </c>
      <c r="L746" t="s">
        <v>6547</v>
      </c>
      <c r="M746" t="s">
        <v>6668</v>
      </c>
      <c r="N746" s="4" t="s">
        <v>8928</v>
      </c>
      <c r="O746" s="4" t="s">
        <v>8929</v>
      </c>
      <c r="P746" s="4" t="s">
        <v>233</v>
      </c>
    </row>
    <row r="747" spans="1:16" x14ac:dyDescent="0.35">
      <c r="A747" t="s">
        <v>8930</v>
      </c>
      <c r="B747" t="s">
        <v>8931</v>
      </c>
      <c r="C747" t="s">
        <v>16</v>
      </c>
      <c r="D747" s="6">
        <v>2487187591.2590485</v>
      </c>
      <c r="E747" s="6" t="e">
        <v>#N/A</v>
      </c>
      <c r="F747" s="6">
        <v>29.110000610351563</v>
      </c>
      <c r="G747" s="6">
        <v>29.440000534057617</v>
      </c>
      <c r="H747" s="6">
        <v>19.459948412320642</v>
      </c>
      <c r="I747" s="6">
        <v>0.18138771088048333</v>
      </c>
      <c r="J747" s="6">
        <v>808987000</v>
      </c>
      <c r="K747" s="6">
        <v>15.322580645161285</v>
      </c>
      <c r="L747" t="s">
        <v>6529</v>
      </c>
      <c r="M747" t="s">
        <v>6530</v>
      </c>
      <c r="N747" s="4" t="s">
        <v>8932</v>
      </c>
      <c r="O747" s="4" t="s">
        <v>8933</v>
      </c>
      <c r="P747" s="4" t="s">
        <v>233</v>
      </c>
    </row>
    <row r="748" spans="1:16" x14ac:dyDescent="0.35">
      <c r="A748" t="s">
        <v>8934</v>
      </c>
      <c r="B748" t="s">
        <v>8935</v>
      </c>
      <c r="C748" t="s">
        <v>16</v>
      </c>
      <c r="D748" s="6">
        <v>3961514718.0496674</v>
      </c>
      <c r="E748" s="6" t="e">
        <v>#N/A</v>
      </c>
      <c r="F748" s="6">
        <v>33.209999084472656</v>
      </c>
      <c r="G748" s="6">
        <v>33.790000915527344</v>
      </c>
      <c r="H748" s="6">
        <v>16.169868384022287</v>
      </c>
      <c r="I748" s="6">
        <v>0.23084366605167839</v>
      </c>
      <c r="J748" s="6">
        <v>1502497000</v>
      </c>
      <c r="K748" s="6">
        <v>32.467532467532465</v>
      </c>
      <c r="L748" t="s">
        <v>6529</v>
      </c>
      <c r="M748" t="s">
        <v>6530</v>
      </c>
      <c r="N748" s="4" t="s">
        <v>8936</v>
      </c>
      <c r="O748" s="4" t="s">
        <v>8937</v>
      </c>
      <c r="P748" s="4" t="s">
        <v>233</v>
      </c>
    </row>
    <row r="749" spans="1:16" x14ac:dyDescent="0.35">
      <c r="A749" t="s">
        <v>8938</v>
      </c>
      <c r="B749" t="s">
        <v>1225</v>
      </c>
      <c r="C749" t="s">
        <v>16</v>
      </c>
      <c r="D749" s="6">
        <v>372454423.75764942</v>
      </c>
      <c r="E749" s="6">
        <v>822059423.7576493</v>
      </c>
      <c r="F749" s="6">
        <v>1.3600000143051147</v>
      </c>
      <c r="G749" s="6">
        <v>1.3300000429153442</v>
      </c>
      <c r="H749" s="6" t="e">
        <v>#N/A</v>
      </c>
      <c r="I749" s="6">
        <v>-0.79643161225644654</v>
      </c>
      <c r="J749" s="6">
        <v>173147000</v>
      </c>
      <c r="K749" s="6">
        <v>-14.960629921259837</v>
      </c>
      <c r="L749" t="s">
        <v>17</v>
      </c>
      <c r="M749" t="s">
        <v>100</v>
      </c>
      <c r="N749" s="4" t="s">
        <v>1226</v>
      </c>
      <c r="O749" s="4" t="s">
        <v>1227</v>
      </c>
      <c r="P749" s="4" t="s">
        <v>233</v>
      </c>
    </row>
    <row r="750" spans="1:16" x14ac:dyDescent="0.35">
      <c r="A750" t="s">
        <v>8939</v>
      </c>
      <c r="B750" t="s">
        <v>8940</v>
      </c>
      <c r="C750" t="s">
        <v>16</v>
      </c>
      <c r="D750" s="6">
        <v>239562443.96652606</v>
      </c>
      <c r="E750" s="6">
        <v>316864443.96652603</v>
      </c>
      <c r="F750" s="6">
        <v>14.659999847412109</v>
      </c>
      <c r="G750" s="6">
        <v>14.859999656677246</v>
      </c>
      <c r="H750" s="6">
        <v>17.301323737053053</v>
      </c>
      <c r="I750" s="6">
        <v>9.8041327216159102E-2</v>
      </c>
      <c r="J750" s="6">
        <v>567509000</v>
      </c>
      <c r="K750" s="6">
        <v>78.723404255319124</v>
      </c>
      <c r="L750" t="s">
        <v>6540</v>
      </c>
      <c r="M750" t="s">
        <v>7034</v>
      </c>
      <c r="N750" s="4" t="s">
        <v>8941</v>
      </c>
      <c r="O750" s="4" t="s">
        <v>8942</v>
      </c>
      <c r="P750" s="4" t="s">
        <v>233</v>
      </c>
    </row>
    <row r="751" spans="1:16" x14ac:dyDescent="0.35">
      <c r="A751" t="s">
        <v>8943</v>
      </c>
      <c r="B751" t="s">
        <v>8944</v>
      </c>
      <c r="C751" t="s">
        <v>16</v>
      </c>
      <c r="D751" s="6">
        <v>2450139584.1437721</v>
      </c>
      <c r="E751" s="6">
        <v>2617397584.1437721</v>
      </c>
      <c r="F751" s="6">
        <v>9.7399997711181641</v>
      </c>
      <c r="G751" s="6">
        <v>7.6999998092651367</v>
      </c>
      <c r="H751" s="6" t="e">
        <v>#N/A</v>
      </c>
      <c r="I751" s="6">
        <v>3.9476663899828699</v>
      </c>
      <c r="J751" s="6">
        <v>155164000</v>
      </c>
      <c r="K751" s="6">
        <v>57.89473684210526</v>
      </c>
      <c r="L751" t="s">
        <v>6518</v>
      </c>
      <c r="M751" t="s">
        <v>6789</v>
      </c>
      <c r="N751" s="4" t="s">
        <v>8945</v>
      </c>
      <c r="O751" s="4" t="s">
        <v>8946</v>
      </c>
      <c r="P751" s="4" t="s">
        <v>233</v>
      </c>
    </row>
    <row r="752" spans="1:16" x14ac:dyDescent="0.35">
      <c r="A752" t="s">
        <v>8947</v>
      </c>
      <c r="B752" t="s">
        <v>8948</v>
      </c>
      <c r="C752" t="s">
        <v>16</v>
      </c>
      <c r="D752" s="6">
        <v>1127401753.2428167</v>
      </c>
      <c r="E752" s="6">
        <v>3230801753.2428169</v>
      </c>
      <c r="F752" s="6">
        <v>17.840000152587891</v>
      </c>
      <c r="G752" s="6">
        <v>19.309999465942383</v>
      </c>
      <c r="H752" s="6" t="e">
        <v>#N/A</v>
      </c>
      <c r="I752" s="6">
        <v>-0.3409372754341452</v>
      </c>
      <c r="J752" s="6">
        <v>13740800000</v>
      </c>
      <c r="K752" s="6" t="e">
        <v>#N/A</v>
      </c>
      <c r="L752" t="s">
        <v>6523</v>
      </c>
      <c r="M752" t="s">
        <v>6524</v>
      </c>
      <c r="N752" s="4" t="s">
        <v>8949</v>
      </c>
      <c r="O752" s="4" t="s">
        <v>8950</v>
      </c>
      <c r="P752" s="4" t="s">
        <v>233</v>
      </c>
    </row>
    <row r="753" spans="1:16" x14ac:dyDescent="0.35">
      <c r="A753" t="s">
        <v>8954</v>
      </c>
      <c r="B753" t="s">
        <v>8955</v>
      </c>
      <c r="C753" t="s">
        <v>16</v>
      </c>
      <c r="D753" s="6">
        <v>542351137.763237</v>
      </c>
      <c r="E753" s="6">
        <v>550291137.763237</v>
      </c>
      <c r="F753" s="6">
        <v>13.199999809265137</v>
      </c>
      <c r="G753" s="6">
        <v>13.090000152587891</v>
      </c>
      <c r="H753" s="6">
        <v>5.3952577356614428</v>
      </c>
      <c r="I753" s="6">
        <v>9.7888759134553416E-2</v>
      </c>
      <c r="J753" s="6">
        <v>694706000</v>
      </c>
      <c r="K753" s="6">
        <v>-15.737704918032788</v>
      </c>
      <c r="L753" t="s">
        <v>6529</v>
      </c>
      <c r="M753" t="s">
        <v>6664</v>
      </c>
      <c r="N753" s="4" t="s">
        <v>233</v>
      </c>
      <c r="O753" s="4" t="s">
        <v>8956</v>
      </c>
      <c r="P753" s="4" t="s">
        <v>13231</v>
      </c>
    </row>
    <row r="754" spans="1:16" x14ac:dyDescent="0.35">
      <c r="A754" t="s">
        <v>8960</v>
      </c>
      <c r="B754" t="s">
        <v>8961</v>
      </c>
      <c r="C754" t="s">
        <v>16</v>
      </c>
      <c r="D754" s="6">
        <v>412630599.99999994</v>
      </c>
      <c r="E754" s="6">
        <v>1237959600</v>
      </c>
      <c r="F754" s="6">
        <v>50</v>
      </c>
      <c r="G754" s="6">
        <v>50.490001678466797</v>
      </c>
      <c r="H754" s="6" t="e">
        <v>#N/A</v>
      </c>
      <c r="I754" s="6">
        <v>-0.27910040893493482</v>
      </c>
      <c r="J754" s="6">
        <v>1120051000</v>
      </c>
      <c r="K754" s="6">
        <v>74.025974025974037</v>
      </c>
      <c r="L754" t="s">
        <v>6540</v>
      </c>
      <c r="M754" t="s">
        <v>6541</v>
      </c>
      <c r="N754" s="4" t="s">
        <v>8962</v>
      </c>
      <c r="O754" s="4" t="s">
        <v>8963</v>
      </c>
      <c r="P754" s="4" t="s">
        <v>233</v>
      </c>
    </row>
    <row r="755" spans="1:16" x14ac:dyDescent="0.35">
      <c r="A755" t="s">
        <v>8964</v>
      </c>
      <c r="B755" t="s">
        <v>8965</v>
      </c>
      <c r="C755" t="s">
        <v>16</v>
      </c>
      <c r="D755" s="6">
        <v>282218621.75</v>
      </c>
      <c r="E755" s="6">
        <v>308274621.75</v>
      </c>
      <c r="F755" s="6">
        <v>22.25</v>
      </c>
      <c r="G755" s="6">
        <v>22.530000686645508</v>
      </c>
      <c r="H755" s="6">
        <v>33.559122123530756</v>
      </c>
      <c r="I755" s="6">
        <v>-0.34788999523952036</v>
      </c>
      <c r="J755" s="6">
        <v>434899000</v>
      </c>
      <c r="K755" s="6" t="e">
        <v>#N/A</v>
      </c>
      <c r="L755" t="s">
        <v>6518</v>
      </c>
      <c r="M755" t="s">
        <v>7048</v>
      </c>
      <c r="N755" s="4" t="s">
        <v>8966</v>
      </c>
      <c r="O755" s="4" t="s">
        <v>8967</v>
      </c>
      <c r="P755" s="4" t="s">
        <v>233</v>
      </c>
    </row>
    <row r="756" spans="1:16" x14ac:dyDescent="0.35">
      <c r="A756" t="s">
        <v>8968</v>
      </c>
      <c r="B756" t="s">
        <v>4994</v>
      </c>
      <c r="C756" t="s">
        <v>16</v>
      </c>
      <c r="D756" s="6">
        <v>67735991.710025311</v>
      </c>
      <c r="E756" s="6">
        <v>-54007008.289974689</v>
      </c>
      <c r="F756" s="6">
        <v>1.5199999809265137</v>
      </c>
      <c r="G756" s="6">
        <v>1.5199999809265137</v>
      </c>
      <c r="H756" s="6" t="e">
        <v>#N/A</v>
      </c>
      <c r="I756" s="6">
        <v>-0.7506870061008295</v>
      </c>
      <c r="J756" s="6">
        <v>19943000</v>
      </c>
      <c r="K756" s="6">
        <v>43.548387096774192</v>
      </c>
      <c r="L756" t="s">
        <v>17</v>
      </c>
      <c r="M756" t="s">
        <v>18</v>
      </c>
      <c r="N756" s="4" t="s">
        <v>4995</v>
      </c>
      <c r="O756" s="4" t="s">
        <v>4996</v>
      </c>
      <c r="P756" s="4" t="s">
        <v>233</v>
      </c>
    </row>
    <row r="757" spans="1:16" x14ac:dyDescent="0.35">
      <c r="A757" t="s">
        <v>8969</v>
      </c>
      <c r="B757" t="s">
        <v>8970</v>
      </c>
      <c r="C757" t="s">
        <v>16</v>
      </c>
      <c r="D757" s="6">
        <v>1232863433.9440584</v>
      </c>
      <c r="E757" s="6">
        <v>1712734433.9440584</v>
      </c>
      <c r="F757" s="6">
        <v>14.300000190734863</v>
      </c>
      <c r="G757" s="6">
        <v>14.060000419616699</v>
      </c>
      <c r="H757" s="6">
        <v>94.764118135299711</v>
      </c>
      <c r="I757" s="6">
        <v>3.2032155478947253</v>
      </c>
      <c r="J757" s="6">
        <v>523164000</v>
      </c>
      <c r="K757" s="6">
        <v>-30.739425889206849</v>
      </c>
      <c r="L757" t="s">
        <v>6529</v>
      </c>
      <c r="M757" t="s">
        <v>6646</v>
      </c>
      <c r="N757" s="4" t="s">
        <v>8971</v>
      </c>
      <c r="O757" s="4" t="s">
        <v>8972</v>
      </c>
      <c r="P757" s="4" t="s">
        <v>233</v>
      </c>
    </row>
    <row r="758" spans="1:16" x14ac:dyDescent="0.35">
      <c r="A758" t="s">
        <v>8973</v>
      </c>
      <c r="B758" t="s">
        <v>8974</v>
      </c>
      <c r="C758" t="s">
        <v>16</v>
      </c>
      <c r="D758" s="6">
        <v>249357890.5</v>
      </c>
      <c r="E758" s="6">
        <v>215639641.5</v>
      </c>
      <c r="F758" s="6">
        <v>9.5</v>
      </c>
      <c r="G758" s="6">
        <v>9.5799999237060547</v>
      </c>
      <c r="H758" s="6" t="e">
        <v>#N/A</v>
      </c>
      <c r="I758" s="6">
        <v>0.2916111799411143</v>
      </c>
      <c r="J758" s="6">
        <v>908523</v>
      </c>
      <c r="K758" s="6">
        <v>97.056638540356275</v>
      </c>
      <c r="L758" t="s">
        <v>6523</v>
      </c>
      <c r="M758" t="s">
        <v>6524</v>
      </c>
      <c r="N758" s="4" t="s">
        <v>8975</v>
      </c>
      <c r="O758" s="4" t="s">
        <v>8976</v>
      </c>
      <c r="P758" s="4" t="s">
        <v>233</v>
      </c>
    </row>
    <row r="759" spans="1:16" x14ac:dyDescent="0.35">
      <c r="A759" t="s">
        <v>8977</v>
      </c>
      <c r="B759" t="s">
        <v>8978</v>
      </c>
      <c r="C759" t="s">
        <v>16</v>
      </c>
      <c r="D759" s="6">
        <v>825074671.24724579</v>
      </c>
      <c r="E759" s="6" t="e">
        <v>#N/A</v>
      </c>
      <c r="F759" s="6">
        <v>19.319999694824219</v>
      </c>
      <c r="G759" s="6">
        <v>19.379999160766602</v>
      </c>
      <c r="H759" s="6">
        <v>18.379100047017221</v>
      </c>
      <c r="I759" s="6">
        <v>0.35941926115804912</v>
      </c>
      <c r="J759" s="6">
        <v>304046000</v>
      </c>
      <c r="K759" s="6">
        <v>365.23260869565217</v>
      </c>
      <c r="L759" t="s">
        <v>6529</v>
      </c>
      <c r="M759" t="s">
        <v>6530</v>
      </c>
      <c r="N759" s="4" t="s">
        <v>8979</v>
      </c>
      <c r="O759" s="4" t="s">
        <v>8980</v>
      </c>
      <c r="P759" s="4" t="s">
        <v>233</v>
      </c>
    </row>
    <row r="760" spans="1:16" x14ac:dyDescent="0.35">
      <c r="A760" t="s">
        <v>8981</v>
      </c>
      <c r="B760" t="s">
        <v>8982</v>
      </c>
      <c r="C760" t="s">
        <v>16</v>
      </c>
      <c r="D760" s="6">
        <v>3901653153.8051753</v>
      </c>
      <c r="E760" s="6">
        <v>6464753153.8051748</v>
      </c>
      <c r="F760" s="6">
        <v>31.889999389648438</v>
      </c>
      <c r="G760" s="6">
        <v>31.079999923706055</v>
      </c>
      <c r="H760" s="6">
        <v>20.318831326075156</v>
      </c>
      <c r="I760" s="6">
        <v>1.0855729588237999</v>
      </c>
      <c r="J760" s="6">
        <v>2874100000</v>
      </c>
      <c r="K760" s="6">
        <v>125.28735632183911</v>
      </c>
      <c r="L760" t="s">
        <v>6514</v>
      </c>
      <c r="M760" t="s">
        <v>6690</v>
      </c>
      <c r="N760" s="4" t="s">
        <v>8983</v>
      </c>
      <c r="O760" s="4" t="s">
        <v>8984</v>
      </c>
      <c r="P760" s="4" t="s">
        <v>233</v>
      </c>
    </row>
    <row r="761" spans="1:16" x14ac:dyDescent="0.35">
      <c r="A761" t="s">
        <v>8985</v>
      </c>
      <c r="B761" t="s">
        <v>8986</v>
      </c>
      <c r="C761" t="s">
        <v>16</v>
      </c>
      <c r="D761" s="6">
        <v>3598230097.8848987</v>
      </c>
      <c r="E761" s="6">
        <v>3136522097.8848987</v>
      </c>
      <c r="F761" s="6">
        <v>10.090000152587891</v>
      </c>
      <c r="G761" s="6">
        <v>9.9200000762939453</v>
      </c>
      <c r="H761" s="6">
        <v>19.250765838167439</v>
      </c>
      <c r="I761" s="6">
        <v>0.95562643965671179</v>
      </c>
      <c r="J761" s="6">
        <v>940297000</v>
      </c>
      <c r="K761" s="6">
        <v>146.66666666666669</v>
      </c>
      <c r="L761" t="s">
        <v>6529</v>
      </c>
      <c r="M761" t="s">
        <v>6639</v>
      </c>
      <c r="N761" s="4" t="s">
        <v>8987</v>
      </c>
      <c r="O761" s="4" t="s">
        <v>8988</v>
      </c>
      <c r="P761" s="4" t="s">
        <v>233</v>
      </c>
    </row>
    <row r="762" spans="1:16" x14ac:dyDescent="0.35">
      <c r="A762" t="s">
        <v>8989</v>
      </c>
      <c r="B762" t="s">
        <v>8990</v>
      </c>
      <c r="C762" t="s">
        <v>16</v>
      </c>
      <c r="D762" s="6">
        <v>1936275875.9773209</v>
      </c>
      <c r="E762" s="6" t="e">
        <v>#N/A</v>
      </c>
      <c r="F762" s="6">
        <v>42.310001373291016</v>
      </c>
      <c r="G762" s="6">
        <v>43.049999237060547</v>
      </c>
      <c r="H762" s="6">
        <v>6.7158732338557172</v>
      </c>
      <c r="I762" s="6">
        <v>5.936166988238778E-2</v>
      </c>
      <c r="J762" s="6">
        <v>1450832000</v>
      </c>
      <c r="K762" s="6">
        <v>11.660777385159014</v>
      </c>
      <c r="L762" t="s">
        <v>6529</v>
      </c>
      <c r="M762" t="s">
        <v>6639</v>
      </c>
      <c r="N762" s="4" t="s">
        <v>8991</v>
      </c>
      <c r="O762" s="4" t="s">
        <v>8992</v>
      </c>
      <c r="P762" s="4" t="s">
        <v>233</v>
      </c>
    </row>
    <row r="763" spans="1:16" x14ac:dyDescent="0.35">
      <c r="A763" t="s">
        <v>8993</v>
      </c>
      <c r="B763" t="s">
        <v>8994</v>
      </c>
      <c r="C763" t="s">
        <v>16</v>
      </c>
      <c r="D763" s="6">
        <v>136200450.59817311</v>
      </c>
      <c r="E763" s="6">
        <v>189192450.59817311</v>
      </c>
      <c r="F763" s="6">
        <v>2.8299999237060547</v>
      </c>
      <c r="G763" s="6">
        <v>2.9600000381469727</v>
      </c>
      <c r="H763" s="6" t="e">
        <v>#N/A</v>
      </c>
      <c r="I763" s="6">
        <v>-0.24874843865497431</v>
      </c>
      <c r="J763" s="6">
        <v>187515000</v>
      </c>
      <c r="K763" s="6" t="e">
        <v>#N/A</v>
      </c>
      <c r="L763" t="s">
        <v>6523</v>
      </c>
      <c r="M763" t="s">
        <v>6588</v>
      </c>
      <c r="N763" s="4" t="s">
        <v>8995</v>
      </c>
      <c r="O763" s="4" t="s">
        <v>8996</v>
      </c>
      <c r="P763" s="4" t="s">
        <v>233</v>
      </c>
    </row>
    <row r="764" spans="1:16" x14ac:dyDescent="0.35">
      <c r="A764" t="s">
        <v>8997</v>
      </c>
      <c r="B764" t="s">
        <v>8998</v>
      </c>
      <c r="C764" t="s">
        <v>16</v>
      </c>
      <c r="D764" s="6">
        <v>1624939870.1128843</v>
      </c>
      <c r="E764" s="6" t="e">
        <v>#N/A</v>
      </c>
      <c r="F764" s="6">
        <v>66.279998779296875</v>
      </c>
      <c r="G764" s="6">
        <v>66.620002746582031</v>
      </c>
      <c r="H764" s="6">
        <v>12.24225531960855</v>
      </c>
      <c r="I764" s="6">
        <v>0.30855869655097545</v>
      </c>
      <c r="J764" s="6">
        <v>570324000</v>
      </c>
      <c r="K764" s="6">
        <v>7.6348906560636163</v>
      </c>
      <c r="L764" t="s">
        <v>6529</v>
      </c>
      <c r="M764" t="s">
        <v>6530</v>
      </c>
      <c r="N764" s="4" t="s">
        <v>8999</v>
      </c>
      <c r="O764" s="4" t="s">
        <v>9000</v>
      </c>
      <c r="P764" s="4" t="s">
        <v>233</v>
      </c>
    </row>
    <row r="765" spans="1:16" x14ac:dyDescent="0.35">
      <c r="A765" t="s">
        <v>9001</v>
      </c>
      <c r="B765" t="s">
        <v>62</v>
      </c>
      <c r="C765" t="s">
        <v>16</v>
      </c>
      <c r="D765" s="6">
        <v>812066397.44329453</v>
      </c>
      <c r="E765" s="6">
        <v>620315397.44329453</v>
      </c>
      <c r="F765" s="6">
        <v>16.479999542236328</v>
      </c>
      <c r="G765" s="6">
        <v>14.5</v>
      </c>
      <c r="H765" s="6" t="e">
        <v>#N/A</v>
      </c>
      <c r="I765" s="6">
        <v>-0.47323017937250389</v>
      </c>
      <c r="J765" s="6">
        <v>313901000</v>
      </c>
      <c r="K765" s="6" t="e">
        <v>#N/A</v>
      </c>
      <c r="L765" t="s">
        <v>17</v>
      </c>
      <c r="M765" t="s">
        <v>27</v>
      </c>
      <c r="N765" s="4" t="s">
        <v>63</v>
      </c>
      <c r="O765" s="4" t="s">
        <v>64</v>
      </c>
      <c r="P765" s="4" t="s">
        <v>233</v>
      </c>
    </row>
    <row r="766" spans="1:16" x14ac:dyDescent="0.35">
      <c r="A766" t="s">
        <v>9002</v>
      </c>
      <c r="B766" t="s">
        <v>5095</v>
      </c>
      <c r="C766" t="s">
        <v>16</v>
      </c>
      <c r="D766" s="6">
        <v>36600605.450783372</v>
      </c>
      <c r="E766" s="6">
        <v>-16369394.549216628</v>
      </c>
      <c r="F766" s="6">
        <v>0.61909997463226318</v>
      </c>
      <c r="G766" s="6">
        <v>0.60110002756118774</v>
      </c>
      <c r="H766" s="6" t="e">
        <v>#N/A</v>
      </c>
      <c r="I766" s="6">
        <v>-0.78634934725281513</v>
      </c>
      <c r="J766" s="6">
        <v>0</v>
      </c>
      <c r="K766" s="6">
        <v>67.237163814180931</v>
      </c>
      <c r="L766" t="s">
        <v>17</v>
      </c>
      <c r="M766" t="s">
        <v>18</v>
      </c>
      <c r="N766" s="4" t="s">
        <v>5096</v>
      </c>
      <c r="O766" s="4" t="s">
        <v>5097</v>
      </c>
      <c r="P766" s="4" t="s">
        <v>233</v>
      </c>
    </row>
    <row r="767" spans="1:16" x14ac:dyDescent="0.35">
      <c r="A767" t="s">
        <v>9003</v>
      </c>
      <c r="B767" t="s">
        <v>9004</v>
      </c>
      <c r="C767" t="s">
        <v>16</v>
      </c>
      <c r="D767" s="6">
        <v>1447278121.2419529</v>
      </c>
      <c r="E767" s="6">
        <v>1752131121.2419529</v>
      </c>
      <c r="F767" s="6">
        <v>15.050000190734863</v>
      </c>
      <c r="G767" s="6">
        <v>14.569999694824219</v>
      </c>
      <c r="H767" s="6" t="e">
        <v>#N/A</v>
      </c>
      <c r="I767" s="6">
        <v>2.0339051335446765</v>
      </c>
      <c r="J767" s="6">
        <v>390629000</v>
      </c>
      <c r="K767" s="6">
        <v>-14.876033057851235</v>
      </c>
      <c r="L767" t="s">
        <v>6518</v>
      </c>
      <c r="M767" t="s">
        <v>9005</v>
      </c>
      <c r="N767" s="4" t="s">
        <v>9006</v>
      </c>
      <c r="O767" s="4" t="s">
        <v>9007</v>
      </c>
      <c r="P767" s="4" t="s">
        <v>233</v>
      </c>
    </row>
    <row r="768" spans="1:16" x14ac:dyDescent="0.35">
      <c r="A768" t="s">
        <v>9008</v>
      </c>
      <c r="B768" t="s">
        <v>9009</v>
      </c>
      <c r="C768" t="s">
        <v>16</v>
      </c>
      <c r="D768" s="6">
        <v>1473274138.5426521</v>
      </c>
      <c r="E768" s="6">
        <v>3267821138.5426526</v>
      </c>
      <c r="F768" s="6">
        <v>11.520000457763672</v>
      </c>
      <c r="G768" s="6">
        <v>11.560000419616699</v>
      </c>
      <c r="H768" s="6">
        <v>15.036711317035305</v>
      </c>
      <c r="I768" s="6">
        <v>0.17341947122400403</v>
      </c>
      <c r="J768" s="6">
        <v>506733000</v>
      </c>
      <c r="K768" s="6">
        <v>6.1728395061728305</v>
      </c>
      <c r="L768" t="s">
        <v>6529</v>
      </c>
      <c r="M768" t="s">
        <v>8169</v>
      </c>
      <c r="N768" s="4" t="s">
        <v>9010</v>
      </c>
      <c r="O768" s="4" t="s">
        <v>9011</v>
      </c>
      <c r="P768" s="4" t="s">
        <v>233</v>
      </c>
    </row>
    <row r="769" spans="1:16" x14ac:dyDescent="0.35">
      <c r="A769" t="s">
        <v>9012</v>
      </c>
      <c r="B769" t="s">
        <v>9013</v>
      </c>
      <c r="C769" t="s">
        <v>16</v>
      </c>
      <c r="D769" s="6">
        <v>6938903404.4002075</v>
      </c>
      <c r="E769" s="6">
        <v>8474820404.4002075</v>
      </c>
      <c r="F769" s="6">
        <v>59.830001831054688</v>
      </c>
      <c r="G769" s="6">
        <v>59.340000152587891</v>
      </c>
      <c r="H769" s="6" t="e">
        <v>#N/A</v>
      </c>
      <c r="I769" s="6">
        <v>0.70081617132353125</v>
      </c>
      <c r="J769" s="6">
        <v>1153911000</v>
      </c>
      <c r="K769" s="6" t="e">
        <v>#N/A</v>
      </c>
      <c r="L769" t="s">
        <v>6529</v>
      </c>
      <c r="M769" t="s">
        <v>6568</v>
      </c>
      <c r="N769" s="4" t="s">
        <v>9014</v>
      </c>
      <c r="O769" s="4" t="s">
        <v>9015</v>
      </c>
      <c r="P769" s="4" t="s">
        <v>233</v>
      </c>
    </row>
    <row r="770" spans="1:16" x14ac:dyDescent="0.35">
      <c r="A770" t="s">
        <v>9016</v>
      </c>
      <c r="B770" t="s">
        <v>9017</v>
      </c>
      <c r="C770" t="s">
        <v>16</v>
      </c>
      <c r="D770" s="6">
        <v>3315948910.0645075</v>
      </c>
      <c r="E770" s="6" t="e">
        <v>#N/A</v>
      </c>
      <c r="F770" s="6">
        <v>56.299999237060547</v>
      </c>
      <c r="G770" s="6">
        <v>57.520000457763672</v>
      </c>
      <c r="H770" s="6">
        <v>12.665187165162266</v>
      </c>
      <c r="I770" s="6">
        <v>0.33272210086705578</v>
      </c>
      <c r="J770" s="6">
        <v>1404502000</v>
      </c>
      <c r="K770" s="6">
        <v>0.22727272727272241</v>
      </c>
      <c r="L770" t="s">
        <v>6529</v>
      </c>
      <c r="M770" t="s">
        <v>6530</v>
      </c>
      <c r="N770" s="4" t="s">
        <v>9018</v>
      </c>
      <c r="O770" s="4" t="s">
        <v>9019</v>
      </c>
      <c r="P770" s="4" t="s">
        <v>233</v>
      </c>
    </row>
    <row r="771" spans="1:16" x14ac:dyDescent="0.35">
      <c r="A771" t="s">
        <v>9023</v>
      </c>
      <c r="B771" t="s">
        <v>9024</v>
      </c>
      <c r="C771" t="s">
        <v>16</v>
      </c>
      <c r="D771" s="6">
        <v>2196838145.2384644</v>
      </c>
      <c r="E771" s="6" t="e">
        <v>#N/A</v>
      </c>
      <c r="F771" s="6">
        <v>74.69000244140625</v>
      </c>
      <c r="G771" s="6">
        <v>76.19000244140625</v>
      </c>
      <c r="H771" s="6">
        <v>19.187271110147943</v>
      </c>
      <c r="I771" s="6">
        <v>0.59056321824462366</v>
      </c>
      <c r="J771" s="6">
        <v>508109000</v>
      </c>
      <c r="K771" s="6">
        <v>5.9620596205962118</v>
      </c>
      <c r="L771" t="s">
        <v>6529</v>
      </c>
      <c r="M771" t="s">
        <v>6530</v>
      </c>
      <c r="N771" s="4" t="s">
        <v>9025</v>
      </c>
      <c r="O771" s="4" t="s">
        <v>9026</v>
      </c>
      <c r="P771" s="4" t="s">
        <v>233</v>
      </c>
    </row>
    <row r="772" spans="1:16" x14ac:dyDescent="0.35">
      <c r="A772" t="s">
        <v>9027</v>
      </c>
      <c r="B772" t="s">
        <v>9028</v>
      </c>
      <c r="C772" t="s">
        <v>16</v>
      </c>
      <c r="D772" s="6">
        <v>148646027.95107079</v>
      </c>
      <c r="E772" s="6">
        <v>440925027.95107079</v>
      </c>
      <c r="F772" s="6">
        <v>3.0899999141693115</v>
      </c>
      <c r="G772" s="6">
        <v>3.190000057220459</v>
      </c>
      <c r="H772" s="6" t="e">
        <v>#N/A</v>
      </c>
      <c r="I772" s="6">
        <v>-0.36078702250932548</v>
      </c>
      <c r="J772" s="6">
        <v>1029118000</v>
      </c>
      <c r="K772" s="6" t="e">
        <v>#N/A</v>
      </c>
      <c r="L772" t="s">
        <v>6547</v>
      </c>
      <c r="M772" t="s">
        <v>6651</v>
      </c>
      <c r="N772" s="4" t="s">
        <v>9029</v>
      </c>
      <c r="O772" s="4" t="s">
        <v>9030</v>
      </c>
      <c r="P772" s="4" t="s">
        <v>233</v>
      </c>
    </row>
    <row r="773" spans="1:16" x14ac:dyDescent="0.35">
      <c r="A773" t="s">
        <v>9031</v>
      </c>
      <c r="B773" t="s">
        <v>4352</v>
      </c>
      <c r="C773" t="s">
        <v>16</v>
      </c>
      <c r="D773" s="6">
        <v>666857664.04042244</v>
      </c>
      <c r="E773" s="6">
        <v>394488664.04042244</v>
      </c>
      <c r="F773" s="6">
        <v>9.4499998092651367</v>
      </c>
      <c r="G773" s="6">
        <v>9.4700002670288086</v>
      </c>
      <c r="H773" s="6" t="e">
        <v>#N/A</v>
      </c>
      <c r="I773" s="6">
        <v>-0.21198583884658806</v>
      </c>
      <c r="J773" s="6">
        <v>0</v>
      </c>
      <c r="K773" s="6">
        <v>9.5477386934673323</v>
      </c>
      <c r="L773" t="s">
        <v>17</v>
      </c>
      <c r="M773" t="s">
        <v>18</v>
      </c>
      <c r="N773" s="4" t="s">
        <v>4353</v>
      </c>
      <c r="O773" s="4" t="s">
        <v>4354</v>
      </c>
      <c r="P773" s="4" t="s">
        <v>233</v>
      </c>
    </row>
    <row r="774" spans="1:16" x14ac:dyDescent="0.35">
      <c r="A774" t="s">
        <v>9032</v>
      </c>
      <c r="B774" t="s">
        <v>3911</v>
      </c>
      <c r="C774" t="s">
        <v>16</v>
      </c>
      <c r="D774" s="6">
        <v>58867143.840765953</v>
      </c>
      <c r="E774" s="6">
        <v>83021143.840765953</v>
      </c>
      <c r="F774" s="6">
        <v>0.64999997615814209</v>
      </c>
      <c r="G774" s="6">
        <v>0.64999997615814209</v>
      </c>
      <c r="H774" s="6" t="e">
        <v>#N/A</v>
      </c>
      <c r="I774" s="6">
        <v>-0.88628120294687984</v>
      </c>
      <c r="J774" s="6">
        <v>9210000</v>
      </c>
      <c r="K774" s="6">
        <v>-71.028037383177562</v>
      </c>
      <c r="L774" t="s">
        <v>17</v>
      </c>
      <c r="M774" t="s">
        <v>87</v>
      </c>
      <c r="N774" s="4" t="s">
        <v>3912</v>
      </c>
      <c r="O774" s="4" t="s">
        <v>3913</v>
      </c>
      <c r="P774" s="4" t="s">
        <v>233</v>
      </c>
    </row>
    <row r="775" spans="1:16" x14ac:dyDescent="0.35">
      <c r="A775" t="s">
        <v>9033</v>
      </c>
      <c r="B775" t="s">
        <v>5103</v>
      </c>
      <c r="C775" t="s">
        <v>16</v>
      </c>
      <c r="D775" s="6">
        <v>678722022.9526062</v>
      </c>
      <c r="E775" s="6">
        <v>494825022.9526062</v>
      </c>
      <c r="F775" s="6">
        <v>24.680000305175781</v>
      </c>
      <c r="G775" s="6">
        <v>24.680000305175781</v>
      </c>
      <c r="H775" s="6" t="e">
        <v>#N/A</v>
      </c>
      <c r="I775" s="6">
        <v>0.25022233099650859</v>
      </c>
      <c r="J775" s="6">
        <v>0</v>
      </c>
      <c r="K775" s="6">
        <v>-19.021739130434781</v>
      </c>
      <c r="L775" t="s">
        <v>17</v>
      </c>
      <c r="M775" t="s">
        <v>18</v>
      </c>
      <c r="N775" s="4" t="s">
        <v>5104</v>
      </c>
      <c r="O775" s="4" t="s">
        <v>5105</v>
      </c>
      <c r="P775" s="4" t="s">
        <v>233</v>
      </c>
    </row>
    <row r="776" spans="1:16" x14ac:dyDescent="0.35">
      <c r="A776" t="s">
        <v>9034</v>
      </c>
      <c r="B776" t="s">
        <v>9035</v>
      </c>
      <c r="C776" t="s">
        <v>16</v>
      </c>
      <c r="D776" s="6">
        <v>98821946.307821274</v>
      </c>
      <c r="E776" s="6">
        <v>72220331.307821274</v>
      </c>
      <c r="F776" s="6">
        <v>31.510000228881836</v>
      </c>
      <c r="G776" s="6">
        <v>32.659999847412109</v>
      </c>
      <c r="H776" s="6">
        <v>11.678389616011081</v>
      </c>
      <c r="I776" s="6">
        <v>-0.13042573470799512</v>
      </c>
      <c r="J776" s="6">
        <v>44486041</v>
      </c>
      <c r="K776" s="6">
        <v>31.967067769148738</v>
      </c>
      <c r="L776" t="s">
        <v>6547</v>
      </c>
      <c r="M776" t="s">
        <v>6668</v>
      </c>
      <c r="N776" s="4" t="s">
        <v>9036</v>
      </c>
      <c r="O776" s="4" t="s">
        <v>9037</v>
      </c>
      <c r="P776" s="4" t="s">
        <v>233</v>
      </c>
    </row>
    <row r="777" spans="1:16" x14ac:dyDescent="0.35">
      <c r="A777" t="s">
        <v>9038</v>
      </c>
      <c r="B777" t="s">
        <v>9039</v>
      </c>
      <c r="C777" t="s">
        <v>16</v>
      </c>
      <c r="D777" s="6">
        <v>221473216.41682437</v>
      </c>
      <c r="E777" s="6" t="e">
        <v>#N/A</v>
      </c>
      <c r="F777" s="6">
        <v>21.809999465942383</v>
      </c>
      <c r="G777" s="6">
        <v>21.889999389648438</v>
      </c>
      <c r="H777" s="6">
        <v>12.534482451691025</v>
      </c>
      <c r="I777" s="6">
        <v>0.23517921520439633</v>
      </c>
      <c r="J777" s="6">
        <v>112040000</v>
      </c>
      <c r="K777" s="6">
        <v>-6.1845414769464711</v>
      </c>
      <c r="L777" t="s">
        <v>6529</v>
      </c>
      <c r="M777" t="s">
        <v>6530</v>
      </c>
      <c r="N777" s="4" t="s">
        <v>9040</v>
      </c>
      <c r="O777" s="4" t="s">
        <v>9041</v>
      </c>
      <c r="P777" s="4" t="s">
        <v>233</v>
      </c>
    </row>
    <row r="778" spans="1:16" x14ac:dyDescent="0.35">
      <c r="A778" t="s">
        <v>9042</v>
      </c>
      <c r="B778" t="s">
        <v>9043</v>
      </c>
      <c r="C778" t="s">
        <v>16</v>
      </c>
      <c r="D778" s="6">
        <v>614386042.70556641</v>
      </c>
      <c r="E778" s="6" t="e">
        <v>#N/A</v>
      </c>
      <c r="F778" s="6">
        <v>52.029998779296875</v>
      </c>
      <c r="G778" s="6">
        <v>52.779998779296875</v>
      </c>
      <c r="H778" s="6">
        <v>13.007499694824219</v>
      </c>
      <c r="I778" s="6">
        <v>0.41229182762889227</v>
      </c>
      <c r="J778" s="6">
        <v>307514000</v>
      </c>
      <c r="K778" s="6">
        <v>-21.259842519685041</v>
      </c>
      <c r="L778" t="s">
        <v>6529</v>
      </c>
      <c r="M778" t="s">
        <v>6530</v>
      </c>
      <c r="N778" s="4" t="s">
        <v>9044</v>
      </c>
      <c r="O778" s="4" t="s">
        <v>9045</v>
      </c>
      <c r="P778" s="4" t="s">
        <v>233</v>
      </c>
    </row>
    <row r="779" spans="1:16" x14ac:dyDescent="0.35">
      <c r="A779" t="s">
        <v>9046</v>
      </c>
      <c r="B779" t="s">
        <v>9047</v>
      </c>
      <c r="C779" t="s">
        <v>16</v>
      </c>
      <c r="D779" s="6">
        <v>1290979828.1599045</v>
      </c>
      <c r="E779" s="6">
        <v>1429890828.1599045</v>
      </c>
      <c r="F779" s="6">
        <v>27.290000915527344</v>
      </c>
      <c r="G779" s="6">
        <v>27.120000839233398</v>
      </c>
      <c r="H779" s="6" t="e">
        <v>#N/A</v>
      </c>
      <c r="I779" s="6">
        <v>-0.25761667971694335</v>
      </c>
      <c r="J779" s="6">
        <v>330372000</v>
      </c>
      <c r="K779" s="6">
        <v>64.754098360655746</v>
      </c>
      <c r="L779" t="s">
        <v>6518</v>
      </c>
      <c r="M779" t="s">
        <v>6519</v>
      </c>
      <c r="N779" s="4" t="s">
        <v>9048</v>
      </c>
      <c r="O779" s="4" t="s">
        <v>9049</v>
      </c>
      <c r="P779" s="4" t="s">
        <v>233</v>
      </c>
    </row>
    <row r="780" spans="1:16" x14ac:dyDescent="0.35">
      <c r="A780" t="s">
        <v>9050</v>
      </c>
      <c r="B780" t="s">
        <v>9051</v>
      </c>
      <c r="C780" t="s">
        <v>16</v>
      </c>
      <c r="D780" s="6">
        <v>466058083.79109573</v>
      </c>
      <c r="E780" s="6">
        <v>373762083.79109573</v>
      </c>
      <c r="F780" s="6">
        <v>32.979999542236328</v>
      </c>
      <c r="G780" s="6">
        <v>33.479999542236328</v>
      </c>
      <c r="H780" s="6" t="e">
        <v>#N/A</v>
      </c>
      <c r="I780" s="6">
        <v>5.9261098767508846E-2</v>
      </c>
      <c r="J780" s="6">
        <v>167951000</v>
      </c>
      <c r="K780" s="6" t="e">
        <v>#N/A</v>
      </c>
      <c r="L780" t="s">
        <v>6518</v>
      </c>
      <c r="M780" t="s">
        <v>7048</v>
      </c>
      <c r="N780" s="4" t="s">
        <v>9052</v>
      </c>
      <c r="O780" s="4" t="s">
        <v>9053</v>
      </c>
      <c r="P780" s="4" t="s">
        <v>233</v>
      </c>
    </row>
    <row r="781" spans="1:16" x14ac:dyDescent="0.35">
      <c r="A781" t="s">
        <v>9054</v>
      </c>
      <c r="B781" t="s">
        <v>9055</v>
      </c>
      <c r="C781" t="s">
        <v>16</v>
      </c>
      <c r="D781" s="6">
        <v>2183897569.5010128</v>
      </c>
      <c r="E781" s="6">
        <v>2996197569.5010128</v>
      </c>
      <c r="F781" s="6">
        <v>20.440000534057617</v>
      </c>
      <c r="G781" s="6">
        <v>20.860000610351563</v>
      </c>
      <c r="H781" s="6">
        <v>44.142769751529812</v>
      </c>
      <c r="I781" s="6">
        <v>0.40446963103969091</v>
      </c>
      <c r="J781" s="6">
        <v>1687800000</v>
      </c>
      <c r="K781" s="6" t="e">
        <v>#N/A</v>
      </c>
      <c r="L781" t="s">
        <v>6547</v>
      </c>
      <c r="M781" t="s">
        <v>6802</v>
      </c>
      <c r="N781" s="4" t="s">
        <v>9056</v>
      </c>
      <c r="O781" s="4" t="s">
        <v>9057</v>
      </c>
      <c r="P781" s="4" t="s">
        <v>233</v>
      </c>
    </row>
    <row r="782" spans="1:16" x14ac:dyDescent="0.35">
      <c r="A782" t="s">
        <v>9058</v>
      </c>
      <c r="B782" t="s">
        <v>9059</v>
      </c>
      <c r="C782" t="s">
        <v>16</v>
      </c>
      <c r="D782" s="6">
        <v>4438888496</v>
      </c>
      <c r="E782" s="6">
        <v>4972069496</v>
      </c>
      <c r="F782" s="6">
        <v>80.5</v>
      </c>
      <c r="G782" s="6">
        <v>81.400001525878906</v>
      </c>
      <c r="H782" s="6">
        <v>16.647788832415085</v>
      </c>
      <c r="I782" s="6">
        <v>0.31736147559717431</v>
      </c>
      <c r="J782" s="6">
        <v>2578094000</v>
      </c>
      <c r="K782" s="6">
        <v>17.493472584856395</v>
      </c>
      <c r="L782" t="s">
        <v>6540</v>
      </c>
      <c r="M782" t="s">
        <v>7034</v>
      </c>
      <c r="N782" s="4" t="s">
        <v>9060</v>
      </c>
      <c r="O782" s="4" t="s">
        <v>9061</v>
      </c>
      <c r="P782" s="4" t="s">
        <v>233</v>
      </c>
    </row>
    <row r="783" spans="1:16" x14ac:dyDescent="0.35">
      <c r="A783" t="s">
        <v>9062</v>
      </c>
      <c r="B783" t="s">
        <v>9063</v>
      </c>
      <c r="C783" t="s">
        <v>16</v>
      </c>
      <c r="D783" s="6">
        <v>415484670.18075562</v>
      </c>
      <c r="E783" s="6">
        <v>449528670.18075562</v>
      </c>
      <c r="F783" s="6">
        <v>15.489999771118164</v>
      </c>
      <c r="G783" s="6">
        <v>15.609999656677246</v>
      </c>
      <c r="H783" s="6" t="e">
        <v>#N/A</v>
      </c>
      <c r="I783" s="6">
        <v>-7.0599446503841534E-2</v>
      </c>
      <c r="J783" s="6">
        <v>40118000</v>
      </c>
      <c r="K783" s="6">
        <v>-100</v>
      </c>
      <c r="L783" t="s">
        <v>6623</v>
      </c>
      <c r="M783" t="s">
        <v>6634</v>
      </c>
      <c r="N783" s="4" t="s">
        <v>9064</v>
      </c>
      <c r="O783" s="4" t="s">
        <v>9065</v>
      </c>
      <c r="P783" s="4" t="s">
        <v>233</v>
      </c>
    </row>
    <row r="784" spans="1:16" x14ac:dyDescent="0.35">
      <c r="A784" t="s">
        <v>9066</v>
      </c>
      <c r="B784" t="s">
        <v>9067</v>
      </c>
      <c r="C784" t="s">
        <v>16</v>
      </c>
      <c r="D784" s="6">
        <v>2658496746.5428505</v>
      </c>
      <c r="E784" s="6">
        <v>4383104746.5428505</v>
      </c>
      <c r="F784" s="6">
        <v>21.190000534057617</v>
      </c>
      <c r="G784" s="6">
        <v>19.709999084472656</v>
      </c>
      <c r="H784" s="6">
        <v>188.90801128685325</v>
      </c>
      <c r="I784" s="6">
        <v>0.23585274184332095</v>
      </c>
      <c r="J784" s="6">
        <v>444966000</v>
      </c>
      <c r="K784" s="6">
        <v>-71.563981042654021</v>
      </c>
      <c r="L784" t="s">
        <v>6623</v>
      </c>
      <c r="M784" t="s">
        <v>7043</v>
      </c>
      <c r="N784" s="4" t="s">
        <v>9068</v>
      </c>
      <c r="O784" s="4" t="s">
        <v>9069</v>
      </c>
      <c r="P784" s="4" t="s">
        <v>233</v>
      </c>
    </row>
    <row r="785" spans="1:16" x14ac:dyDescent="0.35">
      <c r="A785" t="s">
        <v>9070</v>
      </c>
      <c r="B785" t="s">
        <v>9071</v>
      </c>
      <c r="C785" t="s">
        <v>16</v>
      </c>
      <c r="D785" s="6">
        <v>1822365206.5949478</v>
      </c>
      <c r="E785" s="6">
        <v>2135535206.5949478</v>
      </c>
      <c r="F785" s="6">
        <v>27.149999618530273</v>
      </c>
      <c r="G785" s="6">
        <v>26.959999084472656</v>
      </c>
      <c r="H785" s="6">
        <v>51.182860657309107</v>
      </c>
      <c r="I785" s="6">
        <v>2.7253182515748429</v>
      </c>
      <c r="J785" s="6">
        <v>280141000</v>
      </c>
      <c r="K785" s="6">
        <v>-43.589743589743591</v>
      </c>
      <c r="L785" t="s">
        <v>6523</v>
      </c>
      <c r="M785" t="s">
        <v>6588</v>
      </c>
      <c r="N785" s="4" t="s">
        <v>9072</v>
      </c>
      <c r="O785" s="4" t="s">
        <v>9073</v>
      </c>
      <c r="P785" s="4" t="s">
        <v>233</v>
      </c>
    </row>
    <row r="786" spans="1:16" x14ac:dyDescent="0.35">
      <c r="A786" t="s">
        <v>9074</v>
      </c>
      <c r="B786" t="s">
        <v>9075</v>
      </c>
      <c r="C786" t="s">
        <v>16</v>
      </c>
      <c r="D786" s="6">
        <v>759652737.79487622</v>
      </c>
      <c r="E786" s="6">
        <v>817698737.79487622</v>
      </c>
      <c r="F786" s="6">
        <v>81.599998474121094</v>
      </c>
      <c r="G786" s="6">
        <v>78.900001525878906</v>
      </c>
      <c r="H786" s="6">
        <v>37.75942179686777</v>
      </c>
      <c r="I786" s="6">
        <v>-0.27351480158214736</v>
      </c>
      <c r="J786" s="6">
        <v>272200000</v>
      </c>
      <c r="K786" s="6">
        <v>43.181818181818166</v>
      </c>
      <c r="L786" t="s">
        <v>6547</v>
      </c>
      <c r="M786" t="s">
        <v>6875</v>
      </c>
      <c r="N786" s="4" t="s">
        <v>9076</v>
      </c>
      <c r="O786" s="4" t="s">
        <v>9077</v>
      </c>
      <c r="P786" s="4" t="s">
        <v>233</v>
      </c>
    </row>
    <row r="787" spans="1:16" x14ac:dyDescent="0.35">
      <c r="A787" t="s">
        <v>9078</v>
      </c>
      <c r="B787" t="s">
        <v>2685</v>
      </c>
      <c r="C787" t="s">
        <v>16</v>
      </c>
      <c r="D787" s="6">
        <v>2152999546.9537158</v>
      </c>
      <c r="E787" s="6">
        <v>1787942546.9537158</v>
      </c>
      <c r="F787" s="6">
        <v>38.990001678466797</v>
      </c>
      <c r="G787" s="6">
        <v>38.400001525878906</v>
      </c>
      <c r="H787" s="6">
        <v>30.8496443298584</v>
      </c>
      <c r="I787" s="6">
        <v>0.37411173349818649</v>
      </c>
      <c r="J787" s="6">
        <v>651972000</v>
      </c>
      <c r="K787" s="6">
        <v>129.78723404255322</v>
      </c>
      <c r="L787" t="s">
        <v>17</v>
      </c>
      <c r="M787" t="s">
        <v>87</v>
      </c>
      <c r="N787" s="4" t="s">
        <v>2686</v>
      </c>
      <c r="O787" s="4" t="s">
        <v>2687</v>
      </c>
      <c r="P787" s="4" t="s">
        <v>233</v>
      </c>
    </row>
    <row r="788" spans="1:16" x14ac:dyDescent="0.35">
      <c r="A788" t="s">
        <v>9079</v>
      </c>
      <c r="B788" t="s">
        <v>9080</v>
      </c>
      <c r="C788" t="s">
        <v>16</v>
      </c>
      <c r="D788" s="6">
        <v>843511166.16676569</v>
      </c>
      <c r="E788" s="6">
        <v>3713745166.1667652</v>
      </c>
      <c r="F788" s="6">
        <v>3.059999942779541</v>
      </c>
      <c r="G788" s="6">
        <v>2.9500000476837158</v>
      </c>
      <c r="H788" s="6" t="e">
        <v>#N/A</v>
      </c>
      <c r="I788" s="6">
        <v>0.1329458058945574</v>
      </c>
      <c r="J788" s="6">
        <v>6238808000</v>
      </c>
      <c r="K788" s="6">
        <v>91.24726477024069</v>
      </c>
      <c r="L788" t="s">
        <v>6540</v>
      </c>
      <c r="M788" t="s">
        <v>6541</v>
      </c>
      <c r="N788" s="4" t="s">
        <v>9081</v>
      </c>
      <c r="O788" s="4" t="s">
        <v>9082</v>
      </c>
      <c r="P788" s="4" t="s">
        <v>233</v>
      </c>
    </row>
    <row r="789" spans="1:16" x14ac:dyDescent="0.35">
      <c r="A789" t="s">
        <v>9083</v>
      </c>
      <c r="B789" t="s">
        <v>9084</v>
      </c>
      <c r="C789" t="s">
        <v>16</v>
      </c>
      <c r="D789" s="6">
        <v>1040721613.9859772</v>
      </c>
      <c r="E789" s="6" t="e">
        <v>#N/A</v>
      </c>
      <c r="F789" s="6">
        <v>9.9399995803833008</v>
      </c>
      <c r="G789" s="6">
        <v>9.75</v>
      </c>
      <c r="H789" s="6" t="e">
        <v>#N/A</v>
      </c>
      <c r="I789" s="6">
        <v>-0.26471713096786953</v>
      </c>
      <c r="J789" s="6">
        <v>1316379000</v>
      </c>
      <c r="K789" s="6" t="e">
        <v>#N/A</v>
      </c>
      <c r="L789" t="s">
        <v>6518</v>
      </c>
      <c r="M789" t="s">
        <v>9005</v>
      </c>
      <c r="N789" s="4" t="s">
        <v>9085</v>
      </c>
      <c r="O789" s="4" t="s">
        <v>9086</v>
      </c>
      <c r="P789" s="4" t="s">
        <v>233</v>
      </c>
    </row>
    <row r="790" spans="1:16" x14ac:dyDescent="0.35">
      <c r="A790" t="s">
        <v>9087</v>
      </c>
      <c r="B790" t="s">
        <v>9088</v>
      </c>
      <c r="C790" t="s">
        <v>16</v>
      </c>
      <c r="D790" s="6">
        <v>4413207890.433609</v>
      </c>
      <c r="E790" s="6">
        <v>5250338890.433609</v>
      </c>
      <c r="F790" s="6">
        <v>67.860000610351563</v>
      </c>
      <c r="G790" s="6">
        <v>67.650001525878906</v>
      </c>
      <c r="H790" s="6">
        <v>14.768486802564215</v>
      </c>
      <c r="I790" s="6">
        <v>0.88784239299918144</v>
      </c>
      <c r="J790" s="6">
        <v>903918000</v>
      </c>
      <c r="K790" s="6">
        <v>38.819875776397502</v>
      </c>
      <c r="L790" t="s">
        <v>6529</v>
      </c>
      <c r="M790" t="s">
        <v>6568</v>
      </c>
      <c r="N790" s="4" t="s">
        <v>9089</v>
      </c>
      <c r="O790" s="4" t="s">
        <v>9090</v>
      </c>
      <c r="P790" s="4" t="s">
        <v>233</v>
      </c>
    </row>
    <row r="791" spans="1:16" x14ac:dyDescent="0.35">
      <c r="A791" t="s">
        <v>9091</v>
      </c>
      <c r="B791" t="s">
        <v>9092</v>
      </c>
      <c r="C791" t="s">
        <v>16</v>
      </c>
      <c r="D791" s="6">
        <v>1870874508.7490082</v>
      </c>
      <c r="E791" s="6">
        <v>3151874508.7490082</v>
      </c>
      <c r="F791" s="6">
        <v>18.610000610351563</v>
      </c>
      <c r="G791" s="6">
        <v>19.280000686645508</v>
      </c>
      <c r="H791" s="6" t="e">
        <v>#N/A</v>
      </c>
      <c r="I791" s="6">
        <v>-0.4465805391174138</v>
      </c>
      <c r="J791" s="6">
        <v>7865000000</v>
      </c>
      <c r="K791" s="6">
        <v>-91.210191082802538</v>
      </c>
      <c r="L791" t="s">
        <v>6523</v>
      </c>
      <c r="M791" t="s">
        <v>6524</v>
      </c>
      <c r="N791" s="4" t="s">
        <v>9093</v>
      </c>
      <c r="O791" s="4" t="s">
        <v>9094</v>
      </c>
      <c r="P791" s="4" t="s">
        <v>233</v>
      </c>
    </row>
    <row r="792" spans="1:16" x14ac:dyDescent="0.35">
      <c r="A792" t="s">
        <v>9095</v>
      </c>
      <c r="B792" t="s">
        <v>9096</v>
      </c>
      <c r="C792" t="s">
        <v>16</v>
      </c>
      <c r="D792" s="6">
        <v>1711939661.9471433</v>
      </c>
      <c r="E792" s="6">
        <v>1726752611.9471433</v>
      </c>
      <c r="F792" s="6">
        <v>305.32000732421875</v>
      </c>
      <c r="G792" s="6">
        <v>256.3900146484375</v>
      </c>
      <c r="H792" s="6">
        <v>43.746057284841491</v>
      </c>
      <c r="I792" s="6">
        <v>5.4630427824200671</v>
      </c>
      <c r="J792" s="6">
        <v>221806305</v>
      </c>
      <c r="K792" s="6">
        <v>2160.685800542602</v>
      </c>
      <c r="L792" t="s">
        <v>6529</v>
      </c>
      <c r="M792" t="s">
        <v>6639</v>
      </c>
      <c r="N792" s="4" t="s">
        <v>9097</v>
      </c>
      <c r="O792" s="4" t="s">
        <v>9098</v>
      </c>
      <c r="P792" s="4" t="s">
        <v>233</v>
      </c>
    </row>
    <row r="793" spans="1:16" x14ac:dyDescent="0.35">
      <c r="A793" t="s">
        <v>9099</v>
      </c>
      <c r="B793" t="s">
        <v>9100</v>
      </c>
      <c r="C793" t="s">
        <v>16</v>
      </c>
      <c r="D793" s="6">
        <v>218004703.9586668</v>
      </c>
      <c r="E793" s="6" t="e">
        <v>#N/A</v>
      </c>
      <c r="F793" s="6">
        <v>15.449999809265137</v>
      </c>
      <c r="G793" s="6">
        <v>15.470000267028809</v>
      </c>
      <c r="H793" s="6">
        <v>13.246600090081285</v>
      </c>
      <c r="I793" s="6">
        <v>0.14544728561422349</v>
      </c>
      <c r="J793" s="6">
        <v>125419000</v>
      </c>
      <c r="K793" s="6">
        <v>-11.818181818181827</v>
      </c>
      <c r="L793" t="s">
        <v>6529</v>
      </c>
      <c r="M793" t="s">
        <v>6530</v>
      </c>
      <c r="N793" s="4" t="s">
        <v>9101</v>
      </c>
      <c r="O793" s="4" t="s">
        <v>9102</v>
      </c>
      <c r="P793" s="4" t="s">
        <v>233</v>
      </c>
    </row>
    <row r="794" spans="1:16" x14ac:dyDescent="0.35">
      <c r="A794" t="s">
        <v>9103</v>
      </c>
      <c r="B794" t="s">
        <v>4618</v>
      </c>
      <c r="C794" t="s">
        <v>16</v>
      </c>
      <c r="D794" s="6">
        <v>1949645078.6244202</v>
      </c>
      <c r="E794" s="6">
        <v>1949286078.6244202</v>
      </c>
      <c r="F794" s="6">
        <v>70.970001220703125</v>
      </c>
      <c r="G794" s="6">
        <v>65.75</v>
      </c>
      <c r="H794" s="6" t="e">
        <v>#N/A</v>
      </c>
      <c r="I794" s="6">
        <v>15.847604251335454</v>
      </c>
      <c r="J794" s="6">
        <v>267228000</v>
      </c>
      <c r="K794" s="6">
        <v>97.55289034957616</v>
      </c>
      <c r="L794" t="s">
        <v>17</v>
      </c>
      <c r="M794" t="s">
        <v>40</v>
      </c>
      <c r="N794" s="4" t="s">
        <v>4619</v>
      </c>
      <c r="O794" s="4" t="s">
        <v>4620</v>
      </c>
      <c r="P794" s="4" t="s">
        <v>233</v>
      </c>
    </row>
    <row r="795" spans="1:16" x14ac:dyDescent="0.35">
      <c r="A795" t="s">
        <v>9104</v>
      </c>
      <c r="B795" t="s">
        <v>9105</v>
      </c>
      <c r="C795" t="s">
        <v>16</v>
      </c>
      <c r="D795" s="6">
        <v>999397759.25627935</v>
      </c>
      <c r="E795" s="6">
        <v>855900759.25627935</v>
      </c>
      <c r="F795" s="6">
        <v>5.0300002098083496</v>
      </c>
      <c r="G795" s="6">
        <v>4.940000057220459</v>
      </c>
      <c r="H795" s="6" t="e">
        <v>#N/A</v>
      </c>
      <c r="I795" s="6">
        <v>-0.27457841049262988</v>
      </c>
      <c r="J795" s="6">
        <v>38657000</v>
      </c>
      <c r="K795" s="6" t="e">
        <v>#N/A</v>
      </c>
      <c r="L795" t="s">
        <v>6523</v>
      </c>
      <c r="M795" t="s">
        <v>6524</v>
      </c>
      <c r="N795" s="4" t="s">
        <v>9106</v>
      </c>
      <c r="O795" s="4" t="s">
        <v>9107</v>
      </c>
      <c r="P795" s="4" t="s">
        <v>233</v>
      </c>
    </row>
    <row r="796" spans="1:16" x14ac:dyDescent="0.35">
      <c r="A796" t="s">
        <v>9108</v>
      </c>
      <c r="B796" t="s">
        <v>5734</v>
      </c>
      <c r="C796" t="s">
        <v>16</v>
      </c>
      <c r="D796" s="6">
        <v>2129060024</v>
      </c>
      <c r="E796" s="6">
        <v>1588646024</v>
      </c>
      <c r="F796" s="6">
        <v>28</v>
      </c>
      <c r="G796" s="6">
        <v>27.090000152587891</v>
      </c>
      <c r="H796" s="6" t="e">
        <v>#N/A</v>
      </c>
      <c r="I796" s="6">
        <v>-0.35907303389627732</v>
      </c>
      <c r="J796" s="6">
        <v>684000</v>
      </c>
      <c r="K796" s="6">
        <v>9.7724852672221019</v>
      </c>
      <c r="L796" t="s">
        <v>17</v>
      </c>
      <c r="M796" t="s">
        <v>18</v>
      </c>
      <c r="N796" s="4" t="s">
        <v>5735</v>
      </c>
      <c r="O796" s="4" t="s">
        <v>5736</v>
      </c>
      <c r="P796" s="4" t="s">
        <v>233</v>
      </c>
    </row>
    <row r="797" spans="1:16" x14ac:dyDescent="0.35">
      <c r="A797" t="s">
        <v>9109</v>
      </c>
      <c r="B797" t="s">
        <v>9110</v>
      </c>
      <c r="C797" t="s">
        <v>16</v>
      </c>
      <c r="D797" s="6">
        <v>383202635.41773224</v>
      </c>
      <c r="E797" s="6">
        <v>555161635.41773224</v>
      </c>
      <c r="F797" s="6">
        <v>24.979999542236328</v>
      </c>
      <c r="G797" s="6">
        <v>24.989999771118164</v>
      </c>
      <c r="H797" s="6">
        <v>7.1472223519329914</v>
      </c>
      <c r="I797" s="6">
        <v>-2.445402178599454E-2</v>
      </c>
      <c r="J797" s="6">
        <v>617462000</v>
      </c>
      <c r="K797" s="6">
        <v>25.327510917030594</v>
      </c>
      <c r="L797" t="s">
        <v>6540</v>
      </c>
      <c r="M797" t="s">
        <v>6541</v>
      </c>
      <c r="N797" s="4" t="s">
        <v>9111</v>
      </c>
      <c r="O797" s="4" t="s">
        <v>9112</v>
      </c>
      <c r="P797" s="4" t="s">
        <v>233</v>
      </c>
    </row>
    <row r="798" spans="1:16" x14ac:dyDescent="0.35">
      <c r="A798" t="s">
        <v>9113</v>
      </c>
      <c r="B798" t="s">
        <v>9114</v>
      </c>
      <c r="C798" t="s">
        <v>16</v>
      </c>
      <c r="D798" s="6">
        <v>916086780.14450061</v>
      </c>
      <c r="E798" s="6">
        <v>1665786780.1445007</v>
      </c>
      <c r="F798" s="6">
        <v>56.389999389648438</v>
      </c>
      <c r="G798" s="6">
        <v>55.389999389648438</v>
      </c>
      <c r="H798" s="6">
        <v>19.049510617644138</v>
      </c>
      <c r="I798" s="6">
        <v>0.16548095252654016</v>
      </c>
      <c r="J798" s="6">
        <v>494800000</v>
      </c>
      <c r="K798" s="6">
        <v>3.9007092198581677</v>
      </c>
      <c r="L798" t="s">
        <v>6719</v>
      </c>
      <c r="M798" t="s">
        <v>9115</v>
      </c>
      <c r="N798" s="4" t="s">
        <v>9116</v>
      </c>
      <c r="O798" s="4" t="s">
        <v>9117</v>
      </c>
      <c r="P798" s="4" t="s">
        <v>233</v>
      </c>
    </row>
    <row r="799" spans="1:16" x14ac:dyDescent="0.35">
      <c r="A799" t="s">
        <v>9118</v>
      </c>
      <c r="B799" t="s">
        <v>9119</v>
      </c>
      <c r="C799" t="s">
        <v>16</v>
      </c>
      <c r="D799" s="6">
        <v>1001939807.6093442</v>
      </c>
      <c r="E799" s="6">
        <v>865828807.60934424</v>
      </c>
      <c r="F799" s="6">
        <v>19.139999389648438</v>
      </c>
      <c r="G799" s="6">
        <v>18.520000457763672</v>
      </c>
      <c r="H799" s="6" t="e">
        <v>#N/A</v>
      </c>
      <c r="I799" s="6">
        <v>-0.30356307378847747</v>
      </c>
      <c r="J799" s="6">
        <v>204633000</v>
      </c>
      <c r="K799" s="6">
        <v>1.8404907975460141</v>
      </c>
      <c r="L799" t="s">
        <v>6518</v>
      </c>
      <c r="M799" t="s">
        <v>6789</v>
      </c>
      <c r="N799" s="4" t="s">
        <v>9120</v>
      </c>
      <c r="O799" s="4" t="s">
        <v>9121</v>
      </c>
      <c r="P799" s="4" t="s">
        <v>233</v>
      </c>
    </row>
    <row r="800" spans="1:16" x14ac:dyDescent="0.35">
      <c r="A800" t="s">
        <v>9122</v>
      </c>
      <c r="B800" t="s">
        <v>9123</v>
      </c>
      <c r="C800" t="s">
        <v>16</v>
      </c>
      <c r="D800" s="6">
        <v>567832019.25</v>
      </c>
      <c r="E800" s="6">
        <v>728293019.25</v>
      </c>
      <c r="F800" s="6">
        <v>4.75</v>
      </c>
      <c r="G800" s="6">
        <v>4.5399999618530273</v>
      </c>
      <c r="H800" s="6" t="e">
        <v>#N/A</v>
      </c>
      <c r="I800" s="6">
        <v>0.68199926034597191</v>
      </c>
      <c r="J800" s="6">
        <v>452099000</v>
      </c>
      <c r="K800" s="6">
        <v>60.919540229885044</v>
      </c>
      <c r="L800" t="s">
        <v>6518</v>
      </c>
      <c r="M800" t="s">
        <v>6519</v>
      </c>
      <c r="N800" s="4" t="s">
        <v>9124</v>
      </c>
      <c r="O800" s="4" t="s">
        <v>9125</v>
      </c>
      <c r="P800" s="4" t="s">
        <v>233</v>
      </c>
    </row>
    <row r="801" spans="1:16" x14ac:dyDescent="0.35">
      <c r="A801" t="s">
        <v>9126</v>
      </c>
      <c r="B801" t="s">
        <v>5161</v>
      </c>
      <c r="C801" t="s">
        <v>16</v>
      </c>
      <c r="D801" s="6">
        <v>573130211.12160301</v>
      </c>
      <c r="E801" s="6">
        <v>458051211.12160301</v>
      </c>
      <c r="F801" s="6">
        <v>4.9899997711181641</v>
      </c>
      <c r="G801" s="6">
        <v>4.8400001525878906</v>
      </c>
      <c r="H801" s="6" t="e">
        <v>#N/A</v>
      </c>
      <c r="I801" s="6">
        <v>9.8835113480250314E-2</v>
      </c>
      <c r="J801" s="6">
        <v>4207000</v>
      </c>
      <c r="K801" s="6">
        <v>19.827586206896552</v>
      </c>
      <c r="L801" t="s">
        <v>17</v>
      </c>
      <c r="M801" t="s">
        <v>18</v>
      </c>
      <c r="N801" s="4" t="s">
        <v>5162</v>
      </c>
      <c r="O801" s="4" t="s">
        <v>5163</v>
      </c>
      <c r="P801" s="4" t="s">
        <v>233</v>
      </c>
    </row>
    <row r="802" spans="1:16" x14ac:dyDescent="0.35">
      <c r="A802" t="s">
        <v>9127</v>
      </c>
      <c r="B802" t="s">
        <v>9128</v>
      </c>
      <c r="C802" t="s">
        <v>16</v>
      </c>
      <c r="D802" s="6">
        <v>872031013.99999988</v>
      </c>
      <c r="E802" s="6">
        <v>2578499014</v>
      </c>
      <c r="F802" s="6">
        <v>17</v>
      </c>
      <c r="G802" s="6">
        <v>16.729999542236328</v>
      </c>
      <c r="H802" s="6" t="e">
        <v>#N/A</v>
      </c>
      <c r="I802" s="6">
        <v>0.66077424334242107</v>
      </c>
      <c r="J802" s="6">
        <v>749632000</v>
      </c>
      <c r="K802" s="6">
        <v>-85.552402008216134</v>
      </c>
      <c r="L802" t="s">
        <v>6523</v>
      </c>
      <c r="M802" t="s">
        <v>6524</v>
      </c>
      <c r="N802" s="4" t="s">
        <v>233</v>
      </c>
      <c r="O802" s="4" t="s">
        <v>9129</v>
      </c>
      <c r="P802" s="4" t="s">
        <v>13232</v>
      </c>
    </row>
    <row r="803" spans="1:16" x14ac:dyDescent="0.35">
      <c r="A803" t="s">
        <v>9130</v>
      </c>
      <c r="B803" t="s">
        <v>9131</v>
      </c>
      <c r="C803" t="s">
        <v>16</v>
      </c>
      <c r="D803" s="6">
        <v>2254858308.3119316</v>
      </c>
      <c r="E803" s="6">
        <v>3670300308.3119316</v>
      </c>
      <c r="F803" s="6">
        <v>17.489999771118164</v>
      </c>
      <c r="G803" s="6">
        <v>17.489999771118164</v>
      </c>
      <c r="H803" s="6">
        <v>69.115135666090367</v>
      </c>
      <c r="I803" s="6">
        <v>0.35730946483439596</v>
      </c>
      <c r="J803" s="6">
        <v>336785000</v>
      </c>
      <c r="K803" s="6">
        <v>58.620689655172406</v>
      </c>
      <c r="L803" t="s">
        <v>6623</v>
      </c>
      <c r="M803" t="s">
        <v>7043</v>
      </c>
      <c r="N803" s="4" t="s">
        <v>9132</v>
      </c>
      <c r="O803" s="4" t="s">
        <v>9133</v>
      </c>
      <c r="P803" s="4" t="s">
        <v>233</v>
      </c>
    </row>
    <row r="804" spans="1:16" x14ac:dyDescent="0.35">
      <c r="A804" t="s">
        <v>9134</v>
      </c>
      <c r="B804" t="s">
        <v>9135</v>
      </c>
      <c r="C804" t="s">
        <v>16</v>
      </c>
      <c r="D804" s="6">
        <v>180486617.23721692</v>
      </c>
      <c r="E804" s="6">
        <v>184070617.23721692</v>
      </c>
      <c r="F804" s="6">
        <v>11.079999923706055</v>
      </c>
      <c r="G804" s="6">
        <v>11.140000343322754</v>
      </c>
      <c r="H804" s="6">
        <v>7.3346055853591565</v>
      </c>
      <c r="I804" s="6">
        <v>0.13537923942558305</v>
      </c>
      <c r="J804" s="6">
        <v>280375000</v>
      </c>
      <c r="K804" s="6">
        <v>-10.662099151128277</v>
      </c>
      <c r="L804" t="s">
        <v>6547</v>
      </c>
      <c r="M804" t="s">
        <v>6802</v>
      </c>
      <c r="N804" s="4" t="s">
        <v>9136</v>
      </c>
      <c r="O804" s="4" t="s">
        <v>9137</v>
      </c>
      <c r="P804" s="4" t="s">
        <v>233</v>
      </c>
    </row>
    <row r="805" spans="1:16" x14ac:dyDescent="0.35">
      <c r="A805" t="s">
        <v>9138</v>
      </c>
      <c r="B805" t="s">
        <v>9139</v>
      </c>
      <c r="C805" t="s">
        <v>16</v>
      </c>
      <c r="D805" s="6">
        <v>1685513549.6338639</v>
      </c>
      <c r="E805" s="6">
        <v>1416365549.6338639</v>
      </c>
      <c r="F805" s="6">
        <v>5.2199997901916504</v>
      </c>
      <c r="G805" s="6">
        <v>5.2399997711181641</v>
      </c>
      <c r="H805" s="6" t="e">
        <v>#N/A</v>
      </c>
      <c r="I805" s="6">
        <v>1.1090439327120114</v>
      </c>
      <c r="J805" s="6">
        <v>165426000</v>
      </c>
      <c r="K805" s="6">
        <v>-13.698630136986313</v>
      </c>
      <c r="L805" t="s">
        <v>6518</v>
      </c>
      <c r="M805" t="s">
        <v>6519</v>
      </c>
      <c r="N805" s="4" t="s">
        <v>9140</v>
      </c>
      <c r="O805" s="4" t="s">
        <v>9141</v>
      </c>
      <c r="P805" s="4" t="s">
        <v>233</v>
      </c>
    </row>
    <row r="806" spans="1:16" x14ac:dyDescent="0.35">
      <c r="A806" t="s">
        <v>9142</v>
      </c>
      <c r="B806" t="s">
        <v>9143</v>
      </c>
      <c r="C806" t="s">
        <v>16</v>
      </c>
      <c r="D806" s="6">
        <v>4378855346.249999</v>
      </c>
      <c r="E806" s="6">
        <v>4608855346.249999</v>
      </c>
      <c r="F806" s="6">
        <v>57.75</v>
      </c>
      <c r="G806" s="6">
        <v>57.139999389648438</v>
      </c>
      <c r="H806" s="6">
        <v>17.81312230258434</v>
      </c>
      <c r="I806" s="6">
        <v>0.71569928988519704</v>
      </c>
      <c r="J806" s="6">
        <v>1826000000</v>
      </c>
      <c r="K806" s="6">
        <v>42.984245283018865</v>
      </c>
      <c r="L806" t="s">
        <v>6540</v>
      </c>
      <c r="M806" t="s">
        <v>6838</v>
      </c>
      <c r="N806" s="4" t="s">
        <v>9144</v>
      </c>
      <c r="O806" s="4" t="s">
        <v>9145</v>
      </c>
      <c r="P806" s="4" t="s">
        <v>233</v>
      </c>
    </row>
    <row r="807" spans="1:16" x14ac:dyDescent="0.35">
      <c r="A807" t="s">
        <v>9146</v>
      </c>
      <c r="B807" t="s">
        <v>9147</v>
      </c>
      <c r="C807" t="s">
        <v>16</v>
      </c>
      <c r="D807" s="6">
        <v>505111479.9984436</v>
      </c>
      <c r="E807" s="6">
        <v>750882479.9984436</v>
      </c>
      <c r="F807" s="6">
        <v>34.220001220703125</v>
      </c>
      <c r="G807" s="6">
        <v>34.229999542236328</v>
      </c>
      <c r="H807" s="6">
        <v>10.409961810074824</v>
      </c>
      <c r="I807" s="6">
        <v>0.37706209028385684</v>
      </c>
      <c r="J807" s="6">
        <v>2257909000</v>
      </c>
      <c r="K807" s="6">
        <v>-1.211942257217844</v>
      </c>
      <c r="L807" t="s">
        <v>6735</v>
      </c>
      <c r="M807" t="s">
        <v>6736</v>
      </c>
      <c r="N807" s="4" t="s">
        <v>9148</v>
      </c>
      <c r="O807" s="4" t="s">
        <v>9149</v>
      </c>
      <c r="P807" s="4" t="s">
        <v>233</v>
      </c>
    </row>
    <row r="808" spans="1:16" x14ac:dyDescent="0.35">
      <c r="A808" t="s">
        <v>9150</v>
      </c>
      <c r="B808" t="s">
        <v>3144</v>
      </c>
      <c r="C808" t="s">
        <v>16</v>
      </c>
      <c r="D808" s="6">
        <v>85082076.844203949</v>
      </c>
      <c r="E808" s="6">
        <v>5104076.844203949</v>
      </c>
      <c r="F808" s="6">
        <v>4.0900001525878906</v>
      </c>
      <c r="G808" s="6">
        <v>4.0100002288818359</v>
      </c>
      <c r="H808" s="6" t="e">
        <v>#N/A</v>
      </c>
      <c r="I808" s="6">
        <v>-0.7935819592804747</v>
      </c>
      <c r="J808" s="6">
        <v>1000000</v>
      </c>
      <c r="K808" s="6">
        <v>52.460317460317448</v>
      </c>
      <c r="L808" t="s">
        <v>17</v>
      </c>
      <c r="M808" t="s">
        <v>18</v>
      </c>
      <c r="N808" s="4" t="s">
        <v>3145</v>
      </c>
      <c r="O808" s="4" t="s">
        <v>3146</v>
      </c>
      <c r="P808" s="4" t="s">
        <v>233</v>
      </c>
    </row>
    <row r="809" spans="1:16" x14ac:dyDescent="0.35">
      <c r="A809" t="s">
        <v>9151</v>
      </c>
      <c r="B809" t="s">
        <v>9152</v>
      </c>
      <c r="C809" t="s">
        <v>16</v>
      </c>
      <c r="D809" s="6">
        <v>866035137.5947305</v>
      </c>
      <c r="E809" s="6">
        <v>2371400137.5947304</v>
      </c>
      <c r="F809" s="6">
        <v>2.7000000476837158</v>
      </c>
      <c r="G809" s="6">
        <v>2.7400000095367432</v>
      </c>
      <c r="H809" s="6" t="e">
        <v>#N/A</v>
      </c>
      <c r="I809" s="6">
        <v>-0.32427472511776734</v>
      </c>
      <c r="J809" s="6">
        <v>3771379000</v>
      </c>
      <c r="K809" s="6">
        <v>87.830355150802177</v>
      </c>
      <c r="L809" t="s">
        <v>6514</v>
      </c>
      <c r="M809" t="s">
        <v>6534</v>
      </c>
      <c r="N809" s="4" t="s">
        <v>9153</v>
      </c>
      <c r="O809" s="4" t="s">
        <v>9154</v>
      </c>
      <c r="P809" s="4" t="s">
        <v>233</v>
      </c>
    </row>
    <row r="810" spans="1:16" x14ac:dyDescent="0.35">
      <c r="A810" t="s">
        <v>9155</v>
      </c>
      <c r="B810" t="s">
        <v>9156</v>
      </c>
      <c r="C810" t="s">
        <v>16</v>
      </c>
      <c r="D810" s="6">
        <v>963982698.40611637</v>
      </c>
      <c r="E810" s="6">
        <v>1393572698.4061165</v>
      </c>
      <c r="F810" s="6">
        <v>23.760000228881836</v>
      </c>
      <c r="G810" s="6">
        <v>23.889999389648438</v>
      </c>
      <c r="H810" s="6">
        <v>21.550512395065365</v>
      </c>
      <c r="I810" s="6">
        <v>-5.647406365434704E-2</v>
      </c>
      <c r="J810" s="6">
        <v>906520000</v>
      </c>
      <c r="K810" s="6">
        <v>-47.58064516129032</v>
      </c>
      <c r="L810" t="s">
        <v>6563</v>
      </c>
      <c r="M810" t="s">
        <v>9157</v>
      </c>
      <c r="N810" s="4" t="s">
        <v>9158</v>
      </c>
      <c r="O810" s="4" t="s">
        <v>9159</v>
      </c>
      <c r="P810" s="4" t="s">
        <v>233</v>
      </c>
    </row>
    <row r="811" spans="1:16" x14ac:dyDescent="0.35">
      <c r="A811" t="s">
        <v>9160</v>
      </c>
      <c r="B811" t="s">
        <v>9161</v>
      </c>
      <c r="C811" t="s">
        <v>16</v>
      </c>
      <c r="D811" s="6">
        <v>3575387096.7658157</v>
      </c>
      <c r="E811" s="6">
        <v>4002887096.7658157</v>
      </c>
      <c r="F811" s="6">
        <v>44.159999847412109</v>
      </c>
      <c r="G811" s="6">
        <v>44.380001068115234</v>
      </c>
      <c r="H811" s="6">
        <v>12.065573728801123</v>
      </c>
      <c r="I811" s="6">
        <v>9.4623272312392759E-2</v>
      </c>
      <c r="J811" s="6">
        <v>1111800000</v>
      </c>
      <c r="K811" s="6">
        <v>14.733542319749223</v>
      </c>
      <c r="L811" t="s">
        <v>6529</v>
      </c>
      <c r="M811" t="s">
        <v>6568</v>
      </c>
      <c r="N811" s="4" t="s">
        <v>9162</v>
      </c>
      <c r="O811" s="4" t="s">
        <v>9163</v>
      </c>
      <c r="P811" s="4" t="s">
        <v>233</v>
      </c>
    </row>
    <row r="812" spans="1:16" x14ac:dyDescent="0.35">
      <c r="A812" t="s">
        <v>9164</v>
      </c>
      <c r="B812" t="s">
        <v>9165</v>
      </c>
      <c r="C812" t="s">
        <v>16</v>
      </c>
      <c r="D812" s="6">
        <v>2076938344.8088834</v>
      </c>
      <c r="E812" s="6">
        <v>2548433344.8088837</v>
      </c>
      <c r="F812" s="6">
        <v>100.90000152587891</v>
      </c>
      <c r="G812" s="6">
        <v>104.80999755859375</v>
      </c>
      <c r="H812" s="6">
        <v>46.537800558951226</v>
      </c>
      <c r="I812" s="6">
        <v>0.47184029052903598</v>
      </c>
      <c r="J812" s="6">
        <v>949590000</v>
      </c>
      <c r="K812" s="6">
        <v>-25.843245666968699</v>
      </c>
      <c r="L812" t="s">
        <v>6547</v>
      </c>
      <c r="M812" t="s">
        <v>6802</v>
      </c>
      <c r="N812" s="4" t="s">
        <v>9166</v>
      </c>
      <c r="O812" s="4" t="s">
        <v>9167</v>
      </c>
      <c r="P812" s="4" t="s">
        <v>233</v>
      </c>
    </row>
    <row r="813" spans="1:16" x14ac:dyDescent="0.35">
      <c r="A813" t="s">
        <v>9168</v>
      </c>
      <c r="B813" t="s">
        <v>9169</v>
      </c>
      <c r="C813" t="s">
        <v>16</v>
      </c>
      <c r="D813" s="6">
        <v>954149931.27384949</v>
      </c>
      <c r="E813" s="6">
        <v>2653904931.2738495</v>
      </c>
      <c r="F813" s="6">
        <v>31.030000686645508</v>
      </c>
      <c r="G813" s="6">
        <v>30.639999389648438</v>
      </c>
      <c r="H813" s="6">
        <v>82.970134727253409</v>
      </c>
      <c r="I813" s="6">
        <v>0.37177304374295739</v>
      </c>
      <c r="J813" s="6">
        <v>523580000</v>
      </c>
      <c r="K813" s="6" t="e">
        <v>#N/A</v>
      </c>
      <c r="L813" t="s">
        <v>6623</v>
      </c>
      <c r="M813" t="s">
        <v>7043</v>
      </c>
      <c r="N813" s="4" t="s">
        <v>9170</v>
      </c>
      <c r="O813" s="4" t="s">
        <v>9171</v>
      </c>
      <c r="P813" s="4" t="s">
        <v>233</v>
      </c>
    </row>
    <row r="814" spans="1:16" x14ac:dyDescent="0.35">
      <c r="A814" t="s">
        <v>9172</v>
      </c>
      <c r="B814" t="s">
        <v>9173</v>
      </c>
      <c r="C814" t="s">
        <v>16</v>
      </c>
      <c r="D814" s="6">
        <v>530394920.40969276</v>
      </c>
      <c r="E814" s="6">
        <v>979524920.40969276</v>
      </c>
      <c r="F814" s="6">
        <v>19.280000686645508</v>
      </c>
      <c r="G814" s="6">
        <v>18.229999542236328</v>
      </c>
      <c r="H814" s="6" t="e">
        <v>#N/A</v>
      </c>
      <c r="I814" s="6">
        <v>0.31774497049545913</v>
      </c>
      <c r="J814" s="6">
        <v>703904000</v>
      </c>
      <c r="K814" s="6" t="e">
        <v>#N/A</v>
      </c>
      <c r="L814" t="s">
        <v>6514</v>
      </c>
      <c r="M814" t="s">
        <v>6515</v>
      </c>
      <c r="N814" s="4" t="s">
        <v>9174</v>
      </c>
      <c r="O814" s="4" t="s">
        <v>9175</v>
      </c>
      <c r="P814" s="4" t="s">
        <v>233</v>
      </c>
    </row>
    <row r="815" spans="1:16" x14ac:dyDescent="0.35">
      <c r="A815" t="s">
        <v>9176</v>
      </c>
      <c r="B815" t="s">
        <v>9177</v>
      </c>
      <c r="C815" t="s">
        <v>16</v>
      </c>
      <c r="D815" s="6">
        <v>307228915.71638483</v>
      </c>
      <c r="E815" s="6">
        <v>308918915.71638483</v>
      </c>
      <c r="F815" s="6">
        <v>11.569999694824219</v>
      </c>
      <c r="G815" s="6">
        <v>11.270000457763672</v>
      </c>
      <c r="H815" s="6" t="e">
        <v>#N/A</v>
      </c>
      <c r="I815" s="6">
        <v>0.18007675942635504</v>
      </c>
      <c r="J815" s="6">
        <v>115264000</v>
      </c>
      <c r="K815" s="6">
        <v>-50.384600616896826</v>
      </c>
      <c r="L815" t="s">
        <v>6547</v>
      </c>
      <c r="M815" t="s">
        <v>6548</v>
      </c>
      <c r="N815" s="4" t="s">
        <v>9178</v>
      </c>
      <c r="O815" s="4" t="s">
        <v>9179</v>
      </c>
      <c r="P815" s="4" t="s">
        <v>233</v>
      </c>
    </row>
    <row r="816" spans="1:16" x14ac:dyDescent="0.35">
      <c r="A816" t="s">
        <v>9180</v>
      </c>
      <c r="B816" t="s">
        <v>9181</v>
      </c>
      <c r="C816" t="s">
        <v>16</v>
      </c>
      <c r="D816" s="6">
        <v>620843810.16213608</v>
      </c>
      <c r="E816" s="6" t="e">
        <v>#N/A</v>
      </c>
      <c r="F816" s="6">
        <v>32.240001678466797</v>
      </c>
      <c r="G816" s="6">
        <v>32.689998626708984</v>
      </c>
      <c r="H816" s="6" t="e">
        <v>#N/A</v>
      </c>
      <c r="I816" s="6">
        <v>0.26558972293275307</v>
      </c>
      <c r="J816" s="6">
        <v>312881000</v>
      </c>
      <c r="K816" s="6" t="e">
        <v>#N/A</v>
      </c>
      <c r="L816" t="s">
        <v>6529</v>
      </c>
      <c r="M816" t="s">
        <v>6530</v>
      </c>
      <c r="N816" s="4" t="s">
        <v>9182</v>
      </c>
      <c r="O816" s="4" t="s">
        <v>9183</v>
      </c>
      <c r="P816" s="4" t="s">
        <v>233</v>
      </c>
    </row>
    <row r="817" spans="1:16" x14ac:dyDescent="0.35">
      <c r="A817" t="s">
        <v>13044</v>
      </c>
      <c r="B817" t="s">
        <v>11296</v>
      </c>
      <c r="C817" t="s">
        <v>16</v>
      </c>
      <c r="D817" s="6">
        <v>345731527.30686063</v>
      </c>
      <c r="E817" s="6">
        <v>201297527.3068606</v>
      </c>
      <c r="F817" s="6">
        <v>1.9900000095367432</v>
      </c>
      <c r="G817" s="6">
        <v>1.9600000381469727</v>
      </c>
      <c r="H817" s="6" t="e">
        <v>#N/A</v>
      </c>
      <c r="I817" s="6">
        <v>0.6423940357221265</v>
      </c>
      <c r="J817" s="6">
        <v>0</v>
      </c>
      <c r="K817" s="6">
        <v>45.588235294117652</v>
      </c>
      <c r="L817" t="s">
        <v>6547</v>
      </c>
      <c r="M817" t="s">
        <v>6668</v>
      </c>
      <c r="N817" s="4" t="s">
        <v>11297</v>
      </c>
      <c r="O817" s="4" t="s">
        <v>11298</v>
      </c>
      <c r="P817" s="4" t="s">
        <v>233</v>
      </c>
    </row>
    <row r="818" spans="1:16" x14ac:dyDescent="0.35">
      <c r="A818" t="s">
        <v>9184</v>
      </c>
      <c r="B818" t="s">
        <v>9185</v>
      </c>
      <c r="C818" t="s">
        <v>16</v>
      </c>
      <c r="D818" s="6">
        <v>345664105.74136734</v>
      </c>
      <c r="E818" s="6">
        <v>276131105.74136734</v>
      </c>
      <c r="F818" s="6">
        <v>36.159999847412109</v>
      </c>
      <c r="G818" s="6">
        <v>36.279998779296875</v>
      </c>
      <c r="H818" s="6">
        <v>11.797616022641279</v>
      </c>
      <c r="I818" s="6">
        <v>0.18430159448498706</v>
      </c>
      <c r="J818" s="6">
        <v>290409000</v>
      </c>
      <c r="K818" s="6">
        <v>-9.2261904761904905</v>
      </c>
      <c r="L818" t="s">
        <v>6540</v>
      </c>
      <c r="M818" t="s">
        <v>6856</v>
      </c>
      <c r="N818" s="4" t="s">
        <v>9186</v>
      </c>
      <c r="O818" s="4" t="s">
        <v>9187</v>
      </c>
      <c r="P818" s="4" t="s">
        <v>233</v>
      </c>
    </row>
    <row r="819" spans="1:16" x14ac:dyDescent="0.35">
      <c r="A819" t="s">
        <v>9188</v>
      </c>
      <c r="B819" t="s">
        <v>9189</v>
      </c>
      <c r="C819" t="s">
        <v>16</v>
      </c>
      <c r="D819" s="6">
        <v>1194109553.2096624</v>
      </c>
      <c r="E819" s="6">
        <v>6907909553.2096624</v>
      </c>
      <c r="F819" s="6">
        <v>8.6899995803833008</v>
      </c>
      <c r="G819" s="6">
        <v>8.7200002670288086</v>
      </c>
      <c r="H819" s="6" t="e">
        <v>#N/A</v>
      </c>
      <c r="I819" s="6">
        <v>-0.10428165236354314</v>
      </c>
      <c r="J819" s="6">
        <v>536000000</v>
      </c>
      <c r="K819" s="6">
        <v>-564.49461063964054</v>
      </c>
      <c r="L819" t="s">
        <v>6623</v>
      </c>
      <c r="M819" t="s">
        <v>6634</v>
      </c>
      <c r="N819" s="4" t="s">
        <v>9190</v>
      </c>
      <c r="O819" s="4" t="s">
        <v>9191</v>
      </c>
      <c r="P819" s="4" t="s">
        <v>233</v>
      </c>
    </row>
    <row r="820" spans="1:16" x14ac:dyDescent="0.35">
      <c r="A820" t="s">
        <v>9192</v>
      </c>
      <c r="B820" t="s">
        <v>9193</v>
      </c>
      <c r="C820" t="s">
        <v>16</v>
      </c>
      <c r="D820" s="6">
        <v>88450002.111614212</v>
      </c>
      <c r="E820" s="6">
        <v>23943002.111614205</v>
      </c>
      <c r="F820" s="6">
        <v>2.5399999618530273</v>
      </c>
      <c r="G820" s="6">
        <v>2.369999885559082</v>
      </c>
      <c r="H820" s="6" t="e">
        <v>#N/A</v>
      </c>
      <c r="I820" s="6">
        <v>-0.66783817591773531</v>
      </c>
      <c r="J820" s="6">
        <v>55162000</v>
      </c>
      <c r="K820" s="6">
        <v>-46.280991735537199</v>
      </c>
      <c r="L820" t="s">
        <v>6518</v>
      </c>
      <c r="M820" t="s">
        <v>6714</v>
      </c>
      <c r="N820" s="4" t="s">
        <v>9194</v>
      </c>
      <c r="O820" s="4" t="s">
        <v>9195</v>
      </c>
      <c r="P820" s="4" t="s">
        <v>233</v>
      </c>
    </row>
    <row r="821" spans="1:16" x14ac:dyDescent="0.35">
      <c r="A821" t="s">
        <v>9196</v>
      </c>
      <c r="B821" t="s">
        <v>9197</v>
      </c>
      <c r="C821" t="s">
        <v>16</v>
      </c>
      <c r="D821" s="6">
        <v>201573355.33412218</v>
      </c>
      <c r="E821" s="6">
        <v>944698355.33412218</v>
      </c>
      <c r="F821" s="6">
        <v>5.0199999809265137</v>
      </c>
      <c r="G821" s="6">
        <v>5</v>
      </c>
      <c r="H821" s="6" t="e">
        <v>#N/A</v>
      </c>
      <c r="I821" s="6">
        <v>9.6361212763211634E-2</v>
      </c>
      <c r="J821" s="6">
        <v>173527000</v>
      </c>
      <c r="K821" s="6">
        <v>16.000000000000004</v>
      </c>
      <c r="L821" t="s">
        <v>6623</v>
      </c>
      <c r="M821" t="s">
        <v>6866</v>
      </c>
      <c r="N821" s="4" t="s">
        <v>9198</v>
      </c>
      <c r="O821" s="4" t="s">
        <v>9199</v>
      </c>
      <c r="P821" s="4" t="s">
        <v>233</v>
      </c>
    </row>
    <row r="822" spans="1:16" x14ac:dyDescent="0.35">
      <c r="A822" t="s">
        <v>7211</v>
      </c>
      <c r="B822" t="s">
        <v>13369</v>
      </c>
      <c r="C822" t="s">
        <v>16</v>
      </c>
      <c r="D822" s="6">
        <v>4879413728.6032114</v>
      </c>
      <c r="E822" s="6" t="e">
        <v>#N/A</v>
      </c>
      <c r="F822" s="6">
        <v>40.990001678466797</v>
      </c>
      <c r="G822" s="6">
        <v>39.75</v>
      </c>
      <c r="H822" s="6" t="e">
        <v>#N/A</v>
      </c>
      <c r="I822" s="6">
        <v>0.16315300792077925</v>
      </c>
      <c r="J822" s="6">
        <v>3666000000</v>
      </c>
      <c r="K822" s="6" t="e">
        <v>#N/A</v>
      </c>
      <c r="L822" t="s">
        <v>6719</v>
      </c>
      <c r="M822" t="s">
        <v>7212</v>
      </c>
      <c r="N822" s="4" t="s">
        <v>13370</v>
      </c>
      <c r="O822" s="4" t="s">
        <v>13371</v>
      </c>
      <c r="P822" s="4" t="s">
        <v>233</v>
      </c>
    </row>
    <row r="823" spans="1:16" x14ac:dyDescent="0.35">
      <c r="A823" t="s">
        <v>9200</v>
      </c>
      <c r="B823" t="s">
        <v>9201</v>
      </c>
      <c r="C823" t="s">
        <v>16</v>
      </c>
      <c r="D823" s="6">
        <v>80511157.745032325</v>
      </c>
      <c r="E823" s="6">
        <v>59581749.745032325</v>
      </c>
      <c r="F823" s="6">
        <v>0.55000001192092896</v>
      </c>
      <c r="G823" s="6">
        <v>0.53479999303817749</v>
      </c>
      <c r="H823" s="6" t="e">
        <v>#N/A</v>
      </c>
      <c r="I823" s="6">
        <v>0.41799742732420753</v>
      </c>
      <c r="J823" s="6">
        <v>16886419</v>
      </c>
      <c r="K823" s="6">
        <v>74.545454545454533</v>
      </c>
      <c r="L823" t="s">
        <v>6735</v>
      </c>
      <c r="M823" t="s">
        <v>7752</v>
      </c>
      <c r="N823" s="4" t="s">
        <v>9202</v>
      </c>
      <c r="O823" s="4" t="s">
        <v>9203</v>
      </c>
      <c r="P823" s="4" t="s">
        <v>233</v>
      </c>
    </row>
    <row r="824" spans="1:16" x14ac:dyDescent="0.35">
      <c r="A824" t="s">
        <v>9204</v>
      </c>
      <c r="B824" t="s">
        <v>9205</v>
      </c>
      <c r="C824" t="s">
        <v>16</v>
      </c>
      <c r="D824" s="6">
        <v>1340396493.652092</v>
      </c>
      <c r="E824" s="6">
        <v>1962696493.652092</v>
      </c>
      <c r="F824" s="6">
        <v>15.229999542236328</v>
      </c>
      <c r="G824" s="6">
        <v>15.220000267028809</v>
      </c>
      <c r="H824" s="6" t="e">
        <v>#N/A</v>
      </c>
      <c r="I824" s="6">
        <v>9.5312218408894811E-2</v>
      </c>
      <c r="J824" s="6">
        <v>239523000</v>
      </c>
      <c r="K824" s="6">
        <v>75.409836065573771</v>
      </c>
      <c r="L824" t="s">
        <v>6623</v>
      </c>
      <c r="M824" t="s">
        <v>7086</v>
      </c>
      <c r="N824" s="4" t="s">
        <v>9206</v>
      </c>
      <c r="O824" s="4" t="s">
        <v>9207</v>
      </c>
      <c r="P824" s="4" t="s">
        <v>233</v>
      </c>
    </row>
    <row r="825" spans="1:16" x14ac:dyDescent="0.35">
      <c r="A825" t="s">
        <v>9208</v>
      </c>
      <c r="B825" t="s">
        <v>9209</v>
      </c>
      <c r="C825" t="s">
        <v>16</v>
      </c>
      <c r="D825" s="6">
        <v>2430136812.0638924</v>
      </c>
      <c r="E825" s="6" t="e">
        <v>#N/A</v>
      </c>
      <c r="F825" s="6">
        <v>36.340000152587891</v>
      </c>
      <c r="G825" s="6">
        <v>36.520000457763672</v>
      </c>
      <c r="H825" s="6">
        <v>15.531846119576361</v>
      </c>
      <c r="I825" s="6">
        <v>0.29421265913914008</v>
      </c>
      <c r="J825" s="6">
        <v>953624000</v>
      </c>
      <c r="K825" s="6">
        <v>-9.9601593625498008</v>
      </c>
      <c r="L825" t="s">
        <v>6529</v>
      </c>
      <c r="M825" t="s">
        <v>6530</v>
      </c>
      <c r="N825" s="4" t="s">
        <v>9210</v>
      </c>
      <c r="O825" s="4" t="s">
        <v>9211</v>
      </c>
      <c r="P825" s="4" t="s">
        <v>233</v>
      </c>
    </row>
    <row r="826" spans="1:16" x14ac:dyDescent="0.35">
      <c r="A826" t="s">
        <v>9212</v>
      </c>
      <c r="B826" t="s">
        <v>9213</v>
      </c>
      <c r="C826" t="s">
        <v>16</v>
      </c>
      <c r="D826" s="6">
        <v>532994051.23086548</v>
      </c>
      <c r="E826" s="6" t="e">
        <v>#N/A</v>
      </c>
      <c r="F826" s="6">
        <v>14.180000305175781</v>
      </c>
      <c r="G826" s="6">
        <v>14.159999847412109</v>
      </c>
      <c r="H826" s="6">
        <v>11.602162277407679</v>
      </c>
      <c r="I826" s="6">
        <v>5.1706083499734046E-2</v>
      </c>
      <c r="J826" s="6">
        <v>269448000</v>
      </c>
      <c r="K826" s="6">
        <v>-8.2089552238806043</v>
      </c>
      <c r="L826" t="s">
        <v>6529</v>
      </c>
      <c r="M826" t="s">
        <v>6530</v>
      </c>
      <c r="N826" s="4" t="s">
        <v>9214</v>
      </c>
      <c r="O826" s="4" t="s">
        <v>9215</v>
      </c>
      <c r="P826" s="4" t="s">
        <v>233</v>
      </c>
    </row>
    <row r="827" spans="1:16" x14ac:dyDescent="0.35">
      <c r="A827" t="s">
        <v>9216</v>
      </c>
      <c r="B827" t="s">
        <v>4544</v>
      </c>
      <c r="C827" t="s">
        <v>16</v>
      </c>
      <c r="D827" s="6">
        <v>515959391.24999994</v>
      </c>
      <c r="E827" s="6">
        <v>387434391.25</v>
      </c>
      <c r="F827" s="6">
        <v>3.75</v>
      </c>
      <c r="G827" s="6">
        <v>3.6600000858306885</v>
      </c>
      <c r="H827" s="6" t="e">
        <v>#N/A</v>
      </c>
      <c r="I827" s="6">
        <v>1.3095124466873931</v>
      </c>
      <c r="J827" s="6">
        <v>850000</v>
      </c>
      <c r="K827" s="6">
        <v>-11.219408190305044</v>
      </c>
      <c r="L827" t="s">
        <v>17</v>
      </c>
      <c r="M827" t="s">
        <v>18</v>
      </c>
      <c r="N827" s="4" t="s">
        <v>4545</v>
      </c>
      <c r="O827" s="4" t="s">
        <v>4546</v>
      </c>
      <c r="P827" s="4" t="s">
        <v>233</v>
      </c>
    </row>
    <row r="828" spans="1:16" x14ac:dyDescent="0.35">
      <c r="A828" t="s">
        <v>9217</v>
      </c>
      <c r="B828" t="s">
        <v>9218</v>
      </c>
      <c r="C828" t="s">
        <v>16</v>
      </c>
      <c r="D828" s="6">
        <v>580454347.49424362</v>
      </c>
      <c r="E828" s="6">
        <v>664852347.49424362</v>
      </c>
      <c r="F828" s="6">
        <v>4.2800002098083496</v>
      </c>
      <c r="G828" s="6">
        <v>4.2300000190734863</v>
      </c>
      <c r="H828" s="6" t="e">
        <v>#N/A</v>
      </c>
      <c r="I828" s="6">
        <v>-0.15873722045248639</v>
      </c>
      <c r="J828" s="6">
        <v>443945000</v>
      </c>
      <c r="K828" s="6">
        <v>-430.21094594594598</v>
      </c>
      <c r="L828" t="s">
        <v>6547</v>
      </c>
      <c r="M828" t="s">
        <v>6668</v>
      </c>
      <c r="N828" s="4" t="s">
        <v>9219</v>
      </c>
      <c r="O828" s="4" t="s">
        <v>9220</v>
      </c>
      <c r="P828" s="4" t="s">
        <v>233</v>
      </c>
    </row>
    <row r="829" spans="1:16" x14ac:dyDescent="0.35">
      <c r="A829" t="s">
        <v>9221</v>
      </c>
      <c r="B829" t="s">
        <v>3395</v>
      </c>
      <c r="C829" t="s">
        <v>16</v>
      </c>
      <c r="D829" s="6">
        <v>2587434870.6064987</v>
      </c>
      <c r="E829" s="6">
        <v>2920861870.6064987</v>
      </c>
      <c r="F829" s="6">
        <v>47.650001525878906</v>
      </c>
      <c r="G829" s="6">
        <v>47.389999389648438</v>
      </c>
      <c r="H829" s="6">
        <v>10.774047214943684</v>
      </c>
      <c r="I829" s="6">
        <v>-5.9998428021515116E-2</v>
      </c>
      <c r="J829" s="6">
        <v>1241707000</v>
      </c>
      <c r="K829" s="6">
        <v>759.99999999999966</v>
      </c>
      <c r="L829" t="s">
        <v>17</v>
      </c>
      <c r="M829" t="s">
        <v>27</v>
      </c>
      <c r="N829" s="4" t="s">
        <v>233</v>
      </c>
      <c r="O829" s="4" t="s">
        <v>3396</v>
      </c>
      <c r="P829" s="4" t="s">
        <v>13128</v>
      </c>
    </row>
    <row r="830" spans="1:16" x14ac:dyDescent="0.35">
      <c r="A830" t="s">
        <v>9222</v>
      </c>
      <c r="B830" t="s">
        <v>336</v>
      </c>
      <c r="C830" t="s">
        <v>16</v>
      </c>
      <c r="D830" s="6">
        <v>1254989181.9374316</v>
      </c>
      <c r="E830" s="6">
        <v>1446629181.9374316</v>
      </c>
      <c r="F830" s="6">
        <v>59.680000305175781</v>
      </c>
      <c r="G830" s="6">
        <v>59.009998321533203</v>
      </c>
      <c r="H830" s="6">
        <v>301.30609884928032</v>
      </c>
      <c r="I830" s="6">
        <v>4.6336921855868907E-2</v>
      </c>
      <c r="J830" s="6">
        <v>555456000</v>
      </c>
      <c r="K830" s="6" t="e">
        <v>#N/A</v>
      </c>
      <c r="L830" t="s">
        <v>17</v>
      </c>
      <c r="M830" t="s">
        <v>87</v>
      </c>
      <c r="N830" s="4" t="s">
        <v>337</v>
      </c>
      <c r="O830" s="4" t="s">
        <v>338</v>
      </c>
      <c r="P830" s="4" t="s">
        <v>233</v>
      </c>
    </row>
    <row r="831" spans="1:16" x14ac:dyDescent="0.35">
      <c r="A831" t="s">
        <v>9223</v>
      </c>
      <c r="B831" t="s">
        <v>9224</v>
      </c>
      <c r="C831" t="s">
        <v>16</v>
      </c>
      <c r="D831" s="6">
        <v>122407077.58887672</v>
      </c>
      <c r="E831" s="6">
        <v>160103979.58887672</v>
      </c>
      <c r="F831" s="6">
        <v>10.010000228881836</v>
      </c>
      <c r="G831" s="6">
        <v>9.8100004196166992</v>
      </c>
      <c r="H831" s="6" t="e">
        <v>#N/A</v>
      </c>
      <c r="I831" s="6">
        <v>-0.3943346729609174</v>
      </c>
      <c r="J831" s="6" t="e">
        <v>#N/A</v>
      </c>
      <c r="K831" s="6" t="e">
        <v>#N/A</v>
      </c>
      <c r="L831" t="s">
        <v>6563</v>
      </c>
      <c r="M831" t="s">
        <v>6564</v>
      </c>
      <c r="N831" s="4" t="s">
        <v>9225</v>
      </c>
      <c r="O831" s="4" t="s">
        <v>9226</v>
      </c>
      <c r="P831" s="4" t="s">
        <v>233</v>
      </c>
    </row>
    <row r="832" spans="1:16" x14ac:dyDescent="0.35">
      <c r="A832" t="s">
        <v>9227</v>
      </c>
      <c r="B832" t="s">
        <v>5753</v>
      </c>
      <c r="C832" t="s">
        <v>16</v>
      </c>
      <c r="D832" s="6">
        <v>71186438.037414551</v>
      </c>
      <c r="E832" s="6">
        <v>49453438.037414551</v>
      </c>
      <c r="F832" s="6">
        <v>1.4800000190734863</v>
      </c>
      <c r="G832" s="6">
        <v>1.440000057220459</v>
      </c>
      <c r="H832" s="6" t="e">
        <v>#N/A</v>
      </c>
      <c r="I832" s="6">
        <v>-0.82687680633216476</v>
      </c>
      <c r="J832" s="6">
        <v>97000</v>
      </c>
      <c r="K832" s="6">
        <v>67.659348676792476</v>
      </c>
      <c r="L832" t="s">
        <v>17</v>
      </c>
      <c r="M832" t="s">
        <v>27</v>
      </c>
      <c r="N832" s="4" t="s">
        <v>5754</v>
      </c>
      <c r="O832" s="4" t="s">
        <v>5755</v>
      </c>
      <c r="P832" s="4" t="s">
        <v>233</v>
      </c>
    </row>
    <row r="833" spans="1:16" x14ac:dyDescent="0.35">
      <c r="A833" t="s">
        <v>9228</v>
      </c>
      <c r="B833" t="s">
        <v>9229</v>
      </c>
      <c r="C833" t="s">
        <v>16</v>
      </c>
      <c r="D833" s="6">
        <v>441398106.35475922</v>
      </c>
      <c r="E833" s="6">
        <v>438110106.35475922</v>
      </c>
      <c r="F833" s="6">
        <v>4.1999998092651367</v>
      </c>
      <c r="G833" s="6">
        <v>4.2600002288818359</v>
      </c>
      <c r="H833" s="6">
        <v>5.1485918101409318</v>
      </c>
      <c r="I833" s="6">
        <v>4.0219724980075089E-3</v>
      </c>
      <c r="J833" s="6">
        <v>506421000</v>
      </c>
      <c r="K833" s="6">
        <v>165.625</v>
      </c>
      <c r="L833" t="s">
        <v>6523</v>
      </c>
      <c r="M833" t="s">
        <v>6524</v>
      </c>
      <c r="N833" s="4" t="s">
        <v>9230</v>
      </c>
      <c r="O833" s="4" t="s">
        <v>9231</v>
      </c>
      <c r="P833" s="4" t="s">
        <v>233</v>
      </c>
    </row>
    <row r="834" spans="1:16" x14ac:dyDescent="0.35">
      <c r="A834" t="s">
        <v>9232</v>
      </c>
      <c r="B834" t="s">
        <v>9233</v>
      </c>
      <c r="C834" t="s">
        <v>16</v>
      </c>
      <c r="D834" s="6">
        <v>429675355.59564966</v>
      </c>
      <c r="E834" s="6">
        <v>589881355.59564972</v>
      </c>
      <c r="F834" s="6">
        <v>18.579999923706055</v>
      </c>
      <c r="G834" s="6">
        <v>18.870000839233398</v>
      </c>
      <c r="H834" s="6">
        <v>14.961440810676617</v>
      </c>
      <c r="I834" s="6">
        <v>-0.33780724888703717</v>
      </c>
      <c r="J834" s="6">
        <v>2794333000</v>
      </c>
      <c r="K834" s="6">
        <v>-71.428571428571431</v>
      </c>
      <c r="L834" t="s">
        <v>6547</v>
      </c>
      <c r="M834" t="s">
        <v>6875</v>
      </c>
      <c r="N834" s="4" t="s">
        <v>9234</v>
      </c>
      <c r="O834" s="4" t="s">
        <v>9235</v>
      </c>
      <c r="P834" s="4" t="s">
        <v>233</v>
      </c>
    </row>
    <row r="835" spans="1:16" x14ac:dyDescent="0.35">
      <c r="A835" t="s">
        <v>9236</v>
      </c>
      <c r="B835" t="s">
        <v>9237</v>
      </c>
      <c r="C835" t="s">
        <v>16</v>
      </c>
      <c r="D835" s="6">
        <v>4079508978.9475408</v>
      </c>
      <c r="E835" s="6">
        <v>4130110978.9475408</v>
      </c>
      <c r="F835" s="6">
        <v>109.83999633789063</v>
      </c>
      <c r="G835" s="6">
        <v>108.76000213623047</v>
      </c>
      <c r="H835" s="6">
        <v>151.07459974017289</v>
      </c>
      <c r="I835" s="6">
        <v>0.36147237464689219</v>
      </c>
      <c r="J835" s="6">
        <v>283597000</v>
      </c>
      <c r="K835" s="6">
        <v>69.565217391304387</v>
      </c>
      <c r="L835" t="s">
        <v>6529</v>
      </c>
      <c r="M835" t="s">
        <v>6664</v>
      </c>
      <c r="N835" s="4" t="s">
        <v>9238</v>
      </c>
      <c r="O835" s="4" t="s">
        <v>9239</v>
      </c>
      <c r="P835" s="4" t="s">
        <v>233</v>
      </c>
    </row>
    <row r="836" spans="1:16" x14ac:dyDescent="0.35">
      <c r="A836" t="s">
        <v>9240</v>
      </c>
      <c r="B836" t="s">
        <v>1082</v>
      </c>
      <c r="C836" t="s">
        <v>16</v>
      </c>
      <c r="D836" s="6">
        <v>433394040.34107447</v>
      </c>
      <c r="E836" s="6">
        <v>202812040.34107447</v>
      </c>
      <c r="F836" s="6">
        <v>6.3499999046325684</v>
      </c>
      <c r="G836" s="6">
        <v>6.190000057220459</v>
      </c>
      <c r="H836" s="6" t="e">
        <v>#N/A</v>
      </c>
      <c r="I836" s="6">
        <v>-0.78536426974604989</v>
      </c>
      <c r="J836" s="6">
        <v>45713000</v>
      </c>
      <c r="K836" s="6">
        <v>24.812030075187973</v>
      </c>
      <c r="L836" t="s">
        <v>17</v>
      </c>
      <c r="M836" t="s">
        <v>87</v>
      </c>
      <c r="N836" s="4" t="s">
        <v>1083</v>
      </c>
      <c r="O836" s="4" t="s">
        <v>1084</v>
      </c>
      <c r="P836" s="4" t="s">
        <v>233</v>
      </c>
    </row>
    <row r="837" spans="1:16" x14ac:dyDescent="0.35">
      <c r="A837" t="s">
        <v>9241</v>
      </c>
      <c r="B837" t="s">
        <v>5017</v>
      </c>
      <c r="C837" t="s">
        <v>16</v>
      </c>
      <c r="D837" s="6">
        <v>2187811432.8383441</v>
      </c>
      <c r="E837" s="6">
        <v>2080792432.8383441</v>
      </c>
      <c r="F837" s="6">
        <v>34.549999237060547</v>
      </c>
      <c r="G837" s="6">
        <v>33.220001220703125</v>
      </c>
      <c r="H837" s="6" t="e">
        <v>#N/A</v>
      </c>
      <c r="I837" s="6">
        <v>-0.22979009975120701</v>
      </c>
      <c r="J837" s="6">
        <v>0</v>
      </c>
      <c r="K837" s="6">
        <v>32.835820895522389</v>
      </c>
      <c r="L837" t="s">
        <v>17</v>
      </c>
      <c r="M837" t="s">
        <v>18</v>
      </c>
      <c r="N837" s="4" t="s">
        <v>5018</v>
      </c>
      <c r="O837" s="4" t="s">
        <v>5019</v>
      </c>
      <c r="P837" s="4" t="s">
        <v>233</v>
      </c>
    </row>
    <row r="838" spans="1:16" x14ac:dyDescent="0.35">
      <c r="A838" t="s">
        <v>9242</v>
      </c>
      <c r="B838" t="s">
        <v>4254</v>
      </c>
      <c r="C838" t="s">
        <v>16</v>
      </c>
      <c r="D838" s="6">
        <v>2365756738.1197281</v>
      </c>
      <c r="E838" s="6">
        <v>1602064738.1197281</v>
      </c>
      <c r="F838" s="6">
        <v>28.569999694824219</v>
      </c>
      <c r="G838" s="6">
        <v>26.360000610351563</v>
      </c>
      <c r="H838" s="6" t="e">
        <v>#N/A</v>
      </c>
      <c r="I838" s="6">
        <v>-0.14424565317319271</v>
      </c>
      <c r="J838" s="6">
        <v>349643000</v>
      </c>
      <c r="K838" s="6">
        <v>57.821585944268207</v>
      </c>
      <c r="L838" t="s">
        <v>17</v>
      </c>
      <c r="M838" t="s">
        <v>18</v>
      </c>
      <c r="N838" s="4" t="s">
        <v>4255</v>
      </c>
      <c r="O838" s="4" t="s">
        <v>4256</v>
      </c>
      <c r="P838" s="4" t="s">
        <v>233</v>
      </c>
    </row>
    <row r="839" spans="1:16" x14ac:dyDescent="0.35">
      <c r="A839" t="s">
        <v>9243</v>
      </c>
      <c r="B839" t="s">
        <v>4307</v>
      </c>
      <c r="C839" t="s">
        <v>16</v>
      </c>
      <c r="D839" s="6">
        <v>1738410225.089462</v>
      </c>
      <c r="E839" s="6">
        <v>1469875225.089462</v>
      </c>
      <c r="F839" s="6">
        <v>23.860000610351563</v>
      </c>
      <c r="G839" s="6">
        <v>23.940000534057617</v>
      </c>
      <c r="H839" s="6" t="e">
        <v>#N/A</v>
      </c>
      <c r="I839" s="6">
        <v>-0.16269341168051676</v>
      </c>
      <c r="J839" s="6">
        <v>193348000</v>
      </c>
      <c r="K839" s="6" t="e">
        <v>#N/A</v>
      </c>
      <c r="L839" t="s">
        <v>17</v>
      </c>
      <c r="M839" t="s">
        <v>32</v>
      </c>
      <c r="N839" s="4" t="s">
        <v>4308</v>
      </c>
      <c r="O839" s="4" t="s">
        <v>4309</v>
      </c>
      <c r="P839" s="4" t="s">
        <v>233</v>
      </c>
    </row>
    <row r="840" spans="1:16" x14ac:dyDescent="0.35">
      <c r="A840" t="s">
        <v>9244</v>
      </c>
      <c r="B840" t="s">
        <v>9245</v>
      </c>
      <c r="C840" t="s">
        <v>16</v>
      </c>
      <c r="D840" s="6">
        <v>171627286.40475845</v>
      </c>
      <c r="E840" s="6">
        <v>1302636341.0922585</v>
      </c>
      <c r="F840" s="6">
        <v>2.5799999237060547</v>
      </c>
      <c r="G840" s="6">
        <v>2.5299999713897705</v>
      </c>
      <c r="H840" s="6" t="e">
        <v>#N/A</v>
      </c>
      <c r="I840" s="6">
        <v>0.24270263218932353</v>
      </c>
      <c r="J840" s="6">
        <v>732598000</v>
      </c>
      <c r="K840" s="6">
        <v>8.3333333333333162</v>
      </c>
      <c r="L840" t="s">
        <v>6623</v>
      </c>
      <c r="M840" t="s">
        <v>7409</v>
      </c>
      <c r="N840" s="4" t="s">
        <v>9246</v>
      </c>
      <c r="O840" s="4" t="s">
        <v>9247</v>
      </c>
      <c r="P840" s="4" t="s">
        <v>233</v>
      </c>
    </row>
    <row r="841" spans="1:16" x14ac:dyDescent="0.35">
      <c r="A841" t="s">
        <v>9248</v>
      </c>
      <c r="B841" t="s">
        <v>9249</v>
      </c>
      <c r="C841" t="s">
        <v>16</v>
      </c>
      <c r="D841" s="6">
        <v>441771123.27518463</v>
      </c>
      <c r="E841" s="6">
        <v>480444123.27518463</v>
      </c>
      <c r="F841" s="6">
        <v>9.2700004577636719</v>
      </c>
      <c r="G841" s="6">
        <v>9.3100004196166992</v>
      </c>
      <c r="H841" s="6" t="e">
        <v>#N/A</v>
      </c>
      <c r="I841" s="6">
        <v>-0.11684222470670702</v>
      </c>
      <c r="J841" s="6">
        <v>286682000</v>
      </c>
      <c r="K841" s="6">
        <v>29.896907216494839</v>
      </c>
      <c r="L841" t="s">
        <v>6518</v>
      </c>
      <c r="M841" t="s">
        <v>6807</v>
      </c>
      <c r="N841" s="4" t="s">
        <v>9250</v>
      </c>
      <c r="O841" s="4" t="s">
        <v>9251</v>
      </c>
      <c r="P841" s="4" t="s">
        <v>233</v>
      </c>
    </row>
    <row r="842" spans="1:16" x14ac:dyDescent="0.35">
      <c r="A842" t="s">
        <v>9252</v>
      </c>
      <c r="B842" t="s">
        <v>9253</v>
      </c>
      <c r="C842" t="s">
        <v>16</v>
      </c>
      <c r="D842" s="6">
        <v>813723844.32525241</v>
      </c>
      <c r="E842" s="6">
        <v>2331549844.3252521</v>
      </c>
      <c r="F842" s="6">
        <v>18.379999160766602</v>
      </c>
      <c r="G842" s="6">
        <v>18.270000457763672</v>
      </c>
      <c r="H842" s="6">
        <v>10.913821280982578</v>
      </c>
      <c r="I842" s="6">
        <v>-6.2759603754656834E-2</v>
      </c>
      <c r="J842" s="6">
        <v>2121800000.0000002</v>
      </c>
      <c r="K842" s="6">
        <v>96.666666666666657</v>
      </c>
      <c r="L842" t="s">
        <v>6547</v>
      </c>
      <c r="M842" t="s">
        <v>6802</v>
      </c>
      <c r="N842" s="4" t="s">
        <v>9254</v>
      </c>
      <c r="O842" s="4" t="s">
        <v>9255</v>
      </c>
      <c r="P842" s="4" t="s">
        <v>233</v>
      </c>
    </row>
    <row r="843" spans="1:16" x14ac:dyDescent="0.35">
      <c r="A843" t="s">
        <v>9256</v>
      </c>
      <c r="B843" t="s">
        <v>4152</v>
      </c>
      <c r="C843" t="s">
        <v>16</v>
      </c>
      <c r="D843" s="6">
        <v>1114225147.4485531</v>
      </c>
      <c r="E843" s="6">
        <v>947434147.44855309</v>
      </c>
      <c r="F843" s="6">
        <v>7.5500001907348633</v>
      </c>
      <c r="G843" s="6">
        <v>7.5500001907348633</v>
      </c>
      <c r="H843" s="6" t="e">
        <v>#N/A</v>
      </c>
      <c r="I843" s="6">
        <v>0.92257430435788756</v>
      </c>
      <c r="J843" s="6">
        <v>178957000</v>
      </c>
      <c r="K843" s="6">
        <v>30.769230769230766</v>
      </c>
      <c r="L843" t="s">
        <v>17</v>
      </c>
      <c r="M843" t="s">
        <v>100</v>
      </c>
      <c r="N843" s="4" t="s">
        <v>4153</v>
      </c>
      <c r="O843" s="4" t="s">
        <v>4154</v>
      </c>
      <c r="P843" s="4" t="s">
        <v>233</v>
      </c>
    </row>
    <row r="844" spans="1:16" x14ac:dyDescent="0.35">
      <c r="A844" t="s">
        <v>9257</v>
      </c>
      <c r="B844" t="s">
        <v>9258</v>
      </c>
      <c r="C844" t="s">
        <v>16</v>
      </c>
      <c r="D844" s="6">
        <v>2092841402.967773</v>
      </c>
      <c r="E844" s="6">
        <v>2219880402.967773</v>
      </c>
      <c r="F844" s="6">
        <v>41.819999694824219</v>
      </c>
      <c r="G844" s="6">
        <v>42.400001525878906</v>
      </c>
      <c r="H844" s="6">
        <v>19.363612103056003</v>
      </c>
      <c r="I844" s="6">
        <v>-0.32346197405834953</v>
      </c>
      <c r="J844" s="6">
        <v>1166910000</v>
      </c>
      <c r="K844" s="6">
        <v>-61.091251748098493</v>
      </c>
      <c r="L844" t="s">
        <v>6547</v>
      </c>
      <c r="M844" t="s">
        <v>6668</v>
      </c>
      <c r="N844" s="4" t="s">
        <v>9259</v>
      </c>
      <c r="O844" s="4" t="s">
        <v>9260</v>
      </c>
      <c r="P844" s="4" t="s">
        <v>233</v>
      </c>
    </row>
    <row r="845" spans="1:16" x14ac:dyDescent="0.35">
      <c r="A845" t="s">
        <v>9261</v>
      </c>
      <c r="B845" t="s">
        <v>9262</v>
      </c>
      <c r="C845" t="s">
        <v>16</v>
      </c>
      <c r="D845" s="6">
        <v>4191201373.1473389</v>
      </c>
      <c r="E845" s="6">
        <v>4440279373.1473389</v>
      </c>
      <c r="F845" s="6">
        <v>356.83999633789063</v>
      </c>
      <c r="G845" s="6">
        <v>357.67999267578125</v>
      </c>
      <c r="H845" s="6">
        <v>35.773981930538945</v>
      </c>
      <c r="I845" s="6">
        <v>0.15450559930768026</v>
      </c>
      <c r="J845" s="6">
        <v>1034033000</v>
      </c>
      <c r="K845" s="6">
        <v>-0.20366598778005449</v>
      </c>
      <c r="L845" t="s">
        <v>6547</v>
      </c>
      <c r="M845" t="s">
        <v>6668</v>
      </c>
      <c r="N845" s="4" t="s">
        <v>9263</v>
      </c>
      <c r="O845" s="4" t="s">
        <v>9264</v>
      </c>
      <c r="P845" s="4" t="s">
        <v>233</v>
      </c>
    </row>
    <row r="846" spans="1:16" x14ac:dyDescent="0.35">
      <c r="A846" t="s">
        <v>9265</v>
      </c>
      <c r="B846" t="s">
        <v>4003</v>
      </c>
      <c r="C846" t="s">
        <v>16</v>
      </c>
      <c r="D846" s="6">
        <v>202434480.16743562</v>
      </c>
      <c r="E846" s="6">
        <v>171795480.16743562</v>
      </c>
      <c r="F846" s="6">
        <v>9.130000114440918</v>
      </c>
      <c r="G846" s="6">
        <v>8.5</v>
      </c>
      <c r="H846" s="6" t="e">
        <v>#N/A</v>
      </c>
      <c r="I846" s="6">
        <v>-0.26250042714777877</v>
      </c>
      <c r="J846" s="6">
        <v>42000</v>
      </c>
      <c r="K846" s="6">
        <v>-42.721368749885222</v>
      </c>
      <c r="L846" t="s">
        <v>17</v>
      </c>
      <c r="M846" t="s">
        <v>18</v>
      </c>
      <c r="N846" s="4" t="s">
        <v>4004</v>
      </c>
      <c r="O846" s="4" t="s">
        <v>4005</v>
      </c>
      <c r="P846" s="4" t="s">
        <v>233</v>
      </c>
    </row>
    <row r="847" spans="1:16" x14ac:dyDescent="0.35">
      <c r="A847" t="s">
        <v>9266</v>
      </c>
      <c r="B847" t="s">
        <v>4164</v>
      </c>
      <c r="C847" t="s">
        <v>16</v>
      </c>
      <c r="D847" s="6">
        <v>6038224318.0877762</v>
      </c>
      <c r="E847" s="6">
        <v>7513179318.0877762</v>
      </c>
      <c r="F847" s="6">
        <v>31.950000762939453</v>
      </c>
      <c r="G847" s="6">
        <v>30.5</v>
      </c>
      <c r="H847" s="6" t="e">
        <v>#N/A</v>
      </c>
      <c r="I847" s="6">
        <v>-0.10351843693204577</v>
      </c>
      <c r="J847" s="6">
        <v>217765000</v>
      </c>
      <c r="K847" s="6">
        <v>38.205128205128197</v>
      </c>
      <c r="L847" t="s">
        <v>17</v>
      </c>
      <c r="M847" t="s">
        <v>18</v>
      </c>
      <c r="N847" s="4" t="s">
        <v>4165</v>
      </c>
      <c r="O847" s="4" t="s">
        <v>4166</v>
      </c>
      <c r="P847" s="4" t="s">
        <v>233</v>
      </c>
    </row>
    <row r="848" spans="1:16" x14ac:dyDescent="0.35">
      <c r="A848" t="s">
        <v>9267</v>
      </c>
      <c r="B848" t="s">
        <v>9268</v>
      </c>
      <c r="C848" t="s">
        <v>16</v>
      </c>
      <c r="D848" s="6">
        <v>928091905.59468865</v>
      </c>
      <c r="E848" s="6">
        <v>1041052905.5946887</v>
      </c>
      <c r="F848" s="6">
        <v>1.3999999761581421</v>
      </c>
      <c r="G848" s="6">
        <v>1.4600000381469727</v>
      </c>
      <c r="H848" s="6">
        <v>22.294413277249223</v>
      </c>
      <c r="I848" s="6">
        <v>-0.3540657303023641</v>
      </c>
      <c r="J848" s="6">
        <v>433646000</v>
      </c>
      <c r="K848" s="6">
        <v>-50</v>
      </c>
      <c r="L848" t="s">
        <v>6735</v>
      </c>
      <c r="M848" t="s">
        <v>7752</v>
      </c>
      <c r="N848" s="4" t="s">
        <v>9269</v>
      </c>
      <c r="O848" s="4" t="s">
        <v>9270</v>
      </c>
      <c r="P848" s="4" t="s">
        <v>233</v>
      </c>
    </row>
    <row r="849" spans="1:16" x14ac:dyDescent="0.35">
      <c r="A849" t="s">
        <v>9272</v>
      </c>
      <c r="B849" t="s">
        <v>3828</v>
      </c>
      <c r="C849" t="s">
        <v>16</v>
      </c>
      <c r="D849" s="6">
        <v>902964504.67313957</v>
      </c>
      <c r="E849" s="6">
        <v>947804504.67313957</v>
      </c>
      <c r="F849" s="6">
        <v>14.260000228881836</v>
      </c>
      <c r="G849" s="6">
        <v>13.430000305175781</v>
      </c>
      <c r="H849" s="6" t="e">
        <v>#N/A</v>
      </c>
      <c r="I849" s="6">
        <v>3.8494145721056139E-2</v>
      </c>
      <c r="J849" s="6">
        <v>248326000</v>
      </c>
      <c r="K849" s="6">
        <v>18.309454558511987</v>
      </c>
      <c r="L849" t="s">
        <v>17</v>
      </c>
      <c r="M849" t="s">
        <v>87</v>
      </c>
      <c r="N849" s="4" t="s">
        <v>3829</v>
      </c>
      <c r="O849" s="4" t="s">
        <v>3830</v>
      </c>
      <c r="P849" s="4" t="s">
        <v>233</v>
      </c>
    </row>
    <row r="850" spans="1:16" x14ac:dyDescent="0.35">
      <c r="A850" t="s">
        <v>9273</v>
      </c>
      <c r="B850" t="s">
        <v>9274</v>
      </c>
      <c r="C850" t="s">
        <v>16</v>
      </c>
      <c r="D850" s="6">
        <v>1051152554.4283097</v>
      </c>
      <c r="E850" s="6">
        <v>1257152554.4283097</v>
      </c>
      <c r="F850" s="6">
        <v>1.4700000286102295</v>
      </c>
      <c r="G850" s="6">
        <v>1.309999942779541</v>
      </c>
      <c r="H850" s="6" t="e">
        <v>#N/A</v>
      </c>
      <c r="I850" s="6">
        <v>-0.58607954573227194</v>
      </c>
      <c r="J850" s="6">
        <v>4939000000</v>
      </c>
      <c r="K850" s="6">
        <v>40.659340659340657</v>
      </c>
      <c r="L850" t="s">
        <v>6623</v>
      </c>
      <c r="M850" t="s">
        <v>6634</v>
      </c>
      <c r="N850" s="4" t="s">
        <v>9275</v>
      </c>
      <c r="O850" s="4" t="s">
        <v>9276</v>
      </c>
      <c r="P850" s="4" t="s">
        <v>233</v>
      </c>
    </row>
    <row r="851" spans="1:16" x14ac:dyDescent="0.35">
      <c r="A851" t="s">
        <v>9277</v>
      </c>
      <c r="B851" t="s">
        <v>9278</v>
      </c>
      <c r="C851" t="s">
        <v>16</v>
      </c>
      <c r="D851" s="6">
        <v>2061692689.1327136</v>
      </c>
      <c r="E851" s="6">
        <v>2560692689.1327133</v>
      </c>
      <c r="F851" s="6">
        <v>49.020000457763672</v>
      </c>
      <c r="G851" s="6">
        <v>49.259998321533203</v>
      </c>
      <c r="H851" s="6">
        <v>9.8826402127819239</v>
      </c>
      <c r="I851" s="6">
        <v>0.59901184879768654</v>
      </c>
      <c r="J851" s="6">
        <v>3500000000</v>
      </c>
      <c r="K851" s="6">
        <v>-60.989696785676855</v>
      </c>
      <c r="L851" t="s">
        <v>6540</v>
      </c>
      <c r="M851" t="s">
        <v>6881</v>
      </c>
      <c r="N851" s="4" t="s">
        <v>9279</v>
      </c>
      <c r="O851" s="4" t="s">
        <v>9280</v>
      </c>
      <c r="P851" s="4" t="s">
        <v>233</v>
      </c>
    </row>
    <row r="852" spans="1:16" x14ac:dyDescent="0.35">
      <c r="A852" t="s">
        <v>9281</v>
      </c>
      <c r="B852" t="s">
        <v>9282</v>
      </c>
      <c r="C852" t="s">
        <v>16</v>
      </c>
      <c r="D852" s="6">
        <v>611631164.41184032</v>
      </c>
      <c r="E852" s="6" t="e">
        <v>#N/A</v>
      </c>
      <c r="F852" s="6">
        <v>18.469999313354492</v>
      </c>
      <c r="G852" s="6">
        <v>18.489999771118164</v>
      </c>
      <c r="H852" s="6">
        <v>10.000692691943184</v>
      </c>
      <c r="I852" s="6">
        <v>0.17815601985374019</v>
      </c>
      <c r="J852" s="6">
        <v>470368000</v>
      </c>
      <c r="K852" s="6">
        <v>48.872180451127804</v>
      </c>
      <c r="L852" t="s">
        <v>6529</v>
      </c>
      <c r="M852" t="s">
        <v>6639</v>
      </c>
      <c r="N852" s="4" t="s">
        <v>9283</v>
      </c>
      <c r="O852" s="4" t="s">
        <v>9284</v>
      </c>
      <c r="P852" s="4" t="s">
        <v>233</v>
      </c>
    </row>
    <row r="853" spans="1:16" x14ac:dyDescent="0.35">
      <c r="A853" t="s">
        <v>9285</v>
      </c>
      <c r="B853" t="s">
        <v>9286</v>
      </c>
      <c r="C853" t="s">
        <v>16</v>
      </c>
      <c r="D853" s="6">
        <v>199368219.52096939</v>
      </c>
      <c r="E853" s="6" t="e">
        <v>#N/A</v>
      </c>
      <c r="F853" s="6">
        <v>21.600000381469727</v>
      </c>
      <c r="G853" s="6">
        <v>21.549999237060547</v>
      </c>
      <c r="H853" s="6">
        <v>180.0000031789144</v>
      </c>
      <c r="I853" s="6">
        <v>5.1515223441791047E-2</v>
      </c>
      <c r="J853" s="6">
        <v>80166000</v>
      </c>
      <c r="K853" s="6">
        <v>-82.608695652173907</v>
      </c>
      <c r="L853" t="s">
        <v>6529</v>
      </c>
      <c r="M853" t="s">
        <v>6530</v>
      </c>
      <c r="N853" s="4" t="s">
        <v>9287</v>
      </c>
      <c r="O853" s="4" t="s">
        <v>9288</v>
      </c>
      <c r="P853" s="4" t="s">
        <v>233</v>
      </c>
    </row>
    <row r="854" spans="1:16" x14ac:dyDescent="0.35">
      <c r="A854" t="s">
        <v>9289</v>
      </c>
      <c r="B854" t="s">
        <v>9290</v>
      </c>
      <c r="C854" t="s">
        <v>16</v>
      </c>
      <c r="D854" s="6">
        <v>158027950.38446048</v>
      </c>
      <c r="E854" s="6">
        <v>102709950.38446048</v>
      </c>
      <c r="F854" s="6">
        <v>8.130000114440918</v>
      </c>
      <c r="G854" s="6">
        <v>8.0600004196166992</v>
      </c>
      <c r="H854" s="6" t="e">
        <v>#N/A</v>
      </c>
      <c r="I854" s="6">
        <v>-0.45924929458671948</v>
      </c>
      <c r="J854" s="6">
        <v>66445000</v>
      </c>
      <c r="K854" s="6" t="e">
        <v>#N/A</v>
      </c>
      <c r="L854" t="s">
        <v>6563</v>
      </c>
      <c r="M854" t="s">
        <v>6564</v>
      </c>
      <c r="N854" s="4" t="s">
        <v>9291</v>
      </c>
      <c r="O854" s="4" t="s">
        <v>9292</v>
      </c>
      <c r="P854" s="4" t="s">
        <v>233</v>
      </c>
    </row>
    <row r="855" spans="1:16" x14ac:dyDescent="0.35">
      <c r="A855" t="s">
        <v>9293</v>
      </c>
      <c r="B855" t="s">
        <v>1953</v>
      </c>
      <c r="C855" t="s">
        <v>16</v>
      </c>
      <c r="D855" s="6">
        <v>288714960.03078461</v>
      </c>
      <c r="E855" s="6">
        <v>233819960.03078461</v>
      </c>
      <c r="F855" s="6">
        <v>4.3400001525878906</v>
      </c>
      <c r="G855" s="6">
        <v>4.119999885559082</v>
      </c>
      <c r="H855" s="6" t="e">
        <v>#N/A</v>
      </c>
      <c r="I855" s="6">
        <v>1.3789601054993286</v>
      </c>
      <c r="J855" s="6">
        <v>689000</v>
      </c>
      <c r="K855" s="6">
        <v>-2.5869498962794961</v>
      </c>
      <c r="L855" t="s">
        <v>17</v>
      </c>
      <c r="M855" t="s">
        <v>18</v>
      </c>
      <c r="N855" s="4" t="s">
        <v>1954</v>
      </c>
      <c r="O855" s="4" t="s">
        <v>1955</v>
      </c>
      <c r="P855" s="4" t="s">
        <v>233</v>
      </c>
    </row>
    <row r="856" spans="1:16" x14ac:dyDescent="0.35">
      <c r="A856" t="s">
        <v>9294</v>
      </c>
      <c r="B856" t="s">
        <v>9295</v>
      </c>
      <c r="C856" t="s">
        <v>16</v>
      </c>
      <c r="D856" s="6">
        <v>698395859.28964603</v>
      </c>
      <c r="E856" s="6" t="e">
        <v>#N/A</v>
      </c>
      <c r="F856" s="6">
        <v>62.369998931884766</v>
      </c>
      <c r="G856" s="6">
        <v>61.810001373291016</v>
      </c>
      <c r="H856" s="6">
        <v>9.4583045161448229</v>
      </c>
      <c r="I856" s="6">
        <v>0.42033436107524236</v>
      </c>
      <c r="J856" s="6">
        <v>492208000</v>
      </c>
      <c r="K856" s="6">
        <v>-14.100719424460438</v>
      </c>
      <c r="L856" t="s">
        <v>6529</v>
      </c>
      <c r="M856" t="s">
        <v>6530</v>
      </c>
      <c r="N856" s="4" t="s">
        <v>9296</v>
      </c>
      <c r="O856" s="4" t="s">
        <v>9297</v>
      </c>
      <c r="P856" s="4" t="s">
        <v>233</v>
      </c>
    </row>
    <row r="857" spans="1:16" x14ac:dyDescent="0.35">
      <c r="A857" t="s">
        <v>9298</v>
      </c>
      <c r="B857" t="s">
        <v>4025</v>
      </c>
      <c r="C857" t="s">
        <v>16</v>
      </c>
      <c r="D857" s="6">
        <v>299831079.13226116</v>
      </c>
      <c r="E857" s="6">
        <v>100791079.13226119</v>
      </c>
      <c r="F857" s="6">
        <v>1.4299999475479126</v>
      </c>
      <c r="G857" s="6">
        <v>1.3600000143051147</v>
      </c>
      <c r="H857" s="6" t="e">
        <v>#N/A</v>
      </c>
      <c r="I857" s="6">
        <v>-0.7107121772785151</v>
      </c>
      <c r="J857" s="6">
        <v>43000</v>
      </c>
      <c r="K857" s="6">
        <v>30.357142857142872</v>
      </c>
      <c r="L857" t="s">
        <v>17</v>
      </c>
      <c r="M857" t="s">
        <v>18</v>
      </c>
      <c r="N857" s="4" t="s">
        <v>4026</v>
      </c>
      <c r="O857" s="4" t="s">
        <v>4027</v>
      </c>
      <c r="P857" s="4" t="s">
        <v>233</v>
      </c>
    </row>
    <row r="858" spans="1:16" x14ac:dyDescent="0.35">
      <c r="A858" t="s">
        <v>9299</v>
      </c>
      <c r="B858" t="s">
        <v>9300</v>
      </c>
      <c r="C858" t="s">
        <v>16</v>
      </c>
      <c r="D858" s="6">
        <v>1000461190.8220801</v>
      </c>
      <c r="E858" s="6">
        <v>1494246190.8220801</v>
      </c>
      <c r="F858" s="6">
        <v>7.6500000953674316</v>
      </c>
      <c r="G858" s="6">
        <v>7.6399998664855957</v>
      </c>
      <c r="H858" s="6">
        <v>13.747791988483181</v>
      </c>
      <c r="I858" s="6">
        <v>-0.24572288720650548</v>
      </c>
      <c r="J858" s="6">
        <v>404720000</v>
      </c>
      <c r="K858" s="6">
        <v>-64.22764227642277</v>
      </c>
      <c r="L858" t="s">
        <v>6514</v>
      </c>
      <c r="M858" t="s">
        <v>7882</v>
      </c>
      <c r="N858" s="4" t="s">
        <v>9301</v>
      </c>
      <c r="O858" s="4" t="s">
        <v>9302</v>
      </c>
      <c r="P858" s="4" t="s">
        <v>233</v>
      </c>
    </row>
    <row r="859" spans="1:16" x14ac:dyDescent="0.35">
      <c r="A859" t="s">
        <v>9303</v>
      </c>
      <c r="B859" t="s">
        <v>9304</v>
      </c>
      <c r="C859" t="s">
        <v>16</v>
      </c>
      <c r="D859" s="6">
        <v>2222711271.8285756</v>
      </c>
      <c r="E859" s="6">
        <v>1876587271.8285756</v>
      </c>
      <c r="F859" s="6">
        <v>33.799999237060547</v>
      </c>
      <c r="G859" s="6">
        <v>33.880001068115234</v>
      </c>
      <c r="H859" s="6">
        <v>87113.400095510762</v>
      </c>
      <c r="I859" s="6">
        <v>-9.721039646841656E-2</v>
      </c>
      <c r="J859" s="6">
        <v>728708000</v>
      </c>
      <c r="K859" s="6">
        <v>93.333333333333329</v>
      </c>
      <c r="L859" t="s">
        <v>6518</v>
      </c>
      <c r="M859" t="s">
        <v>6519</v>
      </c>
      <c r="N859" s="4" t="s">
        <v>9305</v>
      </c>
      <c r="O859" s="4" t="s">
        <v>9306</v>
      </c>
      <c r="P859" s="4" t="s">
        <v>233</v>
      </c>
    </row>
    <row r="860" spans="1:16" x14ac:dyDescent="0.35">
      <c r="A860" t="s">
        <v>9307</v>
      </c>
      <c r="B860" t="s">
        <v>9308</v>
      </c>
      <c r="C860" t="s">
        <v>16</v>
      </c>
      <c r="D860" s="6">
        <v>235885291.758522</v>
      </c>
      <c r="E860" s="6">
        <v>3355390291.758522</v>
      </c>
      <c r="F860" s="6">
        <v>11.020000457763672</v>
      </c>
      <c r="G860" s="6">
        <v>10.939999580383301</v>
      </c>
      <c r="H860" s="6">
        <v>12.666667192831806</v>
      </c>
      <c r="I860" s="6">
        <v>0.24165361480429048</v>
      </c>
      <c r="J860" s="6">
        <v>380182000</v>
      </c>
      <c r="K860" s="6">
        <v>-60.474308300395265</v>
      </c>
      <c r="L860" t="s">
        <v>6529</v>
      </c>
      <c r="M860" t="s">
        <v>6646</v>
      </c>
      <c r="N860" s="4" t="s">
        <v>9309</v>
      </c>
      <c r="O860" s="4" t="s">
        <v>9310</v>
      </c>
      <c r="P860" s="4" t="s">
        <v>233</v>
      </c>
    </row>
    <row r="861" spans="1:16" x14ac:dyDescent="0.35">
      <c r="A861" t="s">
        <v>9311</v>
      </c>
      <c r="B861" t="s">
        <v>9312</v>
      </c>
      <c r="C861" t="s">
        <v>16</v>
      </c>
      <c r="D861" s="6">
        <v>2251568095.2710757</v>
      </c>
      <c r="E861" s="6">
        <v>2497868095.2710757</v>
      </c>
      <c r="F861" s="6">
        <v>13.909999847412109</v>
      </c>
      <c r="G861" s="6">
        <v>14.100000381469727</v>
      </c>
      <c r="H861" s="6">
        <v>3.6902502704447055</v>
      </c>
      <c r="I861" s="6">
        <v>0.14162176958876027</v>
      </c>
      <c r="J861" s="6">
        <v>2636800000</v>
      </c>
      <c r="K861" s="6">
        <v>26.617895449676855</v>
      </c>
      <c r="L861" t="s">
        <v>6529</v>
      </c>
      <c r="M861" t="s">
        <v>6664</v>
      </c>
      <c r="N861" s="4" t="s">
        <v>233</v>
      </c>
      <c r="O861" s="4" t="s">
        <v>9313</v>
      </c>
      <c r="P861" s="4" t="s">
        <v>13233</v>
      </c>
    </row>
    <row r="862" spans="1:16" x14ac:dyDescent="0.35">
      <c r="A862" t="s">
        <v>9314</v>
      </c>
      <c r="B862" t="s">
        <v>9315</v>
      </c>
      <c r="C862" t="s">
        <v>16</v>
      </c>
      <c r="D862" s="6">
        <v>505410062.72337431</v>
      </c>
      <c r="E862" s="6" t="e">
        <v>#N/A</v>
      </c>
      <c r="F862" s="6">
        <v>11.779999732971191</v>
      </c>
      <c r="G862" s="6">
        <v>12.029999732971191</v>
      </c>
      <c r="H862" s="6">
        <v>16.361110740237766</v>
      </c>
      <c r="I862" s="6">
        <v>0.10393353169645336</v>
      </c>
      <c r="J862" s="6">
        <v>254730000</v>
      </c>
      <c r="K862" s="6">
        <v>-16.279069767441865</v>
      </c>
      <c r="L862" t="s">
        <v>6529</v>
      </c>
      <c r="M862" t="s">
        <v>6530</v>
      </c>
      <c r="N862" s="4" t="s">
        <v>9316</v>
      </c>
      <c r="O862" s="4" t="s">
        <v>9317</v>
      </c>
      <c r="P862" s="4" t="s">
        <v>233</v>
      </c>
    </row>
    <row r="863" spans="1:16" x14ac:dyDescent="0.35">
      <c r="A863" t="s">
        <v>12957</v>
      </c>
      <c r="B863" t="s">
        <v>12958</v>
      </c>
      <c r="C863" t="s">
        <v>16</v>
      </c>
      <c r="D863" s="6">
        <v>1094059134.0918541</v>
      </c>
      <c r="E863" s="6">
        <v>1425589134.0918541</v>
      </c>
      <c r="F863" s="6">
        <v>20.530000686645508</v>
      </c>
      <c r="G863" s="6">
        <v>20.430000305175781</v>
      </c>
      <c r="H863" s="6">
        <v>132.92586250717406</v>
      </c>
      <c r="I863" s="6">
        <v>-9.0953298186791098E-2</v>
      </c>
      <c r="J863" s="6">
        <v>1237651000</v>
      </c>
      <c r="K863" s="6">
        <v>-13399.205929062784</v>
      </c>
      <c r="L863" t="s">
        <v>6518</v>
      </c>
      <c r="M863" t="s">
        <v>6807</v>
      </c>
      <c r="N863" s="4" t="s">
        <v>233</v>
      </c>
      <c r="O863" s="4" t="s">
        <v>9318</v>
      </c>
      <c r="P863" s="4" t="s">
        <v>13234</v>
      </c>
    </row>
    <row r="864" spans="1:16" x14ac:dyDescent="0.35">
      <c r="A864" t="s">
        <v>9319</v>
      </c>
      <c r="B864" t="s">
        <v>9320</v>
      </c>
      <c r="C864" t="s">
        <v>16</v>
      </c>
      <c r="D864" s="6">
        <v>3269095397.8333683</v>
      </c>
      <c r="E864" s="6">
        <v>3527360397.8333683</v>
      </c>
      <c r="F864" s="6">
        <v>18.510000228881836</v>
      </c>
      <c r="G864" s="6">
        <v>17.799999237060547</v>
      </c>
      <c r="H864" s="6" t="e">
        <v>#N/A</v>
      </c>
      <c r="I864" s="6">
        <v>1.1354411674175675</v>
      </c>
      <c r="J864" s="6">
        <v>319101000</v>
      </c>
      <c r="K864" s="6">
        <v>-883.98642804869928</v>
      </c>
      <c r="L864" t="s">
        <v>6514</v>
      </c>
      <c r="M864" t="s">
        <v>6578</v>
      </c>
      <c r="N864" s="4" t="s">
        <v>9321</v>
      </c>
      <c r="O864" s="4" t="s">
        <v>9322</v>
      </c>
      <c r="P864" s="4" t="s">
        <v>233</v>
      </c>
    </row>
    <row r="865" spans="1:16" x14ac:dyDescent="0.35">
      <c r="A865" t="s">
        <v>9323</v>
      </c>
      <c r="B865" t="s">
        <v>5127</v>
      </c>
      <c r="C865" t="s">
        <v>16</v>
      </c>
      <c r="D865" s="6">
        <v>94920518.132968664</v>
      </c>
      <c r="E865" s="6">
        <v>-75519481.867031336</v>
      </c>
      <c r="F865" s="6">
        <v>1.4099999666213989</v>
      </c>
      <c r="G865" s="6">
        <v>1.3899999856948853</v>
      </c>
      <c r="H865" s="6" t="e">
        <v>#N/A</v>
      </c>
      <c r="I865" s="6">
        <v>-0.6640806719795046</v>
      </c>
      <c r="J865" s="6">
        <v>0</v>
      </c>
      <c r="K865" s="6">
        <v>89.518647571105504</v>
      </c>
      <c r="L865" t="s">
        <v>17</v>
      </c>
      <c r="M865" t="s">
        <v>18</v>
      </c>
      <c r="N865" s="4" t="s">
        <v>233</v>
      </c>
      <c r="O865" s="4" t="s">
        <v>5128</v>
      </c>
      <c r="P865" s="4" t="s">
        <v>13091</v>
      </c>
    </row>
    <row r="866" spans="1:16" x14ac:dyDescent="0.35">
      <c r="A866" t="s">
        <v>9324</v>
      </c>
      <c r="B866" t="s">
        <v>9325</v>
      </c>
      <c r="C866" t="s">
        <v>16</v>
      </c>
      <c r="D866" s="6">
        <v>1674716604.951376</v>
      </c>
      <c r="E866" s="6">
        <v>1938281604.951376</v>
      </c>
      <c r="F866" s="6">
        <v>24.989999771118164</v>
      </c>
      <c r="G866" s="6">
        <v>21.840000152587891</v>
      </c>
      <c r="H866" s="6" t="e">
        <v>#N/A</v>
      </c>
      <c r="I866" s="6">
        <v>7.0154524690104356</v>
      </c>
      <c r="J866" s="6">
        <v>243800000</v>
      </c>
      <c r="K866" s="6">
        <v>65.071770334928232</v>
      </c>
      <c r="L866" t="s">
        <v>6547</v>
      </c>
      <c r="M866" t="s">
        <v>6843</v>
      </c>
      <c r="N866" s="4" t="s">
        <v>9326</v>
      </c>
      <c r="O866" s="4" t="s">
        <v>9327</v>
      </c>
      <c r="P866" s="4" t="s">
        <v>233</v>
      </c>
    </row>
    <row r="867" spans="1:16" x14ac:dyDescent="0.35">
      <c r="A867" t="s">
        <v>9328</v>
      </c>
      <c r="B867" t="s">
        <v>9329</v>
      </c>
      <c r="C867" t="s">
        <v>16</v>
      </c>
      <c r="D867" s="6">
        <v>337051113.49646562</v>
      </c>
      <c r="E867" s="6">
        <v>384020113.49646562</v>
      </c>
      <c r="F867" s="6">
        <v>7.1700000762939453</v>
      </c>
      <c r="G867" s="6">
        <v>7.380000114440918</v>
      </c>
      <c r="H867" s="6">
        <v>21.760375104838101</v>
      </c>
      <c r="I867" s="6">
        <v>0.17106189063775656</v>
      </c>
      <c r="J867" s="6">
        <v>858700000</v>
      </c>
      <c r="K867" s="6">
        <v>20.833333333333339</v>
      </c>
      <c r="L867" t="s">
        <v>6547</v>
      </c>
      <c r="M867" t="s">
        <v>9330</v>
      </c>
      <c r="N867" s="4" t="s">
        <v>9331</v>
      </c>
      <c r="O867" s="4" t="s">
        <v>9332</v>
      </c>
      <c r="P867" s="4" t="s">
        <v>233</v>
      </c>
    </row>
    <row r="868" spans="1:16" x14ac:dyDescent="0.35">
      <c r="A868" t="s">
        <v>9333</v>
      </c>
      <c r="B868" t="s">
        <v>9334</v>
      </c>
      <c r="C868" t="s">
        <v>16</v>
      </c>
      <c r="D868" s="6">
        <v>690817909.10808659</v>
      </c>
      <c r="E868" s="6">
        <v>1328108909.1080866</v>
      </c>
      <c r="F868" s="6">
        <v>13.640000343322754</v>
      </c>
      <c r="G868" s="6">
        <v>13.460000038146973</v>
      </c>
      <c r="H868" s="6">
        <v>64.033050927506295</v>
      </c>
      <c r="I868" s="6">
        <v>0.11020964303991909</v>
      </c>
      <c r="J868" s="6">
        <v>150968000</v>
      </c>
      <c r="K868" s="6">
        <v>-44.736842105263158</v>
      </c>
      <c r="L868" t="s">
        <v>6623</v>
      </c>
      <c r="M868" t="s">
        <v>7043</v>
      </c>
      <c r="N868" s="4" t="s">
        <v>9335</v>
      </c>
      <c r="O868" s="4" t="s">
        <v>9336</v>
      </c>
      <c r="P868" s="4" t="s">
        <v>233</v>
      </c>
    </row>
    <row r="869" spans="1:16" x14ac:dyDescent="0.35">
      <c r="A869" t="s">
        <v>9337</v>
      </c>
      <c r="B869" t="s">
        <v>9338</v>
      </c>
      <c r="C869" t="s">
        <v>16</v>
      </c>
      <c r="D869" s="6">
        <v>2290670234.252574</v>
      </c>
      <c r="E869" s="6">
        <v>5124670234.252574</v>
      </c>
      <c r="F869" s="6">
        <v>15.800000190734863</v>
      </c>
      <c r="G869" s="6">
        <v>15.979999542236328</v>
      </c>
      <c r="H869" s="6">
        <v>27.827386005880495</v>
      </c>
      <c r="I869" s="6">
        <v>0.18191246315098297</v>
      </c>
      <c r="J869" s="6">
        <v>10443000000</v>
      </c>
      <c r="K869" s="6">
        <v>84.722222222222229</v>
      </c>
      <c r="L869" t="s">
        <v>6540</v>
      </c>
      <c r="M869" t="s">
        <v>6881</v>
      </c>
      <c r="N869" s="4" t="s">
        <v>9339</v>
      </c>
      <c r="O869" s="4" t="s">
        <v>9340</v>
      </c>
      <c r="P869" s="4" t="s">
        <v>233</v>
      </c>
    </row>
    <row r="870" spans="1:16" x14ac:dyDescent="0.35">
      <c r="A870" t="s">
        <v>9341</v>
      </c>
      <c r="B870" t="s">
        <v>9342</v>
      </c>
      <c r="C870" t="s">
        <v>16</v>
      </c>
      <c r="D870" s="6">
        <v>842416462.40080106</v>
      </c>
      <c r="E870" s="6">
        <v>2655216462.4008012</v>
      </c>
      <c r="F870" s="6">
        <v>3.190000057220459</v>
      </c>
      <c r="G870" s="6">
        <v>3.2100000381469727</v>
      </c>
      <c r="H870" s="6">
        <v>9.2277075864496165</v>
      </c>
      <c r="I870" s="6">
        <v>-0.48660589168152069</v>
      </c>
      <c r="J870" s="6">
        <v>968100000</v>
      </c>
      <c r="K870" s="6" t="e">
        <v>#N/A</v>
      </c>
      <c r="L870" t="s">
        <v>6523</v>
      </c>
      <c r="M870" t="s">
        <v>6588</v>
      </c>
      <c r="N870" s="4" t="s">
        <v>233</v>
      </c>
      <c r="O870" s="4" t="s">
        <v>9343</v>
      </c>
      <c r="P870" s="4" t="s">
        <v>13235</v>
      </c>
    </row>
    <row r="871" spans="1:16" x14ac:dyDescent="0.35">
      <c r="A871" t="s">
        <v>9344</v>
      </c>
      <c r="B871" t="s">
        <v>9345</v>
      </c>
      <c r="C871" t="s">
        <v>16</v>
      </c>
      <c r="D871" s="6">
        <v>3801848630.0215759</v>
      </c>
      <c r="E871" s="6">
        <v>5245113630.0215759</v>
      </c>
      <c r="F871" s="6">
        <v>67.169998168945313</v>
      </c>
      <c r="G871" s="6">
        <v>66.800003051757813</v>
      </c>
      <c r="H871" s="6">
        <v>12.750823273612195</v>
      </c>
      <c r="I871" s="6">
        <v>-0.18803261672507909</v>
      </c>
      <c r="J871" s="6">
        <v>5381831000</v>
      </c>
      <c r="K871" s="6">
        <v>53.618421052631575</v>
      </c>
      <c r="L871" t="s">
        <v>6547</v>
      </c>
      <c r="M871" t="s">
        <v>6548</v>
      </c>
      <c r="N871" s="4" t="s">
        <v>9346</v>
      </c>
      <c r="O871" s="4" t="s">
        <v>9347</v>
      </c>
      <c r="P871" s="4" t="s">
        <v>233</v>
      </c>
    </row>
    <row r="872" spans="1:16" x14ac:dyDescent="0.35">
      <c r="A872" t="s">
        <v>9348</v>
      </c>
      <c r="B872" t="s">
        <v>1245</v>
      </c>
      <c r="C872" t="s">
        <v>16</v>
      </c>
      <c r="D872" s="6">
        <v>7419246442.0543509</v>
      </c>
      <c r="E872" s="6">
        <v>6422673442.0543509</v>
      </c>
      <c r="F872" s="6">
        <v>340.17001342773438</v>
      </c>
      <c r="G872" s="6">
        <v>326.51998901367188</v>
      </c>
      <c r="H872" s="6" t="e">
        <v>#N/A</v>
      </c>
      <c r="I872" s="6">
        <v>0.57051531216740758</v>
      </c>
      <c r="J872" s="6">
        <v>76813000</v>
      </c>
      <c r="K872" s="6">
        <v>-30.353430353430333</v>
      </c>
      <c r="L872" t="s">
        <v>17</v>
      </c>
      <c r="M872" t="s">
        <v>18</v>
      </c>
      <c r="N872" s="4" t="s">
        <v>1246</v>
      </c>
      <c r="O872" s="4" t="s">
        <v>1247</v>
      </c>
      <c r="P872" s="4" t="s">
        <v>233</v>
      </c>
    </row>
    <row r="873" spans="1:16" x14ac:dyDescent="0.35">
      <c r="A873" t="s">
        <v>9349</v>
      </c>
      <c r="B873" t="s">
        <v>603</v>
      </c>
      <c r="C873" t="s">
        <v>16</v>
      </c>
      <c r="D873" s="6">
        <v>2104755586.9371796</v>
      </c>
      <c r="E873" s="6">
        <v>1892469586.9371796</v>
      </c>
      <c r="F873" s="6">
        <v>111.38999938964844</v>
      </c>
      <c r="G873" s="6">
        <v>110.80999755859375</v>
      </c>
      <c r="H873" s="6">
        <v>27.233180568444283</v>
      </c>
      <c r="I873" s="6">
        <v>0.47107700298438981</v>
      </c>
      <c r="J873" s="6">
        <v>152422000</v>
      </c>
      <c r="K873" s="6">
        <v>112.09677419354837</v>
      </c>
      <c r="L873" t="s">
        <v>17</v>
      </c>
      <c r="M873" t="s">
        <v>87</v>
      </c>
      <c r="N873" s="4" t="s">
        <v>604</v>
      </c>
      <c r="O873" s="4" t="s">
        <v>605</v>
      </c>
      <c r="P873" s="4" t="s">
        <v>233</v>
      </c>
    </row>
    <row r="874" spans="1:16" x14ac:dyDescent="0.35">
      <c r="A874" t="s">
        <v>9350</v>
      </c>
      <c r="B874" t="s">
        <v>9351</v>
      </c>
      <c r="C874" t="s">
        <v>16</v>
      </c>
      <c r="D874" s="6">
        <v>7842608683.8990545</v>
      </c>
      <c r="E874" s="6">
        <v>34428947683.899048</v>
      </c>
      <c r="F874" s="6">
        <v>28.850000381469727</v>
      </c>
      <c r="G874" s="6">
        <v>28.110000610351563</v>
      </c>
      <c r="H874" s="6" t="e">
        <v>#N/A</v>
      </c>
      <c r="I874" s="6">
        <v>1.2144024972125051</v>
      </c>
      <c r="J874" s="6">
        <v>27568396000</v>
      </c>
      <c r="K874" s="6" t="e">
        <v>#N/A</v>
      </c>
      <c r="L874" t="s">
        <v>6514</v>
      </c>
      <c r="M874" t="s">
        <v>6534</v>
      </c>
      <c r="N874" s="4" t="s">
        <v>9352</v>
      </c>
      <c r="O874" s="4" t="s">
        <v>9353</v>
      </c>
      <c r="P874" s="4" t="s">
        <v>233</v>
      </c>
    </row>
    <row r="875" spans="1:16" x14ac:dyDescent="0.35">
      <c r="A875" t="s">
        <v>9354</v>
      </c>
      <c r="B875" t="s">
        <v>5462</v>
      </c>
      <c r="C875" t="s">
        <v>16</v>
      </c>
      <c r="D875" s="6">
        <v>358785323</v>
      </c>
      <c r="E875" s="6">
        <v>521735323</v>
      </c>
      <c r="F875" s="6">
        <v>13</v>
      </c>
      <c r="G875" s="6">
        <v>12.930000305175781</v>
      </c>
      <c r="H875" s="6" t="e">
        <v>#N/A</v>
      </c>
      <c r="I875" s="6">
        <v>-0.33801117389497437</v>
      </c>
      <c r="J875" s="6">
        <v>451294000</v>
      </c>
      <c r="K875" s="6">
        <v>49.408284023668642</v>
      </c>
      <c r="L875" t="s">
        <v>17</v>
      </c>
      <c r="M875" t="s">
        <v>27</v>
      </c>
      <c r="N875" s="4" t="s">
        <v>5463</v>
      </c>
      <c r="O875" s="4" t="s">
        <v>5464</v>
      </c>
      <c r="P875" s="4" t="s">
        <v>233</v>
      </c>
    </row>
    <row r="876" spans="1:16" x14ac:dyDescent="0.35">
      <c r="A876" t="s">
        <v>9355</v>
      </c>
      <c r="B876" t="s">
        <v>9356</v>
      </c>
      <c r="C876" t="s">
        <v>16</v>
      </c>
      <c r="D876" s="6">
        <v>394203128.90222549</v>
      </c>
      <c r="E876" s="6">
        <v>389842128.90222549</v>
      </c>
      <c r="F876" s="6">
        <v>20.079999923706055</v>
      </c>
      <c r="G876" s="6">
        <v>20.370000839233398</v>
      </c>
      <c r="H876" s="6" t="e">
        <v>#N/A</v>
      </c>
      <c r="I876" s="6">
        <v>-1.2263709869859363E-2</v>
      </c>
      <c r="J876" s="6">
        <v>12199000</v>
      </c>
      <c r="K876" s="6">
        <v>58.352927443427212</v>
      </c>
      <c r="L876" t="s">
        <v>6623</v>
      </c>
      <c r="M876" t="s">
        <v>6634</v>
      </c>
      <c r="N876" s="4" t="s">
        <v>9357</v>
      </c>
      <c r="O876" s="4" t="s">
        <v>9358</v>
      </c>
      <c r="P876" s="4" t="s">
        <v>233</v>
      </c>
    </row>
    <row r="877" spans="1:16" x14ac:dyDescent="0.35">
      <c r="A877" t="s">
        <v>9359</v>
      </c>
      <c r="B877" t="s">
        <v>9360</v>
      </c>
      <c r="C877" t="s">
        <v>16</v>
      </c>
      <c r="D877" s="6">
        <v>1258260253.0470085</v>
      </c>
      <c r="E877" s="6">
        <v>1737360253.0470085</v>
      </c>
      <c r="F877" s="6">
        <v>44.310001373291016</v>
      </c>
      <c r="G877" s="6">
        <v>45.319999694824219</v>
      </c>
      <c r="H877" s="6">
        <v>169.36973275165994</v>
      </c>
      <c r="I877" s="6">
        <v>-0.34596590428167273</v>
      </c>
      <c r="J877" s="6">
        <v>2836100000</v>
      </c>
      <c r="K877" s="6" t="e">
        <v>#N/A</v>
      </c>
      <c r="L877" t="s">
        <v>6540</v>
      </c>
      <c r="M877" t="s">
        <v>9271</v>
      </c>
      <c r="N877" s="4" t="s">
        <v>9361</v>
      </c>
      <c r="O877" s="4" t="s">
        <v>9362</v>
      </c>
      <c r="P877" s="4" t="s">
        <v>233</v>
      </c>
    </row>
    <row r="878" spans="1:16" x14ac:dyDescent="0.35">
      <c r="A878" t="s">
        <v>9363</v>
      </c>
      <c r="B878" t="s">
        <v>9364</v>
      </c>
      <c r="C878" t="s">
        <v>16</v>
      </c>
      <c r="D878" s="6">
        <v>171268274.99931526</v>
      </c>
      <c r="E878" s="6">
        <v>165855274.99931526</v>
      </c>
      <c r="F878" s="6">
        <v>9.4899997711181641</v>
      </c>
      <c r="G878" s="6">
        <v>9.5299997329711914</v>
      </c>
      <c r="H878" s="6" t="e">
        <v>#N/A</v>
      </c>
      <c r="I878" s="6">
        <v>0.22069706741325668</v>
      </c>
      <c r="J878" s="6">
        <v>67134000</v>
      </c>
      <c r="K878" s="6">
        <v>-1187.5</v>
      </c>
      <c r="L878" t="s">
        <v>6547</v>
      </c>
      <c r="M878" t="s">
        <v>6802</v>
      </c>
      <c r="N878" s="4" t="s">
        <v>9365</v>
      </c>
      <c r="O878" s="4" t="s">
        <v>9366</v>
      </c>
      <c r="P878" s="4" t="s">
        <v>233</v>
      </c>
    </row>
    <row r="879" spans="1:16" x14ac:dyDescent="0.35">
      <c r="A879" t="s">
        <v>9367</v>
      </c>
      <c r="B879" t="s">
        <v>9368</v>
      </c>
      <c r="C879" t="s">
        <v>16</v>
      </c>
      <c r="D879" s="6">
        <v>660201094.57126617</v>
      </c>
      <c r="E879" s="6">
        <v>878489094.57126617</v>
      </c>
      <c r="F879" s="6">
        <v>20.069999694824219</v>
      </c>
      <c r="G879" s="6">
        <v>20.290000915527344</v>
      </c>
      <c r="H879" s="6">
        <v>8.4825670753926588</v>
      </c>
      <c r="I879" s="6">
        <v>-0.36287880221040292</v>
      </c>
      <c r="J879" s="6">
        <v>703831000</v>
      </c>
      <c r="K879" s="6">
        <v>144.85460830152522</v>
      </c>
      <c r="L879" t="s">
        <v>6540</v>
      </c>
      <c r="M879" t="s">
        <v>6856</v>
      </c>
      <c r="N879" s="4" t="s">
        <v>233</v>
      </c>
      <c r="O879" s="4" t="s">
        <v>9369</v>
      </c>
      <c r="P879" s="4" t="s">
        <v>13236</v>
      </c>
    </row>
    <row r="880" spans="1:16" x14ac:dyDescent="0.35">
      <c r="A880" t="s">
        <v>9370</v>
      </c>
      <c r="B880" t="s">
        <v>2939</v>
      </c>
      <c r="C880" t="s">
        <v>16</v>
      </c>
      <c r="D880" s="6">
        <v>3129435101.7985344</v>
      </c>
      <c r="E880" s="6">
        <v>2875050101.7985344</v>
      </c>
      <c r="F880" s="6">
        <v>40.380001068115234</v>
      </c>
      <c r="G880" s="6">
        <v>40.009998321533203</v>
      </c>
      <c r="H880" s="6">
        <v>70.079227129433505</v>
      </c>
      <c r="I880" s="6">
        <v>0.52087639325873281</v>
      </c>
      <c r="J880" s="6">
        <v>425331000</v>
      </c>
      <c r="K880" s="6">
        <v>79.710144927536234</v>
      </c>
      <c r="L880" t="s">
        <v>17</v>
      </c>
      <c r="M880" t="s">
        <v>18</v>
      </c>
      <c r="N880" s="4" t="s">
        <v>2940</v>
      </c>
      <c r="O880" s="4" t="s">
        <v>2941</v>
      </c>
      <c r="P880" s="4" t="s">
        <v>233</v>
      </c>
    </row>
    <row r="881" spans="1:16" x14ac:dyDescent="0.35">
      <c r="A881" t="s">
        <v>9371</v>
      </c>
      <c r="B881" t="s">
        <v>9372</v>
      </c>
      <c r="C881" t="s">
        <v>16</v>
      </c>
      <c r="D881" s="6">
        <v>1333176280.3736572</v>
      </c>
      <c r="E881" s="6">
        <v>1365142680.3736572</v>
      </c>
      <c r="F881" s="6">
        <v>378.70001220703125</v>
      </c>
      <c r="G881" s="6">
        <v>380.82000732421875</v>
      </c>
      <c r="H881" s="6">
        <v>34.647759579783283</v>
      </c>
      <c r="I881" s="6">
        <v>2.1669152712333384E-2</v>
      </c>
      <c r="J881" s="6">
        <v>81780800</v>
      </c>
      <c r="K881" s="6">
        <v>-2.3911187019641429</v>
      </c>
      <c r="L881" t="s">
        <v>6540</v>
      </c>
      <c r="M881" t="s">
        <v>6541</v>
      </c>
      <c r="N881" s="4" t="s">
        <v>9373</v>
      </c>
      <c r="O881" s="4" t="s">
        <v>9374</v>
      </c>
      <c r="P881" s="4" t="s">
        <v>233</v>
      </c>
    </row>
    <row r="882" spans="1:16" x14ac:dyDescent="0.35">
      <c r="A882" t="s">
        <v>9375</v>
      </c>
      <c r="B882" t="s">
        <v>4598</v>
      </c>
      <c r="C882" t="s">
        <v>16</v>
      </c>
      <c r="D882" s="6">
        <v>859873278.86003494</v>
      </c>
      <c r="E882" s="6">
        <v>622131278.86003494</v>
      </c>
      <c r="F882" s="6">
        <v>10.399999618530273</v>
      </c>
      <c r="G882" s="6">
        <v>9.9200000762939453</v>
      </c>
      <c r="H882" s="6" t="e">
        <v>#N/A</v>
      </c>
      <c r="I882" s="6">
        <v>-0.55551689649101799</v>
      </c>
      <c r="J882" s="6">
        <v>10129000</v>
      </c>
      <c r="K882" s="6">
        <v>-234.15496708258851</v>
      </c>
      <c r="L882" t="s">
        <v>17</v>
      </c>
      <c r="M882" t="s">
        <v>18</v>
      </c>
      <c r="N882" s="4" t="s">
        <v>4599</v>
      </c>
      <c r="O882" s="4" t="s">
        <v>4600</v>
      </c>
      <c r="P882" s="4" t="s">
        <v>233</v>
      </c>
    </row>
    <row r="883" spans="1:16" x14ac:dyDescent="0.35">
      <c r="A883" t="s">
        <v>9376</v>
      </c>
      <c r="B883" t="s">
        <v>9377</v>
      </c>
      <c r="C883" t="s">
        <v>16</v>
      </c>
      <c r="D883" s="6">
        <v>1215894635.6667783</v>
      </c>
      <c r="E883" s="6">
        <v>1355294635.6667783</v>
      </c>
      <c r="F883" s="6">
        <v>19.379999160766602</v>
      </c>
      <c r="G883" s="6">
        <v>19.440000534057617</v>
      </c>
      <c r="H883" s="6" t="e">
        <v>#N/A</v>
      </c>
      <c r="I883" s="6">
        <v>-6.8072757695891273E-2</v>
      </c>
      <c r="J883" s="6">
        <v>461900000</v>
      </c>
      <c r="K883" s="6">
        <v>-61.372171052631622</v>
      </c>
      <c r="L883" t="s">
        <v>6529</v>
      </c>
      <c r="M883" t="s">
        <v>6639</v>
      </c>
      <c r="N883" s="4" t="s">
        <v>9378</v>
      </c>
      <c r="O883" s="4" t="s">
        <v>9379</v>
      </c>
      <c r="P883" s="4" t="s">
        <v>233</v>
      </c>
    </row>
    <row r="884" spans="1:16" x14ac:dyDescent="0.35">
      <c r="A884" t="s">
        <v>9380</v>
      </c>
      <c r="B884" t="s">
        <v>9381</v>
      </c>
      <c r="C884" t="s">
        <v>16</v>
      </c>
      <c r="D884" s="6">
        <v>258182176.77355194</v>
      </c>
      <c r="E884" s="6" t="e">
        <v>#N/A</v>
      </c>
      <c r="F884" s="6">
        <v>19.950000762939453</v>
      </c>
      <c r="G884" s="6">
        <v>20.280000686645508</v>
      </c>
      <c r="H884" s="6">
        <v>14.049296311929194</v>
      </c>
      <c r="I884" s="6">
        <v>-6.5692967219823539E-2</v>
      </c>
      <c r="J884" s="6">
        <v>218554000</v>
      </c>
      <c r="K884" s="6">
        <v>-12.758813014459776</v>
      </c>
      <c r="L884" t="s">
        <v>6529</v>
      </c>
      <c r="M884" t="s">
        <v>6530</v>
      </c>
      <c r="N884" s="4" t="s">
        <v>9382</v>
      </c>
      <c r="O884" s="4" t="s">
        <v>9383</v>
      </c>
      <c r="P884" s="4" t="s">
        <v>233</v>
      </c>
    </row>
    <row r="885" spans="1:16" x14ac:dyDescent="0.35">
      <c r="A885" t="s">
        <v>9384</v>
      </c>
      <c r="B885" t="s">
        <v>3788</v>
      </c>
      <c r="C885" t="s">
        <v>16</v>
      </c>
      <c r="D885" s="6">
        <v>300874983.85562032</v>
      </c>
      <c r="E885" s="6">
        <v>45842983.855620295</v>
      </c>
      <c r="F885" s="6">
        <v>7.809999942779541</v>
      </c>
      <c r="G885" s="6">
        <v>7.5900001525878906</v>
      </c>
      <c r="H885" s="6" t="e">
        <v>#N/A</v>
      </c>
      <c r="I885" s="6">
        <v>-0.67944428939486412</v>
      </c>
      <c r="J885" s="6">
        <v>133809000</v>
      </c>
      <c r="K885" s="6">
        <v>-6.0000000000000053</v>
      </c>
      <c r="L885" t="s">
        <v>17</v>
      </c>
      <c r="M885" t="s">
        <v>100</v>
      </c>
      <c r="N885" s="4" t="s">
        <v>3789</v>
      </c>
      <c r="O885" s="4" t="s">
        <v>3790</v>
      </c>
      <c r="P885" s="4" t="s">
        <v>233</v>
      </c>
    </row>
    <row r="886" spans="1:16" x14ac:dyDescent="0.35">
      <c r="A886" t="s">
        <v>9385</v>
      </c>
      <c r="B886" t="s">
        <v>9386</v>
      </c>
      <c r="C886" t="s">
        <v>16</v>
      </c>
      <c r="D886" s="6">
        <v>120545242.50000001</v>
      </c>
      <c r="E886" s="6">
        <v>125982242.50000001</v>
      </c>
      <c r="F886" s="6">
        <v>7.25</v>
      </c>
      <c r="G886" s="6">
        <v>7.3400001525878906</v>
      </c>
      <c r="H886" s="6">
        <v>13.072437531779546</v>
      </c>
      <c r="I886" s="6">
        <v>-6.071964361621407E-2</v>
      </c>
      <c r="J886" s="6">
        <v>165152000</v>
      </c>
      <c r="K886" s="6">
        <v>115.38461538461544</v>
      </c>
      <c r="L886" t="s">
        <v>6547</v>
      </c>
      <c r="M886" t="s">
        <v>6602</v>
      </c>
      <c r="N886" s="4" t="s">
        <v>9387</v>
      </c>
      <c r="O886" s="4" t="s">
        <v>9388</v>
      </c>
      <c r="P886" s="4" t="s">
        <v>233</v>
      </c>
    </row>
    <row r="887" spans="1:16" x14ac:dyDescent="0.35">
      <c r="A887" t="s">
        <v>9389</v>
      </c>
      <c r="B887" t="s">
        <v>9390</v>
      </c>
      <c r="C887" t="s">
        <v>16</v>
      </c>
      <c r="D887" s="6">
        <v>660850935.5286684</v>
      </c>
      <c r="E887" s="6">
        <v>519042935.5286684</v>
      </c>
      <c r="F887" s="6">
        <v>5.2100000381469727</v>
      </c>
      <c r="G887" s="6">
        <v>4.9800000190734863</v>
      </c>
      <c r="H887" s="6" t="e">
        <v>#N/A</v>
      </c>
      <c r="I887" s="6">
        <v>0.40679201025360845</v>
      </c>
      <c r="J887" s="6">
        <v>1291501000</v>
      </c>
      <c r="K887" s="6">
        <v>34.146341463414629</v>
      </c>
      <c r="L887" t="s">
        <v>6540</v>
      </c>
      <c r="M887" t="s">
        <v>6541</v>
      </c>
      <c r="N887" s="4" t="s">
        <v>9391</v>
      </c>
      <c r="O887" s="4" t="s">
        <v>9392</v>
      </c>
      <c r="P887" s="4" t="s">
        <v>233</v>
      </c>
    </row>
    <row r="888" spans="1:16" x14ac:dyDescent="0.35">
      <c r="A888" t="s">
        <v>9393</v>
      </c>
      <c r="B888" t="s">
        <v>1141</v>
      </c>
      <c r="C888" t="s">
        <v>16</v>
      </c>
      <c r="D888" s="6">
        <v>740058515.07529163</v>
      </c>
      <c r="E888" s="6">
        <v>619283515.07529163</v>
      </c>
      <c r="F888" s="6">
        <v>8.6999998092651367</v>
      </c>
      <c r="G888" s="6">
        <v>8</v>
      </c>
      <c r="H888" s="6" t="e">
        <v>#N/A</v>
      </c>
      <c r="I888" s="6">
        <v>0.41558954023565331</v>
      </c>
      <c r="J888" s="6">
        <v>0</v>
      </c>
      <c r="K888" s="6">
        <v>-1.8518518518518534</v>
      </c>
      <c r="L888" t="s">
        <v>17</v>
      </c>
      <c r="M888" t="s">
        <v>18</v>
      </c>
      <c r="N888" s="4" t="s">
        <v>1142</v>
      </c>
      <c r="O888" s="4" t="s">
        <v>1143</v>
      </c>
      <c r="P888" s="4" t="s">
        <v>233</v>
      </c>
    </row>
    <row r="889" spans="1:16" x14ac:dyDescent="0.35">
      <c r="A889" t="s">
        <v>9394</v>
      </c>
      <c r="B889" t="s">
        <v>9395</v>
      </c>
      <c r="C889" t="s">
        <v>16</v>
      </c>
      <c r="D889" s="6">
        <v>6790804940.5518484</v>
      </c>
      <c r="E889" s="6">
        <v>6621987940.5518484</v>
      </c>
      <c r="F889" s="6">
        <v>27.459999084472656</v>
      </c>
      <c r="G889" s="6">
        <v>27.389999389648438</v>
      </c>
      <c r="H889" s="6" t="e">
        <v>#N/A</v>
      </c>
      <c r="I889" s="6">
        <v>0.41849588847973385</v>
      </c>
      <c r="J889" s="6">
        <v>368168000</v>
      </c>
      <c r="K889" s="6">
        <v>-175.00000000000003</v>
      </c>
      <c r="L889" t="s">
        <v>6518</v>
      </c>
      <c r="M889" t="s">
        <v>6519</v>
      </c>
      <c r="N889" s="4" t="s">
        <v>9396</v>
      </c>
      <c r="O889" s="4" t="s">
        <v>9397</v>
      </c>
      <c r="P889" s="4" t="s">
        <v>233</v>
      </c>
    </row>
    <row r="890" spans="1:16" x14ac:dyDescent="0.35">
      <c r="A890" t="s">
        <v>9398</v>
      </c>
      <c r="B890" t="s">
        <v>1086</v>
      </c>
      <c r="C890" t="s">
        <v>16</v>
      </c>
      <c r="D890" s="6">
        <v>423068984.50771135</v>
      </c>
      <c r="E890" s="6">
        <v>378847984.50771135</v>
      </c>
      <c r="F890" s="6">
        <v>10.454999923706055</v>
      </c>
      <c r="G890" s="6">
        <v>10.640000343322754</v>
      </c>
      <c r="H890" s="6" t="e">
        <v>#N/A</v>
      </c>
      <c r="I890" s="6">
        <v>0.67848489435421744</v>
      </c>
      <c r="J890" s="6">
        <v>286498000</v>
      </c>
      <c r="K890" s="6">
        <v>-1491.4285714285713</v>
      </c>
      <c r="L890" t="s">
        <v>17</v>
      </c>
      <c r="M890" t="s">
        <v>27</v>
      </c>
      <c r="N890" s="4" t="s">
        <v>1087</v>
      </c>
      <c r="O890" s="4" t="s">
        <v>1088</v>
      </c>
      <c r="P890" s="4" t="s">
        <v>233</v>
      </c>
    </row>
    <row r="891" spans="1:16" x14ac:dyDescent="0.35">
      <c r="A891" t="s">
        <v>9399</v>
      </c>
      <c r="B891" t="s">
        <v>9400</v>
      </c>
      <c r="C891" t="s">
        <v>16</v>
      </c>
      <c r="D891" s="6">
        <v>175313708.69208524</v>
      </c>
      <c r="E891" s="6">
        <v>326130708.69208521</v>
      </c>
      <c r="F891" s="6">
        <v>23.520000457763672</v>
      </c>
      <c r="G891" s="6">
        <v>23.510000228881836</v>
      </c>
      <c r="H891" s="6">
        <v>11.497731230645206</v>
      </c>
      <c r="I891" s="6">
        <v>-0.19787766222181924</v>
      </c>
      <c r="J891" s="6">
        <v>451670000</v>
      </c>
      <c r="K891" s="6">
        <v>27.857142857142868</v>
      </c>
      <c r="L891" t="s">
        <v>6540</v>
      </c>
      <c r="M891" t="s">
        <v>7034</v>
      </c>
      <c r="N891" s="4" t="s">
        <v>9401</v>
      </c>
      <c r="O891" s="4" t="s">
        <v>9402</v>
      </c>
      <c r="P891" s="4" t="s">
        <v>233</v>
      </c>
    </row>
    <row r="892" spans="1:16" x14ac:dyDescent="0.35">
      <c r="A892" t="s">
        <v>9403</v>
      </c>
      <c r="B892" t="s">
        <v>5021</v>
      </c>
      <c r="C892" t="s">
        <v>16</v>
      </c>
      <c r="D892" s="6">
        <v>112611947.74120188</v>
      </c>
      <c r="E892" s="6">
        <v>13000947.741201878</v>
      </c>
      <c r="F892" s="6">
        <v>2.1099998950958252</v>
      </c>
      <c r="G892" s="6">
        <v>2.0999999046325684</v>
      </c>
      <c r="H892" s="6" t="e">
        <v>#N/A</v>
      </c>
      <c r="I892" s="6">
        <v>-0.64377520783253273</v>
      </c>
      <c r="J892" s="6">
        <v>21049000</v>
      </c>
      <c r="K892" s="6">
        <v>50.545454545454547</v>
      </c>
      <c r="L892" t="s">
        <v>17</v>
      </c>
      <c r="M892" t="s">
        <v>18</v>
      </c>
      <c r="N892" s="4" t="s">
        <v>5022</v>
      </c>
      <c r="O892" s="4" t="s">
        <v>5023</v>
      </c>
      <c r="P892" s="4" t="s">
        <v>233</v>
      </c>
    </row>
    <row r="893" spans="1:16" x14ac:dyDescent="0.35">
      <c r="A893" t="s">
        <v>9404</v>
      </c>
      <c r="B893" t="s">
        <v>9405</v>
      </c>
      <c r="C893" t="s">
        <v>16</v>
      </c>
      <c r="D893" s="6">
        <v>862619073.01523018</v>
      </c>
      <c r="E893" s="6">
        <v>755819073.01523018</v>
      </c>
      <c r="F893" s="6">
        <v>14.899999618530273</v>
      </c>
      <c r="G893" s="6">
        <v>14.609999656677246</v>
      </c>
      <c r="H893" s="6">
        <v>43.823528289794929</v>
      </c>
      <c r="I893" s="6">
        <v>-6.0369372506329566E-2</v>
      </c>
      <c r="J893" s="6">
        <v>135062000</v>
      </c>
      <c r="K893" s="6">
        <v>24.999999999999979</v>
      </c>
      <c r="L893" t="s">
        <v>6547</v>
      </c>
      <c r="M893" t="s">
        <v>6668</v>
      </c>
      <c r="N893" s="4" t="s">
        <v>9406</v>
      </c>
      <c r="O893" s="4" t="s">
        <v>9407</v>
      </c>
      <c r="P893" s="4" t="s">
        <v>233</v>
      </c>
    </row>
    <row r="894" spans="1:16" x14ac:dyDescent="0.35">
      <c r="A894" t="s">
        <v>9408</v>
      </c>
      <c r="B894" t="s">
        <v>5153</v>
      </c>
      <c r="C894" t="s">
        <v>16</v>
      </c>
      <c r="D894" s="6">
        <v>443881847.56963611</v>
      </c>
      <c r="E894" s="6">
        <v>187390847.56963608</v>
      </c>
      <c r="F894" s="6">
        <v>1.5700000524520874</v>
      </c>
      <c r="G894" s="6">
        <v>1.5499999523162842</v>
      </c>
      <c r="H894" s="6" t="e">
        <v>#N/A</v>
      </c>
      <c r="I894" s="6">
        <v>-0.14171719539054928</v>
      </c>
      <c r="J894" s="6">
        <v>0</v>
      </c>
      <c r="K894" s="6">
        <v>58.29145728643217</v>
      </c>
      <c r="L894" t="s">
        <v>17</v>
      </c>
      <c r="M894" t="s">
        <v>18</v>
      </c>
      <c r="N894" s="4" t="s">
        <v>5154</v>
      </c>
      <c r="O894" s="4" t="s">
        <v>5155</v>
      </c>
      <c r="P894" s="4" t="s">
        <v>233</v>
      </c>
    </row>
    <row r="895" spans="1:16" x14ac:dyDescent="0.35">
      <c r="A895" t="s">
        <v>9409</v>
      </c>
      <c r="B895" t="s">
        <v>9410</v>
      </c>
      <c r="C895" t="s">
        <v>16</v>
      </c>
      <c r="D895" s="6">
        <v>307622922.36590385</v>
      </c>
      <c r="E895" s="6">
        <v>493049922.36590385</v>
      </c>
      <c r="F895" s="6">
        <v>9.9200000762939453</v>
      </c>
      <c r="G895" s="6">
        <v>9.9600000381469727</v>
      </c>
      <c r="H895" s="6">
        <v>16.415470383138974</v>
      </c>
      <c r="I895" s="6">
        <v>0.22552218664254897</v>
      </c>
      <c r="J895" s="6">
        <v>738982000</v>
      </c>
      <c r="K895" s="6" t="e">
        <v>#N/A</v>
      </c>
      <c r="L895" t="s">
        <v>6547</v>
      </c>
      <c r="M895" t="s">
        <v>6548</v>
      </c>
      <c r="N895" s="4" t="s">
        <v>9411</v>
      </c>
      <c r="O895" s="4" t="s">
        <v>9412</v>
      </c>
      <c r="P895" s="4" t="s">
        <v>233</v>
      </c>
    </row>
    <row r="896" spans="1:16" x14ac:dyDescent="0.35">
      <c r="A896" t="s">
        <v>9413</v>
      </c>
      <c r="B896" t="s">
        <v>9414</v>
      </c>
      <c r="C896" t="s">
        <v>16</v>
      </c>
      <c r="D896" s="6">
        <v>164299920.54836273</v>
      </c>
      <c r="E896" s="6">
        <v>601492920.54836273</v>
      </c>
      <c r="F896" s="6">
        <v>14.930000305175781</v>
      </c>
      <c r="G896" s="6">
        <v>14.909999847412109</v>
      </c>
      <c r="H896" s="6" t="e">
        <v>#N/A</v>
      </c>
      <c r="I896" s="6">
        <v>-0.32855784244961272</v>
      </c>
      <c r="J896" s="6">
        <v>356135000</v>
      </c>
      <c r="K896" s="6">
        <v>-4.0474848120794515</v>
      </c>
      <c r="L896" t="s">
        <v>6518</v>
      </c>
      <c r="M896" t="s">
        <v>6789</v>
      </c>
      <c r="N896" s="4" t="s">
        <v>9415</v>
      </c>
      <c r="O896" s="4" t="s">
        <v>9416</v>
      </c>
      <c r="P896" s="4" t="s">
        <v>233</v>
      </c>
    </row>
    <row r="897" spans="1:16" x14ac:dyDescent="0.35">
      <c r="A897" t="s">
        <v>9417</v>
      </c>
      <c r="B897" t="s">
        <v>9418</v>
      </c>
      <c r="C897" t="s">
        <v>16</v>
      </c>
      <c r="D897" s="6">
        <v>1010025421.5983405</v>
      </c>
      <c r="E897" s="6">
        <v>949257421.59834051</v>
      </c>
      <c r="F897" s="6">
        <v>3.9000000953674316</v>
      </c>
      <c r="G897" s="6">
        <v>3.8399999141693115</v>
      </c>
      <c r="H897" s="6" t="e">
        <v>#N/A</v>
      </c>
      <c r="I897" s="6">
        <v>0.36248131657170179</v>
      </c>
      <c r="J897" s="6">
        <v>156715000</v>
      </c>
      <c r="K897" s="6">
        <v>65.656565656565661</v>
      </c>
      <c r="L897" t="s">
        <v>6518</v>
      </c>
      <c r="M897" t="s">
        <v>6519</v>
      </c>
      <c r="N897" s="4" t="s">
        <v>9419</v>
      </c>
      <c r="O897" s="4" t="s">
        <v>9420</v>
      </c>
      <c r="P897" s="4" t="s">
        <v>233</v>
      </c>
    </row>
    <row r="898" spans="1:16" x14ac:dyDescent="0.35">
      <c r="A898" t="s">
        <v>9421</v>
      </c>
      <c r="B898" t="s">
        <v>9422</v>
      </c>
      <c r="C898" t="s">
        <v>16</v>
      </c>
      <c r="D898" s="6">
        <v>385858990.0803895</v>
      </c>
      <c r="E898" s="6">
        <v>767630990.0803895</v>
      </c>
      <c r="F898" s="6">
        <v>7.2800002098083496</v>
      </c>
      <c r="G898" s="6">
        <v>7.2800002098083496</v>
      </c>
      <c r="H898" s="6">
        <v>32.375269429867743</v>
      </c>
      <c r="I898" s="6">
        <v>-2.5492207592880511E-2</v>
      </c>
      <c r="J898" s="6">
        <v>425872000</v>
      </c>
      <c r="K898" s="6">
        <v>-22.857142857142847</v>
      </c>
      <c r="L898" t="s">
        <v>6547</v>
      </c>
      <c r="M898" t="s">
        <v>6651</v>
      </c>
      <c r="N898" s="4" t="s">
        <v>9423</v>
      </c>
      <c r="O898" s="4" t="s">
        <v>9424</v>
      </c>
      <c r="P898" s="4" t="s">
        <v>233</v>
      </c>
    </row>
    <row r="899" spans="1:16" x14ac:dyDescent="0.35">
      <c r="A899" t="s">
        <v>9425</v>
      </c>
      <c r="B899" t="s">
        <v>9426</v>
      </c>
      <c r="C899" t="s">
        <v>16</v>
      </c>
      <c r="D899" s="6">
        <v>1742054815.0149841</v>
      </c>
      <c r="E899" s="6" t="e">
        <v>#N/A</v>
      </c>
      <c r="F899" s="6">
        <v>46.360000610351563</v>
      </c>
      <c r="G899" s="6">
        <v>43.259998321533203</v>
      </c>
      <c r="H899" s="6" t="e">
        <v>#N/A</v>
      </c>
      <c r="I899" s="6">
        <v>0.4281454817390633</v>
      </c>
      <c r="J899" s="6">
        <v>3751100000</v>
      </c>
      <c r="K899" s="6" t="e">
        <v>#N/A</v>
      </c>
      <c r="L899" t="s">
        <v>6518</v>
      </c>
      <c r="M899" t="s">
        <v>9005</v>
      </c>
      <c r="N899" s="4" t="s">
        <v>9427</v>
      </c>
      <c r="O899" s="4" t="s">
        <v>9428</v>
      </c>
      <c r="P899" s="4" t="s">
        <v>233</v>
      </c>
    </row>
    <row r="900" spans="1:16" x14ac:dyDescent="0.35">
      <c r="A900" t="s">
        <v>9429</v>
      </c>
      <c r="B900" t="s">
        <v>9430</v>
      </c>
      <c r="C900" t="s">
        <v>16</v>
      </c>
      <c r="D900" s="6">
        <v>2498431828.7728729</v>
      </c>
      <c r="E900" s="6">
        <v>11879791990.210304</v>
      </c>
      <c r="F900" s="6">
        <v>7.5799999237060547</v>
      </c>
      <c r="G900" s="6">
        <v>7.559999942779541</v>
      </c>
      <c r="H900" s="6">
        <v>1.6387007773599169</v>
      </c>
      <c r="I900" s="6">
        <v>-0.42358013939116823</v>
      </c>
      <c r="J900" s="6">
        <v>18041235000</v>
      </c>
      <c r="K900" s="6">
        <v>29.274989020259017</v>
      </c>
      <c r="L900" t="s">
        <v>6529</v>
      </c>
      <c r="M900" t="s">
        <v>6639</v>
      </c>
      <c r="N900" s="4" t="s">
        <v>233</v>
      </c>
      <c r="O900" s="4" t="s">
        <v>9431</v>
      </c>
      <c r="P900" s="4" t="s">
        <v>13237</v>
      </c>
    </row>
    <row r="901" spans="1:16" x14ac:dyDescent="0.35">
      <c r="A901" t="s">
        <v>9432</v>
      </c>
      <c r="B901" t="s">
        <v>9433</v>
      </c>
      <c r="C901" t="s">
        <v>16</v>
      </c>
      <c r="D901" s="6">
        <v>1119961081.3390272</v>
      </c>
      <c r="E901" s="6">
        <v>1460777081.3390272</v>
      </c>
      <c r="F901" s="6">
        <v>48.840000152587891</v>
      </c>
      <c r="G901" s="6">
        <v>47.080001831054688</v>
      </c>
      <c r="H901" s="6">
        <v>28.80194192114843</v>
      </c>
      <c r="I901" s="6">
        <v>2.1744982100946713</v>
      </c>
      <c r="J901" s="6">
        <v>1270056000</v>
      </c>
      <c r="K901" s="6">
        <v>35.042735042735032</v>
      </c>
      <c r="L901" t="s">
        <v>6735</v>
      </c>
      <c r="M901" t="s">
        <v>6736</v>
      </c>
      <c r="N901" s="4" t="s">
        <v>9434</v>
      </c>
      <c r="O901" s="4" t="s">
        <v>9435</v>
      </c>
      <c r="P901" s="4" t="s">
        <v>233</v>
      </c>
    </row>
    <row r="902" spans="1:16" x14ac:dyDescent="0.35">
      <c r="A902" t="s">
        <v>9436</v>
      </c>
      <c r="B902" t="s">
        <v>9437</v>
      </c>
      <c r="C902" t="s">
        <v>16</v>
      </c>
      <c r="D902" s="6">
        <v>681543104.12672985</v>
      </c>
      <c r="E902" s="6">
        <v>966553104.12672985</v>
      </c>
      <c r="F902" s="6">
        <v>25.079999923706055</v>
      </c>
      <c r="G902" s="6">
        <v>24.920000076293945</v>
      </c>
      <c r="H902" s="6">
        <v>9.1734763355788065</v>
      </c>
      <c r="I902" s="6">
        <v>-0.13176925219155056</v>
      </c>
      <c r="J902" s="6">
        <v>1220115000</v>
      </c>
      <c r="K902" s="6">
        <v>-5.821917808219176</v>
      </c>
      <c r="L902" t="s">
        <v>6540</v>
      </c>
      <c r="M902" t="s">
        <v>6541</v>
      </c>
      <c r="N902" s="4" t="s">
        <v>9438</v>
      </c>
      <c r="O902" s="4" t="s">
        <v>9439</v>
      </c>
      <c r="P902" s="4" t="s">
        <v>233</v>
      </c>
    </row>
    <row r="903" spans="1:16" x14ac:dyDescent="0.35">
      <c r="A903" t="s">
        <v>9440</v>
      </c>
      <c r="B903" t="s">
        <v>5212</v>
      </c>
      <c r="C903" t="s">
        <v>16</v>
      </c>
      <c r="D903" s="6">
        <v>101507876.95890427</v>
      </c>
      <c r="E903" s="6">
        <v>-4941123.0410957336</v>
      </c>
      <c r="F903" s="6">
        <v>1.5099999904632568</v>
      </c>
      <c r="G903" s="6">
        <v>1.5099999904632568</v>
      </c>
      <c r="H903" s="6" t="e">
        <v>#N/A</v>
      </c>
      <c r="I903" s="6">
        <v>-0.41836786186218722</v>
      </c>
      <c r="J903" s="6">
        <v>0</v>
      </c>
      <c r="K903" s="6">
        <v>24.418604651162788</v>
      </c>
      <c r="L903" t="s">
        <v>17</v>
      </c>
      <c r="M903" t="s">
        <v>18</v>
      </c>
      <c r="N903" s="4" t="s">
        <v>5213</v>
      </c>
      <c r="O903" s="4" t="s">
        <v>5214</v>
      </c>
      <c r="P903" s="4" t="s">
        <v>233</v>
      </c>
    </row>
    <row r="904" spans="1:16" x14ac:dyDescent="0.35">
      <c r="A904" t="s">
        <v>9441</v>
      </c>
      <c r="B904" t="s">
        <v>4010</v>
      </c>
      <c r="C904" t="s">
        <v>16</v>
      </c>
      <c r="D904" s="6">
        <v>5606908424.5305634</v>
      </c>
      <c r="E904" s="6">
        <v>5947254424.5305634</v>
      </c>
      <c r="F904" s="6">
        <v>45.380001068115234</v>
      </c>
      <c r="G904" s="6">
        <v>42.5</v>
      </c>
      <c r="H904" s="6" t="e">
        <v>#N/A</v>
      </c>
      <c r="I904" s="6">
        <v>0.94993760428125196</v>
      </c>
      <c r="J904" s="6">
        <v>692256000</v>
      </c>
      <c r="K904" s="6">
        <v>-4.4334975369458052</v>
      </c>
      <c r="L904" t="s">
        <v>17</v>
      </c>
      <c r="M904" t="s">
        <v>40</v>
      </c>
      <c r="N904" s="4" t="s">
        <v>4011</v>
      </c>
      <c r="O904" s="4" t="s">
        <v>4012</v>
      </c>
      <c r="P904" s="4" t="s">
        <v>233</v>
      </c>
    </row>
    <row r="905" spans="1:16" x14ac:dyDescent="0.35">
      <c r="A905" t="s">
        <v>9442</v>
      </c>
      <c r="B905" t="s">
        <v>9443</v>
      </c>
      <c r="C905" t="s">
        <v>16</v>
      </c>
      <c r="D905" s="6">
        <v>1029176621.8414307</v>
      </c>
      <c r="E905" s="6">
        <v>1735968621.8414307</v>
      </c>
      <c r="F905" s="6">
        <v>35.950000762939453</v>
      </c>
      <c r="G905" s="6">
        <v>36.009998321533203</v>
      </c>
      <c r="H905" s="6">
        <v>18.928754047272626</v>
      </c>
      <c r="I905" s="6">
        <v>0.31059358585376828</v>
      </c>
      <c r="J905" s="6">
        <v>1399899000</v>
      </c>
      <c r="K905" s="6" t="e">
        <v>#N/A</v>
      </c>
      <c r="L905" t="s">
        <v>6523</v>
      </c>
      <c r="M905" t="s">
        <v>6588</v>
      </c>
      <c r="N905" s="4" t="s">
        <v>9444</v>
      </c>
      <c r="O905" s="4" t="s">
        <v>9445</v>
      </c>
      <c r="P905" s="4" t="s">
        <v>233</v>
      </c>
    </row>
    <row r="906" spans="1:16" x14ac:dyDescent="0.35">
      <c r="A906" t="s">
        <v>9446</v>
      </c>
      <c r="B906" t="s">
        <v>9447</v>
      </c>
      <c r="C906" t="s">
        <v>16</v>
      </c>
      <c r="D906" s="6">
        <v>2228834628.7662964</v>
      </c>
      <c r="E906" s="6">
        <v>2333253628.7662964</v>
      </c>
      <c r="F906" s="6">
        <v>184.80999755859375</v>
      </c>
      <c r="G906" s="6">
        <v>185.22999572753906</v>
      </c>
      <c r="H906" s="6">
        <v>18.724477886715921</v>
      </c>
      <c r="I906" s="6">
        <v>-0.17426530858408817</v>
      </c>
      <c r="J906" s="6">
        <v>1660732000</v>
      </c>
      <c r="K906" s="6">
        <v>-11.130899376669635</v>
      </c>
      <c r="L906" t="s">
        <v>6547</v>
      </c>
      <c r="M906" t="s">
        <v>6668</v>
      </c>
      <c r="N906" s="4" t="s">
        <v>9448</v>
      </c>
      <c r="O906" s="4" t="s">
        <v>9449</v>
      </c>
      <c r="P906" s="4" t="s">
        <v>233</v>
      </c>
    </row>
    <row r="907" spans="1:16" x14ac:dyDescent="0.35">
      <c r="A907" t="s">
        <v>9450</v>
      </c>
      <c r="B907" t="s">
        <v>9451</v>
      </c>
      <c r="C907" t="s">
        <v>16</v>
      </c>
      <c r="D907" s="6">
        <v>383122593.32395935</v>
      </c>
      <c r="E907" s="6" t="e">
        <v>#N/A</v>
      </c>
      <c r="F907" s="6">
        <v>19.309999465942383</v>
      </c>
      <c r="G907" s="6">
        <v>19.270000457763672</v>
      </c>
      <c r="H907" s="6">
        <v>15.572580214469664</v>
      </c>
      <c r="I907" s="6">
        <v>0.70870908082636452</v>
      </c>
      <c r="J907" s="6">
        <v>143973000</v>
      </c>
      <c r="K907" s="6">
        <v>48.80952380952381</v>
      </c>
      <c r="L907" t="s">
        <v>6529</v>
      </c>
      <c r="M907" t="s">
        <v>6530</v>
      </c>
      <c r="N907" s="4" t="s">
        <v>9452</v>
      </c>
      <c r="O907" s="4" t="s">
        <v>9453</v>
      </c>
      <c r="P907" s="4" t="s">
        <v>233</v>
      </c>
    </row>
    <row r="908" spans="1:16" x14ac:dyDescent="0.35">
      <c r="A908" t="s">
        <v>9454</v>
      </c>
      <c r="B908" t="s">
        <v>9455</v>
      </c>
      <c r="C908" t="s">
        <v>16</v>
      </c>
      <c r="D908" s="6">
        <v>230224509.0327301</v>
      </c>
      <c r="E908" s="6">
        <v>245046509.0327301</v>
      </c>
      <c r="F908" s="6">
        <v>31.549999237060547</v>
      </c>
      <c r="G908" s="6">
        <v>31.610000610351563</v>
      </c>
      <c r="H908" s="6">
        <v>8.1964485442432995</v>
      </c>
      <c r="I908" s="6">
        <v>-0.11105339962718108</v>
      </c>
      <c r="J908" s="6">
        <v>224047000</v>
      </c>
      <c r="K908" s="6" t="e">
        <v>#N/A</v>
      </c>
      <c r="L908" t="s">
        <v>6523</v>
      </c>
      <c r="M908" t="s">
        <v>6524</v>
      </c>
      <c r="N908" s="4" t="s">
        <v>9456</v>
      </c>
      <c r="O908" s="4" t="s">
        <v>9457</v>
      </c>
      <c r="P908" s="4" t="s">
        <v>233</v>
      </c>
    </row>
    <row r="909" spans="1:16" x14ac:dyDescent="0.35">
      <c r="A909" t="s">
        <v>9458</v>
      </c>
      <c r="B909" t="s">
        <v>4014</v>
      </c>
      <c r="C909" t="s">
        <v>16</v>
      </c>
      <c r="D909" s="6">
        <v>262592620.21537399</v>
      </c>
      <c r="E909" s="6">
        <v>138163620.21537399</v>
      </c>
      <c r="F909" s="6">
        <v>4.9899997711181641</v>
      </c>
      <c r="G909" s="6">
        <v>5.119999885559082</v>
      </c>
      <c r="H909" s="6" t="e">
        <v>#N/A</v>
      </c>
      <c r="I909" s="6">
        <v>-7.7430371429919709E-2</v>
      </c>
      <c r="J909" s="6">
        <v>0</v>
      </c>
      <c r="K909" s="6">
        <v>29.536679536679532</v>
      </c>
      <c r="L909" t="s">
        <v>17</v>
      </c>
      <c r="M909" t="s">
        <v>18</v>
      </c>
      <c r="N909" s="4" t="s">
        <v>4015</v>
      </c>
      <c r="O909" s="4" t="s">
        <v>4016</v>
      </c>
      <c r="P909" s="4" t="s">
        <v>233</v>
      </c>
    </row>
    <row r="910" spans="1:16" x14ac:dyDescent="0.35">
      <c r="A910" t="s">
        <v>9459</v>
      </c>
      <c r="B910" t="s">
        <v>9460</v>
      </c>
      <c r="C910" t="s">
        <v>16</v>
      </c>
      <c r="D910" s="6">
        <v>268196599.6211431</v>
      </c>
      <c r="E910" s="6">
        <v>103120599.6211431</v>
      </c>
      <c r="F910" s="6">
        <v>1.7200000286102295</v>
      </c>
      <c r="G910" s="6">
        <v>1.6499999761581421</v>
      </c>
      <c r="H910" s="6" t="e">
        <v>#N/A</v>
      </c>
      <c r="I910" s="6">
        <v>-9.9218584898172479E-2</v>
      </c>
      <c r="J910" s="6">
        <v>0</v>
      </c>
      <c r="K910" s="6">
        <v>-442.85714285714312</v>
      </c>
      <c r="L910" t="s">
        <v>6547</v>
      </c>
      <c r="M910" t="s">
        <v>6602</v>
      </c>
      <c r="N910" s="4" t="s">
        <v>9461</v>
      </c>
      <c r="O910" s="4" t="s">
        <v>9462</v>
      </c>
      <c r="P910" s="4" t="s">
        <v>233</v>
      </c>
    </row>
    <row r="911" spans="1:16" x14ac:dyDescent="0.35">
      <c r="A911" t="s">
        <v>9463</v>
      </c>
      <c r="B911" t="s">
        <v>9464</v>
      </c>
      <c r="C911" t="s">
        <v>16</v>
      </c>
      <c r="D911" s="6">
        <v>1089984556.098175</v>
      </c>
      <c r="E911" s="6">
        <v>1387275556.098175</v>
      </c>
      <c r="F911" s="6">
        <v>49.650001525878906</v>
      </c>
      <c r="G911" s="6">
        <v>50.069999694824219</v>
      </c>
      <c r="H911" s="6">
        <v>9.4507490410067145</v>
      </c>
      <c r="I911" s="6">
        <v>-9.8761734683508462E-2</v>
      </c>
      <c r="J911" s="6">
        <v>1377140000</v>
      </c>
      <c r="K911" s="6">
        <v>-5.8577405857740636</v>
      </c>
      <c r="L911" t="s">
        <v>6547</v>
      </c>
      <c r="M911" t="s">
        <v>6553</v>
      </c>
      <c r="N911" s="4" t="s">
        <v>9465</v>
      </c>
      <c r="O911" s="4" t="s">
        <v>9466</v>
      </c>
      <c r="P911" s="4" t="s">
        <v>233</v>
      </c>
    </row>
    <row r="912" spans="1:16" x14ac:dyDescent="0.35">
      <c r="A912" t="s">
        <v>9467</v>
      </c>
      <c r="B912" t="s">
        <v>9468</v>
      </c>
      <c r="C912" t="s">
        <v>16</v>
      </c>
      <c r="D912" s="6">
        <v>2333935494.6533203</v>
      </c>
      <c r="E912" s="6">
        <v>3004235494.6533203</v>
      </c>
      <c r="F912" s="6">
        <v>73.19000244140625</v>
      </c>
      <c r="G912" s="6">
        <v>72.55999755859375</v>
      </c>
      <c r="H912" s="6">
        <v>13.984662240783862</v>
      </c>
      <c r="I912" s="6">
        <v>2.1234771072409009E-2</v>
      </c>
      <c r="J912" s="6">
        <v>2118500000</v>
      </c>
      <c r="K912" s="6">
        <v>101.15830115830116</v>
      </c>
      <c r="L912" t="s">
        <v>6563</v>
      </c>
      <c r="M912" t="s">
        <v>6764</v>
      </c>
      <c r="N912" s="4" t="s">
        <v>9469</v>
      </c>
      <c r="O912" s="4" t="s">
        <v>9470</v>
      </c>
      <c r="P912" s="4" t="s">
        <v>233</v>
      </c>
    </row>
    <row r="913" spans="1:16" x14ac:dyDescent="0.35">
      <c r="A913" t="s">
        <v>9471</v>
      </c>
      <c r="B913" t="s">
        <v>9472</v>
      </c>
      <c r="C913" t="s">
        <v>16</v>
      </c>
      <c r="D913" s="6">
        <v>2490540990.447998</v>
      </c>
      <c r="E913" s="6">
        <v>2731191990.447998</v>
      </c>
      <c r="F913" s="6">
        <v>79.569999694824219</v>
      </c>
      <c r="G913" s="6">
        <v>79.360000610351563</v>
      </c>
      <c r="H913" s="6">
        <v>21.702753741747379</v>
      </c>
      <c r="I913" s="6">
        <v>-0.12198688538296376</v>
      </c>
      <c r="J913" s="6">
        <v>1267294000</v>
      </c>
      <c r="K913" s="6">
        <v>1.5772870662460652</v>
      </c>
      <c r="L913" t="s">
        <v>6547</v>
      </c>
      <c r="M913" t="s">
        <v>6668</v>
      </c>
      <c r="N913" s="4" t="s">
        <v>9473</v>
      </c>
      <c r="O913" s="4" t="s">
        <v>9474</v>
      </c>
      <c r="P913" s="4" t="s">
        <v>233</v>
      </c>
    </row>
    <row r="914" spans="1:16" x14ac:dyDescent="0.35">
      <c r="A914" t="s">
        <v>9475</v>
      </c>
      <c r="B914" t="s">
        <v>4318</v>
      </c>
      <c r="C914" t="s">
        <v>16</v>
      </c>
      <c r="D914" s="6">
        <v>127882241.84036279</v>
      </c>
      <c r="E914" s="6">
        <v>38199241.840362787</v>
      </c>
      <c r="F914" s="6">
        <v>2.2599999904632568</v>
      </c>
      <c r="G914" s="6">
        <v>2.1700000762939453</v>
      </c>
      <c r="H914" s="6" t="e">
        <v>#N/A</v>
      </c>
      <c r="I914" s="6">
        <v>-0.47833346970934731</v>
      </c>
      <c r="J914" s="6">
        <v>0</v>
      </c>
      <c r="K914" s="6">
        <v>37.558685446009385</v>
      </c>
      <c r="L914" t="s">
        <v>17</v>
      </c>
      <c r="M914" t="s">
        <v>18</v>
      </c>
      <c r="N914" s="4" t="s">
        <v>4319</v>
      </c>
      <c r="O914" s="4" t="s">
        <v>4320</v>
      </c>
      <c r="P914" s="4" t="s">
        <v>233</v>
      </c>
    </row>
    <row r="915" spans="1:16" x14ac:dyDescent="0.35">
      <c r="A915" t="s">
        <v>9476</v>
      </c>
      <c r="B915" t="s">
        <v>9477</v>
      </c>
      <c r="C915" t="s">
        <v>16</v>
      </c>
      <c r="D915" s="6">
        <v>2684362839</v>
      </c>
      <c r="E915" s="6" t="e">
        <v>#N/A</v>
      </c>
      <c r="F915" s="6">
        <v>27.75</v>
      </c>
      <c r="G915" s="6">
        <v>27.540000915527344</v>
      </c>
      <c r="H915" s="6">
        <v>25.934579439252335</v>
      </c>
      <c r="I915" s="6">
        <v>0.26385906991855679</v>
      </c>
      <c r="J915" s="6">
        <v>268072999.99999997</v>
      </c>
      <c r="K915" s="6">
        <v>-0.92592592592592671</v>
      </c>
      <c r="L915" t="s">
        <v>6623</v>
      </c>
      <c r="M915" t="s">
        <v>7539</v>
      </c>
      <c r="N915" s="4" t="s">
        <v>9478</v>
      </c>
      <c r="O915" s="4" t="s">
        <v>9479</v>
      </c>
      <c r="P915" s="4" t="s">
        <v>233</v>
      </c>
    </row>
    <row r="916" spans="1:16" x14ac:dyDescent="0.35">
      <c r="A916" t="s">
        <v>9480</v>
      </c>
      <c r="B916" t="s">
        <v>9481</v>
      </c>
      <c r="C916" t="s">
        <v>16</v>
      </c>
      <c r="D916" s="6">
        <v>2888100942.5420828</v>
      </c>
      <c r="E916" s="6" t="e">
        <v>#N/A</v>
      </c>
      <c r="F916" s="6">
        <v>72.660003662109375</v>
      </c>
      <c r="G916" s="6">
        <v>73.480003356933594</v>
      </c>
      <c r="H916" s="6">
        <v>20.816115345827789</v>
      </c>
      <c r="I916" s="6">
        <v>0.22563009622798091</v>
      </c>
      <c r="J916" s="6">
        <v>1036280000</v>
      </c>
      <c r="K916" s="6">
        <v>-16.34615384615385</v>
      </c>
      <c r="L916" t="s">
        <v>6529</v>
      </c>
      <c r="M916" t="s">
        <v>6530</v>
      </c>
      <c r="N916" s="4" t="s">
        <v>9482</v>
      </c>
      <c r="O916" s="4" t="s">
        <v>9483</v>
      </c>
      <c r="P916" s="4" t="s">
        <v>233</v>
      </c>
    </row>
    <row r="917" spans="1:16" x14ac:dyDescent="0.35">
      <c r="A917" t="s">
        <v>9484</v>
      </c>
      <c r="B917" t="s">
        <v>9485</v>
      </c>
      <c r="C917" t="s">
        <v>16</v>
      </c>
      <c r="D917" s="6">
        <v>3005657704.0852351</v>
      </c>
      <c r="E917" s="6" t="e">
        <v>#N/A</v>
      </c>
      <c r="F917" s="6">
        <v>40.209999084472656</v>
      </c>
      <c r="G917" s="6">
        <v>40.409999847412109</v>
      </c>
      <c r="H917" s="6">
        <v>13.055194507945668</v>
      </c>
      <c r="I917" s="6">
        <v>0.51810293879575164</v>
      </c>
      <c r="J917" s="6">
        <v>2024271000</v>
      </c>
      <c r="K917" s="6">
        <v>29.707112970711297</v>
      </c>
      <c r="L917" t="s">
        <v>6529</v>
      </c>
      <c r="M917" t="s">
        <v>6530</v>
      </c>
      <c r="N917" s="4" t="s">
        <v>9486</v>
      </c>
      <c r="O917" s="4" t="s">
        <v>9487</v>
      </c>
      <c r="P917" s="4" t="s">
        <v>233</v>
      </c>
    </row>
    <row r="918" spans="1:16" x14ac:dyDescent="0.35">
      <c r="A918" t="s">
        <v>9488</v>
      </c>
      <c r="B918" t="s">
        <v>9489</v>
      </c>
      <c r="C918" t="s">
        <v>16</v>
      </c>
      <c r="D918" s="6">
        <v>4304211039.7203836</v>
      </c>
      <c r="E918" s="6" t="e">
        <v>#N/A</v>
      </c>
      <c r="F918" s="6">
        <v>60.099998474121094</v>
      </c>
      <c r="G918" s="6">
        <v>59.069999694824219</v>
      </c>
      <c r="H918" s="6">
        <v>15.370843599519461</v>
      </c>
      <c r="I918" s="6">
        <v>0.18987706040259411</v>
      </c>
      <c r="J918" s="6">
        <v>2127699999.9999998</v>
      </c>
      <c r="K918" s="6">
        <v>0</v>
      </c>
      <c r="L918" t="s">
        <v>6719</v>
      </c>
      <c r="M918" t="s">
        <v>9115</v>
      </c>
      <c r="N918" s="4" t="s">
        <v>9490</v>
      </c>
      <c r="O918" s="4" t="s">
        <v>9491</v>
      </c>
      <c r="P918" s="4" t="s">
        <v>233</v>
      </c>
    </row>
    <row r="919" spans="1:16" x14ac:dyDescent="0.35">
      <c r="A919" t="s">
        <v>9492</v>
      </c>
      <c r="B919" t="s">
        <v>3617</v>
      </c>
      <c r="C919" t="s">
        <v>16</v>
      </c>
      <c r="D919" s="6">
        <v>460156424.15113163</v>
      </c>
      <c r="E919" s="6">
        <v>472199424.15113163</v>
      </c>
      <c r="F919" s="6">
        <v>3.6600000858306885</v>
      </c>
      <c r="G919" s="6">
        <v>3.5099999904632568</v>
      </c>
      <c r="H919" s="6">
        <v>47.478207838193867</v>
      </c>
      <c r="I919" s="6">
        <v>-4.6749945497876366E-2</v>
      </c>
      <c r="J919" s="6">
        <v>455038000</v>
      </c>
      <c r="K919" s="6" t="e">
        <v>#N/A</v>
      </c>
      <c r="L919" t="s">
        <v>17</v>
      </c>
      <c r="M919" t="s">
        <v>18</v>
      </c>
      <c r="N919" s="4" t="s">
        <v>3618</v>
      </c>
      <c r="O919" s="4" t="s">
        <v>3619</v>
      </c>
      <c r="P919" s="4" t="s">
        <v>233</v>
      </c>
    </row>
    <row r="920" spans="1:16" x14ac:dyDescent="0.35">
      <c r="A920" t="s">
        <v>9493</v>
      </c>
      <c r="B920" t="s">
        <v>9494</v>
      </c>
      <c r="C920" t="s">
        <v>16</v>
      </c>
      <c r="D920" s="6">
        <v>2032795565.7216339</v>
      </c>
      <c r="E920" s="6">
        <v>2580355565.7216339</v>
      </c>
      <c r="F920" s="6">
        <v>97.959999084472656</v>
      </c>
      <c r="G920" s="6">
        <v>98.30999755859375</v>
      </c>
      <c r="H920" s="6">
        <v>24.152486881316921</v>
      </c>
      <c r="I920" s="6">
        <v>-0.22178459017637453</v>
      </c>
      <c r="J920" s="6">
        <v>1668911000</v>
      </c>
      <c r="K920" s="6">
        <v>-29.803921568627441</v>
      </c>
      <c r="L920" t="s">
        <v>6563</v>
      </c>
      <c r="M920" t="s">
        <v>6564</v>
      </c>
      <c r="N920" s="4" t="s">
        <v>9495</v>
      </c>
      <c r="O920" s="4" t="s">
        <v>9496</v>
      </c>
      <c r="P920" s="4" t="s">
        <v>233</v>
      </c>
    </row>
    <row r="921" spans="1:16" x14ac:dyDescent="0.35">
      <c r="A921" t="s">
        <v>9497</v>
      </c>
      <c r="B921" t="s">
        <v>9498</v>
      </c>
      <c r="C921" t="s">
        <v>16</v>
      </c>
      <c r="D921" s="6">
        <v>4641359632.4645691</v>
      </c>
      <c r="E921" s="6">
        <v>5805359632.4645691</v>
      </c>
      <c r="F921" s="6">
        <v>85.599998474121094</v>
      </c>
      <c r="G921" s="6">
        <v>84.800003051757813</v>
      </c>
      <c r="H921" s="6">
        <v>10.001708057394977</v>
      </c>
      <c r="I921" s="6">
        <v>6.4238883575570727E-2</v>
      </c>
      <c r="J921" s="6">
        <v>3991000000</v>
      </c>
      <c r="K921" s="6">
        <v>-2.1694184286031657</v>
      </c>
      <c r="L921" t="s">
        <v>6563</v>
      </c>
      <c r="M921" t="s">
        <v>6764</v>
      </c>
      <c r="N921" s="4" t="s">
        <v>9499</v>
      </c>
      <c r="O921" s="4" t="s">
        <v>9500</v>
      </c>
      <c r="P921" s="4" t="s">
        <v>233</v>
      </c>
    </row>
    <row r="922" spans="1:16" x14ac:dyDescent="0.35">
      <c r="A922" t="s">
        <v>9501</v>
      </c>
      <c r="B922" t="s">
        <v>9502</v>
      </c>
      <c r="C922" t="s">
        <v>16</v>
      </c>
      <c r="D922" s="6">
        <v>82561344.843199492</v>
      </c>
      <c r="E922" s="6">
        <v>374887344.84319949</v>
      </c>
      <c r="F922" s="6">
        <v>0.90079998970031738</v>
      </c>
      <c r="G922" s="6">
        <v>0.93309998512268066</v>
      </c>
      <c r="H922" s="6">
        <v>0.3375254192090924</v>
      </c>
      <c r="I922" s="6">
        <v>-0.69672839651348251</v>
      </c>
      <c r="J922" s="6">
        <v>494776000</v>
      </c>
      <c r="K922" s="6">
        <v>-2200</v>
      </c>
      <c r="L922" t="s">
        <v>6540</v>
      </c>
      <c r="M922" t="s">
        <v>6571</v>
      </c>
      <c r="N922" s="4" t="s">
        <v>9503</v>
      </c>
      <c r="O922" s="4" t="s">
        <v>9504</v>
      </c>
      <c r="P922" s="4" t="s">
        <v>233</v>
      </c>
    </row>
    <row r="923" spans="1:16" x14ac:dyDescent="0.35">
      <c r="A923" t="s">
        <v>9505</v>
      </c>
      <c r="B923" t="s">
        <v>9506</v>
      </c>
      <c r="C923" t="s">
        <v>16</v>
      </c>
      <c r="D923" s="6">
        <v>3980552073.2742147</v>
      </c>
      <c r="E923" s="6">
        <v>3566952073.2742147</v>
      </c>
      <c r="F923" s="6">
        <v>9.3599996566772461</v>
      </c>
      <c r="G923" s="6">
        <v>9.3100004196166992</v>
      </c>
      <c r="H923" s="6" t="e">
        <v>#N/A</v>
      </c>
      <c r="I923" s="6">
        <v>0.67206199058619553</v>
      </c>
      <c r="J923" s="6">
        <v>0</v>
      </c>
      <c r="K923" s="6">
        <v>25.087717020235175</v>
      </c>
      <c r="L923" t="s">
        <v>6547</v>
      </c>
      <c r="M923" t="s">
        <v>6843</v>
      </c>
      <c r="N923" s="4" t="s">
        <v>9507</v>
      </c>
      <c r="O923" s="4" t="s">
        <v>9508</v>
      </c>
      <c r="P923" s="4" t="s">
        <v>233</v>
      </c>
    </row>
    <row r="924" spans="1:16" x14ac:dyDescent="0.35">
      <c r="A924" t="s">
        <v>9509</v>
      </c>
      <c r="B924" t="s">
        <v>9510</v>
      </c>
      <c r="C924" t="s">
        <v>16</v>
      </c>
      <c r="D924" s="6">
        <v>1459063007.7546327</v>
      </c>
      <c r="E924" s="6">
        <v>4633423007.754632</v>
      </c>
      <c r="F924" s="6">
        <v>12.189999580383301</v>
      </c>
      <c r="G924" s="6">
        <v>12.210000038146973</v>
      </c>
      <c r="H924" s="6" t="e">
        <v>#N/A</v>
      </c>
      <c r="I924" s="6">
        <v>-0.23870101129696963</v>
      </c>
      <c r="J924" s="6">
        <v>1449797000</v>
      </c>
      <c r="K924" s="6">
        <v>72.527472527472511</v>
      </c>
      <c r="L924" t="s">
        <v>6623</v>
      </c>
      <c r="M924" t="s">
        <v>7409</v>
      </c>
      <c r="N924" s="4" t="s">
        <v>9511</v>
      </c>
      <c r="O924" s="4" t="s">
        <v>9512</v>
      </c>
      <c r="P924" s="4" t="s">
        <v>233</v>
      </c>
    </row>
    <row r="925" spans="1:16" x14ac:dyDescent="0.35">
      <c r="A925" t="s">
        <v>9513</v>
      </c>
      <c r="B925" t="s">
        <v>9514</v>
      </c>
      <c r="C925" t="s">
        <v>16</v>
      </c>
      <c r="D925" s="6">
        <v>346331412.27623606</v>
      </c>
      <c r="E925" s="6">
        <v>317507412.27623606</v>
      </c>
      <c r="F925" s="6">
        <v>1.9800000190734863</v>
      </c>
      <c r="G925" s="6">
        <v>1.9099999666213989</v>
      </c>
      <c r="H925" s="6" t="e">
        <v>#N/A</v>
      </c>
      <c r="I925" s="6">
        <v>0.70440484198462827</v>
      </c>
      <c r="J925" s="6">
        <v>490255000</v>
      </c>
      <c r="K925" s="6">
        <v>31.996382746888653</v>
      </c>
      <c r="L925" t="s">
        <v>6540</v>
      </c>
      <c r="M925" t="s">
        <v>6541</v>
      </c>
      <c r="N925" s="4" t="s">
        <v>9515</v>
      </c>
      <c r="O925" s="4" t="s">
        <v>9516</v>
      </c>
      <c r="P925" s="4" t="s">
        <v>233</v>
      </c>
    </row>
    <row r="926" spans="1:16" x14ac:dyDescent="0.35">
      <c r="A926" t="s">
        <v>9517</v>
      </c>
      <c r="B926" t="s">
        <v>9518</v>
      </c>
      <c r="C926" t="s">
        <v>16</v>
      </c>
      <c r="D926" s="6">
        <v>5686621414.5619125</v>
      </c>
      <c r="E926" s="6">
        <v>6017862414.5619125</v>
      </c>
      <c r="F926" s="6">
        <v>50.040000915527344</v>
      </c>
      <c r="G926" s="6">
        <v>49.090000152587891</v>
      </c>
      <c r="H926" s="6">
        <v>13.829802481882197</v>
      </c>
      <c r="I926" s="6">
        <v>-6.3888727083754593E-2</v>
      </c>
      <c r="J926" s="6">
        <v>7832523000</v>
      </c>
      <c r="K926" s="6">
        <v>-82.779456193353468</v>
      </c>
      <c r="L926" t="s">
        <v>6563</v>
      </c>
      <c r="M926" t="s">
        <v>6564</v>
      </c>
      <c r="N926" s="4" t="s">
        <v>9519</v>
      </c>
      <c r="O926" s="4" t="s">
        <v>9520</v>
      </c>
      <c r="P926" s="4" t="s">
        <v>233</v>
      </c>
    </row>
    <row r="927" spans="1:16" x14ac:dyDescent="0.35">
      <c r="A927" t="s">
        <v>9521</v>
      </c>
      <c r="B927" t="s">
        <v>9522</v>
      </c>
      <c r="C927" t="s">
        <v>16</v>
      </c>
      <c r="D927" s="6">
        <v>411834766.37165064</v>
      </c>
      <c r="E927" s="6">
        <v>882068766.3716507</v>
      </c>
      <c r="F927" s="6">
        <v>8.4200000762939453</v>
      </c>
      <c r="G927" s="6">
        <v>8.4700002670288086</v>
      </c>
      <c r="H927" s="6" t="e">
        <v>#N/A</v>
      </c>
      <c r="I927" s="6">
        <v>-0.18324335555672822</v>
      </c>
      <c r="J927" s="6">
        <v>314377000</v>
      </c>
      <c r="K927" s="6" t="e">
        <v>#N/A</v>
      </c>
      <c r="L927" t="s">
        <v>6623</v>
      </c>
      <c r="M927" t="s">
        <v>7409</v>
      </c>
      <c r="N927" s="4" t="s">
        <v>9523</v>
      </c>
      <c r="O927" s="4" t="s">
        <v>9524</v>
      </c>
      <c r="P927" s="4" t="s">
        <v>233</v>
      </c>
    </row>
    <row r="928" spans="1:16" x14ac:dyDescent="0.35">
      <c r="A928" t="s">
        <v>9525</v>
      </c>
      <c r="B928" t="s">
        <v>9526</v>
      </c>
      <c r="C928" t="s">
        <v>16</v>
      </c>
      <c r="D928" s="6">
        <v>1376581534.3783951</v>
      </c>
      <c r="E928" s="6">
        <v>1399339534.3783951</v>
      </c>
      <c r="F928" s="6">
        <v>45.709999084472656</v>
      </c>
      <c r="G928" s="6">
        <v>45.599998474121094</v>
      </c>
      <c r="H928" s="6">
        <v>22.380981543632956</v>
      </c>
      <c r="I928" s="6">
        <v>-1.9248899294757482E-2</v>
      </c>
      <c r="J928" s="6">
        <v>515770999.99999994</v>
      </c>
      <c r="K928" s="6">
        <v>-1.0362694300518145</v>
      </c>
      <c r="L928" t="s">
        <v>6518</v>
      </c>
      <c r="M928" t="s">
        <v>6714</v>
      </c>
      <c r="N928" s="4" t="s">
        <v>9527</v>
      </c>
      <c r="O928" s="4" t="s">
        <v>9528</v>
      </c>
      <c r="P928" s="4" t="s">
        <v>233</v>
      </c>
    </row>
    <row r="929" spans="1:16" x14ac:dyDescent="0.35">
      <c r="A929" t="s">
        <v>9529</v>
      </c>
      <c r="B929" t="s">
        <v>4503</v>
      </c>
      <c r="C929" t="s">
        <v>16</v>
      </c>
      <c r="D929" s="6">
        <v>202612090.67979813</v>
      </c>
      <c r="E929" s="6">
        <v>115085090.67979813</v>
      </c>
      <c r="F929" s="6">
        <v>5.3299999237060547</v>
      </c>
      <c r="G929" s="6">
        <v>5.2600002288818359</v>
      </c>
      <c r="H929" s="6" t="e">
        <v>#N/A</v>
      </c>
      <c r="I929" s="6">
        <v>-0.25602226653870985</v>
      </c>
      <c r="J929" s="6">
        <v>2760000</v>
      </c>
      <c r="K929" s="6">
        <v>33.928571428571438</v>
      </c>
      <c r="L929" t="s">
        <v>17</v>
      </c>
      <c r="M929" t="s">
        <v>27</v>
      </c>
      <c r="N929" s="4" t="s">
        <v>4504</v>
      </c>
      <c r="O929" s="4" t="s">
        <v>4505</v>
      </c>
      <c r="P929" s="4" t="s">
        <v>233</v>
      </c>
    </row>
    <row r="930" spans="1:16" x14ac:dyDescent="0.35">
      <c r="A930" t="s">
        <v>9530</v>
      </c>
      <c r="B930" t="s">
        <v>9531</v>
      </c>
      <c r="C930" t="s">
        <v>16</v>
      </c>
      <c r="D930" s="6">
        <v>6633219038.786972</v>
      </c>
      <c r="E930" s="6">
        <v>7438586038.786972</v>
      </c>
      <c r="F930" s="6">
        <v>66.480003356933594</v>
      </c>
      <c r="G930" s="6">
        <v>65.769996643066406</v>
      </c>
      <c r="H930" s="6">
        <v>45.958483450960401</v>
      </c>
      <c r="I930" s="6">
        <v>8.3076542898954386E-2</v>
      </c>
      <c r="J930" s="6">
        <v>382621000</v>
      </c>
      <c r="K930" s="6">
        <v>6.0773480662983355</v>
      </c>
      <c r="L930" t="s">
        <v>6623</v>
      </c>
      <c r="M930" t="s">
        <v>7444</v>
      </c>
      <c r="N930" s="4" t="s">
        <v>9532</v>
      </c>
      <c r="O930" s="4" t="s">
        <v>9533</v>
      </c>
      <c r="P930" s="4" t="s">
        <v>233</v>
      </c>
    </row>
    <row r="931" spans="1:16" x14ac:dyDescent="0.35">
      <c r="A931" t="s">
        <v>9534</v>
      </c>
      <c r="B931" t="s">
        <v>9535</v>
      </c>
      <c r="C931" t="s">
        <v>16</v>
      </c>
      <c r="D931" s="6">
        <v>369619595.55870146</v>
      </c>
      <c r="E931" s="6">
        <v>1343319595.5587013</v>
      </c>
      <c r="F931" s="6">
        <v>4.3600001335144043</v>
      </c>
      <c r="G931" s="6">
        <v>4.4200000762939453</v>
      </c>
      <c r="H931" s="6" t="e">
        <v>#N/A</v>
      </c>
      <c r="I931" s="6">
        <v>0.19721169863610766</v>
      </c>
      <c r="J931" s="6">
        <v>647100000</v>
      </c>
      <c r="K931" s="6">
        <v>64.444444444444443</v>
      </c>
      <c r="L931" t="s">
        <v>6514</v>
      </c>
      <c r="M931" t="s">
        <v>6534</v>
      </c>
      <c r="N931" s="4" t="s">
        <v>9536</v>
      </c>
      <c r="O931" s="4" t="s">
        <v>9537</v>
      </c>
      <c r="P931" s="4" t="s">
        <v>233</v>
      </c>
    </row>
    <row r="932" spans="1:16" x14ac:dyDescent="0.35">
      <c r="A932" t="s">
        <v>9538</v>
      </c>
      <c r="B932" t="s">
        <v>9539</v>
      </c>
      <c r="C932" t="s">
        <v>16</v>
      </c>
      <c r="D932" s="6">
        <v>5511612763.9952087</v>
      </c>
      <c r="E932" s="6">
        <v>6701830763.9952087</v>
      </c>
      <c r="F932" s="6">
        <v>188.91000366210938</v>
      </c>
      <c r="G932" s="6">
        <v>190.97000122070313</v>
      </c>
      <c r="H932" s="6">
        <v>27.576266990417771</v>
      </c>
      <c r="I932" s="6">
        <v>0.59295159117385432</v>
      </c>
      <c r="J932" s="6">
        <v>4569944000</v>
      </c>
      <c r="K932" s="6">
        <v>2.6702269692923921</v>
      </c>
      <c r="L932" t="s">
        <v>6547</v>
      </c>
      <c r="M932" t="s">
        <v>6651</v>
      </c>
      <c r="N932" s="4" t="s">
        <v>9540</v>
      </c>
      <c r="O932" s="4" t="s">
        <v>9541</v>
      </c>
      <c r="P932" s="4" t="s">
        <v>233</v>
      </c>
    </row>
    <row r="933" spans="1:16" x14ac:dyDescent="0.35">
      <c r="A933" t="s">
        <v>9542</v>
      </c>
      <c r="B933" t="s">
        <v>9543</v>
      </c>
      <c r="C933" t="s">
        <v>16</v>
      </c>
      <c r="D933" s="6">
        <v>2697070175.1218414</v>
      </c>
      <c r="E933" s="6">
        <v>2403699175.1218414</v>
      </c>
      <c r="F933" s="6">
        <v>40.669998168945313</v>
      </c>
      <c r="G933" s="6">
        <v>40.770000457763672</v>
      </c>
      <c r="H933" s="6" t="e">
        <v>#N/A</v>
      </c>
      <c r="I933" s="6">
        <v>0.15723682072357903</v>
      </c>
      <c r="J933" s="6">
        <v>831518000</v>
      </c>
      <c r="K933" s="6" t="e">
        <v>#N/A</v>
      </c>
      <c r="L933" t="s">
        <v>6518</v>
      </c>
      <c r="M933" t="s">
        <v>7048</v>
      </c>
      <c r="N933" s="4" t="s">
        <v>9544</v>
      </c>
      <c r="O933" s="4" t="s">
        <v>9545</v>
      </c>
      <c r="P933" s="4" t="s">
        <v>233</v>
      </c>
    </row>
    <row r="934" spans="1:16" x14ac:dyDescent="0.35">
      <c r="A934" t="s">
        <v>9546</v>
      </c>
      <c r="B934" t="s">
        <v>9547</v>
      </c>
      <c r="C934" t="s">
        <v>16</v>
      </c>
      <c r="D934" s="6">
        <v>1295771785.5629082</v>
      </c>
      <c r="E934" s="6">
        <v>1750031785.5629082</v>
      </c>
      <c r="F934" s="6">
        <v>17.840000152587891</v>
      </c>
      <c r="G934" s="6">
        <v>17.670000076293945</v>
      </c>
      <c r="H934" s="6">
        <v>21.119549377704779</v>
      </c>
      <c r="I934" s="6">
        <v>7.3629825982688413E-2</v>
      </c>
      <c r="J934" s="6">
        <v>227093000</v>
      </c>
      <c r="K934" s="6">
        <v>25.560863737720005</v>
      </c>
      <c r="L934" t="s">
        <v>6623</v>
      </c>
      <c r="M934" t="s">
        <v>6700</v>
      </c>
      <c r="N934" s="4" t="s">
        <v>9548</v>
      </c>
      <c r="O934" s="4" t="s">
        <v>9549</v>
      </c>
      <c r="P934" s="4" t="s">
        <v>233</v>
      </c>
    </row>
    <row r="935" spans="1:16" x14ac:dyDescent="0.35">
      <c r="A935" t="s">
        <v>9550</v>
      </c>
      <c r="B935" t="s">
        <v>9551</v>
      </c>
      <c r="C935" t="s">
        <v>16</v>
      </c>
      <c r="D935" s="6">
        <v>4271672610.9884949</v>
      </c>
      <c r="E935" s="6">
        <v>4370902610.9884949</v>
      </c>
      <c r="F935" s="6">
        <v>165.52999877929688</v>
      </c>
      <c r="G935" s="6">
        <v>163.10000610351563</v>
      </c>
      <c r="H935" s="6">
        <v>37.450225968166713</v>
      </c>
      <c r="I935" s="6">
        <v>0.65541958873176398</v>
      </c>
      <c r="J935" s="6">
        <v>1055471000</v>
      </c>
      <c r="K935" s="6">
        <v>18.585714004028599</v>
      </c>
      <c r="L935" t="s">
        <v>6547</v>
      </c>
      <c r="M935" t="s">
        <v>6668</v>
      </c>
      <c r="N935" s="4" t="s">
        <v>9552</v>
      </c>
      <c r="O935" s="4" t="s">
        <v>9553</v>
      </c>
      <c r="P935" s="4" t="s">
        <v>233</v>
      </c>
    </row>
    <row r="936" spans="1:16" x14ac:dyDescent="0.35">
      <c r="A936" t="s">
        <v>9554</v>
      </c>
      <c r="B936" t="s">
        <v>9555</v>
      </c>
      <c r="C936" t="s">
        <v>16</v>
      </c>
      <c r="D936" s="6">
        <v>117592440.17550993</v>
      </c>
      <c r="E936" s="6">
        <v>271613440.17550993</v>
      </c>
      <c r="F936" s="6">
        <v>3.9000000953674316</v>
      </c>
      <c r="G936" s="6">
        <v>3.869999885559082</v>
      </c>
      <c r="H936" s="6" t="e">
        <v>#N/A</v>
      </c>
      <c r="I936" s="6">
        <v>-0.4945282215781841</v>
      </c>
      <c r="J936" s="6">
        <v>595185000</v>
      </c>
      <c r="K936" s="6">
        <v>-273.81835384758347</v>
      </c>
      <c r="L936" t="s">
        <v>6540</v>
      </c>
      <c r="M936" t="s">
        <v>6541</v>
      </c>
      <c r="N936" s="4" t="s">
        <v>9556</v>
      </c>
      <c r="O936" s="4" t="s">
        <v>9557</v>
      </c>
      <c r="P936" s="4" t="s">
        <v>233</v>
      </c>
    </row>
    <row r="937" spans="1:16" x14ac:dyDescent="0.35">
      <c r="A937" t="s">
        <v>9558</v>
      </c>
      <c r="B937" t="s">
        <v>9559</v>
      </c>
      <c r="C937" t="s">
        <v>16</v>
      </c>
      <c r="D937" s="6">
        <v>5908991594.5179758</v>
      </c>
      <c r="E937" s="6">
        <v>6094491594.5179758</v>
      </c>
      <c r="F937" s="6">
        <v>96.699996948242188</v>
      </c>
      <c r="G937" s="6">
        <v>96.489997863769531</v>
      </c>
      <c r="H937" s="6">
        <v>28.35854378088381</v>
      </c>
      <c r="I937" s="6">
        <v>0.21860542518039616</v>
      </c>
      <c r="J937" s="6">
        <v>1837900000</v>
      </c>
      <c r="K937" s="6">
        <v>46.025104602510467</v>
      </c>
      <c r="L937" t="s">
        <v>6547</v>
      </c>
      <c r="M937" t="s">
        <v>6668</v>
      </c>
      <c r="N937" s="4" t="s">
        <v>9560</v>
      </c>
      <c r="O937" s="4" t="s">
        <v>9561</v>
      </c>
      <c r="P937" s="4" t="s">
        <v>233</v>
      </c>
    </row>
    <row r="938" spans="1:16" x14ac:dyDescent="0.35">
      <c r="A938" t="s">
        <v>9562</v>
      </c>
      <c r="B938" t="s">
        <v>9563</v>
      </c>
      <c r="C938" t="s">
        <v>16</v>
      </c>
      <c r="D938" s="6">
        <v>1673307724.5578289</v>
      </c>
      <c r="E938" s="6" t="e">
        <v>#N/A</v>
      </c>
      <c r="F938" s="6">
        <v>16.440000534057617</v>
      </c>
      <c r="G938" s="6">
        <v>16.610000610351563</v>
      </c>
      <c r="H938" s="6">
        <v>11.457596117002415</v>
      </c>
      <c r="I938" s="6">
        <v>0.24651562257139115</v>
      </c>
      <c r="J938" s="6">
        <v>699694000</v>
      </c>
      <c r="K938" s="6">
        <v>-10.322580645161299</v>
      </c>
      <c r="L938" t="s">
        <v>6529</v>
      </c>
      <c r="M938" t="s">
        <v>6530</v>
      </c>
      <c r="N938" s="4" t="s">
        <v>9564</v>
      </c>
      <c r="O938" s="4" t="s">
        <v>9565</v>
      </c>
      <c r="P938" s="4" t="s">
        <v>233</v>
      </c>
    </row>
    <row r="939" spans="1:16" x14ac:dyDescent="0.35">
      <c r="A939" t="s">
        <v>9566</v>
      </c>
      <c r="B939" t="s">
        <v>9567</v>
      </c>
      <c r="C939" t="s">
        <v>16</v>
      </c>
      <c r="D939" s="6">
        <v>726315910.19138718</v>
      </c>
      <c r="E939" s="6">
        <v>3885315910.1913872</v>
      </c>
      <c r="F939" s="6">
        <v>38.520000457763672</v>
      </c>
      <c r="G939" s="6">
        <v>38.810001373291016</v>
      </c>
      <c r="H939" s="6">
        <v>6.4743054715382966</v>
      </c>
      <c r="I939" s="6">
        <v>-0.4848228082083117</v>
      </c>
      <c r="J939" s="6">
        <v>1571306000</v>
      </c>
      <c r="K939" s="6" t="e">
        <v>#N/A</v>
      </c>
      <c r="L939" t="s">
        <v>6540</v>
      </c>
      <c r="M939" t="s">
        <v>6825</v>
      </c>
      <c r="N939" s="4" t="s">
        <v>9568</v>
      </c>
      <c r="O939" s="4" t="s">
        <v>9569</v>
      </c>
      <c r="P939" s="4" t="s">
        <v>233</v>
      </c>
    </row>
    <row r="940" spans="1:16" x14ac:dyDescent="0.35">
      <c r="A940" t="s">
        <v>9570</v>
      </c>
      <c r="B940" t="s">
        <v>9571</v>
      </c>
      <c r="C940" t="s">
        <v>16</v>
      </c>
      <c r="D940" s="6">
        <v>5874895195.0073242</v>
      </c>
      <c r="E940" s="6">
        <v>13878995195.007322</v>
      </c>
      <c r="F940" s="6">
        <v>165.49000549316406</v>
      </c>
      <c r="G940" s="6">
        <v>164.52000427246094</v>
      </c>
      <c r="H940" s="6">
        <v>33.551081614977797</v>
      </c>
      <c r="I940" s="6">
        <v>0.29901823557181606</v>
      </c>
      <c r="J940" s="6">
        <v>1585500000</v>
      </c>
      <c r="K940" s="6">
        <v>11.340070126227209</v>
      </c>
      <c r="L940" t="s">
        <v>6547</v>
      </c>
      <c r="M940" t="s">
        <v>6875</v>
      </c>
      <c r="N940" s="4" t="s">
        <v>9572</v>
      </c>
      <c r="O940" s="4" t="s">
        <v>9573</v>
      </c>
      <c r="P940" s="4" t="s">
        <v>233</v>
      </c>
    </row>
    <row r="941" spans="1:16" x14ac:dyDescent="0.35">
      <c r="A941" t="s">
        <v>9574</v>
      </c>
      <c r="B941" t="s">
        <v>9575</v>
      </c>
      <c r="C941" t="s">
        <v>16</v>
      </c>
      <c r="D941" s="6">
        <v>529499699.24520111</v>
      </c>
      <c r="E941" s="6" t="e">
        <v>#N/A</v>
      </c>
      <c r="F941" s="6">
        <v>12.020000457763672</v>
      </c>
      <c r="G941" s="6">
        <v>12.25</v>
      </c>
      <c r="H941" s="6">
        <v>18.212121905702531</v>
      </c>
      <c r="I941" s="6">
        <v>0.16259034490168944</v>
      </c>
      <c r="J941" s="6">
        <v>318325000</v>
      </c>
      <c r="K941" s="6">
        <v>78.378378378378386</v>
      </c>
      <c r="L941" t="s">
        <v>6529</v>
      </c>
      <c r="M941" t="s">
        <v>6530</v>
      </c>
      <c r="N941" s="4" t="s">
        <v>9576</v>
      </c>
      <c r="O941" s="4" t="s">
        <v>9577</v>
      </c>
      <c r="P941" s="4" t="s">
        <v>233</v>
      </c>
    </row>
    <row r="942" spans="1:16" x14ac:dyDescent="0.35">
      <c r="A942" t="s">
        <v>9578</v>
      </c>
      <c r="B942" t="s">
        <v>9579</v>
      </c>
      <c r="C942" t="s">
        <v>16</v>
      </c>
      <c r="D942" s="6">
        <v>835641863.1477356</v>
      </c>
      <c r="E942" s="6">
        <v>1218234863.1477356</v>
      </c>
      <c r="F942" s="6">
        <v>17.299999237060547</v>
      </c>
      <c r="G942" s="6">
        <v>16.889999389648438</v>
      </c>
      <c r="H942" s="6">
        <v>22.420216085612243</v>
      </c>
      <c r="I942" s="6">
        <v>0.5346103029187188</v>
      </c>
      <c r="J942" s="6">
        <v>326724000</v>
      </c>
      <c r="K942" s="6" t="e">
        <v>#N/A</v>
      </c>
      <c r="L942" t="s">
        <v>6540</v>
      </c>
      <c r="M942" t="s">
        <v>6825</v>
      </c>
      <c r="N942" s="4" t="s">
        <v>9580</v>
      </c>
      <c r="O942" s="4" t="s">
        <v>9581</v>
      </c>
      <c r="P942" s="4" t="s">
        <v>233</v>
      </c>
    </row>
    <row r="943" spans="1:16" x14ac:dyDescent="0.35">
      <c r="A943" t="s">
        <v>9582</v>
      </c>
      <c r="B943" t="s">
        <v>9583</v>
      </c>
      <c r="C943" t="s">
        <v>16</v>
      </c>
      <c r="D943" s="6">
        <v>650993512.63403451</v>
      </c>
      <c r="E943" s="6">
        <v>536968512.63403451</v>
      </c>
      <c r="F943" s="6">
        <v>6.9699997901916504</v>
      </c>
      <c r="G943" s="6">
        <v>6.9899997711181641</v>
      </c>
      <c r="H943" s="6" t="e">
        <v>#N/A</v>
      </c>
      <c r="I943" s="6">
        <v>0.5267377993365665</v>
      </c>
      <c r="J943" s="6">
        <v>903518000</v>
      </c>
      <c r="K943" s="6" t="e">
        <v>#N/A</v>
      </c>
      <c r="L943" t="s">
        <v>6514</v>
      </c>
      <c r="M943" t="s">
        <v>6578</v>
      </c>
      <c r="N943" s="4" t="s">
        <v>9584</v>
      </c>
      <c r="O943" s="4" t="s">
        <v>9585</v>
      </c>
      <c r="P943" s="4" t="s">
        <v>233</v>
      </c>
    </row>
    <row r="944" spans="1:16" x14ac:dyDescent="0.35">
      <c r="A944" t="s">
        <v>9586</v>
      </c>
      <c r="B944" t="s">
        <v>9587</v>
      </c>
      <c r="C944" t="s">
        <v>16</v>
      </c>
      <c r="D944" s="6">
        <v>665129502.3597666</v>
      </c>
      <c r="E944" s="6">
        <v>795773502.3597666</v>
      </c>
      <c r="F944" s="6">
        <v>3.9900000095367432</v>
      </c>
      <c r="G944" s="6">
        <v>4.0199999809265137</v>
      </c>
      <c r="H944" s="6">
        <v>18.477868281682102</v>
      </c>
      <c r="I944" s="6">
        <v>-0.7646389374676047</v>
      </c>
      <c r="J944" s="6">
        <v>422657000</v>
      </c>
      <c r="K944" s="6">
        <v>-81.651376146788991</v>
      </c>
      <c r="L944" t="s">
        <v>6547</v>
      </c>
      <c r="M944" t="s">
        <v>6602</v>
      </c>
      <c r="N944" s="4" t="s">
        <v>9588</v>
      </c>
      <c r="O944" s="4" t="s">
        <v>9589</v>
      </c>
      <c r="P944" s="4" t="s">
        <v>233</v>
      </c>
    </row>
    <row r="945" spans="1:16" x14ac:dyDescent="0.35">
      <c r="A945" t="s">
        <v>9590</v>
      </c>
      <c r="B945" t="s">
        <v>1495</v>
      </c>
      <c r="C945" t="s">
        <v>16</v>
      </c>
      <c r="D945" s="6">
        <v>3080059109.4506602</v>
      </c>
      <c r="E945" s="6">
        <v>3984050109.4506602</v>
      </c>
      <c r="F945" s="6">
        <v>61.310001373291016</v>
      </c>
      <c r="G945" s="6">
        <v>60.729999542236328</v>
      </c>
      <c r="H945" s="6">
        <v>18.586915846320377</v>
      </c>
      <c r="I945" s="6">
        <v>-0.17957392731179711</v>
      </c>
      <c r="J945" s="6">
        <v>1373515000</v>
      </c>
      <c r="K945" s="6">
        <v>2.8112449799196906</v>
      </c>
      <c r="L945" t="s">
        <v>17</v>
      </c>
      <c r="M945" t="s">
        <v>27</v>
      </c>
      <c r="N945" s="4" t="s">
        <v>1496</v>
      </c>
      <c r="O945" s="4" t="s">
        <v>1497</v>
      </c>
      <c r="P945" s="4" t="s">
        <v>233</v>
      </c>
    </row>
    <row r="946" spans="1:16" x14ac:dyDescent="0.35">
      <c r="A946" t="s">
        <v>9591</v>
      </c>
      <c r="B946" t="s">
        <v>5165</v>
      </c>
      <c r="C946" t="s">
        <v>16</v>
      </c>
      <c r="D946" s="6">
        <v>116812962.77568913</v>
      </c>
      <c r="E946" s="6">
        <v>-228483037.22431087</v>
      </c>
      <c r="F946" s="6">
        <v>1.2899999618530273</v>
      </c>
      <c r="G946" s="6">
        <v>1.2400000095367432</v>
      </c>
      <c r="H946" s="6" t="e">
        <v>#N/A</v>
      </c>
      <c r="I946" s="6">
        <v>-0.81822721732833092</v>
      </c>
      <c r="J946" s="6">
        <v>34477000</v>
      </c>
      <c r="K946" s="6">
        <v>15.853658536585368</v>
      </c>
      <c r="L946" t="s">
        <v>17</v>
      </c>
      <c r="M946" t="s">
        <v>18</v>
      </c>
      <c r="N946" s="4" t="s">
        <v>5166</v>
      </c>
      <c r="O946" s="4" t="s">
        <v>5167</v>
      </c>
      <c r="P946" s="4" t="s">
        <v>233</v>
      </c>
    </row>
    <row r="947" spans="1:16" x14ac:dyDescent="0.35">
      <c r="A947" t="s">
        <v>9592</v>
      </c>
      <c r="B947" t="s">
        <v>2325</v>
      </c>
      <c r="C947" t="s">
        <v>16</v>
      </c>
      <c r="D947" s="6">
        <v>2015927340.694416</v>
      </c>
      <c r="E947" s="6">
        <v>2140922340.694416</v>
      </c>
      <c r="F947" s="6">
        <v>23.200000762939453</v>
      </c>
      <c r="G947" s="6">
        <v>23.530000686645508</v>
      </c>
      <c r="H947" s="6" t="e">
        <v>#N/A</v>
      </c>
      <c r="I947" s="6">
        <v>1.6116324279419838</v>
      </c>
      <c r="J947" s="6">
        <v>203447000</v>
      </c>
      <c r="K947" s="6">
        <v>1.2195869565217383</v>
      </c>
      <c r="L947" t="s">
        <v>17</v>
      </c>
      <c r="M947" t="s">
        <v>18</v>
      </c>
      <c r="N947" s="4" t="s">
        <v>2326</v>
      </c>
      <c r="O947" s="4" t="s">
        <v>2327</v>
      </c>
      <c r="P947" s="4" t="s">
        <v>233</v>
      </c>
    </row>
    <row r="948" spans="1:16" x14ac:dyDescent="0.35">
      <c r="A948" t="s">
        <v>9593</v>
      </c>
      <c r="B948" t="s">
        <v>2980</v>
      </c>
      <c r="C948" t="s">
        <v>16</v>
      </c>
      <c r="D948" s="6">
        <v>457680916.82052606</v>
      </c>
      <c r="E948" s="6">
        <v>445012916.82052606</v>
      </c>
      <c r="F948" s="6">
        <v>47.689998626708984</v>
      </c>
      <c r="G948" s="6">
        <v>45.799999237060547</v>
      </c>
      <c r="H948" s="6">
        <v>22.755673829308577</v>
      </c>
      <c r="I948" s="6">
        <v>-8.7062739254881727E-3</v>
      </c>
      <c r="J948" s="6">
        <v>58936000</v>
      </c>
      <c r="K948" s="6">
        <v>-21.232876712328757</v>
      </c>
      <c r="L948" t="s">
        <v>17</v>
      </c>
      <c r="M948" t="s">
        <v>27</v>
      </c>
      <c r="N948" s="4" t="s">
        <v>2981</v>
      </c>
      <c r="O948" s="4" t="s">
        <v>2982</v>
      </c>
      <c r="P948" s="4" t="s">
        <v>233</v>
      </c>
    </row>
    <row r="949" spans="1:16" x14ac:dyDescent="0.35">
      <c r="A949" t="s">
        <v>9594</v>
      </c>
      <c r="B949" t="s">
        <v>9595</v>
      </c>
      <c r="C949" t="s">
        <v>16</v>
      </c>
      <c r="D949" s="6">
        <v>3813552045.9121857</v>
      </c>
      <c r="E949" s="6">
        <v>5392752045.9121857</v>
      </c>
      <c r="F949" s="6">
        <v>41.740001678466797</v>
      </c>
      <c r="G949" s="6">
        <v>41.590000152587891</v>
      </c>
      <c r="H949" s="6">
        <v>20.36329089036305</v>
      </c>
      <c r="I949" s="6">
        <v>0.13473243650608047</v>
      </c>
      <c r="J949" s="6">
        <v>3212900000</v>
      </c>
      <c r="K949" s="6">
        <v>379.41176470588232</v>
      </c>
      <c r="L949" t="s">
        <v>6563</v>
      </c>
      <c r="M949" t="s">
        <v>6764</v>
      </c>
      <c r="N949" s="4" t="s">
        <v>9596</v>
      </c>
      <c r="O949" s="4" t="s">
        <v>9597</v>
      </c>
      <c r="P949" s="4" t="s">
        <v>233</v>
      </c>
    </row>
    <row r="950" spans="1:16" x14ac:dyDescent="0.35">
      <c r="A950" t="s">
        <v>9598</v>
      </c>
      <c r="B950" t="s">
        <v>9599</v>
      </c>
      <c r="C950" t="s">
        <v>16</v>
      </c>
      <c r="D950" s="6">
        <v>1871251912.5904083</v>
      </c>
      <c r="E950" s="6">
        <v>2349157912.5904088</v>
      </c>
      <c r="F950" s="6">
        <v>10.850000381469727</v>
      </c>
      <c r="G950" s="6">
        <v>9.8900003433227539</v>
      </c>
      <c r="H950" s="6" t="e">
        <v>#N/A</v>
      </c>
      <c r="I950" s="6">
        <v>-0.20462943546001577</v>
      </c>
      <c r="J950" s="6">
        <v>3694252000</v>
      </c>
      <c r="K950" s="6" t="e">
        <v>#N/A</v>
      </c>
      <c r="L950" t="s">
        <v>6719</v>
      </c>
      <c r="M950" t="s">
        <v>7215</v>
      </c>
      <c r="N950" s="4" t="s">
        <v>9600</v>
      </c>
      <c r="O950" s="4" t="s">
        <v>9601</v>
      </c>
      <c r="P950" s="4" t="s">
        <v>233</v>
      </c>
    </row>
    <row r="951" spans="1:16" x14ac:dyDescent="0.35">
      <c r="A951" t="s">
        <v>9602</v>
      </c>
      <c r="B951" t="s">
        <v>5173</v>
      </c>
      <c r="C951" t="s">
        <v>16</v>
      </c>
      <c r="D951" s="6">
        <v>669815168.23132503</v>
      </c>
      <c r="E951" s="6">
        <v>404559168.23132503</v>
      </c>
      <c r="F951" s="6">
        <v>5.1999998092651367</v>
      </c>
      <c r="G951" s="6">
        <v>5.1599998474121094</v>
      </c>
      <c r="H951" s="6" t="e">
        <v>#N/A</v>
      </c>
      <c r="I951" s="6">
        <v>-0.39731265460436183</v>
      </c>
      <c r="J951" s="6">
        <v>201211000</v>
      </c>
      <c r="K951" s="6">
        <v>24.13637063852731</v>
      </c>
      <c r="L951" t="s">
        <v>17</v>
      </c>
      <c r="M951" t="s">
        <v>100</v>
      </c>
      <c r="N951" s="4" t="s">
        <v>5174</v>
      </c>
      <c r="O951" s="4" t="s">
        <v>5175</v>
      </c>
      <c r="P951" s="4" t="s">
        <v>233</v>
      </c>
    </row>
    <row r="952" spans="1:16" x14ac:dyDescent="0.35">
      <c r="A952" t="s">
        <v>9603</v>
      </c>
      <c r="B952" t="s">
        <v>9604</v>
      </c>
      <c r="C952" t="s">
        <v>16</v>
      </c>
      <c r="D952" s="6">
        <v>5300311693.000001</v>
      </c>
      <c r="E952" s="6">
        <v>5984634693.000001</v>
      </c>
      <c r="F952" s="6">
        <v>73.25</v>
      </c>
      <c r="G952" s="6">
        <v>73.290000915527344</v>
      </c>
      <c r="H952" s="6">
        <v>6.8286923473664904</v>
      </c>
      <c r="I952" s="6">
        <v>-7.2850755578972581E-2</v>
      </c>
      <c r="J952" s="6">
        <v>6392939000</v>
      </c>
      <c r="K952" s="6">
        <v>7.5855230540406424</v>
      </c>
      <c r="L952" t="s">
        <v>6540</v>
      </c>
      <c r="M952" t="s">
        <v>6797</v>
      </c>
      <c r="N952" s="4" t="s">
        <v>9605</v>
      </c>
      <c r="O952" s="4" t="s">
        <v>9606</v>
      </c>
      <c r="P952" s="4" t="s">
        <v>233</v>
      </c>
    </row>
    <row r="953" spans="1:16" x14ac:dyDescent="0.35">
      <c r="A953" t="s">
        <v>9607</v>
      </c>
      <c r="B953" t="s">
        <v>9608</v>
      </c>
      <c r="C953" t="s">
        <v>16</v>
      </c>
      <c r="D953" s="6">
        <v>1652736422.8541217</v>
      </c>
      <c r="E953" s="6">
        <v>2170436422.8541217</v>
      </c>
      <c r="F953" s="6">
        <v>40.549999237060547</v>
      </c>
      <c r="G953" s="6">
        <v>42.040000915527344</v>
      </c>
      <c r="H953" s="6">
        <v>14.442369331124375</v>
      </c>
      <c r="I953" s="6">
        <v>0.11626218393788945</v>
      </c>
      <c r="J953" s="6">
        <v>1595200000</v>
      </c>
      <c r="K953" s="6">
        <v>128.44036697247705</v>
      </c>
      <c r="L953" t="s">
        <v>6529</v>
      </c>
      <c r="M953" t="s">
        <v>6664</v>
      </c>
      <c r="N953" s="4" t="s">
        <v>9609</v>
      </c>
      <c r="O953" s="4" t="s">
        <v>9610</v>
      </c>
      <c r="P953" s="4" t="s">
        <v>233</v>
      </c>
    </row>
    <row r="954" spans="1:16" x14ac:dyDescent="0.35">
      <c r="A954" t="s">
        <v>9611</v>
      </c>
      <c r="B954" t="s">
        <v>5776</v>
      </c>
      <c r="C954" t="s">
        <v>16</v>
      </c>
      <c r="D954" s="6">
        <v>2181795869.7750745</v>
      </c>
      <c r="E954" s="6">
        <v>4539242869.775075</v>
      </c>
      <c r="F954" s="6">
        <v>14.060000419616699</v>
      </c>
      <c r="G954" s="6">
        <v>13.960000038146973</v>
      </c>
      <c r="H954" s="6" t="e">
        <v>#N/A</v>
      </c>
      <c r="I954" s="6">
        <v>-0.44297308808785663</v>
      </c>
      <c r="J954" s="6" t="e">
        <v>#N/A</v>
      </c>
      <c r="K954" s="6" t="e">
        <v>#N/A</v>
      </c>
      <c r="L954" t="s">
        <v>17</v>
      </c>
      <c r="M954" t="s">
        <v>40</v>
      </c>
      <c r="N954" s="4" t="s">
        <v>5777</v>
      </c>
      <c r="O954" s="4" t="s">
        <v>5778</v>
      </c>
      <c r="P954" s="4" t="s">
        <v>233</v>
      </c>
    </row>
    <row r="955" spans="1:16" x14ac:dyDescent="0.35">
      <c r="A955" t="s">
        <v>9612</v>
      </c>
      <c r="B955" t="s">
        <v>5568</v>
      </c>
      <c r="C955" t="s">
        <v>16</v>
      </c>
      <c r="D955" s="6">
        <v>984948634.9373455</v>
      </c>
      <c r="E955" s="6">
        <v>722633634.9373455</v>
      </c>
      <c r="F955" s="6">
        <v>14.300000190734863</v>
      </c>
      <c r="G955" s="6">
        <v>13</v>
      </c>
      <c r="H955" s="6" t="e">
        <v>#N/A</v>
      </c>
      <c r="I955" s="6">
        <v>0.20918446710845195</v>
      </c>
      <c r="J955" s="6">
        <v>62199000</v>
      </c>
      <c r="K955" s="6" t="e">
        <v>#N/A</v>
      </c>
      <c r="L955" t="s">
        <v>17</v>
      </c>
      <c r="M955" t="s">
        <v>18</v>
      </c>
      <c r="N955" s="4" t="s">
        <v>5569</v>
      </c>
      <c r="O955" s="4" t="s">
        <v>5570</v>
      </c>
      <c r="P955" s="4" t="s">
        <v>233</v>
      </c>
    </row>
    <row r="956" spans="1:16" x14ac:dyDescent="0.35">
      <c r="A956" t="s">
        <v>9613</v>
      </c>
      <c r="B956" t="s">
        <v>9614</v>
      </c>
      <c r="C956" t="s">
        <v>16</v>
      </c>
      <c r="D956" s="6">
        <v>1627332557.2857857</v>
      </c>
      <c r="E956" s="6">
        <v>2143132557.2857857</v>
      </c>
      <c r="F956" s="6">
        <v>28.020000457763672</v>
      </c>
      <c r="G956" s="6">
        <v>28.090000152587891</v>
      </c>
      <c r="H956" s="6">
        <v>17.234126064839966</v>
      </c>
      <c r="I956" s="6">
        <v>0.20489042666529467</v>
      </c>
      <c r="J956" s="6">
        <v>44410400000</v>
      </c>
      <c r="K956" s="6">
        <v>27.683615819209013</v>
      </c>
      <c r="L956" t="s">
        <v>6523</v>
      </c>
      <c r="M956" t="s">
        <v>6524</v>
      </c>
      <c r="N956" s="4" t="s">
        <v>9615</v>
      </c>
      <c r="O956" s="4" t="s">
        <v>9616</v>
      </c>
      <c r="P956" s="4" t="s">
        <v>233</v>
      </c>
    </row>
    <row r="957" spans="1:16" x14ac:dyDescent="0.35">
      <c r="A957" t="s">
        <v>9617</v>
      </c>
      <c r="B957" t="s">
        <v>9618</v>
      </c>
      <c r="C957" t="s">
        <v>16</v>
      </c>
      <c r="D957" s="6">
        <v>590052883.23064041</v>
      </c>
      <c r="E957" s="6">
        <v>865791883.23064041</v>
      </c>
      <c r="F957" s="6">
        <v>25.549999237060547</v>
      </c>
      <c r="G957" s="6">
        <v>25.430000305175781</v>
      </c>
      <c r="H957" s="6">
        <v>23.535718320333157</v>
      </c>
      <c r="I957" s="6">
        <v>4.8409847860309663E-2</v>
      </c>
      <c r="J957" s="6">
        <v>559200000</v>
      </c>
      <c r="K957" s="6">
        <v>99.729661016949109</v>
      </c>
      <c r="L957" t="s">
        <v>6547</v>
      </c>
      <c r="M957" t="s">
        <v>6668</v>
      </c>
      <c r="N957" s="4" t="s">
        <v>9619</v>
      </c>
      <c r="O957" s="4" t="s">
        <v>9620</v>
      </c>
      <c r="P957" s="4" t="s">
        <v>233</v>
      </c>
    </row>
    <row r="958" spans="1:16" x14ac:dyDescent="0.35">
      <c r="A958" t="s">
        <v>9621</v>
      </c>
      <c r="B958" t="s">
        <v>3596</v>
      </c>
      <c r="C958" t="s">
        <v>16</v>
      </c>
      <c r="D958" s="6">
        <v>3479402382.4715877</v>
      </c>
      <c r="E958" s="6">
        <v>3692733382.4715877</v>
      </c>
      <c r="F958" s="6">
        <v>111.16999816894531</v>
      </c>
      <c r="G958" s="6">
        <v>104.80999755859375</v>
      </c>
      <c r="H958" s="6" t="e">
        <v>#N/A</v>
      </c>
      <c r="I958" s="6">
        <v>-6.6875780940168328E-2</v>
      </c>
      <c r="J958" s="6">
        <v>560025000</v>
      </c>
      <c r="K958" s="6">
        <v>-40.462427745664726</v>
      </c>
      <c r="L958" t="s">
        <v>17</v>
      </c>
      <c r="M958" t="s">
        <v>27</v>
      </c>
      <c r="N958" s="4" t="s">
        <v>3597</v>
      </c>
      <c r="O958" s="4" t="s">
        <v>3598</v>
      </c>
      <c r="P958" s="4" t="s">
        <v>233</v>
      </c>
    </row>
    <row r="959" spans="1:16" x14ac:dyDescent="0.35">
      <c r="A959" t="s">
        <v>9622</v>
      </c>
      <c r="B959" t="s">
        <v>9623</v>
      </c>
      <c r="C959" t="s">
        <v>16</v>
      </c>
      <c r="D959" s="6">
        <v>408161538.10586429</v>
      </c>
      <c r="E959" s="6">
        <v>5567596538.1058636</v>
      </c>
      <c r="F959" s="6">
        <v>2.8900001049041748</v>
      </c>
      <c r="G959" s="6">
        <v>2.9800000190734863</v>
      </c>
      <c r="H959" s="6" t="e">
        <v>#N/A</v>
      </c>
      <c r="I959" s="6">
        <v>-0.63299666416887279</v>
      </c>
      <c r="J959" s="6">
        <v>855839000</v>
      </c>
      <c r="K959" s="6">
        <v>-174.99999999999997</v>
      </c>
      <c r="L959" t="s">
        <v>6623</v>
      </c>
      <c r="M959" t="s">
        <v>6866</v>
      </c>
      <c r="N959" s="4" t="s">
        <v>9624</v>
      </c>
      <c r="O959" s="4" t="s">
        <v>9625</v>
      </c>
      <c r="P959" s="4" t="s">
        <v>233</v>
      </c>
    </row>
    <row r="960" spans="1:16" x14ac:dyDescent="0.35">
      <c r="A960" t="s">
        <v>9626</v>
      </c>
      <c r="B960" t="s">
        <v>9627</v>
      </c>
      <c r="C960" t="s">
        <v>16</v>
      </c>
      <c r="D960" s="6">
        <v>1827559484.578337</v>
      </c>
      <c r="E960" s="6">
        <v>4451559484.5783367</v>
      </c>
      <c r="F960" s="6">
        <v>19.260000228881836</v>
      </c>
      <c r="G960" s="6">
        <v>19.129999160766602</v>
      </c>
      <c r="H960" s="6" t="e">
        <v>#N/A</v>
      </c>
      <c r="I960" s="6">
        <v>-0.37830120065243233</v>
      </c>
      <c r="J960" s="6">
        <v>8124000000</v>
      </c>
      <c r="K960" s="6" t="e">
        <v>#N/A</v>
      </c>
      <c r="L960" t="s">
        <v>6540</v>
      </c>
      <c r="M960" t="s">
        <v>6541</v>
      </c>
      <c r="N960" s="4" t="s">
        <v>9628</v>
      </c>
      <c r="O960" s="4" t="s">
        <v>9629</v>
      </c>
      <c r="P960" s="4" t="s">
        <v>233</v>
      </c>
    </row>
    <row r="961" spans="1:16" x14ac:dyDescent="0.35">
      <c r="A961" t="s">
        <v>9630</v>
      </c>
      <c r="B961" t="s">
        <v>9631</v>
      </c>
      <c r="C961" t="s">
        <v>16</v>
      </c>
      <c r="D961" s="6">
        <v>1721267275.75</v>
      </c>
      <c r="E961" s="6">
        <v>2282433275.75</v>
      </c>
      <c r="F961" s="6">
        <v>22.25</v>
      </c>
      <c r="G961" s="6">
        <v>21.25</v>
      </c>
      <c r="H961" s="6">
        <v>17.641103056549053</v>
      </c>
      <c r="I961" s="6">
        <v>-7.6878041069470382E-2</v>
      </c>
      <c r="J961" s="6">
        <v>2023101000</v>
      </c>
      <c r="K961" s="6">
        <v>-19.736842105263161</v>
      </c>
      <c r="L961" t="s">
        <v>6547</v>
      </c>
      <c r="M961" t="s">
        <v>6668</v>
      </c>
      <c r="N961" s="4" t="s">
        <v>9632</v>
      </c>
      <c r="O961" s="4" t="s">
        <v>9633</v>
      </c>
      <c r="P961" s="4" t="s">
        <v>233</v>
      </c>
    </row>
    <row r="962" spans="1:16" x14ac:dyDescent="0.35">
      <c r="A962" t="s">
        <v>9634</v>
      </c>
      <c r="B962" t="s">
        <v>9635</v>
      </c>
      <c r="C962" t="s">
        <v>16</v>
      </c>
      <c r="D962" s="6">
        <v>494838954.54097354</v>
      </c>
      <c r="E962" s="6">
        <v>265918954.54097348</v>
      </c>
      <c r="F962" s="6">
        <v>9.1999998092651367</v>
      </c>
      <c r="G962" s="6">
        <v>9.1099996566772461</v>
      </c>
      <c r="H962" s="6">
        <v>31.799029470321955</v>
      </c>
      <c r="I962" s="6">
        <v>3.3614214985502988E-2</v>
      </c>
      <c r="J962" s="6">
        <v>1634895000</v>
      </c>
      <c r="K962" s="6" t="e">
        <v>#N/A</v>
      </c>
      <c r="L962" t="s">
        <v>6529</v>
      </c>
      <c r="M962" t="s">
        <v>6646</v>
      </c>
      <c r="N962" s="4" t="s">
        <v>9636</v>
      </c>
      <c r="O962" s="4" t="s">
        <v>9637</v>
      </c>
      <c r="P962" s="4" t="s">
        <v>233</v>
      </c>
    </row>
    <row r="963" spans="1:16" x14ac:dyDescent="0.35">
      <c r="A963" t="s">
        <v>9638</v>
      </c>
      <c r="B963" t="s">
        <v>3408</v>
      </c>
      <c r="C963" t="s">
        <v>16</v>
      </c>
      <c r="D963" s="6">
        <v>3222327628.3899574</v>
      </c>
      <c r="E963" s="6">
        <v>8171627628.3899574</v>
      </c>
      <c r="F963" s="6">
        <v>25.350000381469727</v>
      </c>
      <c r="G963" s="6">
        <v>25.5</v>
      </c>
      <c r="H963" s="6">
        <v>41.997803823820831</v>
      </c>
      <c r="I963" s="6">
        <v>-0.27651865897085837</v>
      </c>
      <c r="J963" s="6">
        <v>2985300000</v>
      </c>
      <c r="K963" s="6">
        <v>-49.999999999999972</v>
      </c>
      <c r="L963" t="s">
        <v>17</v>
      </c>
      <c r="M963" t="s">
        <v>40</v>
      </c>
      <c r="N963" s="4" t="s">
        <v>3409</v>
      </c>
      <c r="O963" s="4" t="s">
        <v>3410</v>
      </c>
      <c r="P963" s="4" t="s">
        <v>233</v>
      </c>
    </row>
    <row r="964" spans="1:16" x14ac:dyDescent="0.35">
      <c r="A964" t="s">
        <v>9639</v>
      </c>
      <c r="B964" t="s">
        <v>9640</v>
      </c>
      <c r="C964" t="s">
        <v>16</v>
      </c>
      <c r="D964" s="6">
        <v>1853370869.2589951</v>
      </c>
      <c r="E964" s="6">
        <v>2035511869.2589951</v>
      </c>
      <c r="F964" s="6">
        <v>44.680000305175781</v>
      </c>
      <c r="G964" s="6">
        <v>44.330001831054688</v>
      </c>
      <c r="H964" s="6">
        <v>15.133373968488774</v>
      </c>
      <c r="I964" s="6">
        <v>0.17179136191561706</v>
      </c>
      <c r="J964" s="6">
        <v>2070500000</v>
      </c>
      <c r="K964" s="6">
        <v>4.6428571428571397</v>
      </c>
      <c r="L964" t="s">
        <v>6540</v>
      </c>
      <c r="M964" t="s">
        <v>6797</v>
      </c>
      <c r="N964" s="4" t="s">
        <v>9641</v>
      </c>
      <c r="O964" s="4" t="s">
        <v>9642</v>
      </c>
      <c r="P964" s="4" t="s">
        <v>233</v>
      </c>
    </row>
    <row r="965" spans="1:16" x14ac:dyDescent="0.35">
      <c r="A965" t="s">
        <v>9643</v>
      </c>
      <c r="B965" t="s">
        <v>9644</v>
      </c>
      <c r="C965" t="s">
        <v>16</v>
      </c>
      <c r="D965" s="6">
        <v>4257495943.052948</v>
      </c>
      <c r="E965" s="6">
        <v>9394595943.052948</v>
      </c>
      <c r="F965" s="6">
        <v>72.970001220703125</v>
      </c>
      <c r="G965" s="6">
        <v>71.919998168945313</v>
      </c>
      <c r="H965" s="6">
        <v>17.810367361874619</v>
      </c>
      <c r="I965" s="6">
        <v>0.28928858403446234</v>
      </c>
      <c r="J965" s="6">
        <v>2505500000</v>
      </c>
      <c r="K965" s="6">
        <v>11.590296495956865</v>
      </c>
      <c r="L965" t="s">
        <v>6719</v>
      </c>
      <c r="M965" t="s">
        <v>7212</v>
      </c>
      <c r="N965" s="4" t="s">
        <v>9645</v>
      </c>
      <c r="O965" s="4" t="s">
        <v>9646</v>
      </c>
      <c r="P965" s="4" t="s">
        <v>233</v>
      </c>
    </row>
    <row r="966" spans="1:16" x14ac:dyDescent="0.35">
      <c r="A966" t="s">
        <v>9647</v>
      </c>
      <c r="B966" t="s">
        <v>9648</v>
      </c>
      <c r="C966" t="s">
        <v>16</v>
      </c>
      <c r="D966" s="6">
        <v>1630577223.1408238</v>
      </c>
      <c r="E966" s="6">
        <v>6915017223.1408234</v>
      </c>
      <c r="F966" s="6">
        <v>7.070000171661377</v>
      </c>
      <c r="G966" s="6">
        <v>7.0100002288818359</v>
      </c>
      <c r="H966" s="6" t="e">
        <v>#N/A</v>
      </c>
      <c r="I966" s="6">
        <v>-7.7013789061365356E-3</v>
      </c>
      <c r="J966" s="6">
        <v>812621000</v>
      </c>
      <c r="K966" s="6">
        <v>41.944919315789988</v>
      </c>
      <c r="L966" t="s">
        <v>6623</v>
      </c>
      <c r="M966" t="s">
        <v>6700</v>
      </c>
      <c r="N966" s="4" t="s">
        <v>9649</v>
      </c>
      <c r="O966" s="4" t="s">
        <v>9650</v>
      </c>
      <c r="P966" s="4" t="s">
        <v>233</v>
      </c>
    </row>
    <row r="967" spans="1:16" x14ac:dyDescent="0.35">
      <c r="A967" t="s">
        <v>9651</v>
      </c>
      <c r="B967" t="s">
        <v>9652</v>
      </c>
      <c r="C967" t="s">
        <v>16</v>
      </c>
      <c r="D967" s="6">
        <v>3810848590.3493958</v>
      </c>
      <c r="E967" s="6">
        <v>6066748590.3493958</v>
      </c>
      <c r="F967" s="6">
        <v>65.910003662109375</v>
      </c>
      <c r="G967" s="6">
        <v>65.620002746582031</v>
      </c>
      <c r="H967" s="6">
        <v>21.125001173753002</v>
      </c>
      <c r="I967" s="6">
        <v>0.16577036606133699</v>
      </c>
      <c r="J967" s="6">
        <v>1567700000</v>
      </c>
      <c r="K967" s="6">
        <v>-27.777777777777779</v>
      </c>
      <c r="L967" t="s">
        <v>6719</v>
      </c>
      <c r="M967" t="s">
        <v>7215</v>
      </c>
      <c r="N967" s="4" t="s">
        <v>9653</v>
      </c>
      <c r="O967" s="4" t="s">
        <v>9654</v>
      </c>
      <c r="P967" s="4" t="s">
        <v>233</v>
      </c>
    </row>
    <row r="968" spans="1:16" x14ac:dyDescent="0.35">
      <c r="A968" t="s">
        <v>9655</v>
      </c>
      <c r="B968" t="s">
        <v>9656</v>
      </c>
      <c r="C968" t="s">
        <v>16</v>
      </c>
      <c r="D968" s="6">
        <v>945511224.01327503</v>
      </c>
      <c r="E968" s="6" t="e">
        <v>#N/A</v>
      </c>
      <c r="F968" s="6">
        <v>63.169998168945313</v>
      </c>
      <c r="G968" s="6">
        <v>64.510002136230469</v>
      </c>
      <c r="H968" s="6">
        <v>12.933879387721007</v>
      </c>
      <c r="I968" s="6">
        <v>0.10928897920598457</v>
      </c>
      <c r="J968" s="6">
        <v>320747000</v>
      </c>
      <c r="K968" s="6" t="e">
        <v>#N/A</v>
      </c>
      <c r="L968" t="s">
        <v>6529</v>
      </c>
      <c r="M968" t="s">
        <v>6530</v>
      </c>
      <c r="N968" s="4" t="s">
        <v>9657</v>
      </c>
      <c r="O968" s="4" t="s">
        <v>9658</v>
      </c>
      <c r="P968" s="4" t="s">
        <v>233</v>
      </c>
    </row>
    <row r="969" spans="1:16" x14ac:dyDescent="0.35">
      <c r="A969" t="s">
        <v>9659</v>
      </c>
      <c r="B969" t="s">
        <v>9660</v>
      </c>
      <c r="C969" t="s">
        <v>16</v>
      </c>
      <c r="D969" s="6">
        <v>9032841354.3248138</v>
      </c>
      <c r="E969" s="6">
        <v>8038739354.3248138</v>
      </c>
      <c r="F969" s="6">
        <v>79.419998168945313</v>
      </c>
      <c r="G969" s="6">
        <v>79.709999084472656</v>
      </c>
      <c r="H969" s="6">
        <v>15.08853794855635</v>
      </c>
      <c r="I969" s="6">
        <v>0.60143421224325744</v>
      </c>
      <c r="J969" s="6">
        <v>3768766000</v>
      </c>
      <c r="K969" s="6">
        <v>0.36968576709795886</v>
      </c>
      <c r="L969" t="s">
        <v>6547</v>
      </c>
      <c r="M969" t="s">
        <v>6668</v>
      </c>
      <c r="N969" s="4" t="s">
        <v>9661</v>
      </c>
      <c r="O969" s="4" t="s">
        <v>9662</v>
      </c>
      <c r="P969" s="4" t="s">
        <v>233</v>
      </c>
    </row>
    <row r="970" spans="1:16" x14ac:dyDescent="0.35">
      <c r="A970" t="s">
        <v>9663</v>
      </c>
      <c r="B970" t="s">
        <v>9664</v>
      </c>
      <c r="C970" t="s">
        <v>16</v>
      </c>
      <c r="D970" s="6">
        <v>1448606108.055115</v>
      </c>
      <c r="E970" s="6" t="e">
        <v>#N/A</v>
      </c>
      <c r="F970" s="6">
        <v>43.889999389648438</v>
      </c>
      <c r="G970" s="6">
        <v>44.049999237060547</v>
      </c>
      <c r="H970" s="6">
        <v>12.699840012004934</v>
      </c>
      <c r="I970" s="6">
        <v>0.25106597959691768</v>
      </c>
      <c r="J970" s="6">
        <v>531044999.99999994</v>
      </c>
      <c r="K970" s="6">
        <v>-1.6557507082152929</v>
      </c>
      <c r="L970" t="s">
        <v>6529</v>
      </c>
      <c r="M970" t="s">
        <v>6530</v>
      </c>
      <c r="N970" s="4" t="s">
        <v>9665</v>
      </c>
      <c r="O970" s="4" t="s">
        <v>9666</v>
      </c>
      <c r="P970" s="4" t="s">
        <v>233</v>
      </c>
    </row>
    <row r="971" spans="1:16" x14ac:dyDescent="0.35">
      <c r="A971" t="s">
        <v>9667</v>
      </c>
      <c r="B971" t="s">
        <v>9668</v>
      </c>
      <c r="C971" t="s">
        <v>16</v>
      </c>
      <c r="D971" s="6">
        <v>671622458.85772705</v>
      </c>
      <c r="E971" s="6">
        <v>648592458.85772705</v>
      </c>
      <c r="F971" s="6">
        <v>94.589996337890625</v>
      </c>
      <c r="G971" s="6">
        <v>95.400001525878906</v>
      </c>
      <c r="H971" s="6">
        <v>20.081812602413351</v>
      </c>
      <c r="I971" s="6">
        <v>0.28189559748392812</v>
      </c>
      <c r="J971" s="6">
        <v>351952000</v>
      </c>
      <c r="K971" s="6">
        <v>43.217970836557015</v>
      </c>
      <c r="L971" t="s">
        <v>6547</v>
      </c>
      <c r="M971" t="s">
        <v>6843</v>
      </c>
      <c r="N971" s="4" t="s">
        <v>9669</v>
      </c>
      <c r="O971" s="4" t="s">
        <v>9670</v>
      </c>
      <c r="P971" s="4" t="s">
        <v>233</v>
      </c>
    </row>
    <row r="972" spans="1:16" x14ac:dyDescent="0.35">
      <c r="A972" t="s">
        <v>9671</v>
      </c>
      <c r="B972" t="s">
        <v>9672</v>
      </c>
      <c r="C972" t="s">
        <v>16</v>
      </c>
      <c r="D972" s="6">
        <v>4596264393.8954163</v>
      </c>
      <c r="E972" s="6">
        <v>8153144393.8954163</v>
      </c>
      <c r="F972" s="6">
        <v>45.830001831054688</v>
      </c>
      <c r="G972" s="6">
        <v>45.490001678466797</v>
      </c>
      <c r="H972" s="6">
        <v>15.04291541439396</v>
      </c>
      <c r="I972" s="6">
        <v>0.13002816956864893</v>
      </c>
      <c r="J972" s="6">
        <v>1817690000</v>
      </c>
      <c r="K972" s="6">
        <v>36.73469387755101</v>
      </c>
      <c r="L972" t="s">
        <v>6719</v>
      </c>
      <c r="M972" t="s">
        <v>7212</v>
      </c>
      <c r="N972" s="4" t="s">
        <v>9673</v>
      </c>
      <c r="O972" s="4" t="s">
        <v>9674</v>
      </c>
      <c r="P972" s="4" t="s">
        <v>233</v>
      </c>
    </row>
    <row r="973" spans="1:16" x14ac:dyDescent="0.35">
      <c r="A973" t="s">
        <v>9675</v>
      </c>
      <c r="B973" t="s">
        <v>9676</v>
      </c>
      <c r="C973" t="s">
        <v>16</v>
      </c>
      <c r="D973" s="6">
        <v>1669397671.193527</v>
      </c>
      <c r="E973" s="6">
        <v>2614260671.1935272</v>
      </c>
      <c r="F973" s="6">
        <v>46.639999389648438</v>
      </c>
      <c r="G973" s="6">
        <v>46</v>
      </c>
      <c r="H973" s="6" t="e">
        <v>#N/A</v>
      </c>
      <c r="I973" s="6">
        <v>0.12080357659931162</v>
      </c>
      <c r="J973" s="6">
        <v>1136795000</v>
      </c>
      <c r="K973" s="6" t="e">
        <v>#N/A</v>
      </c>
      <c r="L973" t="s">
        <v>6514</v>
      </c>
      <c r="M973" t="s">
        <v>6690</v>
      </c>
      <c r="N973" s="4" t="s">
        <v>9677</v>
      </c>
      <c r="O973" s="4" t="s">
        <v>9678</v>
      </c>
      <c r="P973" s="4" t="s">
        <v>233</v>
      </c>
    </row>
    <row r="974" spans="1:16" x14ac:dyDescent="0.35">
      <c r="A974" t="s">
        <v>9679</v>
      </c>
      <c r="B974" t="s">
        <v>9680</v>
      </c>
      <c r="C974" t="s">
        <v>16</v>
      </c>
      <c r="D974" s="6">
        <v>990826394.64929569</v>
      </c>
      <c r="E974" s="6">
        <v>1118980394.6492958</v>
      </c>
      <c r="F974" s="6">
        <v>29.409999847412109</v>
      </c>
      <c r="G974" s="6">
        <v>29.799999237060547</v>
      </c>
      <c r="H974" s="6">
        <v>21.750867037497958</v>
      </c>
      <c r="I974" s="6">
        <v>5.4724073589478728E-2</v>
      </c>
      <c r="J974" s="6">
        <v>491781000</v>
      </c>
      <c r="K974" s="6">
        <v>-6.182059393815698</v>
      </c>
      <c r="L974" t="s">
        <v>6547</v>
      </c>
      <c r="M974" t="s">
        <v>6602</v>
      </c>
      <c r="N974" s="4" t="s">
        <v>9681</v>
      </c>
      <c r="O974" s="4" t="s">
        <v>9682</v>
      </c>
      <c r="P974" s="4" t="s">
        <v>233</v>
      </c>
    </row>
    <row r="975" spans="1:16" x14ac:dyDescent="0.35">
      <c r="A975" t="s">
        <v>9683</v>
      </c>
      <c r="B975" t="s">
        <v>144</v>
      </c>
      <c r="C975" t="s">
        <v>16</v>
      </c>
      <c r="D975" s="6">
        <v>631522448.32378769</v>
      </c>
      <c r="E975" s="6">
        <v>2759085448.3237877</v>
      </c>
      <c r="F975" s="6">
        <v>8.1899995803833008</v>
      </c>
      <c r="G975" s="6">
        <v>8.2600002288818359</v>
      </c>
      <c r="H975" s="6">
        <v>9.341572601226952</v>
      </c>
      <c r="I975" s="6">
        <v>-0.61965174766598186</v>
      </c>
      <c r="J975" s="6">
        <v>10660961000</v>
      </c>
      <c r="K975" s="6">
        <v>57.792207792207797</v>
      </c>
      <c r="L975" t="s">
        <v>17</v>
      </c>
      <c r="M975" t="s">
        <v>40</v>
      </c>
      <c r="N975" s="4" t="s">
        <v>145</v>
      </c>
      <c r="O975" s="4" t="s">
        <v>146</v>
      </c>
      <c r="P975" s="4" t="s">
        <v>233</v>
      </c>
    </row>
    <row r="976" spans="1:16" x14ac:dyDescent="0.35">
      <c r="A976" t="s">
        <v>9684</v>
      </c>
      <c r="B976" t="s">
        <v>9685</v>
      </c>
      <c r="C976" t="s">
        <v>16</v>
      </c>
      <c r="D976" s="6">
        <v>1156538148.2789001</v>
      </c>
      <c r="E976" s="6">
        <v>1583988148.2789001</v>
      </c>
      <c r="F976" s="6">
        <v>73.660003662109375</v>
      </c>
      <c r="G976" s="6">
        <v>71.989997863769531</v>
      </c>
      <c r="H976" s="6">
        <v>11.189174612652602</v>
      </c>
      <c r="I976" s="6">
        <v>-0.24501233337216244</v>
      </c>
      <c r="J976" s="6">
        <v>1530524000</v>
      </c>
      <c r="K976" s="6">
        <v>-90.306122448979593</v>
      </c>
      <c r="L976" t="s">
        <v>6540</v>
      </c>
      <c r="M976" t="s">
        <v>7034</v>
      </c>
      <c r="N976" s="4" t="s">
        <v>9686</v>
      </c>
      <c r="O976" s="4" t="s">
        <v>9687</v>
      </c>
      <c r="P976" s="4" t="s">
        <v>233</v>
      </c>
    </row>
    <row r="977" spans="1:16" x14ac:dyDescent="0.35">
      <c r="A977" t="s">
        <v>9688</v>
      </c>
      <c r="B977" t="s">
        <v>9689</v>
      </c>
      <c r="C977" t="s">
        <v>16</v>
      </c>
      <c r="D977" s="6">
        <v>3934722073.4984055</v>
      </c>
      <c r="E977" s="6" t="e">
        <v>#N/A</v>
      </c>
      <c r="F977" s="6">
        <v>118.76999664306641</v>
      </c>
      <c r="G977" s="6">
        <v>120.30999755859375</v>
      </c>
      <c r="H977" s="6">
        <v>18.442546062587951</v>
      </c>
      <c r="I977" s="6">
        <v>0.33539051319536939</v>
      </c>
      <c r="J977" s="6" t="e">
        <v>#N/A</v>
      </c>
      <c r="K977" s="6">
        <v>1.5503875968992193</v>
      </c>
      <c r="L977" t="s">
        <v>6529</v>
      </c>
      <c r="M977" t="s">
        <v>6530</v>
      </c>
      <c r="N977" s="4" t="s">
        <v>9690</v>
      </c>
      <c r="O977" s="4" t="s">
        <v>9691</v>
      </c>
      <c r="P977" s="4" t="s">
        <v>233</v>
      </c>
    </row>
    <row r="978" spans="1:16" x14ac:dyDescent="0.35">
      <c r="A978" t="s">
        <v>9692</v>
      </c>
      <c r="B978" t="s">
        <v>9693</v>
      </c>
      <c r="C978" t="s">
        <v>16</v>
      </c>
      <c r="D978" s="6">
        <v>286325739.62973684</v>
      </c>
      <c r="E978" s="6">
        <v>216650739.62973684</v>
      </c>
      <c r="F978" s="6">
        <v>14.369999885559082</v>
      </c>
      <c r="G978" s="6">
        <v>14.170000076293945</v>
      </c>
      <c r="H978" s="6">
        <v>35.949355402182682</v>
      </c>
      <c r="I978" s="6">
        <v>5.2473717500718386E-3</v>
      </c>
      <c r="J978" s="6">
        <v>61420000</v>
      </c>
      <c r="K978" s="6">
        <v>-23.404255319148934</v>
      </c>
      <c r="L978" t="s">
        <v>6547</v>
      </c>
      <c r="M978" t="s">
        <v>6843</v>
      </c>
      <c r="N978" s="4" t="s">
        <v>9694</v>
      </c>
      <c r="O978" s="4" t="s">
        <v>9695</v>
      </c>
      <c r="P978" s="4" t="s">
        <v>233</v>
      </c>
    </row>
    <row r="979" spans="1:16" x14ac:dyDescent="0.35">
      <c r="A979" t="s">
        <v>9696</v>
      </c>
      <c r="B979" t="s">
        <v>4176</v>
      </c>
      <c r="C979" t="s">
        <v>16</v>
      </c>
      <c r="D979" s="6">
        <v>1652467668.9980617</v>
      </c>
      <c r="E979" s="6">
        <v>1591746668.9980617</v>
      </c>
      <c r="F979" s="6">
        <v>28.430000305175781</v>
      </c>
      <c r="G979" s="6">
        <v>28.069999694824219</v>
      </c>
      <c r="H979" s="6" t="e">
        <v>#N/A</v>
      </c>
      <c r="I979" s="6">
        <v>-1.247038026252667E-2</v>
      </c>
      <c r="J979" s="6">
        <v>405137000</v>
      </c>
      <c r="K979" s="6">
        <v>45.149253731343272</v>
      </c>
      <c r="L979" t="s">
        <v>17</v>
      </c>
      <c r="M979" t="s">
        <v>32</v>
      </c>
      <c r="N979" s="4" t="s">
        <v>4177</v>
      </c>
      <c r="O979" s="4" t="s">
        <v>4178</v>
      </c>
      <c r="P979" s="4" t="s">
        <v>233</v>
      </c>
    </row>
    <row r="980" spans="1:16" x14ac:dyDescent="0.35">
      <c r="A980" t="s">
        <v>9697</v>
      </c>
      <c r="B980" t="s">
        <v>9698</v>
      </c>
      <c r="C980" t="s">
        <v>16</v>
      </c>
      <c r="D980" s="6">
        <v>3482112157.8903198</v>
      </c>
      <c r="E980" s="6">
        <v>4365213157.8903198</v>
      </c>
      <c r="F980" s="6">
        <v>44.209999084472656</v>
      </c>
      <c r="G980" s="6">
        <v>43.700000762939453</v>
      </c>
      <c r="H980" s="6">
        <v>157.89285387311662</v>
      </c>
      <c r="I980" s="6">
        <v>1.3758387507168068E-2</v>
      </c>
      <c r="J980" s="6">
        <v>1062076000</v>
      </c>
      <c r="K980" s="6">
        <v>-64.102564102564102</v>
      </c>
      <c r="L980" t="s">
        <v>6623</v>
      </c>
      <c r="M980" t="s">
        <v>7539</v>
      </c>
      <c r="N980" s="4" t="s">
        <v>9699</v>
      </c>
      <c r="O980" s="4" t="s">
        <v>9700</v>
      </c>
      <c r="P980" s="4" t="s">
        <v>233</v>
      </c>
    </row>
    <row r="981" spans="1:16" x14ac:dyDescent="0.35">
      <c r="A981" t="s">
        <v>9701</v>
      </c>
      <c r="B981" t="s">
        <v>9702</v>
      </c>
      <c r="C981" t="s">
        <v>16</v>
      </c>
      <c r="D981" s="6">
        <v>5545889826.1345673</v>
      </c>
      <c r="E981" s="6">
        <v>10349219826.134567</v>
      </c>
      <c r="F981" s="6">
        <v>77.419998168945313</v>
      </c>
      <c r="G981" s="6">
        <v>76.150001525878906</v>
      </c>
      <c r="H981" s="6">
        <v>27.940813318386802</v>
      </c>
      <c r="I981" s="6">
        <v>0.32518174215781559</v>
      </c>
      <c r="J981" s="6">
        <v>5209839000</v>
      </c>
      <c r="K981" s="6" t="e">
        <v>#N/A</v>
      </c>
      <c r="L981" t="s">
        <v>6719</v>
      </c>
      <c r="M981" t="s">
        <v>7212</v>
      </c>
      <c r="N981" s="4" t="s">
        <v>9703</v>
      </c>
      <c r="O981" s="4" t="s">
        <v>9704</v>
      </c>
      <c r="P981" s="4" t="s">
        <v>233</v>
      </c>
    </row>
    <row r="982" spans="1:16" x14ac:dyDescent="0.35">
      <c r="A982" t="s">
        <v>9705</v>
      </c>
      <c r="B982" t="s">
        <v>9706</v>
      </c>
      <c r="C982" t="s">
        <v>16</v>
      </c>
      <c r="D982" s="6">
        <v>663601737.17756271</v>
      </c>
      <c r="E982" s="6">
        <v>897819737.17756271</v>
      </c>
      <c r="F982" s="6">
        <v>30.549999237060547</v>
      </c>
      <c r="G982" s="6">
        <v>30.680000305175781</v>
      </c>
      <c r="H982" s="6">
        <v>10.061922567348368</v>
      </c>
      <c r="I982" s="6">
        <v>-0.23060757433844525</v>
      </c>
      <c r="J982" s="6">
        <v>1411253000</v>
      </c>
      <c r="K982" s="6">
        <v>-5.0335570469798485</v>
      </c>
      <c r="L982" t="s">
        <v>6540</v>
      </c>
      <c r="M982" t="s">
        <v>6881</v>
      </c>
      <c r="N982" s="4" t="s">
        <v>9707</v>
      </c>
      <c r="O982" s="4" t="s">
        <v>9708</v>
      </c>
      <c r="P982" s="4" t="s">
        <v>233</v>
      </c>
    </row>
    <row r="983" spans="1:16" x14ac:dyDescent="0.35">
      <c r="A983" t="s">
        <v>9709</v>
      </c>
      <c r="B983" t="s">
        <v>9710</v>
      </c>
      <c r="C983" t="s">
        <v>16</v>
      </c>
      <c r="D983" s="6">
        <v>1094802814.5439222</v>
      </c>
      <c r="E983" s="6">
        <v>1079558814.5439222</v>
      </c>
      <c r="F983" s="6">
        <v>42.209999084472656</v>
      </c>
      <c r="G983" s="6">
        <v>42.119998931884766</v>
      </c>
      <c r="H983" s="6">
        <v>22.274405849325941</v>
      </c>
      <c r="I983" s="6">
        <v>0.48969861012383697</v>
      </c>
      <c r="J983" s="6">
        <v>1116393000</v>
      </c>
      <c r="K983" s="6">
        <v>10.099573257468005</v>
      </c>
      <c r="L983" t="s">
        <v>6547</v>
      </c>
      <c r="M983" t="s">
        <v>6548</v>
      </c>
      <c r="N983" s="4" t="s">
        <v>9711</v>
      </c>
      <c r="O983" s="4" t="s">
        <v>9712</v>
      </c>
      <c r="P983" s="4" t="s">
        <v>233</v>
      </c>
    </row>
    <row r="984" spans="1:16" x14ac:dyDescent="0.35">
      <c r="A984" t="s">
        <v>9713</v>
      </c>
      <c r="B984" t="s">
        <v>9714</v>
      </c>
      <c r="C984" t="s">
        <v>16</v>
      </c>
      <c r="D984" s="6">
        <v>809731277.0423317</v>
      </c>
      <c r="E984" s="6" t="e">
        <v>#N/A</v>
      </c>
      <c r="F984" s="6">
        <v>27.409999847412109</v>
      </c>
      <c r="G984" s="6">
        <v>27.399999618530273</v>
      </c>
      <c r="H984" s="6">
        <v>11.684444064895816</v>
      </c>
      <c r="I984" s="6">
        <v>0.25138245556742089</v>
      </c>
      <c r="J984" s="6">
        <v>458957000</v>
      </c>
      <c r="K984" s="6">
        <v>-13.358778625954201</v>
      </c>
      <c r="L984" t="s">
        <v>6529</v>
      </c>
      <c r="M984" t="s">
        <v>6530</v>
      </c>
      <c r="N984" s="4" t="s">
        <v>9715</v>
      </c>
      <c r="O984" s="4" t="s">
        <v>9716</v>
      </c>
      <c r="P984" s="4" t="s">
        <v>233</v>
      </c>
    </row>
    <row r="985" spans="1:16" x14ac:dyDescent="0.35">
      <c r="A985" t="s">
        <v>9717</v>
      </c>
      <c r="B985" t="s">
        <v>9718</v>
      </c>
      <c r="C985" t="s">
        <v>16</v>
      </c>
      <c r="D985" s="6">
        <v>2258136523.3178711</v>
      </c>
      <c r="E985" s="6">
        <v>2731835523.3178711</v>
      </c>
      <c r="F985" s="6">
        <v>189.78999328613281</v>
      </c>
      <c r="G985" s="6">
        <v>189.60000610351563</v>
      </c>
      <c r="H985" s="6">
        <v>30.20972885516008</v>
      </c>
      <c r="I985" s="6">
        <v>0.18418344986069823</v>
      </c>
      <c r="J985" s="6">
        <v>717739000</v>
      </c>
      <c r="K985" s="6">
        <v>-60.605000000000011</v>
      </c>
      <c r="L985" t="s">
        <v>6547</v>
      </c>
      <c r="M985" t="s">
        <v>6668</v>
      </c>
      <c r="N985" s="4" t="s">
        <v>9719</v>
      </c>
      <c r="O985" s="4" t="s">
        <v>9720</v>
      </c>
      <c r="P985" s="4" t="s">
        <v>233</v>
      </c>
    </row>
    <row r="986" spans="1:16" x14ac:dyDescent="0.35">
      <c r="A986" t="s">
        <v>9721</v>
      </c>
      <c r="B986" t="s">
        <v>9722</v>
      </c>
      <c r="C986" t="s">
        <v>16</v>
      </c>
      <c r="D986" s="6">
        <v>530506800.75897229</v>
      </c>
      <c r="E986" s="6" t="e">
        <v>#N/A</v>
      </c>
      <c r="F986" s="6">
        <v>32.040000915527344</v>
      </c>
      <c r="G986" s="6">
        <v>31.829999923706055</v>
      </c>
      <c r="H986" s="6">
        <v>13.79975747724907</v>
      </c>
      <c r="I986" s="6">
        <v>0.56895395490722467</v>
      </c>
      <c r="J986" s="6">
        <v>244711000</v>
      </c>
      <c r="K986" s="6">
        <v>-17.187499999999996</v>
      </c>
      <c r="L986" t="s">
        <v>6529</v>
      </c>
      <c r="M986" t="s">
        <v>6530</v>
      </c>
      <c r="N986" s="4" t="s">
        <v>9723</v>
      </c>
      <c r="O986" s="4" t="s">
        <v>9724</v>
      </c>
      <c r="P986" s="4" t="s">
        <v>233</v>
      </c>
    </row>
    <row r="987" spans="1:16" x14ac:dyDescent="0.35">
      <c r="A987" t="s">
        <v>9725</v>
      </c>
      <c r="B987" t="s">
        <v>9726</v>
      </c>
      <c r="C987" t="s">
        <v>16</v>
      </c>
      <c r="D987" s="6">
        <v>257547531.25247952</v>
      </c>
      <c r="E987" s="6" t="e">
        <v>#N/A</v>
      </c>
      <c r="F987" s="6">
        <v>44.900001525878906</v>
      </c>
      <c r="G987" s="6">
        <v>45.5</v>
      </c>
      <c r="H987" s="6">
        <v>12.472222646077473</v>
      </c>
      <c r="I987" s="6">
        <v>-5.9844316668432374E-2</v>
      </c>
      <c r="J987" s="6">
        <v>126035000</v>
      </c>
      <c r="K987" s="6">
        <v>13.084112149532709</v>
      </c>
      <c r="L987" t="s">
        <v>6529</v>
      </c>
      <c r="M987" t="s">
        <v>6530</v>
      </c>
      <c r="N987" s="4" t="s">
        <v>9727</v>
      </c>
      <c r="O987" s="4" t="s">
        <v>9728</v>
      </c>
      <c r="P987" s="4" t="s">
        <v>233</v>
      </c>
    </row>
    <row r="988" spans="1:16" x14ac:dyDescent="0.35">
      <c r="A988" t="s">
        <v>9729</v>
      </c>
      <c r="B988" t="s">
        <v>9730</v>
      </c>
      <c r="C988" t="s">
        <v>16</v>
      </c>
      <c r="D988" s="6">
        <v>887731686.82823277</v>
      </c>
      <c r="E988" s="6">
        <v>968819686.82823277</v>
      </c>
      <c r="F988" s="6">
        <v>12.800000190734863</v>
      </c>
      <c r="G988" s="6">
        <v>12.489999771118164</v>
      </c>
      <c r="H988" s="6">
        <v>51.825430052816849</v>
      </c>
      <c r="I988" s="6">
        <v>-0.12056960069637634</v>
      </c>
      <c r="J988" s="6">
        <v>681230000</v>
      </c>
      <c r="K988" s="6" t="e">
        <v>#N/A</v>
      </c>
      <c r="L988" t="s">
        <v>6514</v>
      </c>
      <c r="M988" t="s">
        <v>6578</v>
      </c>
      <c r="N988" s="4" t="s">
        <v>9731</v>
      </c>
      <c r="O988" s="4" t="s">
        <v>9732</v>
      </c>
      <c r="P988" s="4" t="s">
        <v>233</v>
      </c>
    </row>
    <row r="989" spans="1:16" x14ac:dyDescent="0.35">
      <c r="A989" t="s">
        <v>9733</v>
      </c>
      <c r="B989" t="s">
        <v>9734</v>
      </c>
      <c r="C989" t="s">
        <v>16</v>
      </c>
      <c r="D989" s="6">
        <v>1786631995.3918459</v>
      </c>
      <c r="E989" s="6">
        <v>1533431995.3918459</v>
      </c>
      <c r="F989" s="6">
        <v>118.31999969482422</v>
      </c>
      <c r="G989" s="6">
        <v>112.5</v>
      </c>
      <c r="H989" s="6" t="e">
        <v>#N/A</v>
      </c>
      <c r="I989" s="6">
        <v>12.918185172347913</v>
      </c>
      <c r="J989" s="6">
        <v>455000000</v>
      </c>
      <c r="K989" s="6">
        <v>51.492183799147327</v>
      </c>
      <c r="L989" t="s">
        <v>6529</v>
      </c>
      <c r="M989" t="s">
        <v>6664</v>
      </c>
      <c r="N989" s="4" t="s">
        <v>9735</v>
      </c>
      <c r="O989" s="4" t="s">
        <v>9736</v>
      </c>
      <c r="P989" s="4" t="s">
        <v>233</v>
      </c>
    </row>
    <row r="990" spans="1:16" x14ac:dyDescent="0.35">
      <c r="A990" t="s">
        <v>9737</v>
      </c>
      <c r="B990" t="s">
        <v>9738</v>
      </c>
      <c r="C990" t="s">
        <v>16</v>
      </c>
      <c r="D990" s="6">
        <v>555389832.35331726</v>
      </c>
      <c r="E990" s="6">
        <v>521791832.35331726</v>
      </c>
      <c r="F990" s="6">
        <v>40.270000457763672</v>
      </c>
      <c r="G990" s="6">
        <v>39.119998931884766</v>
      </c>
      <c r="H990" s="6">
        <v>109.67880875187227</v>
      </c>
      <c r="I990" s="6">
        <v>1.2531498672504493</v>
      </c>
      <c r="J990" s="6">
        <v>70685000</v>
      </c>
      <c r="K990" s="6">
        <v>-61.308871209814946</v>
      </c>
      <c r="L990" t="s">
        <v>6518</v>
      </c>
      <c r="M990" t="s">
        <v>6519</v>
      </c>
      <c r="N990" s="4" t="s">
        <v>9739</v>
      </c>
      <c r="O990" s="4" t="s">
        <v>9740</v>
      </c>
      <c r="P990" s="4" t="s">
        <v>233</v>
      </c>
    </row>
    <row r="991" spans="1:16" x14ac:dyDescent="0.35">
      <c r="A991" t="s">
        <v>9741</v>
      </c>
      <c r="B991" t="s">
        <v>9742</v>
      </c>
      <c r="C991" t="s">
        <v>16</v>
      </c>
      <c r="D991" s="6">
        <v>601951014.77923584</v>
      </c>
      <c r="E991" s="6">
        <v>508302014.77923584</v>
      </c>
      <c r="F991" s="6">
        <v>35.849998474121094</v>
      </c>
      <c r="G991" s="6">
        <v>35.520000457763672</v>
      </c>
      <c r="H991" s="6">
        <v>20.750621780178317</v>
      </c>
      <c r="I991" s="6">
        <v>-0.1875918432731527</v>
      </c>
      <c r="J991" s="6">
        <v>520485000</v>
      </c>
      <c r="K991" s="6">
        <v>-45.452884584560259</v>
      </c>
      <c r="L991" t="s">
        <v>6540</v>
      </c>
      <c r="M991" t="s">
        <v>6571</v>
      </c>
      <c r="N991" s="4" t="s">
        <v>9743</v>
      </c>
      <c r="O991" s="4" t="s">
        <v>9744</v>
      </c>
      <c r="P991" s="4" t="s">
        <v>233</v>
      </c>
    </row>
    <row r="992" spans="1:16" x14ac:dyDescent="0.35">
      <c r="A992" t="s">
        <v>9745</v>
      </c>
      <c r="B992" t="s">
        <v>2171</v>
      </c>
      <c r="C992" t="s">
        <v>16</v>
      </c>
      <c r="D992" s="6">
        <v>1627529465.1058581</v>
      </c>
      <c r="E992" s="6">
        <v>1326175465.1058581</v>
      </c>
      <c r="F992" s="6">
        <v>5.3400001525878906</v>
      </c>
      <c r="G992" s="6">
        <v>5.2100000381469727</v>
      </c>
      <c r="H992" s="6" t="e">
        <v>#N/A</v>
      </c>
      <c r="I992" s="6">
        <v>-0.46240321406831342</v>
      </c>
      <c r="J992" s="6">
        <v>90858000</v>
      </c>
      <c r="K992" s="6">
        <v>28.019323671497581</v>
      </c>
      <c r="L992" t="s">
        <v>17</v>
      </c>
      <c r="M992" t="s">
        <v>18</v>
      </c>
      <c r="N992" s="4" t="s">
        <v>2172</v>
      </c>
      <c r="O992" s="4" t="s">
        <v>2173</v>
      </c>
      <c r="P992" s="4" t="s">
        <v>233</v>
      </c>
    </row>
    <row r="993" spans="1:16" x14ac:dyDescent="0.35">
      <c r="A993" t="s">
        <v>9746</v>
      </c>
      <c r="B993" t="s">
        <v>9747</v>
      </c>
      <c r="C993" t="s">
        <v>16</v>
      </c>
      <c r="D993" s="6">
        <v>557128451.97078323</v>
      </c>
      <c r="E993" s="6" t="e">
        <v>#N/A</v>
      </c>
      <c r="F993" s="6">
        <v>29.329999923706055</v>
      </c>
      <c r="G993" s="6">
        <v>29.479999542236328</v>
      </c>
      <c r="H993" s="6">
        <v>10.017473343788911</v>
      </c>
      <c r="I993" s="6">
        <v>0.40537689539204869</v>
      </c>
      <c r="J993" s="6">
        <v>309076000</v>
      </c>
      <c r="K993" s="6">
        <v>26.812183406113544</v>
      </c>
      <c r="L993" t="s">
        <v>6529</v>
      </c>
      <c r="M993" t="s">
        <v>6530</v>
      </c>
      <c r="N993" s="4" t="s">
        <v>9748</v>
      </c>
      <c r="O993" s="4" t="s">
        <v>9749</v>
      </c>
      <c r="P993" s="4" t="s">
        <v>233</v>
      </c>
    </row>
    <row r="994" spans="1:16" x14ac:dyDescent="0.35">
      <c r="A994" t="s">
        <v>9750</v>
      </c>
      <c r="B994" t="s">
        <v>9751</v>
      </c>
      <c r="C994" t="s">
        <v>16</v>
      </c>
      <c r="D994" s="6">
        <v>6065832318.8973532</v>
      </c>
      <c r="E994" s="6">
        <v>6450199318.8973532</v>
      </c>
      <c r="F994" s="6">
        <v>57.110000610351563</v>
      </c>
      <c r="G994" s="6">
        <v>57.619998931884766</v>
      </c>
      <c r="H994" s="6">
        <v>8.2134053834480341</v>
      </c>
      <c r="I994" s="6">
        <v>9.6903152762432221E-2</v>
      </c>
      <c r="J994" s="6">
        <v>1225154000</v>
      </c>
      <c r="K994" s="6">
        <v>11.146496815286612</v>
      </c>
      <c r="L994" t="s">
        <v>6529</v>
      </c>
      <c r="M994" t="s">
        <v>6639</v>
      </c>
      <c r="N994" s="4" t="s">
        <v>233</v>
      </c>
      <c r="O994" s="4" t="s">
        <v>9752</v>
      </c>
      <c r="P994" s="4" t="s">
        <v>13238</v>
      </c>
    </row>
    <row r="995" spans="1:16" x14ac:dyDescent="0.35">
      <c r="A995" t="s">
        <v>9753</v>
      </c>
      <c r="B995" t="s">
        <v>9754</v>
      </c>
      <c r="C995" t="s">
        <v>16</v>
      </c>
      <c r="D995" s="6">
        <v>89556469.558840275</v>
      </c>
      <c r="E995" s="6">
        <v>170982469.55884027</v>
      </c>
      <c r="F995" s="6">
        <v>3.2300000190734863</v>
      </c>
      <c r="G995" s="6">
        <v>3.2699999809265137</v>
      </c>
      <c r="H995" s="6" t="e">
        <v>#N/A</v>
      </c>
      <c r="I995" s="6">
        <v>-0.5932198945698286</v>
      </c>
      <c r="J995" s="6">
        <v>405268000</v>
      </c>
      <c r="K995" s="6">
        <v>0</v>
      </c>
      <c r="L995" t="s">
        <v>6540</v>
      </c>
      <c r="M995" t="s">
        <v>7034</v>
      </c>
      <c r="N995" s="4" t="s">
        <v>9755</v>
      </c>
      <c r="O995" s="4" t="s">
        <v>9756</v>
      </c>
      <c r="P995" s="4" t="s">
        <v>233</v>
      </c>
    </row>
    <row r="996" spans="1:16" x14ac:dyDescent="0.35">
      <c r="A996" t="s">
        <v>9757</v>
      </c>
      <c r="B996" t="s">
        <v>9758</v>
      </c>
      <c r="C996" t="s">
        <v>16</v>
      </c>
      <c r="D996" s="6">
        <v>269389868.92306519</v>
      </c>
      <c r="E996" s="6">
        <v>304808868.92306519</v>
      </c>
      <c r="F996" s="6">
        <v>7.8400001525878906</v>
      </c>
      <c r="G996" s="6">
        <v>7.880000114440918</v>
      </c>
      <c r="H996" s="6" t="e">
        <v>#N/A</v>
      </c>
      <c r="I996" s="6">
        <v>0.58184969126617858</v>
      </c>
      <c r="J996" s="6">
        <v>717366000</v>
      </c>
      <c r="K996" s="6">
        <v>63.594470046082954</v>
      </c>
      <c r="L996" t="s">
        <v>6563</v>
      </c>
      <c r="M996" t="s">
        <v>6564</v>
      </c>
      <c r="N996" s="4" t="s">
        <v>9759</v>
      </c>
      <c r="O996" s="4" t="s">
        <v>9760</v>
      </c>
      <c r="P996" s="4" t="s">
        <v>233</v>
      </c>
    </row>
    <row r="997" spans="1:16" x14ac:dyDescent="0.35">
      <c r="A997" t="s">
        <v>9761</v>
      </c>
      <c r="B997" t="s">
        <v>9762</v>
      </c>
      <c r="C997" t="s">
        <v>16</v>
      </c>
      <c r="D997" s="6">
        <v>3800688004.0343628</v>
      </c>
      <c r="E997" s="6">
        <v>4398888004.0343628</v>
      </c>
      <c r="F997" s="6">
        <v>16.360000610351563</v>
      </c>
      <c r="G997" s="6">
        <v>16.719999313354492</v>
      </c>
      <c r="H997" s="6" t="e">
        <v>#N/A</v>
      </c>
      <c r="I997" s="6">
        <v>0.64034467751588986</v>
      </c>
      <c r="J997" s="6">
        <v>860800000</v>
      </c>
      <c r="K997" s="6">
        <v>63.265306122448983</v>
      </c>
      <c r="L997" t="s">
        <v>6518</v>
      </c>
      <c r="M997" t="s">
        <v>6714</v>
      </c>
      <c r="N997" s="4" t="s">
        <v>9763</v>
      </c>
      <c r="O997" s="4" t="s">
        <v>9764</v>
      </c>
      <c r="P997" s="4" t="s">
        <v>233</v>
      </c>
    </row>
    <row r="998" spans="1:16" x14ac:dyDescent="0.35">
      <c r="A998" t="s">
        <v>9765</v>
      </c>
      <c r="B998" t="s">
        <v>9766</v>
      </c>
      <c r="C998" t="s">
        <v>16</v>
      </c>
      <c r="D998" s="6">
        <v>1507207426.8434141</v>
      </c>
      <c r="E998" s="6" t="e">
        <v>#N/A</v>
      </c>
      <c r="F998" s="6">
        <v>40.279998779296875</v>
      </c>
      <c r="G998" s="6">
        <v>40.270000457763672</v>
      </c>
      <c r="H998" s="6">
        <v>14.23321511635932</v>
      </c>
      <c r="I998" s="6">
        <v>0.24516890597224861</v>
      </c>
      <c r="J998" s="6">
        <v>353703000</v>
      </c>
      <c r="K998" s="6">
        <v>-2.7491408934707926</v>
      </c>
      <c r="L998" t="s">
        <v>6529</v>
      </c>
      <c r="M998" t="s">
        <v>6530</v>
      </c>
      <c r="N998" s="4" t="s">
        <v>9767</v>
      </c>
      <c r="O998" s="4" t="s">
        <v>9768</v>
      </c>
      <c r="P998" s="4" t="s">
        <v>233</v>
      </c>
    </row>
    <row r="999" spans="1:16" x14ac:dyDescent="0.35">
      <c r="A999" t="s">
        <v>9769</v>
      </c>
      <c r="B999" t="s">
        <v>9770</v>
      </c>
      <c r="C999" t="s">
        <v>16</v>
      </c>
      <c r="D999" s="6">
        <v>4019457163</v>
      </c>
      <c r="E999" s="6">
        <v>3905967163</v>
      </c>
      <c r="F999" s="6">
        <v>216.5</v>
      </c>
      <c r="G999" s="6">
        <v>215.99000549316406</v>
      </c>
      <c r="H999" s="6">
        <v>27.688714898319109</v>
      </c>
      <c r="I999" s="6">
        <v>0.22768325983924931</v>
      </c>
      <c r="J999" s="6">
        <v>2438814000</v>
      </c>
      <c r="K999" s="6">
        <v>31.00719270361115</v>
      </c>
      <c r="L999" t="s">
        <v>6547</v>
      </c>
      <c r="M999" t="s">
        <v>6802</v>
      </c>
      <c r="N999" s="4" t="s">
        <v>9771</v>
      </c>
      <c r="O999" s="4" t="s">
        <v>9772</v>
      </c>
      <c r="P999" s="4" t="s">
        <v>233</v>
      </c>
    </row>
    <row r="1000" spans="1:16" x14ac:dyDescent="0.35">
      <c r="A1000" t="s">
        <v>9773</v>
      </c>
      <c r="B1000" t="s">
        <v>9774</v>
      </c>
      <c r="C1000" t="s">
        <v>16</v>
      </c>
      <c r="D1000" s="6">
        <v>2040801628.1756456</v>
      </c>
      <c r="E1000" s="6">
        <v>1732906628.1756456</v>
      </c>
      <c r="F1000" s="6">
        <v>9.9200000762939453</v>
      </c>
      <c r="G1000" s="6">
        <v>9.8599996566772461</v>
      </c>
      <c r="H1000" s="6" t="e">
        <v>#N/A</v>
      </c>
      <c r="I1000" s="6">
        <v>-0.18907698097322978</v>
      </c>
      <c r="J1000" s="6">
        <v>380720000</v>
      </c>
      <c r="K1000" s="6">
        <v>54.901960784313729</v>
      </c>
      <c r="L1000" t="s">
        <v>6529</v>
      </c>
      <c r="M1000" t="s">
        <v>6639</v>
      </c>
      <c r="N1000" s="4" t="s">
        <v>9775</v>
      </c>
      <c r="O1000" s="4" t="s">
        <v>9776</v>
      </c>
      <c r="P1000" s="4" t="s">
        <v>233</v>
      </c>
    </row>
    <row r="1001" spans="1:16" x14ac:dyDescent="0.35">
      <c r="A1001" t="s">
        <v>9777</v>
      </c>
      <c r="B1001" t="s">
        <v>9778</v>
      </c>
      <c r="C1001" t="s">
        <v>16</v>
      </c>
      <c r="D1001" s="6">
        <v>3185107527.5698853</v>
      </c>
      <c r="E1001" s="6">
        <v>3791576527.5698853</v>
      </c>
      <c r="F1001" s="6">
        <v>75.19000244140625</v>
      </c>
      <c r="G1001" s="6">
        <v>75.540000915527344</v>
      </c>
      <c r="H1001" s="6">
        <v>34.824083704425675</v>
      </c>
      <c r="I1001" s="6">
        <v>0.23551655820163941</v>
      </c>
      <c r="J1001" s="6">
        <v>1530110000</v>
      </c>
      <c r="K1001" s="6">
        <v>-31.372549019607852</v>
      </c>
      <c r="L1001" t="s">
        <v>6563</v>
      </c>
      <c r="M1001" t="s">
        <v>6764</v>
      </c>
      <c r="N1001" s="4" t="s">
        <v>9779</v>
      </c>
      <c r="O1001" s="4" t="s">
        <v>9780</v>
      </c>
      <c r="P1001" s="4" t="s">
        <v>233</v>
      </c>
    </row>
    <row r="1002" spans="1:16" x14ac:dyDescent="0.35">
      <c r="A1002" t="s">
        <v>9781</v>
      </c>
      <c r="B1002" t="s">
        <v>9782</v>
      </c>
      <c r="C1002" t="s">
        <v>16</v>
      </c>
      <c r="D1002" s="6">
        <v>530576969.0994873</v>
      </c>
      <c r="E1002" s="6">
        <v>902541969.0994873</v>
      </c>
      <c r="F1002" s="6">
        <v>38.310001373291016</v>
      </c>
      <c r="G1002" s="6">
        <v>38.450000762939453</v>
      </c>
      <c r="H1002" s="6">
        <v>29.244275857474062</v>
      </c>
      <c r="I1002" s="6">
        <v>2.5141870424971735E-2</v>
      </c>
      <c r="J1002" s="6">
        <v>98689000</v>
      </c>
      <c r="K1002" s="6">
        <v>3.9682539682539542</v>
      </c>
      <c r="L1002" t="s">
        <v>6623</v>
      </c>
      <c r="M1002" t="s">
        <v>6624</v>
      </c>
      <c r="N1002" s="4" t="s">
        <v>9783</v>
      </c>
      <c r="O1002" s="4" t="s">
        <v>9784</v>
      </c>
      <c r="P1002" s="4" t="s">
        <v>233</v>
      </c>
    </row>
    <row r="1003" spans="1:16" x14ac:dyDescent="0.35">
      <c r="A1003" t="s">
        <v>9785</v>
      </c>
      <c r="B1003" t="s">
        <v>9786</v>
      </c>
      <c r="C1003" t="s">
        <v>16</v>
      </c>
      <c r="D1003" s="6">
        <v>1323531201.521858</v>
      </c>
      <c r="E1003" s="6">
        <v>2477507201.5218582</v>
      </c>
      <c r="F1003" s="6">
        <v>53.599998474121094</v>
      </c>
      <c r="G1003" s="6">
        <v>53.680000305175781</v>
      </c>
      <c r="H1003" s="6">
        <v>10.921563705955858</v>
      </c>
      <c r="I1003" s="6">
        <v>8.7914063964793288E-2</v>
      </c>
      <c r="J1003" s="6">
        <v>2827901000</v>
      </c>
      <c r="K1003" s="6">
        <v>5.3763440860215255</v>
      </c>
      <c r="L1003" t="s">
        <v>6735</v>
      </c>
      <c r="M1003" t="s">
        <v>9787</v>
      </c>
      <c r="N1003" s="4" t="s">
        <v>9788</v>
      </c>
      <c r="O1003" s="4" t="s">
        <v>9789</v>
      </c>
      <c r="P1003" s="4" t="s">
        <v>233</v>
      </c>
    </row>
    <row r="1004" spans="1:16" x14ac:dyDescent="0.35">
      <c r="A1004" t="s">
        <v>9790</v>
      </c>
      <c r="B1004" t="s">
        <v>9791</v>
      </c>
      <c r="C1004" t="s">
        <v>16</v>
      </c>
      <c r="D1004" s="6">
        <v>481555347.22815609</v>
      </c>
      <c r="E1004" s="6">
        <v>501036347.22815609</v>
      </c>
      <c r="F1004" s="6">
        <v>11.539999961853027</v>
      </c>
      <c r="G1004" s="6">
        <v>11.729999542236328</v>
      </c>
      <c r="H1004" s="6">
        <v>3.5093427772929791</v>
      </c>
      <c r="I1004" s="6">
        <v>-0.25700327207392037</v>
      </c>
      <c r="J1004" s="6">
        <v>422622000</v>
      </c>
      <c r="K1004" s="6">
        <v>4.6647230320699746</v>
      </c>
      <c r="L1004" t="s">
        <v>6523</v>
      </c>
      <c r="M1004" t="s">
        <v>6524</v>
      </c>
      <c r="N1004" s="4" t="s">
        <v>233</v>
      </c>
      <c r="O1004" s="4" t="s">
        <v>9792</v>
      </c>
      <c r="P1004" s="4" t="s">
        <v>13239</v>
      </c>
    </row>
    <row r="1005" spans="1:16" x14ac:dyDescent="0.35">
      <c r="A1005" t="s">
        <v>9793</v>
      </c>
      <c r="B1005" t="s">
        <v>9794</v>
      </c>
      <c r="C1005" t="s">
        <v>16</v>
      </c>
      <c r="D1005" s="6">
        <v>17046515373.9111</v>
      </c>
      <c r="E1005" s="6">
        <v>18390475373.911102</v>
      </c>
      <c r="F1005" s="6">
        <v>170.47999572753906</v>
      </c>
      <c r="G1005" s="6">
        <v>164.8699951171875</v>
      </c>
      <c r="H1005" s="6">
        <v>47.731185540300366</v>
      </c>
      <c r="I1005" s="6">
        <v>2.2572232594723496</v>
      </c>
      <c r="J1005" s="6">
        <v>7421607000</v>
      </c>
      <c r="K1005" s="6">
        <v>42.040816326530589</v>
      </c>
      <c r="L1005" t="s">
        <v>6735</v>
      </c>
      <c r="M1005" t="s">
        <v>6736</v>
      </c>
      <c r="N1005" s="4" t="s">
        <v>9795</v>
      </c>
      <c r="O1005" s="4" t="s">
        <v>9796</v>
      </c>
      <c r="P1005" s="4" t="s">
        <v>233</v>
      </c>
    </row>
    <row r="1006" spans="1:16" x14ac:dyDescent="0.35">
      <c r="A1006" t="s">
        <v>13240</v>
      </c>
      <c r="B1006" t="s">
        <v>8306</v>
      </c>
      <c r="C1006" t="s">
        <v>16</v>
      </c>
      <c r="D1006" s="6">
        <v>159573059.17532539</v>
      </c>
      <c r="E1006" s="6">
        <v>5041573059.1753254</v>
      </c>
      <c r="F1006" s="6">
        <v>2.0099999904632568</v>
      </c>
      <c r="G1006" s="6">
        <v>2.2899999618530273</v>
      </c>
      <c r="H1006" s="6" t="e">
        <v>#N/A</v>
      </c>
      <c r="I1006" s="6">
        <v>-0.66399750926058987</v>
      </c>
      <c r="J1006" s="6">
        <v>10236000000</v>
      </c>
      <c r="K1006" s="6" t="e">
        <v>#N/A</v>
      </c>
      <c r="L1006" t="s">
        <v>6540</v>
      </c>
      <c r="M1006" t="s">
        <v>7630</v>
      </c>
      <c r="N1006" s="4" t="s">
        <v>8307</v>
      </c>
      <c r="O1006" s="4" t="s">
        <v>8308</v>
      </c>
      <c r="P1006" s="4" t="s">
        <v>233</v>
      </c>
    </row>
    <row r="1007" spans="1:16" x14ac:dyDescent="0.35">
      <c r="A1007" t="s">
        <v>9797</v>
      </c>
      <c r="B1007" t="s">
        <v>9798</v>
      </c>
      <c r="C1007" t="s">
        <v>16</v>
      </c>
      <c r="D1007" s="6">
        <v>2928180536.4129829</v>
      </c>
      <c r="E1007" s="6">
        <v>5976830536.4129829</v>
      </c>
      <c r="F1007" s="6">
        <v>36.979999542236328</v>
      </c>
      <c r="G1007" s="6">
        <v>36.650001525878906</v>
      </c>
      <c r="H1007" s="6">
        <v>14.536117631012294</v>
      </c>
      <c r="I1007" s="6">
        <v>0.16531663742083946</v>
      </c>
      <c r="J1007" s="6">
        <v>1922590000</v>
      </c>
      <c r="K1007" s="6">
        <v>14.273253963201142</v>
      </c>
      <c r="L1007" t="s">
        <v>6719</v>
      </c>
      <c r="M1007" t="s">
        <v>9115</v>
      </c>
      <c r="N1007" s="4" t="s">
        <v>9799</v>
      </c>
      <c r="O1007" s="4" t="s">
        <v>9800</v>
      </c>
      <c r="P1007" s="4" t="s">
        <v>233</v>
      </c>
    </row>
    <row r="1008" spans="1:16" x14ac:dyDescent="0.35">
      <c r="A1008" t="s">
        <v>9801</v>
      </c>
      <c r="B1008" t="s">
        <v>4227</v>
      </c>
      <c r="C1008" t="s">
        <v>16</v>
      </c>
      <c r="D1008" s="6">
        <v>10124322176.097267</v>
      </c>
      <c r="E1008" s="6">
        <v>9881609176.0972672</v>
      </c>
      <c r="F1008" s="6">
        <v>46.340000152587891</v>
      </c>
      <c r="G1008" s="6">
        <v>43.139999389648438</v>
      </c>
      <c r="H1008" s="6">
        <v>104.29209021375578</v>
      </c>
      <c r="I1008" s="6">
        <v>3.6377512406752883</v>
      </c>
      <c r="J1008" s="6">
        <v>1241994000</v>
      </c>
      <c r="K1008" s="6" t="e">
        <v>#N/A</v>
      </c>
      <c r="L1008" t="s">
        <v>17</v>
      </c>
      <c r="M1008" t="s">
        <v>40</v>
      </c>
      <c r="N1008" s="4" t="s">
        <v>4228</v>
      </c>
      <c r="O1008" s="4" t="s">
        <v>4229</v>
      </c>
      <c r="P1008" s="4" t="s">
        <v>233</v>
      </c>
    </row>
    <row r="1009" spans="1:16" x14ac:dyDescent="0.35">
      <c r="A1009" t="s">
        <v>9802</v>
      </c>
      <c r="B1009" t="s">
        <v>9803</v>
      </c>
      <c r="C1009" t="s">
        <v>16</v>
      </c>
      <c r="D1009" s="6">
        <v>1473231812.6568832</v>
      </c>
      <c r="E1009" s="6">
        <v>2200431812.6568832</v>
      </c>
      <c r="F1009" s="6">
        <v>18.399999618530273</v>
      </c>
      <c r="G1009" s="6">
        <v>19.959999084472656</v>
      </c>
      <c r="H1009" s="6">
        <v>27.500653317685273</v>
      </c>
      <c r="I1009" s="6">
        <v>1.0726197656248071</v>
      </c>
      <c r="J1009" s="6">
        <v>1787000000</v>
      </c>
      <c r="K1009" s="6">
        <v>77.468354430379733</v>
      </c>
      <c r="L1009" t="s">
        <v>6540</v>
      </c>
      <c r="M1009" t="s">
        <v>7034</v>
      </c>
      <c r="N1009" s="4" t="s">
        <v>9804</v>
      </c>
      <c r="O1009" s="4" t="s">
        <v>9805</v>
      </c>
      <c r="P1009" s="4" t="s">
        <v>233</v>
      </c>
    </row>
    <row r="1010" spans="1:16" x14ac:dyDescent="0.35">
      <c r="A1010" t="s">
        <v>9806</v>
      </c>
      <c r="B1010" t="s">
        <v>9807</v>
      </c>
      <c r="C1010" t="s">
        <v>16</v>
      </c>
      <c r="D1010" s="6">
        <v>1101640557.0642357</v>
      </c>
      <c r="E1010" s="6">
        <v>1211453557.0642357</v>
      </c>
      <c r="F1010" s="6">
        <v>35.560001373291016</v>
      </c>
      <c r="G1010" s="6">
        <v>35.650001525878906</v>
      </c>
      <c r="H1010" s="6">
        <v>13.588125206884936</v>
      </c>
      <c r="I1010" s="6">
        <v>-0.30178469509081252</v>
      </c>
      <c r="J1010" s="6">
        <v>1470143000</v>
      </c>
      <c r="K1010" s="6">
        <v>297.3707407407407</v>
      </c>
      <c r="L1010" t="s">
        <v>6540</v>
      </c>
      <c r="M1010" t="s">
        <v>6881</v>
      </c>
      <c r="N1010" s="4" t="s">
        <v>9808</v>
      </c>
      <c r="O1010" s="4" t="s">
        <v>9809</v>
      </c>
      <c r="P1010" s="4" t="s">
        <v>233</v>
      </c>
    </row>
    <row r="1011" spans="1:16" x14ac:dyDescent="0.35">
      <c r="A1011" t="s">
        <v>9810</v>
      </c>
      <c r="B1011" t="s">
        <v>9811</v>
      </c>
      <c r="C1011" t="s">
        <v>16</v>
      </c>
      <c r="D1011" s="6">
        <v>1106725860.1318357</v>
      </c>
      <c r="E1011" s="6">
        <v>2361205860.1318355</v>
      </c>
      <c r="F1011" s="6">
        <v>49.720001220703125</v>
      </c>
      <c r="G1011" s="6">
        <v>51.720001220703125</v>
      </c>
      <c r="H1011" s="6">
        <v>11.642864102513197</v>
      </c>
      <c r="I1011" s="6">
        <v>-0.32611021288383091</v>
      </c>
      <c r="J1011" s="6">
        <v>3492012000</v>
      </c>
      <c r="K1011" s="6">
        <v>-53.670886075949362</v>
      </c>
      <c r="L1011" t="s">
        <v>6540</v>
      </c>
      <c r="M1011" t="s">
        <v>6825</v>
      </c>
      <c r="N1011" s="4" t="s">
        <v>9812</v>
      </c>
      <c r="O1011" s="4" t="s">
        <v>9813</v>
      </c>
      <c r="P1011" s="4" t="s">
        <v>233</v>
      </c>
    </row>
    <row r="1012" spans="1:16" x14ac:dyDescent="0.35">
      <c r="A1012" t="s">
        <v>9814</v>
      </c>
      <c r="B1012" t="s">
        <v>9815</v>
      </c>
      <c r="C1012" t="s">
        <v>16</v>
      </c>
      <c r="D1012" s="6">
        <v>1836992972.5439298</v>
      </c>
      <c r="E1012" s="6">
        <v>11659992972.54393</v>
      </c>
      <c r="F1012" s="6">
        <v>25.180000305175781</v>
      </c>
      <c r="G1012" s="6">
        <v>24.940000534057617</v>
      </c>
      <c r="H1012" s="6" t="e">
        <v>#N/A</v>
      </c>
      <c r="I1012" s="6">
        <v>3.2936375949559338E-3</v>
      </c>
      <c r="J1012" s="6">
        <v>8208000000</v>
      </c>
      <c r="K1012" s="6">
        <v>73.033540312124245</v>
      </c>
      <c r="L1012" t="s">
        <v>6547</v>
      </c>
      <c r="M1012" t="s">
        <v>9816</v>
      </c>
      <c r="N1012" s="4" t="s">
        <v>9817</v>
      </c>
      <c r="O1012" s="4" t="s">
        <v>9818</v>
      </c>
      <c r="P1012" s="4" t="s">
        <v>233</v>
      </c>
    </row>
    <row r="1013" spans="1:16" x14ac:dyDescent="0.35">
      <c r="A1013" t="s">
        <v>9819</v>
      </c>
      <c r="B1013" t="s">
        <v>9820</v>
      </c>
      <c r="C1013" t="s">
        <v>16</v>
      </c>
      <c r="D1013" s="6">
        <v>2305587428.6470604</v>
      </c>
      <c r="E1013" s="6">
        <v>2748887428.6470604</v>
      </c>
      <c r="F1013" s="6">
        <v>48.229999542236328</v>
      </c>
      <c r="G1013" s="6">
        <v>48.380001068115234</v>
      </c>
      <c r="H1013" s="6">
        <v>14.847592689626611</v>
      </c>
      <c r="I1013" s="6">
        <v>0.14762370320746876</v>
      </c>
      <c r="J1013" s="6">
        <v>2563700000</v>
      </c>
      <c r="K1013" s="6">
        <v>179.78723404255319</v>
      </c>
      <c r="L1013" t="s">
        <v>6547</v>
      </c>
      <c r="M1013" t="s">
        <v>6802</v>
      </c>
      <c r="N1013" s="4" t="s">
        <v>9821</v>
      </c>
      <c r="O1013" s="4" t="s">
        <v>9822</v>
      </c>
      <c r="P1013" s="4" t="s">
        <v>233</v>
      </c>
    </row>
    <row r="1014" spans="1:16" x14ac:dyDescent="0.35">
      <c r="A1014" t="s">
        <v>9823</v>
      </c>
      <c r="B1014" t="s">
        <v>9824</v>
      </c>
      <c r="C1014" t="s">
        <v>16</v>
      </c>
      <c r="D1014" s="6">
        <v>475004545.58690453</v>
      </c>
      <c r="E1014" s="6">
        <v>734304545.58690453</v>
      </c>
      <c r="F1014" s="6">
        <v>13.289999961853027</v>
      </c>
      <c r="G1014" s="6">
        <v>13.300000190734863</v>
      </c>
      <c r="H1014" s="6">
        <v>6.0939374089133018</v>
      </c>
      <c r="I1014" s="6">
        <v>-0.37319439029863355</v>
      </c>
      <c r="J1014" s="6">
        <v>4372900000</v>
      </c>
      <c r="K1014" s="6">
        <v>81.538461538461547</v>
      </c>
      <c r="L1014" t="s">
        <v>6547</v>
      </c>
      <c r="M1014" t="s">
        <v>6548</v>
      </c>
      <c r="N1014" s="4" t="s">
        <v>9825</v>
      </c>
      <c r="O1014" s="4" t="s">
        <v>9826</v>
      </c>
      <c r="P1014" s="4" t="s">
        <v>233</v>
      </c>
    </row>
    <row r="1015" spans="1:16" x14ac:dyDescent="0.35">
      <c r="A1015" t="s">
        <v>9827</v>
      </c>
      <c r="B1015" t="s">
        <v>9828</v>
      </c>
      <c r="C1015" t="s">
        <v>16</v>
      </c>
      <c r="D1015" s="6">
        <v>1523353497.200592</v>
      </c>
      <c r="E1015" s="6">
        <v>3215053497.200592</v>
      </c>
      <c r="F1015" s="6">
        <v>22.350000381469727</v>
      </c>
      <c r="G1015" s="6">
        <v>22.170000076293945</v>
      </c>
      <c r="H1015" s="6">
        <v>14.817005268800843</v>
      </c>
      <c r="I1015" s="6">
        <v>-0.19720584863554969</v>
      </c>
      <c r="J1015" s="6">
        <v>3593100000</v>
      </c>
      <c r="K1015" s="6">
        <v>35.294117647058805</v>
      </c>
      <c r="L1015" t="s">
        <v>6547</v>
      </c>
      <c r="M1015" t="s">
        <v>6802</v>
      </c>
      <c r="N1015" s="4" t="s">
        <v>9829</v>
      </c>
      <c r="O1015" s="4" t="s">
        <v>9830</v>
      </c>
      <c r="P1015" s="4" t="s">
        <v>233</v>
      </c>
    </row>
    <row r="1016" spans="1:16" x14ac:dyDescent="0.35">
      <c r="A1016" t="s">
        <v>9831</v>
      </c>
      <c r="B1016" t="s">
        <v>2812</v>
      </c>
      <c r="C1016" t="s">
        <v>16</v>
      </c>
      <c r="D1016" s="6">
        <v>125008710.6882019</v>
      </c>
      <c r="E1016" s="6">
        <v>-32873289.311798126</v>
      </c>
      <c r="F1016" s="6">
        <v>5.8600001335144043</v>
      </c>
      <c r="G1016" s="6">
        <v>5.4499998092651367</v>
      </c>
      <c r="H1016" s="6" t="e">
        <v>#N/A</v>
      </c>
      <c r="I1016" s="6">
        <v>-0.5237694609380894</v>
      </c>
      <c r="J1016" s="6">
        <v>66591000</v>
      </c>
      <c r="K1016" s="6">
        <v>24.542682926829272</v>
      </c>
      <c r="L1016" t="s">
        <v>17</v>
      </c>
      <c r="M1016" t="s">
        <v>18</v>
      </c>
      <c r="N1016" s="4" t="s">
        <v>2813</v>
      </c>
      <c r="O1016" s="4" t="s">
        <v>2814</v>
      </c>
      <c r="P1016" s="4" t="s">
        <v>233</v>
      </c>
    </row>
    <row r="1017" spans="1:16" x14ac:dyDescent="0.35">
      <c r="A1017" t="s">
        <v>9832</v>
      </c>
      <c r="B1017" t="s">
        <v>9833</v>
      </c>
      <c r="C1017" t="s">
        <v>16</v>
      </c>
      <c r="D1017" s="6">
        <v>2193708937.5</v>
      </c>
      <c r="E1017" s="6">
        <v>2449981937.5</v>
      </c>
      <c r="F1017" s="6">
        <v>93.75</v>
      </c>
      <c r="G1017" s="6">
        <v>92.360000610351563</v>
      </c>
      <c r="H1017" s="6">
        <v>17.508385816470657</v>
      </c>
      <c r="I1017" s="6">
        <v>-0.34665889000134731</v>
      </c>
      <c r="J1017" s="6">
        <v>4179019000</v>
      </c>
      <c r="K1017" s="6">
        <v>24.348206741734018</v>
      </c>
      <c r="L1017" t="s">
        <v>6547</v>
      </c>
      <c r="M1017" t="s">
        <v>7792</v>
      </c>
      <c r="N1017" s="4" t="s">
        <v>9834</v>
      </c>
      <c r="O1017" s="4" t="s">
        <v>9835</v>
      </c>
      <c r="P1017" s="4" t="s">
        <v>233</v>
      </c>
    </row>
    <row r="1018" spans="1:16" x14ac:dyDescent="0.35">
      <c r="A1018" t="s">
        <v>9836</v>
      </c>
      <c r="B1018" t="s">
        <v>9837</v>
      </c>
      <c r="C1018" t="s">
        <v>16</v>
      </c>
      <c r="D1018" s="6">
        <v>80605536.504414096</v>
      </c>
      <c r="E1018" s="6">
        <v>109758203.5044141</v>
      </c>
      <c r="F1018" s="6">
        <v>1.7799999713897705</v>
      </c>
      <c r="G1018" s="6">
        <v>1.7699999809265137</v>
      </c>
      <c r="H1018" s="6" t="e">
        <v>#N/A</v>
      </c>
      <c r="I1018" s="6">
        <v>-0.79044521258774858</v>
      </c>
      <c r="J1018" s="6" t="e">
        <v>#N/A</v>
      </c>
      <c r="K1018" s="6" t="e">
        <v>#N/A</v>
      </c>
      <c r="L1018" t="s">
        <v>6547</v>
      </c>
      <c r="M1018" t="s">
        <v>6602</v>
      </c>
      <c r="N1018" s="4" t="s">
        <v>9838</v>
      </c>
      <c r="O1018" s="4" t="s">
        <v>9839</v>
      </c>
      <c r="P1018" s="4" t="s">
        <v>233</v>
      </c>
    </row>
    <row r="1019" spans="1:16" x14ac:dyDescent="0.35">
      <c r="A1019" t="s">
        <v>9840</v>
      </c>
      <c r="B1019" t="s">
        <v>9841</v>
      </c>
      <c r="C1019" t="s">
        <v>16</v>
      </c>
      <c r="D1019" s="6">
        <v>158333059.5</v>
      </c>
      <c r="E1019" s="6">
        <v>347380059.5</v>
      </c>
      <c r="F1019" s="6">
        <v>5.5</v>
      </c>
      <c r="G1019" s="6">
        <v>5.4699997901916504</v>
      </c>
      <c r="H1019" s="6" t="e">
        <v>#N/A</v>
      </c>
      <c r="I1019" s="6">
        <v>-0.49659162167685944</v>
      </c>
      <c r="J1019" s="6">
        <v>553839000</v>
      </c>
      <c r="K1019" s="6" t="e">
        <v>#N/A</v>
      </c>
      <c r="L1019" t="s">
        <v>6563</v>
      </c>
      <c r="M1019" t="s">
        <v>6764</v>
      </c>
      <c r="N1019" s="4" t="s">
        <v>9842</v>
      </c>
      <c r="O1019" s="4" t="s">
        <v>9843</v>
      </c>
      <c r="P1019" s="4" t="s">
        <v>233</v>
      </c>
    </row>
    <row r="1020" spans="1:16" x14ac:dyDescent="0.35">
      <c r="A1020" t="s">
        <v>9844</v>
      </c>
      <c r="B1020" t="s">
        <v>5761</v>
      </c>
      <c r="C1020" t="s">
        <v>16</v>
      </c>
      <c r="D1020" s="6">
        <v>89443165.555925116</v>
      </c>
      <c r="E1020" s="6">
        <v>-139070834.44407487</v>
      </c>
      <c r="F1020" s="6">
        <v>2.3900001049041748</v>
      </c>
      <c r="G1020" s="6">
        <v>2.2999999523162842</v>
      </c>
      <c r="H1020" s="6" t="e">
        <v>#N/A</v>
      </c>
      <c r="I1020" s="6">
        <v>-0.78703205565357648</v>
      </c>
      <c r="J1020" s="6">
        <v>55080000</v>
      </c>
      <c r="K1020" s="6">
        <v>61.134775522299606</v>
      </c>
      <c r="L1020" t="s">
        <v>17</v>
      </c>
      <c r="M1020" t="s">
        <v>18</v>
      </c>
      <c r="N1020" s="4" t="s">
        <v>5762</v>
      </c>
      <c r="O1020" s="4" t="s">
        <v>5763</v>
      </c>
      <c r="P1020" s="4" t="s">
        <v>233</v>
      </c>
    </row>
    <row r="1021" spans="1:16" x14ac:dyDescent="0.35">
      <c r="A1021" t="s">
        <v>9845</v>
      </c>
      <c r="B1021" t="s">
        <v>2874</v>
      </c>
      <c r="C1021" t="s">
        <v>16</v>
      </c>
      <c r="D1021" s="6">
        <v>404961690.00000006</v>
      </c>
      <c r="E1021" s="6">
        <v>463412690.00000006</v>
      </c>
      <c r="F1021" s="6">
        <v>17.25</v>
      </c>
      <c r="G1021" s="6">
        <v>17.139999389648438</v>
      </c>
      <c r="H1021" s="6">
        <v>16.58653846153846</v>
      </c>
      <c r="I1021" s="6">
        <v>-0.54745059430675602</v>
      </c>
      <c r="J1021" s="6">
        <v>143060000</v>
      </c>
      <c r="K1021" s="6">
        <v>-16.666666666666664</v>
      </c>
      <c r="L1021" t="s">
        <v>17</v>
      </c>
      <c r="M1021" t="s">
        <v>40</v>
      </c>
      <c r="N1021" s="4" t="s">
        <v>2875</v>
      </c>
      <c r="O1021" s="4" t="s">
        <v>2876</v>
      </c>
      <c r="P1021" s="4" t="s">
        <v>233</v>
      </c>
    </row>
    <row r="1022" spans="1:16" x14ac:dyDescent="0.35">
      <c r="A1022" t="s">
        <v>9846</v>
      </c>
      <c r="B1022" t="s">
        <v>5722</v>
      </c>
      <c r="C1022" t="s">
        <v>16</v>
      </c>
      <c r="D1022" s="6">
        <v>126491351.75</v>
      </c>
      <c r="E1022" s="6">
        <v>125225220.75</v>
      </c>
      <c r="F1022" s="6">
        <v>4.25</v>
      </c>
      <c r="G1022" s="6">
        <v>4.3499999046325684</v>
      </c>
      <c r="H1022" s="6" t="e">
        <v>#N/A</v>
      </c>
      <c r="I1022" s="6">
        <v>-0.31928309096958629</v>
      </c>
      <c r="J1022" s="6">
        <v>0</v>
      </c>
      <c r="K1022" s="6">
        <v>-16.666666666666682</v>
      </c>
      <c r="L1022" t="s">
        <v>17</v>
      </c>
      <c r="M1022" t="s">
        <v>87</v>
      </c>
      <c r="N1022" s="4" t="s">
        <v>5723</v>
      </c>
      <c r="O1022" s="4" t="s">
        <v>5724</v>
      </c>
      <c r="P1022" s="4" t="s">
        <v>233</v>
      </c>
    </row>
    <row r="1023" spans="1:16" x14ac:dyDescent="0.35">
      <c r="A1023" t="s">
        <v>9847</v>
      </c>
      <c r="B1023" t="s">
        <v>3193</v>
      </c>
      <c r="C1023" t="s">
        <v>16</v>
      </c>
      <c r="D1023" s="6">
        <v>172461343.01947591</v>
      </c>
      <c r="E1023" s="6">
        <v>161173092.01947591</v>
      </c>
      <c r="F1023" s="6">
        <v>11.510000228881836</v>
      </c>
      <c r="G1023" s="6">
        <v>11.380000114440918</v>
      </c>
      <c r="H1023" s="6" t="e">
        <v>#N/A</v>
      </c>
      <c r="I1023" s="6">
        <v>5.0998338464258497E-2</v>
      </c>
      <c r="J1023" s="6">
        <v>120795620</v>
      </c>
      <c r="K1023" s="6">
        <v>-139.99999999999997</v>
      </c>
      <c r="L1023" t="s">
        <v>17</v>
      </c>
      <c r="M1023" t="s">
        <v>40</v>
      </c>
      <c r="N1023" s="4" t="s">
        <v>3194</v>
      </c>
      <c r="O1023" s="4" t="s">
        <v>3195</v>
      </c>
      <c r="P1023" s="4" t="s">
        <v>233</v>
      </c>
    </row>
    <row r="1024" spans="1:16" x14ac:dyDescent="0.35">
      <c r="A1024" t="s">
        <v>9848</v>
      </c>
      <c r="B1024" t="s">
        <v>9849</v>
      </c>
      <c r="C1024" t="s">
        <v>16</v>
      </c>
      <c r="D1024" s="6">
        <v>189884936.16060641</v>
      </c>
      <c r="E1024" s="6" t="e">
        <v>#N/A</v>
      </c>
      <c r="F1024" s="6">
        <v>19.319999694824219</v>
      </c>
      <c r="G1024" s="6">
        <v>19.270000457763672</v>
      </c>
      <c r="H1024" s="6">
        <v>9.7438751244836634</v>
      </c>
      <c r="I1024" s="6">
        <v>0.15274601492615414</v>
      </c>
      <c r="J1024" s="6">
        <v>158070000</v>
      </c>
      <c r="K1024" s="6">
        <v>21.893491124260365</v>
      </c>
      <c r="L1024" t="s">
        <v>6529</v>
      </c>
      <c r="M1024" t="s">
        <v>6530</v>
      </c>
      <c r="N1024" s="4" t="s">
        <v>9850</v>
      </c>
      <c r="O1024" s="4" t="s">
        <v>9851</v>
      </c>
      <c r="P1024" s="4" t="s">
        <v>233</v>
      </c>
    </row>
    <row r="1025" spans="1:16" x14ac:dyDescent="0.35">
      <c r="A1025" t="s">
        <v>9852</v>
      </c>
      <c r="B1025" t="s">
        <v>9853</v>
      </c>
      <c r="C1025" t="s">
        <v>16</v>
      </c>
      <c r="D1025" s="6">
        <v>2588224812.047699</v>
      </c>
      <c r="E1025" s="6" t="e">
        <v>#N/A</v>
      </c>
      <c r="F1025" s="6">
        <v>24.639999389648438</v>
      </c>
      <c r="G1025" s="6">
        <v>24.700000762939453</v>
      </c>
      <c r="H1025" s="6">
        <v>64.011803188765811</v>
      </c>
      <c r="I1025" s="6">
        <v>0.81439829298690136</v>
      </c>
      <c r="J1025" s="6">
        <v>120028000</v>
      </c>
      <c r="K1025" s="6" t="e">
        <v>#N/A</v>
      </c>
      <c r="L1025" t="s">
        <v>6623</v>
      </c>
      <c r="M1025" t="s">
        <v>7043</v>
      </c>
      <c r="N1025" s="4" t="s">
        <v>9854</v>
      </c>
      <c r="O1025" s="4" t="s">
        <v>9855</v>
      </c>
      <c r="P1025" s="4" t="s">
        <v>233</v>
      </c>
    </row>
    <row r="1026" spans="1:16" x14ac:dyDescent="0.35">
      <c r="A1026" t="s">
        <v>9856</v>
      </c>
      <c r="B1026" t="s">
        <v>9857</v>
      </c>
      <c r="C1026" t="s">
        <v>16</v>
      </c>
      <c r="D1026" s="6">
        <v>257697371.26876828</v>
      </c>
      <c r="E1026" s="6">
        <v>996358371.26876819</v>
      </c>
      <c r="F1026" s="6">
        <v>17.049999237060547</v>
      </c>
      <c r="G1026" s="6">
        <v>17.450000762939453</v>
      </c>
      <c r="H1026" s="6" t="e">
        <v>#N/A</v>
      </c>
      <c r="I1026" s="6">
        <v>-0.50694387449049183</v>
      </c>
      <c r="J1026" s="6">
        <v>747492000</v>
      </c>
      <c r="K1026" s="6">
        <v>-175.64390857157201</v>
      </c>
      <c r="L1026" t="s">
        <v>6514</v>
      </c>
      <c r="M1026" t="s">
        <v>6515</v>
      </c>
      <c r="N1026" s="4" t="s">
        <v>9858</v>
      </c>
      <c r="O1026" s="4" t="s">
        <v>9859</v>
      </c>
      <c r="P1026" s="4" t="s">
        <v>233</v>
      </c>
    </row>
    <row r="1027" spans="1:16" x14ac:dyDescent="0.35">
      <c r="A1027" t="s">
        <v>9860</v>
      </c>
      <c r="B1027" t="s">
        <v>9861</v>
      </c>
      <c r="C1027" t="s">
        <v>16</v>
      </c>
      <c r="D1027" s="6">
        <v>2893789814.4082026</v>
      </c>
      <c r="E1027" s="6">
        <v>3798542814.4082026</v>
      </c>
      <c r="F1027" s="6">
        <v>96.839996337890625</v>
      </c>
      <c r="G1027" s="6">
        <v>95.279998779296875</v>
      </c>
      <c r="H1027" s="6">
        <v>58.890814417845441</v>
      </c>
      <c r="I1027" s="6">
        <v>0.38692359780893582</v>
      </c>
      <c r="J1027" s="6">
        <v>1592368000</v>
      </c>
      <c r="K1027" s="6">
        <v>-51.094632538110325</v>
      </c>
      <c r="L1027" t="s">
        <v>6547</v>
      </c>
      <c r="M1027" t="s">
        <v>6553</v>
      </c>
      <c r="N1027" s="4" t="s">
        <v>9862</v>
      </c>
      <c r="O1027" s="4" t="s">
        <v>9863</v>
      </c>
      <c r="P1027" s="4" t="s">
        <v>233</v>
      </c>
    </row>
    <row r="1028" spans="1:16" x14ac:dyDescent="0.35">
      <c r="A1028" t="s">
        <v>9864</v>
      </c>
      <c r="B1028" t="s">
        <v>7248</v>
      </c>
      <c r="C1028" t="s">
        <v>16</v>
      </c>
      <c r="D1028" s="6">
        <v>1015567475.0307997</v>
      </c>
      <c r="E1028" s="6">
        <v>964560475.03079975</v>
      </c>
      <c r="F1028" s="6">
        <v>81.010002136230469</v>
      </c>
      <c r="G1028" s="6">
        <v>80.5</v>
      </c>
      <c r="H1028" s="6">
        <v>16.503099477207748</v>
      </c>
      <c r="I1028" s="6">
        <v>0.10814037972736812</v>
      </c>
      <c r="J1028" s="6">
        <v>524943000</v>
      </c>
      <c r="K1028" s="6">
        <v>-26.906545618980616</v>
      </c>
      <c r="L1028" t="s">
        <v>6518</v>
      </c>
      <c r="M1028" t="s">
        <v>6714</v>
      </c>
      <c r="N1028" s="4" t="s">
        <v>9865</v>
      </c>
      <c r="O1028" s="4" t="s">
        <v>9866</v>
      </c>
      <c r="P1028" s="4" t="s">
        <v>233</v>
      </c>
    </row>
    <row r="1029" spans="1:16" x14ac:dyDescent="0.35">
      <c r="A1029" t="s">
        <v>9867</v>
      </c>
      <c r="B1029" t="s">
        <v>9868</v>
      </c>
      <c r="C1029" t="s">
        <v>16</v>
      </c>
      <c r="D1029" s="6">
        <v>1635595868.6158333</v>
      </c>
      <c r="E1029" s="6">
        <v>2307605868.6158333</v>
      </c>
      <c r="F1029" s="6">
        <v>26.260000228881836</v>
      </c>
      <c r="G1029" s="6">
        <v>25.719999313354492</v>
      </c>
      <c r="H1029" s="6">
        <v>18.568355893637005</v>
      </c>
      <c r="I1029" s="6">
        <v>-0.18779076039548603</v>
      </c>
      <c r="J1029" s="6">
        <v>920749000</v>
      </c>
      <c r="K1029" s="6">
        <v>2275.0000000000014</v>
      </c>
      <c r="L1029" t="s">
        <v>6518</v>
      </c>
      <c r="M1029" t="s">
        <v>6519</v>
      </c>
      <c r="N1029" s="4" t="s">
        <v>9869</v>
      </c>
      <c r="O1029" s="4" t="s">
        <v>9870</v>
      </c>
      <c r="P1029" s="4" t="s">
        <v>233</v>
      </c>
    </row>
    <row r="1030" spans="1:16" x14ac:dyDescent="0.35">
      <c r="A1030" t="s">
        <v>9871</v>
      </c>
      <c r="B1030" t="s">
        <v>9872</v>
      </c>
      <c r="C1030" t="s">
        <v>16</v>
      </c>
      <c r="D1030" s="6">
        <v>706883062.89209747</v>
      </c>
      <c r="E1030" s="6">
        <v>2739590062.8920975</v>
      </c>
      <c r="F1030" s="6">
        <v>6.5199999809265137</v>
      </c>
      <c r="G1030" s="6">
        <v>6.5300002098083496</v>
      </c>
      <c r="H1030" s="6" t="e">
        <v>#N/A</v>
      </c>
      <c r="I1030" s="6">
        <v>3.2704713237445393E-2</v>
      </c>
      <c r="J1030" s="6">
        <v>736287000</v>
      </c>
      <c r="K1030" s="6" t="e">
        <v>#N/A</v>
      </c>
      <c r="L1030" t="s">
        <v>6623</v>
      </c>
      <c r="M1030" t="s">
        <v>7409</v>
      </c>
      <c r="N1030" s="4" t="s">
        <v>9873</v>
      </c>
      <c r="O1030" s="4" t="s">
        <v>9874</v>
      </c>
      <c r="P1030" s="4" t="s">
        <v>233</v>
      </c>
    </row>
    <row r="1031" spans="1:16" x14ac:dyDescent="0.35">
      <c r="A1031" t="s">
        <v>9875</v>
      </c>
      <c r="B1031" t="s">
        <v>9876</v>
      </c>
      <c r="C1031" t="s">
        <v>16</v>
      </c>
      <c r="D1031" s="6">
        <v>1497471775.4730604</v>
      </c>
      <c r="E1031" s="6">
        <v>1548510775.4730604</v>
      </c>
      <c r="F1031" s="6">
        <v>41.599998474121094</v>
      </c>
      <c r="G1031" s="6">
        <v>41.020000457763672</v>
      </c>
      <c r="H1031" s="6">
        <v>21.935189145730387</v>
      </c>
      <c r="I1031" s="6">
        <v>0.37778121358836891</v>
      </c>
      <c r="J1031" s="6">
        <v>2656105000</v>
      </c>
      <c r="K1031" s="6">
        <v>-2.7624309392265216</v>
      </c>
      <c r="L1031" t="s">
        <v>6518</v>
      </c>
      <c r="M1031" t="s">
        <v>6714</v>
      </c>
      <c r="N1031" s="4" t="s">
        <v>9877</v>
      </c>
      <c r="O1031" s="4" t="s">
        <v>9878</v>
      </c>
      <c r="P1031" s="4" t="s">
        <v>233</v>
      </c>
    </row>
    <row r="1032" spans="1:16" x14ac:dyDescent="0.35">
      <c r="A1032" t="s">
        <v>13410</v>
      </c>
      <c r="B1032" t="s">
        <v>13411</v>
      </c>
      <c r="C1032" t="s">
        <v>16</v>
      </c>
      <c r="D1032" s="6">
        <v>4477065400.0201874</v>
      </c>
      <c r="E1032" s="6">
        <v>4263033400.0201874</v>
      </c>
      <c r="F1032" s="6">
        <v>83.830001831054688</v>
      </c>
      <c r="G1032" s="6">
        <v>83.900001525878906</v>
      </c>
      <c r="H1032" s="6">
        <v>6.2397116462101199</v>
      </c>
      <c r="I1032" s="6">
        <v>3.376405428559659E-3</v>
      </c>
      <c r="J1032" s="6">
        <v>2213263000</v>
      </c>
      <c r="K1032" s="6">
        <v>-32.42379449087948</v>
      </c>
      <c r="L1032" t="s">
        <v>6523</v>
      </c>
      <c r="M1032" t="s">
        <v>6524</v>
      </c>
      <c r="N1032" s="4" t="s">
        <v>13412</v>
      </c>
      <c r="O1032" s="4" t="s">
        <v>13413</v>
      </c>
      <c r="P1032" s="4" t="s">
        <v>233</v>
      </c>
    </row>
    <row r="1033" spans="1:16" x14ac:dyDescent="0.35">
      <c r="A1033" t="s">
        <v>9879</v>
      </c>
      <c r="B1033" t="s">
        <v>9880</v>
      </c>
      <c r="C1033" t="s">
        <v>16</v>
      </c>
      <c r="D1033" s="6">
        <v>2156870830.8376007</v>
      </c>
      <c r="E1033" s="6">
        <v>2156243830.8376007</v>
      </c>
      <c r="F1033" s="6">
        <v>42.479999542236328</v>
      </c>
      <c r="G1033" s="6">
        <v>42.720001220703125</v>
      </c>
      <c r="H1033" s="6">
        <v>10.781725772141199</v>
      </c>
      <c r="I1033" s="6">
        <v>0.15566177903101019</v>
      </c>
      <c r="J1033" s="6">
        <v>1220873000</v>
      </c>
      <c r="K1033" s="6">
        <v>-13.852813852813856</v>
      </c>
      <c r="L1033" t="s">
        <v>6540</v>
      </c>
      <c r="M1033" t="s">
        <v>6541</v>
      </c>
      <c r="N1033" s="4" t="s">
        <v>9881</v>
      </c>
      <c r="O1033" s="4" t="s">
        <v>9882</v>
      </c>
      <c r="P1033" s="4" t="s">
        <v>233</v>
      </c>
    </row>
    <row r="1034" spans="1:16" x14ac:dyDescent="0.35">
      <c r="A1034" t="s">
        <v>9883</v>
      </c>
      <c r="B1034" t="s">
        <v>9884</v>
      </c>
      <c r="C1034" t="s">
        <v>16</v>
      </c>
      <c r="D1034" s="6">
        <v>1421335827.1361082</v>
      </c>
      <c r="E1034" s="6">
        <v>1333456827.1361082</v>
      </c>
      <c r="F1034" s="6">
        <v>36.610000610351563</v>
      </c>
      <c r="G1034" s="6">
        <v>36.740001678466797</v>
      </c>
      <c r="H1034" s="6" t="e">
        <v>#N/A</v>
      </c>
      <c r="I1034" s="6">
        <v>-4.8402280095317884E-2</v>
      </c>
      <c r="J1034" s="6">
        <v>622225000</v>
      </c>
      <c r="K1034" s="6">
        <v>-92.857142857142875</v>
      </c>
      <c r="L1034" t="s">
        <v>6623</v>
      </c>
      <c r="M1034" t="s">
        <v>6634</v>
      </c>
      <c r="N1034" s="4" t="s">
        <v>9885</v>
      </c>
      <c r="O1034" s="4" t="s">
        <v>9886</v>
      </c>
      <c r="P1034" s="4" t="s">
        <v>233</v>
      </c>
    </row>
    <row r="1035" spans="1:16" x14ac:dyDescent="0.35">
      <c r="A1035" t="s">
        <v>9887</v>
      </c>
      <c r="B1035" t="s">
        <v>9888</v>
      </c>
      <c r="C1035" t="s">
        <v>16</v>
      </c>
      <c r="D1035" s="6">
        <v>191889908.07674071</v>
      </c>
      <c r="E1035" s="6">
        <v>693570908.07674074</v>
      </c>
      <c r="F1035" s="6">
        <v>5.3899998664855957</v>
      </c>
      <c r="G1035" s="6">
        <v>5.2699999809265137</v>
      </c>
      <c r="H1035" s="6" t="e">
        <v>#N/A</v>
      </c>
      <c r="I1035" s="6">
        <v>-2.5248189800971987E-2</v>
      </c>
      <c r="J1035" s="6">
        <v>279132000</v>
      </c>
      <c r="K1035" s="6">
        <v>-110.86535714285714</v>
      </c>
      <c r="L1035" t="s">
        <v>6540</v>
      </c>
      <c r="M1035" t="s">
        <v>6825</v>
      </c>
      <c r="N1035" s="4" t="s">
        <v>9889</v>
      </c>
      <c r="O1035" s="4" t="s">
        <v>9890</v>
      </c>
      <c r="P1035" s="4" t="s">
        <v>233</v>
      </c>
    </row>
    <row r="1036" spans="1:16" x14ac:dyDescent="0.35">
      <c r="A1036" t="s">
        <v>9891</v>
      </c>
      <c r="B1036" t="s">
        <v>9892</v>
      </c>
      <c r="C1036" t="s">
        <v>16</v>
      </c>
      <c r="D1036" s="6">
        <v>6315350037.2241201</v>
      </c>
      <c r="E1036" s="6" t="e">
        <v>#N/A</v>
      </c>
      <c r="F1036" s="6">
        <v>214.72999572753906</v>
      </c>
      <c r="G1036" s="6">
        <v>212.94000244140625</v>
      </c>
      <c r="H1036" s="6">
        <v>50.763592370576603</v>
      </c>
      <c r="I1036" s="6">
        <v>0.41810719529774909</v>
      </c>
      <c r="J1036" s="6">
        <v>826558000</v>
      </c>
      <c r="K1036" s="6">
        <v>34.810126582278471</v>
      </c>
      <c r="L1036" t="s">
        <v>6518</v>
      </c>
      <c r="M1036" t="s">
        <v>6714</v>
      </c>
      <c r="N1036" s="4" t="s">
        <v>9893</v>
      </c>
      <c r="O1036" s="4" t="s">
        <v>9894</v>
      </c>
      <c r="P1036" s="4" t="s">
        <v>233</v>
      </c>
    </row>
    <row r="1037" spans="1:16" x14ac:dyDescent="0.35">
      <c r="A1037" t="s">
        <v>9895</v>
      </c>
      <c r="B1037" t="s">
        <v>9896</v>
      </c>
      <c r="C1037" t="s">
        <v>16</v>
      </c>
      <c r="D1037" s="6">
        <v>1346264028.7468641</v>
      </c>
      <c r="E1037" s="6">
        <v>2903709028.7468643</v>
      </c>
      <c r="F1037" s="6">
        <v>22.020000457763672</v>
      </c>
      <c r="G1037" s="6">
        <v>22.059999465942383</v>
      </c>
      <c r="H1037" s="6">
        <v>23.425532401876247</v>
      </c>
      <c r="I1037" s="6">
        <v>3.3685231713351582E-2</v>
      </c>
      <c r="J1037" s="6">
        <v>457855000</v>
      </c>
      <c r="K1037" s="6">
        <v>11.904761904761903</v>
      </c>
      <c r="L1037" t="s">
        <v>6623</v>
      </c>
      <c r="M1037" t="s">
        <v>6700</v>
      </c>
      <c r="N1037" s="4" t="s">
        <v>9897</v>
      </c>
      <c r="O1037" s="4" t="s">
        <v>9898</v>
      </c>
      <c r="P1037" s="4" t="s">
        <v>233</v>
      </c>
    </row>
    <row r="1038" spans="1:16" x14ac:dyDescent="0.35">
      <c r="A1038" t="s">
        <v>9899</v>
      </c>
      <c r="B1038" t="s">
        <v>9900</v>
      </c>
      <c r="C1038" t="s">
        <v>16</v>
      </c>
      <c r="D1038" s="6">
        <v>2357844424.8521571</v>
      </c>
      <c r="E1038" s="6">
        <v>3159017424.8521571</v>
      </c>
      <c r="F1038" s="6">
        <v>59.610000610351563</v>
      </c>
      <c r="G1038" s="6">
        <v>57</v>
      </c>
      <c r="H1038" s="6">
        <v>42.299185742706257</v>
      </c>
      <c r="I1038" s="6">
        <v>0.72674379241407405</v>
      </c>
      <c r="J1038" s="6">
        <v>3794212000</v>
      </c>
      <c r="K1038" s="6">
        <v>58.695652173913032</v>
      </c>
      <c r="L1038" t="s">
        <v>6735</v>
      </c>
      <c r="M1038" t="s">
        <v>6736</v>
      </c>
      <c r="N1038" s="4" t="s">
        <v>9901</v>
      </c>
      <c r="O1038" s="4" t="s">
        <v>9902</v>
      </c>
      <c r="P1038" s="4" t="s">
        <v>233</v>
      </c>
    </row>
    <row r="1039" spans="1:16" x14ac:dyDescent="0.35">
      <c r="A1039" t="s">
        <v>13383</v>
      </c>
      <c r="B1039" t="s">
        <v>13384</v>
      </c>
      <c r="C1039" t="s">
        <v>16</v>
      </c>
      <c r="D1039" s="6">
        <v>868642114.70123279</v>
      </c>
      <c r="E1039" s="6">
        <v>1599158114.7012329</v>
      </c>
      <c r="F1039" s="6">
        <v>40.970001220703125</v>
      </c>
      <c r="G1039" s="6">
        <v>39.450000762939453</v>
      </c>
      <c r="H1039" s="6">
        <v>28.573999976777532</v>
      </c>
      <c r="I1039" s="6">
        <v>0.21435963340799069</v>
      </c>
      <c r="J1039" s="6">
        <v>1399418000</v>
      </c>
      <c r="K1039" s="6">
        <v>89.290648128950252</v>
      </c>
      <c r="L1039" t="s">
        <v>6547</v>
      </c>
      <c r="M1039" t="s">
        <v>6802</v>
      </c>
      <c r="N1039" s="4" t="s">
        <v>9903</v>
      </c>
      <c r="O1039" s="4" t="s">
        <v>9904</v>
      </c>
      <c r="P1039" s="4" t="s">
        <v>233</v>
      </c>
    </row>
    <row r="1040" spans="1:16" x14ac:dyDescent="0.35">
      <c r="A1040" t="s">
        <v>9905</v>
      </c>
      <c r="B1040" t="s">
        <v>9906</v>
      </c>
      <c r="C1040" t="s">
        <v>16</v>
      </c>
      <c r="D1040" s="6">
        <v>2625483538.2276001</v>
      </c>
      <c r="E1040" s="6">
        <v>4461751538.2276001</v>
      </c>
      <c r="F1040" s="6">
        <v>51.439998626708984</v>
      </c>
      <c r="G1040" s="6">
        <v>51.5</v>
      </c>
      <c r="H1040" s="6">
        <v>15.606620504171824</v>
      </c>
      <c r="I1040" s="6">
        <v>0.50222429060904861</v>
      </c>
      <c r="J1040" s="6">
        <v>3537745000</v>
      </c>
      <c r="K1040" s="6">
        <v>53.476275678427569</v>
      </c>
      <c r="L1040" t="s">
        <v>6540</v>
      </c>
      <c r="M1040" t="s">
        <v>6825</v>
      </c>
      <c r="N1040" s="4" t="s">
        <v>9907</v>
      </c>
      <c r="O1040" s="4" t="s">
        <v>9908</v>
      </c>
      <c r="P1040" s="4" t="s">
        <v>233</v>
      </c>
    </row>
    <row r="1041" spans="1:16" x14ac:dyDescent="0.35">
      <c r="A1041" t="s">
        <v>9909</v>
      </c>
      <c r="B1041" t="s">
        <v>9910</v>
      </c>
      <c r="C1041" t="s">
        <v>16</v>
      </c>
      <c r="D1041" s="6">
        <v>1033303061.78553</v>
      </c>
      <c r="E1041" s="6" t="e">
        <v>#N/A</v>
      </c>
      <c r="F1041" s="6">
        <v>28.829999923706055</v>
      </c>
      <c r="G1041" s="6">
        <v>28.909999847412109</v>
      </c>
      <c r="H1041" s="6">
        <v>13.797493155670972</v>
      </c>
      <c r="I1041" s="6">
        <v>0.45161270179199109</v>
      </c>
      <c r="J1041" s="6">
        <v>442879000</v>
      </c>
      <c r="K1041" s="6">
        <v>-36.012861736334401</v>
      </c>
      <c r="L1041" t="s">
        <v>6529</v>
      </c>
      <c r="M1041" t="s">
        <v>6530</v>
      </c>
      <c r="N1041" s="4" t="s">
        <v>9911</v>
      </c>
      <c r="O1041" s="4" t="s">
        <v>9912</v>
      </c>
      <c r="P1041" s="4" t="s">
        <v>233</v>
      </c>
    </row>
    <row r="1042" spans="1:16" x14ac:dyDescent="0.35">
      <c r="A1042" t="s">
        <v>9913</v>
      </c>
      <c r="B1042" t="s">
        <v>9914</v>
      </c>
      <c r="C1042" t="s">
        <v>16</v>
      </c>
      <c r="D1042" s="6">
        <v>574048009.79722595</v>
      </c>
      <c r="E1042" s="6">
        <v>1410744009.797226</v>
      </c>
      <c r="F1042" s="6">
        <v>17.069999694824219</v>
      </c>
      <c r="G1042" s="6">
        <v>17</v>
      </c>
      <c r="H1042" s="6">
        <v>4.4410263674756134</v>
      </c>
      <c r="I1042" s="6">
        <v>-0.53163365390548323</v>
      </c>
      <c r="J1042" s="6">
        <v>2780579000</v>
      </c>
      <c r="K1042" s="6">
        <v>2.7397260273972628</v>
      </c>
      <c r="L1042" t="s">
        <v>6540</v>
      </c>
      <c r="M1042" t="s">
        <v>6541</v>
      </c>
      <c r="N1042" s="4" t="s">
        <v>9915</v>
      </c>
      <c r="O1042" s="4" t="s">
        <v>9916</v>
      </c>
      <c r="P1042" s="4" t="s">
        <v>233</v>
      </c>
    </row>
    <row r="1043" spans="1:16" x14ac:dyDescent="0.35">
      <c r="A1043" t="s">
        <v>9917</v>
      </c>
      <c r="B1043" t="s">
        <v>9918</v>
      </c>
      <c r="C1043" t="s">
        <v>16</v>
      </c>
      <c r="D1043" s="6">
        <v>269949055.00608921</v>
      </c>
      <c r="E1043" s="6">
        <v>5291029055.0060883</v>
      </c>
      <c r="F1043" s="6">
        <v>15.460000038146973</v>
      </c>
      <c r="G1043" s="6">
        <v>15.420000076293945</v>
      </c>
      <c r="H1043" s="6">
        <v>15.768221463085911</v>
      </c>
      <c r="I1043" s="6">
        <v>0.24588193224174337</v>
      </c>
      <c r="J1043" s="6">
        <v>122716000</v>
      </c>
      <c r="K1043" s="6" t="e">
        <v>#N/A</v>
      </c>
      <c r="L1043" t="s">
        <v>6529</v>
      </c>
      <c r="M1043" t="s">
        <v>8169</v>
      </c>
      <c r="N1043" s="4" t="s">
        <v>9919</v>
      </c>
      <c r="O1043" s="4" t="s">
        <v>9920</v>
      </c>
      <c r="P1043" s="4" t="s">
        <v>233</v>
      </c>
    </row>
    <row r="1044" spans="1:16" x14ac:dyDescent="0.35">
      <c r="A1044" t="s">
        <v>9921</v>
      </c>
      <c r="B1044" t="s">
        <v>9922</v>
      </c>
      <c r="C1044" t="s">
        <v>16</v>
      </c>
      <c r="D1044" s="6">
        <v>3265169306.9761963</v>
      </c>
      <c r="E1044" s="6" t="e">
        <v>#N/A</v>
      </c>
      <c r="F1044" s="6">
        <v>45.860000610351563</v>
      </c>
      <c r="G1044" s="6">
        <v>46.299999237060547</v>
      </c>
      <c r="H1044" s="6">
        <v>11.610126736797863</v>
      </c>
      <c r="I1044" s="6">
        <v>0.16315771921810418</v>
      </c>
      <c r="J1044" s="6">
        <v>1390639000</v>
      </c>
      <c r="K1044" s="6">
        <v>-18.64754098360655</v>
      </c>
      <c r="L1044" t="s">
        <v>6529</v>
      </c>
      <c r="M1044" t="s">
        <v>6530</v>
      </c>
      <c r="N1044" s="4" t="s">
        <v>9923</v>
      </c>
      <c r="O1044" s="4" t="s">
        <v>9924</v>
      </c>
      <c r="P1044" s="4" t="s">
        <v>233</v>
      </c>
    </row>
    <row r="1045" spans="1:16" x14ac:dyDescent="0.35">
      <c r="A1045" t="s">
        <v>9925</v>
      </c>
      <c r="B1045" t="s">
        <v>9926</v>
      </c>
      <c r="C1045" t="s">
        <v>16</v>
      </c>
      <c r="D1045" s="6">
        <v>3401173405.829658</v>
      </c>
      <c r="E1045" s="6" t="e">
        <v>#N/A</v>
      </c>
      <c r="F1045" s="6">
        <v>64.709999084472656</v>
      </c>
      <c r="G1045" s="6">
        <v>65.730003356933594</v>
      </c>
      <c r="H1045" s="6">
        <v>18.789209251710556</v>
      </c>
      <c r="I1045" s="6">
        <v>0.47229933342316754</v>
      </c>
      <c r="J1045" s="6">
        <v>940714000</v>
      </c>
      <c r="K1045" s="6">
        <v>40.408163265306108</v>
      </c>
      <c r="L1045" t="s">
        <v>6529</v>
      </c>
      <c r="M1045" t="s">
        <v>6530</v>
      </c>
      <c r="N1045" s="4" t="s">
        <v>9927</v>
      </c>
      <c r="O1045" s="4" t="s">
        <v>9928</v>
      </c>
      <c r="P1045" s="4" t="s">
        <v>233</v>
      </c>
    </row>
    <row r="1046" spans="1:16" x14ac:dyDescent="0.35">
      <c r="A1046" t="s">
        <v>9929</v>
      </c>
      <c r="B1046" t="s">
        <v>9930</v>
      </c>
      <c r="C1046" t="s">
        <v>16</v>
      </c>
      <c r="D1046" s="6">
        <v>1456424926.4999998</v>
      </c>
      <c r="E1046" s="6">
        <v>3790021926.5</v>
      </c>
      <c r="F1046" s="6">
        <v>9.5</v>
      </c>
      <c r="G1046" s="6">
        <v>9.4700002670288086</v>
      </c>
      <c r="H1046" s="6">
        <v>39.588941766750295</v>
      </c>
      <c r="I1046" s="6">
        <v>-0.15071433994229422</v>
      </c>
      <c r="J1046" s="6">
        <v>1359159000</v>
      </c>
      <c r="K1046" s="6">
        <v>-6.4516129032258114</v>
      </c>
      <c r="L1046" t="s">
        <v>6623</v>
      </c>
      <c r="M1046" t="s">
        <v>7409</v>
      </c>
      <c r="N1046" s="4" t="s">
        <v>9931</v>
      </c>
      <c r="O1046" s="4" t="s">
        <v>9932</v>
      </c>
      <c r="P1046" s="4" t="s">
        <v>233</v>
      </c>
    </row>
    <row r="1047" spans="1:16" x14ac:dyDescent="0.35">
      <c r="A1047" t="s">
        <v>9933</v>
      </c>
      <c r="B1047" t="s">
        <v>9934</v>
      </c>
      <c r="C1047" t="s">
        <v>16</v>
      </c>
      <c r="D1047" s="6">
        <v>2226321045.674438</v>
      </c>
      <c r="E1047" s="6">
        <v>1885047045.674438</v>
      </c>
      <c r="F1047" s="6">
        <v>72.69000244140625</v>
      </c>
      <c r="G1047" s="6">
        <v>71.550003051757813</v>
      </c>
      <c r="H1047" s="6" t="e">
        <v>#N/A</v>
      </c>
      <c r="I1047" s="6">
        <v>-0.34752888303687068</v>
      </c>
      <c r="J1047" s="6" t="e">
        <v>#N/A</v>
      </c>
      <c r="K1047" s="6" t="e">
        <v>#N/A</v>
      </c>
      <c r="L1047" t="s">
        <v>6514</v>
      </c>
      <c r="M1047" t="s">
        <v>6534</v>
      </c>
      <c r="N1047" s="4" t="s">
        <v>9935</v>
      </c>
      <c r="O1047" s="4" t="s">
        <v>9936</v>
      </c>
      <c r="P1047" s="4" t="s">
        <v>233</v>
      </c>
    </row>
    <row r="1048" spans="1:16" x14ac:dyDescent="0.35">
      <c r="A1048" t="s">
        <v>9937</v>
      </c>
      <c r="B1048" t="s">
        <v>4658</v>
      </c>
      <c r="C1048" t="s">
        <v>16</v>
      </c>
      <c r="D1048" s="6">
        <v>498403608.96115875</v>
      </c>
      <c r="E1048" s="6">
        <v>495156608.96115875</v>
      </c>
      <c r="F1048" s="6">
        <v>3.9600000381469727</v>
      </c>
      <c r="G1048" s="6">
        <v>3.940000057220459</v>
      </c>
      <c r="H1048" s="6" t="e">
        <v>#N/A</v>
      </c>
      <c r="I1048" s="6">
        <v>2.3191552145361838E-2</v>
      </c>
      <c r="J1048" s="6">
        <v>0</v>
      </c>
      <c r="K1048" s="6">
        <v>-54.022988505747136</v>
      </c>
      <c r="L1048" t="s">
        <v>17</v>
      </c>
      <c r="M1048" t="s">
        <v>18</v>
      </c>
      <c r="N1048" s="4" t="s">
        <v>4659</v>
      </c>
      <c r="O1048" s="4" t="s">
        <v>4660</v>
      </c>
      <c r="P1048" s="4" t="s">
        <v>233</v>
      </c>
    </row>
    <row r="1049" spans="1:16" x14ac:dyDescent="0.35">
      <c r="A1049" t="s">
        <v>9938</v>
      </c>
      <c r="B1049" t="s">
        <v>9939</v>
      </c>
      <c r="C1049" t="s">
        <v>16</v>
      </c>
      <c r="D1049" s="6">
        <v>1271374208.585098</v>
      </c>
      <c r="E1049" s="6">
        <v>1250344208.585098</v>
      </c>
      <c r="F1049" s="6">
        <v>43.840000152587891</v>
      </c>
      <c r="G1049" s="6">
        <v>40.959999084472656</v>
      </c>
      <c r="H1049" s="6">
        <v>73.066666920979813</v>
      </c>
      <c r="I1049" s="6">
        <v>2.7591428809416536</v>
      </c>
      <c r="J1049" s="6">
        <v>137393000</v>
      </c>
      <c r="K1049" s="6" t="e">
        <v>#N/A</v>
      </c>
      <c r="L1049" t="s">
        <v>6547</v>
      </c>
      <c r="M1049" t="s">
        <v>6548</v>
      </c>
      <c r="N1049" s="4" t="s">
        <v>9940</v>
      </c>
      <c r="O1049" s="4" t="s">
        <v>9941</v>
      </c>
      <c r="P1049" s="4" t="s">
        <v>233</v>
      </c>
    </row>
    <row r="1050" spans="1:16" x14ac:dyDescent="0.35">
      <c r="A1050" t="s">
        <v>9942</v>
      </c>
      <c r="B1050" t="s">
        <v>9943</v>
      </c>
      <c r="C1050" t="s">
        <v>16</v>
      </c>
      <c r="D1050" s="6">
        <v>2217385197.8898931</v>
      </c>
      <c r="E1050" s="6">
        <v>3012420197.8898931</v>
      </c>
      <c r="F1050" s="6">
        <v>32.900001525878906</v>
      </c>
      <c r="G1050" s="6">
        <v>33.130001068115234</v>
      </c>
      <c r="H1050" s="6">
        <v>14.126332137051568</v>
      </c>
      <c r="I1050" s="6">
        <v>-0.13636267448008277</v>
      </c>
      <c r="J1050" s="6">
        <v>3222363000</v>
      </c>
      <c r="K1050" s="6">
        <v>-27.734375000000004</v>
      </c>
      <c r="L1050" t="s">
        <v>6735</v>
      </c>
      <c r="M1050" t="s">
        <v>8777</v>
      </c>
      <c r="N1050" s="4" t="s">
        <v>9944</v>
      </c>
      <c r="O1050" s="4" t="s">
        <v>9945</v>
      </c>
      <c r="P1050" s="4" t="s">
        <v>233</v>
      </c>
    </row>
    <row r="1051" spans="1:16" x14ac:dyDescent="0.35">
      <c r="A1051" t="s">
        <v>9946</v>
      </c>
      <c r="B1051" t="s">
        <v>9947</v>
      </c>
      <c r="C1051" t="s">
        <v>16</v>
      </c>
      <c r="D1051" s="6">
        <v>1887193520.7065964</v>
      </c>
      <c r="E1051" s="6">
        <v>3264177520.7065964</v>
      </c>
      <c r="F1051" s="6">
        <v>21.319999694824219</v>
      </c>
      <c r="G1051" s="6">
        <v>21.700000762939453</v>
      </c>
      <c r="H1051" s="6" t="e">
        <v>#N/A</v>
      </c>
      <c r="I1051" s="6">
        <v>-9.438404273415657E-2</v>
      </c>
      <c r="J1051" s="6">
        <v>2899276000</v>
      </c>
      <c r="K1051" s="6" t="e">
        <v>#N/A</v>
      </c>
      <c r="L1051" t="s">
        <v>6547</v>
      </c>
      <c r="M1051" t="s">
        <v>6651</v>
      </c>
      <c r="N1051" s="4" t="s">
        <v>9948</v>
      </c>
      <c r="O1051" s="4" t="s">
        <v>9949</v>
      </c>
      <c r="P1051" s="4" t="s">
        <v>233</v>
      </c>
    </row>
    <row r="1052" spans="1:16" x14ac:dyDescent="0.35">
      <c r="A1052" t="s">
        <v>9950</v>
      </c>
      <c r="B1052" t="s">
        <v>9951</v>
      </c>
      <c r="C1052" t="s">
        <v>16</v>
      </c>
      <c r="D1052" s="6">
        <v>2519610422.4545288</v>
      </c>
      <c r="E1052" s="6">
        <v>2699182422.4545288</v>
      </c>
      <c r="F1052" s="6">
        <v>34.099998474121094</v>
      </c>
      <c r="G1052" s="6">
        <v>32.689998626708984</v>
      </c>
      <c r="H1052" s="6" t="e">
        <v>#N/A</v>
      </c>
      <c r="I1052" s="6">
        <v>8.5537636625068192E-3</v>
      </c>
      <c r="J1052" s="6">
        <v>595656000</v>
      </c>
      <c r="K1052" s="6">
        <v>34.408602150537618</v>
      </c>
      <c r="L1052" t="s">
        <v>6518</v>
      </c>
      <c r="M1052" t="s">
        <v>6519</v>
      </c>
      <c r="N1052" s="4" t="s">
        <v>9952</v>
      </c>
      <c r="O1052" s="4" t="s">
        <v>9953</v>
      </c>
      <c r="P1052" s="4" t="s">
        <v>233</v>
      </c>
    </row>
    <row r="1053" spans="1:16" x14ac:dyDescent="0.35">
      <c r="A1053" t="s">
        <v>9954</v>
      </c>
      <c r="B1053" t="s">
        <v>9955</v>
      </c>
      <c r="C1053" t="s">
        <v>16</v>
      </c>
      <c r="D1053" s="6">
        <v>2200961993.4001923</v>
      </c>
      <c r="E1053" s="6">
        <v>2320661993.4001923</v>
      </c>
      <c r="F1053" s="6">
        <v>136.52000427246094</v>
      </c>
      <c r="G1053" s="6">
        <v>138.46000671386719</v>
      </c>
      <c r="H1053" s="6">
        <v>67.601027321896609</v>
      </c>
      <c r="I1053" s="6">
        <v>-0.13821521907608048</v>
      </c>
      <c r="J1053" s="6">
        <v>3536692000</v>
      </c>
      <c r="K1053" s="6">
        <v>-57.923497267759572</v>
      </c>
      <c r="L1053" t="s">
        <v>6547</v>
      </c>
      <c r="M1053" t="s">
        <v>6651</v>
      </c>
      <c r="N1053" s="4" t="s">
        <v>9956</v>
      </c>
      <c r="O1053" s="4" t="s">
        <v>9957</v>
      </c>
      <c r="P1053" s="4" t="s">
        <v>233</v>
      </c>
    </row>
    <row r="1054" spans="1:16" x14ac:dyDescent="0.35">
      <c r="A1054" t="s">
        <v>9958</v>
      </c>
      <c r="B1054" t="s">
        <v>9959</v>
      </c>
      <c r="C1054" t="s">
        <v>16</v>
      </c>
      <c r="D1054" s="6">
        <v>1737350084.3296049</v>
      </c>
      <c r="E1054" s="6" t="e">
        <v>#N/A</v>
      </c>
      <c r="F1054" s="6">
        <v>118.16999816894531</v>
      </c>
      <c r="G1054" s="6">
        <v>118.80999755859375</v>
      </c>
      <c r="H1054" s="6">
        <v>14.977186079714235</v>
      </c>
      <c r="I1054" s="6">
        <v>0.16638824117184869</v>
      </c>
      <c r="J1054" s="6">
        <v>379763000</v>
      </c>
      <c r="K1054" s="6">
        <v>3.8057742782152233</v>
      </c>
      <c r="L1054" t="s">
        <v>6529</v>
      </c>
      <c r="M1054" t="s">
        <v>6530</v>
      </c>
      <c r="N1054" s="4" t="s">
        <v>9960</v>
      </c>
      <c r="O1054" s="4" t="s">
        <v>9961</v>
      </c>
      <c r="P1054" s="4" t="s">
        <v>233</v>
      </c>
    </row>
    <row r="1055" spans="1:16" x14ac:dyDescent="0.35">
      <c r="A1055" t="s">
        <v>9962</v>
      </c>
      <c r="B1055" t="s">
        <v>9963</v>
      </c>
      <c r="C1055" t="s">
        <v>16</v>
      </c>
      <c r="D1055" s="6">
        <v>2884514787.7928085</v>
      </c>
      <c r="E1055" s="6" t="e">
        <v>#N/A</v>
      </c>
      <c r="F1055" s="6">
        <v>108.98999786376953</v>
      </c>
      <c r="G1055" s="6">
        <v>108.62000274658203</v>
      </c>
      <c r="H1055" s="6">
        <v>24.755162121164592</v>
      </c>
      <c r="I1055" s="6">
        <v>0.76541868541491076</v>
      </c>
      <c r="J1055" s="6">
        <v>553863000</v>
      </c>
      <c r="K1055" s="6">
        <v>44.421034482758621</v>
      </c>
      <c r="L1055" t="s">
        <v>6529</v>
      </c>
      <c r="M1055" t="s">
        <v>6664</v>
      </c>
      <c r="N1055" s="4" t="s">
        <v>9964</v>
      </c>
      <c r="O1055" s="4" t="s">
        <v>9965</v>
      </c>
      <c r="P1055" s="4" t="s">
        <v>233</v>
      </c>
    </row>
    <row r="1056" spans="1:16" x14ac:dyDescent="0.35">
      <c r="A1056" t="s">
        <v>9966</v>
      </c>
      <c r="B1056" t="s">
        <v>9967</v>
      </c>
      <c r="C1056" t="s">
        <v>16</v>
      </c>
      <c r="D1056" s="6">
        <v>1358280503.5815351</v>
      </c>
      <c r="E1056" s="6">
        <v>7204456503.5815353</v>
      </c>
      <c r="F1056" s="6">
        <v>5.4699997901916504</v>
      </c>
      <c r="G1056" s="6">
        <v>5.4600000381469727</v>
      </c>
      <c r="H1056" s="6">
        <v>6.4903087823155685</v>
      </c>
      <c r="I1056" s="6">
        <v>0.14162545824863404</v>
      </c>
      <c r="J1056" s="6">
        <v>1159268000</v>
      </c>
      <c r="K1056" s="6" t="e">
        <v>#N/A</v>
      </c>
      <c r="L1056" t="s">
        <v>6623</v>
      </c>
      <c r="M1056" t="s">
        <v>7539</v>
      </c>
      <c r="N1056" s="4" t="s">
        <v>9968</v>
      </c>
      <c r="O1056" s="4" t="s">
        <v>9969</v>
      </c>
      <c r="P1056" s="4" t="s">
        <v>233</v>
      </c>
    </row>
    <row r="1057" spans="1:16" x14ac:dyDescent="0.35">
      <c r="A1057" t="s">
        <v>9970</v>
      </c>
      <c r="B1057" t="s">
        <v>9971</v>
      </c>
      <c r="C1057" t="s">
        <v>16</v>
      </c>
      <c r="D1057" s="6">
        <v>5202239258.0228233</v>
      </c>
      <c r="E1057" s="6">
        <v>8286431258.0228233</v>
      </c>
      <c r="F1057" s="6">
        <v>17.799999237060547</v>
      </c>
      <c r="G1057" s="6">
        <v>18.360000610351563</v>
      </c>
      <c r="H1057" s="6" t="e">
        <v>#N/A</v>
      </c>
      <c r="I1057" s="6">
        <v>1.3034182500476907</v>
      </c>
      <c r="J1057" s="6">
        <v>1297657000</v>
      </c>
      <c r="K1057" s="6" t="e">
        <v>#N/A</v>
      </c>
      <c r="L1057" t="s">
        <v>6523</v>
      </c>
      <c r="M1057" t="s">
        <v>6524</v>
      </c>
      <c r="N1057" s="4" t="s">
        <v>9972</v>
      </c>
      <c r="O1057" s="4" t="s">
        <v>9973</v>
      </c>
      <c r="P1057" s="4" t="s">
        <v>233</v>
      </c>
    </row>
    <row r="1058" spans="1:16" x14ac:dyDescent="0.35">
      <c r="A1058" t="s">
        <v>9974</v>
      </c>
      <c r="B1058" t="s">
        <v>9975</v>
      </c>
      <c r="C1058" t="s">
        <v>16</v>
      </c>
      <c r="D1058" s="6">
        <v>379438697.46202946</v>
      </c>
      <c r="E1058" s="6">
        <v>244375697.46202949</v>
      </c>
      <c r="F1058" s="6">
        <v>13.949999809265137</v>
      </c>
      <c r="G1058" s="6">
        <v>14.279999732971191</v>
      </c>
      <c r="H1058" s="6">
        <v>431.19435612219229</v>
      </c>
      <c r="I1058" s="6">
        <v>-0.24320579571416134</v>
      </c>
      <c r="J1058" s="6">
        <v>427221000</v>
      </c>
      <c r="K1058" s="6">
        <v>-94.979762633291344</v>
      </c>
      <c r="L1058" t="s">
        <v>6719</v>
      </c>
      <c r="M1058" t="s">
        <v>7215</v>
      </c>
      <c r="N1058" s="4" t="s">
        <v>9976</v>
      </c>
      <c r="O1058" s="4" t="s">
        <v>9977</v>
      </c>
      <c r="P1058" s="4" t="s">
        <v>233</v>
      </c>
    </row>
    <row r="1059" spans="1:16" x14ac:dyDescent="0.35">
      <c r="A1059" t="s">
        <v>9978</v>
      </c>
      <c r="B1059" t="s">
        <v>9979</v>
      </c>
      <c r="C1059" t="s">
        <v>16</v>
      </c>
      <c r="D1059" s="6">
        <v>4065314218.1934199</v>
      </c>
      <c r="E1059" s="6">
        <v>7100714218.1934195</v>
      </c>
      <c r="F1059" s="6">
        <v>93.150001525878906</v>
      </c>
      <c r="G1059" s="6">
        <v>91.44000244140625</v>
      </c>
      <c r="H1059" s="6">
        <v>18.08419401202136</v>
      </c>
      <c r="I1059" s="6">
        <v>0.13497935921277771</v>
      </c>
      <c r="J1059" s="6">
        <v>4993300000</v>
      </c>
      <c r="K1059" s="6">
        <v>-11.289598662207363</v>
      </c>
      <c r="L1059" t="s">
        <v>6547</v>
      </c>
      <c r="M1059" t="s">
        <v>6802</v>
      </c>
      <c r="N1059" s="4" t="s">
        <v>9980</v>
      </c>
      <c r="O1059" s="4" t="s">
        <v>9981</v>
      </c>
      <c r="P1059" s="4" t="s">
        <v>233</v>
      </c>
    </row>
    <row r="1060" spans="1:16" x14ac:dyDescent="0.35">
      <c r="A1060" t="s">
        <v>9982</v>
      </c>
      <c r="B1060" t="s">
        <v>9983</v>
      </c>
      <c r="C1060" t="s">
        <v>16</v>
      </c>
      <c r="D1060" s="6">
        <v>3196144762.687912</v>
      </c>
      <c r="E1060" s="6">
        <v>3939724762.687912</v>
      </c>
      <c r="F1060" s="6">
        <v>180.28999328613281</v>
      </c>
      <c r="G1060" s="6">
        <v>183.52000427246094</v>
      </c>
      <c r="H1060" s="6">
        <v>15.653264276246638</v>
      </c>
      <c r="I1060" s="6">
        <v>0.39913140666078029</v>
      </c>
      <c r="J1060" s="6">
        <v>1207366000</v>
      </c>
      <c r="K1060" s="6">
        <v>-87.066210045662103</v>
      </c>
      <c r="L1060" t="s">
        <v>6523</v>
      </c>
      <c r="M1060" t="s">
        <v>6524</v>
      </c>
      <c r="N1060" s="4" t="s">
        <v>9984</v>
      </c>
      <c r="O1060" s="4" t="s">
        <v>9985</v>
      </c>
      <c r="P1060" s="4" t="s">
        <v>233</v>
      </c>
    </row>
    <row r="1061" spans="1:16" x14ac:dyDescent="0.35">
      <c r="A1061" t="s">
        <v>9986</v>
      </c>
      <c r="B1061" t="s">
        <v>9987</v>
      </c>
      <c r="C1061" t="s">
        <v>16</v>
      </c>
      <c r="D1061" s="6">
        <v>972828709.43980396</v>
      </c>
      <c r="E1061" s="6">
        <v>738642709.43980396</v>
      </c>
      <c r="F1061" s="6">
        <v>20.870000839233398</v>
      </c>
      <c r="G1061" s="6">
        <v>20.840000152587891</v>
      </c>
      <c r="H1061" s="6" t="e">
        <v>#N/A</v>
      </c>
      <c r="I1061" s="6">
        <v>-0.39107273660521891</v>
      </c>
      <c r="J1061" s="6">
        <v>444883000</v>
      </c>
      <c r="K1061" s="6" t="e">
        <v>#N/A</v>
      </c>
      <c r="L1061" t="s">
        <v>6518</v>
      </c>
      <c r="M1061" t="s">
        <v>6807</v>
      </c>
      <c r="N1061" s="4" t="s">
        <v>9988</v>
      </c>
      <c r="O1061" s="4" t="s">
        <v>9989</v>
      </c>
      <c r="P1061" s="4" t="s">
        <v>233</v>
      </c>
    </row>
    <row r="1062" spans="1:16" x14ac:dyDescent="0.35">
      <c r="A1062" t="s">
        <v>9990</v>
      </c>
      <c r="B1062" t="s">
        <v>9991</v>
      </c>
      <c r="C1062" t="s">
        <v>16</v>
      </c>
      <c r="D1062" s="6">
        <v>735318769.34960938</v>
      </c>
      <c r="E1062" s="6">
        <v>717873769.34960938</v>
      </c>
      <c r="F1062" s="6">
        <v>237.55999755859375</v>
      </c>
      <c r="G1062" s="6">
        <v>240.75999450683594</v>
      </c>
      <c r="H1062" s="6" t="e">
        <v>#N/A</v>
      </c>
      <c r="I1062" s="6">
        <v>0.55965879530179685</v>
      </c>
      <c r="J1062" s="6">
        <v>361664000</v>
      </c>
      <c r="K1062" s="6">
        <v>150.68188032958139</v>
      </c>
      <c r="L1062" t="s">
        <v>6540</v>
      </c>
      <c r="M1062" t="s">
        <v>6825</v>
      </c>
      <c r="N1062" s="4" t="s">
        <v>9992</v>
      </c>
      <c r="O1062" s="4" t="s">
        <v>9993</v>
      </c>
      <c r="P1062" s="4" t="s">
        <v>233</v>
      </c>
    </row>
    <row r="1063" spans="1:16" x14ac:dyDescent="0.35">
      <c r="A1063" t="s">
        <v>9994</v>
      </c>
      <c r="B1063" t="s">
        <v>583</v>
      </c>
      <c r="C1063" t="s">
        <v>16</v>
      </c>
      <c r="D1063" s="6">
        <v>5997720072.9457378</v>
      </c>
      <c r="E1063" s="6">
        <v>5864317072.9457378</v>
      </c>
      <c r="F1063" s="6">
        <v>116.77999877929688</v>
      </c>
      <c r="G1063" s="6">
        <v>116.19000244140625</v>
      </c>
      <c r="H1063" s="6">
        <v>68.583724028889691</v>
      </c>
      <c r="I1063" s="6">
        <v>0.40702840080574409</v>
      </c>
      <c r="J1063" s="6">
        <v>871308000</v>
      </c>
      <c r="K1063" s="6">
        <v>17.351598173515988</v>
      </c>
      <c r="L1063" t="s">
        <v>17</v>
      </c>
      <c r="M1063" t="s">
        <v>40</v>
      </c>
      <c r="N1063" s="4" t="s">
        <v>584</v>
      </c>
      <c r="O1063" s="4" t="s">
        <v>585</v>
      </c>
      <c r="P1063" s="4" t="s">
        <v>233</v>
      </c>
    </row>
    <row r="1064" spans="1:16" x14ac:dyDescent="0.35">
      <c r="A1064" t="s">
        <v>9995</v>
      </c>
      <c r="B1064" t="s">
        <v>9996</v>
      </c>
      <c r="C1064" t="s">
        <v>16</v>
      </c>
      <c r="D1064" s="6">
        <v>916156957.39057541</v>
      </c>
      <c r="E1064" s="6">
        <v>1075452957.3905754</v>
      </c>
      <c r="F1064" s="6">
        <v>4.4099998474121094</v>
      </c>
      <c r="G1064" s="6">
        <v>4.4200000762939453</v>
      </c>
      <c r="H1064" s="6">
        <v>10.424866137178265</v>
      </c>
      <c r="I1064" s="6">
        <v>-0.26923985147047114</v>
      </c>
      <c r="J1064" s="6">
        <v>712879000</v>
      </c>
      <c r="K1064" s="6">
        <v>125.19803879292243</v>
      </c>
      <c r="L1064" t="s">
        <v>6514</v>
      </c>
      <c r="M1064" t="s">
        <v>6690</v>
      </c>
      <c r="N1064" s="4" t="s">
        <v>9997</v>
      </c>
      <c r="O1064" s="4" t="s">
        <v>9998</v>
      </c>
      <c r="P1064" s="4" t="s">
        <v>233</v>
      </c>
    </row>
    <row r="1065" spans="1:16" x14ac:dyDescent="0.35">
      <c r="A1065" t="s">
        <v>9999</v>
      </c>
      <c r="B1065" t="s">
        <v>10000</v>
      </c>
      <c r="C1065" t="s">
        <v>16</v>
      </c>
      <c r="D1065" s="6">
        <v>152226555.05587578</v>
      </c>
      <c r="E1065" s="6">
        <v>658275555.05587578</v>
      </c>
      <c r="F1065" s="6">
        <v>8.9499998092651367</v>
      </c>
      <c r="G1065" s="6">
        <v>8.9700002670288086</v>
      </c>
      <c r="H1065" s="6">
        <v>8.5415595163140328</v>
      </c>
      <c r="I1065" s="6">
        <v>-0.13852400080990468</v>
      </c>
      <c r="J1065" s="6">
        <v>447955000</v>
      </c>
      <c r="K1065" s="6">
        <v>-9.1666666666666767</v>
      </c>
      <c r="L1065" t="s">
        <v>6514</v>
      </c>
      <c r="M1065" t="s">
        <v>6534</v>
      </c>
      <c r="N1065" s="4" t="s">
        <v>10001</v>
      </c>
      <c r="O1065" s="4" t="s">
        <v>10002</v>
      </c>
      <c r="P1065" s="4" t="s">
        <v>233</v>
      </c>
    </row>
    <row r="1066" spans="1:16" x14ac:dyDescent="0.35">
      <c r="A1066" t="s">
        <v>10003</v>
      </c>
      <c r="B1066" t="s">
        <v>10004</v>
      </c>
      <c r="C1066" t="s">
        <v>16</v>
      </c>
      <c r="D1066" s="6">
        <v>1270439122.9607394</v>
      </c>
      <c r="E1066" s="6">
        <v>1353093122.9607394</v>
      </c>
      <c r="F1066" s="6">
        <v>34.430000305175781</v>
      </c>
      <c r="G1066" s="6">
        <v>34.25</v>
      </c>
      <c r="H1066" s="6">
        <v>34.886949570652185</v>
      </c>
      <c r="I1066" s="6">
        <v>0.13740441927597336</v>
      </c>
      <c r="J1066" s="6">
        <v>421823000</v>
      </c>
      <c r="K1066" s="6">
        <v>117.77777777777781</v>
      </c>
      <c r="L1066" t="s">
        <v>6518</v>
      </c>
      <c r="M1066" t="s">
        <v>7048</v>
      </c>
      <c r="N1066" s="4" t="s">
        <v>10005</v>
      </c>
      <c r="O1066" s="4" t="s">
        <v>10006</v>
      </c>
      <c r="P1066" s="4" t="s">
        <v>233</v>
      </c>
    </row>
    <row r="1067" spans="1:16" x14ac:dyDescent="0.35">
      <c r="A1067" t="s">
        <v>10007</v>
      </c>
      <c r="B1067" t="s">
        <v>10008</v>
      </c>
      <c r="C1067" t="s">
        <v>16</v>
      </c>
      <c r="D1067" s="6">
        <v>2435256341.5485306</v>
      </c>
      <c r="E1067" s="6">
        <v>2244855341.5485306</v>
      </c>
      <c r="F1067" s="6">
        <v>52.560001373291016</v>
      </c>
      <c r="G1067" s="6">
        <v>51.599998474121094</v>
      </c>
      <c r="H1067" s="6">
        <v>59.52731661973079</v>
      </c>
      <c r="I1067" s="6">
        <v>-0.24930340896385716</v>
      </c>
      <c r="J1067" s="6">
        <v>1311120000</v>
      </c>
      <c r="K1067" s="6">
        <v>-80.846774193548384</v>
      </c>
      <c r="L1067" t="s">
        <v>6518</v>
      </c>
      <c r="M1067" t="s">
        <v>6807</v>
      </c>
      <c r="N1067" s="4" t="s">
        <v>10009</v>
      </c>
      <c r="O1067" s="4" t="s">
        <v>10010</v>
      </c>
      <c r="P1067" s="4" t="s">
        <v>233</v>
      </c>
    </row>
    <row r="1068" spans="1:16" x14ac:dyDescent="0.35">
      <c r="A1068" t="s">
        <v>10011</v>
      </c>
      <c r="B1068" t="s">
        <v>10012</v>
      </c>
      <c r="C1068" t="s">
        <v>16</v>
      </c>
      <c r="D1068" s="6">
        <v>6301414506.2720947</v>
      </c>
      <c r="E1068" s="6">
        <v>11202214506.272095</v>
      </c>
      <c r="F1068" s="6">
        <v>473.1400146484375</v>
      </c>
      <c r="G1068" s="6">
        <v>463.22000122070313</v>
      </c>
      <c r="H1068" s="6">
        <v>12.052515039620598</v>
      </c>
      <c r="I1068" s="6">
        <v>0.69726632506876518</v>
      </c>
      <c r="J1068" s="6">
        <v>19934300000</v>
      </c>
      <c r="K1068" s="6">
        <v>-14.312099717708145</v>
      </c>
      <c r="L1068" t="s">
        <v>6540</v>
      </c>
      <c r="M1068" t="s">
        <v>6541</v>
      </c>
      <c r="N1068" s="4" t="s">
        <v>10013</v>
      </c>
      <c r="O1068" s="4" t="s">
        <v>10014</v>
      </c>
      <c r="P1068" s="4" t="s">
        <v>233</v>
      </c>
    </row>
    <row r="1069" spans="1:16" x14ac:dyDescent="0.35">
      <c r="A1069" t="s">
        <v>10015</v>
      </c>
      <c r="B1069" t="s">
        <v>10016</v>
      </c>
      <c r="C1069" t="s">
        <v>16</v>
      </c>
      <c r="D1069" s="6">
        <v>6015693378.703064</v>
      </c>
      <c r="E1069" s="6">
        <v>5458636378.703064</v>
      </c>
      <c r="F1069" s="6">
        <v>105.02999877929688</v>
      </c>
      <c r="G1069" s="6">
        <v>103.29000091552734</v>
      </c>
      <c r="H1069" s="6">
        <v>36.673433175053013</v>
      </c>
      <c r="I1069" s="6">
        <v>0.28076651389322405</v>
      </c>
      <c r="J1069" s="6">
        <v>2425944000</v>
      </c>
      <c r="K1069" s="6">
        <v>-18.051051136363654</v>
      </c>
      <c r="L1069" t="s">
        <v>6540</v>
      </c>
      <c r="M1069" t="s">
        <v>6797</v>
      </c>
      <c r="N1069" s="4" t="s">
        <v>10017</v>
      </c>
      <c r="O1069" s="4" t="s">
        <v>10018</v>
      </c>
      <c r="P1069" s="4" t="s">
        <v>233</v>
      </c>
    </row>
    <row r="1070" spans="1:16" x14ac:dyDescent="0.35">
      <c r="A1070" t="s">
        <v>10019</v>
      </c>
      <c r="B1070" t="s">
        <v>10020</v>
      </c>
      <c r="C1070" t="s">
        <v>16</v>
      </c>
      <c r="D1070" s="6">
        <v>2777943546.2475204</v>
      </c>
      <c r="E1070" s="6">
        <v>3608040546.2475204</v>
      </c>
      <c r="F1070" s="6">
        <v>109.09999847412109</v>
      </c>
      <c r="G1070" s="6">
        <v>105</v>
      </c>
      <c r="H1070" s="6">
        <v>19.482142584664484</v>
      </c>
      <c r="I1070" s="6">
        <v>-2.9824785628977168E-2</v>
      </c>
      <c r="J1070" s="6">
        <v>3741208000</v>
      </c>
      <c r="K1070" s="6">
        <v>120.86614173228347</v>
      </c>
      <c r="L1070" t="s">
        <v>6540</v>
      </c>
      <c r="M1070" t="s">
        <v>6881</v>
      </c>
      <c r="N1070" s="4" t="s">
        <v>10021</v>
      </c>
      <c r="O1070" s="4" t="s">
        <v>10022</v>
      </c>
      <c r="P1070" s="4" t="s">
        <v>233</v>
      </c>
    </row>
    <row r="1071" spans="1:16" x14ac:dyDescent="0.35">
      <c r="A1071" t="s">
        <v>10023</v>
      </c>
      <c r="B1071" t="s">
        <v>10024</v>
      </c>
      <c r="C1071" t="s">
        <v>16</v>
      </c>
      <c r="D1071" s="6">
        <v>100056103.24875118</v>
      </c>
      <c r="E1071" s="6">
        <v>173378013.24875116</v>
      </c>
      <c r="F1071" s="6">
        <v>4.8600001335144043</v>
      </c>
      <c r="G1071" s="6">
        <v>5.0100002288818359</v>
      </c>
      <c r="H1071" s="6" t="e">
        <v>#N/A</v>
      </c>
      <c r="I1071" s="6">
        <v>-0.30601047904529088</v>
      </c>
      <c r="J1071" s="6">
        <v>287903988</v>
      </c>
      <c r="K1071" s="6">
        <v>9.7560975609756184</v>
      </c>
      <c r="L1071" t="s">
        <v>6547</v>
      </c>
      <c r="M1071" t="s">
        <v>6802</v>
      </c>
      <c r="N1071" s="4" t="s">
        <v>10025</v>
      </c>
      <c r="O1071" s="4" t="s">
        <v>10026</v>
      </c>
      <c r="P1071" s="4" t="s">
        <v>233</v>
      </c>
    </row>
    <row r="1072" spans="1:16" x14ac:dyDescent="0.35">
      <c r="A1072" t="s">
        <v>10027</v>
      </c>
      <c r="B1072" t="s">
        <v>10028</v>
      </c>
      <c r="C1072" t="s">
        <v>16</v>
      </c>
      <c r="D1072" s="6">
        <v>6968634261.0609732</v>
      </c>
      <c r="E1072" s="6">
        <v>7630234261.0609732</v>
      </c>
      <c r="F1072" s="6">
        <v>150.32000732421875</v>
      </c>
      <c r="G1072" s="6">
        <v>150</v>
      </c>
      <c r="H1072" s="6">
        <v>36.810947515559619</v>
      </c>
      <c r="I1072" s="6">
        <v>0.37938651113550814</v>
      </c>
      <c r="J1072" s="6">
        <v>1919600000</v>
      </c>
      <c r="K1072" s="6">
        <v>98.963730569948211</v>
      </c>
      <c r="L1072" t="s">
        <v>6547</v>
      </c>
      <c r="M1072" t="s">
        <v>6668</v>
      </c>
      <c r="N1072" s="4" t="s">
        <v>10029</v>
      </c>
      <c r="O1072" s="4" t="s">
        <v>10030</v>
      </c>
      <c r="P1072" s="4" t="s">
        <v>233</v>
      </c>
    </row>
    <row r="1073" spans="1:16" x14ac:dyDescent="0.35">
      <c r="A1073" t="s">
        <v>10031</v>
      </c>
      <c r="B1073" t="s">
        <v>10032</v>
      </c>
      <c r="C1073" t="s">
        <v>16</v>
      </c>
      <c r="D1073" s="6">
        <v>238967277.71473217</v>
      </c>
      <c r="E1073" s="6" t="e">
        <v>#N/A</v>
      </c>
      <c r="F1073" s="6">
        <v>4.679999828338623</v>
      </c>
      <c r="G1073" s="6">
        <v>4.75</v>
      </c>
      <c r="H1073" s="6">
        <v>116.99999570846558</v>
      </c>
      <c r="I1073" s="6">
        <v>-0.11668096244255277</v>
      </c>
      <c r="J1073" s="6">
        <v>136192000</v>
      </c>
      <c r="K1073" s="6">
        <v>-73.333333333333329</v>
      </c>
      <c r="L1073" t="s">
        <v>6529</v>
      </c>
      <c r="M1073" t="s">
        <v>6530</v>
      </c>
      <c r="N1073" s="4" t="s">
        <v>10033</v>
      </c>
      <c r="O1073" s="4" t="s">
        <v>10034</v>
      </c>
      <c r="P1073" s="4" t="s">
        <v>233</v>
      </c>
    </row>
    <row r="1074" spans="1:16" x14ac:dyDescent="0.35">
      <c r="A1074" t="s">
        <v>10035</v>
      </c>
      <c r="B1074" t="s">
        <v>10036</v>
      </c>
      <c r="C1074" t="s">
        <v>16</v>
      </c>
      <c r="D1074" s="6">
        <v>4595198477.2270889</v>
      </c>
      <c r="E1074" s="6">
        <v>4417774477.2270889</v>
      </c>
      <c r="F1074" s="6">
        <v>90.519996643066406</v>
      </c>
      <c r="G1074" s="6">
        <v>89.739997863769531</v>
      </c>
      <c r="H1074" s="6">
        <v>42.900472342685504</v>
      </c>
      <c r="I1074" s="6">
        <v>0.16341380129538918</v>
      </c>
      <c r="J1074" s="6">
        <v>558514000</v>
      </c>
      <c r="K1074" s="6">
        <v>8.6734693877550981</v>
      </c>
      <c r="L1074" t="s">
        <v>6547</v>
      </c>
      <c r="M1074" t="s">
        <v>6548</v>
      </c>
      <c r="N1074" s="4" t="s">
        <v>10037</v>
      </c>
      <c r="O1074" s="4" t="s">
        <v>10038</v>
      </c>
      <c r="P1074" s="4" t="s">
        <v>233</v>
      </c>
    </row>
    <row r="1075" spans="1:16" x14ac:dyDescent="0.35">
      <c r="A1075" t="s">
        <v>10039</v>
      </c>
      <c r="B1075" t="s">
        <v>3771</v>
      </c>
      <c r="C1075" t="s">
        <v>16</v>
      </c>
      <c r="D1075" s="6">
        <v>172638464.6860995</v>
      </c>
      <c r="E1075" s="6">
        <v>133813464.6860995</v>
      </c>
      <c r="F1075" s="6">
        <v>3.4500000476837158</v>
      </c>
      <c r="G1075" s="6">
        <v>3.2799999713897705</v>
      </c>
      <c r="H1075" s="6" t="e">
        <v>#N/A</v>
      </c>
      <c r="I1075" s="6">
        <v>-0.39707056208507274</v>
      </c>
      <c r="J1075" s="6">
        <v>30278000</v>
      </c>
      <c r="K1075" s="6">
        <v>-38.686131386861298</v>
      </c>
      <c r="L1075" t="s">
        <v>17</v>
      </c>
      <c r="M1075" t="s">
        <v>87</v>
      </c>
      <c r="N1075" s="4" t="s">
        <v>3772</v>
      </c>
      <c r="O1075" s="4" t="s">
        <v>3773</v>
      </c>
      <c r="P1075" s="4" t="s">
        <v>233</v>
      </c>
    </row>
    <row r="1076" spans="1:16" x14ac:dyDescent="0.35">
      <c r="A1076" t="s">
        <v>10040</v>
      </c>
      <c r="B1076" t="s">
        <v>3087</v>
      </c>
      <c r="C1076" t="s">
        <v>16</v>
      </c>
      <c r="D1076" s="6">
        <v>757371289.52255642</v>
      </c>
      <c r="E1076" s="6">
        <v>870571289.52255642</v>
      </c>
      <c r="F1076" s="6">
        <v>16.479999542236328</v>
      </c>
      <c r="G1076" s="6">
        <v>16.409999847412109</v>
      </c>
      <c r="H1076" s="6">
        <v>25.53360200772876</v>
      </c>
      <c r="I1076" s="6">
        <v>-0.14838567614246567</v>
      </c>
      <c r="J1076" s="6">
        <v>681500000</v>
      </c>
      <c r="K1076" s="6">
        <v>571.42857142857179</v>
      </c>
      <c r="L1076" t="s">
        <v>17</v>
      </c>
      <c r="M1076" t="s">
        <v>27</v>
      </c>
      <c r="N1076" s="4" t="s">
        <v>3088</v>
      </c>
      <c r="O1076" s="4" t="s">
        <v>3089</v>
      </c>
      <c r="P1076" s="4" t="s">
        <v>233</v>
      </c>
    </row>
    <row r="1077" spans="1:16" x14ac:dyDescent="0.35">
      <c r="A1077" t="s">
        <v>10041</v>
      </c>
      <c r="B1077" t="s">
        <v>10042</v>
      </c>
      <c r="C1077" t="s">
        <v>16</v>
      </c>
      <c r="D1077" s="6">
        <v>414973795.33313936</v>
      </c>
      <c r="E1077" s="6">
        <v>565609795.33313942</v>
      </c>
      <c r="F1077" s="6">
        <v>16.899999618530273</v>
      </c>
      <c r="G1077" s="6">
        <v>16.440000534057617</v>
      </c>
      <c r="H1077" s="6">
        <v>15.818237790735262</v>
      </c>
      <c r="I1077" s="6">
        <v>-0.21815081264605851</v>
      </c>
      <c r="J1077" s="6">
        <v>1586842000</v>
      </c>
      <c r="K1077" s="6">
        <v>-84.93150684931507</v>
      </c>
      <c r="L1077" t="s">
        <v>6518</v>
      </c>
      <c r="M1077" t="s">
        <v>6714</v>
      </c>
      <c r="N1077" s="4" t="s">
        <v>10043</v>
      </c>
      <c r="O1077" s="4" t="s">
        <v>10044</v>
      </c>
      <c r="P1077" s="4" t="s">
        <v>233</v>
      </c>
    </row>
    <row r="1078" spans="1:16" x14ac:dyDescent="0.35">
      <c r="A1078" t="s">
        <v>10045</v>
      </c>
      <c r="B1078" t="s">
        <v>10046</v>
      </c>
      <c r="C1078" t="s">
        <v>16</v>
      </c>
      <c r="D1078" s="6">
        <v>4561425256.0479126</v>
      </c>
      <c r="E1078" s="6">
        <v>4608824256.0479126</v>
      </c>
      <c r="F1078" s="6">
        <v>99.839996337890625</v>
      </c>
      <c r="G1078" s="6">
        <v>100.23999786376953</v>
      </c>
      <c r="H1078" s="6">
        <v>25.225835242719242</v>
      </c>
      <c r="I1078" s="6">
        <v>8.4409573717063591E-3</v>
      </c>
      <c r="J1078" s="6">
        <v>2008566000</v>
      </c>
      <c r="K1078" s="6">
        <v>-4.5238095238095326</v>
      </c>
      <c r="L1078" t="s">
        <v>6547</v>
      </c>
      <c r="M1078" t="s">
        <v>6668</v>
      </c>
      <c r="N1078" s="4" t="s">
        <v>10047</v>
      </c>
      <c r="O1078" s="4" t="s">
        <v>10048</v>
      </c>
      <c r="P1078" s="4" t="s">
        <v>233</v>
      </c>
    </row>
    <row r="1079" spans="1:16" x14ac:dyDescent="0.35">
      <c r="A1079" t="s">
        <v>10049</v>
      </c>
      <c r="B1079" t="s">
        <v>10050</v>
      </c>
      <c r="C1079" t="s">
        <v>16</v>
      </c>
      <c r="D1079" s="6">
        <v>2654598380.5475578</v>
      </c>
      <c r="E1079" s="6" t="e">
        <v>#N/A</v>
      </c>
      <c r="F1079" s="6">
        <v>27.799999237060547</v>
      </c>
      <c r="G1079" s="6">
        <v>28.149999618530273</v>
      </c>
      <c r="H1079" s="6">
        <v>11.359930515250726</v>
      </c>
      <c r="I1079" s="6">
        <v>0.27497252851690646</v>
      </c>
      <c r="J1079" s="6">
        <v>1225663000</v>
      </c>
      <c r="K1079" s="6">
        <v>-11.029411764705891</v>
      </c>
      <c r="L1079" t="s">
        <v>6529</v>
      </c>
      <c r="M1079" t="s">
        <v>6530</v>
      </c>
      <c r="N1079" s="4" t="s">
        <v>10051</v>
      </c>
      <c r="O1079" s="4" t="s">
        <v>10052</v>
      </c>
      <c r="P1079" s="4" t="s">
        <v>233</v>
      </c>
    </row>
    <row r="1080" spans="1:16" x14ac:dyDescent="0.35">
      <c r="A1080" t="s">
        <v>10053</v>
      </c>
      <c r="B1080" t="s">
        <v>10054</v>
      </c>
      <c r="C1080" t="s">
        <v>16</v>
      </c>
      <c r="D1080" s="6">
        <v>3328204324.4038539</v>
      </c>
      <c r="E1080" s="6" t="e">
        <v>#N/A</v>
      </c>
      <c r="F1080" s="6">
        <v>20.309999465942383</v>
      </c>
      <c r="G1080" s="6">
        <v>20.700000762939453</v>
      </c>
      <c r="H1080" s="6">
        <v>11.19528214258324</v>
      </c>
      <c r="I1080" s="6">
        <v>0.23812577564638726</v>
      </c>
      <c r="J1080" s="6">
        <v>1225875000</v>
      </c>
      <c r="K1080" s="6">
        <v>5.813953488372098</v>
      </c>
      <c r="L1080" t="s">
        <v>6529</v>
      </c>
      <c r="M1080" t="s">
        <v>6530</v>
      </c>
      <c r="N1080" s="4" t="s">
        <v>10055</v>
      </c>
      <c r="O1080" s="4" t="s">
        <v>10056</v>
      </c>
      <c r="P1080" s="4" t="s">
        <v>233</v>
      </c>
    </row>
    <row r="1081" spans="1:16" x14ac:dyDescent="0.35">
      <c r="A1081" t="s">
        <v>10057</v>
      </c>
      <c r="B1081" t="s">
        <v>10058</v>
      </c>
      <c r="C1081" t="s">
        <v>16</v>
      </c>
      <c r="D1081" s="6">
        <v>7594913629.6463022</v>
      </c>
      <c r="E1081" s="6" t="e">
        <v>#N/A</v>
      </c>
      <c r="F1081" s="6">
        <v>23.809999465942383</v>
      </c>
      <c r="G1081" s="6">
        <v>23.920000076293945</v>
      </c>
      <c r="H1081" s="6">
        <v>13.332190755008744</v>
      </c>
      <c r="I1081" s="6">
        <v>0.50056775547265309</v>
      </c>
      <c r="J1081" s="6">
        <v>2956348000</v>
      </c>
      <c r="K1081" s="6">
        <v>-13.846153846153847</v>
      </c>
      <c r="L1081" t="s">
        <v>6529</v>
      </c>
      <c r="M1081" t="s">
        <v>6530</v>
      </c>
      <c r="N1081" s="4" t="s">
        <v>10059</v>
      </c>
      <c r="O1081" s="4" t="s">
        <v>10060</v>
      </c>
      <c r="P1081" s="4" t="s">
        <v>233</v>
      </c>
    </row>
    <row r="1082" spans="1:16" x14ac:dyDescent="0.35">
      <c r="A1082" t="s">
        <v>10061</v>
      </c>
      <c r="B1082" t="s">
        <v>10062</v>
      </c>
      <c r="C1082" t="s">
        <v>16</v>
      </c>
      <c r="D1082" s="6">
        <v>3363299923.288362</v>
      </c>
      <c r="E1082" s="6">
        <v>9015299923.2883625</v>
      </c>
      <c r="F1082" s="6">
        <v>16.649999618530273</v>
      </c>
      <c r="G1082" s="6">
        <v>16.590000152587891</v>
      </c>
      <c r="H1082" s="6">
        <v>34.930337824690135</v>
      </c>
      <c r="I1082" s="6">
        <v>-0.35803904664943953</v>
      </c>
      <c r="J1082" s="6">
        <v>3833000000</v>
      </c>
      <c r="K1082" s="6">
        <v>-62.000000000000007</v>
      </c>
      <c r="L1082" t="s">
        <v>6540</v>
      </c>
      <c r="M1082" t="s">
        <v>6825</v>
      </c>
      <c r="N1082" s="4" t="s">
        <v>233</v>
      </c>
      <c r="O1082" s="4" t="s">
        <v>10063</v>
      </c>
      <c r="P1082" s="4" t="s">
        <v>13241</v>
      </c>
    </row>
    <row r="1083" spans="1:16" x14ac:dyDescent="0.35">
      <c r="A1083" t="s">
        <v>10064</v>
      </c>
      <c r="B1083" t="s">
        <v>10065</v>
      </c>
      <c r="C1083" t="s">
        <v>16</v>
      </c>
      <c r="D1083" s="6">
        <v>4033989570.3124695</v>
      </c>
      <c r="E1083" s="6">
        <v>4422525570.3124695</v>
      </c>
      <c r="F1083" s="6">
        <v>131.86000061035156</v>
      </c>
      <c r="G1083" s="6">
        <v>129.08000183105469</v>
      </c>
      <c r="H1083" s="6">
        <v>23.31955027724932</v>
      </c>
      <c r="I1083" s="6">
        <v>0.48330677941833722</v>
      </c>
      <c r="J1083" s="6">
        <v>1845814000</v>
      </c>
      <c r="K1083" s="6">
        <v>4.0366972477064174</v>
      </c>
      <c r="L1083" t="s">
        <v>6540</v>
      </c>
      <c r="M1083" t="s">
        <v>6541</v>
      </c>
      <c r="N1083" s="4" t="s">
        <v>10066</v>
      </c>
      <c r="O1083" s="4" t="s">
        <v>10067</v>
      </c>
      <c r="P1083" s="4" t="s">
        <v>233</v>
      </c>
    </row>
    <row r="1084" spans="1:16" x14ac:dyDescent="0.35">
      <c r="A1084" t="s">
        <v>10068</v>
      </c>
      <c r="B1084" t="s">
        <v>3932</v>
      </c>
      <c r="C1084" t="s">
        <v>16</v>
      </c>
      <c r="D1084" s="6">
        <v>1062033827.0521193</v>
      </c>
      <c r="E1084" s="6">
        <v>717234827.05211926</v>
      </c>
      <c r="F1084" s="6">
        <v>13.789999961853027</v>
      </c>
      <c r="G1084" s="6">
        <v>12.359999656677246</v>
      </c>
      <c r="H1084" s="6" t="e">
        <v>#N/A</v>
      </c>
      <c r="I1084" s="6">
        <v>0.73198286949123426</v>
      </c>
      <c r="J1084" s="6">
        <v>0</v>
      </c>
      <c r="K1084" s="6">
        <v>2.8423539995142013</v>
      </c>
      <c r="L1084" t="s">
        <v>17</v>
      </c>
      <c r="M1084" t="s">
        <v>18</v>
      </c>
      <c r="N1084" s="4" t="s">
        <v>3933</v>
      </c>
      <c r="O1084" s="4" t="s">
        <v>3934</v>
      </c>
      <c r="P1084" s="4" t="s">
        <v>233</v>
      </c>
    </row>
    <row r="1085" spans="1:16" x14ac:dyDescent="0.35">
      <c r="A1085" t="s">
        <v>10069</v>
      </c>
      <c r="B1085" t="s">
        <v>10070</v>
      </c>
      <c r="C1085" t="s">
        <v>16</v>
      </c>
      <c r="D1085" s="6">
        <v>3247702270.8276134</v>
      </c>
      <c r="E1085" s="6">
        <v>5152279270.8276129</v>
      </c>
      <c r="F1085" s="6">
        <v>59.400001525878906</v>
      </c>
      <c r="G1085" s="6">
        <v>59.580001831054688</v>
      </c>
      <c r="H1085" s="6">
        <v>15.517448515087038</v>
      </c>
      <c r="I1085" s="6">
        <v>-0.23336191317812549</v>
      </c>
      <c r="J1085" s="6">
        <v>3568736000</v>
      </c>
      <c r="K1085" s="6">
        <v>-11.235955056179769</v>
      </c>
      <c r="L1085" t="s">
        <v>6563</v>
      </c>
      <c r="M1085" t="s">
        <v>6764</v>
      </c>
      <c r="N1085" s="4" t="s">
        <v>10071</v>
      </c>
      <c r="O1085" s="4" t="s">
        <v>10072</v>
      </c>
      <c r="P1085" s="4" t="s">
        <v>233</v>
      </c>
    </row>
    <row r="1086" spans="1:16" x14ac:dyDescent="0.35">
      <c r="A1086" t="s">
        <v>10073</v>
      </c>
      <c r="B1086" t="s">
        <v>10074</v>
      </c>
      <c r="C1086" t="s">
        <v>16</v>
      </c>
      <c r="D1086" s="6">
        <v>3711498630.8904877</v>
      </c>
      <c r="E1086" s="6" t="e">
        <v>#N/A</v>
      </c>
      <c r="F1086" s="6">
        <v>20.389999389648438</v>
      </c>
      <c r="G1086" s="6">
        <v>20.579999923706055</v>
      </c>
      <c r="H1086" s="6">
        <v>12.966448369272531</v>
      </c>
      <c r="I1086" s="6">
        <v>0.37033540098843143</v>
      </c>
      <c r="J1086" s="6">
        <v>1857927000</v>
      </c>
      <c r="K1086" s="6">
        <v>-4.2168674698795083</v>
      </c>
      <c r="L1086" t="s">
        <v>6529</v>
      </c>
      <c r="M1086" t="s">
        <v>6530</v>
      </c>
      <c r="N1086" s="4" t="s">
        <v>10075</v>
      </c>
      <c r="O1086" s="4" t="s">
        <v>10076</v>
      </c>
      <c r="P1086" s="4" t="s">
        <v>233</v>
      </c>
    </row>
    <row r="1087" spans="1:16" x14ac:dyDescent="0.35">
      <c r="A1087" t="s">
        <v>10077</v>
      </c>
      <c r="B1087" t="s">
        <v>10078</v>
      </c>
      <c r="C1087" t="s">
        <v>16</v>
      </c>
      <c r="D1087" s="6">
        <v>794092154.44907176</v>
      </c>
      <c r="E1087" s="6">
        <v>715343154.44907176</v>
      </c>
      <c r="F1087" s="6">
        <v>21.260000228881836</v>
      </c>
      <c r="G1087" s="6">
        <v>21.049999237060547</v>
      </c>
      <c r="H1087" s="6">
        <v>62.619473975458334</v>
      </c>
      <c r="I1087" s="6">
        <v>0.3634115555012809</v>
      </c>
      <c r="J1087" s="6">
        <v>408440000</v>
      </c>
      <c r="K1087" s="6" t="e">
        <v>#N/A</v>
      </c>
      <c r="L1087" t="s">
        <v>6514</v>
      </c>
      <c r="M1087" t="s">
        <v>6578</v>
      </c>
      <c r="N1087" s="4" t="s">
        <v>10079</v>
      </c>
      <c r="O1087" s="4" t="s">
        <v>10080</v>
      </c>
      <c r="P1087" s="4" t="s">
        <v>233</v>
      </c>
    </row>
    <row r="1088" spans="1:16" x14ac:dyDescent="0.35">
      <c r="A1088" t="s">
        <v>10081</v>
      </c>
      <c r="B1088" t="s">
        <v>3306</v>
      </c>
      <c r="C1088" t="s">
        <v>16</v>
      </c>
      <c r="D1088" s="6">
        <v>412062183.8412838</v>
      </c>
      <c r="E1088" s="6">
        <v>391160183.8412838</v>
      </c>
      <c r="F1088" s="6">
        <v>7.7199997901916504</v>
      </c>
      <c r="G1088" s="6">
        <v>7.440000057220459</v>
      </c>
      <c r="H1088" s="6" t="e">
        <v>#N/A</v>
      </c>
      <c r="I1088" s="6">
        <v>0.26269525371434166</v>
      </c>
      <c r="J1088" s="6">
        <v>24786000</v>
      </c>
      <c r="K1088" s="6">
        <v>-79.704387279783901</v>
      </c>
      <c r="L1088" t="s">
        <v>17</v>
      </c>
      <c r="M1088" t="s">
        <v>87</v>
      </c>
      <c r="N1088" s="4" t="s">
        <v>3307</v>
      </c>
      <c r="O1088" s="4" t="s">
        <v>3308</v>
      </c>
      <c r="P1088" s="4" t="s">
        <v>233</v>
      </c>
    </row>
    <row r="1089" spans="1:16" x14ac:dyDescent="0.35">
      <c r="A1089" t="s">
        <v>10082</v>
      </c>
      <c r="B1089" t="s">
        <v>10083</v>
      </c>
      <c r="C1089" t="s">
        <v>16</v>
      </c>
      <c r="D1089" s="6">
        <v>3789003934.0200119</v>
      </c>
      <c r="E1089" s="6">
        <v>4188693934.0200119</v>
      </c>
      <c r="F1089" s="6">
        <v>86.680000305175781</v>
      </c>
      <c r="G1089" s="6">
        <v>85.720001220703125</v>
      </c>
      <c r="H1089" s="6">
        <v>35.09769302118567</v>
      </c>
      <c r="I1089" s="6">
        <v>0.79478944551789432</v>
      </c>
      <c r="J1089" s="6">
        <v>3963969000</v>
      </c>
      <c r="K1089" s="6">
        <v>185.3932584269663</v>
      </c>
      <c r="L1089" t="s">
        <v>6547</v>
      </c>
      <c r="M1089" t="s">
        <v>6651</v>
      </c>
      <c r="N1089" s="4" t="s">
        <v>10084</v>
      </c>
      <c r="O1089" s="4" t="s">
        <v>10085</v>
      </c>
      <c r="P1089" s="4" t="s">
        <v>233</v>
      </c>
    </row>
    <row r="1090" spans="1:16" x14ac:dyDescent="0.35">
      <c r="A1090" t="s">
        <v>10086</v>
      </c>
      <c r="B1090" t="s">
        <v>10087</v>
      </c>
      <c r="C1090" t="s">
        <v>16</v>
      </c>
      <c r="D1090" s="6">
        <v>426067818</v>
      </c>
      <c r="E1090" s="6">
        <v>965495818</v>
      </c>
      <c r="F1090" s="6">
        <v>38</v>
      </c>
      <c r="G1090" s="6">
        <v>38.080001831054688</v>
      </c>
      <c r="H1090" s="6">
        <v>155.57384230544048</v>
      </c>
      <c r="I1090" s="6">
        <v>0.19028108839086211</v>
      </c>
      <c r="J1090" s="6">
        <v>2318063000</v>
      </c>
      <c r="K1090" s="6">
        <v>-506.00000000000006</v>
      </c>
      <c r="L1090" t="s">
        <v>6540</v>
      </c>
      <c r="M1090" t="s">
        <v>6541</v>
      </c>
      <c r="N1090" s="4" t="s">
        <v>10088</v>
      </c>
      <c r="O1090" s="4" t="s">
        <v>10089</v>
      </c>
      <c r="P1090" s="4" t="s">
        <v>233</v>
      </c>
    </row>
    <row r="1091" spans="1:16" x14ac:dyDescent="0.35">
      <c r="A1091" t="s">
        <v>10090</v>
      </c>
      <c r="B1091" t="s">
        <v>10091</v>
      </c>
      <c r="C1091" t="s">
        <v>16</v>
      </c>
      <c r="D1091" s="6">
        <v>380078139.31264585</v>
      </c>
      <c r="E1091" s="6">
        <v>343296139.31264585</v>
      </c>
      <c r="F1091" s="6">
        <v>9.4600000381469727</v>
      </c>
      <c r="G1091" s="6">
        <v>9.2899999618530273</v>
      </c>
      <c r="H1091" s="6" t="e">
        <v>#N/A</v>
      </c>
      <c r="I1091" s="6">
        <v>0.37380414913064097</v>
      </c>
      <c r="J1091" s="6">
        <v>53666000</v>
      </c>
      <c r="K1091" s="6">
        <v>-22.619047619047628</v>
      </c>
      <c r="L1091" t="s">
        <v>6518</v>
      </c>
      <c r="M1091" t="s">
        <v>6519</v>
      </c>
      <c r="N1091" s="4" t="s">
        <v>10092</v>
      </c>
      <c r="O1091" s="4" t="s">
        <v>10093</v>
      </c>
      <c r="P1091" s="4" t="s">
        <v>233</v>
      </c>
    </row>
    <row r="1092" spans="1:16" x14ac:dyDescent="0.35">
      <c r="A1092" t="s">
        <v>10094</v>
      </c>
      <c r="B1092" t="s">
        <v>10095</v>
      </c>
      <c r="C1092" t="s">
        <v>16</v>
      </c>
      <c r="D1092" s="6">
        <v>1635701389.7402153</v>
      </c>
      <c r="E1092" s="6">
        <v>1447934389.7402153</v>
      </c>
      <c r="F1092" s="6">
        <v>25.950000762939453</v>
      </c>
      <c r="G1092" s="6">
        <v>23.5</v>
      </c>
      <c r="H1092" s="6">
        <v>134.13972635982248</v>
      </c>
      <c r="I1092" s="6">
        <v>1.9944609219911795</v>
      </c>
      <c r="J1092" s="6">
        <v>263587000</v>
      </c>
      <c r="K1092" s="6" t="e">
        <v>#N/A</v>
      </c>
      <c r="L1092" t="s">
        <v>6518</v>
      </c>
      <c r="M1092" t="s">
        <v>6519</v>
      </c>
      <c r="N1092" s="4" t="s">
        <v>10096</v>
      </c>
      <c r="O1092" s="4" t="s">
        <v>10097</v>
      </c>
      <c r="P1092" s="4" t="s">
        <v>233</v>
      </c>
    </row>
    <row r="1093" spans="1:16" x14ac:dyDescent="0.35">
      <c r="A1093" t="s">
        <v>10098</v>
      </c>
      <c r="B1093" t="s">
        <v>4064</v>
      </c>
      <c r="C1093" t="s">
        <v>16</v>
      </c>
      <c r="D1093" s="6">
        <v>160609470.79906285</v>
      </c>
      <c r="E1093" s="6">
        <v>-261953529.20093715</v>
      </c>
      <c r="F1093" s="6">
        <v>1.6399999856948853</v>
      </c>
      <c r="G1093" s="6">
        <v>1.5700000524520874</v>
      </c>
      <c r="H1093" s="6" t="e">
        <v>#N/A</v>
      </c>
      <c r="I1093" s="6">
        <v>-0.74751594083836892</v>
      </c>
      <c r="J1093" s="6">
        <v>61508000</v>
      </c>
      <c r="K1093" s="6">
        <v>-0.59171597633136153</v>
      </c>
      <c r="L1093" t="s">
        <v>17</v>
      </c>
      <c r="M1093" t="s">
        <v>18</v>
      </c>
      <c r="N1093" s="4" t="s">
        <v>4065</v>
      </c>
      <c r="O1093" s="4" t="s">
        <v>4066</v>
      </c>
      <c r="P1093" s="4" t="s">
        <v>233</v>
      </c>
    </row>
    <row r="1094" spans="1:16" x14ac:dyDescent="0.35">
      <c r="A1094" t="s">
        <v>10099</v>
      </c>
      <c r="B1094" t="s">
        <v>10100</v>
      </c>
      <c r="C1094" t="s">
        <v>16</v>
      </c>
      <c r="D1094" s="6">
        <v>357310091.34641373</v>
      </c>
      <c r="E1094" s="6">
        <v>458351091.34641373</v>
      </c>
      <c r="F1094" s="6">
        <v>21.739999771118164</v>
      </c>
      <c r="G1094" s="6">
        <v>21.920000076293945</v>
      </c>
      <c r="H1094" s="6">
        <v>13.54717162043128</v>
      </c>
      <c r="I1094" s="6">
        <v>-0.37490356902890187</v>
      </c>
      <c r="J1094" s="6">
        <v>749290000</v>
      </c>
      <c r="K1094" s="6">
        <v>-58.867317887668165</v>
      </c>
      <c r="L1094" t="s">
        <v>6540</v>
      </c>
      <c r="M1094" t="s">
        <v>6541</v>
      </c>
      <c r="N1094" s="4" t="s">
        <v>10101</v>
      </c>
      <c r="O1094" s="4" t="s">
        <v>10102</v>
      </c>
      <c r="P1094" s="4" t="s">
        <v>233</v>
      </c>
    </row>
    <row r="1095" spans="1:16" x14ac:dyDescent="0.35">
      <c r="A1095" t="s">
        <v>10103</v>
      </c>
      <c r="B1095" t="s">
        <v>10104</v>
      </c>
      <c r="C1095" t="s">
        <v>16</v>
      </c>
      <c r="D1095" s="6">
        <v>5086166671.8823233</v>
      </c>
      <c r="E1095" s="6" t="e">
        <v>#N/A</v>
      </c>
      <c r="F1095" s="6">
        <v>59.099998474121094</v>
      </c>
      <c r="G1095" s="6">
        <v>59.400001525878906</v>
      </c>
      <c r="H1095" s="6">
        <v>11.112694471993018</v>
      </c>
      <c r="I1095" s="6">
        <v>0.37656190479470286</v>
      </c>
      <c r="J1095" s="6">
        <v>2057120000</v>
      </c>
      <c r="K1095" s="6">
        <v>18.638558758314861</v>
      </c>
      <c r="L1095" t="s">
        <v>6529</v>
      </c>
      <c r="M1095" t="s">
        <v>6530</v>
      </c>
      <c r="N1095" s="4" t="s">
        <v>10105</v>
      </c>
      <c r="O1095" s="4" t="s">
        <v>10106</v>
      </c>
      <c r="P1095" s="4" t="s">
        <v>233</v>
      </c>
    </row>
    <row r="1096" spans="1:16" x14ac:dyDescent="0.35">
      <c r="A1096" t="s">
        <v>10107</v>
      </c>
      <c r="B1096" t="s">
        <v>2745</v>
      </c>
      <c r="C1096" t="s">
        <v>16</v>
      </c>
      <c r="D1096" s="6">
        <v>360863545.64445877</v>
      </c>
      <c r="E1096" s="6">
        <v>377532545.64445877</v>
      </c>
      <c r="F1096" s="6">
        <v>12.090000152587891</v>
      </c>
      <c r="G1096" s="6">
        <v>12.079999923706055</v>
      </c>
      <c r="H1096" s="6" t="e">
        <v>#N/A</v>
      </c>
      <c r="I1096" s="6">
        <v>-0.24426730353376902</v>
      </c>
      <c r="J1096" s="6">
        <v>76452000</v>
      </c>
      <c r="K1096" s="6">
        <v>33.333333333333336</v>
      </c>
      <c r="L1096" t="s">
        <v>17</v>
      </c>
      <c r="M1096" t="s">
        <v>27</v>
      </c>
      <c r="N1096" s="4" t="s">
        <v>2746</v>
      </c>
      <c r="O1096" s="4" t="s">
        <v>2747</v>
      </c>
      <c r="P1096" s="4" t="s">
        <v>233</v>
      </c>
    </row>
    <row r="1097" spans="1:16" x14ac:dyDescent="0.35">
      <c r="A1097" t="s">
        <v>10108</v>
      </c>
      <c r="B1097" t="s">
        <v>10109</v>
      </c>
      <c r="C1097" t="s">
        <v>16</v>
      </c>
      <c r="D1097" s="6">
        <v>784947223.26583195</v>
      </c>
      <c r="E1097" s="6">
        <v>660564223.26583195</v>
      </c>
      <c r="F1097" s="6">
        <v>10.710000038146973</v>
      </c>
      <c r="G1097" s="6">
        <v>10.020000457763672</v>
      </c>
      <c r="H1097" s="6">
        <v>20.207547241786738</v>
      </c>
      <c r="I1097" s="6">
        <v>0.10382494241133533</v>
      </c>
      <c r="J1097" s="6">
        <v>1715682000</v>
      </c>
      <c r="K1097" s="6">
        <v>3.8461538461538494</v>
      </c>
      <c r="L1097" t="s">
        <v>6547</v>
      </c>
      <c r="M1097" t="s">
        <v>6802</v>
      </c>
      <c r="N1097" s="4" t="s">
        <v>10110</v>
      </c>
      <c r="O1097" s="4" t="s">
        <v>10111</v>
      </c>
      <c r="P1097" s="4" t="s">
        <v>233</v>
      </c>
    </row>
    <row r="1098" spans="1:16" x14ac:dyDescent="0.35">
      <c r="A1098" t="s">
        <v>10112</v>
      </c>
      <c r="B1098" t="s">
        <v>10113</v>
      </c>
      <c r="C1098" t="s">
        <v>16</v>
      </c>
      <c r="D1098" s="6">
        <v>1270550534.497509</v>
      </c>
      <c r="E1098" s="6">
        <v>2004504534.497509</v>
      </c>
      <c r="F1098" s="6">
        <v>55.590000152587891</v>
      </c>
      <c r="G1098" s="6">
        <v>56.090000152587891</v>
      </c>
      <c r="H1098" s="6">
        <v>9.8477173637077673</v>
      </c>
      <c r="I1098" s="6">
        <v>-0.54507524277503605</v>
      </c>
      <c r="J1098" s="6">
        <v>1910975000</v>
      </c>
      <c r="K1098" s="6">
        <v>-26.696165191740413</v>
      </c>
      <c r="L1098" t="s">
        <v>6540</v>
      </c>
      <c r="M1098" t="s">
        <v>6797</v>
      </c>
      <c r="N1098" s="4" t="s">
        <v>233</v>
      </c>
      <c r="O1098" s="4" t="s">
        <v>10114</v>
      </c>
      <c r="P1098" s="4" t="s">
        <v>13242</v>
      </c>
    </row>
    <row r="1099" spans="1:16" x14ac:dyDescent="0.35">
      <c r="A1099" t="s">
        <v>10115</v>
      </c>
      <c r="B1099" t="s">
        <v>10116</v>
      </c>
      <c r="C1099" t="s">
        <v>16</v>
      </c>
      <c r="D1099" s="6">
        <v>887013402.97206879</v>
      </c>
      <c r="E1099" s="6">
        <v>1082815402.9720688</v>
      </c>
      <c r="F1099" s="6">
        <v>11.300000190734863</v>
      </c>
      <c r="G1099" s="6">
        <v>11.279999732971191</v>
      </c>
      <c r="H1099" s="6" t="e">
        <v>#N/A</v>
      </c>
      <c r="I1099" s="6">
        <v>-0.14029382254432221</v>
      </c>
      <c r="J1099" s="6">
        <v>1047511000</v>
      </c>
      <c r="K1099" s="6" t="e">
        <v>#N/A</v>
      </c>
      <c r="L1099" t="s">
        <v>6547</v>
      </c>
      <c r="M1099" t="s">
        <v>7792</v>
      </c>
      <c r="N1099" s="4" t="s">
        <v>10117</v>
      </c>
      <c r="O1099" s="4" t="s">
        <v>10118</v>
      </c>
      <c r="P1099" s="4" t="s">
        <v>233</v>
      </c>
    </row>
    <row r="1100" spans="1:16" x14ac:dyDescent="0.35">
      <c r="A1100" t="s">
        <v>10119</v>
      </c>
      <c r="B1100" t="s">
        <v>10120</v>
      </c>
      <c r="C1100" t="s">
        <v>16</v>
      </c>
      <c r="D1100" s="6">
        <v>3324318974.0421295</v>
      </c>
      <c r="E1100" s="6">
        <v>3647986974.0421295</v>
      </c>
      <c r="F1100" s="6">
        <v>35.520000457763672</v>
      </c>
      <c r="G1100" s="6">
        <v>35</v>
      </c>
      <c r="H1100" s="6">
        <v>7.3011186122949185</v>
      </c>
      <c r="I1100" s="6">
        <v>-1.6022925435842272E-2</v>
      </c>
      <c r="J1100" s="6">
        <v>4481047000</v>
      </c>
      <c r="K1100" s="6">
        <v>17.675544794188852</v>
      </c>
      <c r="L1100" t="s">
        <v>6540</v>
      </c>
      <c r="M1100" t="s">
        <v>6797</v>
      </c>
      <c r="N1100" s="4" t="s">
        <v>10121</v>
      </c>
      <c r="O1100" s="4" t="s">
        <v>10122</v>
      </c>
      <c r="P1100" s="4" t="s">
        <v>233</v>
      </c>
    </row>
    <row r="1101" spans="1:16" x14ac:dyDescent="0.35">
      <c r="A1101" t="s">
        <v>10123</v>
      </c>
      <c r="B1101" t="s">
        <v>10124</v>
      </c>
      <c r="C1101" t="s">
        <v>16</v>
      </c>
      <c r="D1101" s="6">
        <v>2303446129.1437988</v>
      </c>
      <c r="E1101" s="6">
        <v>2419551129.1437988</v>
      </c>
      <c r="F1101" s="6">
        <v>110.05999755859375</v>
      </c>
      <c r="G1101" s="6">
        <v>110.5</v>
      </c>
      <c r="H1101" s="6">
        <v>27.973164863659097</v>
      </c>
      <c r="I1101" s="6">
        <v>0.69994094872534141</v>
      </c>
      <c r="J1101" s="6">
        <v>952133000</v>
      </c>
      <c r="K1101" s="6">
        <v>12.25071225071223</v>
      </c>
      <c r="L1101" t="s">
        <v>6563</v>
      </c>
      <c r="M1101" t="s">
        <v>6764</v>
      </c>
      <c r="N1101" s="4" t="s">
        <v>10125</v>
      </c>
      <c r="O1101" s="4" t="s">
        <v>10126</v>
      </c>
      <c r="P1101" s="4" t="s">
        <v>233</v>
      </c>
    </row>
    <row r="1102" spans="1:16" x14ac:dyDescent="0.35">
      <c r="A1102" t="s">
        <v>10127</v>
      </c>
      <c r="B1102" t="s">
        <v>10128</v>
      </c>
      <c r="C1102" t="s">
        <v>16</v>
      </c>
      <c r="D1102" s="6">
        <v>341445649.4796409</v>
      </c>
      <c r="E1102" s="6">
        <v>174909649.4796409</v>
      </c>
      <c r="F1102" s="6">
        <v>6.9899997711181641</v>
      </c>
      <c r="G1102" s="6">
        <v>6.9099998474121094</v>
      </c>
      <c r="H1102" s="6">
        <v>4.757380249533222</v>
      </c>
      <c r="I1102" s="6">
        <v>0.51593117004215827</v>
      </c>
      <c r="J1102" s="6">
        <v>150725000</v>
      </c>
      <c r="K1102" s="6" t="e">
        <v>#N/A</v>
      </c>
      <c r="L1102" t="s">
        <v>6547</v>
      </c>
      <c r="M1102" t="s">
        <v>6802</v>
      </c>
      <c r="N1102" s="4" t="s">
        <v>10129</v>
      </c>
      <c r="O1102" s="4" t="s">
        <v>10130</v>
      </c>
      <c r="P1102" s="4" t="s">
        <v>233</v>
      </c>
    </row>
    <row r="1103" spans="1:16" x14ac:dyDescent="0.35">
      <c r="A1103" t="s">
        <v>10131</v>
      </c>
      <c r="B1103" t="s">
        <v>192</v>
      </c>
      <c r="C1103" t="s">
        <v>16</v>
      </c>
      <c r="D1103" s="6">
        <v>3842560765.8160396</v>
      </c>
      <c r="E1103" s="6">
        <v>5190091765.81604</v>
      </c>
      <c r="F1103" s="6">
        <v>156.94000244140625</v>
      </c>
      <c r="G1103" s="6">
        <v>155.25</v>
      </c>
      <c r="H1103" s="6" t="e">
        <v>#N/A</v>
      </c>
      <c r="I1103" s="6">
        <v>0.5070538872794661</v>
      </c>
      <c r="J1103" s="6">
        <v>2340097000</v>
      </c>
      <c r="K1103" s="6">
        <v>-290.59829059829065</v>
      </c>
      <c r="L1103" t="s">
        <v>17</v>
      </c>
      <c r="M1103" t="s">
        <v>27</v>
      </c>
      <c r="N1103" s="4" t="s">
        <v>193</v>
      </c>
      <c r="O1103" s="4" t="s">
        <v>194</v>
      </c>
      <c r="P1103" s="4" t="s">
        <v>233</v>
      </c>
    </row>
    <row r="1104" spans="1:16" x14ac:dyDescent="0.35">
      <c r="A1104" t="s">
        <v>10132</v>
      </c>
      <c r="B1104" t="s">
        <v>10133</v>
      </c>
      <c r="C1104" t="s">
        <v>16</v>
      </c>
      <c r="D1104" s="6">
        <v>1294339320.6820946</v>
      </c>
      <c r="E1104" s="6">
        <v>1610339320.6820946</v>
      </c>
      <c r="F1104" s="6">
        <v>22.200000762939453</v>
      </c>
      <c r="G1104" s="6">
        <v>22.239999771118164</v>
      </c>
      <c r="H1104" s="6">
        <v>14.862084389147904</v>
      </c>
      <c r="I1104" s="6">
        <v>0.64202134835201252</v>
      </c>
      <c r="J1104" s="6">
        <v>1305766000</v>
      </c>
      <c r="K1104" s="6">
        <v>14499.999999999909</v>
      </c>
      <c r="L1104" t="s">
        <v>6547</v>
      </c>
      <c r="M1104" t="s">
        <v>6802</v>
      </c>
      <c r="N1104" s="4" t="s">
        <v>10134</v>
      </c>
      <c r="O1104" s="4" t="s">
        <v>10135</v>
      </c>
      <c r="P1104" s="4" t="s">
        <v>233</v>
      </c>
    </row>
    <row r="1105" spans="1:16" x14ac:dyDescent="0.35">
      <c r="A1105" t="s">
        <v>10136</v>
      </c>
      <c r="B1105" t="s">
        <v>10137</v>
      </c>
      <c r="C1105" t="s">
        <v>16</v>
      </c>
      <c r="D1105" s="6">
        <v>401897037.58570862</v>
      </c>
      <c r="E1105" s="6">
        <v>1793184037.5857086</v>
      </c>
      <c r="F1105" s="6">
        <v>26.360000610351563</v>
      </c>
      <c r="G1105" s="6">
        <v>26.790000915527344</v>
      </c>
      <c r="H1105" s="6">
        <v>5.1637604732855849</v>
      </c>
      <c r="I1105" s="6">
        <v>-0.3988105203948763</v>
      </c>
      <c r="J1105" s="6">
        <v>813838000</v>
      </c>
      <c r="K1105" s="6">
        <v>24.688796680497937</v>
      </c>
      <c r="L1105" t="s">
        <v>6540</v>
      </c>
      <c r="M1105" t="s">
        <v>6825</v>
      </c>
      <c r="N1105" s="4" t="s">
        <v>10138</v>
      </c>
      <c r="O1105" s="4" t="s">
        <v>10139</v>
      </c>
      <c r="P1105" s="4" t="s">
        <v>233</v>
      </c>
    </row>
    <row r="1106" spans="1:16" x14ac:dyDescent="0.35">
      <c r="A1106" t="s">
        <v>10140</v>
      </c>
      <c r="B1106" t="s">
        <v>10141</v>
      </c>
      <c r="C1106" t="s">
        <v>16</v>
      </c>
      <c r="D1106" s="6">
        <v>2921378968.75</v>
      </c>
      <c r="E1106" s="6" t="e">
        <v>#N/A</v>
      </c>
      <c r="F1106" s="6">
        <v>68.75</v>
      </c>
      <c r="G1106" s="6">
        <v>69.05999755859375</v>
      </c>
      <c r="H1106" s="6">
        <v>15.104007845735683</v>
      </c>
      <c r="I1106" s="6">
        <v>0.31807813517953964</v>
      </c>
      <c r="J1106" s="6">
        <v>980767000</v>
      </c>
      <c r="K1106" s="6">
        <v>-16.605166051660522</v>
      </c>
      <c r="L1106" t="s">
        <v>6529</v>
      </c>
      <c r="M1106" t="s">
        <v>6530</v>
      </c>
      <c r="N1106" s="4" t="s">
        <v>10142</v>
      </c>
      <c r="O1106" s="4" t="s">
        <v>10143</v>
      </c>
      <c r="P1106" s="4" t="s">
        <v>233</v>
      </c>
    </row>
    <row r="1107" spans="1:16" x14ac:dyDescent="0.35">
      <c r="A1107" t="s">
        <v>10144</v>
      </c>
      <c r="B1107" t="s">
        <v>10145</v>
      </c>
      <c r="C1107" t="s">
        <v>16</v>
      </c>
      <c r="D1107" s="6">
        <v>1292834861.5440216</v>
      </c>
      <c r="E1107" s="6" t="e">
        <v>#N/A</v>
      </c>
      <c r="F1107" s="6">
        <v>76.639999389648438</v>
      </c>
      <c r="G1107" s="6">
        <v>76.550003051757813</v>
      </c>
      <c r="H1107" s="6">
        <v>11.2269499815714</v>
      </c>
      <c r="I1107" s="6">
        <v>0.30124056218110207</v>
      </c>
      <c r="J1107" s="6">
        <v>597386000</v>
      </c>
      <c r="K1107" s="6">
        <v>-0.29455081001473432</v>
      </c>
      <c r="L1107" t="s">
        <v>6529</v>
      </c>
      <c r="M1107" t="s">
        <v>6530</v>
      </c>
      <c r="N1107" s="4" t="s">
        <v>10146</v>
      </c>
      <c r="O1107" s="4" t="s">
        <v>10147</v>
      </c>
      <c r="P1107" s="4" t="s">
        <v>233</v>
      </c>
    </row>
    <row r="1108" spans="1:16" x14ac:dyDescent="0.35">
      <c r="A1108" t="s">
        <v>10148</v>
      </c>
      <c r="B1108" t="s">
        <v>10149</v>
      </c>
      <c r="C1108" t="s">
        <v>16</v>
      </c>
      <c r="D1108" s="6">
        <v>2992602821.6307831</v>
      </c>
      <c r="E1108" s="6">
        <v>3357312821.6307831</v>
      </c>
      <c r="F1108" s="6">
        <v>19.860000610351563</v>
      </c>
      <c r="G1108" s="6">
        <v>19.549999237060547</v>
      </c>
      <c r="H1108" s="6">
        <v>11.982334570392633</v>
      </c>
      <c r="I1108" s="6">
        <v>0.4972114902575071</v>
      </c>
      <c r="J1108" s="6">
        <v>1552648000</v>
      </c>
      <c r="K1108" s="6">
        <v>147.23776878385721</v>
      </c>
      <c r="L1108" t="s">
        <v>6540</v>
      </c>
      <c r="M1108" t="s">
        <v>6838</v>
      </c>
      <c r="N1108" s="4" t="s">
        <v>10150</v>
      </c>
      <c r="O1108" s="4" t="s">
        <v>10151</v>
      </c>
      <c r="P1108" s="4" t="s">
        <v>233</v>
      </c>
    </row>
    <row r="1109" spans="1:16" x14ac:dyDescent="0.35">
      <c r="A1109" t="s">
        <v>10152</v>
      </c>
      <c r="B1109" t="s">
        <v>4223</v>
      </c>
      <c r="C1109" t="s">
        <v>16</v>
      </c>
      <c r="D1109" s="6">
        <v>82060569.496452674</v>
      </c>
      <c r="E1109" s="6">
        <v>-90869430.503547326</v>
      </c>
      <c r="F1109" s="6">
        <v>1.3799999952316284</v>
      </c>
      <c r="G1109" s="6">
        <v>1.2799999713897705</v>
      </c>
      <c r="H1109" s="6" t="e">
        <v>#N/A</v>
      </c>
      <c r="I1109" s="6">
        <v>-0.91977069601968076</v>
      </c>
      <c r="J1109" s="6">
        <v>2918000</v>
      </c>
      <c r="K1109" s="6">
        <v>27.054108216432876</v>
      </c>
      <c r="L1109" t="s">
        <v>17</v>
      </c>
      <c r="M1109" t="s">
        <v>18</v>
      </c>
      <c r="N1109" s="4" t="s">
        <v>4224</v>
      </c>
      <c r="O1109" s="4" t="s">
        <v>4225</v>
      </c>
      <c r="P1109" s="4" t="s">
        <v>233</v>
      </c>
    </row>
    <row r="1110" spans="1:16" x14ac:dyDescent="0.35">
      <c r="A1110" t="s">
        <v>10153</v>
      </c>
      <c r="B1110" t="s">
        <v>10154</v>
      </c>
      <c r="C1110" t="s">
        <v>16</v>
      </c>
      <c r="D1110" s="6">
        <v>3690236857.3499298</v>
      </c>
      <c r="E1110" s="6">
        <v>5194707857.3499298</v>
      </c>
      <c r="F1110" s="6">
        <v>77.639999389648438</v>
      </c>
      <c r="G1110" s="6">
        <v>77.150001525878906</v>
      </c>
      <c r="H1110" s="6">
        <v>14.438623091986978</v>
      </c>
      <c r="I1110" s="6">
        <v>0.15231681128292984</v>
      </c>
      <c r="J1110" s="6">
        <v>2612738000</v>
      </c>
      <c r="K1110" s="6">
        <v>250.00000000000006</v>
      </c>
      <c r="L1110" t="s">
        <v>6547</v>
      </c>
      <c r="M1110" t="s">
        <v>6553</v>
      </c>
      <c r="N1110" s="4" t="s">
        <v>10155</v>
      </c>
      <c r="O1110" s="4" t="s">
        <v>10156</v>
      </c>
      <c r="P1110" s="4" t="s">
        <v>233</v>
      </c>
    </row>
    <row r="1111" spans="1:16" x14ac:dyDescent="0.35">
      <c r="A1111" t="s">
        <v>10157</v>
      </c>
      <c r="B1111" t="s">
        <v>12968</v>
      </c>
      <c r="C1111" t="s">
        <v>16</v>
      </c>
      <c r="D1111" s="6">
        <v>4355797953.147584</v>
      </c>
      <c r="E1111" s="6">
        <v>4620821953.147584</v>
      </c>
      <c r="F1111" s="6">
        <v>135.99000549316406</v>
      </c>
      <c r="G1111" s="6">
        <v>136.35000610351563</v>
      </c>
      <c r="H1111" s="6">
        <v>29.182404612266964</v>
      </c>
      <c r="I1111" s="6">
        <v>-0.10154022986450839</v>
      </c>
      <c r="J1111" s="6">
        <v>1419560000</v>
      </c>
      <c r="K1111" s="6">
        <v>-5.2419354838709467</v>
      </c>
      <c r="L1111" t="s">
        <v>6735</v>
      </c>
      <c r="M1111" t="s">
        <v>7752</v>
      </c>
      <c r="N1111" s="4" t="s">
        <v>10158</v>
      </c>
      <c r="O1111" s="4" t="s">
        <v>10159</v>
      </c>
      <c r="P1111" s="4" t="s">
        <v>233</v>
      </c>
    </row>
    <row r="1112" spans="1:16" x14ac:dyDescent="0.35">
      <c r="A1112" t="s">
        <v>10160</v>
      </c>
      <c r="B1112" t="s">
        <v>10161</v>
      </c>
      <c r="C1112" t="s">
        <v>16</v>
      </c>
      <c r="D1112" s="6">
        <v>2473897946.1679535</v>
      </c>
      <c r="E1112" s="6">
        <v>2564978946.1679535</v>
      </c>
      <c r="F1112" s="6">
        <v>126.93000030517578</v>
      </c>
      <c r="G1112" s="6">
        <v>125.59999847412109</v>
      </c>
      <c r="H1112" s="6">
        <v>28.527365032767428</v>
      </c>
      <c r="I1112" s="6">
        <v>-0.14028313075438292</v>
      </c>
      <c r="J1112" s="6">
        <v>1589045000</v>
      </c>
      <c r="K1112" s="6">
        <v>4.8309178743961176</v>
      </c>
      <c r="L1112" t="s">
        <v>6735</v>
      </c>
      <c r="M1112" t="s">
        <v>6747</v>
      </c>
      <c r="N1112" s="4" t="s">
        <v>10162</v>
      </c>
      <c r="O1112" s="4" t="s">
        <v>10163</v>
      </c>
      <c r="P1112" s="4" t="s">
        <v>233</v>
      </c>
    </row>
    <row r="1113" spans="1:16" x14ac:dyDescent="0.35">
      <c r="A1113" t="s">
        <v>10164</v>
      </c>
      <c r="B1113" t="s">
        <v>10165</v>
      </c>
      <c r="C1113" t="s">
        <v>16</v>
      </c>
      <c r="D1113" s="6">
        <v>295976096.79447842</v>
      </c>
      <c r="E1113" s="6">
        <v>290834430.79447842</v>
      </c>
      <c r="F1113" s="6">
        <v>10.949999809265137</v>
      </c>
      <c r="G1113" s="6">
        <v>10.25</v>
      </c>
      <c r="H1113" s="6" t="e">
        <v>#N/A</v>
      </c>
      <c r="I1113" s="6">
        <v>-0.3227606839401379</v>
      </c>
      <c r="J1113" s="6" t="e">
        <v>#N/A</v>
      </c>
      <c r="K1113" s="6" t="e">
        <v>#N/A</v>
      </c>
      <c r="L1113" t="s">
        <v>6547</v>
      </c>
      <c r="M1113" t="s">
        <v>7792</v>
      </c>
      <c r="N1113" s="4" t="s">
        <v>10166</v>
      </c>
      <c r="O1113" s="4" t="s">
        <v>10167</v>
      </c>
      <c r="P1113" s="4" t="s">
        <v>233</v>
      </c>
    </row>
    <row r="1114" spans="1:16" x14ac:dyDescent="0.35">
      <c r="A1114" t="s">
        <v>10168</v>
      </c>
      <c r="B1114" t="s">
        <v>10169</v>
      </c>
      <c r="C1114" t="s">
        <v>16</v>
      </c>
      <c r="D1114" s="6">
        <v>200949307.87132978</v>
      </c>
      <c r="E1114" s="6">
        <v>102588307.87132978</v>
      </c>
      <c r="F1114" s="6">
        <v>7.059999942779541</v>
      </c>
      <c r="G1114" s="6">
        <v>7.059999942779541</v>
      </c>
      <c r="H1114" s="6" t="e">
        <v>#N/A</v>
      </c>
      <c r="I1114" s="6">
        <v>-0.74052870488881728</v>
      </c>
      <c r="J1114" s="6" t="e">
        <v>#N/A</v>
      </c>
      <c r="K1114" s="6" t="e">
        <v>#N/A</v>
      </c>
      <c r="L1114" t="s">
        <v>6518</v>
      </c>
      <c r="M1114" t="s">
        <v>6519</v>
      </c>
      <c r="N1114" s="4" t="s">
        <v>10170</v>
      </c>
      <c r="O1114" s="4" t="s">
        <v>10171</v>
      </c>
      <c r="P1114" s="4" t="s">
        <v>233</v>
      </c>
    </row>
    <row r="1115" spans="1:16" x14ac:dyDescent="0.35">
      <c r="A1115" t="s">
        <v>10172</v>
      </c>
      <c r="B1115" t="s">
        <v>5867</v>
      </c>
      <c r="C1115" t="s">
        <v>16</v>
      </c>
      <c r="D1115" s="6">
        <v>179474481.19496873</v>
      </c>
      <c r="E1115" s="6">
        <v>193488481.19496873</v>
      </c>
      <c r="F1115" s="6">
        <v>6.5199999809265137</v>
      </c>
      <c r="G1115" s="6">
        <v>6.4499998092651367</v>
      </c>
      <c r="H1115" s="6" t="e">
        <v>#N/A</v>
      </c>
      <c r="I1115" s="6">
        <v>-0.35811952640463085</v>
      </c>
      <c r="J1115" s="6">
        <v>49348000</v>
      </c>
      <c r="K1115" s="6">
        <v>94.805194805194802</v>
      </c>
      <c r="L1115" t="s">
        <v>17</v>
      </c>
      <c r="M1115" t="s">
        <v>18</v>
      </c>
      <c r="N1115" s="4" t="s">
        <v>5868</v>
      </c>
      <c r="O1115" s="4" t="s">
        <v>10173</v>
      </c>
      <c r="P1115" s="4" t="s">
        <v>233</v>
      </c>
    </row>
    <row r="1116" spans="1:16" x14ac:dyDescent="0.35">
      <c r="A1116" t="s">
        <v>10174</v>
      </c>
      <c r="B1116" t="s">
        <v>2544</v>
      </c>
      <c r="C1116" t="s">
        <v>16</v>
      </c>
      <c r="D1116" s="6">
        <v>726944304.43172455</v>
      </c>
      <c r="E1116" s="6">
        <v>710094304.43172455</v>
      </c>
      <c r="F1116" s="6">
        <v>36.180000305175781</v>
      </c>
      <c r="G1116" s="6">
        <v>35.369998931884766</v>
      </c>
      <c r="H1116" s="6">
        <v>68.660699445620423</v>
      </c>
      <c r="I1116" s="6">
        <v>-0.14911745975365021</v>
      </c>
      <c r="J1116" s="6">
        <v>74437000</v>
      </c>
      <c r="K1116" s="6">
        <v>-23.23218962954131</v>
      </c>
      <c r="L1116" t="s">
        <v>17</v>
      </c>
      <c r="M1116" t="s">
        <v>32</v>
      </c>
      <c r="N1116" s="4" t="s">
        <v>2545</v>
      </c>
      <c r="O1116" s="4" t="s">
        <v>2546</v>
      </c>
      <c r="P1116" s="4" t="s">
        <v>233</v>
      </c>
    </row>
    <row r="1117" spans="1:16" x14ac:dyDescent="0.35">
      <c r="A1117" t="s">
        <v>10175</v>
      </c>
      <c r="B1117" t="s">
        <v>5294</v>
      </c>
      <c r="C1117" t="s">
        <v>16</v>
      </c>
      <c r="D1117" s="6">
        <v>76116131.418671846</v>
      </c>
      <c r="E1117" s="6">
        <v>-21850868.581328154</v>
      </c>
      <c r="F1117" s="6">
        <v>1.2799999713897705</v>
      </c>
      <c r="G1117" s="6">
        <v>1.2599999904632568</v>
      </c>
      <c r="H1117" s="6" t="e">
        <v>#N/A</v>
      </c>
      <c r="I1117" s="6">
        <v>-0.72899014503238391</v>
      </c>
      <c r="J1117" s="6">
        <v>0</v>
      </c>
      <c r="K1117" s="6">
        <v>49.315068493150676</v>
      </c>
      <c r="L1117" t="s">
        <v>17</v>
      </c>
      <c r="M1117" t="s">
        <v>18</v>
      </c>
      <c r="N1117" s="4" t="s">
        <v>5295</v>
      </c>
      <c r="O1117" s="4" t="s">
        <v>5296</v>
      </c>
      <c r="P1117" s="4" t="s">
        <v>233</v>
      </c>
    </row>
    <row r="1118" spans="1:16" x14ac:dyDescent="0.35">
      <c r="A1118" t="s">
        <v>10176</v>
      </c>
      <c r="B1118" t="s">
        <v>10177</v>
      </c>
      <c r="C1118" t="s">
        <v>16</v>
      </c>
      <c r="D1118" s="6">
        <v>165339279.44307232</v>
      </c>
      <c r="E1118" s="6">
        <v>1398569279.4430723</v>
      </c>
      <c r="F1118" s="6">
        <v>3.9000000953674316</v>
      </c>
      <c r="G1118" s="6">
        <v>3.9000000953674316</v>
      </c>
      <c r="H1118" s="6" t="e">
        <v>#N/A</v>
      </c>
      <c r="I1118" s="6">
        <v>-0.15987624834705683</v>
      </c>
      <c r="J1118" s="6">
        <v>145595000</v>
      </c>
      <c r="K1118" s="6">
        <v>33.75304964409397</v>
      </c>
      <c r="L1118" t="s">
        <v>6623</v>
      </c>
      <c r="M1118" t="s">
        <v>7086</v>
      </c>
      <c r="N1118" s="4" t="s">
        <v>10178</v>
      </c>
      <c r="O1118" s="4" t="s">
        <v>10179</v>
      </c>
      <c r="P1118" s="4" t="s">
        <v>233</v>
      </c>
    </row>
    <row r="1119" spans="1:16" x14ac:dyDescent="0.35">
      <c r="A1119" t="s">
        <v>10180</v>
      </c>
      <c r="B1119" t="s">
        <v>10181</v>
      </c>
      <c r="C1119" t="s">
        <v>16</v>
      </c>
      <c r="D1119" s="6">
        <v>2166289055.1875</v>
      </c>
      <c r="E1119" s="6">
        <v>1665538055.1875</v>
      </c>
      <c r="F1119" s="6">
        <v>40.580001831054688</v>
      </c>
      <c r="G1119" s="6">
        <v>40.669998168945313</v>
      </c>
      <c r="H1119" s="6" t="e">
        <v>#N/A</v>
      </c>
      <c r="I1119" s="6">
        <v>-0.17659483331436476</v>
      </c>
      <c r="J1119" s="6">
        <v>701167000</v>
      </c>
      <c r="K1119" s="6">
        <v>-85.714285714285722</v>
      </c>
      <c r="L1119" t="s">
        <v>6518</v>
      </c>
      <c r="M1119" t="s">
        <v>6807</v>
      </c>
      <c r="N1119" s="4" t="s">
        <v>10182</v>
      </c>
      <c r="O1119" s="4" t="s">
        <v>10183</v>
      </c>
      <c r="P1119" s="4" t="s">
        <v>233</v>
      </c>
    </row>
    <row r="1120" spans="1:16" x14ac:dyDescent="0.35">
      <c r="A1120" t="s">
        <v>10184</v>
      </c>
      <c r="B1120" t="s">
        <v>10185</v>
      </c>
      <c r="C1120" t="s">
        <v>16</v>
      </c>
      <c r="D1120" s="6">
        <v>3061779301.7281718</v>
      </c>
      <c r="E1120" s="6">
        <v>3141621301.7281718</v>
      </c>
      <c r="F1120" s="6">
        <v>26.329999923706055</v>
      </c>
      <c r="G1120" s="6">
        <v>25.309999465942383</v>
      </c>
      <c r="H1120" s="6" t="e">
        <v>#N/A</v>
      </c>
      <c r="I1120" s="6">
        <v>1.1037952898296353</v>
      </c>
      <c r="J1120" s="6">
        <v>668948000</v>
      </c>
      <c r="K1120" s="6">
        <v>34.999999999999993</v>
      </c>
      <c r="L1120" t="s">
        <v>6540</v>
      </c>
      <c r="M1120" t="s">
        <v>6825</v>
      </c>
      <c r="N1120" s="4" t="s">
        <v>10186</v>
      </c>
      <c r="O1120" s="4" t="s">
        <v>10187</v>
      </c>
      <c r="P1120" s="4" t="s">
        <v>233</v>
      </c>
    </row>
    <row r="1121" spans="1:16" x14ac:dyDescent="0.35">
      <c r="A1121" t="s">
        <v>10188</v>
      </c>
      <c r="B1121" t="s">
        <v>10189</v>
      </c>
      <c r="C1121" t="s">
        <v>16</v>
      </c>
      <c r="D1121" s="6">
        <v>5285552315.8569326</v>
      </c>
      <c r="E1121" s="6">
        <v>5124007315.8569326</v>
      </c>
      <c r="F1121" s="6">
        <v>191.69999694824219</v>
      </c>
      <c r="G1121" s="6">
        <v>188.16999816894531</v>
      </c>
      <c r="H1121" s="6">
        <v>29.64636799482637</v>
      </c>
      <c r="I1121" s="6">
        <v>5.3811095486646643E-3</v>
      </c>
      <c r="J1121" s="6">
        <v>1900130000</v>
      </c>
      <c r="K1121" s="6">
        <v>21.535181236673765</v>
      </c>
      <c r="L1121" t="s">
        <v>6735</v>
      </c>
      <c r="M1121" t="s">
        <v>6747</v>
      </c>
      <c r="N1121" s="4" t="s">
        <v>10190</v>
      </c>
      <c r="O1121" s="4" t="s">
        <v>10191</v>
      </c>
      <c r="P1121" s="4" t="s">
        <v>233</v>
      </c>
    </row>
    <row r="1122" spans="1:16" x14ac:dyDescent="0.35">
      <c r="A1122" t="s">
        <v>10192</v>
      </c>
      <c r="B1122" t="s">
        <v>10193</v>
      </c>
      <c r="C1122" t="s">
        <v>16</v>
      </c>
      <c r="D1122" s="6">
        <v>1423403144.612427</v>
      </c>
      <c r="E1122" s="6">
        <v>2203457144.6124268</v>
      </c>
      <c r="F1122" s="6">
        <v>30.389999389648438</v>
      </c>
      <c r="G1122" s="6">
        <v>30.399999618530273</v>
      </c>
      <c r="H1122" s="6">
        <v>77.094018147532537</v>
      </c>
      <c r="I1122" s="6">
        <v>-0.10721165786008913</v>
      </c>
      <c r="J1122" s="6">
        <v>1728880000</v>
      </c>
      <c r="K1122" s="6">
        <v>-61.43101427792994</v>
      </c>
      <c r="L1122" t="s">
        <v>6547</v>
      </c>
      <c r="M1122" t="s">
        <v>6875</v>
      </c>
      <c r="N1122" s="4" t="s">
        <v>10194</v>
      </c>
      <c r="O1122" s="4" t="s">
        <v>10195</v>
      </c>
      <c r="P1122" s="4" t="s">
        <v>233</v>
      </c>
    </row>
    <row r="1123" spans="1:16" x14ac:dyDescent="0.35">
      <c r="A1123" t="s">
        <v>10196</v>
      </c>
      <c r="B1123" t="s">
        <v>10197</v>
      </c>
      <c r="C1123" t="s">
        <v>16</v>
      </c>
      <c r="D1123" s="6">
        <v>223403489.5480442</v>
      </c>
      <c r="E1123" s="6" t="e">
        <v>#N/A</v>
      </c>
      <c r="F1123" s="6">
        <v>9.8000001907348633</v>
      </c>
      <c r="G1123" s="6">
        <v>9.8400001525878906</v>
      </c>
      <c r="H1123" s="6" t="e">
        <v>#N/A</v>
      </c>
      <c r="I1123" s="6">
        <v>2.7178222288218645E-2</v>
      </c>
      <c r="J1123" s="6" t="e">
        <v>#N/A</v>
      </c>
      <c r="K1123" s="6">
        <v>-77.419354838709694</v>
      </c>
      <c r="L1123" t="s">
        <v>6529</v>
      </c>
      <c r="M1123" t="s">
        <v>6530</v>
      </c>
      <c r="N1123" s="4" t="s">
        <v>10198</v>
      </c>
      <c r="O1123" s="4" t="s">
        <v>10199</v>
      </c>
      <c r="P1123" s="4" t="s">
        <v>233</v>
      </c>
    </row>
    <row r="1124" spans="1:16" x14ac:dyDescent="0.35">
      <c r="A1124" t="s">
        <v>10200</v>
      </c>
      <c r="B1124" t="s">
        <v>10201</v>
      </c>
      <c r="C1124" t="s">
        <v>16</v>
      </c>
      <c r="D1124" s="6">
        <v>1407643169.1542358</v>
      </c>
      <c r="E1124" s="6">
        <v>1347167169.1542358</v>
      </c>
      <c r="F1124" s="6">
        <v>129.52999877929688</v>
      </c>
      <c r="G1124" s="6">
        <v>129.80999755859375</v>
      </c>
      <c r="H1124" s="6">
        <v>20.791332067302871</v>
      </c>
      <c r="I1124" s="6">
        <v>-6.1765026559249536E-3</v>
      </c>
      <c r="J1124" s="6">
        <v>611997000</v>
      </c>
      <c r="K1124" s="6">
        <v>-0.47770700636944485</v>
      </c>
      <c r="L1124" t="s">
        <v>6547</v>
      </c>
      <c r="M1124" t="s">
        <v>6668</v>
      </c>
      <c r="N1124" s="4" t="s">
        <v>10202</v>
      </c>
      <c r="O1124" s="4" t="s">
        <v>10203</v>
      </c>
      <c r="P1124" s="4" t="s">
        <v>233</v>
      </c>
    </row>
    <row r="1125" spans="1:16" x14ac:dyDescent="0.35">
      <c r="A1125" t="s">
        <v>10204</v>
      </c>
      <c r="B1125" t="s">
        <v>10205</v>
      </c>
      <c r="C1125" t="s">
        <v>16</v>
      </c>
      <c r="D1125" s="6">
        <v>584428418.0314827</v>
      </c>
      <c r="E1125" s="6">
        <v>898025418.0314827</v>
      </c>
      <c r="F1125" s="6">
        <v>8.1599998474121094</v>
      </c>
      <c r="G1125" s="6">
        <v>8.3500003814697266</v>
      </c>
      <c r="H1125" s="6">
        <v>65.526377960428093</v>
      </c>
      <c r="I1125" s="6">
        <v>1.9944794822768008E-2</v>
      </c>
      <c r="J1125" s="6">
        <v>520107000</v>
      </c>
      <c r="K1125" s="6" t="e">
        <v>#N/A</v>
      </c>
      <c r="L1125" t="s">
        <v>6563</v>
      </c>
      <c r="M1125" t="s">
        <v>6764</v>
      </c>
      <c r="N1125" s="4" t="s">
        <v>10206</v>
      </c>
      <c r="O1125" s="4" t="s">
        <v>10207</v>
      </c>
      <c r="P1125" s="4" t="s">
        <v>233</v>
      </c>
    </row>
    <row r="1126" spans="1:16" x14ac:dyDescent="0.35">
      <c r="A1126" t="s">
        <v>10208</v>
      </c>
      <c r="B1126" t="s">
        <v>10209</v>
      </c>
      <c r="C1126" t="s">
        <v>16</v>
      </c>
      <c r="D1126" s="6">
        <v>742789542.9774971</v>
      </c>
      <c r="E1126" s="6">
        <v>1123435542.9774971</v>
      </c>
      <c r="F1126" s="6">
        <v>14.520000457763672</v>
      </c>
      <c r="G1126" s="6">
        <v>14.569999694824219</v>
      </c>
      <c r="H1126" s="6">
        <v>26.493692161851765</v>
      </c>
      <c r="I1126" s="6">
        <v>6.6673990898555857E-2</v>
      </c>
      <c r="J1126" s="6">
        <v>1157265000</v>
      </c>
      <c r="K1126" s="6" t="e">
        <v>#N/A</v>
      </c>
      <c r="L1126" t="s">
        <v>6529</v>
      </c>
      <c r="M1126" t="s">
        <v>6664</v>
      </c>
      <c r="N1126" s="4" t="s">
        <v>10210</v>
      </c>
      <c r="O1126" s="4" t="s">
        <v>10211</v>
      </c>
      <c r="P1126" s="4" t="s">
        <v>233</v>
      </c>
    </row>
    <row r="1127" spans="1:16" x14ac:dyDescent="0.35">
      <c r="A1127" t="s">
        <v>10212</v>
      </c>
      <c r="B1127" t="s">
        <v>10213</v>
      </c>
      <c r="C1127" t="s">
        <v>16</v>
      </c>
      <c r="D1127" s="6">
        <v>200820025.41581151</v>
      </c>
      <c r="E1127" s="6" t="e">
        <v>#N/A</v>
      </c>
      <c r="F1127" s="6">
        <v>20.780000686645508</v>
      </c>
      <c r="G1127" s="6">
        <v>21.399999618530273</v>
      </c>
      <c r="H1127" s="6">
        <v>23.961956862304671</v>
      </c>
      <c r="I1127" s="6">
        <v>0.32087550785245189</v>
      </c>
      <c r="J1127" s="6">
        <v>180331000</v>
      </c>
      <c r="K1127" s="6">
        <v>59.652727272727262</v>
      </c>
      <c r="L1127" t="s">
        <v>6529</v>
      </c>
      <c r="M1127" t="s">
        <v>6530</v>
      </c>
      <c r="N1127" s="4" t="s">
        <v>10214</v>
      </c>
      <c r="O1127" s="4" t="s">
        <v>10215</v>
      </c>
      <c r="P1127" s="4" t="s">
        <v>233</v>
      </c>
    </row>
    <row r="1128" spans="1:16" x14ac:dyDescent="0.35">
      <c r="A1128" t="s">
        <v>10216</v>
      </c>
      <c r="B1128" t="s">
        <v>10217</v>
      </c>
      <c r="C1128" t="s">
        <v>16</v>
      </c>
      <c r="D1128" s="6">
        <v>1841423610.7105522</v>
      </c>
      <c r="E1128" s="6">
        <v>2875180610.7105522</v>
      </c>
      <c r="F1128" s="6">
        <v>38.490001678466797</v>
      </c>
      <c r="G1128" s="6">
        <v>37.479999542236328</v>
      </c>
      <c r="H1128" s="6">
        <v>14.076291991971427</v>
      </c>
      <c r="I1128" s="6">
        <v>4.7783278837719267E-2</v>
      </c>
      <c r="J1128" s="6">
        <v>960518000</v>
      </c>
      <c r="K1128" s="6">
        <v>69.87179487179489</v>
      </c>
      <c r="L1128" t="s">
        <v>6514</v>
      </c>
      <c r="M1128" t="s">
        <v>6690</v>
      </c>
      <c r="N1128" s="4" t="s">
        <v>10218</v>
      </c>
      <c r="O1128" s="4" t="s">
        <v>10219</v>
      </c>
      <c r="P1128" s="4" t="s">
        <v>233</v>
      </c>
    </row>
    <row r="1129" spans="1:16" x14ac:dyDescent="0.35">
      <c r="A1129" t="s">
        <v>10220</v>
      </c>
      <c r="B1129" t="s">
        <v>10221</v>
      </c>
      <c r="C1129" t="s">
        <v>16</v>
      </c>
      <c r="D1129" s="6">
        <v>362984422.84153748</v>
      </c>
      <c r="E1129" s="6">
        <v>635684422.84153748</v>
      </c>
      <c r="F1129" s="6">
        <v>10.180000305175781</v>
      </c>
      <c r="G1129" s="6">
        <v>10</v>
      </c>
      <c r="H1129" s="6" t="e">
        <v>#N/A</v>
      </c>
      <c r="I1129" s="6">
        <v>-0.51074351165997056</v>
      </c>
      <c r="J1129" s="6">
        <v>1087900000</v>
      </c>
      <c r="K1129" s="6">
        <v>-246.57534246575347</v>
      </c>
      <c r="L1129" t="s">
        <v>6518</v>
      </c>
      <c r="M1129" t="s">
        <v>6714</v>
      </c>
      <c r="N1129" s="4" t="s">
        <v>10222</v>
      </c>
      <c r="O1129" s="4" t="s">
        <v>10223</v>
      </c>
      <c r="P1129" s="4" t="s">
        <v>233</v>
      </c>
    </row>
    <row r="1130" spans="1:16" x14ac:dyDescent="0.35">
      <c r="A1130" t="s">
        <v>10224</v>
      </c>
      <c r="B1130" t="s">
        <v>340</v>
      </c>
      <c r="C1130" t="s">
        <v>16</v>
      </c>
      <c r="D1130" s="6">
        <v>6280189238.3382473</v>
      </c>
      <c r="E1130" s="6">
        <v>6576213238.3382473</v>
      </c>
      <c r="F1130" s="6">
        <v>107.76000213623047</v>
      </c>
      <c r="G1130" s="6">
        <v>107.23000335693359</v>
      </c>
      <c r="H1130" s="6">
        <v>46.176116345398064</v>
      </c>
      <c r="I1130" s="6">
        <v>0.34640770055507608</v>
      </c>
      <c r="J1130" s="6">
        <v>1325871000</v>
      </c>
      <c r="K1130" s="6">
        <v>18.965517241379313</v>
      </c>
      <c r="L1130" t="s">
        <v>17</v>
      </c>
      <c r="M1130" t="s">
        <v>27</v>
      </c>
      <c r="N1130" s="4" t="s">
        <v>341</v>
      </c>
      <c r="O1130" s="4" t="s">
        <v>342</v>
      </c>
      <c r="P1130" s="4" t="s">
        <v>233</v>
      </c>
    </row>
    <row r="1131" spans="1:16" x14ac:dyDescent="0.35">
      <c r="A1131" t="s">
        <v>10225</v>
      </c>
      <c r="B1131" t="s">
        <v>10226</v>
      </c>
      <c r="C1131" t="s">
        <v>16</v>
      </c>
      <c r="D1131" s="6">
        <v>616881608.50462437</v>
      </c>
      <c r="E1131" s="6">
        <v>776398608.50462437</v>
      </c>
      <c r="F1131" s="6">
        <v>14.279999732971191</v>
      </c>
      <c r="G1131" s="6">
        <v>14.399999618530273</v>
      </c>
      <c r="H1131" s="6">
        <v>709.14236147247254</v>
      </c>
      <c r="I1131" s="6">
        <v>-0.13577074200053096</v>
      </c>
      <c r="J1131" s="6">
        <v>244065000</v>
      </c>
      <c r="K1131" s="6">
        <v>-1874.6999675640614</v>
      </c>
      <c r="L1131" t="s">
        <v>6518</v>
      </c>
      <c r="M1131" t="s">
        <v>6519</v>
      </c>
      <c r="N1131" s="4" t="s">
        <v>10227</v>
      </c>
      <c r="O1131" s="4" t="s">
        <v>10228</v>
      </c>
      <c r="P1131" s="4" t="s">
        <v>233</v>
      </c>
    </row>
    <row r="1132" spans="1:16" x14ac:dyDescent="0.35">
      <c r="A1132" t="s">
        <v>10229</v>
      </c>
      <c r="B1132" t="s">
        <v>10230</v>
      </c>
      <c r="C1132" t="s">
        <v>16</v>
      </c>
      <c r="D1132" s="6">
        <v>572332727.40965259</v>
      </c>
      <c r="E1132" s="6">
        <v>1100758639.9096527</v>
      </c>
      <c r="F1132" s="6">
        <v>19.110000610351563</v>
      </c>
      <c r="G1132" s="6">
        <v>19.360000610351563</v>
      </c>
      <c r="H1132" s="6">
        <v>24.473675892663611</v>
      </c>
      <c r="I1132" s="6">
        <v>-0.399594193537119</v>
      </c>
      <c r="J1132" s="6">
        <v>1210419000</v>
      </c>
      <c r="K1132" s="6">
        <v>-40.186915887850475</v>
      </c>
      <c r="L1132" t="s">
        <v>6540</v>
      </c>
      <c r="M1132" t="s">
        <v>6541</v>
      </c>
      <c r="N1132" s="4" t="s">
        <v>10231</v>
      </c>
      <c r="O1132" s="4" t="s">
        <v>10232</v>
      </c>
      <c r="P1132" s="4" t="s">
        <v>233</v>
      </c>
    </row>
    <row r="1133" spans="1:16" x14ac:dyDescent="0.35">
      <c r="A1133" t="s">
        <v>10233</v>
      </c>
      <c r="B1133" t="s">
        <v>4912</v>
      </c>
      <c r="C1133" t="s">
        <v>16</v>
      </c>
      <c r="D1133" s="6">
        <v>2783427358.1115069</v>
      </c>
      <c r="E1133" s="6">
        <v>2623718358.1115069</v>
      </c>
      <c r="F1133" s="6">
        <v>14.520000457763672</v>
      </c>
      <c r="G1133" s="6">
        <v>14.25</v>
      </c>
      <c r="H1133" s="6" t="e">
        <v>#N/A</v>
      </c>
      <c r="I1133" s="6">
        <v>1.0940214943110527</v>
      </c>
      <c r="J1133" s="6">
        <v>2467707000</v>
      </c>
      <c r="K1133" s="6">
        <v>9.4117647058823604</v>
      </c>
      <c r="L1133" t="s">
        <v>17</v>
      </c>
      <c r="M1133" t="s">
        <v>40</v>
      </c>
      <c r="N1133" s="4" t="s">
        <v>4913</v>
      </c>
      <c r="O1133" s="4" t="s">
        <v>4914</v>
      </c>
      <c r="P1133" s="4" t="s">
        <v>233</v>
      </c>
    </row>
    <row r="1134" spans="1:16" x14ac:dyDescent="0.35">
      <c r="A1134" t="s">
        <v>10234</v>
      </c>
      <c r="B1134" t="s">
        <v>10235</v>
      </c>
      <c r="C1134" t="s">
        <v>16</v>
      </c>
      <c r="D1134" s="6">
        <v>5949897206.6169577</v>
      </c>
      <c r="E1134" s="6">
        <v>7162916206.6169577</v>
      </c>
      <c r="F1134" s="6">
        <v>188.00999450683594</v>
      </c>
      <c r="G1134" s="6">
        <v>187.05999755859375</v>
      </c>
      <c r="H1134" s="6">
        <v>21.471725696707431</v>
      </c>
      <c r="I1134" s="6">
        <v>0.29602813605820755</v>
      </c>
      <c r="J1134" s="6">
        <v>3662625000</v>
      </c>
      <c r="K1134" s="6">
        <v>22.693726937269364</v>
      </c>
      <c r="L1134" t="s">
        <v>6547</v>
      </c>
      <c r="M1134" t="s">
        <v>6843</v>
      </c>
      <c r="N1134" s="4" t="s">
        <v>10236</v>
      </c>
      <c r="O1134" s="4" t="s">
        <v>10237</v>
      </c>
      <c r="P1134" s="4" t="s">
        <v>233</v>
      </c>
    </row>
    <row r="1135" spans="1:16" x14ac:dyDescent="0.35">
      <c r="A1135" t="s">
        <v>10238</v>
      </c>
      <c r="B1135" t="s">
        <v>10239</v>
      </c>
      <c r="C1135" t="s">
        <v>16</v>
      </c>
      <c r="D1135" s="6">
        <v>303357060.75017446</v>
      </c>
      <c r="E1135" s="6">
        <v>323630060.75017446</v>
      </c>
      <c r="F1135" s="6">
        <v>2.630000114440918</v>
      </c>
      <c r="G1135" s="6">
        <v>2.559999942779541</v>
      </c>
      <c r="H1135" s="6" t="e">
        <v>#N/A</v>
      </c>
      <c r="I1135" s="6">
        <v>0.2398356344355892</v>
      </c>
      <c r="J1135" s="6">
        <v>313757000</v>
      </c>
      <c r="K1135" s="6">
        <v>12.328767123287667</v>
      </c>
      <c r="L1135" t="s">
        <v>6540</v>
      </c>
      <c r="M1135" t="s">
        <v>6541</v>
      </c>
      <c r="N1135" s="4" t="s">
        <v>10240</v>
      </c>
      <c r="O1135" s="4" t="s">
        <v>10241</v>
      </c>
      <c r="P1135" s="4" t="s">
        <v>233</v>
      </c>
    </row>
    <row r="1136" spans="1:16" x14ac:dyDescent="0.35">
      <c r="A1136" t="s">
        <v>10242</v>
      </c>
      <c r="B1136" t="s">
        <v>10243</v>
      </c>
      <c r="C1136" t="s">
        <v>16</v>
      </c>
      <c r="D1136" s="6">
        <v>688197195.0151062</v>
      </c>
      <c r="E1136" s="6">
        <v>1028109195.0151062</v>
      </c>
      <c r="F1136" s="6">
        <v>21.860000610351563</v>
      </c>
      <c r="G1136" s="6">
        <v>21.180000305175781</v>
      </c>
      <c r="H1136" s="6" t="e">
        <v>#N/A</v>
      </c>
      <c r="I1136" s="6">
        <v>0.55693755645928378</v>
      </c>
      <c r="J1136" s="6">
        <v>708773000</v>
      </c>
      <c r="K1136" s="6" t="e">
        <v>#N/A</v>
      </c>
      <c r="L1136" t="s">
        <v>6514</v>
      </c>
      <c r="M1136" t="s">
        <v>6690</v>
      </c>
      <c r="N1136" s="4" t="s">
        <v>10244</v>
      </c>
      <c r="O1136" s="4" t="s">
        <v>10245</v>
      </c>
      <c r="P1136" s="4" t="s">
        <v>233</v>
      </c>
    </row>
    <row r="1137" spans="1:16" x14ac:dyDescent="0.35">
      <c r="A1137" t="s">
        <v>10246</v>
      </c>
      <c r="B1137" t="s">
        <v>4916</v>
      </c>
      <c r="C1137" t="s">
        <v>16</v>
      </c>
      <c r="D1137" s="6">
        <v>2447698200.5708027</v>
      </c>
      <c r="E1137" s="6">
        <v>1959602200.5708027</v>
      </c>
      <c r="F1137" s="6">
        <v>25.850000381469727</v>
      </c>
      <c r="G1137" s="6">
        <v>25.5</v>
      </c>
      <c r="H1137" s="6" t="e">
        <v>#N/A</v>
      </c>
      <c r="I1137" s="6">
        <v>0.36295931853294072</v>
      </c>
      <c r="J1137" s="6">
        <v>0</v>
      </c>
      <c r="K1137" s="6">
        <v>-5.6338028169014134</v>
      </c>
      <c r="L1137" t="s">
        <v>17</v>
      </c>
      <c r="M1137" t="s">
        <v>87</v>
      </c>
      <c r="N1137" s="4" t="s">
        <v>4917</v>
      </c>
      <c r="O1137" s="4" t="s">
        <v>4918</v>
      </c>
      <c r="P1137" s="4" t="s">
        <v>233</v>
      </c>
    </row>
    <row r="1138" spans="1:16" x14ac:dyDescent="0.35">
      <c r="A1138" t="s">
        <v>10247</v>
      </c>
      <c r="B1138" t="s">
        <v>10248</v>
      </c>
      <c r="C1138" t="s">
        <v>16</v>
      </c>
      <c r="D1138" s="6">
        <v>3031973534.9479713</v>
      </c>
      <c r="E1138" s="6">
        <v>2905653534.9479713</v>
      </c>
      <c r="F1138" s="6">
        <v>54.740001678466797</v>
      </c>
      <c r="G1138" s="6">
        <v>60</v>
      </c>
      <c r="H1138" s="6">
        <v>7.9354796062916142</v>
      </c>
      <c r="I1138" s="6">
        <v>0.3867082375438089</v>
      </c>
      <c r="J1138" s="6">
        <v>5475633000</v>
      </c>
      <c r="K1138" s="6">
        <v>385.63218390804593</v>
      </c>
      <c r="L1138" t="s">
        <v>6529</v>
      </c>
      <c r="M1138" t="s">
        <v>6664</v>
      </c>
      <c r="N1138" s="4" t="s">
        <v>10249</v>
      </c>
      <c r="O1138" s="4" t="s">
        <v>10250</v>
      </c>
      <c r="P1138" s="4" t="s">
        <v>233</v>
      </c>
    </row>
    <row r="1139" spans="1:16" x14ac:dyDescent="0.35">
      <c r="A1139" t="s">
        <v>10251</v>
      </c>
      <c r="B1139" t="s">
        <v>4923</v>
      </c>
      <c r="C1139" t="s">
        <v>16</v>
      </c>
      <c r="D1139" s="6">
        <v>208365419.93986195</v>
      </c>
      <c r="E1139" s="6">
        <v>-71098580.060138047</v>
      </c>
      <c r="F1139" s="6">
        <v>3.6800000667572021</v>
      </c>
      <c r="G1139" s="6">
        <v>3.7000000476837158</v>
      </c>
      <c r="H1139" s="6" t="e">
        <v>#N/A</v>
      </c>
      <c r="I1139" s="6">
        <v>0.5315436572630472</v>
      </c>
      <c r="J1139" s="6">
        <v>0</v>
      </c>
      <c r="K1139" s="6">
        <v>-4.3859649122807056</v>
      </c>
      <c r="L1139" t="s">
        <v>17</v>
      </c>
      <c r="M1139" t="s">
        <v>18</v>
      </c>
      <c r="N1139" s="4" t="s">
        <v>4924</v>
      </c>
      <c r="O1139" s="4" t="s">
        <v>4925</v>
      </c>
      <c r="P1139" s="4" t="s">
        <v>233</v>
      </c>
    </row>
    <row r="1140" spans="1:16" x14ac:dyDescent="0.35">
      <c r="A1140" t="s">
        <v>10252</v>
      </c>
      <c r="B1140" t="s">
        <v>10253</v>
      </c>
      <c r="C1140" t="s">
        <v>16</v>
      </c>
      <c r="D1140" s="6">
        <v>424317312.08064651</v>
      </c>
      <c r="E1140" s="6">
        <v>264515312.08064651</v>
      </c>
      <c r="F1140" s="6">
        <v>15.369999885559082</v>
      </c>
      <c r="G1140" s="6">
        <v>15.229999542236328</v>
      </c>
      <c r="H1140" s="6" t="e">
        <v>#N/A</v>
      </c>
      <c r="I1140" s="6">
        <v>0.24782125833725233</v>
      </c>
      <c r="J1140" s="6">
        <v>708260000</v>
      </c>
      <c r="K1140" s="6">
        <v>-74.28571428571432</v>
      </c>
      <c r="L1140" t="s">
        <v>6547</v>
      </c>
      <c r="M1140" t="s">
        <v>6651</v>
      </c>
      <c r="N1140" s="4" t="s">
        <v>10254</v>
      </c>
      <c r="O1140" s="4" t="s">
        <v>10255</v>
      </c>
      <c r="P1140" s="4" t="s">
        <v>233</v>
      </c>
    </row>
    <row r="1141" spans="1:16" x14ac:dyDescent="0.35">
      <c r="A1141" t="s">
        <v>10256</v>
      </c>
      <c r="B1141" t="s">
        <v>10257</v>
      </c>
      <c r="C1141" t="s">
        <v>16</v>
      </c>
      <c r="D1141" s="6">
        <v>986029875.78592968</v>
      </c>
      <c r="E1141" s="6">
        <v>4037029875.7859297</v>
      </c>
      <c r="F1141" s="6">
        <v>7.940000057220459</v>
      </c>
      <c r="G1141" s="6">
        <v>7.9899997711181641</v>
      </c>
      <c r="H1141" s="6" t="e">
        <v>#N/A</v>
      </c>
      <c r="I1141" s="6">
        <v>-0.53646676246884772</v>
      </c>
      <c r="J1141" s="6">
        <v>6221000000</v>
      </c>
      <c r="K1141" s="6">
        <v>-11844.444444444445</v>
      </c>
      <c r="L1141" t="s">
        <v>6518</v>
      </c>
      <c r="M1141" t="s">
        <v>9005</v>
      </c>
      <c r="N1141" s="4" t="s">
        <v>10258</v>
      </c>
      <c r="O1141" s="4" t="s">
        <v>10259</v>
      </c>
      <c r="P1141" s="4" t="s">
        <v>233</v>
      </c>
    </row>
    <row r="1142" spans="1:16" x14ac:dyDescent="0.35">
      <c r="A1142" t="s">
        <v>10260</v>
      </c>
      <c r="B1142" t="s">
        <v>10261</v>
      </c>
      <c r="C1142" t="s">
        <v>16</v>
      </c>
      <c r="D1142" s="6">
        <v>856688234.48341942</v>
      </c>
      <c r="E1142" s="6">
        <v>1120353234.4834194</v>
      </c>
      <c r="F1142" s="6">
        <v>7.809999942779541</v>
      </c>
      <c r="G1142" s="6">
        <v>7.4499998092651367</v>
      </c>
      <c r="H1142" s="6" t="e">
        <v>#N/A</v>
      </c>
      <c r="I1142" s="6">
        <v>2.9899727201740771</v>
      </c>
      <c r="J1142" s="6">
        <v>579862000</v>
      </c>
      <c r="K1142" s="6">
        <v>55.13513513513513</v>
      </c>
      <c r="L1142" t="s">
        <v>6540</v>
      </c>
      <c r="M1142" t="s">
        <v>6541</v>
      </c>
      <c r="N1142" s="4" t="s">
        <v>10262</v>
      </c>
      <c r="O1142" s="4" t="s">
        <v>10263</v>
      </c>
      <c r="P1142" s="4" t="s">
        <v>233</v>
      </c>
    </row>
    <row r="1143" spans="1:16" x14ac:dyDescent="0.35">
      <c r="A1143" t="s">
        <v>10264</v>
      </c>
      <c r="B1143" t="s">
        <v>10265</v>
      </c>
      <c r="C1143" t="s">
        <v>16</v>
      </c>
      <c r="D1143" s="6">
        <v>843901281.58273709</v>
      </c>
      <c r="E1143" s="6">
        <v>832735325.58273709</v>
      </c>
      <c r="F1143" s="6">
        <v>12.010000228881836</v>
      </c>
      <c r="G1143" s="6">
        <v>11.760000228881836</v>
      </c>
      <c r="H1143" s="6" t="e">
        <v>#N/A</v>
      </c>
      <c r="I1143" s="6">
        <v>3.0014915518768275</v>
      </c>
      <c r="J1143" s="6">
        <v>0</v>
      </c>
      <c r="K1143" s="6">
        <v>44.187784890841826</v>
      </c>
      <c r="L1143" t="s">
        <v>6563</v>
      </c>
      <c r="M1143" t="s">
        <v>6564</v>
      </c>
      <c r="N1143" s="4" t="s">
        <v>10266</v>
      </c>
      <c r="O1143" s="4" t="s">
        <v>10267</v>
      </c>
      <c r="P1143" s="4" t="s">
        <v>233</v>
      </c>
    </row>
    <row r="1144" spans="1:16" x14ac:dyDescent="0.35">
      <c r="A1144" t="s">
        <v>10268</v>
      </c>
      <c r="B1144" t="s">
        <v>10269</v>
      </c>
      <c r="C1144" t="s">
        <v>16</v>
      </c>
      <c r="D1144" s="6">
        <v>448235528.41055673</v>
      </c>
      <c r="E1144" s="6">
        <v>844929528.41055679</v>
      </c>
      <c r="F1144" s="6">
        <v>12.029999732971191</v>
      </c>
      <c r="G1144" s="6">
        <v>12</v>
      </c>
      <c r="H1144" s="6">
        <v>9.71942117571162</v>
      </c>
      <c r="I1144" s="6">
        <v>-0.35660915012615146</v>
      </c>
      <c r="J1144" s="6">
        <v>823482000</v>
      </c>
      <c r="K1144" s="6">
        <v>-69.117647058823522</v>
      </c>
      <c r="L1144" t="s">
        <v>6563</v>
      </c>
      <c r="M1144" t="s">
        <v>9157</v>
      </c>
      <c r="N1144" s="4" t="s">
        <v>10270</v>
      </c>
      <c r="O1144" s="4" t="s">
        <v>10271</v>
      </c>
      <c r="P1144" s="4" t="s">
        <v>233</v>
      </c>
    </row>
    <row r="1145" spans="1:16" x14ac:dyDescent="0.35">
      <c r="A1145" t="s">
        <v>10272</v>
      </c>
      <c r="B1145" t="s">
        <v>10273</v>
      </c>
      <c r="C1145" t="s">
        <v>16</v>
      </c>
      <c r="D1145" s="6">
        <v>251750355.67882586</v>
      </c>
      <c r="E1145" s="6">
        <v>1074150355.6788259</v>
      </c>
      <c r="F1145" s="6">
        <v>7.570000171661377</v>
      </c>
      <c r="G1145" s="6">
        <v>7.2399997711181641</v>
      </c>
      <c r="H1145" s="6" t="e">
        <v>#N/A</v>
      </c>
      <c r="I1145" s="6">
        <v>-0.32692237369533184</v>
      </c>
      <c r="J1145" s="6">
        <v>1900000000</v>
      </c>
      <c r="K1145" s="6" t="e">
        <v>#N/A</v>
      </c>
      <c r="L1145" t="s">
        <v>6547</v>
      </c>
      <c r="M1145" t="s">
        <v>6875</v>
      </c>
      <c r="N1145" s="4" t="s">
        <v>10274</v>
      </c>
      <c r="O1145" s="4" t="s">
        <v>10275</v>
      </c>
      <c r="P1145" s="4" t="s">
        <v>233</v>
      </c>
    </row>
    <row r="1146" spans="1:16" x14ac:dyDescent="0.35">
      <c r="A1146" t="s">
        <v>10276</v>
      </c>
      <c r="B1146" t="s">
        <v>10277</v>
      </c>
      <c r="C1146" t="s">
        <v>16</v>
      </c>
      <c r="D1146" s="6">
        <v>1657123832.9724314</v>
      </c>
      <c r="E1146" s="6" t="e">
        <v>#N/A</v>
      </c>
      <c r="F1146" s="6">
        <v>30.120000839233398</v>
      </c>
      <c r="G1146" s="6">
        <v>30.299999237060547</v>
      </c>
      <c r="H1146" s="6">
        <v>24.851116764960089</v>
      </c>
      <c r="I1146" s="6">
        <v>0.17728357652647619</v>
      </c>
      <c r="J1146" s="6">
        <v>203391000</v>
      </c>
      <c r="K1146" s="6">
        <v>4.7783065663566822</v>
      </c>
      <c r="L1146" t="s">
        <v>6623</v>
      </c>
      <c r="M1146" t="s">
        <v>7043</v>
      </c>
      <c r="N1146" s="4" t="s">
        <v>10278</v>
      </c>
      <c r="O1146" s="4" t="s">
        <v>10279</v>
      </c>
      <c r="P1146" s="4" t="s">
        <v>233</v>
      </c>
    </row>
    <row r="1147" spans="1:16" x14ac:dyDescent="0.35">
      <c r="A1147" t="s">
        <v>10280</v>
      </c>
      <c r="B1147" t="s">
        <v>10281</v>
      </c>
      <c r="C1147" t="s">
        <v>16</v>
      </c>
      <c r="D1147" s="6">
        <v>2253198944.6540756</v>
      </c>
      <c r="E1147" s="6" t="e">
        <v>#N/A</v>
      </c>
      <c r="F1147" s="6">
        <v>47.759998321533203</v>
      </c>
      <c r="G1147" s="6">
        <v>48.220001220703125</v>
      </c>
      <c r="H1147" s="6">
        <v>15.970396688995976</v>
      </c>
      <c r="I1147" s="6">
        <v>0.40295519484375841</v>
      </c>
      <c r="J1147" s="6">
        <v>788494000</v>
      </c>
      <c r="K1147" s="6">
        <v>11.61048689138577</v>
      </c>
      <c r="L1147" t="s">
        <v>6529</v>
      </c>
      <c r="M1147" t="s">
        <v>6530</v>
      </c>
      <c r="N1147" s="4" t="s">
        <v>10282</v>
      </c>
      <c r="O1147" s="4" t="s">
        <v>10283</v>
      </c>
      <c r="P1147" s="4" t="s">
        <v>233</v>
      </c>
    </row>
    <row r="1148" spans="1:16" x14ac:dyDescent="0.35">
      <c r="A1148" t="s">
        <v>10284</v>
      </c>
      <c r="B1148" t="s">
        <v>403</v>
      </c>
      <c r="C1148" t="s">
        <v>16</v>
      </c>
      <c r="D1148" s="6">
        <v>2158592927.7712126</v>
      </c>
      <c r="E1148" s="6">
        <v>2910804927.7712126</v>
      </c>
      <c r="F1148" s="6">
        <v>9.9499998092651367</v>
      </c>
      <c r="G1148" s="6">
        <v>10.010000228881836</v>
      </c>
      <c r="H1148" s="6" t="e">
        <v>#N/A</v>
      </c>
      <c r="I1148" s="6">
        <v>-0.43281330571202936</v>
      </c>
      <c r="J1148" s="6">
        <v>913828000</v>
      </c>
      <c r="K1148" s="6" t="e">
        <v>#N/A</v>
      </c>
      <c r="L1148" t="s">
        <v>17</v>
      </c>
      <c r="M1148" t="s">
        <v>27</v>
      </c>
      <c r="N1148" s="4" t="s">
        <v>404</v>
      </c>
      <c r="O1148" s="4" t="s">
        <v>405</v>
      </c>
      <c r="P1148" s="4" t="s">
        <v>233</v>
      </c>
    </row>
    <row r="1149" spans="1:16" x14ac:dyDescent="0.35">
      <c r="A1149" t="s">
        <v>10285</v>
      </c>
      <c r="B1149" t="s">
        <v>837</v>
      </c>
      <c r="C1149" t="s">
        <v>16</v>
      </c>
      <c r="D1149" s="6">
        <v>238204677.20740557</v>
      </c>
      <c r="E1149" s="6">
        <v>275255677.20740557</v>
      </c>
      <c r="F1149" s="6">
        <v>7.4800000190734863</v>
      </c>
      <c r="G1149" s="6">
        <v>7.4000000953674316</v>
      </c>
      <c r="H1149" s="6">
        <v>51.932182811513158</v>
      </c>
      <c r="I1149" s="6">
        <v>-0.40691104282967983</v>
      </c>
      <c r="J1149" s="6">
        <v>193664000</v>
      </c>
      <c r="K1149" s="6">
        <v>-65.116279069767444</v>
      </c>
      <c r="L1149" t="s">
        <v>17</v>
      </c>
      <c r="M1149" t="s">
        <v>27</v>
      </c>
      <c r="N1149" s="4" t="s">
        <v>838</v>
      </c>
      <c r="O1149" s="4" t="s">
        <v>839</v>
      </c>
      <c r="P1149" s="4" t="s">
        <v>233</v>
      </c>
    </row>
    <row r="1150" spans="1:16" x14ac:dyDescent="0.35">
      <c r="A1150" t="s">
        <v>10286</v>
      </c>
      <c r="B1150" t="s">
        <v>10287</v>
      </c>
      <c r="C1150" t="s">
        <v>16</v>
      </c>
      <c r="D1150" s="6">
        <v>1638190187.1126709</v>
      </c>
      <c r="E1150" s="6">
        <v>3417151187.1126709</v>
      </c>
      <c r="F1150" s="6">
        <v>40.819999694824219</v>
      </c>
      <c r="G1150" s="6">
        <v>40.400001525878906</v>
      </c>
      <c r="H1150" s="6">
        <v>19.254716837181235</v>
      </c>
      <c r="I1150" s="6">
        <v>0.17076505169170231</v>
      </c>
      <c r="J1150" s="6">
        <v>1137832000</v>
      </c>
      <c r="K1150" s="6">
        <v>-22.909090909090903</v>
      </c>
      <c r="L1150" t="s">
        <v>6719</v>
      </c>
      <c r="M1150" t="s">
        <v>7212</v>
      </c>
      <c r="N1150" s="4" t="s">
        <v>10288</v>
      </c>
      <c r="O1150" s="4" t="s">
        <v>10289</v>
      </c>
      <c r="P1150" s="4" t="s">
        <v>233</v>
      </c>
    </row>
    <row r="1151" spans="1:16" x14ac:dyDescent="0.35">
      <c r="A1151" t="s">
        <v>10290</v>
      </c>
      <c r="B1151" t="s">
        <v>2653</v>
      </c>
      <c r="C1151" t="s">
        <v>16</v>
      </c>
      <c r="D1151" s="6">
        <v>3178085181.5734692</v>
      </c>
      <c r="E1151" s="6">
        <v>2662125181.5734692</v>
      </c>
      <c r="F1151" s="6">
        <v>19.100000381469727</v>
      </c>
      <c r="G1151" s="6">
        <v>18.290000915527344</v>
      </c>
      <c r="H1151" s="6">
        <v>24.487179976243237</v>
      </c>
      <c r="I1151" s="6">
        <v>-0.28559018766459399</v>
      </c>
      <c r="J1151" s="6">
        <v>929236000</v>
      </c>
      <c r="K1151" s="6" t="e">
        <v>#N/A</v>
      </c>
      <c r="L1151" t="s">
        <v>17</v>
      </c>
      <c r="M1151" t="s">
        <v>18</v>
      </c>
      <c r="N1151" s="4" t="s">
        <v>2654</v>
      </c>
      <c r="O1151" s="4" t="s">
        <v>2655</v>
      </c>
      <c r="P1151" s="4" t="s">
        <v>233</v>
      </c>
    </row>
    <row r="1152" spans="1:16" x14ac:dyDescent="0.35">
      <c r="A1152" t="s">
        <v>10291</v>
      </c>
      <c r="B1152" t="s">
        <v>10292</v>
      </c>
      <c r="C1152" t="s">
        <v>16</v>
      </c>
      <c r="D1152" s="6">
        <v>357873028.83613592</v>
      </c>
      <c r="E1152" s="6">
        <v>390945028.83613592</v>
      </c>
      <c r="F1152" s="6">
        <v>87.510002136230469</v>
      </c>
      <c r="G1152" s="6">
        <v>86.430000305175781</v>
      </c>
      <c r="H1152" s="6">
        <v>14.91071752501357</v>
      </c>
      <c r="I1152" s="6">
        <v>0.32870610437635106</v>
      </c>
      <c r="J1152" s="6">
        <v>146386000</v>
      </c>
      <c r="K1152" s="6">
        <v>24.713979449685169</v>
      </c>
      <c r="L1152" t="s">
        <v>6540</v>
      </c>
      <c r="M1152" t="s">
        <v>6825</v>
      </c>
      <c r="N1152" s="4" t="s">
        <v>10293</v>
      </c>
      <c r="O1152" s="4" t="s">
        <v>10294</v>
      </c>
      <c r="P1152" s="4" t="s">
        <v>233</v>
      </c>
    </row>
    <row r="1153" spans="1:16" x14ac:dyDescent="0.35">
      <c r="A1153" t="s">
        <v>10295</v>
      </c>
      <c r="B1153" t="s">
        <v>10296</v>
      </c>
      <c r="C1153" t="s">
        <v>16</v>
      </c>
      <c r="D1153" s="6">
        <v>898960789.28687274</v>
      </c>
      <c r="E1153" s="6">
        <v>1019678789.2868727</v>
      </c>
      <c r="F1153" s="6">
        <v>25.700000762939453</v>
      </c>
      <c r="G1153" s="6">
        <v>25.729999542236328</v>
      </c>
      <c r="H1153" s="6">
        <v>38.647605672535171</v>
      </c>
      <c r="I1153" s="6">
        <v>0.26581611906012359</v>
      </c>
      <c r="J1153" s="6">
        <v>553078000</v>
      </c>
      <c r="K1153" s="6">
        <v>-33.333333333333336</v>
      </c>
      <c r="L1153" t="s">
        <v>6547</v>
      </c>
      <c r="M1153" t="s">
        <v>6802</v>
      </c>
      <c r="N1153" s="4" t="s">
        <v>10297</v>
      </c>
      <c r="O1153" s="4" t="s">
        <v>10298</v>
      </c>
      <c r="P1153" s="4" t="s">
        <v>233</v>
      </c>
    </row>
    <row r="1154" spans="1:16" x14ac:dyDescent="0.35">
      <c r="A1154" t="s">
        <v>10299</v>
      </c>
      <c r="B1154" t="s">
        <v>10300</v>
      </c>
      <c r="C1154" t="s">
        <v>16</v>
      </c>
      <c r="D1154" s="6">
        <v>2310664251.634613</v>
      </c>
      <c r="E1154" s="6">
        <v>2310803251.634613</v>
      </c>
      <c r="F1154" s="6">
        <v>82.629997253417969</v>
      </c>
      <c r="G1154" s="6">
        <v>82.610000610351563</v>
      </c>
      <c r="H1154" s="6">
        <v>109.62927611694758</v>
      </c>
      <c r="I1154" s="6">
        <v>-9.5702692348662577E-2</v>
      </c>
      <c r="J1154" s="6">
        <v>263573000</v>
      </c>
      <c r="K1154" s="6">
        <v>-75.375375375375384</v>
      </c>
      <c r="L1154" t="s">
        <v>6518</v>
      </c>
      <c r="M1154" t="s">
        <v>6519</v>
      </c>
      <c r="N1154" s="4" t="s">
        <v>10301</v>
      </c>
      <c r="O1154" s="4" t="s">
        <v>10302</v>
      </c>
      <c r="P1154" s="4" t="s">
        <v>233</v>
      </c>
    </row>
    <row r="1155" spans="1:16" x14ac:dyDescent="0.35">
      <c r="A1155" t="s">
        <v>10303</v>
      </c>
      <c r="B1155" t="s">
        <v>10304</v>
      </c>
      <c r="C1155" t="s">
        <v>16</v>
      </c>
      <c r="D1155" s="6">
        <v>1779984565.2758405</v>
      </c>
      <c r="E1155" s="6">
        <v>6563984565.2758408</v>
      </c>
      <c r="F1155" s="6">
        <v>11.510000228881836</v>
      </c>
      <c r="G1155" s="6">
        <v>11.390000343322754</v>
      </c>
      <c r="H1155" s="6">
        <v>6.280608541781235</v>
      </c>
      <c r="I1155" s="6">
        <v>-0.31417268649002705</v>
      </c>
      <c r="J1155" s="6">
        <v>6531000000</v>
      </c>
      <c r="K1155" s="6">
        <v>-2.9850746268656576</v>
      </c>
      <c r="L1155" t="s">
        <v>6563</v>
      </c>
      <c r="M1155" t="s">
        <v>9157</v>
      </c>
      <c r="N1155" s="4" t="s">
        <v>10305</v>
      </c>
      <c r="O1155" s="4" t="s">
        <v>10306</v>
      </c>
      <c r="P1155" s="4" t="s">
        <v>233</v>
      </c>
    </row>
    <row r="1156" spans="1:16" x14ac:dyDescent="0.35">
      <c r="A1156" t="s">
        <v>10307</v>
      </c>
      <c r="B1156" t="s">
        <v>10308</v>
      </c>
      <c r="C1156" t="s">
        <v>16</v>
      </c>
      <c r="D1156" s="6">
        <v>242972437.55489731</v>
      </c>
      <c r="E1156" s="6" t="e">
        <v>#N/A</v>
      </c>
      <c r="F1156" s="6">
        <v>51.060001373291016</v>
      </c>
      <c r="G1156" s="6">
        <v>51.400001525878906</v>
      </c>
      <c r="H1156" s="6">
        <v>10.294355115582865</v>
      </c>
      <c r="I1156" s="6">
        <v>0.18332574517858968</v>
      </c>
      <c r="J1156" s="6">
        <v>150794000</v>
      </c>
      <c r="K1156" s="6">
        <v>-6.0606060606060659</v>
      </c>
      <c r="L1156" t="s">
        <v>6529</v>
      </c>
      <c r="M1156" t="s">
        <v>6530</v>
      </c>
      <c r="N1156" s="4" t="s">
        <v>10309</v>
      </c>
      <c r="O1156" s="4" t="s">
        <v>10310</v>
      </c>
      <c r="P1156" s="4" t="s">
        <v>233</v>
      </c>
    </row>
    <row r="1157" spans="1:16" x14ac:dyDescent="0.35">
      <c r="A1157" t="s">
        <v>10311</v>
      </c>
      <c r="B1157" t="s">
        <v>10312</v>
      </c>
      <c r="C1157" t="s">
        <v>16</v>
      </c>
      <c r="D1157" s="6">
        <v>3768586688.427978</v>
      </c>
      <c r="E1157" s="6">
        <v>3712129688.427978</v>
      </c>
      <c r="F1157" s="6">
        <v>139.3699951171875</v>
      </c>
      <c r="G1157" s="6">
        <v>138.91000366210938</v>
      </c>
      <c r="H1157" s="6">
        <v>26.107267984397357</v>
      </c>
      <c r="I1157" s="6">
        <v>0.39396561318955903</v>
      </c>
      <c r="J1157" s="6">
        <v>3954342000</v>
      </c>
      <c r="K1157" s="6">
        <v>-3.7117903930130987</v>
      </c>
      <c r="L1157" t="s">
        <v>6518</v>
      </c>
      <c r="M1157" t="s">
        <v>6714</v>
      </c>
      <c r="N1157" s="4" t="s">
        <v>10313</v>
      </c>
      <c r="O1157" s="4" t="s">
        <v>10314</v>
      </c>
      <c r="P1157" s="4" t="s">
        <v>233</v>
      </c>
    </row>
    <row r="1158" spans="1:16" x14ac:dyDescent="0.35">
      <c r="A1158" t="s">
        <v>10315</v>
      </c>
      <c r="B1158" t="s">
        <v>10316</v>
      </c>
      <c r="C1158" t="s">
        <v>16</v>
      </c>
      <c r="D1158" s="6">
        <v>1878789015.3712311</v>
      </c>
      <c r="E1158" s="6" t="e">
        <v>#N/A</v>
      </c>
      <c r="F1158" s="6">
        <v>78.790000915527344</v>
      </c>
      <c r="G1158" s="6">
        <v>80.089996337890625</v>
      </c>
      <c r="H1158" s="6">
        <v>11.210011200838089</v>
      </c>
      <c r="I1158" s="6">
        <v>0.50002499622003249</v>
      </c>
      <c r="J1158" s="6">
        <v>783896000</v>
      </c>
      <c r="K1158" s="6">
        <v>12.274959083469707</v>
      </c>
      <c r="L1158" t="s">
        <v>6529</v>
      </c>
      <c r="M1158" t="s">
        <v>6530</v>
      </c>
      <c r="N1158" s="4" t="s">
        <v>10317</v>
      </c>
      <c r="O1158" s="4" t="s">
        <v>10318</v>
      </c>
      <c r="P1158" s="4" t="s">
        <v>233</v>
      </c>
    </row>
    <row r="1159" spans="1:16" x14ac:dyDescent="0.35">
      <c r="A1159" t="s">
        <v>10319</v>
      </c>
      <c r="B1159" t="s">
        <v>10320</v>
      </c>
      <c r="C1159" t="s">
        <v>16</v>
      </c>
      <c r="D1159" s="6">
        <v>2526714849.5253296</v>
      </c>
      <c r="E1159" s="6">
        <v>2154682849.5253296</v>
      </c>
      <c r="F1159" s="6">
        <v>209.42999267578125</v>
      </c>
      <c r="G1159" s="6">
        <v>205.52999877929688</v>
      </c>
      <c r="H1159" s="6">
        <v>15.90204955776623</v>
      </c>
      <c r="I1159" s="6">
        <v>0.37868080379029645</v>
      </c>
      <c r="J1159" s="6">
        <v>1059770000</v>
      </c>
      <c r="K1159" s="6">
        <v>105.69230769230771</v>
      </c>
      <c r="L1159" t="s">
        <v>6547</v>
      </c>
      <c r="M1159" t="s">
        <v>6602</v>
      </c>
      <c r="N1159" s="4" t="s">
        <v>10321</v>
      </c>
      <c r="O1159" s="4" t="s">
        <v>10322</v>
      </c>
      <c r="P1159" s="4" t="s">
        <v>233</v>
      </c>
    </row>
    <row r="1160" spans="1:16" x14ac:dyDescent="0.35">
      <c r="A1160" t="s">
        <v>10323</v>
      </c>
      <c r="B1160" t="s">
        <v>10324</v>
      </c>
      <c r="C1160" t="s">
        <v>16</v>
      </c>
      <c r="D1160" s="6">
        <v>418947810.06996155</v>
      </c>
      <c r="E1160" s="6">
        <v>399571810.06996155</v>
      </c>
      <c r="F1160" s="6">
        <v>222.36000061035156</v>
      </c>
      <c r="G1160" s="6">
        <v>227.14999389648438</v>
      </c>
      <c r="H1160" s="6">
        <v>15.827314617371437</v>
      </c>
      <c r="I1160" s="6">
        <v>0.42736120886763684</v>
      </c>
      <c r="J1160" s="6">
        <v>241353000</v>
      </c>
      <c r="K1160" s="6">
        <v>22.690437601296601</v>
      </c>
      <c r="L1160" t="s">
        <v>6529</v>
      </c>
      <c r="M1160" t="s">
        <v>6664</v>
      </c>
      <c r="N1160" s="4" t="s">
        <v>10325</v>
      </c>
      <c r="O1160" s="4" t="s">
        <v>10326</v>
      </c>
      <c r="P1160" s="4" t="s">
        <v>233</v>
      </c>
    </row>
    <row r="1161" spans="1:16" x14ac:dyDescent="0.35">
      <c r="A1161" t="s">
        <v>10327</v>
      </c>
      <c r="B1161" t="s">
        <v>328</v>
      </c>
      <c r="C1161" t="s">
        <v>16</v>
      </c>
      <c r="D1161" s="6">
        <v>774995392.94128406</v>
      </c>
      <c r="E1161" s="6">
        <v>939755392.94128406</v>
      </c>
      <c r="F1161" s="6">
        <v>142.6300048828125</v>
      </c>
      <c r="G1161" s="6">
        <v>147.24000549316406</v>
      </c>
      <c r="H1161" s="6" t="e">
        <v>#N/A</v>
      </c>
      <c r="I1161" s="6">
        <v>0.50307922165153629</v>
      </c>
      <c r="J1161" s="6">
        <v>237747000</v>
      </c>
      <c r="K1161" s="6" t="e">
        <v>#N/A</v>
      </c>
      <c r="L1161" t="s">
        <v>17</v>
      </c>
      <c r="M1161" t="s">
        <v>100</v>
      </c>
      <c r="N1161" s="4" t="s">
        <v>329</v>
      </c>
      <c r="O1161" s="4" t="s">
        <v>330</v>
      </c>
      <c r="P1161" s="4" t="s">
        <v>233</v>
      </c>
    </row>
    <row r="1162" spans="1:16" x14ac:dyDescent="0.35">
      <c r="A1162" t="s">
        <v>10328</v>
      </c>
      <c r="B1162" t="s">
        <v>10329</v>
      </c>
      <c r="C1162" t="s">
        <v>16</v>
      </c>
      <c r="D1162" s="6">
        <v>388267971.2247467</v>
      </c>
      <c r="E1162" s="6" t="e">
        <v>#N/A</v>
      </c>
      <c r="F1162" s="6">
        <v>57.290000915527344</v>
      </c>
      <c r="G1162" s="6">
        <v>56.979999542236328</v>
      </c>
      <c r="H1162" s="6">
        <v>11.573737558692391</v>
      </c>
      <c r="I1162" s="6">
        <v>0.10277558893396921</v>
      </c>
      <c r="J1162" s="6">
        <v>157671000</v>
      </c>
      <c r="K1162" s="6">
        <v>1.8480492813141653</v>
      </c>
      <c r="L1162" t="s">
        <v>6529</v>
      </c>
      <c r="M1162" t="s">
        <v>6530</v>
      </c>
      <c r="N1162" s="4" t="s">
        <v>10330</v>
      </c>
      <c r="O1162" s="4" t="s">
        <v>10331</v>
      </c>
      <c r="P1162" s="4" t="s">
        <v>233</v>
      </c>
    </row>
    <row r="1163" spans="1:16" x14ac:dyDescent="0.35">
      <c r="A1163" t="s">
        <v>10332</v>
      </c>
      <c r="B1163" t="s">
        <v>10333</v>
      </c>
      <c r="C1163" t="s">
        <v>16</v>
      </c>
      <c r="D1163" s="6">
        <v>1929694054.5715055</v>
      </c>
      <c r="E1163" s="6">
        <v>832317054.57150531</v>
      </c>
      <c r="F1163" s="6">
        <v>3.7100000381469727</v>
      </c>
      <c r="G1163" s="6">
        <v>3.7100000381469727</v>
      </c>
      <c r="H1163" s="6">
        <v>55.534765932893819</v>
      </c>
      <c r="I1163" s="6">
        <v>-0.39097639935462003</v>
      </c>
      <c r="J1163" s="6">
        <v>490027000</v>
      </c>
      <c r="K1163" s="6" t="e">
        <v>#N/A</v>
      </c>
      <c r="L1163" t="s">
        <v>6529</v>
      </c>
      <c r="M1163" t="s">
        <v>6639</v>
      </c>
      <c r="N1163" s="4" t="s">
        <v>10334</v>
      </c>
      <c r="O1163" s="4" t="s">
        <v>10335</v>
      </c>
      <c r="P1163" s="4" t="s">
        <v>233</v>
      </c>
    </row>
    <row r="1164" spans="1:16" x14ac:dyDescent="0.35">
      <c r="A1164" t="s">
        <v>10336</v>
      </c>
      <c r="B1164" t="s">
        <v>10337</v>
      </c>
      <c r="C1164" t="s">
        <v>16</v>
      </c>
      <c r="D1164" s="6">
        <v>2458097921.8972778</v>
      </c>
      <c r="E1164" s="6">
        <v>3017860921.8972778</v>
      </c>
      <c r="F1164" s="6">
        <v>138.19000244140625</v>
      </c>
      <c r="G1164" s="6">
        <v>137.22999572753906</v>
      </c>
      <c r="H1164" s="6">
        <v>18.185871798147783</v>
      </c>
      <c r="I1164" s="6">
        <v>-0.29994184146600578</v>
      </c>
      <c r="J1164" s="6">
        <v>1862709000</v>
      </c>
      <c r="K1164" s="6">
        <v>658.88888888888937</v>
      </c>
      <c r="L1164" t="s">
        <v>6563</v>
      </c>
      <c r="M1164" t="s">
        <v>6764</v>
      </c>
      <c r="N1164" s="4" t="s">
        <v>10338</v>
      </c>
      <c r="O1164" s="4" t="s">
        <v>10339</v>
      </c>
      <c r="P1164" s="4" t="s">
        <v>233</v>
      </c>
    </row>
    <row r="1165" spans="1:16" x14ac:dyDescent="0.35">
      <c r="A1165" t="s">
        <v>10340</v>
      </c>
      <c r="B1165" t="s">
        <v>4507</v>
      </c>
      <c r="C1165" t="s">
        <v>16</v>
      </c>
      <c r="D1165" s="6">
        <v>200902346.99367821</v>
      </c>
      <c r="E1165" s="6">
        <v>62112346.993678242</v>
      </c>
      <c r="F1165" s="6">
        <v>1.6000000238418579</v>
      </c>
      <c r="G1165" s="6">
        <v>1.5900000333786011</v>
      </c>
      <c r="H1165" s="6" t="e">
        <v>#N/A</v>
      </c>
      <c r="I1165" s="6">
        <v>-0.45671972790293602</v>
      </c>
      <c r="J1165" s="6">
        <v>0</v>
      </c>
      <c r="K1165" s="6">
        <v>-10.869565217391301</v>
      </c>
      <c r="L1165" t="s">
        <v>17</v>
      </c>
      <c r="M1165" t="s">
        <v>100</v>
      </c>
      <c r="N1165" s="4" t="s">
        <v>4508</v>
      </c>
      <c r="O1165" s="4" t="s">
        <v>4509</v>
      </c>
      <c r="P1165" s="4" t="s">
        <v>233</v>
      </c>
    </row>
    <row r="1166" spans="1:16" x14ac:dyDescent="0.35">
      <c r="A1166" t="s">
        <v>10341</v>
      </c>
      <c r="B1166" t="s">
        <v>5788</v>
      </c>
      <c r="C1166" t="s">
        <v>16</v>
      </c>
      <c r="D1166" s="6">
        <v>185725847.21557617</v>
      </c>
      <c r="E1166" s="6">
        <v>-8771152.7844238281</v>
      </c>
      <c r="F1166" s="6">
        <v>12.829999923706055</v>
      </c>
      <c r="G1166" s="6">
        <v>12.460000038146973</v>
      </c>
      <c r="H1166" s="6" t="e">
        <v>#N/A</v>
      </c>
      <c r="I1166" s="6">
        <v>-0.26588907059595146</v>
      </c>
      <c r="J1166" s="6" t="e">
        <v>#N/A</v>
      </c>
      <c r="K1166" s="6" t="e">
        <v>#N/A</v>
      </c>
      <c r="L1166" t="s">
        <v>17</v>
      </c>
      <c r="M1166" t="s">
        <v>18</v>
      </c>
      <c r="N1166" s="4" t="s">
        <v>5789</v>
      </c>
      <c r="O1166" s="4" t="s">
        <v>5790</v>
      </c>
      <c r="P1166" s="4" t="s">
        <v>233</v>
      </c>
    </row>
    <row r="1167" spans="1:16" x14ac:dyDescent="0.35">
      <c r="A1167" t="s">
        <v>10342</v>
      </c>
      <c r="B1167" t="s">
        <v>3494</v>
      </c>
      <c r="C1167" t="s">
        <v>16</v>
      </c>
      <c r="D1167" s="6">
        <v>55709891.765339613</v>
      </c>
      <c r="E1167" s="6">
        <v>70520182.765339613</v>
      </c>
      <c r="F1167" s="6">
        <v>1.7400000095367432</v>
      </c>
      <c r="G1167" s="6">
        <v>1.6499999761581421</v>
      </c>
      <c r="H1167" s="6" t="e">
        <v>#N/A</v>
      </c>
      <c r="I1167" s="6">
        <v>-0.80017225422807015</v>
      </c>
      <c r="J1167" s="6">
        <v>0</v>
      </c>
      <c r="K1167" s="6">
        <v>15.416666666666673</v>
      </c>
      <c r="L1167" t="s">
        <v>17</v>
      </c>
      <c r="M1167" t="s">
        <v>18</v>
      </c>
      <c r="N1167" s="4" t="s">
        <v>3495</v>
      </c>
      <c r="O1167" s="4" t="s">
        <v>3496</v>
      </c>
      <c r="P1167" s="4" t="s">
        <v>233</v>
      </c>
    </row>
    <row r="1168" spans="1:16" x14ac:dyDescent="0.35">
      <c r="A1168" t="s">
        <v>10343</v>
      </c>
      <c r="B1168" t="s">
        <v>10344</v>
      </c>
      <c r="C1168" t="s">
        <v>16</v>
      </c>
      <c r="D1168" s="6">
        <v>655398414.8431921</v>
      </c>
      <c r="E1168" s="6">
        <v>3850498414.8431921</v>
      </c>
      <c r="F1168" s="6">
        <v>2.880000114440918</v>
      </c>
      <c r="G1168" s="6">
        <v>2.8599998950958252</v>
      </c>
      <c r="H1168" s="6" t="e">
        <v>#N/A</v>
      </c>
      <c r="I1168" s="6">
        <v>0.56330262523617258</v>
      </c>
      <c r="J1168" s="6">
        <v>2771200000</v>
      </c>
      <c r="K1168" s="6">
        <v>31.027667984189726</v>
      </c>
      <c r="L1168" t="s">
        <v>6518</v>
      </c>
      <c r="M1168" t="s">
        <v>6789</v>
      </c>
      <c r="N1168" s="4" t="s">
        <v>10345</v>
      </c>
      <c r="O1168" s="4" t="s">
        <v>10346</v>
      </c>
      <c r="P1168" s="4" t="s">
        <v>233</v>
      </c>
    </row>
    <row r="1169" spans="1:16" x14ac:dyDescent="0.35">
      <c r="A1169" t="s">
        <v>10347</v>
      </c>
      <c r="B1169" t="s">
        <v>10348</v>
      </c>
      <c r="C1169" t="s">
        <v>16</v>
      </c>
      <c r="D1169" s="6">
        <v>555714070.15983582</v>
      </c>
      <c r="E1169" s="6">
        <v>609304070.15983582</v>
      </c>
      <c r="F1169" s="6">
        <v>7.0900001525878906</v>
      </c>
      <c r="G1169" s="6">
        <v>6.7600002288818359</v>
      </c>
      <c r="H1169" s="6" t="e">
        <v>#N/A</v>
      </c>
      <c r="I1169" s="6">
        <v>-0.19292777047688148</v>
      </c>
      <c r="J1169" s="6">
        <v>330048000</v>
      </c>
      <c r="K1169" s="6">
        <v>71.653543307086608</v>
      </c>
      <c r="L1169" t="s">
        <v>6518</v>
      </c>
      <c r="M1169" t="s">
        <v>6789</v>
      </c>
      <c r="N1169" s="4" t="s">
        <v>10349</v>
      </c>
      <c r="O1169" s="4" t="s">
        <v>10350</v>
      </c>
      <c r="P1169" s="4" t="s">
        <v>233</v>
      </c>
    </row>
    <row r="1170" spans="1:16" x14ac:dyDescent="0.35">
      <c r="A1170" t="s">
        <v>10351</v>
      </c>
      <c r="B1170" t="s">
        <v>10352</v>
      </c>
      <c r="C1170" t="s">
        <v>16</v>
      </c>
      <c r="D1170" s="6">
        <v>720351617.59942627</v>
      </c>
      <c r="E1170" s="6">
        <v>692886617.59942627</v>
      </c>
      <c r="F1170" s="6">
        <v>33.580001831054688</v>
      </c>
      <c r="G1170" s="6">
        <v>33.869998931884766</v>
      </c>
      <c r="H1170" s="6" t="e">
        <v>#N/A</v>
      </c>
      <c r="I1170" s="6">
        <v>-0.19270299223844678</v>
      </c>
      <c r="J1170" s="6">
        <v>39044000</v>
      </c>
      <c r="K1170" s="6">
        <v>18.067226890756299</v>
      </c>
      <c r="L1170" t="s">
        <v>6518</v>
      </c>
      <c r="M1170" t="s">
        <v>6519</v>
      </c>
      <c r="N1170" s="4" t="s">
        <v>10353</v>
      </c>
      <c r="O1170" s="4" t="s">
        <v>10354</v>
      </c>
      <c r="P1170" s="4" t="s">
        <v>233</v>
      </c>
    </row>
    <row r="1171" spans="1:16" x14ac:dyDescent="0.35">
      <c r="A1171" t="s">
        <v>10355</v>
      </c>
      <c r="B1171" t="s">
        <v>2843</v>
      </c>
      <c r="C1171" t="s">
        <v>16</v>
      </c>
      <c r="D1171" s="6">
        <v>86464123.606715217</v>
      </c>
      <c r="E1171" s="6">
        <v>19242503.606715217</v>
      </c>
      <c r="F1171" s="6">
        <v>2.8499999046325684</v>
      </c>
      <c r="G1171" s="6">
        <v>2.9300000667572021</v>
      </c>
      <c r="H1171" s="6" t="e">
        <v>#N/A</v>
      </c>
      <c r="I1171" s="6">
        <v>-0.83062736423534866</v>
      </c>
      <c r="J1171" s="6">
        <v>0</v>
      </c>
      <c r="K1171" s="6">
        <v>87.713949180191889</v>
      </c>
      <c r="L1171" t="s">
        <v>17</v>
      </c>
      <c r="M1171" t="s">
        <v>18</v>
      </c>
      <c r="N1171" s="4" t="s">
        <v>2844</v>
      </c>
      <c r="O1171" s="4" t="s">
        <v>2845</v>
      </c>
      <c r="P1171" s="4" t="s">
        <v>233</v>
      </c>
    </row>
    <row r="1172" spans="1:16" x14ac:dyDescent="0.35">
      <c r="A1172" t="s">
        <v>10356</v>
      </c>
      <c r="B1172" t="s">
        <v>3999</v>
      </c>
      <c r="C1172" t="s">
        <v>16</v>
      </c>
      <c r="D1172" s="6">
        <v>1234455065.1187706</v>
      </c>
      <c r="E1172" s="6">
        <v>204755065.1187706</v>
      </c>
      <c r="F1172" s="6">
        <v>17.950000762939453</v>
      </c>
      <c r="G1172" s="6">
        <v>17.510000228881836</v>
      </c>
      <c r="H1172" s="6" t="e">
        <v>#N/A</v>
      </c>
      <c r="I1172" s="6">
        <v>-0.64827158331245649</v>
      </c>
      <c r="J1172" s="6">
        <v>263399999.99999997</v>
      </c>
      <c r="K1172" s="6">
        <v>58.157099697885194</v>
      </c>
      <c r="L1172" t="s">
        <v>17</v>
      </c>
      <c r="M1172" t="s">
        <v>87</v>
      </c>
      <c r="N1172" s="4" t="s">
        <v>4000</v>
      </c>
      <c r="O1172" s="4" t="s">
        <v>4001</v>
      </c>
      <c r="P1172" s="4" t="s">
        <v>233</v>
      </c>
    </row>
    <row r="1173" spans="1:16" x14ac:dyDescent="0.35">
      <c r="A1173" t="s">
        <v>10357</v>
      </c>
      <c r="B1173" t="s">
        <v>10358</v>
      </c>
      <c r="C1173" t="s">
        <v>16</v>
      </c>
      <c r="D1173" s="6">
        <v>3166679131.5890465</v>
      </c>
      <c r="E1173" s="6">
        <v>5636874131.5890465</v>
      </c>
      <c r="F1173" s="6">
        <v>28.100000381469727</v>
      </c>
      <c r="G1173" s="6">
        <v>27.940000534057617</v>
      </c>
      <c r="H1173" s="6">
        <v>22.798744999261455</v>
      </c>
      <c r="I1173" s="6">
        <v>0.19585879965379482</v>
      </c>
      <c r="J1173" s="6">
        <v>753267000</v>
      </c>
      <c r="K1173" s="6" t="e">
        <v>#N/A</v>
      </c>
      <c r="L1173" t="s">
        <v>6623</v>
      </c>
      <c r="M1173" t="s">
        <v>6866</v>
      </c>
      <c r="N1173" s="4" t="s">
        <v>10359</v>
      </c>
      <c r="O1173" s="4" t="s">
        <v>10360</v>
      </c>
      <c r="P1173" s="4" t="s">
        <v>233</v>
      </c>
    </row>
    <row r="1174" spans="1:16" x14ac:dyDescent="0.35">
      <c r="A1174" t="s">
        <v>10361</v>
      </c>
      <c r="B1174" t="s">
        <v>10362</v>
      </c>
      <c r="C1174" t="s">
        <v>16</v>
      </c>
      <c r="D1174" s="6">
        <v>3299769079.2501073</v>
      </c>
      <c r="E1174" s="6">
        <v>16671066079.250109</v>
      </c>
      <c r="F1174" s="6">
        <v>19.229999542236328</v>
      </c>
      <c r="G1174" s="6">
        <v>18.530000686645508</v>
      </c>
      <c r="H1174" s="6" t="e">
        <v>#N/A</v>
      </c>
      <c r="I1174" s="6">
        <v>0.13068151145273399</v>
      </c>
      <c r="J1174" s="6">
        <v>1227494000</v>
      </c>
      <c r="K1174" s="6" t="e">
        <v>#N/A</v>
      </c>
      <c r="L1174" t="s">
        <v>6529</v>
      </c>
      <c r="M1174" t="s">
        <v>8169</v>
      </c>
      <c r="N1174" s="4" t="s">
        <v>10363</v>
      </c>
      <c r="O1174" s="4" t="s">
        <v>10364</v>
      </c>
      <c r="P1174" s="4" t="s">
        <v>233</v>
      </c>
    </row>
    <row r="1175" spans="1:16" x14ac:dyDescent="0.35">
      <c r="A1175" t="s">
        <v>10365</v>
      </c>
      <c r="B1175" t="s">
        <v>4367</v>
      </c>
      <c r="C1175" t="s">
        <v>16</v>
      </c>
      <c r="D1175" s="6">
        <v>153933270.11675835</v>
      </c>
      <c r="E1175" s="6">
        <v>-194052729.88324165</v>
      </c>
      <c r="F1175" s="6">
        <v>2.1600000858306885</v>
      </c>
      <c r="G1175" s="6">
        <v>2.0199999809265137</v>
      </c>
      <c r="H1175" s="6" t="e">
        <v>#N/A</v>
      </c>
      <c r="I1175" s="6">
        <v>-0.81131377250852799</v>
      </c>
      <c r="J1175" s="6">
        <v>40560000</v>
      </c>
      <c r="K1175" s="6">
        <v>45.879851622826983</v>
      </c>
      <c r="L1175" t="s">
        <v>17</v>
      </c>
      <c r="M1175" t="s">
        <v>18</v>
      </c>
      <c r="N1175" s="4" t="s">
        <v>4368</v>
      </c>
      <c r="O1175" s="4" t="s">
        <v>4369</v>
      </c>
      <c r="P1175" s="4" t="s">
        <v>233</v>
      </c>
    </row>
    <row r="1176" spans="1:16" x14ac:dyDescent="0.35">
      <c r="A1176" t="s">
        <v>10366</v>
      </c>
      <c r="B1176" t="s">
        <v>26</v>
      </c>
      <c r="C1176" t="s">
        <v>16</v>
      </c>
      <c r="D1176" s="6">
        <v>205328677.90512085</v>
      </c>
      <c r="E1176" s="6">
        <v>122634677.90512085</v>
      </c>
      <c r="F1176" s="6">
        <v>60.540000915527344</v>
      </c>
      <c r="G1176" s="6">
        <v>60.900001525878906</v>
      </c>
      <c r="H1176" s="6">
        <v>15.284019418209377</v>
      </c>
      <c r="I1176" s="6">
        <v>-0.17759242561746835</v>
      </c>
      <c r="J1176" s="6">
        <v>40903000</v>
      </c>
      <c r="K1176" s="6">
        <v>-13.515283842794764</v>
      </c>
      <c r="L1176" t="s">
        <v>17</v>
      </c>
      <c r="M1176" t="s">
        <v>27</v>
      </c>
      <c r="N1176" s="4" t="s">
        <v>28</v>
      </c>
      <c r="O1176" s="4" t="s">
        <v>29</v>
      </c>
      <c r="P1176" s="4" t="s">
        <v>233</v>
      </c>
    </row>
    <row r="1177" spans="1:16" x14ac:dyDescent="0.35">
      <c r="A1177" t="s">
        <v>10367</v>
      </c>
      <c r="B1177" t="s">
        <v>10368</v>
      </c>
      <c r="C1177" t="s">
        <v>16</v>
      </c>
      <c r="D1177" s="6">
        <v>845039701.92409897</v>
      </c>
      <c r="E1177" s="6" t="e">
        <v>#N/A</v>
      </c>
      <c r="F1177" s="6">
        <v>18.840000152587891</v>
      </c>
      <c r="G1177" s="6">
        <v>19</v>
      </c>
      <c r="H1177" s="6">
        <v>9.946088480374895</v>
      </c>
      <c r="I1177" s="6">
        <v>0.39233582304188164</v>
      </c>
      <c r="J1177" s="6">
        <v>341723000</v>
      </c>
      <c r="K1177" s="6">
        <v>-7.317073170731704</v>
      </c>
      <c r="L1177" t="s">
        <v>6529</v>
      </c>
      <c r="M1177" t="s">
        <v>6530</v>
      </c>
      <c r="N1177" s="4" t="s">
        <v>10369</v>
      </c>
      <c r="O1177" s="4" t="s">
        <v>10370</v>
      </c>
      <c r="P1177" s="4" t="s">
        <v>233</v>
      </c>
    </row>
    <row r="1178" spans="1:16" x14ac:dyDescent="0.35">
      <c r="A1178" t="s">
        <v>10371</v>
      </c>
      <c r="B1178" t="s">
        <v>10372</v>
      </c>
      <c r="C1178" t="s">
        <v>16</v>
      </c>
      <c r="D1178" s="6">
        <v>4892021569.2211924</v>
      </c>
      <c r="E1178" s="6">
        <v>4531287569.2211924</v>
      </c>
      <c r="F1178" s="6">
        <v>150.72000122070313</v>
      </c>
      <c r="G1178" s="6">
        <v>145.35000610351563</v>
      </c>
      <c r="H1178" s="6" t="e">
        <v>#N/A</v>
      </c>
      <c r="I1178" s="6">
        <v>4.1990025069882808E-2</v>
      </c>
      <c r="J1178" s="6">
        <v>584386000</v>
      </c>
      <c r="K1178" s="6">
        <v>-444.0366972477064</v>
      </c>
      <c r="L1178" t="s">
        <v>6518</v>
      </c>
      <c r="M1178" t="s">
        <v>6807</v>
      </c>
      <c r="N1178" s="4" t="s">
        <v>10373</v>
      </c>
      <c r="O1178" s="4" t="s">
        <v>10374</v>
      </c>
      <c r="P1178" s="4" t="s">
        <v>233</v>
      </c>
    </row>
    <row r="1179" spans="1:16" x14ac:dyDescent="0.35">
      <c r="A1179" t="s">
        <v>10375</v>
      </c>
      <c r="B1179" t="s">
        <v>1384</v>
      </c>
      <c r="C1179" t="s">
        <v>16</v>
      </c>
      <c r="D1179" s="6">
        <v>2071889758.6365128</v>
      </c>
      <c r="E1179" s="6">
        <v>1909955758.6365128</v>
      </c>
      <c r="F1179" s="6">
        <v>114.26000213623047</v>
      </c>
      <c r="G1179" s="6">
        <v>113.73000335693359</v>
      </c>
      <c r="H1179" s="6">
        <v>24.27540326280247</v>
      </c>
      <c r="I1179" s="6">
        <v>0.19560396323956852</v>
      </c>
      <c r="J1179" s="6">
        <v>1133806000</v>
      </c>
      <c r="K1179" s="6">
        <v>23.676880222841227</v>
      </c>
      <c r="L1179" t="s">
        <v>17</v>
      </c>
      <c r="M1179" t="s">
        <v>40</v>
      </c>
      <c r="N1179" s="4" t="s">
        <v>1385</v>
      </c>
      <c r="O1179" s="4" t="s">
        <v>1386</v>
      </c>
      <c r="P1179" s="4" t="s">
        <v>233</v>
      </c>
    </row>
    <row r="1180" spans="1:16" x14ac:dyDescent="0.35">
      <c r="A1180" t="s">
        <v>10376</v>
      </c>
      <c r="B1180" t="s">
        <v>10377</v>
      </c>
      <c r="C1180" t="s">
        <v>16</v>
      </c>
      <c r="D1180" s="6">
        <v>583030266.84076309</v>
      </c>
      <c r="E1180" s="6">
        <v>862801266.84076309</v>
      </c>
      <c r="F1180" s="6">
        <v>11.920000076293945</v>
      </c>
      <c r="G1180" s="6">
        <v>11.939999580383301</v>
      </c>
      <c r="H1180" s="6">
        <v>29.784214557019641</v>
      </c>
      <c r="I1180" s="6">
        <v>-1.6170383783421616E-2</v>
      </c>
      <c r="J1180" s="6">
        <v>1291817000</v>
      </c>
      <c r="K1180" s="6">
        <v>14.285714285714263</v>
      </c>
      <c r="L1180" t="s">
        <v>6529</v>
      </c>
      <c r="M1180" t="s">
        <v>6664</v>
      </c>
      <c r="N1180" s="4" t="s">
        <v>10378</v>
      </c>
      <c r="O1180" s="4" t="s">
        <v>10379</v>
      </c>
      <c r="P1180" s="4" t="s">
        <v>233</v>
      </c>
    </row>
    <row r="1181" spans="1:16" x14ac:dyDescent="0.35">
      <c r="A1181" t="s">
        <v>10380</v>
      </c>
      <c r="B1181" t="s">
        <v>10381</v>
      </c>
      <c r="C1181" t="s">
        <v>16</v>
      </c>
      <c r="D1181" s="6">
        <v>594076019.4066925</v>
      </c>
      <c r="E1181" s="6">
        <v>1046158019.4066925</v>
      </c>
      <c r="F1181" s="6">
        <v>44.459999084472656</v>
      </c>
      <c r="G1181" s="6">
        <v>44.130001068115234</v>
      </c>
      <c r="H1181" s="6" t="e">
        <v>#N/A</v>
      </c>
      <c r="I1181" s="6">
        <v>0.2111384988802556</v>
      </c>
      <c r="J1181" s="6">
        <v>773050000</v>
      </c>
      <c r="K1181" s="6">
        <v>75.892857142857153</v>
      </c>
      <c r="L1181" t="s">
        <v>6529</v>
      </c>
      <c r="M1181" t="s">
        <v>6646</v>
      </c>
      <c r="N1181" s="4" t="s">
        <v>10382</v>
      </c>
      <c r="O1181" s="4" t="s">
        <v>10383</v>
      </c>
      <c r="P1181" s="4" t="s">
        <v>233</v>
      </c>
    </row>
    <row r="1182" spans="1:16" x14ac:dyDescent="0.35">
      <c r="A1182" t="s">
        <v>10384</v>
      </c>
      <c r="B1182" t="s">
        <v>10385</v>
      </c>
      <c r="C1182" t="s">
        <v>16</v>
      </c>
      <c r="D1182" s="6">
        <v>1626454216.4570007</v>
      </c>
      <c r="E1182" s="6">
        <v>1507254216.4570007</v>
      </c>
      <c r="F1182" s="6">
        <v>87.160003662109375</v>
      </c>
      <c r="G1182" s="6">
        <v>86.980003356933594</v>
      </c>
      <c r="H1182" s="6">
        <v>38.134558484921129</v>
      </c>
      <c r="I1182" s="6">
        <v>-0.28268888161262595</v>
      </c>
      <c r="J1182" s="6">
        <v>842500000</v>
      </c>
      <c r="K1182" s="6">
        <v>-50</v>
      </c>
      <c r="L1182" t="s">
        <v>6518</v>
      </c>
      <c r="M1182" t="s">
        <v>6714</v>
      </c>
      <c r="N1182" s="4" t="s">
        <v>10386</v>
      </c>
      <c r="O1182" s="4" t="s">
        <v>10387</v>
      </c>
      <c r="P1182" s="4" t="s">
        <v>233</v>
      </c>
    </row>
    <row r="1183" spans="1:16" x14ac:dyDescent="0.35">
      <c r="A1183" t="s">
        <v>10388</v>
      </c>
      <c r="B1183" t="s">
        <v>10389</v>
      </c>
      <c r="C1183" t="s">
        <v>16</v>
      </c>
      <c r="D1183" s="6">
        <v>9441788122.2859039</v>
      </c>
      <c r="E1183" s="6">
        <v>9187925122.2859039</v>
      </c>
      <c r="F1183" s="6">
        <v>110.38999938964844</v>
      </c>
      <c r="G1183" s="6">
        <v>110.30999755859375</v>
      </c>
      <c r="H1183" s="6">
        <v>262.36669397440374</v>
      </c>
      <c r="I1183" s="6">
        <v>0.22559977112345098</v>
      </c>
      <c r="J1183" s="6">
        <v>644660000</v>
      </c>
      <c r="K1183" s="6" t="e">
        <v>#N/A</v>
      </c>
      <c r="L1183" t="s">
        <v>6518</v>
      </c>
      <c r="M1183" t="s">
        <v>6519</v>
      </c>
      <c r="N1183" s="4" t="s">
        <v>10390</v>
      </c>
      <c r="O1183" s="4" t="s">
        <v>10391</v>
      </c>
      <c r="P1183" s="4" t="s">
        <v>233</v>
      </c>
    </row>
    <row r="1184" spans="1:16" x14ac:dyDescent="0.35">
      <c r="A1184" t="s">
        <v>10392</v>
      </c>
      <c r="B1184" t="s">
        <v>10393</v>
      </c>
      <c r="C1184" t="s">
        <v>16</v>
      </c>
      <c r="D1184" s="6">
        <v>564964839.68614769</v>
      </c>
      <c r="E1184" s="6">
        <v>541258839.68614769</v>
      </c>
      <c r="F1184" s="6">
        <v>16.100000381469727</v>
      </c>
      <c r="G1184" s="6">
        <v>15.649999618530273</v>
      </c>
      <c r="H1184" s="6">
        <v>26.794481970259334</v>
      </c>
      <c r="I1184" s="6">
        <v>0.71753841041274424</v>
      </c>
      <c r="J1184" s="6">
        <v>108652000</v>
      </c>
      <c r="K1184" s="6">
        <v>599.99999999999989</v>
      </c>
      <c r="L1184" t="s">
        <v>6514</v>
      </c>
      <c r="M1184" t="s">
        <v>6534</v>
      </c>
      <c r="N1184" s="4" t="s">
        <v>233</v>
      </c>
      <c r="O1184" s="4" t="s">
        <v>10394</v>
      </c>
      <c r="P1184" s="4" t="s">
        <v>13243</v>
      </c>
    </row>
    <row r="1185" spans="1:16" x14ac:dyDescent="0.35">
      <c r="A1185" t="s">
        <v>10395</v>
      </c>
      <c r="B1185" t="s">
        <v>2828</v>
      </c>
      <c r="C1185" t="s">
        <v>16</v>
      </c>
      <c r="D1185" s="6">
        <v>743636659.81887817</v>
      </c>
      <c r="E1185" s="6">
        <v>235868659.81887823</v>
      </c>
      <c r="F1185" s="6">
        <v>13.819999694824219</v>
      </c>
      <c r="G1185" s="6">
        <v>13.5</v>
      </c>
      <c r="H1185" s="6" t="e">
        <v>#N/A</v>
      </c>
      <c r="I1185" s="6">
        <v>-0.52944031403705116</v>
      </c>
      <c r="J1185" s="6">
        <v>133350000.00000001</v>
      </c>
      <c r="K1185" s="6">
        <v>-78.260869565217348</v>
      </c>
      <c r="L1185" t="s">
        <v>17</v>
      </c>
      <c r="M1185" t="s">
        <v>18</v>
      </c>
      <c r="N1185" s="4" t="s">
        <v>233</v>
      </c>
      <c r="O1185" s="4" t="s">
        <v>2829</v>
      </c>
      <c r="P1185" s="4" t="s">
        <v>13090</v>
      </c>
    </row>
    <row r="1186" spans="1:16" x14ac:dyDescent="0.35">
      <c r="A1186" t="s">
        <v>10396</v>
      </c>
      <c r="B1186" t="s">
        <v>10397</v>
      </c>
      <c r="C1186" t="s">
        <v>16</v>
      </c>
      <c r="D1186" s="6">
        <v>555278651.39184189</v>
      </c>
      <c r="E1186" s="6">
        <v>783478651.39184189</v>
      </c>
      <c r="F1186" s="6">
        <v>19.760000228881836</v>
      </c>
      <c r="G1186" s="6">
        <v>19.229999542236328</v>
      </c>
      <c r="H1186" s="6">
        <v>23.810155258696646</v>
      </c>
      <c r="I1186" s="6">
        <v>-0.47908293205037744</v>
      </c>
      <c r="J1186" s="6">
        <v>1580400000</v>
      </c>
      <c r="K1186" s="6" t="e">
        <v>#N/A</v>
      </c>
      <c r="L1186" t="s">
        <v>6514</v>
      </c>
      <c r="M1186" t="s">
        <v>6534</v>
      </c>
      <c r="N1186" s="4" t="s">
        <v>10398</v>
      </c>
      <c r="O1186" s="4" t="s">
        <v>10399</v>
      </c>
      <c r="P1186" s="4" t="s">
        <v>233</v>
      </c>
    </row>
    <row r="1187" spans="1:16" x14ac:dyDescent="0.35">
      <c r="A1187" t="s">
        <v>10400</v>
      </c>
      <c r="B1187" t="s">
        <v>10401</v>
      </c>
      <c r="C1187" t="s">
        <v>16</v>
      </c>
      <c r="D1187" s="6">
        <v>1377577180.4766538</v>
      </c>
      <c r="E1187" s="6">
        <v>1989059180.4766538</v>
      </c>
      <c r="F1187" s="6">
        <v>61.240001678466797</v>
      </c>
      <c r="G1187" s="6">
        <v>61.840000152587891</v>
      </c>
      <c r="H1187" s="6">
        <v>25.250110367580735</v>
      </c>
      <c r="I1187" s="6">
        <v>-0.32433611669742446</v>
      </c>
      <c r="J1187" s="6">
        <v>2186796000</v>
      </c>
      <c r="K1187" s="6">
        <v>-12.608695652173896</v>
      </c>
      <c r="L1187" t="s">
        <v>6563</v>
      </c>
      <c r="M1187" t="s">
        <v>6764</v>
      </c>
      <c r="N1187" s="4" t="s">
        <v>10402</v>
      </c>
      <c r="O1187" s="4" t="s">
        <v>10403</v>
      </c>
      <c r="P1187" s="4" t="s">
        <v>233</v>
      </c>
    </row>
    <row r="1188" spans="1:16" x14ac:dyDescent="0.35">
      <c r="A1188" t="s">
        <v>10404</v>
      </c>
      <c r="B1188" t="s">
        <v>10405</v>
      </c>
      <c r="C1188" t="s">
        <v>16</v>
      </c>
      <c r="D1188" s="6">
        <v>547926633.21532714</v>
      </c>
      <c r="E1188" s="6">
        <v>963989633.21532726</v>
      </c>
      <c r="F1188" s="6">
        <v>79.089996337890625</v>
      </c>
      <c r="G1188" s="6">
        <v>78.779998779296875</v>
      </c>
      <c r="H1188" s="6">
        <v>14.188625730064949</v>
      </c>
      <c r="I1188" s="6">
        <v>0.70828571759783809</v>
      </c>
      <c r="J1188" s="6">
        <v>1541031000</v>
      </c>
      <c r="K1188" s="6">
        <v>-27.09171690694626</v>
      </c>
      <c r="L1188" t="s">
        <v>6735</v>
      </c>
      <c r="M1188" t="s">
        <v>6747</v>
      </c>
      <c r="N1188" s="4" t="s">
        <v>10406</v>
      </c>
      <c r="O1188" s="4" t="s">
        <v>10407</v>
      </c>
      <c r="P1188" s="4" t="s">
        <v>233</v>
      </c>
    </row>
    <row r="1189" spans="1:16" x14ac:dyDescent="0.35">
      <c r="A1189" t="s">
        <v>10408</v>
      </c>
      <c r="B1189" t="s">
        <v>10409</v>
      </c>
      <c r="C1189" t="s">
        <v>16</v>
      </c>
      <c r="D1189" s="6">
        <v>2826655822.1014557</v>
      </c>
      <c r="E1189" s="6" t="e">
        <v>#N/A</v>
      </c>
      <c r="F1189" s="6">
        <v>22.510000228881836</v>
      </c>
      <c r="G1189" s="6">
        <v>22.799999237060547</v>
      </c>
      <c r="H1189" s="6">
        <v>18.060375271392505</v>
      </c>
      <c r="I1189" s="6">
        <v>0.26008942704896287</v>
      </c>
      <c r="J1189" s="6">
        <v>1459236000</v>
      </c>
      <c r="K1189" s="6">
        <v>-12.745107913669067</v>
      </c>
      <c r="L1189" t="s">
        <v>6529</v>
      </c>
      <c r="M1189" t="s">
        <v>6530</v>
      </c>
      <c r="N1189" s="4" t="s">
        <v>10410</v>
      </c>
      <c r="O1189" s="4" t="s">
        <v>10411</v>
      </c>
      <c r="P1189" s="4" t="s">
        <v>233</v>
      </c>
    </row>
    <row r="1190" spans="1:16" x14ac:dyDescent="0.35">
      <c r="A1190" t="s">
        <v>10412</v>
      </c>
      <c r="B1190" t="s">
        <v>3878</v>
      </c>
      <c r="C1190" t="s">
        <v>16</v>
      </c>
      <c r="D1190" s="6">
        <v>1392046222.77688</v>
      </c>
      <c r="E1190" s="6">
        <v>1178861222.77688</v>
      </c>
      <c r="F1190" s="6">
        <v>19.280000686645508</v>
      </c>
      <c r="G1190" s="6">
        <v>19.209999084472656</v>
      </c>
      <c r="H1190" s="6" t="e">
        <v>#N/A</v>
      </c>
      <c r="I1190" s="6">
        <v>-6.1636913806488614E-2</v>
      </c>
      <c r="J1190" s="6">
        <v>384098000</v>
      </c>
      <c r="K1190" s="6">
        <v>-22.745727504484908</v>
      </c>
      <c r="L1190" t="s">
        <v>17</v>
      </c>
      <c r="M1190" t="s">
        <v>18</v>
      </c>
      <c r="N1190" s="4" t="s">
        <v>233</v>
      </c>
      <c r="O1190" s="4" t="s">
        <v>3879</v>
      </c>
      <c r="P1190" s="4" t="s">
        <v>13085</v>
      </c>
    </row>
    <row r="1191" spans="1:16" x14ac:dyDescent="0.35">
      <c r="A1191" t="s">
        <v>10413</v>
      </c>
      <c r="B1191" t="s">
        <v>10414</v>
      </c>
      <c r="C1191" t="s">
        <v>16</v>
      </c>
      <c r="D1191" s="6">
        <v>412113683.23556519</v>
      </c>
      <c r="E1191" s="6">
        <v>487459683.23556519</v>
      </c>
      <c r="F1191" s="6">
        <v>22.790000915527344</v>
      </c>
      <c r="G1191" s="6">
        <v>22.649999618530273</v>
      </c>
      <c r="H1191" s="6">
        <v>19.21071763746734</v>
      </c>
      <c r="I1191" s="6">
        <v>0.23596576120440393</v>
      </c>
      <c r="J1191" s="6">
        <v>191503000</v>
      </c>
      <c r="K1191" s="6">
        <v>-19.999999999999996</v>
      </c>
      <c r="L1191" t="s">
        <v>6735</v>
      </c>
      <c r="M1191" t="s">
        <v>6747</v>
      </c>
      <c r="N1191" s="4" t="s">
        <v>10415</v>
      </c>
      <c r="O1191" s="4" t="s">
        <v>10416</v>
      </c>
      <c r="P1191" s="4" t="s">
        <v>233</v>
      </c>
    </row>
    <row r="1192" spans="1:16" x14ac:dyDescent="0.35">
      <c r="A1192" t="s">
        <v>10417</v>
      </c>
      <c r="B1192" t="s">
        <v>10418</v>
      </c>
      <c r="C1192" t="s">
        <v>16</v>
      </c>
      <c r="D1192" s="6">
        <v>448677470.79571909</v>
      </c>
      <c r="E1192" s="6" t="e">
        <v>#N/A</v>
      </c>
      <c r="F1192" s="6">
        <v>54.090000152587891</v>
      </c>
      <c r="G1192" s="6">
        <v>54.619998931884766</v>
      </c>
      <c r="H1192" s="6">
        <v>10.369442820754509</v>
      </c>
      <c r="I1192" s="6">
        <v>0.53587770457399553</v>
      </c>
      <c r="J1192" s="6">
        <v>262380000</v>
      </c>
      <c r="K1192" s="6">
        <v>16.957591177439078</v>
      </c>
      <c r="L1192" t="s">
        <v>6529</v>
      </c>
      <c r="M1192" t="s">
        <v>6530</v>
      </c>
      <c r="N1192" s="4" t="s">
        <v>10419</v>
      </c>
      <c r="O1192" s="4" t="s">
        <v>10420</v>
      </c>
      <c r="P1192" s="4" t="s">
        <v>233</v>
      </c>
    </row>
    <row r="1193" spans="1:16" x14ac:dyDescent="0.35">
      <c r="A1193" t="s">
        <v>10421</v>
      </c>
      <c r="B1193" t="s">
        <v>10422</v>
      </c>
      <c r="C1193" t="s">
        <v>16</v>
      </c>
      <c r="D1193" s="6">
        <v>5019454504.0121908</v>
      </c>
      <c r="E1193" s="6">
        <v>5775033504.0121908</v>
      </c>
      <c r="F1193" s="6">
        <v>82.550003051757813</v>
      </c>
      <c r="G1193" s="6">
        <v>83.349998474121094</v>
      </c>
      <c r="H1193" s="6">
        <v>25.260021557999462</v>
      </c>
      <c r="I1193" s="6">
        <v>-0.18570544388726618</v>
      </c>
      <c r="J1193" s="6">
        <v>4861664000</v>
      </c>
      <c r="K1193" s="6">
        <v>-44.633730834752981</v>
      </c>
      <c r="L1193" t="s">
        <v>6529</v>
      </c>
      <c r="M1193" t="s">
        <v>6664</v>
      </c>
      <c r="N1193" s="4" t="s">
        <v>10423</v>
      </c>
      <c r="O1193" s="4" t="s">
        <v>10424</v>
      </c>
      <c r="P1193" s="4" t="s">
        <v>233</v>
      </c>
    </row>
    <row r="1194" spans="1:16" x14ac:dyDescent="0.35">
      <c r="A1194" t="s">
        <v>10425</v>
      </c>
      <c r="B1194" t="s">
        <v>10426</v>
      </c>
      <c r="C1194" t="s">
        <v>16</v>
      </c>
      <c r="D1194" s="6">
        <v>115459258.18243216</v>
      </c>
      <c r="E1194" s="6">
        <v>264862258.18243217</v>
      </c>
      <c r="F1194" s="6">
        <v>4.1700000762939453</v>
      </c>
      <c r="G1194" s="6">
        <v>4.3299999237060547</v>
      </c>
      <c r="H1194" s="6" t="e">
        <v>#N/A</v>
      </c>
      <c r="I1194" s="6">
        <v>-0.78224378556192742</v>
      </c>
      <c r="J1194" s="6">
        <v>919562000</v>
      </c>
      <c r="K1194" s="6">
        <v>7.4382885353812549</v>
      </c>
      <c r="L1194" t="s">
        <v>6540</v>
      </c>
      <c r="M1194" t="s">
        <v>6881</v>
      </c>
      <c r="N1194" s="4" t="s">
        <v>10427</v>
      </c>
      <c r="O1194" s="4" t="s">
        <v>10428</v>
      </c>
      <c r="P1194" s="4" t="s">
        <v>233</v>
      </c>
    </row>
    <row r="1195" spans="1:16" x14ac:dyDescent="0.35">
      <c r="A1195" t="s">
        <v>10429</v>
      </c>
      <c r="B1195" t="s">
        <v>3874</v>
      </c>
      <c r="C1195" t="s">
        <v>16</v>
      </c>
      <c r="D1195" s="6">
        <v>3481539899.1294289</v>
      </c>
      <c r="E1195" s="6">
        <v>3409080899.1294289</v>
      </c>
      <c r="F1195" s="6">
        <v>37.189998626708984</v>
      </c>
      <c r="G1195" s="6">
        <v>36.119998931884766</v>
      </c>
      <c r="H1195" s="6" t="e">
        <v>#N/A</v>
      </c>
      <c r="I1195" s="6">
        <v>1.3557330810668233</v>
      </c>
      <c r="J1195" s="6">
        <v>0</v>
      </c>
      <c r="K1195" s="6">
        <v>-18.439692319189053</v>
      </c>
      <c r="L1195" t="s">
        <v>17</v>
      </c>
      <c r="M1195" t="s">
        <v>18</v>
      </c>
      <c r="N1195" s="4" t="s">
        <v>3875</v>
      </c>
      <c r="O1195" s="4" t="s">
        <v>3876</v>
      </c>
      <c r="P1195" s="4" t="s">
        <v>233</v>
      </c>
    </row>
    <row r="1196" spans="1:16" x14ac:dyDescent="0.35">
      <c r="A1196" t="s">
        <v>10430</v>
      </c>
      <c r="B1196" t="s">
        <v>10431</v>
      </c>
      <c r="C1196" t="s">
        <v>16</v>
      </c>
      <c r="D1196" s="6">
        <v>1866223085.2200165</v>
      </c>
      <c r="E1196" s="6">
        <v>2223548085.2200165</v>
      </c>
      <c r="F1196" s="6">
        <v>67.319999694824219</v>
      </c>
      <c r="G1196" s="6">
        <v>67</v>
      </c>
      <c r="H1196" s="6">
        <v>27.270473390962753</v>
      </c>
      <c r="I1196" s="6">
        <v>0.10612076676563031</v>
      </c>
      <c r="J1196" s="6">
        <v>2490419000</v>
      </c>
      <c r="K1196" s="6">
        <v>133.03571428571425</v>
      </c>
      <c r="L1196" t="s">
        <v>6529</v>
      </c>
      <c r="M1196" t="s">
        <v>6664</v>
      </c>
      <c r="N1196" s="4" t="s">
        <v>10432</v>
      </c>
      <c r="O1196" s="4" t="s">
        <v>10433</v>
      </c>
      <c r="P1196" s="4" t="s">
        <v>233</v>
      </c>
    </row>
    <row r="1197" spans="1:16" x14ac:dyDescent="0.35">
      <c r="A1197" t="s">
        <v>10434</v>
      </c>
      <c r="B1197" t="s">
        <v>10435</v>
      </c>
      <c r="C1197" t="s">
        <v>16</v>
      </c>
      <c r="D1197" s="6">
        <v>3148157103.2197495</v>
      </c>
      <c r="E1197" s="6">
        <v>4227906103.2197495</v>
      </c>
      <c r="F1197" s="6">
        <v>36.650001525878906</v>
      </c>
      <c r="G1197" s="6">
        <v>36.900001525878906</v>
      </c>
      <c r="H1197" s="6" t="e">
        <v>#N/A</v>
      </c>
      <c r="I1197" s="6">
        <v>0.74175756050251929</v>
      </c>
      <c r="J1197" s="6">
        <v>851233000</v>
      </c>
      <c r="K1197" s="6">
        <v>-66.666666666666686</v>
      </c>
      <c r="L1197" t="s">
        <v>6518</v>
      </c>
      <c r="M1197" t="s">
        <v>6807</v>
      </c>
      <c r="N1197" s="4" t="s">
        <v>10436</v>
      </c>
      <c r="O1197" s="4" t="s">
        <v>10437</v>
      </c>
      <c r="P1197" s="4" t="s">
        <v>233</v>
      </c>
    </row>
    <row r="1198" spans="1:16" x14ac:dyDescent="0.35">
      <c r="A1198" t="s">
        <v>10438</v>
      </c>
      <c r="B1198" t="s">
        <v>10439</v>
      </c>
      <c r="C1198" t="s">
        <v>16</v>
      </c>
      <c r="D1198" s="6">
        <v>3254675842.522316</v>
      </c>
      <c r="E1198" s="6">
        <v>4952084842.522316</v>
      </c>
      <c r="F1198" s="6">
        <v>83.849998474121094</v>
      </c>
      <c r="G1198" s="6">
        <v>82.94000244140625</v>
      </c>
      <c r="H1198" s="6">
        <v>14.579094234697704</v>
      </c>
      <c r="I1198" s="6">
        <v>-4.5193860002179287E-2</v>
      </c>
      <c r="J1198" s="6">
        <v>5590609000</v>
      </c>
      <c r="K1198" s="6">
        <v>-26.329787234042549</v>
      </c>
      <c r="L1198" t="s">
        <v>6547</v>
      </c>
      <c r="M1198" t="s">
        <v>6875</v>
      </c>
      <c r="N1198" s="4" t="s">
        <v>10440</v>
      </c>
      <c r="O1198" s="4" t="s">
        <v>10441</v>
      </c>
      <c r="P1198" s="4" t="s">
        <v>233</v>
      </c>
    </row>
    <row r="1199" spans="1:16" x14ac:dyDescent="0.35">
      <c r="A1199" t="s">
        <v>10442</v>
      </c>
      <c r="B1199" t="s">
        <v>10443</v>
      </c>
      <c r="C1199" t="s">
        <v>16</v>
      </c>
      <c r="D1199" s="6">
        <v>411777394.55656242</v>
      </c>
      <c r="E1199" s="6">
        <v>722405394.55656242</v>
      </c>
      <c r="F1199" s="6">
        <v>3.369999885559082</v>
      </c>
      <c r="G1199" s="6">
        <v>3.4900000095367432</v>
      </c>
      <c r="H1199" s="6" t="e">
        <v>#N/A</v>
      </c>
      <c r="I1199" s="6">
        <v>-0.53989441575282904</v>
      </c>
      <c r="J1199" s="6">
        <v>240382000</v>
      </c>
      <c r="K1199" s="6">
        <v>31.831601810996158</v>
      </c>
      <c r="L1199" t="s">
        <v>6735</v>
      </c>
      <c r="M1199" t="s">
        <v>7752</v>
      </c>
      <c r="N1199" s="4" t="s">
        <v>233</v>
      </c>
      <c r="O1199" s="4" t="s">
        <v>10444</v>
      </c>
      <c r="P1199" s="4" t="s">
        <v>13244</v>
      </c>
    </row>
    <row r="1200" spans="1:16" x14ac:dyDescent="0.35">
      <c r="A1200" t="s">
        <v>10445</v>
      </c>
      <c r="B1200" t="s">
        <v>10446</v>
      </c>
      <c r="C1200" t="s">
        <v>16</v>
      </c>
      <c r="D1200" s="6">
        <v>4194622867.5</v>
      </c>
      <c r="E1200" s="6">
        <v>3533675867.5</v>
      </c>
      <c r="F1200" s="6">
        <v>32.5</v>
      </c>
      <c r="G1200" s="6">
        <v>31.590000152587891</v>
      </c>
      <c r="H1200" s="6" t="e">
        <v>#N/A</v>
      </c>
      <c r="I1200" s="6">
        <v>4.2216753198615509E-2</v>
      </c>
      <c r="J1200" s="6">
        <v>346542000</v>
      </c>
      <c r="K1200" s="6">
        <v>3.9130434782608638</v>
      </c>
      <c r="L1200" t="s">
        <v>6518</v>
      </c>
      <c r="M1200" t="s">
        <v>6519</v>
      </c>
      <c r="N1200" s="4" t="s">
        <v>10447</v>
      </c>
      <c r="O1200" s="4" t="s">
        <v>10448</v>
      </c>
      <c r="P1200" s="4" t="s">
        <v>233</v>
      </c>
    </row>
    <row r="1201" spans="1:16" x14ac:dyDescent="0.35">
      <c r="A1201" t="s">
        <v>10449</v>
      </c>
      <c r="B1201" t="s">
        <v>10450</v>
      </c>
      <c r="C1201" t="s">
        <v>16</v>
      </c>
      <c r="D1201" s="6">
        <v>414278400.4351539</v>
      </c>
      <c r="E1201" s="6">
        <v>577170400.43515396</v>
      </c>
      <c r="F1201" s="6">
        <v>12.010000228881836</v>
      </c>
      <c r="G1201" s="6">
        <v>12.069999694824219</v>
      </c>
      <c r="H1201" s="6" t="e">
        <v>#N/A</v>
      </c>
      <c r="I1201" s="6">
        <v>6.8013453799888879E-2</v>
      </c>
      <c r="J1201" s="6">
        <v>787077000</v>
      </c>
      <c r="K1201" s="6" t="e">
        <v>#N/A</v>
      </c>
      <c r="L1201" t="s">
        <v>6547</v>
      </c>
      <c r="M1201" t="s">
        <v>6668</v>
      </c>
      <c r="N1201" s="4" t="s">
        <v>10451</v>
      </c>
      <c r="O1201" s="4" t="s">
        <v>10452</v>
      </c>
      <c r="P1201" s="4" t="s">
        <v>233</v>
      </c>
    </row>
    <row r="1202" spans="1:16" x14ac:dyDescent="0.35">
      <c r="A1202" t="s">
        <v>10453</v>
      </c>
      <c r="B1202" t="s">
        <v>10454</v>
      </c>
      <c r="C1202" t="s">
        <v>16</v>
      </c>
      <c r="D1202" s="6">
        <v>1512789759.2278292</v>
      </c>
      <c r="E1202" s="6" t="e">
        <v>#N/A</v>
      </c>
      <c r="F1202" s="6">
        <v>39.540000915527344</v>
      </c>
      <c r="G1202" s="6">
        <v>40.25</v>
      </c>
      <c r="H1202" s="6">
        <v>11.595308186371655</v>
      </c>
      <c r="I1202" s="6">
        <v>0.2515171140339818</v>
      </c>
      <c r="J1202" s="6">
        <v>564955000</v>
      </c>
      <c r="K1202" s="6">
        <v>-9.3085106382978626</v>
      </c>
      <c r="L1202" t="s">
        <v>6529</v>
      </c>
      <c r="M1202" t="s">
        <v>6530</v>
      </c>
      <c r="N1202" s="4" t="s">
        <v>10455</v>
      </c>
      <c r="O1202" s="4" t="s">
        <v>10456</v>
      </c>
      <c r="P1202" s="4" t="s">
        <v>233</v>
      </c>
    </row>
    <row r="1203" spans="1:16" x14ac:dyDescent="0.35">
      <c r="A1203" t="s">
        <v>10457</v>
      </c>
      <c r="B1203" t="s">
        <v>10458</v>
      </c>
      <c r="C1203" t="s">
        <v>16</v>
      </c>
      <c r="D1203" s="6">
        <v>1375725822.4054034</v>
      </c>
      <c r="E1203" s="6" t="e">
        <v>#N/A</v>
      </c>
      <c r="F1203" s="6">
        <v>37.650001525878906</v>
      </c>
      <c r="G1203" s="6">
        <v>37.520000457763672</v>
      </c>
      <c r="H1203" s="6">
        <v>6.8837585586925698</v>
      </c>
      <c r="I1203" s="6">
        <v>0.67312991672273448</v>
      </c>
      <c r="J1203" s="6">
        <v>826732000</v>
      </c>
      <c r="K1203" s="6">
        <v>31.980468594469951</v>
      </c>
      <c r="L1203" t="s">
        <v>6529</v>
      </c>
      <c r="M1203" t="s">
        <v>6639</v>
      </c>
      <c r="N1203" s="4" t="s">
        <v>233</v>
      </c>
      <c r="O1203" s="4" t="s">
        <v>10459</v>
      </c>
      <c r="P1203" s="4" t="s">
        <v>13245</v>
      </c>
    </row>
    <row r="1204" spans="1:16" x14ac:dyDescent="0.35">
      <c r="A1204" t="s">
        <v>10460</v>
      </c>
      <c r="B1204" t="s">
        <v>10461</v>
      </c>
      <c r="C1204" t="s">
        <v>16</v>
      </c>
      <c r="D1204" s="6">
        <v>2804527861.2530975</v>
      </c>
      <c r="E1204" s="6">
        <v>3734729861.2530975</v>
      </c>
      <c r="F1204" s="6">
        <v>74.199996948242188</v>
      </c>
      <c r="G1204" s="6">
        <v>74.089996337890625</v>
      </c>
      <c r="H1204" s="6">
        <v>25.001094033176045</v>
      </c>
      <c r="I1204" s="6">
        <v>-1.4191649040279586E-2</v>
      </c>
      <c r="J1204" s="6">
        <v>577541000</v>
      </c>
      <c r="K1204" s="6">
        <v>-10.542168674698811</v>
      </c>
      <c r="L1204" t="s">
        <v>6719</v>
      </c>
      <c r="M1204" t="s">
        <v>6720</v>
      </c>
      <c r="N1204" s="4" t="s">
        <v>10462</v>
      </c>
      <c r="O1204" s="4" t="s">
        <v>10463</v>
      </c>
      <c r="P1204" s="4" t="s">
        <v>233</v>
      </c>
    </row>
    <row r="1205" spans="1:16" x14ac:dyDescent="0.35">
      <c r="A1205" t="s">
        <v>10464</v>
      </c>
      <c r="B1205" t="s">
        <v>10465</v>
      </c>
      <c r="C1205" t="s">
        <v>16</v>
      </c>
      <c r="D1205" s="6">
        <v>986942358.21403503</v>
      </c>
      <c r="E1205" s="6">
        <v>1329326358.214035</v>
      </c>
      <c r="F1205" s="6">
        <v>37.630001068115234</v>
      </c>
      <c r="G1205" s="6">
        <v>37.099998474121094</v>
      </c>
      <c r="H1205" s="6">
        <v>21.881138882204251</v>
      </c>
      <c r="I1205" s="6">
        <v>3.4262728220455285E-2</v>
      </c>
      <c r="J1205" s="6">
        <v>659667000</v>
      </c>
      <c r="K1205" s="6">
        <v>14.179104477611935</v>
      </c>
      <c r="L1205" t="s">
        <v>6547</v>
      </c>
      <c r="M1205" t="s">
        <v>6668</v>
      </c>
      <c r="N1205" s="4" t="s">
        <v>10466</v>
      </c>
      <c r="O1205" s="4" t="s">
        <v>10467</v>
      </c>
      <c r="P1205" s="4" t="s">
        <v>233</v>
      </c>
    </row>
    <row r="1206" spans="1:16" x14ac:dyDescent="0.35">
      <c r="A1206" t="s">
        <v>10468</v>
      </c>
      <c r="B1206" t="s">
        <v>10469</v>
      </c>
      <c r="C1206" t="s">
        <v>16</v>
      </c>
      <c r="D1206" s="6">
        <v>1380106853.592659</v>
      </c>
      <c r="E1206" s="6">
        <v>3019716513.9269037</v>
      </c>
      <c r="F1206" s="6">
        <v>9.3999996185302734</v>
      </c>
      <c r="G1206" s="6">
        <v>9.2899999618530273</v>
      </c>
      <c r="H1206" s="6">
        <v>11.222486572471418</v>
      </c>
      <c r="I1206" s="6">
        <v>-0.51073104879370945</v>
      </c>
      <c r="J1206" s="6">
        <v>6778000000</v>
      </c>
      <c r="K1206" s="6">
        <v>-31.313131313131322</v>
      </c>
      <c r="L1206" t="s">
        <v>6563</v>
      </c>
      <c r="M1206" t="s">
        <v>6564</v>
      </c>
      <c r="N1206" s="4" t="s">
        <v>233</v>
      </c>
      <c r="O1206" s="4" t="s">
        <v>10470</v>
      </c>
      <c r="P1206" s="4" t="s">
        <v>13246</v>
      </c>
    </row>
    <row r="1207" spans="1:16" x14ac:dyDescent="0.35">
      <c r="A1207" t="s">
        <v>10471</v>
      </c>
      <c r="B1207" t="s">
        <v>10472</v>
      </c>
      <c r="C1207" t="s">
        <v>16</v>
      </c>
      <c r="D1207" s="6">
        <v>1644386315.1243286</v>
      </c>
      <c r="E1207" s="6">
        <v>1798786315.1243286</v>
      </c>
      <c r="F1207" s="6">
        <v>87.129997253417969</v>
      </c>
      <c r="G1207" s="6">
        <v>87.129997253417969</v>
      </c>
      <c r="H1207" s="6">
        <v>13.960827204821825</v>
      </c>
      <c r="I1207" s="6">
        <v>-0.11186608462924696</v>
      </c>
      <c r="J1207" s="6">
        <v>1269200000</v>
      </c>
      <c r="K1207" s="6">
        <v>4.1516245487364536</v>
      </c>
      <c r="L1207" t="s">
        <v>6547</v>
      </c>
      <c r="M1207" t="s">
        <v>6668</v>
      </c>
      <c r="N1207" s="4" t="s">
        <v>10473</v>
      </c>
      <c r="O1207" s="4" t="s">
        <v>10474</v>
      </c>
      <c r="P1207" s="4" t="s">
        <v>233</v>
      </c>
    </row>
    <row r="1208" spans="1:16" x14ac:dyDescent="0.35">
      <c r="A1208" t="s">
        <v>10475</v>
      </c>
      <c r="B1208" t="s">
        <v>3428</v>
      </c>
      <c r="C1208" t="s">
        <v>16</v>
      </c>
      <c r="D1208" s="6">
        <v>2312264735.3862572</v>
      </c>
      <c r="E1208" s="6">
        <v>1373510735.3862572</v>
      </c>
      <c r="F1208" s="6">
        <v>21.370000839233398</v>
      </c>
      <c r="G1208" s="6">
        <v>20.850000381469727</v>
      </c>
      <c r="H1208" s="6" t="e">
        <v>#N/A</v>
      </c>
      <c r="I1208" s="6">
        <v>0.32630270664696681</v>
      </c>
      <c r="J1208" s="6">
        <v>577738000</v>
      </c>
      <c r="K1208" s="6">
        <v>24.73118279569891</v>
      </c>
      <c r="L1208" t="s">
        <v>17</v>
      </c>
      <c r="M1208" t="s">
        <v>27</v>
      </c>
      <c r="N1208" s="4" t="s">
        <v>233</v>
      </c>
      <c r="O1208" s="4" t="s">
        <v>3429</v>
      </c>
      <c r="P1208" s="4" t="s">
        <v>13081</v>
      </c>
    </row>
    <row r="1209" spans="1:16" x14ac:dyDescent="0.35">
      <c r="A1209" t="s">
        <v>10476</v>
      </c>
      <c r="B1209" t="s">
        <v>10477</v>
      </c>
      <c r="C1209" t="s">
        <v>16</v>
      </c>
      <c r="D1209" s="6">
        <v>1008277468.0260316</v>
      </c>
      <c r="E1209" s="6" t="e">
        <v>#N/A</v>
      </c>
      <c r="F1209" s="6">
        <v>70.050003051757813</v>
      </c>
      <c r="G1209" s="6">
        <v>70.80999755859375</v>
      </c>
      <c r="H1209" s="6">
        <v>14.094568018462338</v>
      </c>
      <c r="I1209" s="6">
        <v>0.41411253498946432</v>
      </c>
      <c r="J1209" s="6">
        <v>435701000</v>
      </c>
      <c r="K1209" s="6">
        <v>654.5454545454545</v>
      </c>
      <c r="L1209" t="s">
        <v>6529</v>
      </c>
      <c r="M1209" t="s">
        <v>6530</v>
      </c>
      <c r="N1209" s="4" t="s">
        <v>10478</v>
      </c>
      <c r="O1209" s="4" t="s">
        <v>10479</v>
      </c>
      <c r="P1209" s="4" t="s">
        <v>233</v>
      </c>
    </row>
    <row r="1210" spans="1:16" x14ac:dyDescent="0.35">
      <c r="A1210" t="s">
        <v>10480</v>
      </c>
      <c r="B1210" t="s">
        <v>10481</v>
      </c>
      <c r="C1210" t="s">
        <v>16</v>
      </c>
      <c r="D1210" s="6">
        <v>1120361287.3386383</v>
      </c>
      <c r="E1210" s="6">
        <v>7417882287.3386383</v>
      </c>
      <c r="F1210" s="6">
        <v>13.260000228881836</v>
      </c>
      <c r="G1210" s="6">
        <v>13.199999809265137</v>
      </c>
      <c r="H1210" s="6" t="e">
        <v>#N/A</v>
      </c>
      <c r="I1210" s="6">
        <v>0.22152720697171535</v>
      </c>
      <c r="J1210" s="6">
        <v>319534000</v>
      </c>
      <c r="K1210" s="6" t="e">
        <v>#N/A</v>
      </c>
      <c r="L1210" t="s">
        <v>6529</v>
      </c>
      <c r="M1210" t="s">
        <v>8169</v>
      </c>
      <c r="N1210" s="4" t="s">
        <v>10482</v>
      </c>
      <c r="O1210" s="4" t="s">
        <v>10483</v>
      </c>
      <c r="P1210" s="4" t="s">
        <v>233</v>
      </c>
    </row>
    <row r="1211" spans="1:16" x14ac:dyDescent="0.35">
      <c r="A1211" t="s">
        <v>10484</v>
      </c>
      <c r="B1211" t="s">
        <v>4120</v>
      </c>
      <c r="C1211" t="s">
        <v>16</v>
      </c>
      <c r="D1211" s="6">
        <v>1897178053.9922295</v>
      </c>
      <c r="E1211" s="6">
        <v>995945053.99222946</v>
      </c>
      <c r="F1211" s="6">
        <v>21.950000762939453</v>
      </c>
      <c r="G1211" s="6">
        <v>21.030000686645508</v>
      </c>
      <c r="H1211" s="6" t="e">
        <v>#N/A</v>
      </c>
      <c r="I1211" s="6">
        <v>-0.52678481690066392</v>
      </c>
      <c r="J1211" s="6">
        <v>3923000</v>
      </c>
      <c r="K1211" s="6">
        <v>-19.487179487179496</v>
      </c>
      <c r="L1211" t="s">
        <v>17</v>
      </c>
      <c r="M1211" t="s">
        <v>18</v>
      </c>
      <c r="N1211" s="4" t="s">
        <v>4121</v>
      </c>
      <c r="O1211" s="4" t="s">
        <v>4122</v>
      </c>
      <c r="P1211" s="4" t="s">
        <v>233</v>
      </c>
    </row>
    <row r="1212" spans="1:16" x14ac:dyDescent="0.35">
      <c r="A1212" t="s">
        <v>10485</v>
      </c>
      <c r="B1212" t="s">
        <v>10486</v>
      </c>
      <c r="C1212" t="s">
        <v>16</v>
      </c>
      <c r="D1212" s="6">
        <v>299738851.16917413</v>
      </c>
      <c r="E1212" s="6" t="e">
        <v>#N/A</v>
      </c>
      <c r="F1212" s="6">
        <v>11.539999961853027</v>
      </c>
      <c r="G1212" s="6">
        <v>11.449999809265137</v>
      </c>
      <c r="H1212" s="6">
        <v>15.905789158499712</v>
      </c>
      <c r="I1212" s="6">
        <v>0.21921090519834752</v>
      </c>
      <c r="J1212" s="6">
        <v>112236000</v>
      </c>
      <c r="K1212" s="6">
        <v>5.4370234438062921</v>
      </c>
      <c r="L1212" t="s">
        <v>6529</v>
      </c>
      <c r="M1212" t="s">
        <v>6530</v>
      </c>
      <c r="N1212" s="4" t="s">
        <v>10487</v>
      </c>
      <c r="O1212" s="4" t="s">
        <v>10488</v>
      </c>
      <c r="P1212" s="4" t="s">
        <v>233</v>
      </c>
    </row>
    <row r="1213" spans="1:16" x14ac:dyDescent="0.35">
      <c r="A1213" t="s">
        <v>10489</v>
      </c>
      <c r="B1213" t="s">
        <v>4172</v>
      </c>
      <c r="C1213" t="s">
        <v>16</v>
      </c>
      <c r="D1213" s="6">
        <v>192021630.07360506</v>
      </c>
      <c r="E1213" s="6">
        <v>-56067369.926394969</v>
      </c>
      <c r="F1213" s="6">
        <v>3.559999942779541</v>
      </c>
      <c r="G1213" s="6">
        <v>3.369999885559082</v>
      </c>
      <c r="H1213" s="6" t="e">
        <v>#N/A</v>
      </c>
      <c r="I1213" s="6">
        <v>-0.61412975055933394</v>
      </c>
      <c r="J1213" s="6">
        <v>80871000</v>
      </c>
      <c r="K1213" s="6">
        <v>82.738095238095241</v>
      </c>
      <c r="L1213" t="s">
        <v>17</v>
      </c>
      <c r="M1213" t="s">
        <v>87</v>
      </c>
      <c r="N1213" s="4" t="s">
        <v>4173</v>
      </c>
      <c r="O1213" s="4" t="s">
        <v>4174</v>
      </c>
      <c r="P1213" s="4" t="s">
        <v>233</v>
      </c>
    </row>
    <row r="1214" spans="1:16" x14ac:dyDescent="0.35">
      <c r="A1214" t="s">
        <v>10490</v>
      </c>
      <c r="B1214" t="s">
        <v>4180</v>
      </c>
      <c r="C1214" t="s">
        <v>16</v>
      </c>
      <c r="D1214" s="6">
        <v>2434792457.6393433</v>
      </c>
      <c r="E1214" s="6">
        <v>2467999457.6393433</v>
      </c>
      <c r="F1214" s="6">
        <v>50.720001220703125</v>
      </c>
      <c r="G1214" s="6">
        <v>49.340000152587891</v>
      </c>
      <c r="H1214" s="6" t="e">
        <v>#N/A</v>
      </c>
      <c r="I1214" s="6">
        <v>0.69218038748375976</v>
      </c>
      <c r="J1214" s="6">
        <v>307028000</v>
      </c>
      <c r="K1214" s="6">
        <v>51.574113503956141</v>
      </c>
      <c r="L1214" t="s">
        <v>17</v>
      </c>
      <c r="M1214" t="s">
        <v>18</v>
      </c>
      <c r="N1214" s="4" t="s">
        <v>4181</v>
      </c>
      <c r="O1214" s="4" t="s">
        <v>4182</v>
      </c>
      <c r="P1214" s="4" t="s">
        <v>233</v>
      </c>
    </row>
    <row r="1215" spans="1:16" x14ac:dyDescent="0.35">
      <c r="A1215" t="s">
        <v>10491</v>
      </c>
      <c r="B1215" t="s">
        <v>10492</v>
      </c>
      <c r="C1215" t="s">
        <v>16</v>
      </c>
      <c r="D1215" s="6">
        <v>315879202.94789261</v>
      </c>
      <c r="E1215" s="6">
        <v>5903292202.9478922</v>
      </c>
      <c r="F1215" s="6">
        <v>2.1800000667572021</v>
      </c>
      <c r="G1215" s="6">
        <v>2.1500000953674316</v>
      </c>
      <c r="H1215" s="6" t="e">
        <v>#N/A</v>
      </c>
      <c r="I1215" s="6">
        <v>-0.22913253564358005</v>
      </c>
      <c r="J1215" s="6">
        <v>3803046000</v>
      </c>
      <c r="K1215" s="6">
        <v>2.1541240663606778</v>
      </c>
      <c r="L1215" t="s">
        <v>6514</v>
      </c>
      <c r="M1215" t="s">
        <v>6534</v>
      </c>
      <c r="N1215" s="4" t="s">
        <v>10493</v>
      </c>
      <c r="O1215" s="4" t="s">
        <v>10494</v>
      </c>
      <c r="P1215" s="4" t="s">
        <v>233</v>
      </c>
    </row>
    <row r="1216" spans="1:16" x14ac:dyDescent="0.35">
      <c r="A1216" t="s">
        <v>10495</v>
      </c>
      <c r="B1216" t="s">
        <v>10496</v>
      </c>
      <c r="C1216" t="s">
        <v>16</v>
      </c>
      <c r="D1216" s="6">
        <v>634948491.20761859</v>
      </c>
      <c r="E1216" s="6" t="e">
        <v>#N/A</v>
      </c>
      <c r="F1216" s="6">
        <v>33.400001525878906</v>
      </c>
      <c r="G1216" s="6">
        <v>33.75</v>
      </c>
      <c r="H1216" s="6">
        <v>12.996109543143545</v>
      </c>
      <c r="I1216" s="6">
        <v>0.22937880145208345</v>
      </c>
      <c r="J1216" s="6">
        <v>263149999.99999997</v>
      </c>
      <c r="K1216" s="6">
        <v>-16.558441558441565</v>
      </c>
      <c r="L1216" t="s">
        <v>6529</v>
      </c>
      <c r="M1216" t="s">
        <v>6530</v>
      </c>
      <c r="N1216" s="4" t="s">
        <v>10497</v>
      </c>
      <c r="O1216" s="4" t="s">
        <v>10498</v>
      </c>
      <c r="P1216" s="4" t="s">
        <v>233</v>
      </c>
    </row>
    <row r="1217" spans="1:16" x14ac:dyDescent="0.35">
      <c r="A1217" t="s">
        <v>10499</v>
      </c>
      <c r="B1217" t="s">
        <v>10500</v>
      </c>
      <c r="C1217" t="s">
        <v>16</v>
      </c>
      <c r="D1217" s="6">
        <v>581282948.65736008</v>
      </c>
      <c r="E1217" s="6">
        <v>745978558.65736008</v>
      </c>
      <c r="F1217" s="6">
        <v>4.4099998474121094</v>
      </c>
      <c r="G1217" s="6">
        <v>4.369999885559082</v>
      </c>
      <c r="H1217" s="6">
        <v>48.961916813723882</v>
      </c>
      <c r="I1217" s="6">
        <v>7.801767234418433E-2</v>
      </c>
      <c r="J1217" s="6">
        <v>617733000</v>
      </c>
      <c r="K1217" s="6">
        <v>-71.640153592978621</v>
      </c>
      <c r="L1217" t="s">
        <v>6523</v>
      </c>
      <c r="M1217" t="s">
        <v>6588</v>
      </c>
      <c r="N1217" s="4" t="s">
        <v>10501</v>
      </c>
      <c r="O1217" s="4" t="s">
        <v>10502</v>
      </c>
      <c r="P1217" s="4" t="s">
        <v>233</v>
      </c>
    </row>
    <row r="1218" spans="1:16" x14ac:dyDescent="0.35">
      <c r="A1218" t="s">
        <v>10503</v>
      </c>
      <c r="B1218" t="s">
        <v>10504</v>
      </c>
      <c r="C1218" t="s">
        <v>16</v>
      </c>
      <c r="D1218" s="6">
        <v>5116738367.3529892</v>
      </c>
      <c r="E1218" s="6" t="e">
        <v>#N/A</v>
      </c>
      <c r="F1218" s="6">
        <v>37.840000152587891</v>
      </c>
      <c r="G1218" s="6">
        <v>38.409999847412109</v>
      </c>
      <c r="H1218" s="6">
        <v>13.760000055486506</v>
      </c>
      <c r="I1218" s="6">
        <v>0.10867648057791013</v>
      </c>
      <c r="J1218" s="6">
        <v>1625816000</v>
      </c>
      <c r="K1218" s="6">
        <v>1.4705882352941024</v>
      </c>
      <c r="L1218" t="s">
        <v>6529</v>
      </c>
      <c r="M1218" t="s">
        <v>6530</v>
      </c>
      <c r="N1218" s="4" t="s">
        <v>10505</v>
      </c>
      <c r="O1218" s="4" t="s">
        <v>10506</v>
      </c>
      <c r="P1218" s="4" t="s">
        <v>233</v>
      </c>
    </row>
    <row r="1219" spans="1:16" x14ac:dyDescent="0.35">
      <c r="A1219" t="s">
        <v>10507</v>
      </c>
      <c r="B1219" t="s">
        <v>10508</v>
      </c>
      <c r="C1219" t="s">
        <v>16</v>
      </c>
      <c r="D1219" s="6">
        <v>649264981.94794846</v>
      </c>
      <c r="E1219" s="6" t="e">
        <v>#N/A</v>
      </c>
      <c r="F1219" s="6">
        <v>25.620000839233398</v>
      </c>
      <c r="G1219" s="6">
        <v>28.329999923706055</v>
      </c>
      <c r="H1219" s="6">
        <v>10.025635745120876</v>
      </c>
      <c r="I1219" s="6">
        <v>0.1806561492318135</v>
      </c>
      <c r="J1219" s="6">
        <v>1253307000</v>
      </c>
      <c r="K1219" s="6" t="e">
        <v>#N/A</v>
      </c>
      <c r="L1219" t="s">
        <v>6529</v>
      </c>
      <c r="M1219" t="s">
        <v>6664</v>
      </c>
      <c r="N1219" s="4" t="s">
        <v>10509</v>
      </c>
      <c r="O1219" s="4" t="s">
        <v>10510</v>
      </c>
      <c r="P1219" s="4" t="s">
        <v>233</v>
      </c>
    </row>
    <row r="1220" spans="1:16" x14ac:dyDescent="0.35">
      <c r="A1220" t="s">
        <v>10511</v>
      </c>
      <c r="B1220" t="s">
        <v>10512</v>
      </c>
      <c r="C1220" t="s">
        <v>16</v>
      </c>
      <c r="D1220" s="6">
        <v>2149261555.2121239</v>
      </c>
      <c r="E1220" s="6">
        <v>1889248555.2121239</v>
      </c>
      <c r="F1220" s="6">
        <v>47.619998931884766</v>
      </c>
      <c r="G1220" s="6">
        <v>48.009998321533203</v>
      </c>
      <c r="H1220" s="6">
        <v>382.15844032393397</v>
      </c>
      <c r="I1220" s="6">
        <v>9.4191138878648273E-2</v>
      </c>
      <c r="J1220" s="6">
        <v>355544000</v>
      </c>
      <c r="K1220" s="6">
        <v>-92.436974789915965</v>
      </c>
      <c r="L1220" t="s">
        <v>6547</v>
      </c>
      <c r="M1220" t="s">
        <v>6602</v>
      </c>
      <c r="N1220" s="4" t="s">
        <v>10513</v>
      </c>
      <c r="O1220" s="4" t="s">
        <v>10514</v>
      </c>
      <c r="P1220" s="4" t="s">
        <v>233</v>
      </c>
    </row>
    <row r="1221" spans="1:16" x14ac:dyDescent="0.35">
      <c r="A1221" t="s">
        <v>10515</v>
      </c>
      <c r="B1221" t="s">
        <v>10516</v>
      </c>
      <c r="C1221" t="s">
        <v>16</v>
      </c>
      <c r="D1221" s="6">
        <v>135302698.33666772</v>
      </c>
      <c r="E1221" s="6">
        <v>48598698.336667717</v>
      </c>
      <c r="F1221" s="6">
        <v>0.68409997224807739</v>
      </c>
      <c r="G1221" s="6">
        <v>0.68999999761581421</v>
      </c>
      <c r="H1221" s="6" t="e">
        <v>#N/A</v>
      </c>
      <c r="I1221" s="6">
        <v>-0.8246503114095689</v>
      </c>
      <c r="J1221" s="6">
        <v>58025000</v>
      </c>
      <c r="K1221" s="6">
        <v>35.203494163622899</v>
      </c>
      <c r="L1221" t="s">
        <v>6547</v>
      </c>
      <c r="M1221" t="s">
        <v>6802</v>
      </c>
      <c r="N1221" s="4" t="s">
        <v>10517</v>
      </c>
      <c r="O1221" s="4" t="s">
        <v>10518</v>
      </c>
      <c r="P1221" s="4" t="s">
        <v>233</v>
      </c>
    </row>
    <row r="1222" spans="1:16" x14ac:dyDescent="0.35">
      <c r="A1222" t="s">
        <v>10519</v>
      </c>
      <c r="B1222" t="s">
        <v>10520</v>
      </c>
      <c r="C1222" t="s">
        <v>16</v>
      </c>
      <c r="D1222" s="6">
        <v>281497822.55356544</v>
      </c>
      <c r="E1222" s="6">
        <v>436484822.55356544</v>
      </c>
      <c r="F1222" s="6">
        <v>0.64149999618530273</v>
      </c>
      <c r="G1222" s="6">
        <v>0.60000002384185791</v>
      </c>
      <c r="H1222" s="6" t="e">
        <v>#N/A</v>
      </c>
      <c r="I1222" s="6">
        <v>-0.50934914391521957</v>
      </c>
      <c r="J1222" s="6">
        <v>52943000</v>
      </c>
      <c r="K1222" s="6">
        <v>7.4787858373602463</v>
      </c>
      <c r="L1222" t="s">
        <v>6563</v>
      </c>
      <c r="M1222" t="s">
        <v>6564</v>
      </c>
      <c r="N1222" s="4" t="s">
        <v>10521</v>
      </c>
      <c r="O1222" s="4" t="s">
        <v>10522</v>
      </c>
      <c r="P1222" s="4" t="s">
        <v>233</v>
      </c>
    </row>
    <row r="1223" spans="1:16" x14ac:dyDescent="0.35">
      <c r="A1223" t="s">
        <v>10523</v>
      </c>
      <c r="B1223" t="s">
        <v>10524</v>
      </c>
      <c r="C1223" t="s">
        <v>16</v>
      </c>
      <c r="D1223" s="6">
        <v>7370110384.0274048</v>
      </c>
      <c r="E1223" s="6">
        <v>7180210384.0274048</v>
      </c>
      <c r="F1223" s="6">
        <v>221.07000732421875</v>
      </c>
      <c r="G1223" s="6">
        <v>220.05999755859375</v>
      </c>
      <c r="H1223" s="6">
        <v>24.942645267940069</v>
      </c>
      <c r="I1223" s="6">
        <v>2.2263273523700722E-2</v>
      </c>
      <c r="J1223" s="6">
        <v>2252200000</v>
      </c>
      <c r="K1223" s="6">
        <v>10.828025477707003</v>
      </c>
      <c r="L1223" t="s">
        <v>6547</v>
      </c>
      <c r="M1223" t="s">
        <v>6668</v>
      </c>
      <c r="N1223" s="4" t="s">
        <v>10525</v>
      </c>
      <c r="O1223" s="4" t="s">
        <v>10526</v>
      </c>
      <c r="P1223" s="4" t="s">
        <v>233</v>
      </c>
    </row>
    <row r="1224" spans="1:16" x14ac:dyDescent="0.35">
      <c r="A1224" t="s">
        <v>10527</v>
      </c>
      <c r="B1224" t="s">
        <v>10528</v>
      </c>
      <c r="C1224" t="s">
        <v>16</v>
      </c>
      <c r="D1224" s="6">
        <v>3081633984.5217133</v>
      </c>
      <c r="E1224" s="6">
        <v>3142137984.5217133</v>
      </c>
      <c r="F1224" s="6">
        <v>227.49000549316406</v>
      </c>
      <c r="G1224" s="6">
        <v>229.5</v>
      </c>
      <c r="H1224" s="6">
        <v>43.696331439261755</v>
      </c>
      <c r="I1224" s="6">
        <v>-0.14889695026360428</v>
      </c>
      <c r="J1224" s="6">
        <v>603636000</v>
      </c>
      <c r="K1224" s="6">
        <v>2.3529411764705905</v>
      </c>
      <c r="L1224" t="s">
        <v>6735</v>
      </c>
      <c r="M1224" t="s">
        <v>8777</v>
      </c>
      <c r="N1224" s="4" t="s">
        <v>10529</v>
      </c>
      <c r="O1224" s="4" t="s">
        <v>10530</v>
      </c>
      <c r="P1224" s="4" t="s">
        <v>233</v>
      </c>
    </row>
    <row r="1225" spans="1:16" x14ac:dyDescent="0.35">
      <c r="A1225" t="s">
        <v>10531</v>
      </c>
      <c r="B1225" t="s">
        <v>10532</v>
      </c>
      <c r="C1225" t="s">
        <v>16</v>
      </c>
      <c r="D1225" s="6">
        <v>2132987177.7876546</v>
      </c>
      <c r="E1225" s="6">
        <v>2780179177.7876549</v>
      </c>
      <c r="F1225" s="6">
        <v>34.509998321533203</v>
      </c>
      <c r="G1225" s="6">
        <v>34.680000305175781</v>
      </c>
      <c r="H1225" s="6">
        <v>62.104085663571134</v>
      </c>
      <c r="I1225" s="6">
        <v>-0.16978945085496955</v>
      </c>
      <c r="J1225" s="6">
        <v>3030258000</v>
      </c>
      <c r="K1225" s="6">
        <v>-68.926553672316388</v>
      </c>
      <c r="L1225" t="s">
        <v>6547</v>
      </c>
      <c r="M1225" t="s">
        <v>7792</v>
      </c>
      <c r="N1225" s="4" t="s">
        <v>10533</v>
      </c>
      <c r="O1225" s="4" t="s">
        <v>10534</v>
      </c>
      <c r="P1225" s="4" t="s">
        <v>233</v>
      </c>
    </row>
    <row r="1226" spans="1:16" x14ac:dyDescent="0.35">
      <c r="A1226" t="s">
        <v>10535</v>
      </c>
      <c r="B1226" t="s">
        <v>2393</v>
      </c>
      <c r="C1226" t="s">
        <v>16</v>
      </c>
      <c r="D1226" s="6">
        <v>1922044189.9297028</v>
      </c>
      <c r="E1226" s="6">
        <v>2133628189.9297028</v>
      </c>
      <c r="F1226" s="6">
        <v>250.44999694824219</v>
      </c>
      <c r="G1226" s="6">
        <v>254.66000366210938</v>
      </c>
      <c r="H1226" s="6">
        <v>34.52976266330181</v>
      </c>
      <c r="I1226" s="6">
        <v>0.41538486159444155</v>
      </c>
      <c r="J1226" s="6">
        <v>461849000</v>
      </c>
      <c r="K1226" s="6">
        <v>28.961748633879779</v>
      </c>
      <c r="L1226" t="s">
        <v>17</v>
      </c>
      <c r="M1226" t="s">
        <v>27</v>
      </c>
      <c r="N1226" s="4" t="s">
        <v>2394</v>
      </c>
      <c r="O1226" s="4" t="s">
        <v>2395</v>
      </c>
      <c r="P1226" s="4" t="s">
        <v>233</v>
      </c>
    </row>
    <row r="1227" spans="1:16" x14ac:dyDescent="0.35">
      <c r="A1227" t="s">
        <v>10536</v>
      </c>
      <c r="B1227" t="s">
        <v>10537</v>
      </c>
      <c r="C1227" t="s">
        <v>16</v>
      </c>
      <c r="D1227" s="6">
        <v>2402502283.8975224</v>
      </c>
      <c r="E1227" s="6" t="e">
        <v>#N/A</v>
      </c>
      <c r="F1227" s="6">
        <v>29.459999084472656</v>
      </c>
      <c r="G1227" s="6">
        <v>30.280000686645508</v>
      </c>
      <c r="H1227" s="6">
        <v>13.560139212127652</v>
      </c>
      <c r="I1227" s="6">
        <v>5.3910009193669062E-2</v>
      </c>
      <c r="J1227" s="6">
        <v>1492208000</v>
      </c>
      <c r="K1227" s="6">
        <v>-36.363636363636374</v>
      </c>
      <c r="L1227" t="s">
        <v>6529</v>
      </c>
      <c r="M1227" t="s">
        <v>6530</v>
      </c>
      <c r="N1227" s="4" t="s">
        <v>10538</v>
      </c>
      <c r="O1227" s="4" t="s">
        <v>10539</v>
      </c>
      <c r="P1227" s="4" t="s">
        <v>233</v>
      </c>
    </row>
    <row r="1228" spans="1:16" x14ac:dyDescent="0.35">
      <c r="A1228" t="s">
        <v>10540</v>
      </c>
      <c r="B1228" t="s">
        <v>10541</v>
      </c>
      <c r="C1228" t="s">
        <v>16</v>
      </c>
      <c r="D1228" s="6">
        <v>2162984062.3068309</v>
      </c>
      <c r="E1228" s="6">
        <v>3154941062.3068309</v>
      </c>
      <c r="F1228" s="6">
        <v>40.060001373291016</v>
      </c>
      <c r="G1228" s="6">
        <v>40.340000152587891</v>
      </c>
      <c r="H1228" s="6">
        <v>23.925760489941158</v>
      </c>
      <c r="I1228" s="6">
        <v>0.18864739177040835</v>
      </c>
      <c r="J1228" s="6">
        <v>1759570000</v>
      </c>
      <c r="K1228" s="6">
        <v>56.730769230769226</v>
      </c>
      <c r="L1228" t="s">
        <v>6514</v>
      </c>
      <c r="M1228" t="s">
        <v>6534</v>
      </c>
      <c r="N1228" s="4" t="s">
        <v>10542</v>
      </c>
      <c r="O1228" s="4" t="s">
        <v>10543</v>
      </c>
      <c r="P1228" s="4" t="s">
        <v>233</v>
      </c>
    </row>
    <row r="1229" spans="1:16" x14ac:dyDescent="0.35">
      <c r="A1229" t="s">
        <v>10544</v>
      </c>
      <c r="B1229" t="s">
        <v>10545</v>
      </c>
      <c r="C1229" t="s">
        <v>16</v>
      </c>
      <c r="D1229" s="6">
        <v>833325600.20256042</v>
      </c>
      <c r="E1229" s="6">
        <v>1458809506.2025604</v>
      </c>
      <c r="F1229" s="6">
        <v>145.00999450683594</v>
      </c>
      <c r="G1229" s="6">
        <v>143.83000183105469</v>
      </c>
      <c r="H1229" s="6">
        <v>10.129504437802767</v>
      </c>
      <c r="I1229" s="6">
        <v>7.6323507919857869E-2</v>
      </c>
      <c r="J1229" s="6">
        <v>558834523</v>
      </c>
      <c r="K1229" s="6">
        <v>23.353293413173642</v>
      </c>
      <c r="L1229" t="s">
        <v>6529</v>
      </c>
      <c r="M1229" t="s">
        <v>6646</v>
      </c>
      <c r="N1229" s="4" t="s">
        <v>10546</v>
      </c>
      <c r="O1229" s="4" t="s">
        <v>10547</v>
      </c>
      <c r="P1229" s="4" t="s">
        <v>233</v>
      </c>
    </row>
    <row r="1230" spans="1:16" x14ac:dyDescent="0.35">
      <c r="A1230" t="s">
        <v>10548</v>
      </c>
      <c r="B1230" t="s">
        <v>10549</v>
      </c>
      <c r="C1230" t="s">
        <v>16</v>
      </c>
      <c r="D1230" s="6">
        <v>744392932.21741676</v>
      </c>
      <c r="E1230" s="6">
        <v>2220958932.2174168</v>
      </c>
      <c r="F1230" s="6">
        <v>5.7399997711181641</v>
      </c>
      <c r="G1230" s="6">
        <v>5.6500000953674316</v>
      </c>
      <c r="H1230" s="6" t="e">
        <v>#N/A</v>
      </c>
      <c r="I1230" s="6">
        <v>-5.2701175041684256E-2</v>
      </c>
      <c r="J1230" s="6">
        <v>378319000</v>
      </c>
      <c r="K1230" s="6" t="e">
        <v>#N/A</v>
      </c>
      <c r="L1230" t="s">
        <v>6529</v>
      </c>
      <c r="M1230" t="s">
        <v>8169</v>
      </c>
      <c r="N1230" s="4" t="s">
        <v>10550</v>
      </c>
      <c r="O1230" s="4" t="s">
        <v>10551</v>
      </c>
      <c r="P1230" s="4" t="s">
        <v>233</v>
      </c>
    </row>
    <row r="1231" spans="1:16" x14ac:dyDescent="0.35">
      <c r="A1231" t="s">
        <v>10552</v>
      </c>
      <c r="B1231" t="s">
        <v>10553</v>
      </c>
      <c r="C1231" t="s">
        <v>16</v>
      </c>
      <c r="D1231" s="6">
        <v>3717056938.344162</v>
      </c>
      <c r="E1231" s="6">
        <v>5239813938.344162</v>
      </c>
      <c r="F1231" s="6">
        <v>33.580001831054688</v>
      </c>
      <c r="G1231" s="6">
        <v>32.759998321533203</v>
      </c>
      <c r="H1231" s="6">
        <v>39.046513757040337</v>
      </c>
      <c r="I1231" s="6">
        <v>0.27987657837424229</v>
      </c>
      <c r="J1231" s="6">
        <v>512805000</v>
      </c>
      <c r="K1231" s="6">
        <v>0</v>
      </c>
      <c r="L1231" t="s">
        <v>6623</v>
      </c>
      <c r="M1231" t="s">
        <v>7043</v>
      </c>
      <c r="N1231" s="4" t="s">
        <v>10554</v>
      </c>
      <c r="O1231" s="4" t="s">
        <v>10555</v>
      </c>
      <c r="P1231" s="4" t="s">
        <v>233</v>
      </c>
    </row>
    <row r="1232" spans="1:16" x14ac:dyDescent="0.35">
      <c r="A1232" t="s">
        <v>10556</v>
      </c>
      <c r="B1232" t="s">
        <v>10557</v>
      </c>
      <c r="C1232" t="s">
        <v>16</v>
      </c>
      <c r="D1232" s="6">
        <v>2754202292.2710648</v>
      </c>
      <c r="E1232" s="6">
        <v>2332029292.2710648</v>
      </c>
      <c r="F1232" s="6">
        <v>52.650001525878906</v>
      </c>
      <c r="G1232" s="6">
        <v>52.770000457763672</v>
      </c>
      <c r="H1232" s="6">
        <v>7.1599203210199356</v>
      </c>
      <c r="I1232" s="6">
        <v>-0.1150047785011622</v>
      </c>
      <c r="J1232" s="6">
        <v>1591560000</v>
      </c>
      <c r="K1232" s="6">
        <v>-16.262975778546714</v>
      </c>
      <c r="L1232" t="s">
        <v>6563</v>
      </c>
      <c r="M1232" t="s">
        <v>6564</v>
      </c>
      <c r="N1232" s="4" t="s">
        <v>10558</v>
      </c>
      <c r="O1232" s="4" t="s">
        <v>10559</v>
      </c>
      <c r="P1232" s="4" t="s">
        <v>233</v>
      </c>
    </row>
    <row r="1233" spans="1:16" x14ac:dyDescent="0.35">
      <c r="A1233" t="s">
        <v>10560</v>
      </c>
      <c r="B1233" t="s">
        <v>10561</v>
      </c>
      <c r="C1233" t="s">
        <v>16</v>
      </c>
      <c r="D1233" s="6">
        <v>2364192367.4650421</v>
      </c>
      <c r="E1233" s="6">
        <v>3574892367.4650421</v>
      </c>
      <c r="F1233" s="6">
        <v>54.360000610351563</v>
      </c>
      <c r="G1233" s="6">
        <v>54.259998321533203</v>
      </c>
      <c r="H1233" s="6">
        <v>4.2516957398925488</v>
      </c>
      <c r="I1233" s="6">
        <v>-0.47829856818040117</v>
      </c>
      <c r="J1233" s="6">
        <v>6848800000</v>
      </c>
      <c r="K1233" s="6">
        <v>15.373215917050059</v>
      </c>
      <c r="L1233" t="s">
        <v>6540</v>
      </c>
      <c r="M1233" t="s">
        <v>6541</v>
      </c>
      <c r="N1233" s="4" t="s">
        <v>233</v>
      </c>
      <c r="O1233" s="4" t="s">
        <v>10562</v>
      </c>
      <c r="P1233" s="4" t="s">
        <v>13247</v>
      </c>
    </row>
    <row r="1234" spans="1:16" x14ac:dyDescent="0.35">
      <c r="A1234" t="s">
        <v>10563</v>
      </c>
      <c r="B1234" t="s">
        <v>10564</v>
      </c>
      <c r="C1234" t="s">
        <v>16</v>
      </c>
      <c r="D1234" s="6">
        <v>199847950.85745621</v>
      </c>
      <c r="E1234" s="6">
        <v>206943950.85745621</v>
      </c>
      <c r="F1234" s="6">
        <v>2.130000114440918</v>
      </c>
      <c r="G1234" s="6">
        <v>1.940000057220459</v>
      </c>
      <c r="H1234" s="6" t="e">
        <v>#N/A</v>
      </c>
      <c r="I1234" s="6">
        <v>-0.21059978555484327</v>
      </c>
      <c r="J1234" s="6">
        <v>43817000</v>
      </c>
      <c r="K1234" s="6">
        <v>6.8517248703798961</v>
      </c>
      <c r="L1234" t="s">
        <v>6518</v>
      </c>
      <c r="M1234" t="s">
        <v>6519</v>
      </c>
      <c r="N1234" s="4" t="s">
        <v>10565</v>
      </c>
      <c r="O1234" s="4" t="s">
        <v>10566</v>
      </c>
      <c r="P1234" s="4" t="s">
        <v>233</v>
      </c>
    </row>
    <row r="1235" spans="1:16" x14ac:dyDescent="0.35">
      <c r="A1235" t="s">
        <v>10567</v>
      </c>
      <c r="B1235" t="s">
        <v>10568</v>
      </c>
      <c r="C1235" t="s">
        <v>16</v>
      </c>
      <c r="D1235" s="6">
        <v>1526192680.1299436</v>
      </c>
      <c r="E1235" s="6">
        <v>2370093680.1299438</v>
      </c>
      <c r="F1235" s="6">
        <v>33.720001220703125</v>
      </c>
      <c r="G1235" s="6">
        <v>33.479999542236328</v>
      </c>
      <c r="H1235" s="6">
        <v>17.916757864326325</v>
      </c>
      <c r="I1235" s="6">
        <v>0.15298178559873898</v>
      </c>
      <c r="J1235" s="6">
        <v>207460000</v>
      </c>
      <c r="K1235" s="6">
        <v>20.725388601036265</v>
      </c>
      <c r="L1235" t="s">
        <v>6623</v>
      </c>
      <c r="M1235" t="s">
        <v>6624</v>
      </c>
      <c r="N1235" s="4" t="s">
        <v>10569</v>
      </c>
      <c r="O1235" s="4" t="s">
        <v>10570</v>
      </c>
      <c r="P1235" s="4" t="s">
        <v>233</v>
      </c>
    </row>
    <row r="1236" spans="1:16" x14ac:dyDescent="0.35">
      <c r="A1236" t="s">
        <v>10571</v>
      </c>
      <c r="B1236" t="s">
        <v>4774</v>
      </c>
      <c r="C1236" t="s">
        <v>16</v>
      </c>
      <c r="D1236" s="6">
        <v>575870914.76085758</v>
      </c>
      <c r="E1236" s="6">
        <v>238914.76085758209</v>
      </c>
      <c r="F1236" s="6">
        <v>9.8900003433227539</v>
      </c>
      <c r="G1236" s="6">
        <v>9.6000003814697266</v>
      </c>
      <c r="H1236" s="6" t="e">
        <v>#N/A</v>
      </c>
      <c r="I1236" s="6">
        <v>-0.47909108617470675</v>
      </c>
      <c r="J1236" s="6">
        <v>0</v>
      </c>
      <c r="K1236" s="6">
        <v>24.064171122994651</v>
      </c>
      <c r="L1236" t="s">
        <v>17</v>
      </c>
      <c r="M1236" t="s">
        <v>18</v>
      </c>
      <c r="N1236" s="4" t="s">
        <v>4775</v>
      </c>
      <c r="O1236" s="4" t="s">
        <v>4776</v>
      </c>
      <c r="P1236" s="4" t="s">
        <v>233</v>
      </c>
    </row>
    <row r="1237" spans="1:16" x14ac:dyDescent="0.35">
      <c r="A1237" t="s">
        <v>10572</v>
      </c>
      <c r="B1237" t="s">
        <v>10573</v>
      </c>
      <c r="C1237" t="s">
        <v>16</v>
      </c>
      <c r="D1237" s="6">
        <v>4452020432.3711357</v>
      </c>
      <c r="E1237" s="6">
        <v>5423407432.3711357</v>
      </c>
      <c r="F1237" s="6">
        <v>38.909999847412109</v>
      </c>
      <c r="G1237" s="6">
        <v>40.110000610351563</v>
      </c>
      <c r="H1237" s="6">
        <v>5.690993508729643</v>
      </c>
      <c r="I1237" s="6">
        <v>4.0185299453517898E-2</v>
      </c>
      <c r="J1237" s="6">
        <v>2446764000</v>
      </c>
      <c r="K1237" s="6">
        <v>4.3541364296081513</v>
      </c>
      <c r="L1237" t="s">
        <v>6523</v>
      </c>
      <c r="M1237" t="s">
        <v>6524</v>
      </c>
      <c r="N1237" s="4" t="s">
        <v>10574</v>
      </c>
      <c r="O1237" s="4" t="s">
        <v>10575</v>
      </c>
      <c r="P1237" s="4" t="s">
        <v>233</v>
      </c>
    </row>
    <row r="1238" spans="1:16" x14ac:dyDescent="0.35">
      <c r="A1238" t="s">
        <v>10576</v>
      </c>
      <c r="B1238" t="s">
        <v>1764</v>
      </c>
      <c r="C1238" t="s">
        <v>16</v>
      </c>
      <c r="D1238" s="6">
        <v>1818623918.0696361</v>
      </c>
      <c r="E1238" s="6">
        <v>1534640918.0696361</v>
      </c>
      <c r="F1238" s="6">
        <v>8.7799997329711914</v>
      </c>
      <c r="G1238" s="6">
        <v>8.9099998474121094</v>
      </c>
      <c r="H1238" s="6" t="e">
        <v>#N/A</v>
      </c>
      <c r="I1238" s="6">
        <v>0.47406233634728268</v>
      </c>
      <c r="J1238" s="6">
        <v>412579000</v>
      </c>
      <c r="K1238" s="6">
        <v>51.199999999999996</v>
      </c>
      <c r="L1238" t="s">
        <v>17</v>
      </c>
      <c r="M1238" t="s">
        <v>18</v>
      </c>
      <c r="N1238" s="4" t="s">
        <v>1765</v>
      </c>
      <c r="O1238" s="4" t="s">
        <v>1766</v>
      </c>
      <c r="P1238" s="4" t="s">
        <v>233</v>
      </c>
    </row>
    <row r="1239" spans="1:16" x14ac:dyDescent="0.35">
      <c r="A1239" t="s">
        <v>10577</v>
      </c>
      <c r="B1239" t="s">
        <v>2163</v>
      </c>
      <c r="C1239" t="s">
        <v>16</v>
      </c>
      <c r="D1239" s="6">
        <v>1251308911.5911715</v>
      </c>
      <c r="E1239" s="6">
        <v>1558900911.5911715</v>
      </c>
      <c r="F1239" s="6">
        <v>29.850000381469727</v>
      </c>
      <c r="G1239" s="6">
        <v>30.170000076293945</v>
      </c>
      <c r="H1239" s="6">
        <v>314.83689003881113</v>
      </c>
      <c r="I1239" s="6">
        <v>0.69453664347857647</v>
      </c>
      <c r="J1239" s="6">
        <v>384899000</v>
      </c>
      <c r="K1239" s="6">
        <v>96.666666666666657</v>
      </c>
      <c r="L1239" t="s">
        <v>17</v>
      </c>
      <c r="M1239" t="s">
        <v>27</v>
      </c>
      <c r="N1239" s="4" t="s">
        <v>2164</v>
      </c>
      <c r="O1239" s="4" t="s">
        <v>2165</v>
      </c>
      <c r="P1239" s="4" t="s">
        <v>233</v>
      </c>
    </row>
    <row r="1240" spans="1:16" x14ac:dyDescent="0.35">
      <c r="A1240" t="s">
        <v>10578</v>
      </c>
      <c r="B1240" t="s">
        <v>10579</v>
      </c>
      <c r="C1240" t="s">
        <v>16</v>
      </c>
      <c r="D1240" s="6">
        <v>2881290127.3510551</v>
      </c>
      <c r="E1240" s="6">
        <v>4896270127.3510551</v>
      </c>
      <c r="F1240" s="6">
        <v>24.079999923706055</v>
      </c>
      <c r="G1240" s="6">
        <v>23.25</v>
      </c>
      <c r="H1240" s="6">
        <v>96.87762731766469</v>
      </c>
      <c r="I1240" s="6">
        <v>0.46774201677910376</v>
      </c>
      <c r="J1240" s="6">
        <v>359689000</v>
      </c>
      <c r="K1240" s="6">
        <v>-5.0000000000000044</v>
      </c>
      <c r="L1240" t="s">
        <v>6623</v>
      </c>
      <c r="M1240" t="s">
        <v>7043</v>
      </c>
      <c r="N1240" s="4" t="s">
        <v>10580</v>
      </c>
      <c r="O1240" s="4" t="s">
        <v>10581</v>
      </c>
      <c r="P1240" s="4" t="s">
        <v>233</v>
      </c>
    </row>
    <row r="1241" spans="1:16" x14ac:dyDescent="0.35">
      <c r="A1241" t="s">
        <v>10582</v>
      </c>
      <c r="B1241" t="s">
        <v>10583</v>
      </c>
      <c r="C1241" t="s">
        <v>16</v>
      </c>
      <c r="D1241" s="6">
        <v>7999582836.5901947</v>
      </c>
      <c r="E1241" s="6">
        <v>7890552836.5901947</v>
      </c>
      <c r="F1241" s="6">
        <v>27.610000610351563</v>
      </c>
      <c r="G1241" s="6">
        <v>28.469999313354492</v>
      </c>
      <c r="H1241" s="6" t="e">
        <v>#N/A</v>
      </c>
      <c r="I1241" s="6">
        <v>6.7997323281437785</v>
      </c>
      <c r="J1241" s="6">
        <v>2500000</v>
      </c>
      <c r="K1241" s="6">
        <v>-154.272560183439</v>
      </c>
      <c r="L1241" t="s">
        <v>6514</v>
      </c>
      <c r="M1241" t="s">
        <v>6515</v>
      </c>
      <c r="N1241" s="4" t="s">
        <v>10584</v>
      </c>
      <c r="O1241" s="4" t="s">
        <v>10585</v>
      </c>
      <c r="P1241" s="4" t="s">
        <v>233</v>
      </c>
    </row>
    <row r="1242" spans="1:16" x14ac:dyDescent="0.35">
      <c r="A1242" t="s">
        <v>10586</v>
      </c>
      <c r="B1242" t="s">
        <v>10587</v>
      </c>
      <c r="C1242" t="s">
        <v>16</v>
      </c>
      <c r="D1242" s="6">
        <v>1413708736.9564474</v>
      </c>
      <c r="E1242" s="6">
        <v>2372435736.9564476</v>
      </c>
      <c r="F1242" s="6">
        <v>43.310001373291016</v>
      </c>
      <c r="G1242" s="6">
        <v>41.340000152587891</v>
      </c>
      <c r="H1242" s="6">
        <v>15.64204860385999</v>
      </c>
      <c r="I1242" s="6">
        <v>-0.38799176486564391</v>
      </c>
      <c r="J1242" s="6">
        <v>2099939000</v>
      </c>
      <c r="K1242" s="6">
        <v>22.881355932203387</v>
      </c>
      <c r="L1242" t="s">
        <v>6540</v>
      </c>
      <c r="M1242" t="s">
        <v>6825</v>
      </c>
      <c r="N1242" s="4" t="s">
        <v>10588</v>
      </c>
      <c r="O1242" s="4" t="s">
        <v>10589</v>
      </c>
      <c r="P1242" s="4" t="s">
        <v>233</v>
      </c>
    </row>
    <row r="1243" spans="1:16" x14ac:dyDescent="0.35">
      <c r="A1243" t="s">
        <v>10590</v>
      </c>
      <c r="B1243" t="s">
        <v>10591</v>
      </c>
      <c r="C1243" t="s">
        <v>16</v>
      </c>
      <c r="D1243" s="6">
        <v>2868692338.9086761</v>
      </c>
      <c r="E1243" s="6">
        <v>5868892338.9086761</v>
      </c>
      <c r="F1243" s="6">
        <v>59.869998931884766</v>
      </c>
      <c r="G1243" s="6">
        <v>59.759998321533203</v>
      </c>
      <c r="H1243" s="6">
        <v>11.784648763898144</v>
      </c>
      <c r="I1243" s="6">
        <v>-3.0632151050097423E-2</v>
      </c>
      <c r="J1243" s="6">
        <v>5448100000</v>
      </c>
      <c r="K1243" s="6">
        <v>-25.167043060178248</v>
      </c>
      <c r="L1243" t="s">
        <v>6563</v>
      </c>
      <c r="M1243" t="s">
        <v>9157</v>
      </c>
      <c r="N1243" s="4" t="s">
        <v>10592</v>
      </c>
      <c r="O1243" s="4" t="s">
        <v>10593</v>
      </c>
      <c r="P1243" s="4" t="s">
        <v>233</v>
      </c>
    </row>
    <row r="1244" spans="1:16" x14ac:dyDescent="0.35">
      <c r="A1244" t="s">
        <v>10594</v>
      </c>
      <c r="B1244" t="s">
        <v>10595</v>
      </c>
      <c r="C1244" t="s">
        <v>16</v>
      </c>
      <c r="D1244" s="6">
        <v>991021727.3692677</v>
      </c>
      <c r="E1244" s="6">
        <v>1064009727.3692677</v>
      </c>
      <c r="F1244" s="6">
        <v>1.4199999570846558</v>
      </c>
      <c r="G1244" s="6">
        <v>1.3999999761581421</v>
      </c>
      <c r="H1244" s="6" t="e">
        <v>#N/A</v>
      </c>
      <c r="I1244" s="6">
        <v>-0.6301623397631736</v>
      </c>
      <c r="J1244" s="6">
        <v>1253317000</v>
      </c>
      <c r="K1244" s="6">
        <v>83.672566371681398</v>
      </c>
      <c r="L1244" t="s">
        <v>6547</v>
      </c>
      <c r="M1244" t="s">
        <v>6814</v>
      </c>
      <c r="N1244" s="4" t="s">
        <v>10596</v>
      </c>
      <c r="O1244" s="4" t="s">
        <v>10597</v>
      </c>
      <c r="P1244" s="4" t="s">
        <v>233</v>
      </c>
    </row>
    <row r="1245" spans="1:16" x14ac:dyDescent="0.35">
      <c r="A1245" t="s">
        <v>10598</v>
      </c>
      <c r="B1245" t="s">
        <v>10599</v>
      </c>
      <c r="C1245" t="s">
        <v>16</v>
      </c>
      <c r="D1245" s="6">
        <v>1702275000.8781049</v>
      </c>
      <c r="E1245" s="6">
        <v>1657579000.8781049</v>
      </c>
      <c r="F1245" s="6">
        <v>92.569999694824219</v>
      </c>
      <c r="G1245" s="6">
        <v>89.05999755859375</v>
      </c>
      <c r="H1245" s="6">
        <v>18.500527854581136</v>
      </c>
      <c r="I1245" s="6">
        <v>0.3380294683373597</v>
      </c>
      <c r="J1245" s="6">
        <v>522186000.00000006</v>
      </c>
      <c r="K1245" s="6">
        <v>17.990654205607466</v>
      </c>
      <c r="L1245" t="s">
        <v>6540</v>
      </c>
      <c r="M1245" t="s">
        <v>6825</v>
      </c>
      <c r="N1245" s="4" t="s">
        <v>10600</v>
      </c>
      <c r="O1245" s="4" t="s">
        <v>10601</v>
      </c>
      <c r="P1245" s="4" t="s">
        <v>233</v>
      </c>
    </row>
    <row r="1246" spans="1:16" x14ac:dyDescent="0.35">
      <c r="A1246" t="s">
        <v>10602</v>
      </c>
      <c r="B1246" t="s">
        <v>10603</v>
      </c>
      <c r="C1246" t="s">
        <v>16</v>
      </c>
      <c r="D1246" s="6">
        <v>435992846.46556097</v>
      </c>
      <c r="E1246" s="6">
        <v>355546846.46556097</v>
      </c>
      <c r="F1246" s="6">
        <v>19.690000534057617</v>
      </c>
      <c r="G1246" s="6">
        <v>19.780000686645508</v>
      </c>
      <c r="H1246" s="6">
        <v>16.831002324249049</v>
      </c>
      <c r="I1246" s="6">
        <v>-0.28621152022657437</v>
      </c>
      <c r="J1246" s="6">
        <v>658329000</v>
      </c>
      <c r="K1246" s="6">
        <v>-58.431372549019599</v>
      </c>
      <c r="L1246" t="s">
        <v>6540</v>
      </c>
      <c r="M1246" t="s">
        <v>7034</v>
      </c>
      <c r="N1246" s="4" t="s">
        <v>10604</v>
      </c>
      <c r="O1246" s="4" t="s">
        <v>10605</v>
      </c>
      <c r="P1246" s="4" t="s">
        <v>233</v>
      </c>
    </row>
    <row r="1247" spans="1:16" x14ac:dyDescent="0.35">
      <c r="A1247" t="s">
        <v>10606</v>
      </c>
      <c r="B1247" t="s">
        <v>4053</v>
      </c>
      <c r="C1247" t="s">
        <v>16</v>
      </c>
      <c r="D1247" s="6">
        <v>2071053178.3189485</v>
      </c>
      <c r="E1247" s="6">
        <v>3218588178.3189487</v>
      </c>
      <c r="F1247" s="6">
        <v>14.510000228881836</v>
      </c>
      <c r="G1247" s="6">
        <v>14.880000114440918</v>
      </c>
      <c r="H1247" s="6" t="e">
        <v>#N/A</v>
      </c>
      <c r="I1247" s="6">
        <v>-0.16242932740808147</v>
      </c>
      <c r="J1247" s="6" t="e">
        <v>#N/A</v>
      </c>
      <c r="K1247" s="6" t="e">
        <v>#N/A</v>
      </c>
      <c r="L1247" t="s">
        <v>17</v>
      </c>
      <c r="M1247" t="s">
        <v>40</v>
      </c>
      <c r="N1247" s="4" t="s">
        <v>4054</v>
      </c>
      <c r="O1247" s="4" t="s">
        <v>4055</v>
      </c>
      <c r="P1247" s="4" t="s">
        <v>233</v>
      </c>
    </row>
    <row r="1248" spans="1:16" x14ac:dyDescent="0.35">
      <c r="A1248" t="s">
        <v>10607</v>
      </c>
      <c r="B1248" t="s">
        <v>10608</v>
      </c>
      <c r="C1248" t="s">
        <v>16</v>
      </c>
      <c r="D1248" s="6">
        <v>890936071.35269177</v>
      </c>
      <c r="E1248" s="6">
        <v>2728459071.3526921</v>
      </c>
      <c r="F1248" s="6">
        <v>36.860000610351563</v>
      </c>
      <c r="G1248" s="6">
        <v>36.549999237060547</v>
      </c>
      <c r="H1248" s="6">
        <v>20.097368428131496</v>
      </c>
      <c r="I1248" s="6">
        <v>1.9981809691315799E-2</v>
      </c>
      <c r="J1248" s="6">
        <v>267606000</v>
      </c>
      <c r="K1248" s="6">
        <v>9.5238095238095042</v>
      </c>
      <c r="L1248" t="s">
        <v>6623</v>
      </c>
      <c r="M1248" t="s">
        <v>7043</v>
      </c>
      <c r="N1248" s="4" t="s">
        <v>10609</v>
      </c>
      <c r="O1248" s="4" t="s">
        <v>10610</v>
      </c>
      <c r="P1248" s="4" t="s">
        <v>233</v>
      </c>
    </row>
    <row r="1249" spans="1:16" x14ac:dyDescent="0.35">
      <c r="A1249" t="s">
        <v>10611</v>
      </c>
      <c r="B1249" t="s">
        <v>10612</v>
      </c>
      <c r="C1249" t="s">
        <v>16</v>
      </c>
      <c r="D1249" s="6">
        <v>3186800008.9553528</v>
      </c>
      <c r="E1249" s="6">
        <v>3401776008.9553528</v>
      </c>
      <c r="F1249" s="6">
        <v>117.13999938964844</v>
      </c>
      <c r="G1249" s="6">
        <v>116.52999877929688</v>
      </c>
      <c r="H1249" s="6">
        <v>5.9431760217985001</v>
      </c>
      <c r="I1249" s="6">
        <v>-6.9911396790354852E-2</v>
      </c>
      <c r="J1249" s="6">
        <v>4504670000</v>
      </c>
      <c r="K1249" s="6">
        <v>21.062052505966573</v>
      </c>
      <c r="L1249" t="s">
        <v>6540</v>
      </c>
      <c r="M1249" t="s">
        <v>6797</v>
      </c>
      <c r="N1249" s="4" t="s">
        <v>10613</v>
      </c>
      <c r="O1249" s="4" t="s">
        <v>10614</v>
      </c>
      <c r="P1249" s="4" t="s">
        <v>233</v>
      </c>
    </row>
    <row r="1250" spans="1:16" x14ac:dyDescent="0.35">
      <c r="A1250" t="s">
        <v>10615</v>
      </c>
      <c r="B1250" t="s">
        <v>10616</v>
      </c>
      <c r="C1250" t="s">
        <v>16</v>
      </c>
      <c r="D1250" s="6">
        <v>1768583970.8681257</v>
      </c>
      <c r="E1250" s="6">
        <v>1570694970.8681257</v>
      </c>
      <c r="F1250" s="6">
        <v>58.290000915527344</v>
      </c>
      <c r="G1250" s="6">
        <v>59.069999694824219</v>
      </c>
      <c r="H1250" s="6">
        <v>13.818327030777803</v>
      </c>
      <c r="I1250" s="6">
        <v>-0.3259440126027221</v>
      </c>
      <c r="J1250" s="6">
        <v>1335518000</v>
      </c>
      <c r="K1250" s="6">
        <v>17.152103559870561</v>
      </c>
      <c r="L1250" t="s">
        <v>6547</v>
      </c>
      <c r="M1250" t="s">
        <v>6553</v>
      </c>
      <c r="N1250" s="4" t="s">
        <v>10617</v>
      </c>
      <c r="O1250" s="4" t="s">
        <v>10618</v>
      </c>
      <c r="P1250" s="4" t="s">
        <v>233</v>
      </c>
    </row>
    <row r="1251" spans="1:16" x14ac:dyDescent="0.35">
      <c r="A1251" t="s">
        <v>10619</v>
      </c>
      <c r="B1251" t="s">
        <v>10620</v>
      </c>
      <c r="C1251" t="s">
        <v>16</v>
      </c>
      <c r="D1251" s="6">
        <v>242636631</v>
      </c>
      <c r="E1251" s="6">
        <v>211058880</v>
      </c>
      <c r="F1251" s="6">
        <v>4.25</v>
      </c>
      <c r="G1251" s="6">
        <v>4.3000001907348633</v>
      </c>
      <c r="H1251" s="6" t="e">
        <v>#N/A</v>
      </c>
      <c r="I1251" s="6">
        <v>-0.63134643103611843</v>
      </c>
      <c r="J1251" s="6">
        <v>148524656</v>
      </c>
      <c r="K1251" s="6">
        <v>-118.22558532515703</v>
      </c>
      <c r="L1251" t="s">
        <v>6735</v>
      </c>
      <c r="M1251" t="s">
        <v>9787</v>
      </c>
      <c r="N1251" s="4" t="s">
        <v>10621</v>
      </c>
      <c r="O1251" s="4" t="s">
        <v>10622</v>
      </c>
      <c r="P1251" s="4" t="s">
        <v>233</v>
      </c>
    </row>
    <row r="1252" spans="1:16" x14ac:dyDescent="0.35">
      <c r="A1252" t="s">
        <v>10623</v>
      </c>
      <c r="B1252" t="s">
        <v>10624</v>
      </c>
      <c r="C1252" t="s">
        <v>16</v>
      </c>
      <c r="D1252" s="6">
        <v>6848527531.7932129</v>
      </c>
      <c r="E1252" s="6">
        <v>6050026531.7932129</v>
      </c>
      <c r="F1252" s="6">
        <v>112.77999877929688</v>
      </c>
      <c r="G1252" s="6">
        <v>113.36000061035156</v>
      </c>
      <c r="H1252" s="6">
        <v>15.703015399383586</v>
      </c>
      <c r="I1252" s="6">
        <v>-6.1399659571179988E-2</v>
      </c>
      <c r="J1252" s="6">
        <v>6714661000</v>
      </c>
      <c r="K1252" s="6">
        <v>-15.801614763552493</v>
      </c>
      <c r="L1252" t="s">
        <v>6547</v>
      </c>
      <c r="M1252" t="s">
        <v>6553</v>
      </c>
      <c r="N1252" s="4" t="s">
        <v>10625</v>
      </c>
      <c r="O1252" s="4" t="s">
        <v>10626</v>
      </c>
      <c r="P1252" s="4" t="s">
        <v>233</v>
      </c>
    </row>
    <row r="1253" spans="1:16" x14ac:dyDescent="0.35">
      <c r="A1253" t="s">
        <v>10627</v>
      </c>
      <c r="B1253" t="s">
        <v>10628</v>
      </c>
      <c r="C1253" t="s">
        <v>16</v>
      </c>
      <c r="D1253" s="6">
        <v>2406142384.1992893</v>
      </c>
      <c r="E1253" s="6">
        <v>4061111384.1992893</v>
      </c>
      <c r="F1253" s="6">
        <v>8.1700000762939453</v>
      </c>
      <c r="G1253" s="6">
        <v>8.2700004577636719</v>
      </c>
      <c r="H1253" s="6" t="e">
        <v>#N/A</v>
      </c>
      <c r="I1253" s="6">
        <v>-4.3201548792727418E-2</v>
      </c>
      <c r="J1253" s="6">
        <v>340563000</v>
      </c>
      <c r="K1253" s="6">
        <v>-64.705882352941188</v>
      </c>
      <c r="L1253" t="s">
        <v>6623</v>
      </c>
      <c r="M1253" t="s">
        <v>7444</v>
      </c>
      <c r="N1253" s="4" t="s">
        <v>10629</v>
      </c>
      <c r="O1253" s="4" t="s">
        <v>10630</v>
      </c>
      <c r="P1253" s="4" t="s">
        <v>233</v>
      </c>
    </row>
    <row r="1254" spans="1:16" x14ac:dyDescent="0.35">
      <c r="A1254" t="s">
        <v>10631</v>
      </c>
      <c r="B1254" t="s">
        <v>10632</v>
      </c>
      <c r="C1254" t="s">
        <v>16</v>
      </c>
      <c r="D1254" s="6">
        <v>5333407500.7872782</v>
      </c>
      <c r="E1254" s="6" t="e">
        <v>#N/A</v>
      </c>
      <c r="F1254" s="6">
        <v>37.319999694824219</v>
      </c>
      <c r="G1254" s="6">
        <v>37.520000457763672</v>
      </c>
      <c r="H1254" s="6">
        <v>23.964092192935482</v>
      </c>
      <c r="I1254" s="6">
        <v>0.1940702039485358</v>
      </c>
      <c r="J1254" s="6">
        <v>752907000</v>
      </c>
      <c r="K1254" s="6">
        <v>12.23021582733814</v>
      </c>
      <c r="L1254" t="s">
        <v>6529</v>
      </c>
      <c r="M1254" t="s">
        <v>6530</v>
      </c>
      <c r="N1254" s="4" t="s">
        <v>10633</v>
      </c>
      <c r="O1254" s="4" t="s">
        <v>10634</v>
      </c>
      <c r="P1254" s="4" t="s">
        <v>233</v>
      </c>
    </row>
    <row r="1255" spans="1:16" x14ac:dyDescent="0.35">
      <c r="A1255" t="s">
        <v>10635</v>
      </c>
      <c r="B1255" t="s">
        <v>5228</v>
      </c>
      <c r="C1255" t="s">
        <v>16</v>
      </c>
      <c r="D1255" s="6">
        <v>432014913.23153853</v>
      </c>
      <c r="E1255" s="6">
        <v>396472913.23153853</v>
      </c>
      <c r="F1255" s="6">
        <v>3.5699999332427979</v>
      </c>
      <c r="G1255" s="6">
        <v>3.5399999618530273</v>
      </c>
      <c r="H1255" s="6" t="e">
        <v>#N/A</v>
      </c>
      <c r="I1255" s="6">
        <v>-0.35014218657754836</v>
      </c>
      <c r="J1255" s="6">
        <v>20409000</v>
      </c>
      <c r="K1255" s="6">
        <v>-46.381773108251714</v>
      </c>
      <c r="L1255" t="s">
        <v>17</v>
      </c>
      <c r="M1255" t="s">
        <v>100</v>
      </c>
      <c r="N1255" s="4" t="s">
        <v>5229</v>
      </c>
      <c r="O1255" s="4" t="s">
        <v>5230</v>
      </c>
      <c r="P1255" s="4" t="s">
        <v>233</v>
      </c>
    </row>
    <row r="1256" spans="1:16" x14ac:dyDescent="0.35">
      <c r="A1256" t="s">
        <v>10636</v>
      </c>
      <c r="B1256" t="s">
        <v>4266</v>
      </c>
      <c r="C1256" t="s">
        <v>16</v>
      </c>
      <c r="D1256" s="6">
        <v>226640901.25072953</v>
      </c>
      <c r="E1256" s="6">
        <v>-299196098.74927056</v>
      </c>
      <c r="F1256" s="6">
        <v>4.5500001907348633</v>
      </c>
      <c r="G1256" s="6">
        <v>4.570000171661377</v>
      </c>
      <c r="H1256" s="6" t="e">
        <v>#N/A</v>
      </c>
      <c r="I1256" s="6">
        <v>-0.83581405392944308</v>
      </c>
      <c r="J1256" s="6" t="e">
        <v>#N/A</v>
      </c>
      <c r="K1256" s="6">
        <v>-3.4315391512942282</v>
      </c>
      <c r="L1256" t="s">
        <v>17</v>
      </c>
      <c r="M1256" t="s">
        <v>18</v>
      </c>
      <c r="N1256" s="4" t="s">
        <v>4267</v>
      </c>
      <c r="O1256" s="4" t="s">
        <v>4268</v>
      </c>
      <c r="P1256" s="4" t="s">
        <v>233</v>
      </c>
    </row>
    <row r="1257" spans="1:16" x14ac:dyDescent="0.35">
      <c r="A1257" t="s">
        <v>10637</v>
      </c>
      <c r="B1257" t="s">
        <v>10638</v>
      </c>
      <c r="C1257" t="s">
        <v>16</v>
      </c>
      <c r="D1257" s="6">
        <v>1244930576.5895691</v>
      </c>
      <c r="E1257" s="6">
        <v>3306937576.5895691</v>
      </c>
      <c r="F1257" s="6">
        <v>30.319999694824219</v>
      </c>
      <c r="G1257" s="6">
        <v>30.860000610351563</v>
      </c>
      <c r="H1257" s="6">
        <v>2.1041339288770953</v>
      </c>
      <c r="I1257" s="6">
        <v>-0.29092123471172004</v>
      </c>
      <c r="J1257" s="6">
        <v>2179844000</v>
      </c>
      <c r="K1257" s="6" t="e">
        <v>#N/A</v>
      </c>
      <c r="L1257" t="s">
        <v>6547</v>
      </c>
      <c r="M1257" t="s">
        <v>9330</v>
      </c>
      <c r="N1257" s="4" t="s">
        <v>10639</v>
      </c>
      <c r="O1257" s="4" t="s">
        <v>10640</v>
      </c>
      <c r="P1257" s="4" t="s">
        <v>233</v>
      </c>
    </row>
    <row r="1258" spans="1:16" x14ac:dyDescent="0.35">
      <c r="A1258" t="s">
        <v>10641</v>
      </c>
      <c r="B1258" t="s">
        <v>10642</v>
      </c>
      <c r="C1258" t="s">
        <v>16</v>
      </c>
      <c r="D1258" s="6">
        <v>393476317.28925562</v>
      </c>
      <c r="E1258" s="6">
        <v>1140733317.2892556</v>
      </c>
      <c r="F1258" s="6">
        <v>4.3600001335144043</v>
      </c>
      <c r="G1258" s="6">
        <v>4.3499999046325684</v>
      </c>
      <c r="H1258" s="6">
        <v>16.678972382202481</v>
      </c>
      <c r="I1258" s="6">
        <v>-0.55860806678136021</v>
      </c>
      <c r="J1258" s="6">
        <v>1663238000</v>
      </c>
      <c r="K1258" s="6">
        <v>-9.6045197740112958</v>
      </c>
      <c r="L1258" t="s">
        <v>6735</v>
      </c>
      <c r="M1258" t="s">
        <v>6747</v>
      </c>
      <c r="N1258" s="4" t="s">
        <v>10643</v>
      </c>
      <c r="O1258" s="4" t="s">
        <v>10644</v>
      </c>
      <c r="P1258" s="4" t="s">
        <v>233</v>
      </c>
    </row>
    <row r="1259" spans="1:16" x14ac:dyDescent="0.35">
      <c r="A1259" t="s">
        <v>10645</v>
      </c>
      <c r="B1259" t="s">
        <v>10646</v>
      </c>
      <c r="C1259" t="s">
        <v>16</v>
      </c>
      <c r="D1259" s="6">
        <v>2716548310.2283325</v>
      </c>
      <c r="E1259" s="6">
        <v>2754699310.2283325</v>
      </c>
      <c r="F1259" s="6">
        <v>37.630001068115234</v>
      </c>
      <c r="G1259" s="6">
        <v>37.560001373291016</v>
      </c>
      <c r="H1259" s="6">
        <v>13.455398935981281</v>
      </c>
      <c r="I1259" s="6">
        <v>-0.11103228960425859</v>
      </c>
      <c r="J1259" s="6">
        <v>2220323000</v>
      </c>
      <c r="K1259" s="6">
        <v>5.2863436123348064</v>
      </c>
      <c r="L1259" t="s">
        <v>6540</v>
      </c>
      <c r="M1259" t="s">
        <v>7034</v>
      </c>
      <c r="N1259" s="4" t="s">
        <v>10647</v>
      </c>
      <c r="O1259" s="4" t="s">
        <v>10648</v>
      </c>
      <c r="P1259" s="4" t="s">
        <v>233</v>
      </c>
    </row>
    <row r="1260" spans="1:16" x14ac:dyDescent="0.35">
      <c r="A1260" t="s">
        <v>10649</v>
      </c>
      <c r="B1260" t="s">
        <v>10650</v>
      </c>
      <c r="C1260" t="s">
        <v>16</v>
      </c>
      <c r="D1260" s="6">
        <v>293918344.0115633</v>
      </c>
      <c r="E1260" s="6">
        <v>190956344.0115633</v>
      </c>
      <c r="F1260" s="6">
        <v>3.380000114440918</v>
      </c>
      <c r="G1260" s="6">
        <v>3.309999942779541</v>
      </c>
      <c r="H1260" s="6" t="e">
        <v>#N/A</v>
      </c>
      <c r="I1260" s="6">
        <v>-0.15249807347506583</v>
      </c>
      <c r="J1260" s="6">
        <v>170678000</v>
      </c>
      <c r="K1260" s="6">
        <v>61.333333333333336</v>
      </c>
      <c r="L1260" t="s">
        <v>6514</v>
      </c>
      <c r="M1260" t="s">
        <v>6578</v>
      </c>
      <c r="N1260" s="4" t="s">
        <v>10651</v>
      </c>
      <c r="O1260" s="4" t="s">
        <v>10652</v>
      </c>
      <c r="P1260" s="4" t="s">
        <v>233</v>
      </c>
    </row>
    <row r="1261" spans="1:16" x14ac:dyDescent="0.35">
      <c r="A1261" t="s">
        <v>10653</v>
      </c>
      <c r="B1261" t="s">
        <v>10654</v>
      </c>
      <c r="C1261" t="s">
        <v>16</v>
      </c>
      <c r="D1261" s="6">
        <v>399600005.14984131</v>
      </c>
      <c r="E1261" s="6">
        <v>401374005.14984131</v>
      </c>
      <c r="F1261" s="6">
        <v>14.800000190734863</v>
      </c>
      <c r="G1261" s="6">
        <v>14.890000343322754</v>
      </c>
      <c r="H1261" s="6" t="e">
        <v>#N/A</v>
      </c>
      <c r="I1261" s="6">
        <v>0.3529504226379685</v>
      </c>
      <c r="J1261" s="6">
        <v>253431000</v>
      </c>
      <c r="K1261" s="6" t="e">
        <v>#N/A</v>
      </c>
      <c r="L1261" t="s">
        <v>6518</v>
      </c>
      <c r="M1261" t="s">
        <v>6519</v>
      </c>
      <c r="N1261" s="4" t="s">
        <v>10655</v>
      </c>
      <c r="O1261" s="4" t="s">
        <v>10656</v>
      </c>
      <c r="P1261" s="4" t="s">
        <v>233</v>
      </c>
    </row>
    <row r="1262" spans="1:16" x14ac:dyDescent="0.35">
      <c r="A1262" t="s">
        <v>10657</v>
      </c>
      <c r="B1262" t="s">
        <v>10658</v>
      </c>
      <c r="C1262" t="s">
        <v>16</v>
      </c>
      <c r="D1262" s="6">
        <v>218810506.25</v>
      </c>
      <c r="E1262" s="6">
        <v>373284376.25</v>
      </c>
      <c r="F1262" s="6">
        <v>21.25</v>
      </c>
      <c r="G1262" s="6">
        <v>21.110000610351563</v>
      </c>
      <c r="H1262" s="6">
        <v>18.162393162393162</v>
      </c>
      <c r="I1262" s="6">
        <v>0.11050971199376747</v>
      </c>
      <c r="J1262" s="6">
        <v>87511366</v>
      </c>
      <c r="K1262" s="6">
        <v>-10.687022900763369</v>
      </c>
      <c r="L1262" t="s">
        <v>6719</v>
      </c>
      <c r="M1262" t="s">
        <v>7212</v>
      </c>
      <c r="N1262" s="4" t="s">
        <v>10659</v>
      </c>
      <c r="O1262" s="4" t="s">
        <v>10660</v>
      </c>
      <c r="P1262" s="4" t="s">
        <v>233</v>
      </c>
    </row>
    <row r="1263" spans="1:16" x14ac:dyDescent="0.35">
      <c r="A1263" t="s">
        <v>10661</v>
      </c>
      <c r="B1263" t="s">
        <v>10591</v>
      </c>
      <c r="C1263" t="s">
        <v>16</v>
      </c>
      <c r="D1263" s="6">
        <v>2868692338.9086761</v>
      </c>
      <c r="E1263" s="6">
        <v>5868892338.9086761</v>
      </c>
      <c r="F1263" s="6">
        <v>61.930000305175781</v>
      </c>
      <c r="G1263" s="6">
        <v>63.029998779296875</v>
      </c>
      <c r="H1263" s="6">
        <v>12.190133866127761</v>
      </c>
      <c r="I1263" s="6">
        <v>1.2480557255690528E-2</v>
      </c>
      <c r="J1263" s="6">
        <v>5448100000</v>
      </c>
      <c r="K1263" s="6">
        <v>-25.167043060178248</v>
      </c>
      <c r="L1263" t="s">
        <v>6563</v>
      </c>
      <c r="M1263" t="s">
        <v>9157</v>
      </c>
      <c r="N1263" s="4" t="s">
        <v>10662</v>
      </c>
      <c r="O1263" s="4" t="s">
        <v>10663</v>
      </c>
      <c r="P1263" s="4" t="s">
        <v>233</v>
      </c>
    </row>
    <row r="1264" spans="1:16" x14ac:dyDescent="0.35">
      <c r="A1264" t="s">
        <v>10664</v>
      </c>
      <c r="B1264" t="s">
        <v>10665</v>
      </c>
      <c r="C1264" t="s">
        <v>16</v>
      </c>
      <c r="D1264" s="6">
        <v>164286211.60694122</v>
      </c>
      <c r="E1264" s="6">
        <v>11956211.606941223</v>
      </c>
      <c r="F1264" s="6">
        <v>15.020000457763672</v>
      </c>
      <c r="G1264" s="6">
        <v>15</v>
      </c>
      <c r="H1264" s="6">
        <v>6.8779446292337694</v>
      </c>
      <c r="I1264" s="6">
        <v>-0.73144132848961196</v>
      </c>
      <c r="J1264" s="6">
        <v>674475000</v>
      </c>
      <c r="K1264" s="6">
        <v>-94.005449591280652</v>
      </c>
      <c r="L1264" t="s">
        <v>6735</v>
      </c>
      <c r="M1264" t="s">
        <v>7752</v>
      </c>
      <c r="N1264" s="4" t="s">
        <v>10666</v>
      </c>
      <c r="O1264" s="4" t="s">
        <v>10667</v>
      </c>
      <c r="P1264" s="4" t="s">
        <v>233</v>
      </c>
    </row>
    <row r="1265" spans="1:16" x14ac:dyDescent="0.35">
      <c r="A1265" t="s">
        <v>10668</v>
      </c>
      <c r="B1265" t="s">
        <v>10669</v>
      </c>
      <c r="C1265" t="s">
        <v>16</v>
      </c>
      <c r="D1265" s="6">
        <v>4131009963.0023341</v>
      </c>
      <c r="E1265" s="6">
        <v>5089009963.0023346</v>
      </c>
      <c r="F1265" s="6">
        <v>8.7799997329711914</v>
      </c>
      <c r="G1265" s="6">
        <v>8.6899995803833008</v>
      </c>
      <c r="H1265" s="6" t="e">
        <v>#N/A</v>
      </c>
      <c r="I1265" s="6">
        <v>0.46913757393872024</v>
      </c>
      <c r="J1265" s="6">
        <v>2290000000</v>
      </c>
      <c r="K1265" s="6">
        <v>48.661224205214012</v>
      </c>
      <c r="L1265" t="s">
        <v>6540</v>
      </c>
      <c r="M1265" t="s">
        <v>6825</v>
      </c>
      <c r="N1265" s="4" t="s">
        <v>10670</v>
      </c>
      <c r="O1265" s="4" t="s">
        <v>10671</v>
      </c>
      <c r="P1265" s="4" t="s">
        <v>233</v>
      </c>
    </row>
    <row r="1266" spans="1:16" x14ac:dyDescent="0.35">
      <c r="A1266" t="s">
        <v>10672</v>
      </c>
      <c r="B1266" t="s">
        <v>10673</v>
      </c>
      <c r="C1266" t="s">
        <v>16</v>
      </c>
      <c r="D1266" s="6">
        <v>5511570975.2815208</v>
      </c>
      <c r="E1266" s="6">
        <v>5954881975.2815208</v>
      </c>
      <c r="F1266" s="6">
        <v>16.239999771118164</v>
      </c>
      <c r="G1266" s="6">
        <v>15.899999618530273</v>
      </c>
      <c r="H1266" s="6">
        <v>11.852612881628717</v>
      </c>
      <c r="I1266" s="6">
        <v>-0.40384785246390464</v>
      </c>
      <c r="J1266" s="6">
        <v>598752000</v>
      </c>
      <c r="K1266" s="6" t="e">
        <v>#N/A</v>
      </c>
      <c r="L1266" t="s">
        <v>6518</v>
      </c>
      <c r="M1266" t="s">
        <v>6519</v>
      </c>
      <c r="N1266" s="4" t="s">
        <v>10674</v>
      </c>
      <c r="O1266" s="4" t="s">
        <v>10675</v>
      </c>
      <c r="P1266" s="4" t="s">
        <v>233</v>
      </c>
    </row>
    <row r="1267" spans="1:16" x14ac:dyDescent="0.35">
      <c r="A1267" t="s">
        <v>10676</v>
      </c>
      <c r="B1267" t="s">
        <v>10677</v>
      </c>
      <c r="C1267" t="s">
        <v>16</v>
      </c>
      <c r="D1267" s="6">
        <v>757694293.72551727</v>
      </c>
      <c r="E1267" s="6">
        <v>688729293.72551727</v>
      </c>
      <c r="F1267" s="6">
        <v>16.090000152587891</v>
      </c>
      <c r="G1267" s="6">
        <v>16.049999237060547</v>
      </c>
      <c r="H1267" s="6">
        <v>68.816855435795418</v>
      </c>
      <c r="I1267" s="6">
        <v>1.0561147583547874</v>
      </c>
      <c r="J1267" s="6">
        <v>820602000</v>
      </c>
      <c r="K1267" s="6">
        <v>-38.235294117647058</v>
      </c>
      <c r="L1267" t="s">
        <v>6518</v>
      </c>
      <c r="M1267" t="s">
        <v>6714</v>
      </c>
      <c r="N1267" s="4" t="s">
        <v>10678</v>
      </c>
      <c r="O1267" s="4" t="s">
        <v>10679</v>
      </c>
      <c r="P1267" s="4" t="s">
        <v>233</v>
      </c>
    </row>
    <row r="1268" spans="1:16" x14ac:dyDescent="0.35">
      <c r="A1268" t="s">
        <v>10680</v>
      </c>
      <c r="B1268" t="s">
        <v>10681</v>
      </c>
      <c r="C1268" t="s">
        <v>16</v>
      </c>
      <c r="D1268" s="6">
        <v>215189089.40171245</v>
      </c>
      <c r="E1268" s="6">
        <v>263961089.40171245</v>
      </c>
      <c r="F1268" s="6">
        <v>7.2800002098083496</v>
      </c>
      <c r="G1268" s="6">
        <v>7.3600001335144043</v>
      </c>
      <c r="H1268" s="6" t="e">
        <v>#N/A</v>
      </c>
      <c r="I1268" s="6">
        <v>-0.46181786567334226</v>
      </c>
      <c r="J1268" s="6">
        <v>1673611000</v>
      </c>
      <c r="K1268" s="6">
        <v>-2460</v>
      </c>
      <c r="L1268" t="s">
        <v>6547</v>
      </c>
      <c r="M1268" t="s">
        <v>6548</v>
      </c>
      <c r="N1268" s="4" t="s">
        <v>10682</v>
      </c>
      <c r="O1268" s="4" t="s">
        <v>10683</v>
      </c>
      <c r="P1268" s="4" t="s">
        <v>233</v>
      </c>
    </row>
    <row r="1269" spans="1:16" x14ac:dyDescent="0.35">
      <c r="A1269" t="s">
        <v>10684</v>
      </c>
      <c r="B1269" t="s">
        <v>10685</v>
      </c>
      <c r="C1269" t="s">
        <v>16</v>
      </c>
      <c r="D1269" s="6">
        <v>4036120316.4113154</v>
      </c>
      <c r="E1269" s="6">
        <v>7372614316.4113159</v>
      </c>
      <c r="F1269" s="6">
        <v>71.239997863769531</v>
      </c>
      <c r="G1269" s="6">
        <v>70.010002136230469</v>
      </c>
      <c r="H1269" s="6">
        <v>18.552082777023315</v>
      </c>
      <c r="I1269" s="6">
        <v>0.1862654456317181</v>
      </c>
      <c r="J1269" s="6">
        <v>2058772000</v>
      </c>
      <c r="K1269" s="6">
        <v>-6.7961165048543632</v>
      </c>
      <c r="L1269" t="s">
        <v>6719</v>
      </c>
      <c r="M1269" t="s">
        <v>7212</v>
      </c>
      <c r="N1269" s="4" t="s">
        <v>10686</v>
      </c>
      <c r="O1269" s="4" t="s">
        <v>10687</v>
      </c>
      <c r="P1269" s="4" t="s">
        <v>233</v>
      </c>
    </row>
    <row r="1270" spans="1:16" x14ac:dyDescent="0.35">
      <c r="A1270" t="s">
        <v>10688</v>
      </c>
      <c r="B1270" t="s">
        <v>10689</v>
      </c>
      <c r="C1270" t="s">
        <v>16</v>
      </c>
      <c r="D1270" s="6">
        <v>1736386707.3548586</v>
      </c>
      <c r="E1270" s="6">
        <v>1670415707.3548586</v>
      </c>
      <c r="F1270" s="6">
        <v>19.260000228881836</v>
      </c>
      <c r="G1270" s="6">
        <v>18.520000457763672</v>
      </c>
      <c r="H1270" s="6" t="e">
        <v>#N/A</v>
      </c>
      <c r="I1270" s="6">
        <v>-0.22534251610131273</v>
      </c>
      <c r="J1270" s="6">
        <v>457170000</v>
      </c>
      <c r="K1270" s="6">
        <v>2.4390243902439046</v>
      </c>
      <c r="L1270" t="s">
        <v>6518</v>
      </c>
      <c r="M1270" t="s">
        <v>6519</v>
      </c>
      <c r="N1270" s="4" t="s">
        <v>10690</v>
      </c>
      <c r="O1270" s="4" t="s">
        <v>10691</v>
      </c>
      <c r="P1270" s="4" t="s">
        <v>233</v>
      </c>
    </row>
    <row r="1271" spans="1:16" x14ac:dyDescent="0.35">
      <c r="A1271" t="s">
        <v>10692</v>
      </c>
      <c r="B1271" t="s">
        <v>10693</v>
      </c>
      <c r="C1271" t="s">
        <v>16</v>
      </c>
      <c r="D1271" s="6">
        <v>1116362675.9976425</v>
      </c>
      <c r="E1271" s="6" t="e">
        <v>#N/A</v>
      </c>
      <c r="F1271" s="6">
        <v>36.400001525878906</v>
      </c>
      <c r="G1271" s="6">
        <v>35.549999237060547</v>
      </c>
      <c r="H1271" s="6">
        <v>10.581395792406658</v>
      </c>
      <c r="I1271" s="6">
        <v>0.49169781911216948</v>
      </c>
      <c r="J1271" s="6">
        <v>435342000</v>
      </c>
      <c r="K1271" s="6">
        <v>20.833333333333336</v>
      </c>
      <c r="L1271" t="s">
        <v>6529</v>
      </c>
      <c r="M1271" t="s">
        <v>6530</v>
      </c>
      <c r="N1271" s="4" t="s">
        <v>10694</v>
      </c>
      <c r="O1271" s="4" t="s">
        <v>10695</v>
      </c>
      <c r="P1271" s="4" t="s">
        <v>233</v>
      </c>
    </row>
    <row r="1272" spans="1:16" x14ac:dyDescent="0.35">
      <c r="A1272" t="s">
        <v>10696</v>
      </c>
      <c r="B1272" t="s">
        <v>10697</v>
      </c>
      <c r="C1272" t="s">
        <v>16</v>
      </c>
      <c r="D1272" s="6">
        <v>870966691.09823227</v>
      </c>
      <c r="E1272" s="6">
        <v>910563691.09823227</v>
      </c>
      <c r="F1272" s="6">
        <v>37.119998931884766</v>
      </c>
      <c r="G1272" s="6">
        <v>37.470001220703125</v>
      </c>
      <c r="H1272" s="6">
        <v>13.93406952616083</v>
      </c>
      <c r="I1272" s="6">
        <v>-9.7242783252830423E-2</v>
      </c>
      <c r="J1272" s="6">
        <v>3021789000</v>
      </c>
      <c r="K1272" s="6">
        <v>-25.144508670520235</v>
      </c>
      <c r="L1272" t="s">
        <v>6518</v>
      </c>
      <c r="M1272" t="s">
        <v>6714</v>
      </c>
      <c r="N1272" s="4" t="s">
        <v>10698</v>
      </c>
      <c r="O1272" s="4" t="s">
        <v>10699</v>
      </c>
      <c r="P1272" s="4" t="s">
        <v>233</v>
      </c>
    </row>
    <row r="1273" spans="1:16" x14ac:dyDescent="0.35">
      <c r="A1273" t="s">
        <v>10700</v>
      </c>
      <c r="B1273" t="s">
        <v>1280</v>
      </c>
      <c r="C1273" t="s">
        <v>16</v>
      </c>
      <c r="D1273" s="6">
        <v>14240656318.616112</v>
      </c>
      <c r="E1273" s="6">
        <v>13772616318.616112</v>
      </c>
      <c r="F1273" s="6">
        <v>79.599998474121094</v>
      </c>
      <c r="G1273" s="6">
        <v>78.569999694824219</v>
      </c>
      <c r="H1273" s="6" t="e">
        <v>#N/A</v>
      </c>
      <c r="I1273" s="6">
        <v>1.8550912269900368</v>
      </c>
      <c r="J1273" s="6">
        <v>342958000</v>
      </c>
      <c r="K1273" s="6">
        <v>-5.3130929791271218</v>
      </c>
      <c r="L1273" t="s">
        <v>17</v>
      </c>
      <c r="M1273" t="s">
        <v>18</v>
      </c>
      <c r="N1273" s="4" t="s">
        <v>1281</v>
      </c>
      <c r="O1273" s="4" t="s">
        <v>1282</v>
      </c>
      <c r="P1273" s="4" t="s">
        <v>233</v>
      </c>
    </row>
    <row r="1274" spans="1:16" x14ac:dyDescent="0.35">
      <c r="A1274" t="s">
        <v>10701</v>
      </c>
      <c r="B1274" t="s">
        <v>4041</v>
      </c>
      <c r="C1274" t="s">
        <v>16</v>
      </c>
      <c r="D1274" s="6">
        <v>2706372248.8257065</v>
      </c>
      <c r="E1274" s="6">
        <v>2518161248.8257065</v>
      </c>
      <c r="F1274" s="6">
        <v>45.369998931884766</v>
      </c>
      <c r="G1274" s="6">
        <v>45.330001831054688</v>
      </c>
      <c r="H1274" s="6" t="e">
        <v>#N/A</v>
      </c>
      <c r="I1274" s="6">
        <v>0.1168742058043557</v>
      </c>
      <c r="J1274" s="6">
        <v>330189000</v>
      </c>
      <c r="K1274" s="6">
        <v>6.3711911357340831</v>
      </c>
      <c r="L1274" t="s">
        <v>17</v>
      </c>
      <c r="M1274" t="s">
        <v>18</v>
      </c>
      <c r="N1274" s="4" t="s">
        <v>4042</v>
      </c>
      <c r="O1274" s="4" t="s">
        <v>4043</v>
      </c>
      <c r="P1274" s="4" t="s">
        <v>233</v>
      </c>
    </row>
    <row r="1275" spans="1:16" x14ac:dyDescent="0.35">
      <c r="A1275" t="s">
        <v>10702</v>
      </c>
      <c r="B1275" t="s">
        <v>10703</v>
      </c>
      <c r="C1275" t="s">
        <v>16</v>
      </c>
      <c r="D1275" s="6">
        <v>632265848.39521873</v>
      </c>
      <c r="E1275" s="6">
        <v>1141485848.3952188</v>
      </c>
      <c r="F1275" s="6">
        <v>7.2100000381469727</v>
      </c>
      <c r="G1275" s="6">
        <v>7.190000057220459</v>
      </c>
      <c r="H1275" s="6">
        <v>5.6252228736282941</v>
      </c>
      <c r="I1275" s="6">
        <v>1.1644596177590616E-2</v>
      </c>
      <c r="J1275" s="6">
        <v>1303000000</v>
      </c>
      <c r="K1275" s="6">
        <v>-2.5157232704402541</v>
      </c>
      <c r="L1275" t="s">
        <v>6523</v>
      </c>
      <c r="M1275" t="s">
        <v>6524</v>
      </c>
      <c r="N1275" s="4" t="s">
        <v>233</v>
      </c>
      <c r="O1275" s="4" t="s">
        <v>10704</v>
      </c>
      <c r="P1275" s="4" t="s">
        <v>13248</v>
      </c>
    </row>
    <row r="1276" spans="1:16" x14ac:dyDescent="0.35">
      <c r="A1276" t="s">
        <v>10705</v>
      </c>
      <c r="B1276" t="s">
        <v>10706</v>
      </c>
      <c r="C1276" t="s">
        <v>16</v>
      </c>
      <c r="D1276" s="6">
        <v>716295953.89167011</v>
      </c>
      <c r="E1276" s="6">
        <v>717218953.89167011</v>
      </c>
      <c r="F1276" s="6">
        <v>36.479999542236328</v>
      </c>
      <c r="G1276" s="6">
        <v>36.689998626708984</v>
      </c>
      <c r="H1276" s="6">
        <v>94.671606672262698</v>
      </c>
      <c r="I1276" s="6">
        <v>-0.26625893062102424</v>
      </c>
      <c r="J1276" s="6">
        <v>733991000</v>
      </c>
      <c r="K1276" s="6" t="e">
        <v>#N/A</v>
      </c>
      <c r="L1276" t="s">
        <v>6540</v>
      </c>
      <c r="M1276" t="s">
        <v>6571</v>
      </c>
      <c r="N1276" s="4" t="s">
        <v>10707</v>
      </c>
      <c r="O1276" s="4" t="s">
        <v>10708</v>
      </c>
      <c r="P1276" s="4" t="s">
        <v>233</v>
      </c>
    </row>
    <row r="1277" spans="1:16" x14ac:dyDescent="0.35">
      <c r="A1277" t="s">
        <v>10709</v>
      </c>
      <c r="B1277" t="s">
        <v>10710</v>
      </c>
      <c r="C1277" t="s">
        <v>16</v>
      </c>
      <c r="D1277" s="6">
        <v>1372909596.3244343</v>
      </c>
      <c r="E1277" s="6">
        <v>1634360596.3244343</v>
      </c>
      <c r="F1277" s="6">
        <v>26.059999465942383</v>
      </c>
      <c r="G1277" s="6">
        <v>25.209999084472656</v>
      </c>
      <c r="H1277" s="6">
        <v>53.162732772484276</v>
      </c>
      <c r="I1277" s="6">
        <v>0.8295994559611457</v>
      </c>
      <c r="J1277" s="6">
        <v>345554000</v>
      </c>
      <c r="K1277" s="6">
        <v>-6.3829787234042499</v>
      </c>
      <c r="L1277" t="s">
        <v>6514</v>
      </c>
      <c r="M1277" t="s">
        <v>6690</v>
      </c>
      <c r="N1277" s="4" t="s">
        <v>10711</v>
      </c>
      <c r="O1277" s="4" t="s">
        <v>10712</v>
      </c>
      <c r="P1277" s="4" t="s">
        <v>233</v>
      </c>
    </row>
    <row r="1278" spans="1:16" x14ac:dyDescent="0.35">
      <c r="A1278" t="s">
        <v>10713</v>
      </c>
      <c r="B1278" t="s">
        <v>10714</v>
      </c>
      <c r="C1278" t="s">
        <v>16</v>
      </c>
      <c r="D1278" s="6">
        <v>5205074559.8716049</v>
      </c>
      <c r="E1278" s="6">
        <v>4414007559.8716049</v>
      </c>
      <c r="F1278" s="6">
        <v>106.15000152587891</v>
      </c>
      <c r="G1278" s="6">
        <v>112.59999847412109</v>
      </c>
      <c r="H1278" s="6">
        <v>8.5314138892122511</v>
      </c>
      <c r="I1278" s="6">
        <v>0.99283750045360164</v>
      </c>
      <c r="J1278" s="6">
        <v>3084407000</v>
      </c>
      <c r="K1278" s="6">
        <v>38.858988159311103</v>
      </c>
      <c r="L1278" t="s">
        <v>6735</v>
      </c>
      <c r="M1278" t="s">
        <v>6747</v>
      </c>
      <c r="N1278" s="4" t="s">
        <v>10715</v>
      </c>
      <c r="O1278" s="4" t="s">
        <v>10716</v>
      </c>
      <c r="P1278" s="4" t="s">
        <v>233</v>
      </c>
    </row>
    <row r="1279" spans="1:16" x14ac:dyDescent="0.35">
      <c r="A1279" t="s">
        <v>10717</v>
      </c>
      <c r="B1279" t="s">
        <v>268</v>
      </c>
      <c r="C1279" t="s">
        <v>16</v>
      </c>
      <c r="D1279" s="6">
        <v>471952096</v>
      </c>
      <c r="E1279" s="6">
        <v>279064096</v>
      </c>
      <c r="F1279" s="6">
        <v>2.75</v>
      </c>
      <c r="G1279" s="6">
        <v>2.690000057220459</v>
      </c>
      <c r="H1279" s="6" t="e">
        <v>#N/A</v>
      </c>
      <c r="I1279" s="6">
        <v>-0.44910087693506739</v>
      </c>
      <c r="J1279" s="6">
        <v>0</v>
      </c>
      <c r="K1279" s="6">
        <v>-38.709677419354797</v>
      </c>
      <c r="L1279" t="s">
        <v>17</v>
      </c>
      <c r="M1279" t="s">
        <v>18</v>
      </c>
      <c r="N1279" s="4" t="s">
        <v>269</v>
      </c>
      <c r="O1279" s="4" t="s">
        <v>270</v>
      </c>
      <c r="P1279" s="4" t="s">
        <v>233</v>
      </c>
    </row>
    <row r="1280" spans="1:16" x14ac:dyDescent="0.35">
      <c r="A1280" t="s">
        <v>10718</v>
      </c>
      <c r="B1280" t="s">
        <v>10719</v>
      </c>
      <c r="C1280" t="s">
        <v>16</v>
      </c>
      <c r="D1280" s="6">
        <v>969172332.99034977</v>
      </c>
      <c r="E1280" s="6">
        <v>1697449332.9903498</v>
      </c>
      <c r="F1280" s="6">
        <v>5.630000114440918</v>
      </c>
      <c r="G1280" s="6">
        <v>5.4099998474121094</v>
      </c>
      <c r="H1280" s="6" t="e">
        <v>#N/A</v>
      </c>
      <c r="I1280" s="6">
        <v>2.5963412860776742</v>
      </c>
      <c r="J1280" s="6">
        <v>1456940000</v>
      </c>
      <c r="K1280" s="6">
        <v>73.333333333333329</v>
      </c>
      <c r="L1280" t="s">
        <v>6529</v>
      </c>
      <c r="M1280" t="s">
        <v>6664</v>
      </c>
      <c r="N1280" s="4" t="s">
        <v>10720</v>
      </c>
      <c r="O1280" s="4" t="s">
        <v>10721</v>
      </c>
      <c r="P1280" s="4" t="s">
        <v>233</v>
      </c>
    </row>
    <row r="1281" spans="1:16" x14ac:dyDescent="0.35">
      <c r="A1281" t="s">
        <v>10722</v>
      </c>
      <c r="B1281" t="s">
        <v>10723</v>
      </c>
      <c r="C1281" t="s">
        <v>16</v>
      </c>
      <c r="D1281" s="6">
        <v>1155461098.7923052</v>
      </c>
      <c r="E1281" s="6" t="e">
        <v>#N/A</v>
      </c>
      <c r="F1281" s="6">
        <v>32.490001678466797</v>
      </c>
      <c r="G1281" s="6">
        <v>32.799999237060547</v>
      </c>
      <c r="H1281" s="6">
        <v>9.589123260356871</v>
      </c>
      <c r="I1281" s="6">
        <v>0.18519277906151332</v>
      </c>
      <c r="J1281" s="6">
        <v>620142000</v>
      </c>
      <c r="K1281" s="6">
        <v>-3.4682080924855523</v>
      </c>
      <c r="L1281" t="s">
        <v>6529</v>
      </c>
      <c r="M1281" t="s">
        <v>6530</v>
      </c>
      <c r="N1281" s="4" t="s">
        <v>10724</v>
      </c>
      <c r="O1281" s="4" t="s">
        <v>10725</v>
      </c>
      <c r="P1281" s="4" t="s">
        <v>233</v>
      </c>
    </row>
    <row r="1282" spans="1:16" x14ac:dyDescent="0.35">
      <c r="A1282" t="s">
        <v>10726</v>
      </c>
      <c r="B1282" t="s">
        <v>3514</v>
      </c>
      <c r="C1282" t="s">
        <v>16</v>
      </c>
      <c r="D1282" s="6">
        <v>968579943.03128803</v>
      </c>
      <c r="E1282" s="6">
        <v>125521943.03128803</v>
      </c>
      <c r="F1282" s="6">
        <v>9.5100002288818359</v>
      </c>
      <c r="G1282" s="6">
        <v>9</v>
      </c>
      <c r="H1282" s="6" t="e">
        <v>#N/A</v>
      </c>
      <c r="I1282" s="6">
        <v>-0.67782649706783993</v>
      </c>
      <c r="J1282" s="6">
        <v>43086000</v>
      </c>
      <c r="K1282" s="6">
        <v>-1.6822429906542196</v>
      </c>
      <c r="L1282" t="s">
        <v>17</v>
      </c>
      <c r="M1282" t="s">
        <v>18</v>
      </c>
      <c r="N1282" s="4" t="s">
        <v>3515</v>
      </c>
      <c r="O1282" s="4" t="s">
        <v>3516</v>
      </c>
      <c r="P1282" s="4" t="s">
        <v>233</v>
      </c>
    </row>
    <row r="1283" spans="1:16" x14ac:dyDescent="0.35">
      <c r="A1283" t="s">
        <v>10727</v>
      </c>
      <c r="B1283" t="s">
        <v>2583</v>
      </c>
      <c r="C1283" t="s">
        <v>16</v>
      </c>
      <c r="D1283" s="6">
        <v>96690842.192761421</v>
      </c>
      <c r="E1283" s="6">
        <v>21924842.192761421</v>
      </c>
      <c r="F1283" s="6">
        <v>0.7685999870300293</v>
      </c>
      <c r="G1283" s="6">
        <v>0.79000002145767212</v>
      </c>
      <c r="H1283" s="6" t="e">
        <v>#N/A</v>
      </c>
      <c r="I1283" s="6">
        <v>-0.2230992395123903</v>
      </c>
      <c r="J1283" s="6">
        <v>0</v>
      </c>
      <c r="K1283" s="6">
        <v>7.2207192704435146</v>
      </c>
      <c r="L1283" t="s">
        <v>17</v>
      </c>
      <c r="M1283" t="s">
        <v>18</v>
      </c>
      <c r="N1283" s="4" t="s">
        <v>2584</v>
      </c>
      <c r="O1283" s="4" t="s">
        <v>2585</v>
      </c>
      <c r="P1283" s="4" t="s">
        <v>233</v>
      </c>
    </row>
    <row r="1284" spans="1:16" x14ac:dyDescent="0.35">
      <c r="A1284" t="s">
        <v>10728</v>
      </c>
      <c r="B1284" t="s">
        <v>10729</v>
      </c>
      <c r="C1284" t="s">
        <v>16</v>
      </c>
      <c r="D1284" s="6">
        <v>3945932038.6480737</v>
      </c>
      <c r="E1284" s="6">
        <v>5668157038.6480732</v>
      </c>
      <c r="F1284" s="6">
        <v>28.219999313354492</v>
      </c>
      <c r="G1284" s="6">
        <v>27.100000381469727</v>
      </c>
      <c r="H1284" s="6">
        <v>31.384463370542971</v>
      </c>
      <c r="I1284" s="6">
        <v>1.4247718765582067</v>
      </c>
      <c r="J1284" s="6">
        <v>2424264000</v>
      </c>
      <c r="K1284" s="6">
        <v>-66.405403904362558</v>
      </c>
      <c r="L1284" t="s">
        <v>6547</v>
      </c>
      <c r="M1284" t="s">
        <v>6802</v>
      </c>
      <c r="N1284" s="4" t="s">
        <v>10730</v>
      </c>
      <c r="O1284" s="4" t="s">
        <v>10731</v>
      </c>
      <c r="P1284" s="4" t="s">
        <v>233</v>
      </c>
    </row>
    <row r="1285" spans="1:16" x14ac:dyDescent="0.35">
      <c r="A1285" t="s">
        <v>10732</v>
      </c>
      <c r="B1285" t="s">
        <v>10733</v>
      </c>
      <c r="C1285" t="s">
        <v>16</v>
      </c>
      <c r="D1285" s="6">
        <v>5707496339.2387466</v>
      </c>
      <c r="E1285" s="6" t="e">
        <v>#N/A</v>
      </c>
      <c r="F1285" s="6">
        <v>76.019996643066406</v>
      </c>
      <c r="G1285" s="6">
        <v>76.220001220703125</v>
      </c>
      <c r="H1285" s="6">
        <v>42.707863282621574</v>
      </c>
      <c r="I1285" s="6">
        <v>0.41147174051300417</v>
      </c>
      <c r="J1285" s="6">
        <v>1194545000</v>
      </c>
      <c r="K1285" s="6" t="e">
        <v>#N/A</v>
      </c>
      <c r="L1285" t="s">
        <v>6529</v>
      </c>
      <c r="M1285" t="s">
        <v>6568</v>
      </c>
      <c r="N1285" s="4" t="s">
        <v>10734</v>
      </c>
      <c r="O1285" s="4" t="s">
        <v>10735</v>
      </c>
      <c r="P1285" s="4" t="s">
        <v>233</v>
      </c>
    </row>
    <row r="1286" spans="1:16" x14ac:dyDescent="0.35">
      <c r="A1286" t="s">
        <v>10736</v>
      </c>
      <c r="B1286" t="s">
        <v>10737</v>
      </c>
      <c r="C1286" t="s">
        <v>16</v>
      </c>
      <c r="D1286" s="6">
        <v>1878884103.058445</v>
      </c>
      <c r="E1286" s="6">
        <v>2100352103.058445</v>
      </c>
      <c r="F1286" s="6">
        <v>10.029999732971191</v>
      </c>
      <c r="G1286" s="6">
        <v>9.9300003051757813</v>
      </c>
      <c r="H1286" s="6">
        <v>73.152407414220534</v>
      </c>
      <c r="I1286" s="6">
        <v>-0.25588400271741851</v>
      </c>
      <c r="J1286" s="6">
        <v>421880000</v>
      </c>
      <c r="K1286" s="6">
        <v>44.444444444444457</v>
      </c>
      <c r="L1286" t="s">
        <v>6518</v>
      </c>
      <c r="M1286" t="s">
        <v>6519</v>
      </c>
      <c r="N1286" s="4" t="s">
        <v>10738</v>
      </c>
      <c r="O1286" s="4" t="s">
        <v>10739</v>
      </c>
      <c r="P1286" s="4" t="s">
        <v>233</v>
      </c>
    </row>
    <row r="1287" spans="1:16" x14ac:dyDescent="0.35">
      <c r="A1287" t="s">
        <v>10740</v>
      </c>
      <c r="B1287" t="s">
        <v>10741</v>
      </c>
      <c r="C1287" t="s">
        <v>16</v>
      </c>
      <c r="D1287" s="6">
        <v>761519993.46544647</v>
      </c>
      <c r="E1287" s="6">
        <v>1601454993.4654465</v>
      </c>
      <c r="F1287" s="6">
        <v>24.590000152587891</v>
      </c>
      <c r="G1287" s="6">
        <v>23.930000305175781</v>
      </c>
      <c r="H1287" s="6">
        <v>34.341465262732306</v>
      </c>
      <c r="I1287" s="6">
        <v>-0.14549281250436807</v>
      </c>
      <c r="J1287" s="6">
        <v>1747593000</v>
      </c>
      <c r="K1287" s="6" t="e">
        <v>#N/A</v>
      </c>
      <c r="L1287" t="s">
        <v>6547</v>
      </c>
      <c r="M1287" t="s">
        <v>6802</v>
      </c>
      <c r="N1287" s="4" t="s">
        <v>10742</v>
      </c>
      <c r="O1287" s="4" t="s">
        <v>10743</v>
      </c>
      <c r="P1287" s="4" t="s">
        <v>233</v>
      </c>
    </row>
    <row r="1288" spans="1:16" x14ac:dyDescent="0.35">
      <c r="A1288" t="s">
        <v>10744</v>
      </c>
      <c r="B1288" t="s">
        <v>10745</v>
      </c>
      <c r="C1288" t="s">
        <v>16</v>
      </c>
      <c r="D1288" s="6">
        <v>1458552715.880455</v>
      </c>
      <c r="E1288" s="6">
        <v>3274286715.880455</v>
      </c>
      <c r="F1288" s="6">
        <v>15.699999809265137</v>
      </c>
      <c r="G1288" s="6">
        <v>15.600000381469727</v>
      </c>
      <c r="H1288" s="6" t="e">
        <v>#N/A</v>
      </c>
      <c r="I1288" s="6">
        <v>4.3611189983996823E-2</v>
      </c>
      <c r="J1288" s="6">
        <v>275908000</v>
      </c>
      <c r="K1288" s="6">
        <v>53.593646955374808</v>
      </c>
      <c r="L1288" t="s">
        <v>6623</v>
      </c>
      <c r="M1288" t="s">
        <v>7086</v>
      </c>
      <c r="N1288" s="4" t="s">
        <v>10746</v>
      </c>
      <c r="O1288" s="4" t="s">
        <v>10747</v>
      </c>
      <c r="P1288" s="4" t="s">
        <v>233</v>
      </c>
    </row>
    <row r="1289" spans="1:16" x14ac:dyDescent="0.35">
      <c r="A1289" t="s">
        <v>10748</v>
      </c>
      <c r="B1289" t="s">
        <v>10749</v>
      </c>
      <c r="C1289" t="s">
        <v>16</v>
      </c>
      <c r="D1289" s="6">
        <v>213210380.05633354</v>
      </c>
      <c r="E1289" s="6">
        <v>119039380.05633354</v>
      </c>
      <c r="F1289" s="6">
        <v>1.7100000381469727</v>
      </c>
      <c r="G1289" s="6">
        <v>1.7300000190734863</v>
      </c>
      <c r="H1289" s="6" t="e">
        <v>#N/A</v>
      </c>
      <c r="I1289" s="6">
        <v>-0.2623163891590049</v>
      </c>
      <c r="J1289" s="6">
        <v>298759000</v>
      </c>
      <c r="K1289" s="6">
        <v>-849.99999999999989</v>
      </c>
      <c r="L1289" t="s">
        <v>6514</v>
      </c>
      <c r="M1289" t="s">
        <v>6690</v>
      </c>
      <c r="N1289" s="4" t="s">
        <v>10750</v>
      </c>
      <c r="O1289" s="4" t="s">
        <v>10751</v>
      </c>
      <c r="P1289" s="4" t="s">
        <v>233</v>
      </c>
    </row>
    <row r="1290" spans="1:16" x14ac:dyDescent="0.35">
      <c r="A1290" t="s">
        <v>10752</v>
      </c>
      <c r="B1290" t="s">
        <v>10753</v>
      </c>
      <c r="C1290" t="s">
        <v>16</v>
      </c>
      <c r="D1290" s="6">
        <v>2204528301.9767532</v>
      </c>
      <c r="E1290" s="6">
        <v>6516928301.9767532</v>
      </c>
      <c r="F1290" s="6">
        <v>9.9300003051757813</v>
      </c>
      <c r="G1290" s="6">
        <v>9.8500003814697266</v>
      </c>
      <c r="H1290" s="6">
        <v>33.715648763677351</v>
      </c>
      <c r="I1290" s="6">
        <v>8.5003392940032008E-2</v>
      </c>
      <c r="J1290" s="6">
        <v>3871500000</v>
      </c>
      <c r="K1290" s="6">
        <v>76.09917505030181</v>
      </c>
      <c r="L1290" t="s">
        <v>6514</v>
      </c>
      <c r="M1290" t="s">
        <v>6690</v>
      </c>
      <c r="N1290" s="4" t="s">
        <v>10754</v>
      </c>
      <c r="O1290" s="4" t="s">
        <v>10755</v>
      </c>
      <c r="P1290" s="4" t="s">
        <v>233</v>
      </c>
    </row>
    <row r="1291" spans="1:16" x14ac:dyDescent="0.35">
      <c r="A1291" t="s">
        <v>10756</v>
      </c>
      <c r="B1291" t="s">
        <v>3083</v>
      </c>
      <c r="C1291" t="s">
        <v>16</v>
      </c>
      <c r="D1291" s="6">
        <v>206095409.65701485</v>
      </c>
      <c r="E1291" s="6">
        <v>7750409.6570148468</v>
      </c>
      <c r="F1291" s="6">
        <v>3.2300000190734863</v>
      </c>
      <c r="G1291" s="6">
        <v>3.1099998950958252</v>
      </c>
      <c r="H1291" s="6" t="e">
        <v>#N/A</v>
      </c>
      <c r="I1291" s="6">
        <v>-0.58648480652345514</v>
      </c>
      <c r="J1291" s="6">
        <v>0</v>
      </c>
      <c r="K1291" s="6">
        <v>-51.315789473684227</v>
      </c>
      <c r="L1291" t="s">
        <v>17</v>
      </c>
      <c r="M1291" t="s">
        <v>18</v>
      </c>
      <c r="N1291" s="4" t="s">
        <v>3084</v>
      </c>
      <c r="O1291" s="4" t="s">
        <v>3085</v>
      </c>
      <c r="P1291" s="4" t="s">
        <v>233</v>
      </c>
    </row>
    <row r="1292" spans="1:16" x14ac:dyDescent="0.35">
      <c r="A1292" t="s">
        <v>10757</v>
      </c>
      <c r="B1292" t="s">
        <v>10758</v>
      </c>
      <c r="C1292" t="s">
        <v>16</v>
      </c>
      <c r="D1292" s="6">
        <v>1181111490.0000002</v>
      </c>
      <c r="E1292" s="6">
        <v>1739073490.0000005</v>
      </c>
      <c r="F1292" s="6">
        <v>19.5</v>
      </c>
      <c r="G1292" s="6">
        <v>20.079999923706055</v>
      </c>
      <c r="H1292" s="6">
        <v>38.83178072589542</v>
      </c>
      <c r="I1292" s="6">
        <v>-0.18636274190463598</v>
      </c>
      <c r="J1292" s="6">
        <v>891551000</v>
      </c>
      <c r="K1292" s="6">
        <v>258.33333333333337</v>
      </c>
      <c r="L1292" t="s">
        <v>6540</v>
      </c>
      <c r="M1292" t="s">
        <v>6825</v>
      </c>
      <c r="N1292" s="4" t="s">
        <v>10759</v>
      </c>
      <c r="O1292" s="4" t="s">
        <v>10760</v>
      </c>
      <c r="P1292" s="4" t="s">
        <v>233</v>
      </c>
    </row>
    <row r="1293" spans="1:16" x14ac:dyDescent="0.35">
      <c r="A1293" t="s">
        <v>10761</v>
      </c>
      <c r="B1293" t="s">
        <v>10762</v>
      </c>
      <c r="C1293" t="s">
        <v>16</v>
      </c>
      <c r="D1293" s="6">
        <v>5283589597.2591553</v>
      </c>
      <c r="E1293" s="6">
        <v>5888467597.2591553</v>
      </c>
      <c r="F1293" s="6">
        <v>166.35000610351563</v>
      </c>
      <c r="G1293" s="6">
        <v>165.30000305175781</v>
      </c>
      <c r="H1293" s="6">
        <v>23.380775072807975</v>
      </c>
      <c r="I1293" s="6">
        <v>-0.13928946566409095</v>
      </c>
      <c r="J1293" s="6">
        <v>8701698000</v>
      </c>
      <c r="K1293" s="6">
        <v>-9.3786635404454746</v>
      </c>
      <c r="L1293" t="s">
        <v>6518</v>
      </c>
      <c r="M1293" t="s">
        <v>6714</v>
      </c>
      <c r="N1293" s="4" t="s">
        <v>10763</v>
      </c>
      <c r="O1293" s="4" t="s">
        <v>10764</v>
      </c>
      <c r="P1293" s="4" t="s">
        <v>233</v>
      </c>
    </row>
    <row r="1294" spans="1:16" x14ac:dyDescent="0.35">
      <c r="A1294" t="s">
        <v>10765</v>
      </c>
      <c r="B1294" t="s">
        <v>10766</v>
      </c>
      <c r="C1294" t="s">
        <v>16</v>
      </c>
      <c r="D1294" s="6">
        <v>515523910.5607453</v>
      </c>
      <c r="E1294" s="6" t="e">
        <v>#N/A</v>
      </c>
      <c r="F1294" s="6">
        <v>51.580001831054688</v>
      </c>
      <c r="G1294" s="6">
        <v>52.119998931884766</v>
      </c>
      <c r="H1294" s="6">
        <v>20.793692485186686</v>
      </c>
      <c r="I1294" s="6">
        <v>0.27193885297865039</v>
      </c>
      <c r="J1294" s="6">
        <v>229796000</v>
      </c>
      <c r="K1294" s="6">
        <v>-74.025974025974023</v>
      </c>
      <c r="L1294" t="s">
        <v>6529</v>
      </c>
      <c r="M1294" t="s">
        <v>6530</v>
      </c>
      <c r="N1294" s="4" t="s">
        <v>10767</v>
      </c>
      <c r="O1294" s="4" t="s">
        <v>10768</v>
      </c>
      <c r="P1294" s="4" t="s">
        <v>233</v>
      </c>
    </row>
    <row r="1295" spans="1:16" x14ac:dyDescent="0.35">
      <c r="A1295" t="s">
        <v>10769</v>
      </c>
      <c r="B1295" t="s">
        <v>10770</v>
      </c>
      <c r="C1295" t="s">
        <v>16</v>
      </c>
      <c r="D1295" s="6">
        <v>1649826181.3504341</v>
      </c>
      <c r="E1295" s="6" t="e">
        <v>#N/A</v>
      </c>
      <c r="F1295" s="6">
        <v>12.949999809265137</v>
      </c>
      <c r="G1295" s="6">
        <v>13.109999656677246</v>
      </c>
      <c r="H1295" s="6">
        <v>17.601063144005426</v>
      </c>
      <c r="I1295" s="6">
        <v>0.13649606024761285</v>
      </c>
      <c r="J1295" s="6">
        <v>756206000</v>
      </c>
      <c r="K1295" s="6">
        <v>-25.471698113207545</v>
      </c>
      <c r="L1295" t="s">
        <v>6529</v>
      </c>
      <c r="M1295" t="s">
        <v>6530</v>
      </c>
      <c r="N1295" s="4" t="s">
        <v>10771</v>
      </c>
      <c r="O1295" s="4" t="s">
        <v>10772</v>
      </c>
      <c r="P1295" s="4" t="s">
        <v>233</v>
      </c>
    </row>
    <row r="1296" spans="1:16" x14ac:dyDescent="0.35">
      <c r="A1296" t="s">
        <v>10773</v>
      </c>
      <c r="B1296" t="s">
        <v>10774</v>
      </c>
      <c r="C1296" t="s">
        <v>16</v>
      </c>
      <c r="D1296" s="6">
        <v>851797439.64836025</v>
      </c>
      <c r="E1296" s="6">
        <v>13687640439.648357</v>
      </c>
      <c r="F1296" s="6">
        <v>6.440000057220459</v>
      </c>
      <c r="G1296" s="6">
        <v>6.4899997711181641</v>
      </c>
      <c r="H1296" s="6">
        <v>8.9699465803756784</v>
      </c>
      <c r="I1296" s="6">
        <v>5.9622549650943268E-2</v>
      </c>
      <c r="J1296" s="6">
        <v>1049422000</v>
      </c>
      <c r="K1296" s="6" t="e">
        <v>#N/A</v>
      </c>
      <c r="L1296" t="s">
        <v>6529</v>
      </c>
      <c r="M1296" t="s">
        <v>8169</v>
      </c>
      <c r="N1296" s="4" t="s">
        <v>10775</v>
      </c>
      <c r="O1296" s="4" t="s">
        <v>10776</v>
      </c>
      <c r="P1296" s="4" t="s">
        <v>233</v>
      </c>
    </row>
    <row r="1297" spans="1:16" x14ac:dyDescent="0.35">
      <c r="A1297" t="s">
        <v>10777</v>
      </c>
      <c r="B1297" t="s">
        <v>3439</v>
      </c>
      <c r="C1297" t="s">
        <v>16</v>
      </c>
      <c r="D1297" s="6">
        <v>1663990667.4273303</v>
      </c>
      <c r="E1297" s="6">
        <v>1388086667.4273303</v>
      </c>
      <c r="F1297" s="6">
        <v>10.909999847412109</v>
      </c>
      <c r="G1297" s="6">
        <v>10.189999580383301</v>
      </c>
      <c r="H1297" s="6" t="e">
        <v>#N/A</v>
      </c>
      <c r="I1297" s="6">
        <v>1.7824692254478141</v>
      </c>
      <c r="J1297" s="6">
        <v>53610000</v>
      </c>
      <c r="K1297" s="6">
        <v>-27.586206896551712</v>
      </c>
      <c r="L1297" t="s">
        <v>17</v>
      </c>
      <c r="M1297" t="s">
        <v>87</v>
      </c>
      <c r="N1297" s="4" t="s">
        <v>233</v>
      </c>
      <c r="O1297" s="4" t="s">
        <v>3440</v>
      </c>
      <c r="P1297" s="4" t="s">
        <v>13089</v>
      </c>
    </row>
    <row r="1298" spans="1:16" x14ac:dyDescent="0.35">
      <c r="A1298" t="s">
        <v>10778</v>
      </c>
      <c r="B1298" t="s">
        <v>10779</v>
      </c>
      <c r="C1298" t="s">
        <v>16</v>
      </c>
      <c r="D1298" s="6">
        <v>892913214.29658496</v>
      </c>
      <c r="E1298" s="6">
        <v>1428813214.2965851</v>
      </c>
      <c r="F1298" s="6">
        <v>17.069999694824219</v>
      </c>
      <c r="G1298" s="6">
        <v>16.860000610351563</v>
      </c>
      <c r="H1298" s="6">
        <v>17.626631077624523</v>
      </c>
      <c r="I1298" s="6">
        <v>0.10455338222478461</v>
      </c>
      <c r="J1298" s="6">
        <v>1075739000</v>
      </c>
      <c r="K1298" s="6">
        <v>-23.07692307692308</v>
      </c>
      <c r="L1298" t="s">
        <v>6547</v>
      </c>
      <c r="M1298" t="s">
        <v>6814</v>
      </c>
      <c r="N1298" s="4" t="s">
        <v>10780</v>
      </c>
      <c r="O1298" s="4" t="s">
        <v>10781</v>
      </c>
      <c r="P1298" s="4" t="s">
        <v>233</v>
      </c>
    </row>
    <row r="1299" spans="1:16" x14ac:dyDescent="0.35">
      <c r="A1299" t="s">
        <v>10782</v>
      </c>
      <c r="B1299" t="s">
        <v>10783</v>
      </c>
      <c r="C1299" t="s">
        <v>16</v>
      </c>
      <c r="D1299" s="6">
        <v>1342521558.0810165</v>
      </c>
      <c r="E1299" s="6" t="e">
        <v>#N/A</v>
      </c>
      <c r="F1299" s="6">
        <v>23.645000457763672</v>
      </c>
      <c r="G1299" s="6">
        <v>23.159999847412109</v>
      </c>
      <c r="H1299" s="6">
        <v>18.297104467034391</v>
      </c>
      <c r="I1299" s="6">
        <v>-0.31787335157460017</v>
      </c>
      <c r="J1299" s="6">
        <v>717301000</v>
      </c>
      <c r="K1299" s="6" t="e">
        <v>#N/A</v>
      </c>
      <c r="L1299" t="s">
        <v>6518</v>
      </c>
      <c r="M1299" t="s">
        <v>6807</v>
      </c>
      <c r="N1299" s="4" t="s">
        <v>10784</v>
      </c>
      <c r="O1299" s="4" t="s">
        <v>10785</v>
      </c>
      <c r="P1299" s="4" t="s">
        <v>233</v>
      </c>
    </row>
    <row r="1300" spans="1:16" x14ac:dyDescent="0.35">
      <c r="A1300" t="s">
        <v>10786</v>
      </c>
      <c r="B1300" t="s">
        <v>10787</v>
      </c>
      <c r="C1300" t="s">
        <v>16</v>
      </c>
      <c r="D1300" s="6">
        <v>567926333.65371406</v>
      </c>
      <c r="E1300" s="6">
        <v>805176333.65371406</v>
      </c>
      <c r="F1300" s="6">
        <v>2.7200000286102295</v>
      </c>
      <c r="G1300" s="6">
        <v>2.690000057220459</v>
      </c>
      <c r="H1300" s="6">
        <v>9.2944108082044679</v>
      </c>
      <c r="I1300" s="6">
        <v>-0.28769229191814183</v>
      </c>
      <c r="J1300" s="6">
        <v>304386000</v>
      </c>
      <c r="K1300" s="6">
        <v>-47.593035714285726</v>
      </c>
      <c r="L1300" t="s">
        <v>6523</v>
      </c>
      <c r="M1300" t="s">
        <v>6524</v>
      </c>
      <c r="N1300" s="4" t="s">
        <v>233</v>
      </c>
      <c r="O1300" s="4" t="s">
        <v>10788</v>
      </c>
      <c r="P1300" s="4" t="s">
        <v>13249</v>
      </c>
    </row>
    <row r="1301" spans="1:16" x14ac:dyDescent="0.35">
      <c r="A1301" t="s">
        <v>10789</v>
      </c>
      <c r="B1301" t="s">
        <v>10790</v>
      </c>
      <c r="C1301" t="s">
        <v>16</v>
      </c>
      <c r="D1301" s="6">
        <v>1177652601.0537002</v>
      </c>
      <c r="E1301" s="6">
        <v>842650601.05370021</v>
      </c>
      <c r="F1301" s="6">
        <v>7.070000171661377</v>
      </c>
      <c r="G1301" s="6">
        <v>7</v>
      </c>
      <c r="H1301" s="6" t="e">
        <v>#N/A</v>
      </c>
      <c r="I1301" s="6">
        <v>0.17976606762069625</v>
      </c>
      <c r="J1301" s="6">
        <v>271872000</v>
      </c>
      <c r="K1301" s="6">
        <v>70.967741935483858</v>
      </c>
      <c r="L1301" t="s">
        <v>6518</v>
      </c>
      <c r="M1301" t="s">
        <v>6519</v>
      </c>
      <c r="N1301" s="4" t="s">
        <v>10791</v>
      </c>
      <c r="O1301" s="4" t="s">
        <v>10792</v>
      </c>
      <c r="P1301" s="4" t="s">
        <v>233</v>
      </c>
    </row>
    <row r="1302" spans="1:16" x14ac:dyDescent="0.35">
      <c r="A1302" t="s">
        <v>10793</v>
      </c>
      <c r="B1302" t="s">
        <v>10794</v>
      </c>
      <c r="C1302" t="s">
        <v>16</v>
      </c>
      <c r="D1302" s="6">
        <v>1376087400.3753204</v>
      </c>
      <c r="E1302" s="6">
        <v>1700866400.3753204</v>
      </c>
      <c r="F1302" s="6">
        <v>40.389999389648438</v>
      </c>
      <c r="G1302" s="6">
        <v>40.729999542236328</v>
      </c>
      <c r="H1302" s="6">
        <v>11.359120437234303</v>
      </c>
      <c r="I1302" s="6">
        <v>-0.23992848636210751</v>
      </c>
      <c r="J1302" s="6">
        <v>11347410000</v>
      </c>
      <c r="K1302" s="6">
        <v>83.419689119170982</v>
      </c>
      <c r="L1302" t="s">
        <v>6735</v>
      </c>
      <c r="M1302" t="s">
        <v>6736</v>
      </c>
      <c r="N1302" s="4" t="s">
        <v>10795</v>
      </c>
      <c r="O1302" s="4" t="s">
        <v>10796</v>
      </c>
      <c r="P1302" s="4" t="s">
        <v>233</v>
      </c>
    </row>
    <row r="1303" spans="1:16" x14ac:dyDescent="0.35">
      <c r="A1303" t="s">
        <v>10797</v>
      </c>
      <c r="B1303" t="s">
        <v>10798</v>
      </c>
      <c r="C1303" t="s">
        <v>16</v>
      </c>
      <c r="D1303" s="6">
        <v>1246568984.7080576</v>
      </c>
      <c r="E1303" s="6">
        <v>1197267984.7080576</v>
      </c>
      <c r="F1303" s="6">
        <v>17.129999160766602</v>
      </c>
      <c r="G1303" s="6">
        <v>17.100000381469727</v>
      </c>
      <c r="H1303" s="6" t="e">
        <v>#N/A</v>
      </c>
      <c r="I1303" s="6">
        <v>0.29778396117536521</v>
      </c>
      <c r="J1303" s="6">
        <v>170468000</v>
      </c>
      <c r="K1303" s="6">
        <v>39.473684210526315</v>
      </c>
      <c r="L1303" t="s">
        <v>6518</v>
      </c>
      <c r="M1303" t="s">
        <v>6519</v>
      </c>
      <c r="N1303" s="4" t="s">
        <v>10799</v>
      </c>
      <c r="O1303" s="4" t="s">
        <v>10800</v>
      </c>
      <c r="P1303" s="4" t="s">
        <v>233</v>
      </c>
    </row>
    <row r="1304" spans="1:16" x14ac:dyDescent="0.35">
      <c r="A1304" t="s">
        <v>10801</v>
      </c>
      <c r="B1304" t="s">
        <v>10802</v>
      </c>
      <c r="C1304" t="s">
        <v>16</v>
      </c>
      <c r="D1304" s="6">
        <v>112886686.8220825</v>
      </c>
      <c r="E1304" s="6">
        <v>133766686.8220825</v>
      </c>
      <c r="F1304" s="6">
        <v>1.1799999475479126</v>
      </c>
      <c r="G1304" s="6">
        <v>1.1599999666213989</v>
      </c>
      <c r="H1304" s="6" t="e">
        <v>#N/A</v>
      </c>
      <c r="I1304" s="6">
        <v>-0.21281745816543629</v>
      </c>
      <c r="J1304" s="6">
        <v>127816000</v>
      </c>
      <c r="K1304" s="6">
        <v>47.368421052631568</v>
      </c>
      <c r="L1304" t="s">
        <v>6514</v>
      </c>
      <c r="M1304" t="s">
        <v>6690</v>
      </c>
      <c r="N1304" s="4" t="s">
        <v>10803</v>
      </c>
      <c r="O1304" s="4" t="s">
        <v>10804</v>
      </c>
      <c r="P1304" s="4" t="s">
        <v>233</v>
      </c>
    </row>
    <row r="1305" spans="1:16" x14ac:dyDescent="0.35">
      <c r="A1305" t="s">
        <v>10805</v>
      </c>
      <c r="B1305" t="s">
        <v>10806</v>
      </c>
      <c r="C1305" t="s">
        <v>16</v>
      </c>
      <c r="D1305" s="6">
        <v>629425689.75597513</v>
      </c>
      <c r="E1305" s="6">
        <v>989425689.75597513</v>
      </c>
      <c r="F1305" s="6">
        <v>7.559999942779541</v>
      </c>
      <c r="G1305" s="6">
        <v>7.309999942779541</v>
      </c>
      <c r="H1305" s="6" t="e">
        <v>#N/A</v>
      </c>
      <c r="I1305" s="6">
        <v>0.57632145333870266</v>
      </c>
      <c r="J1305" s="6">
        <v>354300000</v>
      </c>
      <c r="K1305" s="6">
        <v>21.432083271336982</v>
      </c>
      <c r="L1305" t="s">
        <v>6563</v>
      </c>
      <c r="M1305" t="s">
        <v>9157</v>
      </c>
      <c r="N1305" s="4" t="s">
        <v>10807</v>
      </c>
      <c r="O1305" s="4" t="s">
        <v>10808</v>
      </c>
      <c r="P1305" s="4" t="s">
        <v>233</v>
      </c>
    </row>
    <row r="1306" spans="1:16" x14ac:dyDescent="0.35">
      <c r="A1306" t="s">
        <v>10809</v>
      </c>
      <c r="B1306" t="s">
        <v>10810</v>
      </c>
      <c r="C1306" t="s">
        <v>16</v>
      </c>
      <c r="D1306" s="6">
        <v>277810679.09770203</v>
      </c>
      <c r="E1306" s="6">
        <v>92330679.097702026</v>
      </c>
      <c r="F1306" s="6">
        <v>6.6700000762939453</v>
      </c>
      <c r="G1306" s="6">
        <v>6.5999999046325684</v>
      </c>
      <c r="H1306" s="6" t="e">
        <v>#N/A</v>
      </c>
      <c r="I1306" s="6">
        <v>-0.17202845347829554</v>
      </c>
      <c r="J1306" s="6">
        <v>150738000</v>
      </c>
      <c r="K1306" s="6">
        <v>10.554946354469026</v>
      </c>
      <c r="L1306" t="s">
        <v>6518</v>
      </c>
      <c r="M1306" t="s">
        <v>6519</v>
      </c>
      <c r="N1306" s="4" t="s">
        <v>10811</v>
      </c>
      <c r="O1306" s="4" t="s">
        <v>10812</v>
      </c>
      <c r="P1306" s="4" t="s">
        <v>233</v>
      </c>
    </row>
    <row r="1307" spans="1:16" x14ac:dyDescent="0.35">
      <c r="A1307" t="s">
        <v>10813</v>
      </c>
      <c r="B1307" t="s">
        <v>4867</v>
      </c>
      <c r="C1307" t="s">
        <v>16</v>
      </c>
      <c r="D1307" s="6">
        <v>457123880.3374185</v>
      </c>
      <c r="E1307" s="6">
        <v>506175880.3374185</v>
      </c>
      <c r="F1307" s="6">
        <v>3.380000114440918</v>
      </c>
      <c r="G1307" s="6">
        <v>3.369999885559082</v>
      </c>
      <c r="H1307" s="6" t="e">
        <v>#N/A</v>
      </c>
      <c r="I1307" s="6">
        <v>-0.42527454508424867</v>
      </c>
      <c r="J1307" s="6">
        <v>806613000</v>
      </c>
      <c r="K1307" s="6">
        <v>23.999999999999989</v>
      </c>
      <c r="L1307" t="s">
        <v>17</v>
      </c>
      <c r="M1307" t="s">
        <v>40</v>
      </c>
      <c r="N1307" s="4" t="s">
        <v>4868</v>
      </c>
      <c r="O1307" s="4" t="s">
        <v>4869</v>
      </c>
      <c r="P1307" s="4" t="s">
        <v>233</v>
      </c>
    </row>
    <row r="1308" spans="1:16" x14ac:dyDescent="0.35">
      <c r="A1308" t="s">
        <v>10814</v>
      </c>
      <c r="B1308" t="s">
        <v>10815</v>
      </c>
      <c r="C1308" t="s">
        <v>16</v>
      </c>
      <c r="D1308" s="6">
        <v>5414351588.0068436</v>
      </c>
      <c r="E1308" s="6">
        <v>6254389588.0068436</v>
      </c>
      <c r="F1308" s="6">
        <v>51.619998931884766</v>
      </c>
      <c r="G1308" s="6">
        <v>51.490001678466797</v>
      </c>
      <c r="H1308" s="6">
        <v>23.601587155050709</v>
      </c>
      <c r="I1308" s="6">
        <v>0.65804241916205997</v>
      </c>
      <c r="J1308" s="6">
        <v>1617813000</v>
      </c>
      <c r="K1308" s="6">
        <v>166.24999999999994</v>
      </c>
      <c r="L1308" t="s">
        <v>6518</v>
      </c>
      <c r="M1308" t="s">
        <v>6519</v>
      </c>
      <c r="N1308" s="4" t="s">
        <v>10816</v>
      </c>
      <c r="O1308" s="4" t="s">
        <v>10817</v>
      </c>
      <c r="P1308" s="4" t="s">
        <v>233</v>
      </c>
    </row>
    <row r="1309" spans="1:16" x14ac:dyDescent="0.35">
      <c r="A1309" t="s">
        <v>10818</v>
      </c>
      <c r="B1309" t="s">
        <v>10819</v>
      </c>
      <c r="C1309" t="s">
        <v>16</v>
      </c>
      <c r="D1309" s="6">
        <v>1528462302.2000315</v>
      </c>
      <c r="E1309" s="6">
        <v>1953165302.2000315</v>
      </c>
      <c r="F1309" s="6">
        <v>8.8100004196166992</v>
      </c>
      <c r="G1309" s="6">
        <v>8.5200004577636719</v>
      </c>
      <c r="H1309" s="6" t="e">
        <v>#N/A</v>
      </c>
      <c r="I1309" s="6">
        <v>0.94986638999329176</v>
      </c>
      <c r="J1309" s="6">
        <v>0</v>
      </c>
      <c r="K1309" s="6">
        <v>-14.948888888888892</v>
      </c>
      <c r="L1309" t="s">
        <v>6563</v>
      </c>
      <c r="M1309" t="s">
        <v>6764</v>
      </c>
      <c r="N1309" s="4" t="s">
        <v>10820</v>
      </c>
      <c r="O1309" s="4" t="s">
        <v>10821</v>
      </c>
      <c r="P1309" s="4" t="s">
        <v>233</v>
      </c>
    </row>
    <row r="1310" spans="1:16" x14ac:dyDescent="0.35">
      <c r="A1310" t="s">
        <v>10822</v>
      </c>
      <c r="B1310" t="s">
        <v>10823</v>
      </c>
      <c r="C1310" t="s">
        <v>16</v>
      </c>
      <c r="D1310" s="6">
        <v>1606527356.6457329</v>
      </c>
      <c r="E1310" s="6">
        <v>3034443356.6457329</v>
      </c>
      <c r="F1310" s="6">
        <v>29.370000839233398</v>
      </c>
      <c r="G1310" s="6">
        <v>29.049999237060547</v>
      </c>
      <c r="H1310" s="6">
        <v>9.1018799516405373</v>
      </c>
      <c r="I1310" s="6">
        <v>-9.8714442799161306E-2</v>
      </c>
      <c r="J1310" s="6">
        <v>4259427000</v>
      </c>
      <c r="K1310" s="6">
        <v>825.00000000000034</v>
      </c>
      <c r="L1310" t="s">
        <v>6540</v>
      </c>
      <c r="M1310" t="s">
        <v>6541</v>
      </c>
      <c r="N1310" s="4" t="s">
        <v>10824</v>
      </c>
      <c r="O1310" s="4" t="s">
        <v>10825</v>
      </c>
      <c r="P1310" s="4" t="s">
        <v>233</v>
      </c>
    </row>
    <row r="1311" spans="1:16" x14ac:dyDescent="0.35">
      <c r="A1311" t="s">
        <v>10826</v>
      </c>
      <c r="B1311" t="s">
        <v>10827</v>
      </c>
      <c r="C1311" t="s">
        <v>16</v>
      </c>
      <c r="D1311" s="6">
        <v>5108201730.6215057</v>
      </c>
      <c r="E1311" s="6">
        <v>5160616730.6215057</v>
      </c>
      <c r="F1311" s="6">
        <v>21.309999465942383</v>
      </c>
      <c r="G1311" s="6">
        <v>20.180000305175781</v>
      </c>
      <c r="H1311" s="6" t="e">
        <v>#N/A</v>
      </c>
      <c r="I1311" s="6">
        <v>1.0911477528087827</v>
      </c>
      <c r="J1311" s="6">
        <v>728723000</v>
      </c>
      <c r="K1311" s="6">
        <v>40.298507462686565</v>
      </c>
      <c r="L1311" t="s">
        <v>6518</v>
      </c>
      <c r="M1311" t="s">
        <v>6519</v>
      </c>
      <c r="N1311" s="4" t="s">
        <v>10828</v>
      </c>
      <c r="O1311" s="4" t="s">
        <v>10829</v>
      </c>
      <c r="P1311" s="4" t="s">
        <v>233</v>
      </c>
    </row>
    <row r="1312" spans="1:16" x14ac:dyDescent="0.35">
      <c r="A1312" t="s">
        <v>10830</v>
      </c>
      <c r="B1312" t="s">
        <v>10831</v>
      </c>
      <c r="C1312" t="s">
        <v>16</v>
      </c>
      <c r="D1312" s="6">
        <v>290629120.33649445</v>
      </c>
      <c r="E1312" s="6" t="e">
        <v>#N/A</v>
      </c>
      <c r="F1312" s="6">
        <v>61.060001373291016</v>
      </c>
      <c r="G1312" s="6">
        <v>62.189998626708984</v>
      </c>
      <c r="H1312" s="6">
        <v>10.437607072357439</v>
      </c>
      <c r="I1312" s="6">
        <v>0.23206435300653427</v>
      </c>
      <c r="J1312" s="6">
        <v>169718000</v>
      </c>
      <c r="K1312" s="6">
        <v>45.778325123152719</v>
      </c>
      <c r="L1312" t="s">
        <v>6529</v>
      </c>
      <c r="M1312" t="s">
        <v>6530</v>
      </c>
      <c r="N1312" s="4" t="s">
        <v>10832</v>
      </c>
      <c r="O1312" s="4" t="s">
        <v>10833</v>
      </c>
      <c r="P1312" s="4" t="s">
        <v>233</v>
      </c>
    </row>
    <row r="1313" spans="1:16" x14ac:dyDescent="0.35">
      <c r="A1313" t="s">
        <v>10834</v>
      </c>
      <c r="B1313" t="s">
        <v>10835</v>
      </c>
      <c r="C1313" t="s">
        <v>16</v>
      </c>
      <c r="D1313" s="6">
        <v>214240585.54409075</v>
      </c>
      <c r="E1313" s="6">
        <v>277827585.54409075</v>
      </c>
      <c r="F1313" s="6">
        <v>7.7699999809265137</v>
      </c>
      <c r="G1313" s="6">
        <v>7.9000000953674316</v>
      </c>
      <c r="H1313" s="6" t="e">
        <v>#N/A</v>
      </c>
      <c r="I1313" s="6">
        <v>-0.10968230119993194</v>
      </c>
      <c r="J1313" s="6">
        <v>108943000</v>
      </c>
      <c r="K1313" s="6" t="e">
        <v>#N/A</v>
      </c>
      <c r="L1313" t="s">
        <v>6529</v>
      </c>
      <c r="M1313" t="s">
        <v>6664</v>
      </c>
      <c r="N1313" s="4" t="s">
        <v>10836</v>
      </c>
      <c r="O1313" s="4" t="s">
        <v>10837</v>
      </c>
      <c r="P1313" s="4" t="s">
        <v>233</v>
      </c>
    </row>
    <row r="1314" spans="1:16" x14ac:dyDescent="0.35">
      <c r="A1314" t="s">
        <v>10838</v>
      </c>
      <c r="B1314" t="s">
        <v>423</v>
      </c>
      <c r="C1314" t="s">
        <v>16</v>
      </c>
      <c r="D1314" s="6">
        <v>1858097652.0328903</v>
      </c>
      <c r="E1314" s="6">
        <v>2997501652.0328903</v>
      </c>
      <c r="F1314" s="6">
        <v>24.079999923706055</v>
      </c>
      <c r="G1314" s="6">
        <v>25.280000686645508</v>
      </c>
      <c r="H1314" s="6">
        <v>19.270135550124007</v>
      </c>
      <c r="I1314" s="6">
        <v>-0.4509540670978166</v>
      </c>
      <c r="J1314" s="6">
        <v>1564920000</v>
      </c>
      <c r="K1314" s="6" t="e">
        <v>#N/A</v>
      </c>
      <c r="L1314" t="s">
        <v>17</v>
      </c>
      <c r="M1314" t="s">
        <v>27</v>
      </c>
      <c r="N1314" s="4" t="s">
        <v>424</v>
      </c>
      <c r="O1314" s="4" t="s">
        <v>425</v>
      </c>
      <c r="P1314" s="4" t="s">
        <v>233</v>
      </c>
    </row>
    <row r="1315" spans="1:16" x14ac:dyDescent="0.35">
      <c r="A1315" t="s">
        <v>10839</v>
      </c>
      <c r="B1315" t="s">
        <v>10840</v>
      </c>
      <c r="C1315" t="s">
        <v>16</v>
      </c>
      <c r="D1315" s="6">
        <v>4033229972.6065068</v>
      </c>
      <c r="E1315" s="6" t="e">
        <v>#N/A</v>
      </c>
      <c r="F1315" s="6">
        <v>64.839996337890625</v>
      </c>
      <c r="G1315" s="6">
        <v>66.029998779296875</v>
      </c>
      <c r="H1315" s="6">
        <v>10.163695437401904</v>
      </c>
      <c r="I1315" s="6">
        <v>0.21274929792347241</v>
      </c>
      <c r="J1315" s="6">
        <v>1036228000</v>
      </c>
      <c r="K1315" s="6">
        <v>-2.5590552073534272</v>
      </c>
      <c r="L1315" t="s">
        <v>6529</v>
      </c>
      <c r="M1315" t="s">
        <v>6530</v>
      </c>
      <c r="N1315" s="4" t="s">
        <v>10841</v>
      </c>
      <c r="O1315" s="4" t="s">
        <v>10842</v>
      </c>
      <c r="P1315" s="4" t="s">
        <v>233</v>
      </c>
    </row>
    <row r="1316" spans="1:16" x14ac:dyDescent="0.35">
      <c r="A1316" t="s">
        <v>10843</v>
      </c>
      <c r="B1316" t="s">
        <v>10844</v>
      </c>
      <c r="C1316" t="s">
        <v>16</v>
      </c>
      <c r="D1316" s="6">
        <v>1108183322.7911911</v>
      </c>
      <c r="E1316" s="6">
        <v>1146347322.7911911</v>
      </c>
      <c r="F1316" s="6">
        <v>9.5100002288818359</v>
      </c>
      <c r="G1316" s="6">
        <v>9.2299995422363281</v>
      </c>
      <c r="H1316" s="6">
        <v>16.201602150812612</v>
      </c>
      <c r="I1316" s="6">
        <v>-0.32192820792696231</v>
      </c>
      <c r="J1316" s="6">
        <v>678722000</v>
      </c>
      <c r="K1316" s="6">
        <v>-54.666666666666664</v>
      </c>
      <c r="L1316" t="s">
        <v>6518</v>
      </c>
      <c r="M1316" t="s">
        <v>7048</v>
      </c>
      <c r="N1316" s="4" t="s">
        <v>10845</v>
      </c>
      <c r="O1316" s="4" t="s">
        <v>10846</v>
      </c>
      <c r="P1316" s="4" t="s">
        <v>233</v>
      </c>
    </row>
    <row r="1317" spans="1:16" x14ac:dyDescent="0.35">
      <c r="A1317" t="s">
        <v>10847</v>
      </c>
      <c r="B1317" t="s">
        <v>10848</v>
      </c>
      <c r="C1317" t="s">
        <v>16</v>
      </c>
      <c r="D1317" s="6">
        <v>2867803892.6325073</v>
      </c>
      <c r="E1317" s="6">
        <v>4951356892.6325073</v>
      </c>
      <c r="F1317" s="6">
        <v>15.210000038146973</v>
      </c>
      <c r="G1317" s="6">
        <v>15.199999809265137</v>
      </c>
      <c r="H1317" s="6">
        <v>33.721989881511817</v>
      </c>
      <c r="I1317" s="6">
        <v>2.047251446067766E-2</v>
      </c>
      <c r="J1317" s="6">
        <v>424670000</v>
      </c>
      <c r="K1317" s="6">
        <v>-24</v>
      </c>
      <c r="L1317" t="s">
        <v>6623</v>
      </c>
      <c r="M1317" t="s">
        <v>6700</v>
      </c>
      <c r="N1317" s="4" t="s">
        <v>10849</v>
      </c>
      <c r="O1317" s="4" t="s">
        <v>10850</v>
      </c>
      <c r="P1317" s="4" t="s">
        <v>233</v>
      </c>
    </row>
    <row r="1318" spans="1:16" x14ac:dyDescent="0.35">
      <c r="A1318" t="s">
        <v>10851</v>
      </c>
      <c r="B1318" t="s">
        <v>1874</v>
      </c>
      <c r="C1318" t="s">
        <v>16</v>
      </c>
      <c r="D1318" s="6">
        <v>1223796939.75</v>
      </c>
      <c r="E1318" s="6">
        <v>1686997939.75</v>
      </c>
      <c r="F1318" s="6">
        <v>14.25</v>
      </c>
      <c r="G1318" s="6">
        <v>14.479999542236328</v>
      </c>
      <c r="H1318" s="6">
        <v>8.6559575766963395</v>
      </c>
      <c r="I1318" s="6">
        <v>0.533761959658408</v>
      </c>
      <c r="J1318" s="6">
        <v>2006998000</v>
      </c>
      <c r="K1318" s="6" t="e">
        <v>#N/A</v>
      </c>
      <c r="L1318" t="s">
        <v>17</v>
      </c>
      <c r="M1318" t="s">
        <v>40</v>
      </c>
      <c r="N1318" s="4" t="s">
        <v>1875</v>
      </c>
      <c r="O1318" s="4" t="s">
        <v>1876</v>
      </c>
      <c r="P1318" s="4" t="s">
        <v>233</v>
      </c>
    </row>
    <row r="1319" spans="1:16" x14ac:dyDescent="0.35">
      <c r="A1319" t="s">
        <v>10852</v>
      </c>
      <c r="B1319" t="s">
        <v>10853</v>
      </c>
      <c r="C1319" t="s">
        <v>16</v>
      </c>
      <c r="D1319" s="6">
        <v>1870558730.1620331</v>
      </c>
      <c r="E1319" s="6">
        <v>2300258730.1620331</v>
      </c>
      <c r="F1319" s="6">
        <v>20.159999847412109</v>
      </c>
      <c r="G1319" s="6">
        <v>21.360000610351563</v>
      </c>
      <c r="H1319" s="6">
        <v>6.3079025715066503</v>
      </c>
      <c r="I1319" s="6">
        <v>0.8549219804103354</v>
      </c>
      <c r="J1319" s="6">
        <v>2101700000</v>
      </c>
      <c r="K1319" s="6" t="e">
        <v>#N/A</v>
      </c>
      <c r="L1319" t="s">
        <v>6563</v>
      </c>
      <c r="M1319" t="s">
        <v>6564</v>
      </c>
      <c r="N1319" s="4" t="s">
        <v>10854</v>
      </c>
      <c r="O1319" s="4" t="s">
        <v>10855</v>
      </c>
      <c r="P1319" s="4" t="s">
        <v>233</v>
      </c>
    </row>
    <row r="1320" spans="1:16" x14ac:dyDescent="0.35">
      <c r="A1320" t="s">
        <v>10856</v>
      </c>
      <c r="B1320" t="s">
        <v>10857</v>
      </c>
      <c r="C1320" t="s">
        <v>16</v>
      </c>
      <c r="D1320" s="6">
        <v>3187330970.0571632</v>
      </c>
      <c r="E1320" s="6">
        <v>6802330970.0571632</v>
      </c>
      <c r="F1320" s="6">
        <v>17.770000457763672</v>
      </c>
      <c r="G1320" s="6">
        <v>17.75</v>
      </c>
      <c r="H1320" s="6">
        <v>16.642504090631565</v>
      </c>
      <c r="I1320" s="6">
        <v>0.22103477410247474</v>
      </c>
      <c r="J1320" s="6">
        <v>5197000000</v>
      </c>
      <c r="K1320" s="6">
        <v>26.61290322580648</v>
      </c>
      <c r="L1320" t="s">
        <v>6563</v>
      </c>
      <c r="M1320" t="s">
        <v>9157</v>
      </c>
      <c r="N1320" s="4" t="s">
        <v>10858</v>
      </c>
      <c r="O1320" s="4" t="s">
        <v>10859</v>
      </c>
      <c r="P1320" s="4" t="s">
        <v>233</v>
      </c>
    </row>
    <row r="1321" spans="1:16" x14ac:dyDescent="0.35">
      <c r="A1321" t="s">
        <v>10860</v>
      </c>
      <c r="B1321" t="s">
        <v>10861</v>
      </c>
      <c r="C1321" t="s">
        <v>16</v>
      </c>
      <c r="D1321" s="6">
        <v>4188114789.4085536</v>
      </c>
      <c r="E1321" s="6" t="e">
        <v>#N/A</v>
      </c>
      <c r="F1321" s="6">
        <v>111.16999816894531</v>
      </c>
      <c r="G1321" s="6">
        <v>109.23000335693359</v>
      </c>
      <c r="H1321" s="6">
        <v>47.846415529553703</v>
      </c>
      <c r="I1321" s="6">
        <v>5.6838483709795495E-2</v>
      </c>
      <c r="J1321" s="6">
        <v>1482042000</v>
      </c>
      <c r="K1321" s="6">
        <v>-56.94971346704871</v>
      </c>
      <c r="L1321" t="s">
        <v>6518</v>
      </c>
      <c r="M1321" t="s">
        <v>6714</v>
      </c>
      <c r="N1321" s="4" t="s">
        <v>10862</v>
      </c>
      <c r="O1321" s="4" t="s">
        <v>10863</v>
      </c>
      <c r="P1321" s="4" t="s">
        <v>233</v>
      </c>
    </row>
    <row r="1322" spans="1:16" x14ac:dyDescent="0.35">
      <c r="A1322" t="s">
        <v>10864</v>
      </c>
      <c r="B1322" t="s">
        <v>10865</v>
      </c>
      <c r="C1322" t="s">
        <v>16</v>
      </c>
      <c r="D1322" s="6">
        <v>294974659.84365082</v>
      </c>
      <c r="E1322" s="6" t="e">
        <v>#N/A</v>
      </c>
      <c r="F1322" s="6">
        <v>32.930000305175781</v>
      </c>
      <c r="G1322" s="6">
        <v>33</v>
      </c>
      <c r="H1322" s="6">
        <v>10.132307786207933</v>
      </c>
      <c r="I1322" s="6">
        <v>0.25447506045488977</v>
      </c>
      <c r="J1322" s="6">
        <v>138046000</v>
      </c>
      <c r="K1322" s="6">
        <v>15.957446808510644</v>
      </c>
      <c r="L1322" t="s">
        <v>6529</v>
      </c>
      <c r="M1322" t="s">
        <v>6530</v>
      </c>
      <c r="N1322" s="4" t="s">
        <v>10866</v>
      </c>
      <c r="O1322" s="4" t="s">
        <v>10867</v>
      </c>
      <c r="P1322" s="4" t="s">
        <v>233</v>
      </c>
    </row>
    <row r="1323" spans="1:16" x14ac:dyDescent="0.35">
      <c r="A1323" t="s">
        <v>10868</v>
      </c>
      <c r="B1323" t="s">
        <v>4562</v>
      </c>
      <c r="C1323" t="s">
        <v>16</v>
      </c>
      <c r="D1323" s="6">
        <v>1416582143.1241264</v>
      </c>
      <c r="E1323" s="6">
        <v>717766143.12412643</v>
      </c>
      <c r="F1323" s="6">
        <v>13.920000076293945</v>
      </c>
      <c r="G1323" s="6">
        <v>13.100000381469727</v>
      </c>
      <c r="H1323" s="6" t="e">
        <v>#N/A</v>
      </c>
      <c r="I1323" s="6">
        <v>-0.42652316575963167</v>
      </c>
      <c r="J1323" s="6">
        <v>0</v>
      </c>
      <c r="K1323" s="6">
        <v>0.85878296448187685</v>
      </c>
      <c r="L1323" t="s">
        <v>17</v>
      </c>
      <c r="M1323" t="s">
        <v>18</v>
      </c>
      <c r="N1323" s="4" t="s">
        <v>4563</v>
      </c>
      <c r="O1323" s="4" t="s">
        <v>4564</v>
      </c>
      <c r="P1323" s="4" t="s">
        <v>233</v>
      </c>
    </row>
    <row r="1324" spans="1:16" x14ac:dyDescent="0.35">
      <c r="A1324" t="s">
        <v>10869</v>
      </c>
      <c r="B1324" t="s">
        <v>10870</v>
      </c>
      <c r="C1324" t="s">
        <v>16</v>
      </c>
      <c r="D1324" s="6">
        <v>275680603.45769405</v>
      </c>
      <c r="E1324" s="6">
        <v>264037116.45769405</v>
      </c>
      <c r="F1324" s="6">
        <v>11.449999809265137</v>
      </c>
      <c r="G1324" s="6">
        <v>11.420000076293945</v>
      </c>
      <c r="H1324" s="6">
        <v>20.672981963527327</v>
      </c>
      <c r="I1324" s="6">
        <v>0.14343614694810558</v>
      </c>
      <c r="J1324" s="6">
        <v>29113000</v>
      </c>
      <c r="K1324" s="6">
        <v>95.250994219612451</v>
      </c>
      <c r="L1324" t="s">
        <v>6719</v>
      </c>
      <c r="M1324" t="s">
        <v>6720</v>
      </c>
      <c r="N1324" s="4" t="s">
        <v>10871</v>
      </c>
      <c r="O1324" s="4" t="s">
        <v>10872</v>
      </c>
      <c r="P1324" s="4" t="s">
        <v>233</v>
      </c>
    </row>
    <row r="1325" spans="1:16" x14ac:dyDescent="0.35">
      <c r="A1325" t="s">
        <v>10873</v>
      </c>
      <c r="B1325" t="s">
        <v>10874</v>
      </c>
      <c r="C1325" t="s">
        <v>16</v>
      </c>
      <c r="D1325" s="6">
        <v>286324547.01452631</v>
      </c>
      <c r="E1325" s="6">
        <v>1349905547.0145264</v>
      </c>
      <c r="F1325" s="6">
        <v>19.284999847412109</v>
      </c>
      <c r="G1325" s="6">
        <v>20.120000839233398</v>
      </c>
      <c r="H1325" s="6">
        <v>44.747167128204332</v>
      </c>
      <c r="I1325" s="6">
        <v>-0.30159281193697851</v>
      </c>
      <c r="J1325" s="6">
        <v>1784431000</v>
      </c>
      <c r="K1325" s="6">
        <v>81.530343007915562</v>
      </c>
      <c r="L1325" t="s">
        <v>6540</v>
      </c>
      <c r="M1325" t="s">
        <v>6541</v>
      </c>
      <c r="N1325" s="4" t="s">
        <v>10875</v>
      </c>
      <c r="O1325" s="4" t="s">
        <v>10876</v>
      </c>
      <c r="P1325" s="4" t="s">
        <v>233</v>
      </c>
    </row>
    <row r="1326" spans="1:16" x14ac:dyDescent="0.35">
      <c r="A1326" t="s">
        <v>10877</v>
      </c>
      <c r="B1326" t="s">
        <v>10878</v>
      </c>
      <c r="C1326" t="s">
        <v>16</v>
      </c>
      <c r="D1326" s="6">
        <v>1813054624.6416245</v>
      </c>
      <c r="E1326" s="6">
        <v>2225849624.6416245</v>
      </c>
      <c r="F1326" s="6">
        <v>62.319999694824219</v>
      </c>
      <c r="G1326" s="6">
        <v>62.5</v>
      </c>
      <c r="H1326" s="6">
        <v>18.363643667172575</v>
      </c>
      <c r="I1326" s="6">
        <v>0.16845702830196263</v>
      </c>
      <c r="J1326" s="6">
        <v>1197248000</v>
      </c>
      <c r="K1326" s="6">
        <v>38.461538461538467</v>
      </c>
      <c r="L1326" t="s">
        <v>6547</v>
      </c>
      <c r="M1326" t="s">
        <v>6548</v>
      </c>
      <c r="N1326" s="4" t="s">
        <v>10879</v>
      </c>
      <c r="O1326" s="4" t="s">
        <v>10880</v>
      </c>
      <c r="P1326" s="4" t="s">
        <v>233</v>
      </c>
    </row>
    <row r="1327" spans="1:16" x14ac:dyDescent="0.35">
      <c r="A1327" t="s">
        <v>10881</v>
      </c>
      <c r="B1327" t="s">
        <v>10882</v>
      </c>
      <c r="C1327" t="s">
        <v>16</v>
      </c>
      <c r="D1327" s="6">
        <v>388467690.96381855</v>
      </c>
      <c r="E1327" s="6">
        <v>400997690.96381855</v>
      </c>
      <c r="F1327" s="6">
        <v>7.5500001907348633</v>
      </c>
      <c r="G1327" s="6">
        <v>7.190000057220459</v>
      </c>
      <c r="H1327" s="6" t="e">
        <v>#N/A</v>
      </c>
      <c r="I1327" s="6">
        <v>-0.14362720406402352</v>
      </c>
      <c r="J1327" s="6">
        <v>102019000</v>
      </c>
      <c r="K1327" s="6">
        <v>-2.4691358024691241</v>
      </c>
      <c r="L1327" t="s">
        <v>6518</v>
      </c>
      <c r="M1327" t="s">
        <v>6789</v>
      </c>
      <c r="N1327" s="4" t="s">
        <v>10883</v>
      </c>
      <c r="O1327" s="4" t="s">
        <v>10884</v>
      </c>
      <c r="P1327" s="4" t="s">
        <v>233</v>
      </c>
    </row>
    <row r="1328" spans="1:16" x14ac:dyDescent="0.35">
      <c r="A1328" t="s">
        <v>10885</v>
      </c>
      <c r="B1328" t="s">
        <v>4037</v>
      </c>
      <c r="C1328" t="s">
        <v>16</v>
      </c>
      <c r="D1328" s="6">
        <v>680237234.58333778</v>
      </c>
      <c r="E1328" s="6">
        <v>567956234.58333778</v>
      </c>
      <c r="F1328" s="6">
        <v>16.219999313354492</v>
      </c>
      <c r="G1328" s="6">
        <v>16.260000228881836</v>
      </c>
      <c r="H1328" s="6" t="e">
        <v>#N/A</v>
      </c>
      <c r="I1328" s="6">
        <v>-0.24779157975318256</v>
      </c>
      <c r="J1328" s="6">
        <v>157035000</v>
      </c>
      <c r="K1328" s="6">
        <v>22.689075630252109</v>
      </c>
      <c r="L1328" t="s">
        <v>17</v>
      </c>
      <c r="M1328" t="s">
        <v>27</v>
      </c>
      <c r="N1328" s="4" t="s">
        <v>4038</v>
      </c>
      <c r="O1328" s="4" t="s">
        <v>4039</v>
      </c>
      <c r="P1328" s="4" t="s">
        <v>233</v>
      </c>
    </row>
    <row r="1329" spans="1:16" x14ac:dyDescent="0.35">
      <c r="A1329" t="s">
        <v>10886</v>
      </c>
      <c r="B1329" t="s">
        <v>10887</v>
      </c>
      <c r="C1329" t="s">
        <v>16</v>
      </c>
      <c r="D1329" s="6">
        <v>159328817.88795233</v>
      </c>
      <c r="E1329" s="6">
        <v>405318817.88795233</v>
      </c>
      <c r="F1329" s="6">
        <v>3.190000057220459</v>
      </c>
      <c r="G1329" s="6">
        <v>3.1800000667572021</v>
      </c>
      <c r="H1329" s="6" t="e">
        <v>#N/A</v>
      </c>
      <c r="I1329" s="6">
        <v>-0.33467431307606865</v>
      </c>
      <c r="J1329" s="6">
        <v>470310000</v>
      </c>
      <c r="K1329" s="6">
        <v>13.108661985067098</v>
      </c>
      <c r="L1329" t="s">
        <v>6547</v>
      </c>
      <c r="M1329" t="s">
        <v>6668</v>
      </c>
      <c r="N1329" s="4" t="s">
        <v>10888</v>
      </c>
      <c r="O1329" s="4" t="s">
        <v>10889</v>
      </c>
      <c r="P1329" s="4" t="s">
        <v>233</v>
      </c>
    </row>
    <row r="1330" spans="1:16" x14ac:dyDescent="0.35">
      <c r="A1330" t="s">
        <v>10890</v>
      </c>
      <c r="B1330" t="s">
        <v>10891</v>
      </c>
      <c r="C1330" t="s">
        <v>16</v>
      </c>
      <c r="D1330" s="6">
        <v>165619267.01553461</v>
      </c>
      <c r="E1330" s="6">
        <v>1226645267.0155346</v>
      </c>
      <c r="F1330" s="6">
        <v>3.4700000286102295</v>
      </c>
      <c r="G1330" s="6">
        <v>3.5</v>
      </c>
      <c r="H1330" s="6">
        <v>1.0084342383503264</v>
      </c>
      <c r="I1330" s="6">
        <v>-0.81701190950765656</v>
      </c>
      <c r="J1330" s="6">
        <v>2266331000</v>
      </c>
      <c r="K1330" s="6" t="e">
        <v>#N/A</v>
      </c>
      <c r="L1330" t="s">
        <v>6547</v>
      </c>
      <c r="M1330" t="s">
        <v>6548</v>
      </c>
      <c r="N1330" s="4" t="s">
        <v>10892</v>
      </c>
      <c r="O1330" s="4" t="s">
        <v>10893</v>
      </c>
      <c r="P1330" s="4" t="s">
        <v>233</v>
      </c>
    </row>
    <row r="1331" spans="1:16" x14ac:dyDescent="0.35">
      <c r="A1331" t="s">
        <v>10894</v>
      </c>
      <c r="B1331" t="s">
        <v>10895</v>
      </c>
      <c r="C1331" t="s">
        <v>16</v>
      </c>
      <c r="D1331" s="6">
        <v>162128777.18443108</v>
      </c>
      <c r="E1331" s="6" t="e">
        <v>#N/A</v>
      </c>
      <c r="F1331" s="6">
        <v>18.030000686645508</v>
      </c>
      <c r="G1331" s="6">
        <v>18.030000686645508</v>
      </c>
      <c r="H1331" s="6">
        <v>15.815790076004832</v>
      </c>
      <c r="I1331" s="6">
        <v>1.9917753097666857E-3</v>
      </c>
      <c r="J1331" s="6" t="e">
        <v>#N/A</v>
      </c>
      <c r="K1331" s="6">
        <v>-5.0000000000000044</v>
      </c>
      <c r="L1331" t="s">
        <v>6529</v>
      </c>
      <c r="M1331" t="s">
        <v>6530</v>
      </c>
      <c r="N1331" s="4" t="s">
        <v>10896</v>
      </c>
      <c r="O1331" s="4" t="s">
        <v>10897</v>
      </c>
      <c r="P1331" s="4" t="s">
        <v>233</v>
      </c>
    </row>
    <row r="1332" spans="1:16" x14ac:dyDescent="0.35">
      <c r="A1332" t="s">
        <v>10898</v>
      </c>
      <c r="B1332" t="s">
        <v>10899</v>
      </c>
      <c r="C1332" t="s">
        <v>16</v>
      </c>
      <c r="D1332" s="6">
        <v>105535974.44436646</v>
      </c>
      <c r="E1332" s="6">
        <v>83909974.444366455</v>
      </c>
      <c r="F1332" s="6">
        <v>8.2600002288818359</v>
      </c>
      <c r="G1332" s="6">
        <v>8.3400001525878906</v>
      </c>
      <c r="H1332" s="6" t="e">
        <v>#N/A</v>
      </c>
      <c r="I1332" s="6">
        <v>-0.32388697443587433</v>
      </c>
      <c r="J1332" s="6">
        <v>122789000</v>
      </c>
      <c r="K1332" s="6" t="e">
        <v>#N/A</v>
      </c>
      <c r="L1332" t="s">
        <v>6523</v>
      </c>
      <c r="M1332" t="s">
        <v>6588</v>
      </c>
      <c r="N1332" s="4" t="s">
        <v>10900</v>
      </c>
      <c r="O1332" s="4" t="s">
        <v>10901</v>
      </c>
      <c r="P1332" s="4" t="s">
        <v>233</v>
      </c>
    </row>
    <row r="1333" spans="1:16" x14ac:dyDescent="0.35">
      <c r="A1333" t="s">
        <v>10902</v>
      </c>
      <c r="B1333" t="s">
        <v>10903</v>
      </c>
      <c r="C1333" t="s">
        <v>16</v>
      </c>
      <c r="D1333" s="6">
        <v>2325370945.4473724</v>
      </c>
      <c r="E1333" s="6" t="e">
        <v>#N/A</v>
      </c>
      <c r="F1333" s="6">
        <v>36.790000915527344</v>
      </c>
      <c r="G1333" s="6">
        <v>37.369998931884766</v>
      </c>
      <c r="H1333" s="6">
        <v>90.39001340378303</v>
      </c>
      <c r="I1333" s="6">
        <v>-0.39565621246605243</v>
      </c>
      <c r="J1333" s="6">
        <v>844007000</v>
      </c>
      <c r="K1333" s="6" t="e">
        <v>#N/A</v>
      </c>
      <c r="L1333" t="s">
        <v>6518</v>
      </c>
      <c r="M1333" t="s">
        <v>6519</v>
      </c>
      <c r="N1333" s="4" t="s">
        <v>10904</v>
      </c>
      <c r="O1333" s="4" t="s">
        <v>10905</v>
      </c>
      <c r="P1333" s="4" t="s">
        <v>233</v>
      </c>
    </row>
    <row r="1334" spans="1:16" x14ac:dyDescent="0.35">
      <c r="A1334" t="s">
        <v>10906</v>
      </c>
      <c r="B1334" t="s">
        <v>10907</v>
      </c>
      <c r="C1334" t="s">
        <v>16</v>
      </c>
      <c r="D1334" s="6">
        <v>550665213.52983856</v>
      </c>
      <c r="E1334" s="6" t="e">
        <v>#N/A</v>
      </c>
      <c r="F1334" s="6">
        <v>26.229999542236328</v>
      </c>
      <c r="G1334" s="6">
        <v>26.159999847412109</v>
      </c>
      <c r="H1334" s="6">
        <v>10.974895205956622</v>
      </c>
      <c r="I1334" s="6">
        <v>0.27540867375404443</v>
      </c>
      <c r="J1334" s="6">
        <v>364584000</v>
      </c>
      <c r="K1334" s="6">
        <v>-6.6406249999999973</v>
      </c>
      <c r="L1334" t="s">
        <v>6529</v>
      </c>
      <c r="M1334" t="s">
        <v>6530</v>
      </c>
      <c r="N1334" s="4" t="s">
        <v>10908</v>
      </c>
      <c r="O1334" s="4" t="s">
        <v>10909</v>
      </c>
      <c r="P1334" s="4" t="s">
        <v>233</v>
      </c>
    </row>
    <row r="1335" spans="1:16" x14ac:dyDescent="0.35">
      <c r="A1335" t="s">
        <v>10910</v>
      </c>
      <c r="B1335" t="s">
        <v>10911</v>
      </c>
      <c r="C1335" t="s">
        <v>16</v>
      </c>
      <c r="D1335" s="6">
        <v>603000000</v>
      </c>
      <c r="E1335" s="6">
        <v>1103000000</v>
      </c>
      <c r="F1335" s="6">
        <v>7.5</v>
      </c>
      <c r="G1335" s="6">
        <v>7.1700000762939453</v>
      </c>
      <c r="H1335" s="6">
        <v>11.545157729944906</v>
      </c>
      <c r="I1335" s="6">
        <v>1.0507552898341119</v>
      </c>
      <c r="J1335" s="6">
        <v>1052000000</v>
      </c>
      <c r="K1335" s="6">
        <v>-9.2863864510937599</v>
      </c>
      <c r="L1335" t="s">
        <v>6518</v>
      </c>
      <c r="M1335" t="s">
        <v>9005</v>
      </c>
      <c r="N1335" s="4" t="s">
        <v>10912</v>
      </c>
      <c r="O1335" s="4" t="s">
        <v>10913</v>
      </c>
      <c r="P1335" s="4" t="s">
        <v>233</v>
      </c>
    </row>
    <row r="1336" spans="1:16" x14ac:dyDescent="0.35">
      <c r="A1336" t="s">
        <v>10914</v>
      </c>
      <c r="B1336" t="s">
        <v>10915</v>
      </c>
      <c r="C1336" t="s">
        <v>16</v>
      </c>
      <c r="D1336" s="6">
        <v>477611943.62725258</v>
      </c>
      <c r="E1336" s="6">
        <v>1521911943.6272526</v>
      </c>
      <c r="F1336" s="6">
        <v>8.7899999618530273</v>
      </c>
      <c r="G1336" s="6">
        <v>8.9099998474121094</v>
      </c>
      <c r="H1336" s="6">
        <v>11.652524066443286</v>
      </c>
      <c r="I1336" s="6">
        <v>-0.29501026142973708</v>
      </c>
      <c r="J1336" s="6">
        <v>1974800000</v>
      </c>
      <c r="K1336" s="6">
        <v>86.621315192743765</v>
      </c>
      <c r="L1336" t="s">
        <v>6563</v>
      </c>
      <c r="M1336" t="s">
        <v>6764</v>
      </c>
      <c r="N1336" s="4" t="s">
        <v>10916</v>
      </c>
      <c r="O1336" s="4" t="s">
        <v>10917</v>
      </c>
      <c r="P1336" s="4" t="s">
        <v>233</v>
      </c>
    </row>
    <row r="1337" spans="1:16" x14ac:dyDescent="0.35">
      <c r="A1337" t="s">
        <v>10918</v>
      </c>
      <c r="B1337" t="s">
        <v>10919</v>
      </c>
      <c r="C1337" t="s">
        <v>16</v>
      </c>
      <c r="D1337" s="6">
        <v>1719620136.5769653</v>
      </c>
      <c r="E1337" s="6" t="e">
        <v>#N/A</v>
      </c>
      <c r="F1337" s="6">
        <v>67.419998168945313</v>
      </c>
      <c r="G1337" s="6">
        <v>68.160003662109375</v>
      </c>
      <c r="H1337" s="6">
        <v>18.573002250398158</v>
      </c>
      <c r="I1337" s="6">
        <v>3.4289381350572912E-2</v>
      </c>
      <c r="J1337" s="6">
        <v>430002000</v>
      </c>
      <c r="K1337" s="6">
        <v>-0.81743869209808728</v>
      </c>
      <c r="L1337" t="s">
        <v>6529</v>
      </c>
      <c r="M1337" t="s">
        <v>6530</v>
      </c>
      <c r="N1337" s="4" t="s">
        <v>10920</v>
      </c>
      <c r="O1337" s="4" t="s">
        <v>10921</v>
      </c>
      <c r="P1337" s="4" t="s">
        <v>233</v>
      </c>
    </row>
    <row r="1338" spans="1:16" x14ac:dyDescent="0.35">
      <c r="A1338" t="s">
        <v>10922</v>
      </c>
      <c r="B1338" t="s">
        <v>10923</v>
      </c>
      <c r="C1338" t="s">
        <v>16</v>
      </c>
      <c r="D1338" s="6">
        <v>1076971038.0207031</v>
      </c>
      <c r="E1338" s="6">
        <v>10168913038.020702</v>
      </c>
      <c r="F1338" s="6">
        <v>10.550000190734863</v>
      </c>
      <c r="G1338" s="6">
        <v>10.630000114440918</v>
      </c>
      <c r="H1338" s="6">
        <v>6.2609679341921032</v>
      </c>
      <c r="I1338" s="6">
        <v>9.2746748079203023E-2</v>
      </c>
      <c r="J1338" s="6">
        <v>715513000</v>
      </c>
      <c r="K1338" s="6" t="e">
        <v>#N/A</v>
      </c>
      <c r="L1338" t="s">
        <v>6529</v>
      </c>
      <c r="M1338" t="s">
        <v>8169</v>
      </c>
      <c r="N1338" s="4" t="s">
        <v>10924</v>
      </c>
      <c r="O1338" s="4" t="s">
        <v>10925</v>
      </c>
      <c r="P1338" s="4" t="s">
        <v>233</v>
      </c>
    </row>
    <row r="1339" spans="1:16" x14ac:dyDescent="0.35">
      <c r="A1339" t="s">
        <v>10926</v>
      </c>
      <c r="B1339" t="s">
        <v>10927</v>
      </c>
      <c r="C1339" t="s">
        <v>16</v>
      </c>
      <c r="D1339" s="6">
        <v>1915707609.2442608</v>
      </c>
      <c r="E1339" s="6" t="e">
        <v>#N/A</v>
      </c>
      <c r="F1339" s="6">
        <v>12.489999771118164</v>
      </c>
      <c r="G1339" s="6">
        <v>12</v>
      </c>
      <c r="H1339" s="6">
        <v>10.072580460579164</v>
      </c>
      <c r="I1339" s="6">
        <v>-9.4730292245189474E-2</v>
      </c>
      <c r="J1339" s="6" t="e">
        <v>#N/A</v>
      </c>
      <c r="K1339" s="6" t="e">
        <v>#N/A</v>
      </c>
      <c r="L1339" t="s">
        <v>6529</v>
      </c>
      <c r="M1339" t="s">
        <v>6568</v>
      </c>
      <c r="N1339" s="4" t="s">
        <v>233</v>
      </c>
      <c r="O1339" s="4" t="s">
        <v>10928</v>
      </c>
      <c r="P1339" s="4" t="s">
        <v>13250</v>
      </c>
    </row>
    <row r="1340" spans="1:16" x14ac:dyDescent="0.35">
      <c r="A1340" t="s">
        <v>10929</v>
      </c>
      <c r="B1340" t="s">
        <v>10930</v>
      </c>
      <c r="C1340" t="s">
        <v>16</v>
      </c>
      <c r="D1340" s="6">
        <v>1370387400.9582634</v>
      </c>
      <c r="E1340" s="6" t="e">
        <v>#N/A</v>
      </c>
      <c r="F1340" s="6">
        <v>11.350000381469727</v>
      </c>
      <c r="G1340" s="6">
        <v>11.510000228881836</v>
      </c>
      <c r="H1340" s="6">
        <v>13.31053582406841</v>
      </c>
      <c r="I1340" s="6">
        <v>6.5665995659225151E-2</v>
      </c>
      <c r="J1340" s="6">
        <v>1000051000</v>
      </c>
      <c r="K1340" s="6">
        <v>-26.126126126126138</v>
      </c>
      <c r="L1340" t="s">
        <v>6529</v>
      </c>
      <c r="M1340" t="s">
        <v>6530</v>
      </c>
      <c r="N1340" s="4" t="s">
        <v>10931</v>
      </c>
      <c r="O1340" s="4" t="s">
        <v>10932</v>
      </c>
      <c r="P1340" s="4" t="s">
        <v>233</v>
      </c>
    </row>
    <row r="1341" spans="1:16" x14ac:dyDescent="0.35">
      <c r="A1341" t="s">
        <v>10933</v>
      </c>
      <c r="B1341" t="s">
        <v>10934</v>
      </c>
      <c r="C1341" t="s">
        <v>16</v>
      </c>
      <c r="D1341" s="6">
        <v>796936163.07804871</v>
      </c>
      <c r="E1341" s="6" t="e">
        <v>#N/A</v>
      </c>
      <c r="F1341" s="6">
        <v>43.569999694824219</v>
      </c>
      <c r="G1341" s="6">
        <v>44.130001068115234</v>
      </c>
      <c r="H1341" s="6">
        <v>15.20449989507402</v>
      </c>
      <c r="I1341" s="6">
        <v>0.29027484448382723</v>
      </c>
      <c r="J1341" s="6">
        <v>185532000</v>
      </c>
      <c r="K1341" s="6">
        <v>5.2434456928838999</v>
      </c>
      <c r="L1341" t="s">
        <v>6529</v>
      </c>
      <c r="M1341" t="s">
        <v>6530</v>
      </c>
      <c r="N1341" s="4" t="s">
        <v>10935</v>
      </c>
      <c r="O1341" s="4" t="s">
        <v>10936</v>
      </c>
      <c r="P1341" s="4" t="s">
        <v>233</v>
      </c>
    </row>
    <row r="1342" spans="1:16" x14ac:dyDescent="0.35">
      <c r="A1342" t="s">
        <v>10937</v>
      </c>
      <c r="B1342" t="s">
        <v>10938</v>
      </c>
      <c r="C1342" t="s">
        <v>16</v>
      </c>
      <c r="D1342" s="6">
        <v>730450254.80660248</v>
      </c>
      <c r="E1342" s="6" t="e">
        <v>#N/A</v>
      </c>
      <c r="F1342" s="6">
        <v>24.190000534057617</v>
      </c>
      <c r="G1342" s="6">
        <v>24.420000076293945</v>
      </c>
      <c r="H1342" s="6">
        <v>11.800000260515912</v>
      </c>
      <c r="I1342" s="6">
        <v>0.63689161513022219</v>
      </c>
      <c r="J1342" s="6">
        <v>430368000</v>
      </c>
      <c r="K1342" s="6">
        <v>-21.673003802281364</v>
      </c>
      <c r="L1342" t="s">
        <v>6529</v>
      </c>
      <c r="M1342" t="s">
        <v>6530</v>
      </c>
      <c r="N1342" s="4" t="s">
        <v>10939</v>
      </c>
      <c r="O1342" s="4" t="s">
        <v>10940</v>
      </c>
      <c r="P1342" s="4" t="s">
        <v>233</v>
      </c>
    </row>
    <row r="1343" spans="1:16" x14ac:dyDescent="0.35">
      <c r="A1343" t="s">
        <v>10941</v>
      </c>
      <c r="B1343" t="s">
        <v>10942</v>
      </c>
      <c r="C1343" t="s">
        <v>16</v>
      </c>
      <c r="D1343" s="6">
        <v>559198904.45278168</v>
      </c>
      <c r="E1343" s="6">
        <v>1030078904.4527817</v>
      </c>
      <c r="F1343" s="6">
        <v>19.799999237060547</v>
      </c>
      <c r="G1343" s="6">
        <v>19.790000915527344</v>
      </c>
      <c r="H1343" s="6" t="e">
        <v>#N/A</v>
      </c>
      <c r="I1343" s="6">
        <v>-0.2167938060605783</v>
      </c>
      <c r="J1343" s="6">
        <v>116001000</v>
      </c>
      <c r="K1343" s="6" t="e">
        <v>#N/A</v>
      </c>
      <c r="L1343" t="s">
        <v>6623</v>
      </c>
      <c r="M1343" t="s">
        <v>6624</v>
      </c>
      <c r="N1343" s="4" t="s">
        <v>10943</v>
      </c>
      <c r="O1343" s="4" t="s">
        <v>10944</v>
      </c>
      <c r="P1343" s="4" t="s">
        <v>233</v>
      </c>
    </row>
    <row r="1344" spans="1:16" x14ac:dyDescent="0.35">
      <c r="A1344" t="s">
        <v>10945</v>
      </c>
      <c r="B1344" t="s">
        <v>10946</v>
      </c>
      <c r="C1344" t="s">
        <v>16</v>
      </c>
      <c r="D1344" s="6">
        <v>2583365534.7680969</v>
      </c>
      <c r="E1344" s="6">
        <v>3040582534.7680969</v>
      </c>
      <c r="F1344" s="6">
        <v>42.099998474121094</v>
      </c>
      <c r="G1344" s="6">
        <v>42.409999847412109</v>
      </c>
      <c r="H1344" s="6">
        <v>22.375144813494973</v>
      </c>
      <c r="I1344" s="6">
        <v>-7.1919925671660168E-2</v>
      </c>
      <c r="J1344" s="6">
        <v>3946390000</v>
      </c>
      <c r="K1344" s="6">
        <v>-35.094339622641513</v>
      </c>
      <c r="L1344" t="s">
        <v>6547</v>
      </c>
      <c r="M1344" t="s">
        <v>9330</v>
      </c>
      <c r="N1344" s="4" t="s">
        <v>10947</v>
      </c>
      <c r="O1344" s="4" t="s">
        <v>10948</v>
      </c>
      <c r="P1344" s="4" t="s">
        <v>233</v>
      </c>
    </row>
    <row r="1345" spans="1:16" x14ac:dyDescent="0.35">
      <c r="A1345" t="s">
        <v>10949</v>
      </c>
      <c r="B1345" t="s">
        <v>10950</v>
      </c>
      <c r="C1345" t="s">
        <v>16</v>
      </c>
      <c r="D1345" s="6">
        <v>362681121</v>
      </c>
      <c r="E1345" s="6">
        <v>363052121</v>
      </c>
      <c r="F1345" s="6">
        <v>33</v>
      </c>
      <c r="G1345" s="6">
        <v>32.200000762939453</v>
      </c>
      <c r="H1345" s="6">
        <v>11.511016216928939</v>
      </c>
      <c r="I1345" s="6">
        <v>-4.8860823144512233E-2</v>
      </c>
      <c r="J1345" s="6">
        <v>687697000</v>
      </c>
      <c r="K1345" s="6">
        <v>-66.608588620114233</v>
      </c>
      <c r="L1345" t="s">
        <v>6540</v>
      </c>
      <c r="M1345" t="s">
        <v>6571</v>
      </c>
      <c r="N1345" s="4" t="s">
        <v>10951</v>
      </c>
      <c r="O1345" s="4" t="s">
        <v>10952</v>
      </c>
      <c r="P1345" s="4" t="s">
        <v>233</v>
      </c>
    </row>
    <row r="1346" spans="1:16" x14ac:dyDescent="0.35">
      <c r="A1346" t="s">
        <v>10953</v>
      </c>
      <c r="B1346" t="s">
        <v>10954</v>
      </c>
      <c r="C1346" t="s">
        <v>16</v>
      </c>
      <c r="D1346" s="6">
        <v>1011568835.5874557</v>
      </c>
      <c r="E1346" s="6">
        <v>2454838835.5874557</v>
      </c>
      <c r="F1346" s="6">
        <v>39.819999694824219</v>
      </c>
      <c r="G1346" s="6">
        <v>39.720001220703125</v>
      </c>
      <c r="H1346" s="6">
        <v>284.10996022192438</v>
      </c>
      <c r="I1346" s="6">
        <v>0.34413083004060097</v>
      </c>
      <c r="J1346" s="6">
        <v>264802000</v>
      </c>
      <c r="K1346" s="6">
        <v>55.001070930120044</v>
      </c>
      <c r="L1346" t="s">
        <v>6623</v>
      </c>
      <c r="M1346" t="s">
        <v>7086</v>
      </c>
      <c r="N1346" s="4" t="s">
        <v>10955</v>
      </c>
      <c r="O1346" s="4" t="s">
        <v>10956</v>
      </c>
      <c r="P1346" s="4" t="s">
        <v>233</v>
      </c>
    </row>
    <row r="1347" spans="1:16" x14ac:dyDescent="0.35">
      <c r="A1347" t="s">
        <v>10957</v>
      </c>
      <c r="B1347" t="s">
        <v>10958</v>
      </c>
      <c r="C1347" t="s">
        <v>16</v>
      </c>
      <c r="D1347" s="6">
        <v>268682499.57875443</v>
      </c>
      <c r="E1347" s="6" t="e">
        <v>#N/A</v>
      </c>
      <c r="F1347" s="6">
        <v>45.560001373291016</v>
      </c>
      <c r="G1347" s="6">
        <v>46.279998779296875</v>
      </c>
      <c r="H1347" s="6">
        <v>6.1334440530285788</v>
      </c>
      <c r="I1347" s="6">
        <v>0.28841089531016983</v>
      </c>
      <c r="J1347" s="6">
        <v>93105000</v>
      </c>
      <c r="K1347" s="6">
        <v>-4.5275590551181182</v>
      </c>
      <c r="L1347" t="s">
        <v>6529</v>
      </c>
      <c r="M1347" t="s">
        <v>6530</v>
      </c>
      <c r="N1347" s="4" t="s">
        <v>10959</v>
      </c>
      <c r="O1347" s="4" t="s">
        <v>10960</v>
      </c>
      <c r="P1347" s="4" t="s">
        <v>233</v>
      </c>
    </row>
    <row r="1348" spans="1:16" x14ac:dyDescent="0.35">
      <c r="A1348" t="s">
        <v>10961</v>
      </c>
      <c r="B1348" t="s">
        <v>10962</v>
      </c>
      <c r="C1348" t="s">
        <v>16</v>
      </c>
      <c r="D1348" s="6">
        <v>2468491566.321991</v>
      </c>
      <c r="E1348" s="6">
        <v>2388355566.321991</v>
      </c>
      <c r="F1348" s="6">
        <v>100.47000122070313</v>
      </c>
      <c r="G1348" s="6">
        <v>99.480003356933594</v>
      </c>
      <c r="H1348" s="6">
        <v>19.519707039393229</v>
      </c>
      <c r="I1348" s="6">
        <v>3.9751458635050696E-2</v>
      </c>
      <c r="J1348" s="6">
        <v>1211176000</v>
      </c>
      <c r="K1348" s="6">
        <v>158.37320574162683</v>
      </c>
      <c r="L1348" t="s">
        <v>6540</v>
      </c>
      <c r="M1348" t="s">
        <v>6838</v>
      </c>
      <c r="N1348" s="4" t="s">
        <v>10963</v>
      </c>
      <c r="O1348" s="4" t="s">
        <v>10964</v>
      </c>
      <c r="P1348" s="4" t="s">
        <v>233</v>
      </c>
    </row>
    <row r="1349" spans="1:16" x14ac:dyDescent="0.35">
      <c r="A1349" t="s">
        <v>10965</v>
      </c>
      <c r="B1349" t="s">
        <v>10966</v>
      </c>
      <c r="C1349" t="s">
        <v>16</v>
      </c>
      <c r="D1349" s="6">
        <v>181033285.75635526</v>
      </c>
      <c r="E1349" s="6" t="e">
        <v>#N/A</v>
      </c>
      <c r="F1349" s="6">
        <v>28.459999084472656</v>
      </c>
      <c r="G1349" s="6">
        <v>27.909999847412109</v>
      </c>
      <c r="H1349" s="6">
        <v>17.665014632586711</v>
      </c>
      <c r="I1349" s="6">
        <v>-8.1617457780922553E-2</v>
      </c>
      <c r="J1349" s="6">
        <v>79082000</v>
      </c>
      <c r="K1349" s="6">
        <v>-53.383458646616546</v>
      </c>
      <c r="L1349" t="s">
        <v>6529</v>
      </c>
      <c r="M1349" t="s">
        <v>6530</v>
      </c>
      <c r="N1349" s="4" t="s">
        <v>10967</v>
      </c>
      <c r="O1349" s="4" t="s">
        <v>10968</v>
      </c>
      <c r="P1349" s="4" t="s">
        <v>233</v>
      </c>
    </row>
    <row r="1350" spans="1:16" x14ac:dyDescent="0.35">
      <c r="A1350" t="s">
        <v>10969</v>
      </c>
      <c r="B1350" t="s">
        <v>10970</v>
      </c>
      <c r="C1350" t="s">
        <v>16</v>
      </c>
      <c r="D1350" s="6">
        <v>2328753343.9023914</v>
      </c>
      <c r="E1350" s="6" t="e">
        <v>#N/A</v>
      </c>
      <c r="F1350" s="6">
        <v>23.030000686645508</v>
      </c>
      <c r="G1350" s="6">
        <v>23.200000762939453</v>
      </c>
      <c r="H1350" s="6" t="e">
        <v>#N/A</v>
      </c>
      <c r="I1350" s="6">
        <v>0.77989903835246888</v>
      </c>
      <c r="J1350" s="6">
        <v>878039000</v>
      </c>
      <c r="K1350" s="6">
        <v>-206.53343350108918</v>
      </c>
      <c r="L1350" t="s">
        <v>6529</v>
      </c>
      <c r="M1350" t="s">
        <v>6568</v>
      </c>
      <c r="N1350" s="4" t="s">
        <v>10971</v>
      </c>
      <c r="O1350" s="4" t="s">
        <v>10972</v>
      </c>
      <c r="P1350" s="4" t="s">
        <v>233</v>
      </c>
    </row>
    <row r="1351" spans="1:16" x14ac:dyDescent="0.35">
      <c r="A1351" t="s">
        <v>10973</v>
      </c>
      <c r="B1351" t="s">
        <v>10974</v>
      </c>
      <c r="C1351" t="s">
        <v>16</v>
      </c>
      <c r="D1351" s="6">
        <v>627924679</v>
      </c>
      <c r="E1351" s="6">
        <v>1010234679</v>
      </c>
      <c r="F1351" s="6">
        <v>11.5</v>
      </c>
      <c r="G1351" s="6">
        <v>11.75</v>
      </c>
      <c r="H1351" s="6" t="e">
        <v>#N/A</v>
      </c>
      <c r="I1351" s="6">
        <v>-0.43808426568012504</v>
      </c>
      <c r="J1351" s="6">
        <v>315156000</v>
      </c>
      <c r="K1351" s="6" t="e">
        <v>#N/A</v>
      </c>
      <c r="L1351" t="s">
        <v>6514</v>
      </c>
      <c r="M1351" t="s">
        <v>6515</v>
      </c>
      <c r="N1351" s="4" t="s">
        <v>10975</v>
      </c>
      <c r="O1351" s="4" t="s">
        <v>10976</v>
      </c>
      <c r="P1351" s="4" t="s">
        <v>233</v>
      </c>
    </row>
    <row r="1352" spans="1:16" x14ac:dyDescent="0.35">
      <c r="A1352" t="s">
        <v>10977</v>
      </c>
      <c r="B1352" t="s">
        <v>10978</v>
      </c>
      <c r="C1352" t="s">
        <v>16</v>
      </c>
      <c r="D1352" s="6">
        <v>934972562.48153698</v>
      </c>
      <c r="E1352" s="6">
        <v>871309562.48153698</v>
      </c>
      <c r="F1352" s="6">
        <v>49.080001831054688</v>
      </c>
      <c r="G1352" s="6">
        <v>49.430000305175781</v>
      </c>
      <c r="H1352" s="6">
        <v>18.897660329220752</v>
      </c>
      <c r="I1352" s="6">
        <v>4.9560147643067376E-2</v>
      </c>
      <c r="J1352" s="6">
        <v>315130000</v>
      </c>
      <c r="K1352" s="6">
        <v>-3.5928143712574752</v>
      </c>
      <c r="L1352" t="s">
        <v>6529</v>
      </c>
      <c r="M1352" t="s">
        <v>6664</v>
      </c>
      <c r="N1352" s="4" t="s">
        <v>10979</v>
      </c>
      <c r="O1352" s="4" t="s">
        <v>10980</v>
      </c>
      <c r="P1352" s="4" t="s">
        <v>233</v>
      </c>
    </row>
    <row r="1353" spans="1:16" x14ac:dyDescent="0.35">
      <c r="A1353" t="s">
        <v>10981</v>
      </c>
      <c r="B1353" t="s">
        <v>10982</v>
      </c>
      <c r="C1353" t="s">
        <v>16</v>
      </c>
      <c r="D1353" s="6">
        <v>1960742253.0742455</v>
      </c>
      <c r="E1353" s="6">
        <v>2797606253.0742455</v>
      </c>
      <c r="F1353" s="6">
        <v>25.329999923706055</v>
      </c>
      <c r="G1353" s="6">
        <v>25.25</v>
      </c>
      <c r="H1353" s="6">
        <v>38.460195176314194</v>
      </c>
      <c r="I1353" s="6">
        <v>0.69074737467880176</v>
      </c>
      <c r="J1353" s="6">
        <v>1242654000</v>
      </c>
      <c r="K1353" s="6" t="e">
        <v>#N/A</v>
      </c>
      <c r="L1353" t="s">
        <v>6547</v>
      </c>
      <c r="M1353" t="s">
        <v>6843</v>
      </c>
      <c r="N1353" s="4" t="s">
        <v>10983</v>
      </c>
      <c r="O1353" s="4" t="s">
        <v>10984</v>
      </c>
      <c r="P1353" s="4" t="s">
        <v>233</v>
      </c>
    </row>
    <row r="1354" spans="1:16" x14ac:dyDescent="0.35">
      <c r="A1354" t="s">
        <v>10985</v>
      </c>
      <c r="B1354" t="s">
        <v>10986</v>
      </c>
      <c r="C1354" t="s">
        <v>16</v>
      </c>
      <c r="D1354" s="6">
        <v>971248449.76367557</v>
      </c>
      <c r="E1354" s="6">
        <v>2767968449.7636752</v>
      </c>
      <c r="F1354" s="6">
        <v>9.5900001525878906</v>
      </c>
      <c r="G1354" s="6">
        <v>9.5</v>
      </c>
      <c r="H1354" s="6" t="e">
        <v>#N/A</v>
      </c>
      <c r="I1354" s="6">
        <v>-0.13300260632530014</v>
      </c>
      <c r="J1354" s="6">
        <v>738664000</v>
      </c>
      <c r="K1354" s="6" t="e">
        <v>#N/A</v>
      </c>
      <c r="L1354" t="s">
        <v>6623</v>
      </c>
      <c r="M1354" t="s">
        <v>6700</v>
      </c>
      <c r="N1354" s="4" t="s">
        <v>10987</v>
      </c>
      <c r="O1354" s="4" t="s">
        <v>10988</v>
      </c>
      <c r="P1354" s="4" t="s">
        <v>233</v>
      </c>
    </row>
    <row r="1355" spans="1:16" x14ac:dyDescent="0.35">
      <c r="A1355" t="s">
        <v>10989</v>
      </c>
      <c r="B1355" t="s">
        <v>10990</v>
      </c>
      <c r="C1355" t="s">
        <v>16</v>
      </c>
      <c r="D1355" s="6">
        <v>1232038424.2228813</v>
      </c>
      <c r="E1355" s="6">
        <v>1575850424.2228813</v>
      </c>
      <c r="F1355" s="6">
        <v>8.1000003814697266</v>
      </c>
      <c r="G1355" s="6">
        <v>8.130000114440918</v>
      </c>
      <c r="H1355" s="6">
        <v>28.055155676561224</v>
      </c>
      <c r="I1355" s="6">
        <v>-0.16108703224334808</v>
      </c>
      <c r="J1355" s="6">
        <v>1338584000</v>
      </c>
      <c r="K1355" s="6">
        <v>-71.428571428571416</v>
      </c>
      <c r="L1355" t="s">
        <v>6523</v>
      </c>
      <c r="M1355" t="s">
        <v>6588</v>
      </c>
      <c r="N1355" s="4" t="s">
        <v>10991</v>
      </c>
      <c r="O1355" s="4" t="s">
        <v>10992</v>
      </c>
      <c r="P1355" s="4" t="s">
        <v>233</v>
      </c>
    </row>
    <row r="1356" spans="1:16" x14ac:dyDescent="0.35">
      <c r="A1356" t="s">
        <v>10993</v>
      </c>
      <c r="B1356" t="s">
        <v>4196</v>
      </c>
      <c r="C1356" t="s">
        <v>16</v>
      </c>
      <c r="D1356" s="6">
        <v>153127916.07379675</v>
      </c>
      <c r="E1356" s="6">
        <v>60342916.073796749</v>
      </c>
      <c r="F1356" s="6">
        <v>1.1599999666213989</v>
      </c>
      <c r="G1356" s="6">
        <v>1.1499999761581421</v>
      </c>
      <c r="H1356" s="6" t="e">
        <v>#N/A</v>
      </c>
      <c r="I1356" s="6">
        <v>-0.95576738710643394</v>
      </c>
      <c r="J1356" s="6">
        <v>0</v>
      </c>
      <c r="K1356" s="6">
        <v>3.8194444444444553</v>
      </c>
      <c r="L1356" t="s">
        <v>17</v>
      </c>
      <c r="M1356" t="s">
        <v>18</v>
      </c>
      <c r="N1356" s="4" t="s">
        <v>4197</v>
      </c>
      <c r="O1356" s="4" t="s">
        <v>4198</v>
      </c>
      <c r="P1356" s="4" t="s">
        <v>233</v>
      </c>
    </row>
    <row r="1357" spans="1:16" x14ac:dyDescent="0.35">
      <c r="A1357" t="s">
        <v>10994</v>
      </c>
      <c r="B1357" t="s">
        <v>10995</v>
      </c>
      <c r="C1357" t="s">
        <v>16</v>
      </c>
      <c r="D1357" s="6">
        <v>111049335.3667345</v>
      </c>
      <c r="E1357" s="6">
        <v>123062335.3667345</v>
      </c>
      <c r="F1357" s="6">
        <v>3.119999885559082</v>
      </c>
      <c r="G1357" s="6">
        <v>3.2100000381469727</v>
      </c>
      <c r="H1357" s="6">
        <v>8.4379509991915835</v>
      </c>
      <c r="I1357" s="6">
        <v>4.6848506390052114E-2</v>
      </c>
      <c r="J1357" s="6">
        <v>149789000</v>
      </c>
      <c r="K1357" s="6">
        <v>17.705416971439629</v>
      </c>
      <c r="L1357" t="s">
        <v>6523</v>
      </c>
      <c r="M1357" t="s">
        <v>6588</v>
      </c>
      <c r="N1357" s="4" t="s">
        <v>10996</v>
      </c>
      <c r="O1357" s="4" t="s">
        <v>10997</v>
      </c>
      <c r="P1357" s="4" t="s">
        <v>233</v>
      </c>
    </row>
    <row r="1358" spans="1:16" x14ac:dyDescent="0.35">
      <c r="A1358" t="s">
        <v>10998</v>
      </c>
      <c r="B1358" t="s">
        <v>10999</v>
      </c>
      <c r="C1358" t="s">
        <v>16</v>
      </c>
      <c r="D1358" s="6">
        <v>252076928.69567871</v>
      </c>
      <c r="E1358" s="6" t="e">
        <v>#N/A</v>
      </c>
      <c r="F1358" s="6">
        <v>13.270000457763672</v>
      </c>
      <c r="G1358" s="6">
        <v>13.079999923706055</v>
      </c>
      <c r="H1358" s="6">
        <v>43.282420089838489</v>
      </c>
      <c r="I1358" s="6">
        <v>-0.39488724025383637</v>
      </c>
      <c r="J1358" s="6">
        <v>432470000</v>
      </c>
      <c r="K1358" s="6" t="e">
        <v>#N/A</v>
      </c>
      <c r="L1358" t="s">
        <v>6547</v>
      </c>
      <c r="M1358" t="s">
        <v>6548</v>
      </c>
      <c r="N1358" s="4" t="s">
        <v>11000</v>
      </c>
      <c r="O1358" s="4" t="s">
        <v>11001</v>
      </c>
      <c r="P1358" s="4" t="s">
        <v>233</v>
      </c>
    </row>
    <row r="1359" spans="1:16" x14ac:dyDescent="0.35">
      <c r="A1359" t="s">
        <v>11002</v>
      </c>
      <c r="B1359" t="s">
        <v>11003</v>
      </c>
      <c r="C1359" t="s">
        <v>16</v>
      </c>
      <c r="D1359" s="6">
        <v>1159497442.1135597</v>
      </c>
      <c r="E1359" s="6">
        <v>7204125442.1135607</v>
      </c>
      <c r="F1359" s="6">
        <v>8.9799995422363281</v>
      </c>
      <c r="G1359" s="6">
        <v>8.6000003814697266</v>
      </c>
      <c r="H1359" s="6" t="e">
        <v>#N/A</v>
      </c>
      <c r="I1359" s="6">
        <v>-0.56308765570538299</v>
      </c>
      <c r="J1359" s="6">
        <v>4522502000</v>
      </c>
      <c r="K1359" s="6">
        <v>62.66955450394174</v>
      </c>
      <c r="L1359" t="s">
        <v>6518</v>
      </c>
      <c r="M1359" t="s">
        <v>7048</v>
      </c>
      <c r="N1359" s="4" t="s">
        <v>11004</v>
      </c>
      <c r="O1359" s="4" t="s">
        <v>11005</v>
      </c>
      <c r="P1359" s="4" t="s">
        <v>233</v>
      </c>
    </row>
    <row r="1360" spans="1:16" x14ac:dyDescent="0.35">
      <c r="A1360" t="s">
        <v>11006</v>
      </c>
      <c r="B1360" t="s">
        <v>11007</v>
      </c>
      <c r="C1360" t="s">
        <v>16</v>
      </c>
      <c r="D1360" s="6">
        <v>790136319.75067902</v>
      </c>
      <c r="E1360" s="6">
        <v>1272766319.750679</v>
      </c>
      <c r="F1360" s="6">
        <v>34.630001068115234</v>
      </c>
      <c r="G1360" s="6">
        <v>34.369998931884766</v>
      </c>
      <c r="H1360" s="6">
        <v>22.748099826328303</v>
      </c>
      <c r="I1360" s="6">
        <v>-5.3424143564471227E-2</v>
      </c>
      <c r="J1360" s="6">
        <v>1336598000</v>
      </c>
      <c r="K1360" s="6">
        <v>92.537313432835816</v>
      </c>
      <c r="L1360" t="s">
        <v>6540</v>
      </c>
      <c r="M1360" t="s">
        <v>6825</v>
      </c>
      <c r="N1360" s="4" t="s">
        <v>11008</v>
      </c>
      <c r="O1360" s="4" t="s">
        <v>11009</v>
      </c>
      <c r="P1360" s="4" t="s">
        <v>233</v>
      </c>
    </row>
    <row r="1361" spans="1:16" x14ac:dyDescent="0.35">
      <c r="A1361" t="s">
        <v>11010</v>
      </c>
      <c r="B1361" t="s">
        <v>11011</v>
      </c>
      <c r="C1361" t="s">
        <v>16</v>
      </c>
      <c r="D1361" s="6">
        <v>3167543272.0904846</v>
      </c>
      <c r="E1361" s="6">
        <v>2566543272.0904846</v>
      </c>
      <c r="F1361" s="6">
        <v>85.080001831054688</v>
      </c>
      <c r="G1361" s="6">
        <v>84.739997863769531</v>
      </c>
      <c r="H1361" s="6">
        <v>35.527910510028732</v>
      </c>
      <c r="I1361" s="6">
        <v>-8.3974377886631424E-2</v>
      </c>
      <c r="J1361" s="6">
        <v>6581000000</v>
      </c>
      <c r="K1361" s="6">
        <v>-47.136048565121413</v>
      </c>
      <c r="L1361" t="s">
        <v>6547</v>
      </c>
      <c r="M1361" t="s">
        <v>6548</v>
      </c>
      <c r="N1361" s="4" t="s">
        <v>11012</v>
      </c>
      <c r="O1361" s="4" t="s">
        <v>11013</v>
      </c>
      <c r="P1361" s="4" t="s">
        <v>233</v>
      </c>
    </row>
    <row r="1362" spans="1:16" x14ac:dyDescent="0.35">
      <c r="A1362" t="s">
        <v>11014</v>
      </c>
      <c r="B1362" t="s">
        <v>11015</v>
      </c>
      <c r="C1362" t="s">
        <v>16</v>
      </c>
      <c r="D1362" s="6">
        <v>1349903891.7290421</v>
      </c>
      <c r="E1362" s="6" t="e">
        <v>#N/A</v>
      </c>
      <c r="F1362" s="6">
        <v>30.930000305175781</v>
      </c>
      <c r="G1362" s="6">
        <v>32.029998779296875</v>
      </c>
      <c r="H1362" s="6">
        <v>50.802859784068595</v>
      </c>
      <c r="I1362" s="6">
        <v>0.63046895788497448</v>
      </c>
      <c r="J1362" s="6">
        <v>646194000</v>
      </c>
      <c r="K1362" s="6">
        <v>-76.349975640474909</v>
      </c>
      <c r="L1362" t="s">
        <v>6529</v>
      </c>
      <c r="M1362" t="s">
        <v>6530</v>
      </c>
      <c r="N1362" s="4" t="s">
        <v>11016</v>
      </c>
      <c r="O1362" s="4" t="s">
        <v>11017</v>
      </c>
      <c r="P1362" s="4" t="s">
        <v>233</v>
      </c>
    </row>
    <row r="1363" spans="1:16" x14ac:dyDescent="0.35">
      <c r="A1363" t="s">
        <v>11018</v>
      </c>
      <c r="B1363" t="s">
        <v>3526</v>
      </c>
      <c r="C1363" t="s">
        <v>16</v>
      </c>
      <c r="D1363" s="6">
        <v>486722791.48268509</v>
      </c>
      <c r="E1363" s="6">
        <v>282175791.48268509</v>
      </c>
      <c r="F1363" s="6">
        <v>18.920000076293945</v>
      </c>
      <c r="G1363" s="6">
        <v>18.229999542236328</v>
      </c>
      <c r="H1363" s="6" t="e">
        <v>#N/A</v>
      </c>
      <c r="I1363" s="6">
        <v>-9.8799812416411448E-2</v>
      </c>
      <c r="J1363" s="6">
        <v>47938000</v>
      </c>
      <c r="K1363" s="6">
        <v>-551.44473913043475</v>
      </c>
      <c r="L1363" t="s">
        <v>17</v>
      </c>
      <c r="M1363" t="s">
        <v>18</v>
      </c>
      <c r="N1363" s="4" t="s">
        <v>3527</v>
      </c>
      <c r="O1363" s="4" t="s">
        <v>3528</v>
      </c>
      <c r="P1363" s="4" t="s">
        <v>233</v>
      </c>
    </row>
    <row r="1364" spans="1:16" x14ac:dyDescent="0.35">
      <c r="A1364" t="s">
        <v>11019</v>
      </c>
      <c r="B1364" t="s">
        <v>11020</v>
      </c>
      <c r="C1364" t="s">
        <v>16</v>
      </c>
      <c r="D1364" s="6">
        <v>108257689.72686122</v>
      </c>
      <c r="E1364" s="6">
        <v>55216689.726861216</v>
      </c>
      <c r="F1364" s="6">
        <v>1.0700000524520874</v>
      </c>
      <c r="G1364" s="6">
        <v>1.0099999904632568</v>
      </c>
      <c r="H1364" s="6" t="e">
        <v>#N/A</v>
      </c>
      <c r="I1364" s="6">
        <v>-0.63380577622177792</v>
      </c>
      <c r="J1364" s="6">
        <v>138728000</v>
      </c>
      <c r="K1364" s="6">
        <v>58.181045190994922</v>
      </c>
      <c r="L1364" t="s">
        <v>6547</v>
      </c>
      <c r="M1364" t="s">
        <v>6602</v>
      </c>
      <c r="N1364" s="4" t="s">
        <v>11021</v>
      </c>
      <c r="O1364" s="4" t="s">
        <v>11022</v>
      </c>
      <c r="P1364" s="4" t="s">
        <v>233</v>
      </c>
    </row>
    <row r="1365" spans="1:16" x14ac:dyDescent="0.35">
      <c r="A1365" t="s">
        <v>11023</v>
      </c>
      <c r="B1365" t="s">
        <v>2629</v>
      </c>
      <c r="C1365" t="s">
        <v>16</v>
      </c>
      <c r="D1365" s="6">
        <v>297121128.4027915</v>
      </c>
      <c r="E1365" s="6">
        <v>327441480.4027915</v>
      </c>
      <c r="F1365" s="6">
        <v>6.8600001335144043</v>
      </c>
      <c r="G1365" s="6">
        <v>6.3899998664855957</v>
      </c>
      <c r="H1365" s="6" t="e">
        <v>#N/A</v>
      </c>
      <c r="I1365" s="6">
        <v>0.12056552633155593</v>
      </c>
      <c r="J1365" s="6">
        <v>193059113</v>
      </c>
      <c r="K1365" s="6">
        <v>34.693877551020414</v>
      </c>
      <c r="L1365" t="s">
        <v>17</v>
      </c>
      <c r="M1365" t="s">
        <v>32</v>
      </c>
      <c r="N1365" s="4" t="s">
        <v>2630</v>
      </c>
      <c r="O1365" s="4" t="s">
        <v>2631</v>
      </c>
      <c r="P1365" s="4" t="s">
        <v>233</v>
      </c>
    </row>
    <row r="1366" spans="1:16" x14ac:dyDescent="0.35">
      <c r="A1366" t="s">
        <v>11024</v>
      </c>
      <c r="B1366" t="s">
        <v>11025</v>
      </c>
      <c r="C1366" t="s">
        <v>16</v>
      </c>
      <c r="D1366" s="6">
        <v>623556372.67239761</v>
      </c>
      <c r="E1366" s="6" t="e">
        <v>#N/A</v>
      </c>
      <c r="F1366" s="6">
        <v>36.799999237060547</v>
      </c>
      <c r="G1366" s="6">
        <v>37.430000305175781</v>
      </c>
      <c r="H1366" s="6">
        <v>11.794871550339918</v>
      </c>
      <c r="I1366" s="6">
        <v>0.29159466219421004</v>
      </c>
      <c r="J1366" s="6">
        <v>270633000</v>
      </c>
      <c r="K1366" s="6">
        <v>1.2987012987012998</v>
      </c>
      <c r="L1366" t="s">
        <v>6529</v>
      </c>
      <c r="M1366" t="s">
        <v>6530</v>
      </c>
      <c r="N1366" s="4" t="s">
        <v>11026</v>
      </c>
      <c r="O1366" s="4" t="s">
        <v>11027</v>
      </c>
      <c r="P1366" s="4" t="s">
        <v>233</v>
      </c>
    </row>
    <row r="1367" spans="1:16" x14ac:dyDescent="0.35">
      <c r="A1367" t="s">
        <v>11028</v>
      </c>
      <c r="B1367" t="s">
        <v>11029</v>
      </c>
      <c r="C1367" t="s">
        <v>16</v>
      </c>
      <c r="D1367" s="6">
        <v>707840334.67234612</v>
      </c>
      <c r="E1367" s="6">
        <v>1794690334.6723464</v>
      </c>
      <c r="F1367" s="6">
        <v>20.969999313354492</v>
      </c>
      <c r="G1367" s="6">
        <v>19.229999542236328</v>
      </c>
      <c r="H1367" s="6">
        <v>10.729086371631873</v>
      </c>
      <c r="I1367" s="6">
        <v>-2.8611119390840267E-2</v>
      </c>
      <c r="J1367" s="6">
        <v>9549324000</v>
      </c>
      <c r="K1367" s="6">
        <v>-99.346405228758172</v>
      </c>
      <c r="L1367" t="s">
        <v>6735</v>
      </c>
      <c r="M1367" t="s">
        <v>6736</v>
      </c>
      <c r="N1367" s="4" t="s">
        <v>11030</v>
      </c>
      <c r="O1367" s="4" t="s">
        <v>11031</v>
      </c>
      <c r="P1367" s="4" t="s">
        <v>233</v>
      </c>
    </row>
    <row r="1368" spans="1:16" x14ac:dyDescent="0.35">
      <c r="A1368" t="s">
        <v>11032</v>
      </c>
      <c r="B1368" t="s">
        <v>11033</v>
      </c>
      <c r="C1368" t="s">
        <v>16</v>
      </c>
      <c r="D1368" s="6">
        <v>4469128002.7129288</v>
      </c>
      <c r="E1368" s="6">
        <v>6339875002.7129288</v>
      </c>
      <c r="F1368" s="6">
        <v>110.81999969482422</v>
      </c>
      <c r="G1368" s="6">
        <v>108.41999816894531</v>
      </c>
      <c r="H1368" s="6">
        <v>14.2625482232721</v>
      </c>
      <c r="I1368" s="6">
        <v>0.85098235955103174</v>
      </c>
      <c r="J1368" s="6">
        <v>3527920000</v>
      </c>
      <c r="K1368" s="6">
        <v>928.20512820512806</v>
      </c>
      <c r="L1368" t="s">
        <v>6547</v>
      </c>
      <c r="M1368" t="s">
        <v>6814</v>
      </c>
      <c r="N1368" s="4" t="s">
        <v>11034</v>
      </c>
      <c r="O1368" s="4" t="s">
        <v>11035</v>
      </c>
      <c r="P1368" s="4" t="s">
        <v>233</v>
      </c>
    </row>
    <row r="1369" spans="1:16" x14ac:dyDescent="0.35">
      <c r="A1369" t="s">
        <v>11036</v>
      </c>
      <c r="B1369" t="s">
        <v>11037</v>
      </c>
      <c r="C1369" t="s">
        <v>16</v>
      </c>
      <c r="D1369" s="6">
        <v>1510997377.2049825</v>
      </c>
      <c r="E1369" s="6">
        <v>4212172377.2049828</v>
      </c>
      <c r="F1369" s="6">
        <v>10.369999885559082</v>
      </c>
      <c r="G1369" s="6">
        <v>10.399999618530273</v>
      </c>
      <c r="H1369" s="6">
        <v>10.576549317174177</v>
      </c>
      <c r="I1369" s="6">
        <v>-6.384124273726921E-2</v>
      </c>
      <c r="J1369" s="6">
        <v>904404000</v>
      </c>
      <c r="K1369" s="6">
        <v>50.746268656716417</v>
      </c>
      <c r="L1369" t="s">
        <v>6523</v>
      </c>
      <c r="M1369" t="s">
        <v>6524</v>
      </c>
      <c r="N1369" s="4" t="s">
        <v>233</v>
      </c>
      <c r="O1369" s="4" t="s">
        <v>11038</v>
      </c>
      <c r="P1369" s="4" t="s">
        <v>13251</v>
      </c>
    </row>
    <row r="1370" spans="1:16" x14ac:dyDescent="0.35">
      <c r="A1370" t="s">
        <v>11039</v>
      </c>
      <c r="B1370" t="s">
        <v>11040</v>
      </c>
      <c r="C1370" t="s">
        <v>16</v>
      </c>
      <c r="D1370" s="6">
        <v>4877681800</v>
      </c>
      <c r="E1370" s="6">
        <v>5391481800</v>
      </c>
      <c r="F1370" s="6">
        <v>100</v>
      </c>
      <c r="G1370" s="6">
        <v>98.800003051757813</v>
      </c>
      <c r="H1370" s="6">
        <v>33.600355357358261</v>
      </c>
      <c r="I1370" s="6">
        <v>0.18719897317292089</v>
      </c>
      <c r="J1370" s="6">
        <v>2485900000</v>
      </c>
      <c r="K1370" s="6">
        <v>-55.405405405405403</v>
      </c>
      <c r="L1370" t="s">
        <v>6547</v>
      </c>
      <c r="M1370" t="s">
        <v>6651</v>
      </c>
      <c r="N1370" s="4" t="s">
        <v>11041</v>
      </c>
      <c r="O1370" s="4" t="s">
        <v>11042</v>
      </c>
      <c r="P1370" s="4" t="s">
        <v>233</v>
      </c>
    </row>
    <row r="1371" spans="1:16" x14ac:dyDescent="0.35">
      <c r="A1371" t="s">
        <v>11043</v>
      </c>
      <c r="B1371" t="s">
        <v>11044</v>
      </c>
      <c r="C1371" t="s">
        <v>16</v>
      </c>
      <c r="D1371" s="6">
        <v>2801015358.8528099</v>
      </c>
      <c r="E1371" s="6">
        <v>13161597358.852812</v>
      </c>
      <c r="F1371" s="6">
        <v>13.670000076293945</v>
      </c>
      <c r="G1371" s="6">
        <v>13.550000190734863</v>
      </c>
      <c r="H1371" s="6">
        <v>11.692015111774591</v>
      </c>
      <c r="I1371" s="6">
        <v>0.22086415564930384</v>
      </c>
      <c r="J1371" s="6">
        <v>1511389000</v>
      </c>
      <c r="K1371" s="6">
        <v>-25.66368131868132</v>
      </c>
      <c r="L1371" t="s">
        <v>6529</v>
      </c>
      <c r="M1371" t="s">
        <v>8169</v>
      </c>
      <c r="N1371" s="4" t="s">
        <v>11045</v>
      </c>
      <c r="O1371" s="4" t="s">
        <v>11046</v>
      </c>
      <c r="P1371" s="4" t="s">
        <v>233</v>
      </c>
    </row>
    <row r="1372" spans="1:16" x14ac:dyDescent="0.35">
      <c r="A1372" t="s">
        <v>11047</v>
      </c>
      <c r="B1372" t="s">
        <v>11048</v>
      </c>
      <c r="C1372" t="s">
        <v>16</v>
      </c>
      <c r="D1372" s="6">
        <v>2114988453.8118894</v>
      </c>
      <c r="E1372" s="6">
        <v>2992647453.8118896</v>
      </c>
      <c r="F1372" s="6">
        <v>19.180000305175781</v>
      </c>
      <c r="G1372" s="6">
        <v>18.209999084472656</v>
      </c>
      <c r="H1372" s="6">
        <v>23.644771590247434</v>
      </c>
      <c r="I1372" s="6">
        <v>0.30469905327636226</v>
      </c>
      <c r="J1372" s="6">
        <v>1961646000</v>
      </c>
      <c r="K1372" s="6">
        <v>5.0847457627118695</v>
      </c>
      <c r="L1372" t="s">
        <v>6547</v>
      </c>
      <c r="M1372" t="s">
        <v>6802</v>
      </c>
      <c r="N1372" s="4" t="s">
        <v>11049</v>
      </c>
      <c r="O1372" s="4" t="s">
        <v>11050</v>
      </c>
      <c r="P1372" s="4" t="s">
        <v>233</v>
      </c>
    </row>
    <row r="1373" spans="1:16" x14ac:dyDescent="0.35">
      <c r="A1373" t="s">
        <v>11051</v>
      </c>
      <c r="B1373" t="s">
        <v>11052</v>
      </c>
      <c r="C1373" t="s">
        <v>16</v>
      </c>
      <c r="D1373" s="6">
        <v>1476786234.2251329</v>
      </c>
      <c r="E1373" s="6">
        <v>4117117234.2251325</v>
      </c>
      <c r="F1373" s="6">
        <v>3.130000114440918</v>
      </c>
      <c r="G1373" s="6">
        <v>3.2000000476837158</v>
      </c>
      <c r="H1373" s="6">
        <v>4.2017146679315456</v>
      </c>
      <c r="I1373" s="6">
        <v>-0.45756920335894613</v>
      </c>
      <c r="J1373" s="6">
        <v>1774587000</v>
      </c>
      <c r="K1373" s="6">
        <v>182.35294117647064</v>
      </c>
      <c r="L1373" t="s">
        <v>6523</v>
      </c>
      <c r="M1373" t="s">
        <v>6524</v>
      </c>
      <c r="N1373" s="4" t="s">
        <v>11053</v>
      </c>
      <c r="O1373" s="4" t="s">
        <v>11054</v>
      </c>
      <c r="P1373" s="4" t="s">
        <v>233</v>
      </c>
    </row>
    <row r="1374" spans="1:16" x14ac:dyDescent="0.35">
      <c r="A1374" t="s">
        <v>11055</v>
      </c>
      <c r="B1374" t="s">
        <v>11056</v>
      </c>
      <c r="C1374" t="s">
        <v>16</v>
      </c>
      <c r="D1374" s="6">
        <v>3509538273.0508118</v>
      </c>
      <c r="E1374" s="6">
        <v>4148605273.0508118</v>
      </c>
      <c r="F1374" s="6">
        <v>208.91000366210938</v>
      </c>
      <c r="G1374" s="6">
        <v>204.46000671386719</v>
      </c>
      <c r="H1374" s="6">
        <v>26.433533432656919</v>
      </c>
      <c r="I1374" s="6">
        <v>0.50311083771359777</v>
      </c>
      <c r="J1374" s="6">
        <v>1650140000</v>
      </c>
      <c r="K1374" s="6">
        <v>17.964071856287429</v>
      </c>
      <c r="L1374" t="s">
        <v>6518</v>
      </c>
      <c r="M1374" t="s">
        <v>6714</v>
      </c>
      <c r="N1374" s="4" t="s">
        <v>11057</v>
      </c>
      <c r="O1374" s="4" t="s">
        <v>11058</v>
      </c>
      <c r="P1374" s="4" t="s">
        <v>233</v>
      </c>
    </row>
    <row r="1375" spans="1:16" x14ac:dyDescent="0.35">
      <c r="A1375" t="s">
        <v>11059</v>
      </c>
      <c r="B1375" t="s">
        <v>11060</v>
      </c>
      <c r="C1375" t="s">
        <v>16</v>
      </c>
      <c r="D1375" s="6">
        <v>867663301.73182499</v>
      </c>
      <c r="E1375" s="6">
        <v>1530621301.7318249</v>
      </c>
      <c r="F1375" s="6">
        <v>11.779999732971191</v>
      </c>
      <c r="G1375" s="6">
        <v>10.800000190734863</v>
      </c>
      <c r="H1375" s="6">
        <v>113.63088033038989</v>
      </c>
      <c r="I1375" s="6">
        <v>-0.17463944534956277</v>
      </c>
      <c r="J1375" s="6">
        <v>970898000</v>
      </c>
      <c r="K1375" s="6">
        <v>37.222009666821897</v>
      </c>
      <c r="L1375" t="s">
        <v>6518</v>
      </c>
      <c r="M1375" t="s">
        <v>6519</v>
      </c>
      <c r="N1375" s="4" t="s">
        <v>233</v>
      </c>
      <c r="O1375" s="4" t="s">
        <v>11061</v>
      </c>
      <c r="P1375" s="4" t="s">
        <v>13252</v>
      </c>
    </row>
    <row r="1376" spans="1:16" x14ac:dyDescent="0.35">
      <c r="A1376" t="s">
        <v>11062</v>
      </c>
      <c r="B1376" t="s">
        <v>11063</v>
      </c>
      <c r="C1376" t="s">
        <v>16</v>
      </c>
      <c r="D1376" s="6">
        <v>5118604738.1652822</v>
      </c>
      <c r="E1376" s="6">
        <v>16110813738.165283</v>
      </c>
      <c r="F1376" s="6">
        <v>99.860000610351563</v>
      </c>
      <c r="G1376" s="6">
        <v>100.80999755859375</v>
      </c>
      <c r="H1376" s="6">
        <v>17.030618208427335</v>
      </c>
      <c r="I1376" s="6">
        <v>9.3028358854672755E-2</v>
      </c>
      <c r="J1376" s="6">
        <v>3678904000</v>
      </c>
      <c r="K1376" s="6">
        <v>111.41868512110726</v>
      </c>
      <c r="L1376" t="s">
        <v>6529</v>
      </c>
      <c r="M1376" t="s">
        <v>6639</v>
      </c>
      <c r="N1376" s="4" t="s">
        <v>11064</v>
      </c>
      <c r="O1376" s="4" t="s">
        <v>11065</v>
      </c>
      <c r="P1376" s="4" t="s">
        <v>233</v>
      </c>
    </row>
    <row r="1377" spans="1:16" x14ac:dyDescent="0.35">
      <c r="A1377" t="s">
        <v>11066</v>
      </c>
      <c r="B1377" t="s">
        <v>3995</v>
      </c>
      <c r="C1377" t="s">
        <v>16</v>
      </c>
      <c r="D1377" s="6">
        <v>132758548.42958154</v>
      </c>
      <c r="E1377" s="6">
        <v>-230631451.57041854</v>
      </c>
      <c r="F1377" s="6">
        <v>1.6100000143051147</v>
      </c>
      <c r="G1377" s="6">
        <v>1.6000000238418579</v>
      </c>
      <c r="H1377" s="6" t="e">
        <v>#N/A</v>
      </c>
      <c r="I1377" s="6">
        <v>-0.66908085898797265</v>
      </c>
      <c r="J1377" s="6">
        <v>160955000</v>
      </c>
      <c r="K1377" s="6">
        <v>44.235184565767696</v>
      </c>
      <c r="L1377" t="s">
        <v>17</v>
      </c>
      <c r="M1377" t="s">
        <v>18</v>
      </c>
      <c r="N1377" s="4" t="s">
        <v>3996</v>
      </c>
      <c r="O1377" s="4" t="s">
        <v>3997</v>
      </c>
      <c r="P1377" s="4" t="s">
        <v>233</v>
      </c>
    </row>
    <row r="1378" spans="1:16" x14ac:dyDescent="0.35">
      <c r="A1378" t="s">
        <v>11067</v>
      </c>
      <c r="B1378" t="s">
        <v>4426</v>
      </c>
      <c r="C1378" t="s">
        <v>16</v>
      </c>
      <c r="D1378" s="6">
        <v>41344757.996424079</v>
      </c>
      <c r="E1378" s="6">
        <v>-49646242.003575936</v>
      </c>
      <c r="F1378" s="6">
        <v>0.61900001764297485</v>
      </c>
      <c r="G1378" s="6">
        <v>0.63660001754760742</v>
      </c>
      <c r="H1378" s="6" t="e">
        <v>#N/A</v>
      </c>
      <c r="I1378" s="6">
        <v>-0.69997822639689466</v>
      </c>
      <c r="J1378" s="6">
        <v>18582000</v>
      </c>
      <c r="K1378" s="6">
        <v>-10.606060606060627</v>
      </c>
      <c r="L1378" t="s">
        <v>17</v>
      </c>
      <c r="M1378" t="s">
        <v>18</v>
      </c>
      <c r="N1378" s="4" t="s">
        <v>4427</v>
      </c>
      <c r="O1378" s="4" t="s">
        <v>4428</v>
      </c>
      <c r="P1378" s="4" t="s">
        <v>233</v>
      </c>
    </row>
    <row r="1379" spans="1:16" x14ac:dyDescent="0.35">
      <c r="A1379" t="s">
        <v>11068</v>
      </c>
      <c r="B1379" t="s">
        <v>11069</v>
      </c>
      <c r="C1379" t="s">
        <v>16</v>
      </c>
      <c r="D1379" s="6">
        <v>551061603.11395073</v>
      </c>
      <c r="E1379" s="6">
        <v>482205603.11395073</v>
      </c>
      <c r="F1379" s="6">
        <v>29.129999160766602</v>
      </c>
      <c r="G1379" s="6">
        <v>29</v>
      </c>
      <c r="H1379" s="6">
        <v>134.35478871644173</v>
      </c>
      <c r="I1379" s="6">
        <v>0.24359698964994903</v>
      </c>
      <c r="J1379" s="6">
        <v>347732000</v>
      </c>
      <c r="K1379" s="6">
        <v>89.028213166144212</v>
      </c>
      <c r="L1379" t="s">
        <v>6518</v>
      </c>
      <c r="M1379" t="s">
        <v>6714</v>
      </c>
      <c r="N1379" s="4" t="s">
        <v>11070</v>
      </c>
      <c r="O1379" s="4" t="s">
        <v>11071</v>
      </c>
      <c r="P1379" s="4" t="s">
        <v>233</v>
      </c>
    </row>
    <row r="1380" spans="1:16" x14ac:dyDescent="0.35">
      <c r="A1380" t="s">
        <v>11072</v>
      </c>
      <c r="B1380" t="s">
        <v>4330</v>
      </c>
      <c r="C1380" t="s">
        <v>16</v>
      </c>
      <c r="D1380" s="6">
        <v>1077344573.0234144</v>
      </c>
      <c r="E1380" s="6">
        <v>785510573.02341437</v>
      </c>
      <c r="F1380" s="6">
        <v>22.049999237060547</v>
      </c>
      <c r="G1380" s="6">
        <v>20.979999542236328</v>
      </c>
      <c r="H1380" s="6" t="e">
        <v>#N/A</v>
      </c>
      <c r="I1380" s="6">
        <v>0.32569036999686918</v>
      </c>
      <c r="J1380" s="6">
        <v>0</v>
      </c>
      <c r="K1380" s="6" t="e">
        <v>#N/A</v>
      </c>
      <c r="L1380" t="s">
        <v>17</v>
      </c>
      <c r="M1380" t="s">
        <v>87</v>
      </c>
      <c r="N1380" s="4" t="s">
        <v>4331</v>
      </c>
      <c r="O1380" s="4" t="s">
        <v>4332</v>
      </c>
      <c r="P1380" s="4" t="s">
        <v>233</v>
      </c>
    </row>
    <row r="1381" spans="1:16" x14ac:dyDescent="0.35">
      <c r="A1381" t="s">
        <v>11073</v>
      </c>
      <c r="B1381" t="s">
        <v>4430</v>
      </c>
      <c r="C1381" t="s">
        <v>16</v>
      </c>
      <c r="D1381" s="6">
        <v>3797615551.0074215</v>
      </c>
      <c r="E1381" s="6">
        <v>2220427551.0074215</v>
      </c>
      <c r="F1381" s="6">
        <v>31.829999923706055</v>
      </c>
      <c r="G1381" s="6">
        <v>32.950000762939453</v>
      </c>
      <c r="H1381" s="6" t="e">
        <v>#N/A</v>
      </c>
      <c r="I1381" s="6">
        <v>1.1844520971568278</v>
      </c>
      <c r="J1381" s="6">
        <v>10117000</v>
      </c>
      <c r="K1381" s="6">
        <v>3.6789297658862981</v>
      </c>
      <c r="L1381" t="s">
        <v>17</v>
      </c>
      <c r="M1381" t="s">
        <v>18</v>
      </c>
      <c r="N1381" s="4" t="s">
        <v>4431</v>
      </c>
      <c r="O1381" s="4" t="s">
        <v>4432</v>
      </c>
      <c r="P1381" s="4" t="s">
        <v>233</v>
      </c>
    </row>
    <row r="1382" spans="1:16" x14ac:dyDescent="0.35">
      <c r="A1382" t="s">
        <v>11074</v>
      </c>
      <c r="B1382" t="s">
        <v>3019</v>
      </c>
      <c r="C1382" t="s">
        <v>16</v>
      </c>
      <c r="D1382" s="6">
        <v>351308906.95665741</v>
      </c>
      <c r="E1382" s="6">
        <v>225434906.95665741</v>
      </c>
      <c r="F1382" s="6">
        <v>18.569999694824219</v>
      </c>
      <c r="G1382" s="6">
        <v>17.309999465942383</v>
      </c>
      <c r="H1382" s="6" t="e">
        <v>#N/A</v>
      </c>
      <c r="I1382" s="6">
        <v>-0.36194665829789219</v>
      </c>
      <c r="J1382" s="6">
        <v>925000</v>
      </c>
      <c r="K1382" s="6">
        <v>98.68218650986465</v>
      </c>
      <c r="L1382" t="s">
        <v>17</v>
      </c>
      <c r="M1382" t="s">
        <v>18</v>
      </c>
      <c r="N1382" s="4" t="s">
        <v>3020</v>
      </c>
      <c r="O1382" s="4" t="s">
        <v>3021</v>
      </c>
      <c r="P1382" s="4" t="s">
        <v>233</v>
      </c>
    </row>
    <row r="1383" spans="1:16" x14ac:dyDescent="0.35">
      <c r="A1383" t="s">
        <v>11075</v>
      </c>
      <c r="B1383" t="s">
        <v>4422</v>
      </c>
      <c r="C1383" t="s">
        <v>16</v>
      </c>
      <c r="D1383" s="6">
        <v>10646453531.103666</v>
      </c>
      <c r="E1383" s="6">
        <v>8493947531.1036663</v>
      </c>
      <c r="F1383" s="6">
        <v>85.419998168945313</v>
      </c>
      <c r="G1383" s="6">
        <v>85</v>
      </c>
      <c r="H1383" s="6" t="e">
        <v>#N/A</v>
      </c>
      <c r="I1383" s="6">
        <v>0.1175760653147262</v>
      </c>
      <c r="J1383" s="6">
        <v>0</v>
      </c>
      <c r="K1383" s="6">
        <v>-37.757397011614302</v>
      </c>
      <c r="L1383" t="s">
        <v>17</v>
      </c>
      <c r="M1383" t="s">
        <v>18</v>
      </c>
      <c r="N1383" s="4" t="s">
        <v>4423</v>
      </c>
      <c r="O1383" s="4" t="s">
        <v>4424</v>
      </c>
      <c r="P1383" s="4" t="s">
        <v>233</v>
      </c>
    </row>
    <row r="1384" spans="1:16" x14ac:dyDescent="0.35">
      <c r="A1384" t="s">
        <v>11076</v>
      </c>
      <c r="B1384" t="s">
        <v>11077</v>
      </c>
      <c r="C1384" t="s">
        <v>16</v>
      </c>
      <c r="D1384" s="6">
        <v>430618813.13844484</v>
      </c>
      <c r="E1384" s="6">
        <v>2308076813.1384449</v>
      </c>
      <c r="F1384" s="6">
        <v>9.7600002288818359</v>
      </c>
      <c r="G1384" s="6">
        <v>9.619999885559082</v>
      </c>
      <c r="H1384" s="6">
        <v>2.7437858533895838</v>
      </c>
      <c r="I1384" s="6">
        <v>-0.33576166109655348</v>
      </c>
      <c r="J1384" s="6">
        <v>2500857000</v>
      </c>
      <c r="K1384" s="6" t="e">
        <v>#N/A</v>
      </c>
      <c r="L1384" t="s">
        <v>6514</v>
      </c>
      <c r="M1384" t="s">
        <v>6534</v>
      </c>
      <c r="N1384" s="4" t="s">
        <v>11078</v>
      </c>
      <c r="O1384" s="4" t="s">
        <v>11079</v>
      </c>
      <c r="P1384" s="4" t="s">
        <v>233</v>
      </c>
    </row>
    <row r="1385" spans="1:16" x14ac:dyDescent="0.35">
      <c r="A1385" t="s">
        <v>11080</v>
      </c>
      <c r="B1385" t="s">
        <v>11081</v>
      </c>
      <c r="C1385" t="s">
        <v>16</v>
      </c>
      <c r="D1385" s="6">
        <v>3364170978.6872864</v>
      </c>
      <c r="E1385" s="6">
        <v>3079735978.6872864</v>
      </c>
      <c r="F1385" s="6">
        <v>59.090000152587891</v>
      </c>
      <c r="G1385" s="6">
        <v>57.840000152587891</v>
      </c>
      <c r="H1385" s="6">
        <v>104.89616035068565</v>
      </c>
      <c r="I1385" s="6">
        <v>-0.24677994439986206</v>
      </c>
      <c r="J1385" s="6">
        <v>418973000</v>
      </c>
      <c r="K1385" s="6">
        <v>-41.237113402061858</v>
      </c>
      <c r="L1385" t="s">
        <v>6518</v>
      </c>
      <c r="M1385" t="s">
        <v>6807</v>
      </c>
      <c r="N1385" s="4" t="s">
        <v>11082</v>
      </c>
      <c r="O1385" s="4" t="s">
        <v>11083</v>
      </c>
      <c r="P1385" s="4" t="s">
        <v>233</v>
      </c>
    </row>
    <row r="1386" spans="1:16" x14ac:dyDescent="0.35">
      <c r="A1386" t="s">
        <v>11084</v>
      </c>
      <c r="B1386" t="s">
        <v>11085</v>
      </c>
      <c r="C1386" t="s">
        <v>16</v>
      </c>
      <c r="D1386" s="6">
        <v>1814955210</v>
      </c>
      <c r="E1386" s="6">
        <v>2150695210</v>
      </c>
      <c r="F1386" s="6">
        <v>11.25</v>
      </c>
      <c r="G1386" s="6">
        <v>11.220000267028809</v>
      </c>
      <c r="H1386" s="6">
        <v>11.439553399835271</v>
      </c>
      <c r="I1386" s="6">
        <v>8.2005933120103736E-2</v>
      </c>
      <c r="J1386" s="6">
        <v>571773000</v>
      </c>
      <c r="K1386" s="6">
        <v>13.131313131313142</v>
      </c>
      <c r="L1386" t="s">
        <v>6523</v>
      </c>
      <c r="M1386" t="s">
        <v>6524</v>
      </c>
      <c r="N1386" s="4" t="s">
        <v>233</v>
      </c>
      <c r="O1386" s="4" t="s">
        <v>11086</v>
      </c>
      <c r="P1386" s="4" t="s">
        <v>13253</v>
      </c>
    </row>
    <row r="1387" spans="1:16" x14ac:dyDescent="0.35">
      <c r="A1387" t="s">
        <v>11087</v>
      </c>
      <c r="B1387" t="s">
        <v>11088</v>
      </c>
      <c r="C1387" t="s">
        <v>16</v>
      </c>
      <c r="D1387" s="6">
        <v>2292855072.9730363</v>
      </c>
      <c r="E1387" s="6">
        <v>6885855072.9730358</v>
      </c>
      <c r="F1387" s="6">
        <v>6.6100001335144043</v>
      </c>
      <c r="G1387" s="6">
        <v>6.3299999237060547</v>
      </c>
      <c r="H1387" s="6" t="e">
        <v>#N/A</v>
      </c>
      <c r="I1387" s="6">
        <v>8.8708589557117357E-2</v>
      </c>
      <c r="J1387" s="6">
        <v>9279000000</v>
      </c>
      <c r="K1387" s="6">
        <v>-147.31182795698922</v>
      </c>
      <c r="L1387" t="s">
        <v>6547</v>
      </c>
      <c r="M1387" t="s">
        <v>6814</v>
      </c>
      <c r="N1387" s="4" t="s">
        <v>11089</v>
      </c>
      <c r="O1387" s="4" t="s">
        <v>11090</v>
      </c>
      <c r="P1387" s="4" t="s">
        <v>233</v>
      </c>
    </row>
    <row r="1388" spans="1:16" x14ac:dyDescent="0.35">
      <c r="A1388" t="s">
        <v>11091</v>
      </c>
      <c r="B1388" t="s">
        <v>11092</v>
      </c>
      <c r="C1388" t="s">
        <v>16</v>
      </c>
      <c r="D1388" s="6">
        <v>2357673520.1241188</v>
      </c>
      <c r="E1388" s="6">
        <v>4242973520.1241188</v>
      </c>
      <c r="F1388" s="6">
        <v>33.479999542236328</v>
      </c>
      <c r="G1388" s="6">
        <v>33.580001831054688</v>
      </c>
      <c r="H1388" s="6">
        <v>15.603255777928721</v>
      </c>
      <c r="I1388" s="6">
        <v>-0.26852764255746908</v>
      </c>
      <c r="J1388" s="6">
        <v>3116400000</v>
      </c>
      <c r="K1388" s="6" t="e">
        <v>#N/A</v>
      </c>
      <c r="L1388" t="s">
        <v>6547</v>
      </c>
      <c r="M1388" t="s">
        <v>6668</v>
      </c>
      <c r="N1388" s="4" t="s">
        <v>11093</v>
      </c>
      <c r="O1388" s="4" t="s">
        <v>11094</v>
      </c>
      <c r="P1388" s="4" t="s">
        <v>233</v>
      </c>
    </row>
    <row r="1389" spans="1:16" x14ac:dyDescent="0.35">
      <c r="A1389" t="s">
        <v>11095</v>
      </c>
      <c r="B1389" t="s">
        <v>11096</v>
      </c>
      <c r="C1389" t="s">
        <v>16</v>
      </c>
      <c r="D1389" s="6">
        <v>1108197602.177681</v>
      </c>
      <c r="E1389" s="6">
        <v>1079755602.177681</v>
      </c>
      <c r="F1389" s="6">
        <v>16.479999542236328</v>
      </c>
      <c r="G1389" s="6">
        <v>16.790000915527344</v>
      </c>
      <c r="H1389" s="6">
        <v>33.768968493707924</v>
      </c>
      <c r="I1389" s="6">
        <v>-0.21769032390882748</v>
      </c>
      <c r="J1389" s="6">
        <v>508800000</v>
      </c>
      <c r="K1389" s="6" t="e">
        <v>#N/A</v>
      </c>
      <c r="L1389" t="s">
        <v>6523</v>
      </c>
      <c r="M1389" t="s">
        <v>6588</v>
      </c>
      <c r="N1389" s="4" t="s">
        <v>11097</v>
      </c>
      <c r="O1389" s="4" t="s">
        <v>11098</v>
      </c>
      <c r="P1389" s="4" t="s">
        <v>233</v>
      </c>
    </row>
    <row r="1390" spans="1:16" x14ac:dyDescent="0.35">
      <c r="A1390" t="s">
        <v>11099</v>
      </c>
      <c r="B1390" t="s">
        <v>11100</v>
      </c>
      <c r="C1390" t="s">
        <v>16</v>
      </c>
      <c r="D1390" s="6">
        <v>682472285.75</v>
      </c>
      <c r="E1390" s="6">
        <v>685527285.75</v>
      </c>
      <c r="F1390" s="6">
        <v>28.25</v>
      </c>
      <c r="G1390" s="6">
        <v>27.379999160766602</v>
      </c>
      <c r="H1390" s="6">
        <v>13.341620092999355</v>
      </c>
      <c r="I1390" s="6">
        <v>8.2555048076212945E-2</v>
      </c>
      <c r="J1390" s="6">
        <v>163718000</v>
      </c>
      <c r="K1390" s="6">
        <v>-19.23383511610178</v>
      </c>
      <c r="L1390" t="s">
        <v>6540</v>
      </c>
      <c r="M1390" t="s">
        <v>6797</v>
      </c>
      <c r="N1390" s="4" t="s">
        <v>11101</v>
      </c>
      <c r="O1390" s="4" t="s">
        <v>11102</v>
      </c>
      <c r="P1390" s="4" t="s">
        <v>233</v>
      </c>
    </row>
    <row r="1391" spans="1:16" x14ac:dyDescent="0.35">
      <c r="A1391" t="s">
        <v>11104</v>
      </c>
      <c r="B1391" t="s">
        <v>11105</v>
      </c>
      <c r="C1391" t="s">
        <v>16</v>
      </c>
      <c r="D1391" s="6">
        <v>388240737.52378851</v>
      </c>
      <c r="E1391" s="6" t="e">
        <v>#N/A</v>
      </c>
      <c r="F1391" s="6">
        <v>24.139999389648438</v>
      </c>
      <c r="G1391" s="6">
        <v>24.790000915527344</v>
      </c>
      <c r="H1391" s="6" t="e">
        <v>#N/A</v>
      </c>
      <c r="I1391" s="6">
        <v>0.41031448986724683</v>
      </c>
      <c r="J1391" s="6">
        <v>119913000</v>
      </c>
      <c r="K1391" s="6" t="e">
        <v>#N/A</v>
      </c>
      <c r="L1391" t="s">
        <v>6529</v>
      </c>
      <c r="M1391" t="s">
        <v>6530</v>
      </c>
      <c r="N1391" s="4" t="s">
        <v>11106</v>
      </c>
      <c r="O1391" s="4" t="s">
        <v>11107</v>
      </c>
      <c r="P1391" s="4" t="s">
        <v>233</v>
      </c>
    </row>
    <row r="1392" spans="1:16" x14ac:dyDescent="0.35">
      <c r="A1392" t="s">
        <v>11103</v>
      </c>
      <c r="B1392" t="s">
        <v>5808</v>
      </c>
      <c r="C1392" t="s">
        <v>16</v>
      </c>
      <c r="D1392" s="6">
        <v>2847400804.804306</v>
      </c>
      <c r="E1392" s="6">
        <v>4681825804.804306</v>
      </c>
      <c r="F1392" s="6">
        <v>22.360000610351563</v>
      </c>
      <c r="G1392" s="6">
        <v>22.790000915527344</v>
      </c>
      <c r="H1392" s="6" t="e">
        <v>#N/A</v>
      </c>
      <c r="I1392" s="6">
        <v>-4.188634596823726E-3</v>
      </c>
      <c r="J1392" s="6" t="e">
        <v>#N/A</v>
      </c>
      <c r="K1392" s="6" t="e">
        <v>#N/A</v>
      </c>
      <c r="L1392" t="s">
        <v>17</v>
      </c>
      <c r="M1392" t="s">
        <v>40</v>
      </c>
      <c r="N1392" s="4" t="s">
        <v>5809</v>
      </c>
      <c r="O1392" s="4" t="s">
        <v>5810</v>
      </c>
      <c r="P1392" s="4" t="s">
        <v>233</v>
      </c>
    </row>
    <row r="1393" spans="1:16" x14ac:dyDescent="0.35">
      <c r="A1393" t="s">
        <v>11108</v>
      </c>
      <c r="B1393" t="s">
        <v>140</v>
      </c>
      <c r="C1393" t="s">
        <v>16</v>
      </c>
      <c r="D1393" s="6">
        <v>483919510.48603815</v>
      </c>
      <c r="E1393" s="6">
        <v>486801510.48603815</v>
      </c>
      <c r="F1393" s="6">
        <v>33.849998474121094</v>
      </c>
      <c r="G1393" s="6">
        <v>34.150001525878906</v>
      </c>
      <c r="H1393" s="6" t="e">
        <v>#N/A</v>
      </c>
      <c r="I1393" s="6">
        <v>-6.7304937195722392E-3</v>
      </c>
      <c r="J1393" s="6">
        <v>125448000</v>
      </c>
      <c r="K1393" s="6" t="e">
        <v>#N/A</v>
      </c>
      <c r="L1393" t="s">
        <v>17</v>
      </c>
      <c r="M1393" t="s">
        <v>27</v>
      </c>
      <c r="N1393" s="4" t="s">
        <v>141</v>
      </c>
      <c r="O1393" s="4" t="s">
        <v>142</v>
      </c>
      <c r="P1393" s="4" t="s">
        <v>233</v>
      </c>
    </row>
    <row r="1394" spans="1:16" x14ac:dyDescent="0.35">
      <c r="A1394" t="s">
        <v>11113</v>
      </c>
      <c r="B1394" t="s">
        <v>11114</v>
      </c>
      <c r="C1394" t="s">
        <v>16</v>
      </c>
      <c r="D1394" s="6">
        <v>859213025.38460255</v>
      </c>
      <c r="E1394" s="6">
        <v>1636462025.3846025</v>
      </c>
      <c r="F1394" s="6">
        <v>11.130000114440918</v>
      </c>
      <c r="G1394" s="6">
        <v>10.5</v>
      </c>
      <c r="H1394" s="6" t="e">
        <v>#N/A</v>
      </c>
      <c r="I1394" s="6">
        <v>2.3514148808682935</v>
      </c>
      <c r="J1394" s="6">
        <v>851914000</v>
      </c>
      <c r="K1394" s="6">
        <v>32.369110074104121</v>
      </c>
      <c r="L1394" t="s">
        <v>6529</v>
      </c>
      <c r="M1394" t="s">
        <v>6639</v>
      </c>
      <c r="N1394" s="4" t="s">
        <v>11115</v>
      </c>
      <c r="O1394" s="4" t="s">
        <v>11116</v>
      </c>
      <c r="P1394" s="4" t="s">
        <v>233</v>
      </c>
    </row>
    <row r="1395" spans="1:16" x14ac:dyDescent="0.35">
      <c r="A1395" t="s">
        <v>11117</v>
      </c>
      <c r="B1395" t="s">
        <v>11118</v>
      </c>
      <c r="C1395" t="s">
        <v>16</v>
      </c>
      <c r="D1395" s="6">
        <v>419380191.74134064</v>
      </c>
      <c r="E1395" s="6">
        <v>1252381166.7413406</v>
      </c>
      <c r="F1395" s="6">
        <v>11.590000152587891</v>
      </c>
      <c r="G1395" s="6">
        <v>11.119999885559082</v>
      </c>
      <c r="H1395" s="6" t="e">
        <v>#N/A</v>
      </c>
      <c r="I1395" s="6">
        <v>-0.12281543086741287</v>
      </c>
      <c r="J1395" s="6">
        <v>88572000</v>
      </c>
      <c r="K1395" s="6">
        <v>9.8166685177986537</v>
      </c>
      <c r="L1395" t="s">
        <v>6623</v>
      </c>
      <c r="M1395" t="s">
        <v>7539</v>
      </c>
      <c r="N1395" s="4" t="s">
        <v>11119</v>
      </c>
      <c r="O1395" s="4" t="s">
        <v>11120</v>
      </c>
      <c r="P1395" s="4" t="s">
        <v>233</v>
      </c>
    </row>
    <row r="1396" spans="1:16" x14ac:dyDescent="0.35">
      <c r="A1396" t="s">
        <v>11109</v>
      </c>
      <c r="B1396" t="s">
        <v>11110</v>
      </c>
      <c r="C1396" t="s">
        <v>16</v>
      </c>
      <c r="D1396" s="6">
        <v>1095019861.0711641</v>
      </c>
      <c r="E1396" s="6" t="e">
        <v>#N/A</v>
      </c>
      <c r="F1396" s="6">
        <v>12.289999961853027</v>
      </c>
      <c r="G1396" s="6">
        <v>12.359999656677246</v>
      </c>
      <c r="H1396" s="6">
        <v>15.226149781027186</v>
      </c>
      <c r="I1396" s="6">
        <v>0.25415713422650854</v>
      </c>
      <c r="J1396" s="6">
        <v>654136000</v>
      </c>
      <c r="K1396" s="6">
        <v>-9.4117647058823497</v>
      </c>
      <c r="L1396" t="s">
        <v>6529</v>
      </c>
      <c r="M1396" t="s">
        <v>6530</v>
      </c>
      <c r="N1396" s="4" t="s">
        <v>11111</v>
      </c>
      <c r="O1396" s="4" t="s">
        <v>11112</v>
      </c>
      <c r="P1396" s="4" t="s">
        <v>233</v>
      </c>
    </row>
    <row r="1397" spans="1:16" x14ac:dyDescent="0.35">
      <c r="A1397" t="s">
        <v>11125</v>
      </c>
      <c r="B1397" t="s">
        <v>11126</v>
      </c>
      <c r="C1397" t="s">
        <v>16</v>
      </c>
      <c r="D1397" s="6">
        <v>1806941961.6344259</v>
      </c>
      <c r="E1397" s="6">
        <v>2745609961.6344261</v>
      </c>
      <c r="F1397" s="6">
        <v>14.270000457763672</v>
      </c>
      <c r="G1397" s="6">
        <v>14.75</v>
      </c>
      <c r="H1397" s="6">
        <v>13.470041625696791</v>
      </c>
      <c r="I1397" s="6">
        <v>-5.5000107604828763E-2</v>
      </c>
      <c r="J1397" s="6">
        <v>1135761000</v>
      </c>
      <c r="K1397" s="6">
        <v>-16.250529324258867</v>
      </c>
      <c r="L1397" t="s">
        <v>6523</v>
      </c>
      <c r="M1397" t="s">
        <v>6524</v>
      </c>
      <c r="N1397" s="4" t="s">
        <v>11127</v>
      </c>
      <c r="O1397" s="4" t="s">
        <v>11128</v>
      </c>
      <c r="P1397" s="4" t="s">
        <v>233</v>
      </c>
    </row>
    <row r="1398" spans="1:16" x14ac:dyDescent="0.35">
      <c r="A1398" t="s">
        <v>11121</v>
      </c>
      <c r="B1398" t="s">
        <v>11122</v>
      </c>
      <c r="C1398" t="s">
        <v>16</v>
      </c>
      <c r="D1398" s="6">
        <v>671780834.74848163</v>
      </c>
      <c r="E1398" s="6" t="e">
        <v>#N/A</v>
      </c>
      <c r="F1398" s="6">
        <v>59.569999694824219</v>
      </c>
      <c r="G1398" s="6">
        <v>60.919998168945313</v>
      </c>
      <c r="H1398" s="6">
        <v>13.010427713679778</v>
      </c>
      <c r="I1398" s="6">
        <v>0.36876664683554061</v>
      </c>
      <c r="J1398" s="6">
        <v>292884000</v>
      </c>
      <c r="K1398" s="6">
        <v>19.843342036553505</v>
      </c>
      <c r="L1398" t="s">
        <v>6529</v>
      </c>
      <c r="M1398" t="s">
        <v>6530</v>
      </c>
      <c r="N1398" s="4" t="s">
        <v>11123</v>
      </c>
      <c r="O1398" s="4" t="s">
        <v>11124</v>
      </c>
      <c r="P1398" s="4" t="s">
        <v>233</v>
      </c>
    </row>
    <row r="1399" spans="1:16" x14ac:dyDescent="0.35">
      <c r="A1399" t="s">
        <v>11129</v>
      </c>
      <c r="B1399" t="s">
        <v>11130</v>
      </c>
      <c r="C1399" t="s">
        <v>16</v>
      </c>
      <c r="D1399" s="6">
        <v>2731606583.2098656</v>
      </c>
      <c r="E1399" s="6">
        <v>3138346583.2098656</v>
      </c>
      <c r="F1399" s="6">
        <v>45.770000457763672</v>
      </c>
      <c r="G1399" s="6">
        <v>45.970001220703125</v>
      </c>
      <c r="H1399" s="6" t="e">
        <v>#N/A</v>
      </c>
      <c r="I1399" s="6">
        <v>0.53001014965594351</v>
      </c>
      <c r="J1399" s="6">
        <v>884377000</v>
      </c>
      <c r="K1399" s="6">
        <v>-4.6979865771812124</v>
      </c>
      <c r="L1399" t="s">
        <v>6547</v>
      </c>
      <c r="M1399" t="s">
        <v>6843</v>
      </c>
      <c r="N1399" s="4" t="s">
        <v>11131</v>
      </c>
      <c r="O1399" s="4" t="s">
        <v>11132</v>
      </c>
      <c r="P1399" s="4" t="s">
        <v>233</v>
      </c>
    </row>
    <row r="1400" spans="1:16" x14ac:dyDescent="0.35">
      <c r="A1400" t="s">
        <v>11133</v>
      </c>
      <c r="B1400" t="s">
        <v>4303</v>
      </c>
      <c r="C1400" t="s">
        <v>16</v>
      </c>
      <c r="D1400" s="6">
        <v>1546159051.5748968</v>
      </c>
      <c r="E1400" s="6">
        <v>1423776051.5748968</v>
      </c>
      <c r="F1400" s="6">
        <v>13.210000038146973</v>
      </c>
      <c r="G1400" s="6">
        <v>11.149999618530273</v>
      </c>
      <c r="H1400" s="6" t="e">
        <v>#N/A</v>
      </c>
      <c r="I1400" s="6">
        <v>0.97092177518728628</v>
      </c>
      <c r="J1400" s="6">
        <v>138708000</v>
      </c>
      <c r="K1400" s="6">
        <v>59.12761431994857</v>
      </c>
      <c r="L1400" t="s">
        <v>17</v>
      </c>
      <c r="M1400" t="s">
        <v>18</v>
      </c>
      <c r="N1400" s="4" t="s">
        <v>4304</v>
      </c>
      <c r="O1400" s="4" t="s">
        <v>4305</v>
      </c>
      <c r="P1400" s="4" t="s">
        <v>233</v>
      </c>
    </row>
    <row r="1401" spans="1:16" x14ac:dyDescent="0.35">
      <c r="A1401" t="s">
        <v>11134</v>
      </c>
      <c r="B1401" t="s">
        <v>3442</v>
      </c>
      <c r="C1401" t="s">
        <v>16</v>
      </c>
      <c r="D1401" s="6">
        <v>241445094.28760147</v>
      </c>
      <c r="E1401" s="6">
        <v>-58567905.712398589</v>
      </c>
      <c r="F1401" s="6">
        <v>4.4200000762939453</v>
      </c>
      <c r="G1401" s="6">
        <v>4.2399997711181641</v>
      </c>
      <c r="H1401" s="6">
        <v>6.1953527514569524</v>
      </c>
      <c r="I1401" s="6">
        <v>-0.4243572331529033</v>
      </c>
      <c r="J1401" s="6">
        <v>163784000</v>
      </c>
      <c r="K1401" s="6">
        <v>-44.776119402985067</v>
      </c>
      <c r="L1401" t="s">
        <v>17</v>
      </c>
      <c r="M1401" t="s">
        <v>18</v>
      </c>
      <c r="N1401" s="4" t="s">
        <v>3443</v>
      </c>
      <c r="O1401" s="4" t="s">
        <v>3444</v>
      </c>
      <c r="P1401" s="4" t="s">
        <v>233</v>
      </c>
    </row>
    <row r="1402" spans="1:16" x14ac:dyDescent="0.35">
      <c r="A1402" t="s">
        <v>11139</v>
      </c>
      <c r="B1402" t="s">
        <v>11140</v>
      </c>
      <c r="C1402" t="s">
        <v>16</v>
      </c>
      <c r="D1402" s="6">
        <v>913110281.91626346</v>
      </c>
      <c r="E1402" s="6">
        <v>607291281.91626346</v>
      </c>
      <c r="F1402" s="6">
        <v>44.740001678466797</v>
      </c>
      <c r="G1402" s="6">
        <v>44.919998168945313</v>
      </c>
      <c r="H1402" s="6">
        <v>14.449196793423905</v>
      </c>
      <c r="I1402" s="6">
        <v>0.47000746180296415</v>
      </c>
      <c r="J1402" s="6">
        <v>1092180000</v>
      </c>
      <c r="K1402" s="6">
        <v>-31.182795698924735</v>
      </c>
      <c r="L1402" t="s">
        <v>6547</v>
      </c>
      <c r="M1402" t="s">
        <v>6548</v>
      </c>
      <c r="N1402" s="4" t="s">
        <v>11141</v>
      </c>
      <c r="O1402" s="4" t="s">
        <v>11142</v>
      </c>
      <c r="P1402" s="4" t="s">
        <v>233</v>
      </c>
    </row>
    <row r="1403" spans="1:16" x14ac:dyDescent="0.35">
      <c r="A1403" t="s">
        <v>11135</v>
      </c>
      <c r="B1403" t="s">
        <v>11136</v>
      </c>
      <c r="C1403" t="s">
        <v>16</v>
      </c>
      <c r="D1403" s="6">
        <v>309065800.43201452</v>
      </c>
      <c r="E1403" s="6" t="e">
        <v>#N/A</v>
      </c>
      <c r="F1403" s="6">
        <v>27.790000915527344</v>
      </c>
      <c r="G1403" s="6">
        <v>28.540000915527344</v>
      </c>
      <c r="H1403" s="6">
        <v>13.233333769298735</v>
      </c>
      <c r="I1403" s="6">
        <v>0.37503525943607041</v>
      </c>
      <c r="J1403" s="6">
        <v>138087000</v>
      </c>
      <c r="K1403" s="6">
        <v>-7.4889867841409661</v>
      </c>
      <c r="L1403" t="s">
        <v>6529</v>
      </c>
      <c r="M1403" t="s">
        <v>6530</v>
      </c>
      <c r="N1403" s="4" t="s">
        <v>11137</v>
      </c>
      <c r="O1403" s="4" t="s">
        <v>11138</v>
      </c>
      <c r="P1403" s="4" t="s">
        <v>233</v>
      </c>
    </row>
    <row r="1404" spans="1:16" x14ac:dyDescent="0.35">
      <c r="A1404" t="s">
        <v>11143</v>
      </c>
      <c r="B1404" t="s">
        <v>11144</v>
      </c>
      <c r="C1404" t="s">
        <v>16</v>
      </c>
      <c r="D1404" s="6">
        <v>669638891.09270668</v>
      </c>
      <c r="E1404" s="6">
        <v>1851419891.0927067</v>
      </c>
      <c r="F1404" s="6">
        <v>29.489999771118164</v>
      </c>
      <c r="G1404" s="6">
        <v>29.840000152587891</v>
      </c>
      <c r="H1404" s="6">
        <v>15.205216163169741</v>
      </c>
      <c r="I1404" s="6">
        <v>-8.7333413540256144E-2</v>
      </c>
      <c r="J1404" s="6">
        <v>2372195000</v>
      </c>
      <c r="K1404" s="6">
        <v>-40.19370460048426</v>
      </c>
      <c r="L1404" t="s">
        <v>6540</v>
      </c>
      <c r="M1404" t="s">
        <v>6541</v>
      </c>
      <c r="N1404" s="4" t="s">
        <v>11145</v>
      </c>
      <c r="O1404" s="4" t="s">
        <v>11146</v>
      </c>
      <c r="P1404" s="4" t="s">
        <v>233</v>
      </c>
    </row>
    <row r="1405" spans="1:16" x14ac:dyDescent="0.35">
      <c r="A1405" t="s">
        <v>11147</v>
      </c>
      <c r="B1405" t="s">
        <v>4970</v>
      </c>
      <c r="C1405" t="s">
        <v>16</v>
      </c>
      <c r="D1405" s="6">
        <v>611757286.94844055</v>
      </c>
      <c r="E1405" s="6">
        <v>599284286.94844055</v>
      </c>
      <c r="F1405" s="6">
        <v>9.8199996948242188</v>
      </c>
      <c r="G1405" s="6">
        <v>9.7899999618530273</v>
      </c>
      <c r="H1405" s="6" t="e">
        <v>#N/A</v>
      </c>
      <c r="I1405" s="6">
        <v>-0.38002079751673967</v>
      </c>
      <c r="J1405" s="6">
        <v>202861000</v>
      </c>
      <c r="K1405" s="6">
        <v>-25.316455696202539</v>
      </c>
      <c r="L1405" t="s">
        <v>17</v>
      </c>
      <c r="M1405" t="s">
        <v>27</v>
      </c>
      <c r="N1405" s="4" t="s">
        <v>4971</v>
      </c>
      <c r="O1405" s="4" t="s">
        <v>4972</v>
      </c>
      <c r="P1405" s="4" t="s">
        <v>233</v>
      </c>
    </row>
    <row r="1406" spans="1:16" x14ac:dyDescent="0.35">
      <c r="A1406" t="s">
        <v>11148</v>
      </c>
      <c r="B1406" t="s">
        <v>11149</v>
      </c>
      <c r="C1406" t="s">
        <v>16</v>
      </c>
      <c r="D1406" s="6">
        <v>3579874192.2877202</v>
      </c>
      <c r="E1406" s="6">
        <v>4777374192.2877197</v>
      </c>
      <c r="F1406" s="6">
        <v>9.1800003051757813</v>
      </c>
      <c r="G1406" s="6">
        <v>8.5500001907348633</v>
      </c>
      <c r="H1406" s="6" t="e">
        <v>#N/A</v>
      </c>
      <c r="I1406" s="6">
        <v>0.90515662753327031</v>
      </c>
      <c r="J1406" s="6">
        <v>2621200000</v>
      </c>
      <c r="K1406" s="6">
        <v>68.571428571428584</v>
      </c>
      <c r="L1406" t="s">
        <v>6540</v>
      </c>
      <c r="M1406" t="s">
        <v>6571</v>
      </c>
      <c r="N1406" s="4" t="s">
        <v>11150</v>
      </c>
      <c r="O1406" s="4" t="s">
        <v>11151</v>
      </c>
      <c r="P1406" s="4" t="s">
        <v>233</v>
      </c>
    </row>
    <row r="1407" spans="1:16" x14ac:dyDescent="0.35">
      <c r="A1407" t="s">
        <v>11152</v>
      </c>
      <c r="B1407" t="s">
        <v>11153</v>
      </c>
      <c r="C1407" t="s">
        <v>16</v>
      </c>
      <c r="D1407" s="6">
        <v>774684630.4463625</v>
      </c>
      <c r="E1407" s="6">
        <v>1027383630.4463625</v>
      </c>
      <c r="F1407" s="6">
        <v>6.6999998092651367</v>
      </c>
      <c r="G1407" s="6">
        <v>6.5399999618530273</v>
      </c>
      <c r="H1407" s="6">
        <v>60.4627640441932</v>
      </c>
      <c r="I1407" s="6">
        <v>1.1991937799769534</v>
      </c>
      <c r="J1407" s="6">
        <v>512114000</v>
      </c>
      <c r="K1407" s="6" t="e">
        <v>#N/A</v>
      </c>
      <c r="L1407" t="s">
        <v>6540</v>
      </c>
      <c r="M1407" t="s">
        <v>6571</v>
      </c>
      <c r="N1407" s="4" t="s">
        <v>11154</v>
      </c>
      <c r="O1407" s="4" t="s">
        <v>11155</v>
      </c>
      <c r="P1407" s="4" t="s">
        <v>233</v>
      </c>
    </row>
    <row r="1408" spans="1:16" x14ac:dyDescent="0.35">
      <c r="A1408" t="s">
        <v>11156</v>
      </c>
      <c r="B1408" t="s">
        <v>11157</v>
      </c>
      <c r="C1408" t="s">
        <v>16</v>
      </c>
      <c r="D1408" s="6">
        <v>1054426621.5516584</v>
      </c>
      <c r="E1408" s="6" t="e">
        <v>#N/A</v>
      </c>
      <c r="F1408" s="6">
        <v>18.909999847412109</v>
      </c>
      <c r="G1408" s="6">
        <v>18.979999542236328</v>
      </c>
      <c r="H1408" s="6" t="e">
        <v>#N/A</v>
      </c>
      <c r="I1408" s="6">
        <v>0.1391009568488879</v>
      </c>
      <c r="J1408" s="6" t="e">
        <v>#N/A</v>
      </c>
      <c r="K1408" s="6">
        <v>72.58064516129032</v>
      </c>
      <c r="L1408" t="s">
        <v>6529</v>
      </c>
      <c r="M1408" t="s">
        <v>8169</v>
      </c>
      <c r="N1408" s="4" t="s">
        <v>11158</v>
      </c>
      <c r="O1408" s="4" t="s">
        <v>11159</v>
      </c>
      <c r="P1408" s="4" t="s">
        <v>233</v>
      </c>
    </row>
    <row r="1409" spans="1:16" x14ac:dyDescent="0.35">
      <c r="A1409" t="s">
        <v>11160</v>
      </c>
      <c r="B1409" t="s">
        <v>11161</v>
      </c>
      <c r="C1409" t="s">
        <v>16</v>
      </c>
      <c r="D1409" s="6">
        <v>2010319463.9126284</v>
      </c>
      <c r="E1409" s="6">
        <v>2008132463.9126284</v>
      </c>
      <c r="F1409" s="6">
        <v>5.7800002098083496</v>
      </c>
      <c r="G1409" s="6">
        <v>5.5300002098083496</v>
      </c>
      <c r="H1409" s="6" t="e">
        <v>#N/A</v>
      </c>
      <c r="I1409" s="6">
        <v>0.48045907906673002</v>
      </c>
      <c r="J1409" s="6">
        <v>152466000</v>
      </c>
      <c r="K1409" s="6">
        <v>61.844204232343849</v>
      </c>
      <c r="L1409" t="s">
        <v>6518</v>
      </c>
      <c r="M1409" t="s">
        <v>6519</v>
      </c>
      <c r="N1409" s="4" t="s">
        <v>11162</v>
      </c>
      <c r="O1409" s="4" t="s">
        <v>11163</v>
      </c>
      <c r="P1409" s="4" t="s">
        <v>233</v>
      </c>
    </row>
    <row r="1410" spans="1:16" x14ac:dyDescent="0.35">
      <c r="A1410" t="s">
        <v>11168</v>
      </c>
      <c r="B1410" t="s">
        <v>11169</v>
      </c>
      <c r="C1410" t="s">
        <v>16</v>
      </c>
      <c r="D1410" s="6">
        <v>1124975911.4194031</v>
      </c>
      <c r="E1410" s="6">
        <v>11985736911.419403</v>
      </c>
      <c r="F1410" s="6">
        <v>13.909999847412109</v>
      </c>
      <c r="G1410" s="6">
        <v>14.140000343322754</v>
      </c>
      <c r="H1410" s="6">
        <v>10.780730971864005</v>
      </c>
      <c r="I1410" s="6">
        <v>7.3228128117378777E-2</v>
      </c>
      <c r="J1410" s="6">
        <v>770477000</v>
      </c>
      <c r="K1410" s="6">
        <v>62.318840579693926</v>
      </c>
      <c r="L1410" t="s">
        <v>6529</v>
      </c>
      <c r="M1410" t="s">
        <v>8169</v>
      </c>
      <c r="N1410" s="4" t="s">
        <v>11170</v>
      </c>
      <c r="O1410" s="4" t="s">
        <v>11171</v>
      </c>
      <c r="P1410" s="4" t="s">
        <v>233</v>
      </c>
    </row>
    <row r="1411" spans="1:16" x14ac:dyDescent="0.35">
      <c r="A1411" t="s">
        <v>11164</v>
      </c>
      <c r="B1411" t="s">
        <v>11165</v>
      </c>
      <c r="C1411" t="s">
        <v>16</v>
      </c>
      <c r="D1411" s="6">
        <v>1871652216.0469754</v>
      </c>
      <c r="E1411" s="6">
        <v>1860928216.0469754</v>
      </c>
      <c r="F1411" s="6">
        <v>4.8499999046325684</v>
      </c>
      <c r="G1411" s="6">
        <v>4.7399997711181641</v>
      </c>
      <c r="H1411" s="6" t="e">
        <v>#N/A</v>
      </c>
      <c r="I1411" s="6">
        <v>1.0296031321316272</v>
      </c>
      <c r="J1411" s="6">
        <v>128351000</v>
      </c>
      <c r="K1411" s="6">
        <v>68.465951044377661</v>
      </c>
      <c r="L1411" t="s">
        <v>6518</v>
      </c>
      <c r="M1411" t="s">
        <v>6519</v>
      </c>
      <c r="N1411" s="4" t="s">
        <v>11166</v>
      </c>
      <c r="O1411" s="4" t="s">
        <v>11167</v>
      </c>
      <c r="P1411" s="4" t="s">
        <v>233</v>
      </c>
    </row>
    <row r="1412" spans="1:16" x14ac:dyDescent="0.35">
      <c r="A1412" t="s">
        <v>11172</v>
      </c>
      <c r="B1412" t="s">
        <v>11173</v>
      </c>
      <c r="C1412" t="s">
        <v>16</v>
      </c>
      <c r="D1412" s="6">
        <v>3424596068.8062286</v>
      </c>
      <c r="E1412" s="6">
        <v>3040529068.8062286</v>
      </c>
      <c r="F1412" s="6">
        <v>66.389999389648438</v>
      </c>
      <c r="G1412" s="6">
        <v>66.959999084472656</v>
      </c>
      <c r="H1412" s="6">
        <v>13.894542408209153</v>
      </c>
      <c r="I1412" s="6">
        <v>0.11351657721757347</v>
      </c>
      <c r="J1412" s="6">
        <v>2741517000</v>
      </c>
      <c r="K1412" s="6">
        <v>139.7759821123193</v>
      </c>
      <c r="L1412" t="s">
        <v>6547</v>
      </c>
      <c r="M1412" t="s">
        <v>6548</v>
      </c>
      <c r="N1412" s="4" t="s">
        <v>11174</v>
      </c>
      <c r="O1412" s="4" t="s">
        <v>11175</v>
      </c>
      <c r="P1412" s="4" t="s">
        <v>233</v>
      </c>
    </row>
    <row r="1413" spans="1:16" x14ac:dyDescent="0.35">
      <c r="A1413" t="s">
        <v>11176</v>
      </c>
      <c r="B1413" t="s">
        <v>11177</v>
      </c>
      <c r="C1413" t="s">
        <v>16</v>
      </c>
      <c r="D1413" s="6">
        <v>373819389.51873779</v>
      </c>
      <c r="E1413" s="6">
        <v>1289880389.5187378</v>
      </c>
      <c r="F1413" s="6">
        <v>16.709999084472656</v>
      </c>
      <c r="G1413" s="6">
        <v>16.540000915527344</v>
      </c>
      <c r="H1413" s="6" t="e">
        <v>#N/A</v>
      </c>
      <c r="I1413" s="6">
        <v>0.41356149748498616</v>
      </c>
      <c r="J1413" s="6">
        <v>1734997000</v>
      </c>
      <c r="K1413" s="6" t="e">
        <v>#N/A</v>
      </c>
      <c r="L1413" t="s">
        <v>6540</v>
      </c>
      <c r="M1413" t="s">
        <v>6541</v>
      </c>
      <c r="N1413" s="4" t="s">
        <v>11178</v>
      </c>
      <c r="O1413" s="4" t="s">
        <v>11179</v>
      </c>
      <c r="P1413" s="4" t="s">
        <v>233</v>
      </c>
    </row>
    <row r="1414" spans="1:16" x14ac:dyDescent="0.35">
      <c r="A1414" t="s">
        <v>11180</v>
      </c>
      <c r="B1414" t="s">
        <v>11181</v>
      </c>
      <c r="C1414" t="s">
        <v>16</v>
      </c>
      <c r="D1414" s="6">
        <v>1496664668.0393932</v>
      </c>
      <c r="E1414" s="6">
        <v>1270664668.0393932</v>
      </c>
      <c r="F1414" s="6">
        <v>14.140000343322754</v>
      </c>
      <c r="G1414" s="6">
        <v>14.270000457763672</v>
      </c>
      <c r="H1414" s="6">
        <v>6.6527215197764384</v>
      </c>
      <c r="I1414" s="6">
        <v>0.41832011325641494</v>
      </c>
      <c r="J1414" s="6">
        <v>2357000000</v>
      </c>
      <c r="K1414" s="6">
        <v>58.823529411764717</v>
      </c>
      <c r="L1414" t="s">
        <v>6547</v>
      </c>
      <c r="M1414" t="s">
        <v>6875</v>
      </c>
      <c r="N1414" s="4" t="s">
        <v>11182</v>
      </c>
      <c r="O1414" s="4" t="s">
        <v>11183</v>
      </c>
      <c r="P1414" s="4" t="s">
        <v>233</v>
      </c>
    </row>
    <row r="1415" spans="1:16" x14ac:dyDescent="0.35">
      <c r="A1415" t="s">
        <v>11184</v>
      </c>
      <c r="B1415" t="s">
        <v>11185</v>
      </c>
      <c r="C1415" t="s">
        <v>16</v>
      </c>
      <c r="D1415" s="6">
        <v>275690532.3715362</v>
      </c>
      <c r="E1415" s="6" t="e">
        <v>#N/A</v>
      </c>
      <c r="F1415" s="6">
        <v>19.360000610351563</v>
      </c>
      <c r="G1415" s="6">
        <v>19.299999237060547</v>
      </c>
      <c r="H1415" s="6">
        <v>16.133333841959637</v>
      </c>
      <c r="I1415" s="6">
        <v>5.7893097090381485E-2</v>
      </c>
      <c r="J1415" s="6">
        <v>112404000</v>
      </c>
      <c r="K1415" s="6">
        <v>233.33333333333334</v>
      </c>
      <c r="L1415" t="s">
        <v>6529</v>
      </c>
      <c r="M1415" t="s">
        <v>6530</v>
      </c>
      <c r="N1415" s="4" t="s">
        <v>11186</v>
      </c>
      <c r="O1415" s="4" t="s">
        <v>11187</v>
      </c>
      <c r="P1415" s="4" t="s">
        <v>233</v>
      </c>
    </row>
    <row r="1416" spans="1:16" x14ac:dyDescent="0.35">
      <c r="A1416" t="s">
        <v>11188</v>
      </c>
      <c r="B1416" t="s">
        <v>11189</v>
      </c>
      <c r="C1416" t="s">
        <v>16</v>
      </c>
      <c r="D1416" s="6">
        <v>1440600000.0000002</v>
      </c>
      <c r="E1416" s="6">
        <v>1031749000.0000002</v>
      </c>
      <c r="F1416" s="6">
        <v>42</v>
      </c>
      <c r="G1416" s="6">
        <v>42</v>
      </c>
      <c r="H1416" s="6">
        <v>3.6944649350416303</v>
      </c>
      <c r="I1416" s="6">
        <v>-0.25558981402102265</v>
      </c>
      <c r="J1416" s="6">
        <v>1191502000</v>
      </c>
      <c r="K1416" s="6">
        <v>-23.445273631840795</v>
      </c>
      <c r="L1416" t="s">
        <v>6523</v>
      </c>
      <c r="M1416" t="s">
        <v>6524</v>
      </c>
      <c r="N1416" s="4" t="s">
        <v>233</v>
      </c>
      <c r="O1416" s="4" t="s">
        <v>11190</v>
      </c>
      <c r="P1416" s="4" t="s">
        <v>13254</v>
      </c>
    </row>
    <row r="1417" spans="1:16" x14ac:dyDescent="0.35">
      <c r="A1417" t="s">
        <v>11191</v>
      </c>
      <c r="B1417" t="s">
        <v>11192</v>
      </c>
      <c r="C1417" t="s">
        <v>16</v>
      </c>
      <c r="D1417" s="6">
        <v>382264107.73350906</v>
      </c>
      <c r="E1417" s="6">
        <v>786847507.73350906</v>
      </c>
      <c r="F1417" s="6">
        <v>3.5799999237060547</v>
      </c>
      <c r="G1417" s="6">
        <v>3.6099998950958252</v>
      </c>
      <c r="H1417" s="6">
        <v>4.9037668925952493</v>
      </c>
      <c r="I1417" s="6">
        <v>-0.10787224910052751</v>
      </c>
      <c r="J1417" s="6">
        <v>318429000</v>
      </c>
      <c r="K1417" s="6">
        <v>34.328358208955201</v>
      </c>
      <c r="L1417" t="s">
        <v>6547</v>
      </c>
      <c r="M1417" t="s">
        <v>7658</v>
      </c>
      <c r="N1417" s="4" t="s">
        <v>233</v>
      </c>
      <c r="O1417" s="4" t="s">
        <v>11193</v>
      </c>
      <c r="P1417" s="4" t="s">
        <v>13255</v>
      </c>
    </row>
    <row r="1418" spans="1:16" x14ac:dyDescent="0.35">
      <c r="A1418" t="s">
        <v>11194</v>
      </c>
      <c r="B1418" t="s">
        <v>11195</v>
      </c>
      <c r="C1418" t="s">
        <v>16</v>
      </c>
      <c r="D1418" s="6">
        <v>1274308387.8167725</v>
      </c>
      <c r="E1418" s="6">
        <v>3813754387.8167725</v>
      </c>
      <c r="F1418" s="6">
        <v>33.400001525878906</v>
      </c>
      <c r="G1418" s="6">
        <v>34.330001831054688</v>
      </c>
      <c r="H1418" s="6">
        <v>5.4600226682277713</v>
      </c>
      <c r="I1418" s="6">
        <v>-0.25568839851590264</v>
      </c>
      <c r="J1418" s="6">
        <v>1862465000</v>
      </c>
      <c r="K1418" s="6">
        <v>-51.463890696161364</v>
      </c>
      <c r="L1418" t="s">
        <v>6523</v>
      </c>
      <c r="M1418" t="s">
        <v>6524</v>
      </c>
      <c r="N1418" s="4" t="s">
        <v>11196</v>
      </c>
      <c r="O1418" s="4" t="s">
        <v>11197</v>
      </c>
      <c r="P1418" s="4" t="s">
        <v>233</v>
      </c>
    </row>
    <row r="1419" spans="1:16" x14ac:dyDescent="0.35">
      <c r="A1419" t="s">
        <v>11198</v>
      </c>
      <c r="B1419" t="s">
        <v>11199</v>
      </c>
      <c r="C1419" t="s">
        <v>16</v>
      </c>
      <c r="D1419" s="6">
        <v>509527128.78008938</v>
      </c>
      <c r="E1419" s="6">
        <v>5934296128.7800894</v>
      </c>
      <c r="F1419" s="6">
        <v>8.3900003433227539</v>
      </c>
      <c r="G1419" s="6">
        <v>8.3599996566772461</v>
      </c>
      <c r="H1419" s="6">
        <v>3.3781323089645139</v>
      </c>
      <c r="I1419" s="6">
        <v>0.16621834704712724</v>
      </c>
      <c r="J1419" s="6">
        <v>343829000</v>
      </c>
      <c r="K1419" s="6" t="e">
        <v>#N/A</v>
      </c>
      <c r="L1419" t="s">
        <v>6529</v>
      </c>
      <c r="M1419" t="s">
        <v>8169</v>
      </c>
      <c r="N1419" s="4" t="s">
        <v>11200</v>
      </c>
      <c r="O1419" s="4" t="s">
        <v>11201</v>
      </c>
      <c r="P1419" s="4" t="s">
        <v>233</v>
      </c>
    </row>
    <row r="1420" spans="1:16" x14ac:dyDescent="0.35">
      <c r="A1420" t="s">
        <v>11202</v>
      </c>
      <c r="B1420" t="s">
        <v>11203</v>
      </c>
      <c r="C1420" t="s">
        <v>16</v>
      </c>
      <c r="D1420" s="6">
        <v>2261442917.2181926</v>
      </c>
      <c r="E1420" s="6">
        <v>2739061917.2181926</v>
      </c>
      <c r="F1420" s="6">
        <v>52.909999847412109</v>
      </c>
      <c r="G1420" s="6">
        <v>53.430000305175781</v>
      </c>
      <c r="H1420" s="6">
        <v>14.266216016938296</v>
      </c>
      <c r="I1420" s="6">
        <v>-0.22727105426383232</v>
      </c>
      <c r="J1420" s="6">
        <v>1378750000</v>
      </c>
      <c r="K1420" s="6">
        <v>32</v>
      </c>
      <c r="L1420" t="s">
        <v>6514</v>
      </c>
      <c r="M1420" t="s">
        <v>6578</v>
      </c>
      <c r="N1420" s="4" t="s">
        <v>11204</v>
      </c>
      <c r="O1420" s="4" t="s">
        <v>11205</v>
      </c>
      <c r="P1420" s="4" t="s">
        <v>233</v>
      </c>
    </row>
    <row r="1421" spans="1:16" x14ac:dyDescent="0.35">
      <c r="A1421" t="s">
        <v>11206</v>
      </c>
      <c r="B1421" t="s">
        <v>11207</v>
      </c>
      <c r="C1421" t="s">
        <v>16</v>
      </c>
      <c r="D1421" s="6">
        <v>863075623.93938243</v>
      </c>
      <c r="E1421" s="6">
        <v>1837212623.9393826</v>
      </c>
      <c r="F1421" s="6">
        <v>2.7899999618530273</v>
      </c>
      <c r="G1421" s="6">
        <v>2.7899999618530273</v>
      </c>
      <c r="H1421" s="6" t="e">
        <v>#N/A</v>
      </c>
      <c r="I1421" s="6">
        <v>-0.32044902315604129</v>
      </c>
      <c r="J1421" s="6">
        <v>613459000</v>
      </c>
      <c r="K1421" s="6">
        <v>65.348837209302332</v>
      </c>
      <c r="L1421" t="s">
        <v>6518</v>
      </c>
      <c r="M1421" t="s">
        <v>6519</v>
      </c>
      <c r="N1421" s="4" t="s">
        <v>11208</v>
      </c>
      <c r="O1421" s="4" t="s">
        <v>11209</v>
      </c>
      <c r="P1421" s="4" t="s">
        <v>233</v>
      </c>
    </row>
    <row r="1422" spans="1:16" x14ac:dyDescent="0.35">
      <c r="A1422" t="s">
        <v>11210</v>
      </c>
      <c r="B1422" t="s">
        <v>11211</v>
      </c>
      <c r="C1422" t="s">
        <v>16</v>
      </c>
      <c r="D1422" s="6">
        <v>311181943.32443869</v>
      </c>
      <c r="E1422" s="6">
        <v>1353092943.3244386</v>
      </c>
      <c r="F1422" s="6">
        <v>1.6799999475479126</v>
      </c>
      <c r="G1422" s="6">
        <v>1.7200000286102295</v>
      </c>
      <c r="H1422" s="6" t="e">
        <v>#N/A</v>
      </c>
      <c r="I1422" s="6">
        <v>-0.79373087472002823</v>
      </c>
      <c r="J1422" s="6">
        <v>1331389000</v>
      </c>
      <c r="K1422" s="6" t="e">
        <v>#N/A</v>
      </c>
      <c r="L1422" t="s">
        <v>6540</v>
      </c>
      <c r="M1422" t="s">
        <v>6541</v>
      </c>
      <c r="N1422" s="4" t="s">
        <v>11212</v>
      </c>
      <c r="O1422" s="4" t="s">
        <v>11213</v>
      </c>
      <c r="P1422" s="4" t="s">
        <v>233</v>
      </c>
    </row>
    <row r="1423" spans="1:16" x14ac:dyDescent="0.35">
      <c r="A1423" t="s">
        <v>11214</v>
      </c>
      <c r="B1423" t="s">
        <v>11215</v>
      </c>
      <c r="C1423" t="s">
        <v>16</v>
      </c>
      <c r="D1423" s="6">
        <v>1183046265.259552</v>
      </c>
      <c r="E1423" s="6">
        <v>11423422265.259552</v>
      </c>
      <c r="F1423" s="6">
        <v>13.619999885559082</v>
      </c>
      <c r="G1423" s="6">
        <v>13.479999542236328</v>
      </c>
      <c r="H1423" s="6">
        <v>9.9416057558825415</v>
      </c>
      <c r="I1423" s="6">
        <v>0.1008957307392333</v>
      </c>
      <c r="J1423" s="6">
        <v>1048853000.0000001</v>
      </c>
      <c r="K1423" s="6">
        <v>-24.161528195027753</v>
      </c>
      <c r="L1423" t="s">
        <v>6529</v>
      </c>
      <c r="M1423" t="s">
        <v>8169</v>
      </c>
      <c r="N1423" s="4" t="s">
        <v>11216</v>
      </c>
      <c r="O1423" s="4" t="s">
        <v>11217</v>
      </c>
      <c r="P1423" s="4" t="s">
        <v>233</v>
      </c>
    </row>
    <row r="1424" spans="1:16" x14ac:dyDescent="0.35">
      <c r="A1424" t="s">
        <v>11218</v>
      </c>
      <c r="B1424" t="s">
        <v>11219</v>
      </c>
      <c r="C1424" t="s">
        <v>16</v>
      </c>
      <c r="D1424" s="6">
        <v>1181484656.8649712</v>
      </c>
      <c r="E1424" s="6">
        <v>4484705656.8649712</v>
      </c>
      <c r="F1424" s="6">
        <v>49.869998931884766</v>
      </c>
      <c r="G1424" s="6">
        <v>49.990001678466797</v>
      </c>
      <c r="H1424" s="6">
        <v>16.785927062127708</v>
      </c>
      <c r="I1424" s="6">
        <v>-3.9747001317630093E-2</v>
      </c>
      <c r="J1424" s="6">
        <v>1328129000</v>
      </c>
      <c r="K1424" s="6">
        <v>-1897.4358974358993</v>
      </c>
      <c r="L1424" t="s">
        <v>6529</v>
      </c>
      <c r="M1424" t="s">
        <v>6646</v>
      </c>
      <c r="N1424" s="4" t="s">
        <v>11220</v>
      </c>
      <c r="O1424" s="4" t="s">
        <v>11221</v>
      </c>
      <c r="P1424" s="4" t="s">
        <v>233</v>
      </c>
    </row>
    <row r="1425" spans="1:16" x14ac:dyDescent="0.35">
      <c r="A1425" t="s">
        <v>11222</v>
      </c>
      <c r="B1425" t="s">
        <v>2776</v>
      </c>
      <c r="C1425" t="s">
        <v>16</v>
      </c>
      <c r="D1425" s="6">
        <v>403631029.65666962</v>
      </c>
      <c r="E1425" s="6">
        <v>354097029.65666962</v>
      </c>
      <c r="F1425" s="6">
        <v>16.819999694824219</v>
      </c>
      <c r="G1425" s="6">
        <v>16.680000305175781</v>
      </c>
      <c r="H1425" s="6">
        <v>25.475198326125284</v>
      </c>
      <c r="I1425" s="6">
        <v>7.798331072465281E-2</v>
      </c>
      <c r="J1425" s="6">
        <v>285051000</v>
      </c>
      <c r="K1425" s="6">
        <v>-40.366972477064223</v>
      </c>
      <c r="L1425" t="s">
        <v>17</v>
      </c>
      <c r="M1425" t="s">
        <v>27</v>
      </c>
      <c r="N1425" s="4" t="s">
        <v>2777</v>
      </c>
      <c r="O1425" s="4" t="s">
        <v>2778</v>
      </c>
      <c r="P1425" s="4" t="s">
        <v>233</v>
      </c>
    </row>
    <row r="1426" spans="1:16" x14ac:dyDescent="0.35">
      <c r="A1426" t="s">
        <v>11227</v>
      </c>
      <c r="B1426" t="s">
        <v>11228</v>
      </c>
      <c r="C1426" t="s">
        <v>16</v>
      </c>
      <c r="D1426" s="6">
        <v>1359889641.2581844</v>
      </c>
      <c r="E1426" s="6">
        <v>10562503641.258184</v>
      </c>
      <c r="F1426" s="6">
        <v>13.119999885559082</v>
      </c>
      <c r="G1426" s="6">
        <v>13.090000152587891</v>
      </c>
      <c r="H1426" s="6">
        <v>6.4271790736333703</v>
      </c>
      <c r="I1426" s="6">
        <v>0.17859821996108627</v>
      </c>
      <c r="J1426" s="6">
        <v>1138623000</v>
      </c>
      <c r="K1426" s="6" t="e">
        <v>#N/A</v>
      </c>
      <c r="L1426" t="s">
        <v>6529</v>
      </c>
      <c r="M1426" t="s">
        <v>8169</v>
      </c>
      <c r="N1426" s="4" t="s">
        <v>11229</v>
      </c>
      <c r="O1426" s="4" t="s">
        <v>11230</v>
      </c>
      <c r="P1426" s="4" t="s">
        <v>233</v>
      </c>
    </row>
    <row r="1427" spans="1:16" x14ac:dyDescent="0.35">
      <c r="A1427" t="s">
        <v>11223</v>
      </c>
      <c r="B1427" t="s">
        <v>11224</v>
      </c>
      <c r="C1427" t="s">
        <v>16</v>
      </c>
      <c r="D1427" s="6">
        <v>104273142.72412109</v>
      </c>
      <c r="E1427" s="6">
        <v>105825142.72412109</v>
      </c>
      <c r="F1427" s="6">
        <v>7.0900001525878906</v>
      </c>
      <c r="G1427" s="6">
        <v>6.75</v>
      </c>
      <c r="H1427" s="6" t="e">
        <v>#N/A</v>
      </c>
      <c r="I1427" s="6">
        <v>-0.43819546780634167</v>
      </c>
      <c r="J1427" s="6">
        <v>21886000</v>
      </c>
      <c r="K1427" s="6">
        <v>65.384615384615387</v>
      </c>
      <c r="L1427" t="s">
        <v>6518</v>
      </c>
      <c r="M1427" t="s">
        <v>6807</v>
      </c>
      <c r="N1427" s="4" t="s">
        <v>11225</v>
      </c>
      <c r="O1427" s="4" t="s">
        <v>11226</v>
      </c>
      <c r="P1427" s="4" t="s">
        <v>233</v>
      </c>
    </row>
    <row r="1428" spans="1:16" x14ac:dyDescent="0.35">
      <c r="A1428" t="s">
        <v>11231</v>
      </c>
      <c r="B1428" t="s">
        <v>11232</v>
      </c>
      <c r="C1428" t="s">
        <v>16</v>
      </c>
      <c r="D1428" s="6">
        <v>1377602195.5550306</v>
      </c>
      <c r="E1428" s="6">
        <v>7295082195.5550308</v>
      </c>
      <c r="F1428" s="6">
        <v>9.9200000762939453</v>
      </c>
      <c r="G1428" s="6">
        <v>9.8500003814697266</v>
      </c>
      <c r="H1428" s="6" t="e">
        <v>#N/A</v>
      </c>
      <c r="I1428" s="6">
        <v>2.6081861311080923E-2</v>
      </c>
      <c r="J1428" s="6">
        <v>642523000</v>
      </c>
      <c r="K1428" s="6" t="e">
        <v>#N/A</v>
      </c>
      <c r="L1428" t="s">
        <v>6529</v>
      </c>
      <c r="M1428" t="s">
        <v>8169</v>
      </c>
      <c r="N1428" s="4" t="s">
        <v>11233</v>
      </c>
      <c r="O1428" s="4" t="s">
        <v>11234</v>
      </c>
      <c r="P1428" s="4" t="s">
        <v>233</v>
      </c>
    </row>
    <row r="1429" spans="1:16" x14ac:dyDescent="0.35">
      <c r="A1429" t="s">
        <v>11235</v>
      </c>
      <c r="B1429" t="s">
        <v>11236</v>
      </c>
      <c r="C1429" t="s">
        <v>16</v>
      </c>
      <c r="D1429" s="6">
        <v>274656194.41162777</v>
      </c>
      <c r="E1429" s="6">
        <v>224215194.41162777</v>
      </c>
      <c r="F1429" s="6">
        <v>8.3000001907348633</v>
      </c>
      <c r="G1429" s="6">
        <v>8.2299995422363281</v>
      </c>
      <c r="H1429" s="6">
        <v>11.746590928143222</v>
      </c>
      <c r="I1429" s="6">
        <v>-0.36683220155622798</v>
      </c>
      <c r="J1429" s="6">
        <v>582058000</v>
      </c>
      <c r="K1429" s="6" t="e">
        <v>#N/A</v>
      </c>
      <c r="L1429" t="s">
        <v>6547</v>
      </c>
      <c r="M1429" t="s">
        <v>6548</v>
      </c>
      <c r="N1429" s="4" t="s">
        <v>11237</v>
      </c>
      <c r="O1429" s="4" t="s">
        <v>11238</v>
      </c>
      <c r="P1429" s="4" t="s">
        <v>233</v>
      </c>
    </row>
    <row r="1430" spans="1:16" x14ac:dyDescent="0.35">
      <c r="A1430" t="s">
        <v>11243</v>
      </c>
      <c r="B1430" t="s">
        <v>13024</v>
      </c>
      <c r="C1430" t="s">
        <v>16</v>
      </c>
      <c r="D1430" s="6">
        <v>7855772685.5700378</v>
      </c>
      <c r="E1430" s="6">
        <v>7623798685.5700378</v>
      </c>
      <c r="F1430" s="6">
        <v>178.55000305175781</v>
      </c>
      <c r="G1430" s="6">
        <v>175.24000549316406</v>
      </c>
      <c r="H1430" s="6">
        <v>64.356119130277904</v>
      </c>
      <c r="I1430" s="6">
        <v>0.91832537861786956</v>
      </c>
      <c r="J1430" s="6">
        <v>943872000</v>
      </c>
      <c r="K1430" s="6" t="e">
        <v>#N/A</v>
      </c>
      <c r="L1430" t="s">
        <v>6518</v>
      </c>
      <c r="M1430" t="s">
        <v>6519</v>
      </c>
      <c r="N1430" s="4" t="s">
        <v>11244</v>
      </c>
      <c r="O1430" s="4" t="s">
        <v>11245</v>
      </c>
      <c r="P1430" s="4" t="s">
        <v>233</v>
      </c>
    </row>
    <row r="1431" spans="1:16" x14ac:dyDescent="0.35">
      <c r="A1431" t="s">
        <v>11246</v>
      </c>
      <c r="B1431" t="s">
        <v>4533</v>
      </c>
      <c r="C1431" t="s">
        <v>16</v>
      </c>
      <c r="D1431" s="6">
        <v>2276499479.9239659</v>
      </c>
      <c r="E1431" s="6">
        <v>1453725479.9239659</v>
      </c>
      <c r="F1431" s="6">
        <v>35.150001525878906</v>
      </c>
      <c r="G1431" s="6">
        <v>33.560001373291016</v>
      </c>
      <c r="H1431" s="6" t="e">
        <v>#N/A</v>
      </c>
      <c r="I1431" s="6">
        <v>-3.4512934886469226E-2</v>
      </c>
      <c r="J1431" s="6">
        <v>87563000</v>
      </c>
      <c r="K1431" s="6">
        <v>18.623797909407678</v>
      </c>
      <c r="L1431" t="s">
        <v>17</v>
      </c>
      <c r="M1431" t="s">
        <v>18</v>
      </c>
      <c r="N1431" s="4" t="s">
        <v>4534</v>
      </c>
      <c r="O1431" s="4" t="s">
        <v>4535</v>
      </c>
      <c r="P1431" s="4" t="s">
        <v>233</v>
      </c>
    </row>
    <row r="1432" spans="1:16" x14ac:dyDescent="0.35">
      <c r="A1432" t="s">
        <v>11239</v>
      </c>
      <c r="B1432" t="s">
        <v>11240</v>
      </c>
      <c r="C1432" t="s">
        <v>16</v>
      </c>
      <c r="D1432" s="6">
        <v>1387065140.482338</v>
      </c>
      <c r="E1432" s="6">
        <v>1231464140.482338</v>
      </c>
      <c r="F1432" s="6">
        <v>10.810000419616699</v>
      </c>
      <c r="G1432" s="6">
        <v>10.579999923706055</v>
      </c>
      <c r="H1432" s="6" t="e">
        <v>#N/A</v>
      </c>
      <c r="I1432" s="6">
        <v>-0.69825951510600537</v>
      </c>
      <c r="J1432" s="6">
        <v>1282748000</v>
      </c>
      <c r="K1432" s="6" t="e">
        <v>#N/A</v>
      </c>
      <c r="L1432" t="s">
        <v>6514</v>
      </c>
      <c r="M1432" t="s">
        <v>6578</v>
      </c>
      <c r="N1432" s="4" t="s">
        <v>11241</v>
      </c>
      <c r="O1432" s="4" t="s">
        <v>11242</v>
      </c>
      <c r="P1432" s="4" t="s">
        <v>233</v>
      </c>
    </row>
    <row r="1433" spans="1:16" x14ac:dyDescent="0.35">
      <c r="A1433" t="s">
        <v>11247</v>
      </c>
      <c r="B1433" t="s">
        <v>4526</v>
      </c>
      <c r="C1433" t="s">
        <v>16</v>
      </c>
      <c r="D1433" s="6">
        <v>404021986.77062988</v>
      </c>
      <c r="E1433" s="6">
        <v>355119986.77062988</v>
      </c>
      <c r="F1433" s="6">
        <v>6.9899997711181641</v>
      </c>
      <c r="G1433" s="6">
        <v>6.9000000953674316</v>
      </c>
      <c r="H1433" s="6" t="e">
        <v>#N/A</v>
      </c>
      <c r="I1433" s="6">
        <v>5.2563069986104383E-2</v>
      </c>
      <c r="J1433" s="6">
        <v>10680000</v>
      </c>
      <c r="K1433" s="6">
        <v>55.361684419018715</v>
      </c>
      <c r="L1433" t="s">
        <v>17</v>
      </c>
      <c r="M1433" t="s">
        <v>40</v>
      </c>
      <c r="N1433" s="4" t="s">
        <v>233</v>
      </c>
      <c r="O1433" s="4" t="s">
        <v>4527</v>
      </c>
      <c r="P1433" s="4" t="s">
        <v>13155</v>
      </c>
    </row>
    <row r="1434" spans="1:16" x14ac:dyDescent="0.35">
      <c r="A1434" t="s">
        <v>11248</v>
      </c>
      <c r="B1434" t="s">
        <v>11249</v>
      </c>
      <c r="C1434" t="s">
        <v>16</v>
      </c>
      <c r="D1434" s="6">
        <v>340981036.36125183</v>
      </c>
      <c r="E1434" s="6" t="e">
        <v>#N/A</v>
      </c>
      <c r="F1434" s="6">
        <v>24.319999694824219</v>
      </c>
      <c r="G1434" s="6">
        <v>24.379999160766602</v>
      </c>
      <c r="H1434" s="6">
        <v>6.7957656385251228</v>
      </c>
      <c r="I1434" s="6">
        <v>0.55414422356892046</v>
      </c>
      <c r="J1434" s="6">
        <v>162796000</v>
      </c>
      <c r="K1434" s="6">
        <v>9.6385542168674796</v>
      </c>
      <c r="L1434" t="s">
        <v>6529</v>
      </c>
      <c r="M1434" t="s">
        <v>6530</v>
      </c>
      <c r="N1434" s="4" t="s">
        <v>11250</v>
      </c>
      <c r="O1434" s="4" t="s">
        <v>11251</v>
      </c>
      <c r="P1434" s="4" t="s">
        <v>233</v>
      </c>
    </row>
    <row r="1435" spans="1:16" x14ac:dyDescent="0.35">
      <c r="A1435" t="s">
        <v>11252</v>
      </c>
      <c r="B1435" t="s">
        <v>11253</v>
      </c>
      <c r="C1435" t="s">
        <v>16</v>
      </c>
      <c r="D1435" s="6">
        <v>2541737665.3144073</v>
      </c>
      <c r="E1435" s="6">
        <v>3154112665.3144073</v>
      </c>
      <c r="F1435" s="6">
        <v>47.860000610351563</v>
      </c>
      <c r="G1435" s="6">
        <v>48.319999694824219</v>
      </c>
      <c r="H1435" s="6">
        <v>4.1309167968418921</v>
      </c>
      <c r="I1435" s="6">
        <v>-0.27920300927105113</v>
      </c>
      <c r="J1435" s="6">
        <v>1376295000</v>
      </c>
      <c r="K1435" s="6">
        <v>15.177865612648221</v>
      </c>
      <c r="L1435" t="s">
        <v>6523</v>
      </c>
      <c r="M1435" t="s">
        <v>6524</v>
      </c>
      <c r="N1435" s="4" t="s">
        <v>233</v>
      </c>
      <c r="O1435" s="4" t="s">
        <v>11254</v>
      </c>
      <c r="P1435" s="4" t="s">
        <v>13256</v>
      </c>
    </row>
    <row r="1436" spans="1:16" x14ac:dyDescent="0.35">
      <c r="A1436" t="s">
        <v>11255</v>
      </c>
      <c r="B1436" t="s">
        <v>11256</v>
      </c>
      <c r="C1436" t="s">
        <v>16</v>
      </c>
      <c r="D1436" s="6">
        <v>4729872092.1271057</v>
      </c>
      <c r="E1436" s="6">
        <v>4711193092.1271057</v>
      </c>
      <c r="F1436" s="6">
        <v>167.69999694824219</v>
      </c>
      <c r="G1436" s="6">
        <v>175.27000427246094</v>
      </c>
      <c r="H1436" s="6">
        <v>88.911838342815955</v>
      </c>
      <c r="I1436" s="6">
        <v>0.32613452292621314</v>
      </c>
      <c r="J1436" s="6">
        <v>761498000</v>
      </c>
      <c r="K1436" s="6" t="e">
        <v>#N/A</v>
      </c>
      <c r="L1436" t="s">
        <v>6547</v>
      </c>
      <c r="M1436" t="s">
        <v>6843</v>
      </c>
      <c r="N1436" s="4" t="s">
        <v>11257</v>
      </c>
      <c r="O1436" s="4" t="s">
        <v>11258</v>
      </c>
      <c r="P1436" s="4" t="s">
        <v>233</v>
      </c>
    </row>
    <row r="1437" spans="1:16" x14ac:dyDescent="0.35">
      <c r="A1437" t="s">
        <v>11259</v>
      </c>
      <c r="B1437" t="s">
        <v>3135</v>
      </c>
      <c r="C1437" t="s">
        <v>16</v>
      </c>
      <c r="D1437" s="6">
        <v>5708153540.0104599</v>
      </c>
      <c r="E1437" s="6">
        <v>5464679540.0104599</v>
      </c>
      <c r="F1437" s="6">
        <v>82.099998474121094</v>
      </c>
      <c r="G1437" s="6">
        <v>81.199996948242188</v>
      </c>
      <c r="H1437" s="6">
        <v>19.154263089086012</v>
      </c>
      <c r="I1437" s="6">
        <v>0.45033444435488912</v>
      </c>
      <c r="J1437" s="6">
        <v>1496799000</v>
      </c>
      <c r="K1437" s="6">
        <v>305.22875816993474</v>
      </c>
      <c r="L1437" t="s">
        <v>17</v>
      </c>
      <c r="M1437" t="s">
        <v>27</v>
      </c>
      <c r="N1437" s="4" t="s">
        <v>3136</v>
      </c>
      <c r="O1437" s="4" t="s">
        <v>3137</v>
      </c>
      <c r="P1437" s="4" t="s">
        <v>233</v>
      </c>
    </row>
    <row r="1438" spans="1:16" x14ac:dyDescent="0.35">
      <c r="A1438" t="s">
        <v>11260</v>
      </c>
      <c r="B1438" t="s">
        <v>5002</v>
      </c>
      <c r="C1438" t="s">
        <v>16</v>
      </c>
      <c r="D1438" s="6">
        <v>339251718.56174475</v>
      </c>
      <c r="E1438" s="6">
        <v>57617718.561744809</v>
      </c>
      <c r="F1438" s="6">
        <v>13.229999542236328</v>
      </c>
      <c r="G1438" s="6">
        <v>12.659999847412109</v>
      </c>
      <c r="H1438" s="6" t="e">
        <v>#N/A</v>
      </c>
      <c r="I1438" s="6">
        <v>-0.64353997931613116</v>
      </c>
      <c r="J1438" s="6">
        <v>0</v>
      </c>
      <c r="K1438" s="6">
        <v>99.078310890312466</v>
      </c>
      <c r="L1438" t="s">
        <v>17</v>
      </c>
      <c r="M1438" t="s">
        <v>18</v>
      </c>
      <c r="N1438" s="4" t="s">
        <v>5003</v>
      </c>
      <c r="O1438" s="4" t="s">
        <v>5004</v>
      </c>
      <c r="P1438" s="4" t="s">
        <v>233</v>
      </c>
    </row>
    <row r="1439" spans="1:16" x14ac:dyDescent="0.35">
      <c r="A1439" t="s">
        <v>11261</v>
      </c>
      <c r="B1439" t="s">
        <v>3355</v>
      </c>
      <c r="C1439" t="s">
        <v>16</v>
      </c>
      <c r="D1439" s="6">
        <v>394475177.89323235</v>
      </c>
      <c r="E1439" s="6">
        <v>151154177.89323229</v>
      </c>
      <c r="F1439" s="6">
        <v>6.9899997711181641</v>
      </c>
      <c r="G1439" s="6">
        <v>6.7100000381469727</v>
      </c>
      <c r="H1439" s="6" t="e">
        <v>#N/A</v>
      </c>
      <c r="I1439" s="6">
        <v>-0.53240504756122231</v>
      </c>
      <c r="J1439" s="6">
        <v>0</v>
      </c>
      <c r="K1439" s="6">
        <v>4.9604545454545628</v>
      </c>
      <c r="L1439" t="s">
        <v>17</v>
      </c>
      <c r="M1439" t="s">
        <v>18</v>
      </c>
      <c r="N1439" s="4" t="s">
        <v>3356</v>
      </c>
      <c r="O1439" s="4" t="s">
        <v>3357</v>
      </c>
      <c r="P1439" s="4" t="s">
        <v>233</v>
      </c>
    </row>
    <row r="1440" spans="1:16" x14ac:dyDescent="0.35">
      <c r="A1440" t="s">
        <v>11262</v>
      </c>
      <c r="B1440" t="s">
        <v>11263</v>
      </c>
      <c r="C1440" t="s">
        <v>16</v>
      </c>
      <c r="D1440" s="6">
        <v>1464125796.9720094</v>
      </c>
      <c r="E1440" s="6">
        <v>2751736796.9720097</v>
      </c>
      <c r="F1440" s="6">
        <v>14.380000114440918</v>
      </c>
      <c r="G1440" s="6">
        <v>14.439999580383301</v>
      </c>
      <c r="H1440" s="6">
        <v>67.338806513043579</v>
      </c>
      <c r="I1440" s="6">
        <v>0.10898090982436481</v>
      </c>
      <c r="J1440" s="6">
        <v>1030578000</v>
      </c>
      <c r="K1440" s="6">
        <v>-43.902439024390247</v>
      </c>
      <c r="L1440" t="s">
        <v>6623</v>
      </c>
      <c r="M1440" t="s">
        <v>7409</v>
      </c>
      <c r="N1440" s="4" t="s">
        <v>11264</v>
      </c>
      <c r="O1440" s="4" t="s">
        <v>11265</v>
      </c>
      <c r="P1440" s="4" t="s">
        <v>233</v>
      </c>
    </row>
    <row r="1441" spans="1:16" x14ac:dyDescent="0.35">
      <c r="A1441" t="s">
        <v>11266</v>
      </c>
      <c r="B1441" t="s">
        <v>11267</v>
      </c>
      <c r="C1441" t="s">
        <v>16</v>
      </c>
      <c r="D1441" s="6">
        <v>1728570468.9588966</v>
      </c>
      <c r="E1441" s="6">
        <v>1418415468.9588966</v>
      </c>
      <c r="F1441" s="6">
        <v>24.090000152587891</v>
      </c>
      <c r="G1441" s="6">
        <v>24.260000228881836</v>
      </c>
      <c r="H1441" s="6">
        <v>89.392067716023021</v>
      </c>
      <c r="I1441" s="6">
        <v>0.14183252107045941</v>
      </c>
      <c r="J1441" s="6">
        <v>821135000</v>
      </c>
      <c r="K1441" s="6">
        <v>-248.21428571428569</v>
      </c>
      <c r="L1441" t="s">
        <v>6518</v>
      </c>
      <c r="M1441" t="s">
        <v>7048</v>
      </c>
      <c r="N1441" s="4" t="s">
        <v>11268</v>
      </c>
      <c r="O1441" s="4" t="s">
        <v>11269</v>
      </c>
      <c r="P1441" s="4" t="s">
        <v>233</v>
      </c>
    </row>
    <row r="1442" spans="1:16" x14ac:dyDescent="0.35">
      <c r="A1442" t="s">
        <v>11270</v>
      </c>
      <c r="B1442" t="s">
        <v>4395</v>
      </c>
      <c r="C1442" t="s">
        <v>16</v>
      </c>
      <c r="D1442" s="6">
        <v>226865449.2137661</v>
      </c>
      <c r="E1442" s="6">
        <v>179322449.2137661</v>
      </c>
      <c r="F1442" s="6">
        <v>8.6099996566772461</v>
      </c>
      <c r="G1442" s="6">
        <v>8.6099996566772461</v>
      </c>
      <c r="H1442" s="6" t="e">
        <v>#N/A</v>
      </c>
      <c r="I1442" s="6">
        <v>-0.50648316232485824</v>
      </c>
      <c r="J1442" s="6">
        <v>50143000</v>
      </c>
      <c r="K1442" s="6">
        <v>-30.841121495327087</v>
      </c>
      <c r="L1442" t="s">
        <v>17</v>
      </c>
      <c r="M1442" t="s">
        <v>18</v>
      </c>
      <c r="N1442" s="4" t="s">
        <v>4396</v>
      </c>
      <c r="O1442" s="4" t="s">
        <v>4397</v>
      </c>
      <c r="P1442" s="4" t="s">
        <v>233</v>
      </c>
    </row>
    <row r="1443" spans="1:16" x14ac:dyDescent="0.35">
      <c r="A1443" t="s">
        <v>11271</v>
      </c>
      <c r="B1443" t="s">
        <v>11272</v>
      </c>
      <c r="C1443" t="s">
        <v>16</v>
      </c>
      <c r="D1443" s="6">
        <v>1229912373.6107016</v>
      </c>
      <c r="E1443" s="6">
        <v>2867193373.6107016</v>
      </c>
      <c r="F1443" s="6">
        <v>10.390000343322754</v>
      </c>
      <c r="G1443" s="6">
        <v>10.390000343322754</v>
      </c>
      <c r="H1443" s="6">
        <v>3.8379535335482022</v>
      </c>
      <c r="I1443" s="6">
        <v>-6.9375885235290036E-2</v>
      </c>
      <c r="J1443" s="6">
        <v>2083893999.9999998</v>
      </c>
      <c r="K1443" s="6">
        <v>-17.288135593220346</v>
      </c>
      <c r="L1443" t="s">
        <v>6547</v>
      </c>
      <c r="M1443" t="s">
        <v>7658</v>
      </c>
      <c r="N1443" s="4" t="s">
        <v>233</v>
      </c>
      <c r="O1443" s="4" t="s">
        <v>11273</v>
      </c>
      <c r="P1443" s="4" t="s">
        <v>13257</v>
      </c>
    </row>
    <row r="1444" spans="1:16" x14ac:dyDescent="0.35">
      <c r="A1444" t="s">
        <v>11274</v>
      </c>
      <c r="B1444" t="s">
        <v>4518</v>
      </c>
      <c r="C1444" t="s">
        <v>16</v>
      </c>
      <c r="D1444" s="6">
        <v>1839364606.0304871</v>
      </c>
      <c r="E1444" s="6">
        <v>1353789606.0304871</v>
      </c>
      <c r="F1444" s="6">
        <v>53.639999389648438</v>
      </c>
      <c r="G1444" s="6">
        <v>53.189998626708984</v>
      </c>
      <c r="H1444" s="6" t="e">
        <v>#N/A</v>
      </c>
      <c r="I1444" s="6">
        <v>-0.22241082623584174</v>
      </c>
      <c r="J1444" s="6">
        <v>0</v>
      </c>
      <c r="K1444" s="6">
        <v>82.686542443064184</v>
      </c>
      <c r="L1444" t="s">
        <v>17</v>
      </c>
      <c r="M1444" t="s">
        <v>18</v>
      </c>
      <c r="N1444" s="4" t="s">
        <v>4519</v>
      </c>
      <c r="O1444" s="4" t="s">
        <v>4520</v>
      </c>
      <c r="P1444" s="4" t="s">
        <v>233</v>
      </c>
    </row>
    <row r="1445" spans="1:16" x14ac:dyDescent="0.35">
      <c r="A1445" t="s">
        <v>11279</v>
      </c>
      <c r="B1445" t="s">
        <v>11280</v>
      </c>
      <c r="C1445" t="s">
        <v>16</v>
      </c>
      <c r="D1445" s="6">
        <v>2813205547.3463964</v>
      </c>
      <c r="E1445" s="6">
        <v>3098005547.3463964</v>
      </c>
      <c r="F1445" s="6">
        <v>71.790000915527344</v>
      </c>
      <c r="G1445" s="6">
        <v>68.370002746582031</v>
      </c>
      <c r="H1445" s="6">
        <v>26.087108526413544</v>
      </c>
      <c r="I1445" s="6">
        <v>-0.36769691013505268</v>
      </c>
      <c r="J1445" s="6">
        <v>1009600000</v>
      </c>
      <c r="K1445" s="6" t="e">
        <v>#N/A</v>
      </c>
      <c r="L1445" t="s">
        <v>6518</v>
      </c>
      <c r="M1445" t="s">
        <v>6807</v>
      </c>
      <c r="N1445" s="4" t="s">
        <v>11281</v>
      </c>
      <c r="O1445" s="4" t="s">
        <v>11282</v>
      </c>
      <c r="P1445" s="4" t="s">
        <v>233</v>
      </c>
    </row>
    <row r="1446" spans="1:16" x14ac:dyDescent="0.35">
      <c r="A1446" t="s">
        <v>11275</v>
      </c>
      <c r="B1446" t="s">
        <v>11276</v>
      </c>
      <c r="C1446" t="s">
        <v>16</v>
      </c>
      <c r="D1446" s="6">
        <v>3318325358.5493507</v>
      </c>
      <c r="E1446" s="6">
        <v>6264618358.5493507</v>
      </c>
      <c r="F1446" s="6">
        <v>54.119998931884766</v>
      </c>
      <c r="G1446" s="6">
        <v>53.779998779296875</v>
      </c>
      <c r="H1446" s="6">
        <v>14.678612142045347</v>
      </c>
      <c r="I1446" s="6">
        <v>0.19568156771485157</v>
      </c>
      <c r="J1446" s="6">
        <v>1496432000</v>
      </c>
      <c r="K1446" s="6">
        <v>23.255813953488378</v>
      </c>
      <c r="L1446" t="s">
        <v>6719</v>
      </c>
      <c r="M1446" t="s">
        <v>9115</v>
      </c>
      <c r="N1446" s="4" t="s">
        <v>11277</v>
      </c>
      <c r="O1446" s="4" t="s">
        <v>11278</v>
      </c>
      <c r="P1446" s="4" t="s">
        <v>233</v>
      </c>
    </row>
    <row r="1447" spans="1:16" x14ac:dyDescent="0.35">
      <c r="A1447" t="s">
        <v>11283</v>
      </c>
      <c r="B1447" t="s">
        <v>11284</v>
      </c>
      <c r="C1447" t="s">
        <v>16</v>
      </c>
      <c r="D1447" s="6">
        <v>585623792.88354492</v>
      </c>
      <c r="E1447" s="6">
        <v>521166792.88354492</v>
      </c>
      <c r="F1447" s="6">
        <v>18.389999389648438</v>
      </c>
      <c r="G1447" s="6">
        <v>18.5</v>
      </c>
      <c r="H1447" s="6">
        <v>12.763042135840996</v>
      </c>
      <c r="I1447" s="6">
        <v>-0.22667031686341887</v>
      </c>
      <c r="J1447" s="6">
        <v>855004000</v>
      </c>
      <c r="K1447" s="6">
        <v>-61.47014531553679</v>
      </c>
      <c r="L1447" t="s">
        <v>6623</v>
      </c>
      <c r="M1447" t="s">
        <v>6634</v>
      </c>
      <c r="N1447" s="4" t="s">
        <v>11285</v>
      </c>
      <c r="O1447" s="4" t="s">
        <v>11286</v>
      </c>
      <c r="P1447" s="4" t="s">
        <v>233</v>
      </c>
    </row>
    <row r="1448" spans="1:16" x14ac:dyDescent="0.35">
      <c r="A1448" t="s">
        <v>11288</v>
      </c>
      <c r="B1448" t="s">
        <v>11289</v>
      </c>
      <c r="C1448" t="s">
        <v>16</v>
      </c>
      <c r="D1448" s="6">
        <v>695169238.81859207</v>
      </c>
      <c r="E1448" s="6">
        <v>2924647238.8185921</v>
      </c>
      <c r="F1448" s="6">
        <v>8.5900001525878906</v>
      </c>
      <c r="G1448" s="6">
        <v>8.4799995422363281</v>
      </c>
      <c r="H1448" s="6">
        <v>12.449275583460709</v>
      </c>
      <c r="I1448" s="6">
        <v>0.7819802532039215</v>
      </c>
      <c r="J1448" s="6">
        <v>367208000</v>
      </c>
      <c r="K1448" s="6" t="e">
        <v>#N/A</v>
      </c>
      <c r="L1448" t="s">
        <v>6529</v>
      </c>
      <c r="M1448" t="s">
        <v>8169</v>
      </c>
      <c r="N1448" s="4" t="s">
        <v>11290</v>
      </c>
      <c r="O1448" s="4" t="s">
        <v>11291</v>
      </c>
      <c r="P1448" s="4" t="s">
        <v>233</v>
      </c>
    </row>
    <row r="1449" spans="1:16" x14ac:dyDescent="0.35">
      <c r="A1449" t="s">
        <v>11287</v>
      </c>
      <c r="B1449" t="s">
        <v>5780</v>
      </c>
      <c r="C1449" t="s">
        <v>16</v>
      </c>
      <c r="D1449" s="6">
        <v>200809006.48665524</v>
      </c>
      <c r="E1449" s="6">
        <v>-12490993.513344765</v>
      </c>
      <c r="F1449" s="6">
        <v>7.7899999618530273</v>
      </c>
      <c r="G1449" s="6">
        <v>7.7100000381469727</v>
      </c>
      <c r="H1449" s="6" t="e">
        <v>#N/A</v>
      </c>
      <c r="I1449" s="6">
        <v>-0.54830654671585977</v>
      </c>
      <c r="J1449" s="6" t="e">
        <v>#N/A</v>
      </c>
      <c r="K1449" s="6" t="e">
        <v>#N/A</v>
      </c>
      <c r="L1449" t="s">
        <v>17</v>
      </c>
      <c r="M1449" t="s">
        <v>87</v>
      </c>
      <c r="N1449" s="4" t="s">
        <v>5781</v>
      </c>
      <c r="O1449" s="4" t="s">
        <v>5782</v>
      </c>
      <c r="P1449" s="4" t="s">
        <v>233</v>
      </c>
    </row>
    <row r="1450" spans="1:16" x14ac:dyDescent="0.35">
      <c r="A1450" t="s">
        <v>11292</v>
      </c>
      <c r="B1450" t="s">
        <v>11293</v>
      </c>
      <c r="C1450" t="s">
        <v>16</v>
      </c>
      <c r="D1450" s="6">
        <v>207158802.45714521</v>
      </c>
      <c r="E1450" s="6">
        <v>6715216802.4571457</v>
      </c>
      <c r="F1450" s="6">
        <v>7.0199999809265137</v>
      </c>
      <c r="G1450" s="6">
        <v>7</v>
      </c>
      <c r="H1450" s="6">
        <v>6.5675115688555072</v>
      </c>
      <c r="I1450" s="6">
        <v>0.27653370532307053</v>
      </c>
      <c r="J1450" s="6">
        <v>429455000</v>
      </c>
      <c r="K1450" s="6">
        <v>314.54545454545456</v>
      </c>
      <c r="L1450" t="s">
        <v>6529</v>
      </c>
      <c r="M1450" t="s">
        <v>8169</v>
      </c>
      <c r="N1450" s="4" t="s">
        <v>11294</v>
      </c>
      <c r="O1450" s="4" t="s">
        <v>11295</v>
      </c>
      <c r="P1450" s="4" t="s">
        <v>233</v>
      </c>
    </row>
    <row r="1451" spans="1:16" x14ac:dyDescent="0.35">
      <c r="A1451" t="s">
        <v>11299</v>
      </c>
      <c r="B1451" t="s">
        <v>11300</v>
      </c>
      <c r="C1451" t="s">
        <v>16</v>
      </c>
      <c r="D1451" s="6">
        <v>2954096143.6635203</v>
      </c>
      <c r="E1451" s="6">
        <v>3329815143.6635203</v>
      </c>
      <c r="F1451" s="6">
        <v>10.520000457763672</v>
      </c>
      <c r="G1451" s="6">
        <v>9.9700002670288086</v>
      </c>
      <c r="H1451" s="6" t="e">
        <v>#N/A</v>
      </c>
      <c r="I1451" s="6">
        <v>-0.34195134846107067</v>
      </c>
      <c r="J1451" s="6">
        <v>467488000</v>
      </c>
      <c r="K1451" s="6" t="e">
        <v>#N/A</v>
      </c>
      <c r="L1451" t="s">
        <v>6518</v>
      </c>
      <c r="M1451" t="s">
        <v>6519</v>
      </c>
      <c r="N1451" s="4" t="s">
        <v>11301</v>
      </c>
      <c r="O1451" s="4" t="s">
        <v>11302</v>
      </c>
      <c r="P1451" s="4" t="s">
        <v>233</v>
      </c>
    </row>
    <row r="1452" spans="1:16" x14ac:dyDescent="0.35">
      <c r="A1452" t="s">
        <v>11303</v>
      </c>
      <c r="B1452" t="s">
        <v>11304</v>
      </c>
      <c r="C1452" t="s">
        <v>16</v>
      </c>
      <c r="D1452" s="6">
        <v>1939877966.0401151</v>
      </c>
      <c r="E1452" s="6">
        <v>3746677966.0401154</v>
      </c>
      <c r="F1452" s="6">
        <v>61.860000610351563</v>
      </c>
      <c r="G1452" s="6">
        <v>62.189998626708984</v>
      </c>
      <c r="H1452" s="6">
        <v>11.452380814124595</v>
      </c>
      <c r="I1452" s="6">
        <v>0.30665653615784616</v>
      </c>
      <c r="J1452" s="6">
        <v>3611800000</v>
      </c>
      <c r="K1452" s="6">
        <v>70.114942528735611</v>
      </c>
      <c r="L1452" t="s">
        <v>6547</v>
      </c>
      <c r="M1452" t="s">
        <v>6668</v>
      </c>
      <c r="N1452" s="4" t="s">
        <v>11305</v>
      </c>
      <c r="O1452" s="4" t="s">
        <v>11306</v>
      </c>
      <c r="P1452" s="4" t="s">
        <v>233</v>
      </c>
    </row>
    <row r="1453" spans="1:16" x14ac:dyDescent="0.35">
      <c r="A1453" t="s">
        <v>11307</v>
      </c>
      <c r="B1453" t="s">
        <v>11308</v>
      </c>
      <c r="C1453" t="s">
        <v>16</v>
      </c>
      <c r="D1453" s="6">
        <v>201775800.00000006</v>
      </c>
      <c r="E1453" s="6" t="e">
        <v>#N/A</v>
      </c>
      <c r="F1453" s="6">
        <v>25</v>
      </c>
      <c r="G1453" s="6">
        <v>25.370000839233398</v>
      </c>
      <c r="H1453" s="6">
        <v>13.020833333333334</v>
      </c>
      <c r="I1453" s="6">
        <v>-1.4105293590589651E-2</v>
      </c>
      <c r="J1453" s="6">
        <v>108475000</v>
      </c>
      <c r="K1453" s="6">
        <v>-9.8130841121495411</v>
      </c>
      <c r="L1453" t="s">
        <v>6529</v>
      </c>
      <c r="M1453" t="s">
        <v>6530</v>
      </c>
      <c r="N1453" s="4" t="s">
        <v>11309</v>
      </c>
      <c r="O1453" s="4" t="s">
        <v>11310</v>
      </c>
      <c r="P1453" s="4" t="s">
        <v>233</v>
      </c>
    </row>
    <row r="1454" spans="1:16" x14ac:dyDescent="0.35">
      <c r="A1454" t="s">
        <v>11311</v>
      </c>
      <c r="B1454" t="s">
        <v>801</v>
      </c>
      <c r="C1454" t="s">
        <v>16</v>
      </c>
      <c r="D1454" s="6">
        <v>1875368321.9912522</v>
      </c>
      <c r="E1454" s="6">
        <v>1878011321.9912522</v>
      </c>
      <c r="F1454" s="6">
        <v>40.490001678466797</v>
      </c>
      <c r="G1454" s="6">
        <v>40.549999237060547</v>
      </c>
      <c r="H1454" s="6">
        <v>90.501483425124036</v>
      </c>
      <c r="I1454" s="6">
        <v>0.39974787075309015</v>
      </c>
      <c r="J1454" s="6">
        <v>1112238000</v>
      </c>
      <c r="K1454" s="6" t="e">
        <v>#N/A</v>
      </c>
      <c r="L1454" t="s">
        <v>17</v>
      </c>
      <c r="M1454" t="s">
        <v>27</v>
      </c>
      <c r="N1454" s="4" t="s">
        <v>802</v>
      </c>
      <c r="O1454" s="4" t="s">
        <v>803</v>
      </c>
      <c r="P1454" s="4" t="s">
        <v>233</v>
      </c>
    </row>
    <row r="1455" spans="1:16" x14ac:dyDescent="0.35">
      <c r="A1455" t="s">
        <v>11312</v>
      </c>
      <c r="B1455" t="s">
        <v>2333</v>
      </c>
      <c r="C1455" t="s">
        <v>16</v>
      </c>
      <c r="D1455" s="6">
        <v>4606661178.6454458</v>
      </c>
      <c r="E1455" s="6">
        <v>5742420178.6454458</v>
      </c>
      <c r="F1455" s="6">
        <v>137.33999633789063</v>
      </c>
      <c r="G1455" s="6">
        <v>136.27000427246094</v>
      </c>
      <c r="H1455" s="6">
        <v>34.268945691651993</v>
      </c>
      <c r="I1455" s="6">
        <v>0.29791860659234204</v>
      </c>
      <c r="J1455" s="6">
        <v>1695575000</v>
      </c>
      <c r="K1455" s="6">
        <v>38.056680161943319</v>
      </c>
      <c r="L1455" t="s">
        <v>17</v>
      </c>
      <c r="M1455" t="s">
        <v>27</v>
      </c>
      <c r="N1455" s="4" t="s">
        <v>2334</v>
      </c>
      <c r="O1455" s="4" t="s">
        <v>2335</v>
      </c>
      <c r="P1455" s="4" t="s">
        <v>233</v>
      </c>
    </row>
    <row r="1456" spans="1:16" x14ac:dyDescent="0.35">
      <c r="A1456" t="s">
        <v>11313</v>
      </c>
      <c r="B1456" t="s">
        <v>3793</v>
      </c>
      <c r="C1456" t="s">
        <v>16</v>
      </c>
      <c r="D1456" s="6">
        <v>2996448167.7586055</v>
      </c>
      <c r="E1456" s="6">
        <v>1766943167.7586055</v>
      </c>
      <c r="F1456" s="6">
        <v>20.819999694824219</v>
      </c>
      <c r="G1456" s="6">
        <v>20.129999160766602</v>
      </c>
      <c r="H1456" s="6" t="e">
        <v>#N/A</v>
      </c>
      <c r="I1456" s="6">
        <v>0.12201798681518361</v>
      </c>
      <c r="J1456" s="6">
        <v>0</v>
      </c>
      <c r="K1456" s="6">
        <v>-196.77419354838707</v>
      </c>
      <c r="L1456" t="s">
        <v>17</v>
      </c>
      <c r="M1456" t="s">
        <v>18</v>
      </c>
      <c r="N1456" s="4" t="s">
        <v>3794</v>
      </c>
      <c r="O1456" s="4" t="s">
        <v>3795</v>
      </c>
      <c r="P1456" s="4" t="s">
        <v>233</v>
      </c>
    </row>
    <row r="1457" spans="1:16" x14ac:dyDescent="0.35">
      <c r="A1457" t="s">
        <v>11314</v>
      </c>
      <c r="B1457" t="s">
        <v>11315</v>
      </c>
      <c r="C1457" t="s">
        <v>16</v>
      </c>
      <c r="D1457" s="6">
        <v>728911700.20397949</v>
      </c>
      <c r="E1457" s="6">
        <v>753906700.20397949</v>
      </c>
      <c r="F1457" s="6">
        <v>63.720001220703125</v>
      </c>
      <c r="G1457" s="6">
        <v>64.709999084472656</v>
      </c>
      <c r="H1457" s="6">
        <v>10.569556992702847</v>
      </c>
      <c r="I1457" s="6">
        <v>0.46704116322653855</v>
      </c>
      <c r="J1457" s="6">
        <v>1331839000</v>
      </c>
      <c r="K1457" s="6">
        <v>36.853932584269657</v>
      </c>
      <c r="L1457" t="s">
        <v>6547</v>
      </c>
      <c r="M1457" t="s">
        <v>6668</v>
      </c>
      <c r="N1457" s="4" t="s">
        <v>11316</v>
      </c>
      <c r="O1457" s="4" t="s">
        <v>11317</v>
      </c>
      <c r="P1457" s="4" t="s">
        <v>233</v>
      </c>
    </row>
    <row r="1458" spans="1:16" x14ac:dyDescent="0.35">
      <c r="A1458" t="s">
        <v>11318</v>
      </c>
      <c r="B1458" t="s">
        <v>11319</v>
      </c>
      <c r="C1458" t="s">
        <v>16</v>
      </c>
      <c r="D1458" s="6">
        <v>2616536328.0406957</v>
      </c>
      <c r="E1458" s="6">
        <v>3030758328.0406957</v>
      </c>
      <c r="F1458" s="6">
        <v>25.659999847412109</v>
      </c>
      <c r="G1458" s="6">
        <v>25.840000152587891</v>
      </c>
      <c r="H1458" s="6">
        <v>18.474214106072019</v>
      </c>
      <c r="I1458" s="6">
        <v>0.57228258842245983</v>
      </c>
      <c r="J1458" s="6">
        <v>2442753000</v>
      </c>
      <c r="K1458" s="6" t="e">
        <v>#N/A</v>
      </c>
      <c r="L1458" t="s">
        <v>6518</v>
      </c>
      <c r="M1458" t="s">
        <v>6714</v>
      </c>
      <c r="N1458" s="4" t="s">
        <v>11320</v>
      </c>
      <c r="O1458" s="4" t="s">
        <v>11321</v>
      </c>
      <c r="P1458" s="4" t="s">
        <v>233</v>
      </c>
    </row>
    <row r="1459" spans="1:16" x14ac:dyDescent="0.35">
      <c r="A1459" t="s">
        <v>11322</v>
      </c>
      <c r="B1459" t="s">
        <v>11323</v>
      </c>
      <c r="C1459" t="s">
        <v>16</v>
      </c>
      <c r="D1459" s="6">
        <v>1564489297.5672452</v>
      </c>
      <c r="E1459" s="6">
        <v>4062665297.5672455</v>
      </c>
      <c r="F1459" s="6">
        <v>20.680000305175781</v>
      </c>
      <c r="G1459" s="6">
        <v>20.590000152587891</v>
      </c>
      <c r="H1459" s="6">
        <v>285.29647525281837</v>
      </c>
      <c r="I1459" s="6">
        <v>-5.6317513587633705E-2</v>
      </c>
      <c r="J1459" s="6">
        <v>2216497000</v>
      </c>
      <c r="K1459" s="6">
        <v>-113.51832361404094</v>
      </c>
      <c r="L1459" t="s">
        <v>6529</v>
      </c>
      <c r="M1459" t="s">
        <v>6639</v>
      </c>
      <c r="N1459" s="4" t="s">
        <v>11324</v>
      </c>
      <c r="O1459" s="4" t="s">
        <v>11325</v>
      </c>
      <c r="P1459" s="4" t="s">
        <v>233</v>
      </c>
    </row>
    <row r="1460" spans="1:16" x14ac:dyDescent="0.35">
      <c r="A1460" t="s">
        <v>11326</v>
      </c>
      <c r="B1460" t="s">
        <v>11327</v>
      </c>
      <c r="C1460" t="s">
        <v>16</v>
      </c>
      <c r="D1460" s="6">
        <v>317627612.18261713</v>
      </c>
      <c r="E1460" s="6">
        <v>254965612.18261713</v>
      </c>
      <c r="F1460" s="6">
        <v>18.959999084472656</v>
      </c>
      <c r="G1460" s="6">
        <v>19.069999694824219</v>
      </c>
      <c r="H1460" s="6">
        <v>68.927154189879246</v>
      </c>
      <c r="I1460" s="6">
        <v>-0.17735718888055851</v>
      </c>
      <c r="J1460" s="6">
        <v>291617000</v>
      </c>
      <c r="K1460" s="6" t="e">
        <v>#N/A</v>
      </c>
      <c r="L1460" t="s">
        <v>6540</v>
      </c>
      <c r="M1460" t="s">
        <v>6571</v>
      </c>
      <c r="N1460" s="4" t="s">
        <v>11328</v>
      </c>
      <c r="O1460" s="4" t="s">
        <v>11329</v>
      </c>
      <c r="P1460" s="4" t="s">
        <v>233</v>
      </c>
    </row>
    <row r="1461" spans="1:16" x14ac:dyDescent="0.35">
      <c r="A1461" t="s">
        <v>11330</v>
      </c>
      <c r="B1461" t="s">
        <v>11331</v>
      </c>
      <c r="C1461" t="s">
        <v>16</v>
      </c>
      <c r="D1461" s="6">
        <v>846406459.0749588</v>
      </c>
      <c r="E1461" s="6">
        <v>457512459.0749588</v>
      </c>
      <c r="F1461" s="6">
        <v>29.420000076293945</v>
      </c>
      <c r="G1461" s="6">
        <v>30.459999084472656</v>
      </c>
      <c r="H1461" s="6" t="e">
        <v>#N/A</v>
      </c>
      <c r="I1461" s="6">
        <v>1.0926969962815041</v>
      </c>
      <c r="J1461" s="6">
        <v>673759000</v>
      </c>
      <c r="K1461" s="6" t="e">
        <v>#N/A</v>
      </c>
      <c r="L1461" t="s">
        <v>6518</v>
      </c>
      <c r="M1461" t="s">
        <v>7048</v>
      </c>
      <c r="N1461" s="4" t="s">
        <v>11332</v>
      </c>
      <c r="O1461" s="4" t="s">
        <v>11333</v>
      </c>
      <c r="P1461" s="4" t="s">
        <v>233</v>
      </c>
    </row>
    <row r="1462" spans="1:16" x14ac:dyDescent="0.35">
      <c r="A1462" t="s">
        <v>11334</v>
      </c>
      <c r="B1462" t="s">
        <v>11335</v>
      </c>
      <c r="C1462" t="s">
        <v>16</v>
      </c>
      <c r="D1462" s="6">
        <v>1490328590.2135353</v>
      </c>
      <c r="E1462" s="6">
        <v>1604491590.2135353</v>
      </c>
      <c r="F1462" s="6">
        <v>27.409999847412109</v>
      </c>
      <c r="G1462" s="6">
        <v>27.559999465942383</v>
      </c>
      <c r="H1462" s="6">
        <v>26.690607892875438</v>
      </c>
      <c r="I1462" s="6">
        <v>0.71702844555313994</v>
      </c>
      <c r="J1462" s="6">
        <v>759421000</v>
      </c>
      <c r="K1462" s="6">
        <v>266.66666666666663</v>
      </c>
      <c r="L1462" t="s">
        <v>6540</v>
      </c>
      <c r="M1462" t="s">
        <v>6838</v>
      </c>
      <c r="N1462" s="4" t="s">
        <v>11336</v>
      </c>
      <c r="O1462" s="4" t="s">
        <v>11337</v>
      </c>
      <c r="P1462" s="4" t="s">
        <v>233</v>
      </c>
    </row>
    <row r="1463" spans="1:16" x14ac:dyDescent="0.35">
      <c r="A1463" t="s">
        <v>11338</v>
      </c>
      <c r="B1463" t="s">
        <v>11339</v>
      </c>
      <c r="C1463" t="s">
        <v>16</v>
      </c>
      <c r="D1463" s="6">
        <v>423280331.06470865</v>
      </c>
      <c r="E1463" s="6">
        <v>393613331.06470865</v>
      </c>
      <c r="F1463" s="6">
        <v>23.729999542236328</v>
      </c>
      <c r="G1463" s="6">
        <v>22.959999084472656</v>
      </c>
      <c r="H1463" s="6">
        <v>56.163153709623309</v>
      </c>
      <c r="I1463" s="6">
        <v>-0.15983856817231956</v>
      </c>
      <c r="J1463" s="6">
        <v>661544000</v>
      </c>
      <c r="K1463" s="6">
        <v>46.153846153846153</v>
      </c>
      <c r="L1463" t="s">
        <v>6735</v>
      </c>
      <c r="M1463" t="s">
        <v>6747</v>
      </c>
      <c r="N1463" s="4" t="s">
        <v>11340</v>
      </c>
      <c r="O1463" s="4" t="s">
        <v>11341</v>
      </c>
      <c r="P1463" s="4" t="s">
        <v>233</v>
      </c>
    </row>
    <row r="1464" spans="1:16" x14ac:dyDescent="0.35">
      <c r="A1464" t="s">
        <v>11342</v>
      </c>
      <c r="B1464" t="s">
        <v>11343</v>
      </c>
      <c r="C1464" t="s">
        <v>16</v>
      </c>
      <c r="D1464" s="6">
        <v>200919433.02613497</v>
      </c>
      <c r="E1464" s="6" t="e">
        <v>#N/A</v>
      </c>
      <c r="F1464" s="6">
        <v>1.940000057220459</v>
      </c>
      <c r="G1464" s="6">
        <v>1.8200000524520874</v>
      </c>
      <c r="H1464" s="6" t="e">
        <v>#N/A</v>
      </c>
      <c r="I1464" s="6">
        <v>-0.14053526625851187</v>
      </c>
      <c r="J1464" s="6">
        <v>120112000</v>
      </c>
      <c r="K1464" s="6">
        <v>-8.5106382978723492</v>
      </c>
      <c r="L1464" t="s">
        <v>6623</v>
      </c>
      <c r="M1464" t="s">
        <v>6866</v>
      </c>
      <c r="N1464" s="4" t="s">
        <v>11344</v>
      </c>
      <c r="O1464" s="4" t="s">
        <v>11345</v>
      </c>
      <c r="P1464" s="4" t="s">
        <v>233</v>
      </c>
    </row>
    <row r="1465" spans="1:16" x14ac:dyDescent="0.35">
      <c r="A1465" t="s">
        <v>11350</v>
      </c>
      <c r="B1465" t="s">
        <v>4140</v>
      </c>
      <c r="C1465" t="s">
        <v>16</v>
      </c>
      <c r="D1465" s="6">
        <v>3264722210.6259251</v>
      </c>
      <c r="E1465" s="6">
        <v>2629495210.6259251</v>
      </c>
      <c r="F1465" s="6">
        <v>19.219999313354492</v>
      </c>
      <c r="G1465" s="6">
        <v>19.079999923706055</v>
      </c>
      <c r="H1465" s="6" t="e">
        <v>#N/A</v>
      </c>
      <c r="I1465" s="6">
        <v>-0.47522534266267735</v>
      </c>
      <c r="J1465" s="6">
        <v>0</v>
      </c>
      <c r="K1465" s="6">
        <v>-42.391304347826107</v>
      </c>
      <c r="L1465" t="s">
        <v>17</v>
      </c>
      <c r="M1465" t="s">
        <v>18</v>
      </c>
      <c r="N1465" s="4" t="s">
        <v>4141</v>
      </c>
      <c r="O1465" s="4" t="s">
        <v>4142</v>
      </c>
      <c r="P1465" s="4" t="s">
        <v>233</v>
      </c>
    </row>
    <row r="1466" spans="1:16" x14ac:dyDescent="0.35">
      <c r="A1466" t="s">
        <v>11346</v>
      </c>
      <c r="B1466" t="s">
        <v>11347</v>
      </c>
      <c r="C1466" t="s">
        <v>16</v>
      </c>
      <c r="D1466" s="6">
        <v>6043464778.5645103</v>
      </c>
      <c r="E1466" s="6" t="e">
        <v>#N/A</v>
      </c>
      <c r="F1466" s="6">
        <v>30.399999618530273</v>
      </c>
      <c r="G1466" s="6">
        <v>30.659999847412109</v>
      </c>
      <c r="H1466" s="6">
        <v>15.205390120062699</v>
      </c>
      <c r="I1466" s="6">
        <v>0.31133021206245326</v>
      </c>
      <c r="J1466" s="6">
        <v>1468351000</v>
      </c>
      <c r="K1466" s="6">
        <v>3.6082474226804044</v>
      </c>
      <c r="L1466" t="s">
        <v>6529</v>
      </c>
      <c r="M1466" t="s">
        <v>6530</v>
      </c>
      <c r="N1466" s="4" t="s">
        <v>11348</v>
      </c>
      <c r="O1466" s="4" t="s">
        <v>11349</v>
      </c>
      <c r="P1466" s="4" t="s">
        <v>233</v>
      </c>
    </row>
    <row r="1467" spans="1:16" x14ac:dyDescent="0.35">
      <c r="A1467" t="s">
        <v>11351</v>
      </c>
      <c r="B1467" t="s">
        <v>296</v>
      </c>
      <c r="C1467" t="s">
        <v>16</v>
      </c>
      <c r="D1467" s="6">
        <v>598563540.64901733</v>
      </c>
      <c r="E1467" s="6">
        <v>538950540.64901733</v>
      </c>
      <c r="F1467" s="6">
        <v>18.239999771118164</v>
      </c>
      <c r="G1467" s="6">
        <v>18.219999313354492</v>
      </c>
      <c r="H1467" s="6">
        <v>107.89770877744421</v>
      </c>
      <c r="I1467" s="6">
        <v>-0.11341029574209061</v>
      </c>
      <c r="J1467" s="6">
        <v>1448099000</v>
      </c>
      <c r="K1467" s="6" t="e">
        <v>#N/A</v>
      </c>
      <c r="L1467" t="s">
        <v>17</v>
      </c>
      <c r="M1467" t="s">
        <v>40</v>
      </c>
      <c r="N1467" s="4" t="s">
        <v>297</v>
      </c>
      <c r="O1467" s="4" t="s">
        <v>298</v>
      </c>
      <c r="P1467" s="4" t="s">
        <v>233</v>
      </c>
    </row>
    <row r="1468" spans="1:16" x14ac:dyDescent="0.35">
      <c r="A1468" t="s">
        <v>11356</v>
      </c>
      <c r="B1468" t="s">
        <v>11357</v>
      </c>
      <c r="C1468" t="s">
        <v>16</v>
      </c>
      <c r="D1468" s="6">
        <v>4783277293.3735771</v>
      </c>
      <c r="E1468" s="6" t="e">
        <v>#N/A</v>
      </c>
      <c r="F1468" s="6">
        <v>25.579999923706055</v>
      </c>
      <c r="G1468" s="6">
        <v>25.309999465942383</v>
      </c>
      <c r="H1468" s="6">
        <v>23.108854561203735</v>
      </c>
      <c r="I1468" s="6">
        <v>0.1640837884598878</v>
      </c>
      <c r="J1468" s="6">
        <v>296286000</v>
      </c>
      <c r="K1468" s="6">
        <v>62.000000000000014</v>
      </c>
      <c r="L1468" t="s">
        <v>6623</v>
      </c>
      <c r="M1468" t="s">
        <v>6624</v>
      </c>
      <c r="N1468" s="4" t="s">
        <v>11358</v>
      </c>
      <c r="O1468" s="4" t="s">
        <v>11359</v>
      </c>
      <c r="P1468" s="4" t="s">
        <v>233</v>
      </c>
    </row>
    <row r="1469" spans="1:16" x14ac:dyDescent="0.35">
      <c r="A1469" t="s">
        <v>11352</v>
      </c>
      <c r="B1469" t="s">
        <v>11353</v>
      </c>
      <c r="C1469" t="s">
        <v>16</v>
      </c>
      <c r="D1469" s="6">
        <v>600538226.73304749</v>
      </c>
      <c r="E1469" s="6" t="e">
        <v>#N/A</v>
      </c>
      <c r="F1469" s="6">
        <v>34.150001525878906</v>
      </c>
      <c r="G1469" s="6">
        <v>34.569999694824219</v>
      </c>
      <c r="H1469" s="6">
        <v>18.459460284258867</v>
      </c>
      <c r="I1469" s="6">
        <v>0.40451997463701361</v>
      </c>
      <c r="J1469" s="6">
        <v>406923000</v>
      </c>
      <c r="K1469" s="6">
        <v>-31.751824817518251</v>
      </c>
      <c r="L1469" t="s">
        <v>6529</v>
      </c>
      <c r="M1469" t="s">
        <v>6530</v>
      </c>
      <c r="N1469" s="4" t="s">
        <v>11354</v>
      </c>
      <c r="O1469" s="4" t="s">
        <v>11355</v>
      </c>
      <c r="P1469" s="4" t="s">
        <v>233</v>
      </c>
    </row>
    <row r="1470" spans="1:16" x14ac:dyDescent="0.35">
      <c r="A1470" t="s">
        <v>11364</v>
      </c>
      <c r="B1470" t="s">
        <v>2480</v>
      </c>
      <c r="C1470" t="s">
        <v>16</v>
      </c>
      <c r="D1470" s="6">
        <v>911865670.94794452</v>
      </c>
      <c r="E1470" s="6">
        <v>2055731670.9479446</v>
      </c>
      <c r="F1470" s="6">
        <v>23.950000762939453</v>
      </c>
      <c r="G1470" s="6">
        <v>24.309999465942383</v>
      </c>
      <c r="H1470" s="6">
        <v>7.9452493590520943</v>
      </c>
      <c r="I1470" s="6">
        <v>-0.69634356010173171</v>
      </c>
      <c r="J1470" s="6">
        <v>3067341000</v>
      </c>
      <c r="K1470" s="6">
        <v>-79.767103347889375</v>
      </c>
      <c r="L1470" t="s">
        <v>17</v>
      </c>
      <c r="M1470" t="s">
        <v>40</v>
      </c>
      <c r="N1470" s="4" t="s">
        <v>2481</v>
      </c>
      <c r="O1470" s="4" t="s">
        <v>2482</v>
      </c>
      <c r="P1470" s="4" t="s">
        <v>233</v>
      </c>
    </row>
    <row r="1471" spans="1:16" x14ac:dyDescent="0.35">
      <c r="A1471" t="s">
        <v>11360</v>
      </c>
      <c r="B1471" t="s">
        <v>11361</v>
      </c>
      <c r="C1471" t="s">
        <v>16</v>
      </c>
      <c r="D1471" s="6">
        <v>950183985.44311535</v>
      </c>
      <c r="E1471" s="6">
        <v>985572985.44311535</v>
      </c>
      <c r="F1471" s="6">
        <v>49.799999237060547</v>
      </c>
      <c r="G1471" s="6">
        <v>50.720001220703125</v>
      </c>
      <c r="H1471" s="6">
        <v>18.582089267559905</v>
      </c>
      <c r="I1471" s="6">
        <v>-0.25678388466128321</v>
      </c>
      <c r="J1471" s="6">
        <v>1405308000</v>
      </c>
      <c r="K1471" s="6">
        <v>-15.802146354091555</v>
      </c>
      <c r="L1471" t="s">
        <v>6547</v>
      </c>
      <c r="M1471" t="s">
        <v>6548</v>
      </c>
      <c r="N1471" s="4" t="s">
        <v>11362</v>
      </c>
      <c r="O1471" s="4" t="s">
        <v>11363</v>
      </c>
      <c r="P1471" s="4" t="s">
        <v>233</v>
      </c>
    </row>
    <row r="1472" spans="1:16" x14ac:dyDescent="0.35">
      <c r="A1472" t="s">
        <v>11365</v>
      </c>
      <c r="B1472" t="s">
        <v>11366</v>
      </c>
      <c r="C1472" t="s">
        <v>16</v>
      </c>
      <c r="D1472" s="6">
        <v>654282668.65561867</v>
      </c>
      <c r="E1472" s="6" t="e">
        <v>#N/A</v>
      </c>
      <c r="F1472" s="6">
        <v>30.690000534057617</v>
      </c>
      <c r="G1472" s="6">
        <v>31.190000534057617</v>
      </c>
      <c r="H1472" s="6">
        <v>13.579646254007796</v>
      </c>
      <c r="I1472" s="6">
        <v>0.32659541690882432</v>
      </c>
      <c r="J1472" s="6" t="e">
        <v>#N/A</v>
      </c>
      <c r="K1472" s="6">
        <v>-18.705035971223023</v>
      </c>
      <c r="L1472" t="s">
        <v>6529</v>
      </c>
      <c r="M1472" t="s">
        <v>6530</v>
      </c>
      <c r="N1472" s="4" t="s">
        <v>11367</v>
      </c>
      <c r="O1472" s="4" t="s">
        <v>11368</v>
      </c>
      <c r="P1472" s="4" t="s">
        <v>233</v>
      </c>
    </row>
    <row r="1473" spans="1:16" x14ac:dyDescent="0.35">
      <c r="A1473" t="s">
        <v>11369</v>
      </c>
      <c r="B1473" t="s">
        <v>11370</v>
      </c>
      <c r="C1473" t="s">
        <v>16</v>
      </c>
      <c r="D1473" s="6">
        <v>694354747.70435333</v>
      </c>
      <c r="E1473" s="6">
        <v>671258747.70435333</v>
      </c>
      <c r="F1473" s="6">
        <v>30.659999847412109</v>
      </c>
      <c r="G1473" s="6">
        <v>31.649999618530273</v>
      </c>
      <c r="H1473" s="6">
        <v>53.989328650640282</v>
      </c>
      <c r="I1473" s="6">
        <v>2.0750288226798475</v>
      </c>
      <c r="J1473" s="6">
        <v>85756000</v>
      </c>
      <c r="K1473" s="6" t="e">
        <v>#N/A</v>
      </c>
      <c r="L1473" t="s">
        <v>6547</v>
      </c>
      <c r="M1473" t="s">
        <v>6843</v>
      </c>
      <c r="N1473" s="4" t="s">
        <v>11371</v>
      </c>
      <c r="O1473" s="4" t="s">
        <v>11372</v>
      </c>
      <c r="P1473" s="4" t="s">
        <v>233</v>
      </c>
    </row>
    <row r="1474" spans="1:16" x14ac:dyDescent="0.35">
      <c r="A1474" t="s">
        <v>11373</v>
      </c>
      <c r="B1474" t="s">
        <v>11374</v>
      </c>
      <c r="C1474" t="s">
        <v>16</v>
      </c>
      <c r="D1474" s="6">
        <v>540497299.79166985</v>
      </c>
      <c r="E1474" s="6">
        <v>628118299.79166985</v>
      </c>
      <c r="F1474" s="6">
        <v>17.170000076293945</v>
      </c>
      <c r="G1474" s="6">
        <v>17.309999465942383</v>
      </c>
      <c r="H1474" s="6">
        <v>41.660499868476919</v>
      </c>
      <c r="I1474" s="6">
        <v>0.62225693550055228</v>
      </c>
      <c r="J1474" s="6">
        <v>423212000</v>
      </c>
      <c r="K1474" s="6">
        <v>-65.492397347724733</v>
      </c>
      <c r="L1474" t="s">
        <v>6540</v>
      </c>
      <c r="M1474" t="s">
        <v>6838</v>
      </c>
      <c r="N1474" s="4" t="s">
        <v>11375</v>
      </c>
      <c r="O1474" s="4" t="s">
        <v>11376</v>
      </c>
      <c r="P1474" s="4" t="s">
        <v>233</v>
      </c>
    </row>
    <row r="1475" spans="1:16" x14ac:dyDescent="0.35">
      <c r="A1475" t="s">
        <v>11377</v>
      </c>
      <c r="B1475" t="s">
        <v>5519</v>
      </c>
      <c r="C1475" t="s">
        <v>16</v>
      </c>
      <c r="D1475" s="6">
        <v>39766800.072571516</v>
      </c>
      <c r="E1475" s="6">
        <v>-50536199.927428484</v>
      </c>
      <c r="F1475" s="6">
        <v>1.2200000286102295</v>
      </c>
      <c r="G1475" s="6">
        <v>1.2300000190734863</v>
      </c>
      <c r="H1475" s="6" t="e">
        <v>#N/A</v>
      </c>
      <c r="I1475" s="6">
        <v>-0.90869689621131144</v>
      </c>
      <c r="J1475" s="6">
        <v>0</v>
      </c>
      <c r="K1475" s="6">
        <v>25.31386846776423</v>
      </c>
      <c r="L1475" t="s">
        <v>17</v>
      </c>
      <c r="M1475" t="s">
        <v>18</v>
      </c>
      <c r="N1475" s="4" t="s">
        <v>5520</v>
      </c>
      <c r="O1475" s="4" t="s">
        <v>5521</v>
      </c>
      <c r="P1475" s="4" t="s">
        <v>233</v>
      </c>
    </row>
    <row r="1476" spans="1:16" x14ac:dyDescent="0.35">
      <c r="A1476" t="s">
        <v>11378</v>
      </c>
      <c r="B1476" t="s">
        <v>11379</v>
      </c>
      <c r="C1476" t="s">
        <v>16</v>
      </c>
      <c r="D1476" s="6">
        <v>614854728.25548172</v>
      </c>
      <c r="E1476" s="6">
        <v>585204728.25548172</v>
      </c>
      <c r="F1476" s="6">
        <v>6.0900001525878906</v>
      </c>
      <c r="G1476" s="6">
        <v>5.9099998474121094</v>
      </c>
      <c r="H1476" s="6">
        <v>758.78397116719293</v>
      </c>
      <c r="I1476" s="6">
        <v>0.79887906550171106</v>
      </c>
      <c r="J1476" s="6">
        <v>368767000</v>
      </c>
      <c r="K1476" s="6">
        <v>92.982456140350862</v>
      </c>
      <c r="L1476" t="s">
        <v>6735</v>
      </c>
      <c r="M1476" t="s">
        <v>7752</v>
      </c>
      <c r="N1476" s="4" t="s">
        <v>11380</v>
      </c>
      <c r="O1476" s="4" t="s">
        <v>11381</v>
      </c>
      <c r="P1476" s="4" t="s">
        <v>233</v>
      </c>
    </row>
    <row r="1477" spans="1:16" x14ac:dyDescent="0.35">
      <c r="A1477" t="s">
        <v>11382</v>
      </c>
      <c r="B1477" t="s">
        <v>11383</v>
      </c>
      <c r="C1477" t="s">
        <v>16</v>
      </c>
      <c r="D1477" s="6">
        <v>324815592.06725311</v>
      </c>
      <c r="E1477" s="6">
        <v>256966592.06725311</v>
      </c>
      <c r="F1477" s="6">
        <v>34.490001678466797</v>
      </c>
      <c r="G1477" s="6">
        <v>33.909999847412109</v>
      </c>
      <c r="H1477" s="6">
        <v>16.794783088967449</v>
      </c>
      <c r="I1477" s="6">
        <v>-0.15567614018999676</v>
      </c>
      <c r="J1477" s="6">
        <v>35859000</v>
      </c>
      <c r="K1477" s="6">
        <v>25.68270056470557</v>
      </c>
      <c r="L1477" t="s">
        <v>6529</v>
      </c>
      <c r="M1477" t="s">
        <v>6568</v>
      </c>
      <c r="N1477" s="4" t="s">
        <v>11384</v>
      </c>
      <c r="O1477" s="4" t="s">
        <v>11385</v>
      </c>
      <c r="P1477" s="4" t="s">
        <v>233</v>
      </c>
    </row>
    <row r="1478" spans="1:16" x14ac:dyDescent="0.35">
      <c r="A1478" t="s">
        <v>11386</v>
      </c>
      <c r="B1478" t="s">
        <v>11387</v>
      </c>
      <c r="C1478" t="s">
        <v>16</v>
      </c>
      <c r="D1478" s="6">
        <v>2912285154.5827632</v>
      </c>
      <c r="E1478" s="6">
        <v>6434022154.5827637</v>
      </c>
      <c r="F1478" s="6">
        <v>111.12999725341797</v>
      </c>
      <c r="G1478" s="6">
        <v>113.13999938964844</v>
      </c>
      <c r="H1478" s="6">
        <v>14.634647684434421</v>
      </c>
      <c r="I1478" s="6">
        <v>0.93998630049037013</v>
      </c>
      <c r="J1478" s="6">
        <v>2657800000</v>
      </c>
      <c r="K1478" s="6">
        <v>36.252189141856398</v>
      </c>
      <c r="L1478" t="s">
        <v>6529</v>
      </c>
      <c r="M1478" t="s">
        <v>6646</v>
      </c>
      <c r="N1478" s="4" t="s">
        <v>11388</v>
      </c>
      <c r="O1478" s="4" t="s">
        <v>11389</v>
      </c>
      <c r="P1478" s="4" t="s">
        <v>233</v>
      </c>
    </row>
    <row r="1479" spans="1:16" x14ac:dyDescent="0.35">
      <c r="A1479" t="s">
        <v>11390</v>
      </c>
      <c r="B1479" t="s">
        <v>11391</v>
      </c>
      <c r="C1479" t="s">
        <v>16</v>
      </c>
      <c r="D1479" s="6">
        <v>475636987.58325583</v>
      </c>
      <c r="E1479" s="6">
        <v>1404236987.583256</v>
      </c>
      <c r="F1479" s="6">
        <v>11.460000038146973</v>
      </c>
      <c r="G1479" s="6">
        <v>11.989999771118164</v>
      </c>
      <c r="H1479" s="6" t="e">
        <v>#N/A</v>
      </c>
      <c r="I1479" s="6">
        <v>-0.49237275746228704</v>
      </c>
      <c r="J1479" s="6">
        <v>1082900000</v>
      </c>
      <c r="K1479" s="6">
        <v>-149.99999999999997</v>
      </c>
      <c r="L1479" t="s">
        <v>6563</v>
      </c>
      <c r="M1479" t="s">
        <v>6564</v>
      </c>
      <c r="N1479" s="4" t="s">
        <v>11392</v>
      </c>
      <c r="O1479" s="4" t="s">
        <v>11393</v>
      </c>
      <c r="P1479" s="4" t="s">
        <v>233</v>
      </c>
    </row>
    <row r="1480" spans="1:16" x14ac:dyDescent="0.35">
      <c r="A1480" t="s">
        <v>11394</v>
      </c>
      <c r="B1480" t="s">
        <v>11395</v>
      </c>
      <c r="C1480" t="s">
        <v>16</v>
      </c>
      <c r="D1480" s="6">
        <v>3957437147.743567</v>
      </c>
      <c r="E1480" s="6">
        <v>4800322147.7435665</v>
      </c>
      <c r="F1480" s="6">
        <v>100.37000274658203</v>
      </c>
      <c r="G1480" s="6">
        <v>100.36000061035156</v>
      </c>
      <c r="H1480" s="6">
        <v>11.233322120520553</v>
      </c>
      <c r="I1480" s="6">
        <v>0.12091529835061587</v>
      </c>
      <c r="J1480" s="6">
        <v>3553437000</v>
      </c>
      <c r="K1480" s="6">
        <v>22.43993293509077</v>
      </c>
      <c r="L1480" t="s">
        <v>6547</v>
      </c>
      <c r="M1480" t="s">
        <v>6602</v>
      </c>
      <c r="N1480" s="4" t="s">
        <v>11396</v>
      </c>
      <c r="O1480" s="4" t="s">
        <v>11397</v>
      </c>
      <c r="P1480" s="4" t="s">
        <v>233</v>
      </c>
    </row>
    <row r="1481" spans="1:16" x14ac:dyDescent="0.35">
      <c r="A1481" t="s">
        <v>11398</v>
      </c>
      <c r="B1481" t="s">
        <v>11399</v>
      </c>
      <c r="C1481" t="s">
        <v>16</v>
      </c>
      <c r="D1481" s="6">
        <v>1434803965.2137489</v>
      </c>
      <c r="E1481" s="6">
        <v>1417807965.2137489</v>
      </c>
      <c r="F1481" s="6">
        <v>22.909999847412109</v>
      </c>
      <c r="G1481" s="6">
        <v>22.579999923706055</v>
      </c>
      <c r="H1481" s="6">
        <v>17.527927127441348</v>
      </c>
      <c r="I1481" s="6">
        <v>0.1907978082995867</v>
      </c>
      <c r="J1481" s="6">
        <v>728968000</v>
      </c>
      <c r="K1481" s="6">
        <v>20.833333333333353</v>
      </c>
      <c r="L1481" t="s">
        <v>6518</v>
      </c>
      <c r="M1481" t="s">
        <v>6807</v>
      </c>
      <c r="N1481" s="4" t="s">
        <v>11400</v>
      </c>
      <c r="O1481" s="4" t="s">
        <v>11401</v>
      </c>
      <c r="P1481" s="4" t="s">
        <v>233</v>
      </c>
    </row>
    <row r="1482" spans="1:16" x14ac:dyDescent="0.35">
      <c r="A1482" t="s">
        <v>11402</v>
      </c>
      <c r="B1482" t="s">
        <v>11403</v>
      </c>
      <c r="C1482" t="s">
        <v>16</v>
      </c>
      <c r="D1482" s="6">
        <v>749440398.61680031</v>
      </c>
      <c r="E1482" s="6">
        <v>596526398.61680031</v>
      </c>
      <c r="F1482" s="6">
        <v>31.719999313354492</v>
      </c>
      <c r="G1482" s="6">
        <v>31.540000915527344</v>
      </c>
      <c r="H1482" s="6" t="e">
        <v>#N/A</v>
      </c>
      <c r="I1482" s="6">
        <v>0.44496249341611183</v>
      </c>
      <c r="J1482" s="6">
        <v>101878000</v>
      </c>
      <c r="K1482" s="6">
        <v>-28.000000000000018</v>
      </c>
      <c r="L1482" t="s">
        <v>6518</v>
      </c>
      <c r="M1482" t="s">
        <v>6807</v>
      </c>
      <c r="N1482" s="4" t="s">
        <v>11404</v>
      </c>
      <c r="O1482" s="4" t="s">
        <v>11405</v>
      </c>
      <c r="P1482" s="4" t="s">
        <v>233</v>
      </c>
    </row>
    <row r="1483" spans="1:16" x14ac:dyDescent="0.35">
      <c r="A1483" t="s">
        <v>11406</v>
      </c>
      <c r="B1483" t="s">
        <v>11407</v>
      </c>
      <c r="C1483" t="s">
        <v>16</v>
      </c>
      <c r="D1483" s="6">
        <v>388401381.15390009</v>
      </c>
      <c r="E1483" s="6">
        <v>395101381.15390009</v>
      </c>
      <c r="F1483" s="6">
        <v>17.459999084472656</v>
      </c>
      <c r="G1483" s="6">
        <v>17.399999618530273</v>
      </c>
      <c r="H1483" s="6">
        <v>22.488030319524089</v>
      </c>
      <c r="I1483" s="6">
        <v>0.7485789505623599</v>
      </c>
      <c r="J1483" s="6">
        <v>579500000</v>
      </c>
      <c r="K1483" s="6">
        <v>-45.378151260504204</v>
      </c>
      <c r="L1483" t="s">
        <v>6523</v>
      </c>
      <c r="M1483" t="s">
        <v>6588</v>
      </c>
      <c r="N1483" s="4" t="s">
        <v>11408</v>
      </c>
      <c r="O1483" s="4" t="s">
        <v>11409</v>
      </c>
      <c r="P1483" s="4" t="s">
        <v>233</v>
      </c>
    </row>
    <row r="1484" spans="1:16" x14ac:dyDescent="0.35">
      <c r="A1484" t="s">
        <v>11414</v>
      </c>
      <c r="B1484" t="s">
        <v>11415</v>
      </c>
      <c r="C1484" t="s">
        <v>16</v>
      </c>
      <c r="D1484" s="6">
        <v>1149797130.7325971</v>
      </c>
      <c r="E1484" s="6">
        <v>1134044130.7325971</v>
      </c>
      <c r="F1484" s="6">
        <v>77.489997863769531</v>
      </c>
      <c r="G1484" s="6">
        <v>77.769996643066406</v>
      </c>
      <c r="H1484" s="6">
        <v>22.265730790604294</v>
      </c>
      <c r="I1484" s="6">
        <v>-4.7354096475510143E-2</v>
      </c>
      <c r="J1484" s="6">
        <v>1091694000</v>
      </c>
      <c r="K1484" s="6">
        <v>138.67924528301893</v>
      </c>
      <c r="L1484" t="s">
        <v>6529</v>
      </c>
      <c r="M1484" t="s">
        <v>6664</v>
      </c>
      <c r="N1484" s="4" t="s">
        <v>11416</v>
      </c>
      <c r="O1484" s="4" t="s">
        <v>11417</v>
      </c>
      <c r="P1484" s="4" t="s">
        <v>233</v>
      </c>
    </row>
    <row r="1485" spans="1:16" x14ac:dyDescent="0.35">
      <c r="A1485" t="s">
        <v>11410</v>
      </c>
      <c r="B1485" t="s">
        <v>11411</v>
      </c>
      <c r="C1485" t="s">
        <v>16</v>
      </c>
      <c r="D1485" s="6">
        <v>1342771882.1195805</v>
      </c>
      <c r="E1485" s="6">
        <v>5736942882.1195803</v>
      </c>
      <c r="F1485" s="6">
        <v>3.4800000190734863</v>
      </c>
      <c r="G1485" s="6">
        <v>3.3499999046325684</v>
      </c>
      <c r="H1485" s="6" t="e">
        <v>#N/A</v>
      </c>
      <c r="I1485" s="6">
        <v>-0.20678600340538655</v>
      </c>
      <c r="J1485" s="6">
        <v>3001894000</v>
      </c>
      <c r="K1485" s="6">
        <v>56.593406593406591</v>
      </c>
      <c r="L1485" t="s">
        <v>6540</v>
      </c>
      <c r="M1485" t="s">
        <v>6825</v>
      </c>
      <c r="N1485" s="4" t="s">
        <v>11412</v>
      </c>
      <c r="O1485" s="4" t="s">
        <v>11413</v>
      </c>
      <c r="P1485" s="4" t="s">
        <v>233</v>
      </c>
    </row>
    <row r="1486" spans="1:16" x14ac:dyDescent="0.35">
      <c r="A1486" t="s">
        <v>11418</v>
      </c>
      <c r="B1486" t="s">
        <v>11419</v>
      </c>
      <c r="C1486" t="s">
        <v>16</v>
      </c>
      <c r="D1486" s="6">
        <v>3935842130.0440211</v>
      </c>
      <c r="E1486" s="6">
        <v>4058542130.0440211</v>
      </c>
      <c r="F1486" s="6">
        <v>187.49000549316406</v>
      </c>
      <c r="G1486" s="6">
        <v>187.75999450683594</v>
      </c>
      <c r="H1486" s="6">
        <v>52.559947603535029</v>
      </c>
      <c r="I1486" s="6">
        <v>0.15953581225847779</v>
      </c>
      <c r="J1486" s="6">
        <v>1039400000</v>
      </c>
      <c r="K1486" s="6" t="e">
        <v>#N/A</v>
      </c>
      <c r="L1486" t="s">
        <v>6547</v>
      </c>
      <c r="M1486" t="s">
        <v>6668</v>
      </c>
      <c r="N1486" s="4" t="s">
        <v>11420</v>
      </c>
      <c r="O1486" s="4" t="s">
        <v>11421</v>
      </c>
      <c r="P1486" s="4" t="s">
        <v>233</v>
      </c>
    </row>
    <row r="1487" spans="1:16" x14ac:dyDescent="0.35">
      <c r="A1487" t="s">
        <v>11422</v>
      </c>
      <c r="B1487" t="s">
        <v>11423</v>
      </c>
      <c r="C1487" t="s">
        <v>16</v>
      </c>
      <c r="D1487" s="6">
        <v>332669342.45668411</v>
      </c>
      <c r="E1487" s="6">
        <v>313948342.45668411</v>
      </c>
      <c r="F1487" s="6">
        <v>16.409999847412109</v>
      </c>
      <c r="G1487" s="6">
        <v>16.459999084472656</v>
      </c>
      <c r="H1487" s="6">
        <v>20.903632910562905</v>
      </c>
      <c r="I1487" s="6">
        <v>2.7203303753175812E-2</v>
      </c>
      <c r="J1487" s="6">
        <v>137714000</v>
      </c>
      <c r="K1487" s="6">
        <v>-60.540540540540547</v>
      </c>
      <c r="L1487" t="s">
        <v>6514</v>
      </c>
      <c r="M1487" t="s">
        <v>7882</v>
      </c>
      <c r="N1487" s="4" t="s">
        <v>11424</v>
      </c>
      <c r="O1487" s="4" t="s">
        <v>11425</v>
      </c>
      <c r="P1487" s="4" t="s">
        <v>233</v>
      </c>
    </row>
    <row r="1488" spans="1:16" x14ac:dyDescent="0.35">
      <c r="A1488" t="s">
        <v>11426</v>
      </c>
      <c r="B1488" t="s">
        <v>11427</v>
      </c>
      <c r="C1488" t="s">
        <v>16</v>
      </c>
      <c r="D1488" s="6">
        <v>1599308601.6484909</v>
      </c>
      <c r="E1488" s="6">
        <v>2138924601.6484909</v>
      </c>
      <c r="F1488" s="6">
        <v>101.90000152587891</v>
      </c>
      <c r="G1488" s="6">
        <v>100.19999694824219</v>
      </c>
      <c r="H1488" s="6">
        <v>24.675579464658323</v>
      </c>
      <c r="I1488" s="6">
        <v>1.9070818823192361</v>
      </c>
      <c r="J1488" s="6">
        <v>1738170000</v>
      </c>
      <c r="K1488" s="6">
        <v>17.896849710982661</v>
      </c>
      <c r="L1488" t="s">
        <v>6547</v>
      </c>
      <c r="M1488" t="s">
        <v>6875</v>
      </c>
      <c r="N1488" s="4" t="s">
        <v>11428</v>
      </c>
      <c r="O1488" s="4" t="s">
        <v>11429</v>
      </c>
      <c r="P1488" s="4" t="s">
        <v>233</v>
      </c>
    </row>
    <row r="1489" spans="1:16" x14ac:dyDescent="0.35">
      <c r="A1489" t="s">
        <v>11430</v>
      </c>
      <c r="B1489" t="s">
        <v>11431</v>
      </c>
      <c r="C1489" t="s">
        <v>16</v>
      </c>
      <c r="D1489" s="6">
        <v>865272637.39602029</v>
      </c>
      <c r="E1489" s="6">
        <v>863461637.39602029</v>
      </c>
      <c r="F1489" s="6">
        <v>6.7800002098083496</v>
      </c>
      <c r="G1489" s="6">
        <v>6.4600000381469727</v>
      </c>
      <c r="H1489" s="6" t="e">
        <v>#N/A</v>
      </c>
      <c r="I1489" s="6">
        <v>6.9204629967975162E-2</v>
      </c>
      <c r="J1489" s="6">
        <v>408973000</v>
      </c>
      <c r="K1489" s="6">
        <v>-60.699363630520025</v>
      </c>
      <c r="L1489" t="s">
        <v>6518</v>
      </c>
      <c r="M1489" t="s">
        <v>6519</v>
      </c>
      <c r="N1489" s="4" t="s">
        <v>11432</v>
      </c>
      <c r="O1489" s="4" t="s">
        <v>11433</v>
      </c>
      <c r="P1489" s="4" t="s">
        <v>233</v>
      </c>
    </row>
    <row r="1490" spans="1:16" x14ac:dyDescent="0.35">
      <c r="A1490" t="s">
        <v>11438</v>
      </c>
      <c r="B1490" t="s">
        <v>11439</v>
      </c>
      <c r="C1490" t="s">
        <v>16</v>
      </c>
      <c r="D1490" s="6">
        <v>2441436478.7043686</v>
      </c>
      <c r="E1490" s="6" t="e">
        <v>#N/A</v>
      </c>
      <c r="F1490" s="6">
        <v>18.709999084472656</v>
      </c>
      <c r="G1490" s="6">
        <v>19.069999694824219</v>
      </c>
      <c r="H1490" s="6">
        <v>12.987381959180786</v>
      </c>
      <c r="I1490" s="6">
        <v>0.2211737062039234</v>
      </c>
      <c r="J1490" s="6">
        <v>1140251000</v>
      </c>
      <c r="K1490" s="6">
        <v>-38.953488372093027</v>
      </c>
      <c r="L1490" t="s">
        <v>6529</v>
      </c>
      <c r="M1490" t="s">
        <v>6530</v>
      </c>
      <c r="N1490" s="4" t="s">
        <v>11440</v>
      </c>
      <c r="O1490" s="4" t="s">
        <v>11441</v>
      </c>
      <c r="P1490" s="4" t="s">
        <v>233</v>
      </c>
    </row>
    <row r="1491" spans="1:16" x14ac:dyDescent="0.35">
      <c r="A1491" t="s">
        <v>11434</v>
      </c>
      <c r="B1491" t="s">
        <v>11435</v>
      </c>
      <c r="C1491" t="s">
        <v>16</v>
      </c>
      <c r="D1491" s="6">
        <v>383293424.4573822</v>
      </c>
      <c r="E1491" s="6">
        <v>611432424.4573822</v>
      </c>
      <c r="F1491" s="6">
        <v>34.430000305175781</v>
      </c>
      <c r="G1491" s="6">
        <v>35.130001068115234</v>
      </c>
      <c r="H1491" s="6">
        <v>15.241473232545028</v>
      </c>
      <c r="I1491" s="6">
        <v>-0.50140221432968168</v>
      </c>
      <c r="J1491" s="6">
        <v>2012296000</v>
      </c>
      <c r="K1491" s="6">
        <v>-35.774647887323944</v>
      </c>
      <c r="L1491" t="s">
        <v>6563</v>
      </c>
      <c r="M1491" t="s">
        <v>6564</v>
      </c>
      <c r="N1491" s="4" t="s">
        <v>11436</v>
      </c>
      <c r="O1491" s="4" t="s">
        <v>11437</v>
      </c>
      <c r="P1491" s="4" t="s">
        <v>233</v>
      </c>
    </row>
    <row r="1492" spans="1:16" x14ac:dyDescent="0.35">
      <c r="A1492" t="s">
        <v>11442</v>
      </c>
      <c r="B1492" t="s">
        <v>11443</v>
      </c>
      <c r="C1492" t="s">
        <v>16</v>
      </c>
      <c r="D1492" s="6">
        <v>915093624.48377967</v>
      </c>
      <c r="E1492" s="6">
        <v>4178262624.4837799</v>
      </c>
      <c r="F1492" s="6">
        <v>23.209999084472656</v>
      </c>
      <c r="G1492" s="6">
        <v>23.209999084472656</v>
      </c>
      <c r="H1492" s="6">
        <v>11.159340134620141</v>
      </c>
      <c r="I1492" s="6">
        <v>-6.0922473295783486E-2</v>
      </c>
      <c r="J1492" s="6">
        <v>1042153000</v>
      </c>
      <c r="K1492" s="6" t="e">
        <v>#N/A</v>
      </c>
      <c r="L1492" t="s">
        <v>6529</v>
      </c>
      <c r="M1492" t="s">
        <v>6646</v>
      </c>
      <c r="N1492" s="4" t="s">
        <v>11444</v>
      </c>
      <c r="O1492" s="4" t="s">
        <v>11445</v>
      </c>
      <c r="P1492" s="4" t="s">
        <v>233</v>
      </c>
    </row>
    <row r="1493" spans="1:16" x14ac:dyDescent="0.35">
      <c r="A1493" t="s">
        <v>11446</v>
      </c>
      <c r="B1493" t="s">
        <v>11447</v>
      </c>
      <c r="C1493" t="s">
        <v>16</v>
      </c>
      <c r="D1493" s="6">
        <v>1057166065.6266135</v>
      </c>
      <c r="E1493" s="6">
        <v>939096065.6266135</v>
      </c>
      <c r="F1493" s="6">
        <v>32.369998931884766</v>
      </c>
      <c r="G1493" s="6">
        <v>32.930000305175781</v>
      </c>
      <c r="H1493" s="6">
        <v>31.124998972966118</v>
      </c>
      <c r="I1493" s="6">
        <v>0.52745311862820254</v>
      </c>
      <c r="J1493" s="6">
        <v>283398000</v>
      </c>
      <c r="K1493" s="6">
        <v>121.27659574468088</v>
      </c>
      <c r="L1493" t="s">
        <v>6529</v>
      </c>
      <c r="M1493" t="s">
        <v>6664</v>
      </c>
      <c r="N1493" s="4" t="s">
        <v>11448</v>
      </c>
      <c r="O1493" s="4" t="s">
        <v>11449</v>
      </c>
      <c r="P1493" s="4" t="s">
        <v>233</v>
      </c>
    </row>
    <row r="1494" spans="1:16" x14ac:dyDescent="0.35">
      <c r="A1494" t="s">
        <v>11450</v>
      </c>
      <c r="B1494" t="s">
        <v>675</v>
      </c>
      <c r="C1494" t="s">
        <v>16</v>
      </c>
      <c r="D1494" s="6">
        <v>1476822708.5449905</v>
      </c>
      <c r="E1494" s="6">
        <v>725306708.54499042</v>
      </c>
      <c r="F1494" s="6">
        <v>22.260000228881836</v>
      </c>
      <c r="G1494" s="6">
        <v>21.409999847412109</v>
      </c>
      <c r="H1494" s="6" t="e">
        <v>#N/A</v>
      </c>
      <c r="I1494" s="6">
        <v>-0.40697288332682025</v>
      </c>
      <c r="J1494" s="6">
        <v>9977000</v>
      </c>
      <c r="K1494" s="6">
        <v>2.6515151515151452</v>
      </c>
      <c r="L1494" t="s">
        <v>17</v>
      </c>
      <c r="M1494" t="s">
        <v>18</v>
      </c>
      <c r="N1494" s="4" t="s">
        <v>676</v>
      </c>
      <c r="O1494" s="4" t="s">
        <v>677</v>
      </c>
      <c r="P1494" s="4" t="s">
        <v>233</v>
      </c>
    </row>
    <row r="1495" spans="1:16" x14ac:dyDescent="0.35">
      <c r="A1495" t="s">
        <v>11451</v>
      </c>
      <c r="B1495" t="s">
        <v>11452</v>
      </c>
      <c r="C1495" t="s">
        <v>16</v>
      </c>
      <c r="D1495" s="6">
        <v>5330121853.1445923</v>
      </c>
      <c r="E1495" s="6" t="e">
        <v>#N/A</v>
      </c>
      <c r="F1495" s="6">
        <v>299.79000854492188</v>
      </c>
      <c r="G1495" s="6">
        <v>297.55999755859375</v>
      </c>
      <c r="H1495" s="6">
        <v>24.036743009382008</v>
      </c>
      <c r="I1495" s="6">
        <v>0.60273348092762746</v>
      </c>
      <c r="J1495" s="6">
        <v>1531595000</v>
      </c>
      <c r="K1495" s="6">
        <v>100</v>
      </c>
      <c r="L1495" t="s">
        <v>6529</v>
      </c>
      <c r="M1495" t="s">
        <v>6568</v>
      </c>
      <c r="N1495" s="4" t="s">
        <v>11453</v>
      </c>
      <c r="O1495" s="4" t="s">
        <v>11454</v>
      </c>
      <c r="P1495" s="4" t="s">
        <v>233</v>
      </c>
    </row>
    <row r="1496" spans="1:16" x14ac:dyDescent="0.35">
      <c r="A1496" t="s">
        <v>11455</v>
      </c>
      <c r="B1496" t="s">
        <v>11456</v>
      </c>
      <c r="C1496" t="s">
        <v>16</v>
      </c>
      <c r="D1496" s="6">
        <v>473400039.7899313</v>
      </c>
      <c r="E1496" s="6">
        <v>2489509039.7899313</v>
      </c>
      <c r="F1496" s="6">
        <v>5.9800000190734863</v>
      </c>
      <c r="G1496" s="6">
        <v>5.9000000953674316</v>
      </c>
      <c r="H1496" s="6">
        <v>22.333933457851181</v>
      </c>
      <c r="I1496" s="6">
        <v>-0.35771145956528083</v>
      </c>
      <c r="J1496" s="6">
        <v>1959014000</v>
      </c>
      <c r="K1496" s="6">
        <v>40.350877192982473</v>
      </c>
      <c r="L1496" t="s">
        <v>6735</v>
      </c>
      <c r="M1496" t="s">
        <v>6747</v>
      </c>
      <c r="N1496" s="4" t="s">
        <v>11457</v>
      </c>
      <c r="O1496" s="4" t="s">
        <v>11458</v>
      </c>
      <c r="P1496" s="4" t="s">
        <v>233</v>
      </c>
    </row>
    <row r="1497" spans="1:16" x14ac:dyDescent="0.35">
      <c r="A1497" t="s">
        <v>11459</v>
      </c>
      <c r="B1497" t="s">
        <v>11460</v>
      </c>
      <c r="C1497" t="s">
        <v>16</v>
      </c>
      <c r="D1497" s="6">
        <v>4080159808.0257168</v>
      </c>
      <c r="E1497" s="6" t="e">
        <v>#N/A</v>
      </c>
      <c r="F1497" s="6">
        <v>24.719999313354492</v>
      </c>
      <c r="G1497" s="6">
        <v>24.909999847412109</v>
      </c>
      <c r="H1497" s="6">
        <v>11.48604381208167</v>
      </c>
      <c r="I1497" s="6">
        <v>0.23863549445710008</v>
      </c>
      <c r="J1497" s="6">
        <v>2113297000</v>
      </c>
      <c r="K1497" s="6">
        <v>-35.964912280701753</v>
      </c>
      <c r="L1497" t="s">
        <v>6529</v>
      </c>
      <c r="M1497" t="s">
        <v>6530</v>
      </c>
      <c r="N1497" s="4" t="s">
        <v>11461</v>
      </c>
      <c r="O1497" s="4" t="s">
        <v>11462</v>
      </c>
      <c r="P1497" s="4" t="s">
        <v>233</v>
      </c>
    </row>
    <row r="1498" spans="1:16" x14ac:dyDescent="0.35">
      <c r="A1498" t="s">
        <v>11464</v>
      </c>
      <c r="B1498" t="s">
        <v>11465</v>
      </c>
      <c r="C1498" t="s">
        <v>16</v>
      </c>
      <c r="D1498" s="6">
        <v>430638301.65814257</v>
      </c>
      <c r="E1498" s="6">
        <v>735707301.65814257</v>
      </c>
      <c r="F1498" s="6">
        <v>3.2699999809265137</v>
      </c>
      <c r="G1498" s="6">
        <v>2.8199999332427979</v>
      </c>
      <c r="H1498" s="6" t="e">
        <v>#N/A</v>
      </c>
      <c r="I1498" s="6">
        <v>0.17573737275975443</v>
      </c>
      <c r="J1498" s="6">
        <v>717440000</v>
      </c>
      <c r="K1498" s="6">
        <v>18.181818181818187</v>
      </c>
      <c r="L1498" t="s">
        <v>6518</v>
      </c>
      <c r="M1498" t="s">
        <v>6519</v>
      </c>
      <c r="N1498" s="4" t="s">
        <v>11466</v>
      </c>
      <c r="O1498" s="4" t="s">
        <v>11467</v>
      </c>
      <c r="P1498" s="4" t="s">
        <v>233</v>
      </c>
    </row>
    <row r="1499" spans="1:16" x14ac:dyDescent="0.35">
      <c r="A1499" t="s">
        <v>11468</v>
      </c>
      <c r="B1499" t="s">
        <v>3343</v>
      </c>
      <c r="C1499" t="s">
        <v>16</v>
      </c>
      <c r="D1499" s="6">
        <v>2160692406.4881964</v>
      </c>
      <c r="E1499" s="6">
        <v>2505704406.4881964</v>
      </c>
      <c r="F1499" s="6">
        <v>12.550000190734863</v>
      </c>
      <c r="G1499" s="6">
        <v>12.949999809265137</v>
      </c>
      <c r="H1499" s="6" t="e">
        <v>#N/A</v>
      </c>
      <c r="I1499" s="6">
        <v>-0.40436833680481876</v>
      </c>
      <c r="J1499" s="6">
        <v>2589610000</v>
      </c>
      <c r="K1499" s="6">
        <v>76.601784266017845</v>
      </c>
      <c r="L1499" t="s">
        <v>17</v>
      </c>
      <c r="M1499" t="s">
        <v>32</v>
      </c>
      <c r="N1499" s="4" t="s">
        <v>3344</v>
      </c>
      <c r="O1499" s="4" t="s">
        <v>3345</v>
      </c>
      <c r="P1499" s="4" t="s">
        <v>233</v>
      </c>
    </row>
    <row r="1500" spans="1:16" x14ac:dyDescent="0.35">
      <c r="A1500" t="s">
        <v>11469</v>
      </c>
      <c r="B1500" t="s">
        <v>11470</v>
      </c>
      <c r="C1500" t="s">
        <v>16</v>
      </c>
      <c r="D1500" s="6">
        <v>275535205.25424957</v>
      </c>
      <c r="E1500" s="6">
        <v>329555205.25424957</v>
      </c>
      <c r="F1500" s="6">
        <v>52.290000915527344</v>
      </c>
      <c r="G1500" s="6">
        <v>54.409999847412109</v>
      </c>
      <c r="H1500" s="6">
        <v>17.769450110639326</v>
      </c>
      <c r="I1500" s="6">
        <v>0.56544471975038846</v>
      </c>
      <c r="J1500" s="6">
        <v>430531000</v>
      </c>
      <c r="K1500" s="6">
        <v>28.093645484949839</v>
      </c>
      <c r="L1500" t="s">
        <v>6540</v>
      </c>
      <c r="M1500" t="s">
        <v>6797</v>
      </c>
      <c r="N1500" s="4" t="s">
        <v>11471</v>
      </c>
      <c r="O1500" s="4" t="s">
        <v>11472</v>
      </c>
      <c r="P1500" s="4" t="s">
        <v>233</v>
      </c>
    </row>
    <row r="1501" spans="1:16" x14ac:dyDescent="0.35">
      <c r="A1501" t="s">
        <v>11474</v>
      </c>
      <c r="B1501" t="s">
        <v>11475</v>
      </c>
      <c r="C1501" t="s">
        <v>16</v>
      </c>
      <c r="D1501" s="6">
        <v>4760225439.2729073</v>
      </c>
      <c r="E1501" s="6">
        <v>6074147439.2729073</v>
      </c>
      <c r="F1501" s="6">
        <v>40.009998321533203</v>
      </c>
      <c r="G1501" s="6">
        <v>39.630001068115234</v>
      </c>
      <c r="H1501" s="6">
        <v>73.709029534336509</v>
      </c>
      <c r="I1501" s="6">
        <v>0.60474646887644923</v>
      </c>
      <c r="J1501" s="6">
        <v>1343793000</v>
      </c>
      <c r="K1501" s="6">
        <v>64.97175141242937</v>
      </c>
      <c r="L1501" t="s">
        <v>6529</v>
      </c>
      <c r="M1501" t="s">
        <v>6664</v>
      </c>
      <c r="N1501" s="4" t="s">
        <v>11476</v>
      </c>
      <c r="O1501" s="4" t="s">
        <v>11477</v>
      </c>
      <c r="P1501" s="4" t="s">
        <v>233</v>
      </c>
    </row>
    <row r="1502" spans="1:16" x14ac:dyDescent="0.35">
      <c r="A1502" t="s">
        <v>11473</v>
      </c>
      <c r="B1502" t="s">
        <v>1808</v>
      </c>
      <c r="C1502" t="s">
        <v>16</v>
      </c>
      <c r="D1502" s="6">
        <v>134839006.74743533</v>
      </c>
      <c r="E1502" s="6">
        <v>-1393993.2525646687</v>
      </c>
      <c r="F1502" s="6">
        <v>0.73100000619888306</v>
      </c>
      <c r="G1502" s="6">
        <v>0.66350001096725464</v>
      </c>
      <c r="H1502" s="6" t="e">
        <v>#N/A</v>
      </c>
      <c r="I1502" s="6">
        <v>2.6611529399181322E-2</v>
      </c>
      <c r="J1502" s="6">
        <v>93137000</v>
      </c>
      <c r="K1502" s="6">
        <v>46.15384615384616</v>
      </c>
      <c r="L1502" t="s">
        <v>17</v>
      </c>
      <c r="M1502" t="s">
        <v>87</v>
      </c>
      <c r="N1502" s="4" t="s">
        <v>1809</v>
      </c>
      <c r="O1502" s="4" t="s">
        <v>1810</v>
      </c>
      <c r="P1502" s="4" t="s">
        <v>233</v>
      </c>
    </row>
    <row r="1503" spans="1:16" x14ac:dyDescent="0.35">
      <c r="A1503" t="s">
        <v>11478</v>
      </c>
      <c r="B1503" t="s">
        <v>11479</v>
      </c>
      <c r="C1503" t="s">
        <v>16</v>
      </c>
      <c r="D1503" s="6">
        <v>688259159.90148926</v>
      </c>
      <c r="E1503" s="6">
        <v>684586159.90148926</v>
      </c>
      <c r="F1503" s="6">
        <v>140.52999877929688</v>
      </c>
      <c r="G1503" s="6">
        <v>141.11000061035156</v>
      </c>
      <c r="H1503" s="6">
        <v>21.100600417311846</v>
      </c>
      <c r="I1503" s="6">
        <v>6.215345074102907E-2</v>
      </c>
      <c r="J1503" s="6">
        <v>572200000</v>
      </c>
      <c r="K1503" s="6">
        <v>-54.832214765100687</v>
      </c>
      <c r="L1503" t="s">
        <v>6547</v>
      </c>
      <c r="M1503" t="s">
        <v>6602</v>
      </c>
      <c r="N1503" s="4" t="s">
        <v>11480</v>
      </c>
      <c r="O1503" s="4" t="s">
        <v>11481</v>
      </c>
      <c r="P1503" s="4" t="s">
        <v>233</v>
      </c>
    </row>
    <row r="1504" spans="1:16" x14ac:dyDescent="0.35">
      <c r="A1504" t="s">
        <v>11482</v>
      </c>
      <c r="B1504" t="s">
        <v>4242</v>
      </c>
      <c r="C1504" t="s">
        <v>16</v>
      </c>
      <c r="D1504" s="6">
        <v>278705794.49999994</v>
      </c>
      <c r="E1504" s="6">
        <v>183493794.49999994</v>
      </c>
      <c r="F1504" s="6">
        <v>29.75</v>
      </c>
      <c r="G1504" s="6">
        <v>29.649999618530273</v>
      </c>
      <c r="H1504" s="6" t="e">
        <v>#N/A</v>
      </c>
      <c r="I1504" s="6">
        <v>-0.45818197460289389</v>
      </c>
      <c r="J1504" s="6">
        <v>0</v>
      </c>
      <c r="K1504" s="6">
        <v>99.026214041655521</v>
      </c>
      <c r="L1504" t="s">
        <v>17</v>
      </c>
      <c r="M1504" t="s">
        <v>18</v>
      </c>
      <c r="N1504" s="4" t="s">
        <v>4243</v>
      </c>
      <c r="O1504" s="4" t="s">
        <v>4244</v>
      </c>
      <c r="P1504" s="4" t="s">
        <v>233</v>
      </c>
    </row>
    <row r="1505" spans="1:16" x14ac:dyDescent="0.35">
      <c r="A1505" t="s">
        <v>11483</v>
      </c>
      <c r="B1505" t="s">
        <v>11484</v>
      </c>
      <c r="C1505" t="s">
        <v>16</v>
      </c>
      <c r="D1505" s="6">
        <v>755398997.05685806</v>
      </c>
      <c r="E1505" s="6" t="e">
        <v>#N/A</v>
      </c>
      <c r="F1505" s="6">
        <v>17.280000686645508</v>
      </c>
      <c r="G1505" s="6">
        <v>17.399999618530273</v>
      </c>
      <c r="H1505" s="6">
        <v>21.600000858306885</v>
      </c>
      <c r="I1505" s="6">
        <v>0.41330615518176272</v>
      </c>
      <c r="J1505" s="6">
        <v>359454000</v>
      </c>
      <c r="K1505" s="6">
        <v>26.562500000000004</v>
      </c>
      <c r="L1505" t="s">
        <v>6529</v>
      </c>
      <c r="M1505" t="s">
        <v>6530</v>
      </c>
      <c r="N1505" s="4" t="s">
        <v>11485</v>
      </c>
      <c r="O1505" s="4" t="s">
        <v>11486</v>
      </c>
      <c r="P1505" s="4" t="s">
        <v>233</v>
      </c>
    </row>
    <row r="1506" spans="1:16" x14ac:dyDescent="0.35">
      <c r="A1506" t="s">
        <v>11487</v>
      </c>
      <c r="B1506" t="s">
        <v>3003</v>
      </c>
      <c r="C1506" t="s">
        <v>16</v>
      </c>
      <c r="D1506" s="6">
        <v>358786333.62909222</v>
      </c>
      <c r="E1506" s="6">
        <v>301655566.62909222</v>
      </c>
      <c r="F1506" s="6">
        <v>6.0250000953674316</v>
      </c>
      <c r="G1506" s="6">
        <v>5.809999942779541</v>
      </c>
      <c r="H1506" s="6" t="e">
        <v>#N/A</v>
      </c>
      <c r="I1506" s="6">
        <v>0.77449574685596412</v>
      </c>
      <c r="J1506" s="6">
        <v>0</v>
      </c>
      <c r="K1506" s="6">
        <v>3.8462129950019133</v>
      </c>
      <c r="L1506" t="s">
        <v>17</v>
      </c>
      <c r="M1506" t="s">
        <v>18</v>
      </c>
      <c r="N1506" s="4" t="s">
        <v>3004</v>
      </c>
      <c r="O1506" s="4" t="s">
        <v>3005</v>
      </c>
      <c r="P1506" s="4" t="s">
        <v>233</v>
      </c>
    </row>
    <row r="1507" spans="1:16" x14ac:dyDescent="0.35">
      <c r="A1507" t="s">
        <v>11492</v>
      </c>
      <c r="B1507" t="s">
        <v>11493</v>
      </c>
      <c r="C1507" t="s">
        <v>16</v>
      </c>
      <c r="D1507" s="6">
        <v>1762457815.3859141</v>
      </c>
      <c r="E1507" s="6">
        <v>3026522815.3859138</v>
      </c>
      <c r="F1507" s="6">
        <v>8.4899997711181641</v>
      </c>
      <c r="G1507" s="6">
        <v>8.4700002670288086</v>
      </c>
      <c r="H1507" s="6">
        <v>21.985989488982831</v>
      </c>
      <c r="I1507" s="6">
        <v>-5.522135159049657E-2</v>
      </c>
      <c r="J1507" s="6">
        <v>1114379000</v>
      </c>
      <c r="K1507" s="6">
        <v>-30.000000000000007</v>
      </c>
      <c r="L1507" t="s">
        <v>6623</v>
      </c>
      <c r="M1507" t="s">
        <v>7409</v>
      </c>
      <c r="N1507" s="4" t="s">
        <v>11494</v>
      </c>
      <c r="O1507" s="4" t="s">
        <v>11495</v>
      </c>
      <c r="P1507" s="4" t="s">
        <v>233</v>
      </c>
    </row>
    <row r="1508" spans="1:16" x14ac:dyDescent="0.35">
      <c r="A1508" t="s">
        <v>11488</v>
      </c>
      <c r="B1508" t="s">
        <v>11489</v>
      </c>
      <c r="C1508" t="s">
        <v>16</v>
      </c>
      <c r="D1508" s="6">
        <v>2357877252.1316605</v>
      </c>
      <c r="E1508" s="6">
        <v>3007071252.1316605</v>
      </c>
      <c r="F1508" s="6">
        <v>30.569999694824219</v>
      </c>
      <c r="G1508" s="6">
        <v>29.719999313354492</v>
      </c>
      <c r="H1508" s="6">
        <v>160.93030930428947</v>
      </c>
      <c r="I1508" s="6">
        <v>0.23703101371261792</v>
      </c>
      <c r="J1508" s="6">
        <v>273974000</v>
      </c>
      <c r="K1508" s="6">
        <v>137.5</v>
      </c>
      <c r="L1508" t="s">
        <v>6623</v>
      </c>
      <c r="M1508" t="s">
        <v>7043</v>
      </c>
      <c r="N1508" s="4" t="s">
        <v>11490</v>
      </c>
      <c r="O1508" s="4" t="s">
        <v>11491</v>
      </c>
      <c r="P1508" s="4" t="s">
        <v>233</v>
      </c>
    </row>
    <row r="1509" spans="1:16" x14ac:dyDescent="0.35">
      <c r="A1509" t="s">
        <v>11496</v>
      </c>
      <c r="B1509" t="s">
        <v>11497</v>
      </c>
      <c r="C1509" t="s">
        <v>16</v>
      </c>
      <c r="D1509" s="6">
        <v>225469653.798316</v>
      </c>
      <c r="E1509" s="6">
        <v>715002653.798316</v>
      </c>
      <c r="F1509" s="6">
        <v>4.0300002098083496</v>
      </c>
      <c r="G1509" s="6">
        <v>3.9700000286102295</v>
      </c>
      <c r="H1509" s="6" t="e">
        <v>#N/A</v>
      </c>
      <c r="I1509" s="6">
        <v>-0.12664561317101708</v>
      </c>
      <c r="J1509" s="6">
        <v>170250000</v>
      </c>
      <c r="K1509" s="6">
        <v>-45.283018867924525</v>
      </c>
      <c r="L1509" t="s">
        <v>6623</v>
      </c>
      <c r="M1509" t="s">
        <v>6866</v>
      </c>
      <c r="N1509" s="4" t="s">
        <v>11498</v>
      </c>
      <c r="O1509" s="4" t="s">
        <v>11499</v>
      </c>
      <c r="P1509" s="4" t="s">
        <v>233</v>
      </c>
    </row>
    <row r="1510" spans="1:16" x14ac:dyDescent="0.35">
      <c r="A1510" t="s">
        <v>11500</v>
      </c>
      <c r="B1510" t="s">
        <v>11501</v>
      </c>
      <c r="C1510" t="s">
        <v>16</v>
      </c>
      <c r="D1510" s="6">
        <v>254467599.58255863</v>
      </c>
      <c r="E1510" s="6">
        <v>204879599.58255863</v>
      </c>
      <c r="F1510" s="6">
        <v>5.630000114440918</v>
      </c>
      <c r="G1510" s="6">
        <v>5.630000114440918</v>
      </c>
      <c r="H1510" s="6">
        <v>8.6615386376014118</v>
      </c>
      <c r="I1510" s="6">
        <v>-0.61781611781442503</v>
      </c>
      <c r="J1510" s="6">
        <v>247331000</v>
      </c>
      <c r="K1510" s="6">
        <v>-41.880341880341895</v>
      </c>
      <c r="L1510" t="s">
        <v>6547</v>
      </c>
      <c r="M1510" t="s">
        <v>6875</v>
      </c>
      <c r="N1510" s="4" t="s">
        <v>11502</v>
      </c>
      <c r="O1510" s="4" t="s">
        <v>11503</v>
      </c>
      <c r="P1510" s="4" t="s">
        <v>233</v>
      </c>
    </row>
    <row r="1511" spans="1:16" x14ac:dyDescent="0.35">
      <c r="A1511" t="s">
        <v>11504</v>
      </c>
      <c r="B1511" t="s">
        <v>11505</v>
      </c>
      <c r="C1511" t="s">
        <v>16</v>
      </c>
      <c r="D1511" s="6">
        <v>4543519442.900466</v>
      </c>
      <c r="E1511" s="6">
        <v>5403367442.900466</v>
      </c>
      <c r="F1511" s="6">
        <v>112.63999938964844</v>
      </c>
      <c r="G1511" s="6">
        <v>110.08000183105469</v>
      </c>
      <c r="H1511" s="6">
        <v>21.218628047215297</v>
      </c>
      <c r="I1511" s="6">
        <v>0.31536933701534164</v>
      </c>
      <c r="J1511" s="6">
        <v>2460979000</v>
      </c>
      <c r="K1511" s="6">
        <v>-15.130434782608699</v>
      </c>
      <c r="L1511" t="s">
        <v>6518</v>
      </c>
      <c r="M1511" t="s">
        <v>6714</v>
      </c>
      <c r="N1511" s="4" t="s">
        <v>11506</v>
      </c>
      <c r="O1511" s="4" t="s">
        <v>11507</v>
      </c>
      <c r="P1511" s="4" t="s">
        <v>233</v>
      </c>
    </row>
    <row r="1512" spans="1:16" x14ac:dyDescent="0.35">
      <c r="A1512" t="s">
        <v>11508</v>
      </c>
      <c r="B1512" t="s">
        <v>11509</v>
      </c>
      <c r="C1512" t="s">
        <v>16</v>
      </c>
      <c r="D1512" s="6">
        <v>1513476725.2286947</v>
      </c>
      <c r="E1512" s="6" t="e">
        <v>#N/A</v>
      </c>
      <c r="F1512" s="6">
        <v>33.520000457763672</v>
      </c>
      <c r="G1512" s="6">
        <v>34.029998779296875</v>
      </c>
      <c r="H1512" s="6">
        <v>19.323482387651229</v>
      </c>
      <c r="I1512" s="6">
        <v>0.51596498316021289</v>
      </c>
      <c r="J1512" s="6">
        <v>751587000</v>
      </c>
      <c r="K1512" s="6">
        <v>-83.941605839416056</v>
      </c>
      <c r="L1512" t="s">
        <v>6529</v>
      </c>
      <c r="M1512" t="s">
        <v>6530</v>
      </c>
      <c r="N1512" s="4" t="s">
        <v>11510</v>
      </c>
      <c r="O1512" s="4" t="s">
        <v>11511</v>
      </c>
      <c r="P1512" s="4" t="s">
        <v>233</v>
      </c>
    </row>
    <row r="1513" spans="1:16" x14ac:dyDescent="0.35">
      <c r="A1513" t="s">
        <v>11512</v>
      </c>
      <c r="B1513" t="s">
        <v>11513</v>
      </c>
      <c r="C1513" t="s">
        <v>16</v>
      </c>
      <c r="D1513" s="6">
        <v>408330080.48858643</v>
      </c>
      <c r="E1513" s="6">
        <v>3398330080.4885864</v>
      </c>
      <c r="F1513" s="6">
        <v>3.6700000762939453</v>
      </c>
      <c r="G1513" s="6">
        <v>3.5</v>
      </c>
      <c r="H1513" s="6" t="e">
        <v>#N/A</v>
      </c>
      <c r="I1513" s="6">
        <v>-0.52487206748348891</v>
      </c>
      <c r="J1513" s="6">
        <v>5580000000</v>
      </c>
      <c r="K1513" s="6">
        <v>61.822660098522164</v>
      </c>
      <c r="L1513" t="s">
        <v>6623</v>
      </c>
      <c r="M1513" t="s">
        <v>6634</v>
      </c>
      <c r="N1513" s="4" t="s">
        <v>11514</v>
      </c>
      <c r="O1513" s="4" t="s">
        <v>11515</v>
      </c>
      <c r="P1513" s="4" t="s">
        <v>233</v>
      </c>
    </row>
    <row r="1514" spans="1:16" x14ac:dyDescent="0.35">
      <c r="A1514" t="s">
        <v>11520</v>
      </c>
      <c r="B1514" t="s">
        <v>11521</v>
      </c>
      <c r="C1514" t="s">
        <v>16</v>
      </c>
      <c r="D1514" s="6">
        <v>3129806796.7189865</v>
      </c>
      <c r="E1514" s="6">
        <v>4618902796.7189865</v>
      </c>
      <c r="F1514" s="6">
        <v>93.150001525878906</v>
      </c>
      <c r="G1514" s="6">
        <v>92.010002136230469</v>
      </c>
      <c r="H1514" s="6">
        <v>21.757070002613393</v>
      </c>
      <c r="I1514" s="6">
        <v>0.26398472510360826</v>
      </c>
      <c r="J1514" s="6">
        <v>3715683000</v>
      </c>
      <c r="K1514" s="6">
        <v>-3.9909638554216884</v>
      </c>
      <c r="L1514" t="s">
        <v>6540</v>
      </c>
      <c r="M1514" t="s">
        <v>6881</v>
      </c>
      <c r="N1514" s="4" t="s">
        <v>11522</v>
      </c>
      <c r="O1514" s="4" t="s">
        <v>11523</v>
      </c>
      <c r="P1514" s="4" t="s">
        <v>233</v>
      </c>
    </row>
    <row r="1515" spans="1:16" x14ac:dyDescent="0.35">
      <c r="A1515" t="s">
        <v>11516</v>
      </c>
      <c r="B1515" t="s">
        <v>11517</v>
      </c>
      <c r="C1515" t="s">
        <v>16</v>
      </c>
      <c r="D1515" s="6">
        <v>1103447375.7188873</v>
      </c>
      <c r="E1515" s="6">
        <v>977665375.71888733</v>
      </c>
      <c r="F1515" s="6">
        <v>35.549999237060547</v>
      </c>
      <c r="G1515" s="6">
        <v>33.979999542236328</v>
      </c>
      <c r="H1515" s="6">
        <v>44.977794806438027</v>
      </c>
      <c r="I1515" s="6">
        <v>1.1951425344328159</v>
      </c>
      <c r="J1515" s="6">
        <v>414324000</v>
      </c>
      <c r="K1515" s="6">
        <v>27.419354838709683</v>
      </c>
      <c r="L1515" t="s">
        <v>6547</v>
      </c>
      <c r="M1515" t="s">
        <v>6802</v>
      </c>
      <c r="N1515" s="4" t="s">
        <v>11518</v>
      </c>
      <c r="O1515" s="4" t="s">
        <v>11519</v>
      </c>
      <c r="P1515" s="4" t="s">
        <v>233</v>
      </c>
    </row>
    <row r="1516" spans="1:16" x14ac:dyDescent="0.35">
      <c r="A1516" t="s">
        <v>11524</v>
      </c>
      <c r="B1516" t="s">
        <v>11525</v>
      </c>
      <c r="C1516" t="s">
        <v>16</v>
      </c>
      <c r="D1516" s="6">
        <v>2406193667.3283577</v>
      </c>
      <c r="E1516" s="6" t="e">
        <v>#N/A</v>
      </c>
      <c r="F1516" s="6">
        <v>24.950000762939453</v>
      </c>
      <c r="G1516" s="6">
        <v>25.559999465942383</v>
      </c>
      <c r="H1516" s="6">
        <v>15.101278895457666</v>
      </c>
      <c r="I1516" s="6">
        <v>5.651356781114325E-2</v>
      </c>
      <c r="J1516" s="6">
        <v>905406000</v>
      </c>
      <c r="K1516" s="6">
        <v>432.25806451612902</v>
      </c>
      <c r="L1516" t="s">
        <v>6529</v>
      </c>
      <c r="M1516" t="s">
        <v>6530</v>
      </c>
      <c r="N1516" s="4" t="s">
        <v>11526</v>
      </c>
      <c r="O1516" s="4" t="s">
        <v>11527</v>
      </c>
      <c r="P1516" s="4" t="s">
        <v>233</v>
      </c>
    </row>
    <row r="1517" spans="1:16" x14ac:dyDescent="0.35">
      <c r="A1517" t="s">
        <v>11528</v>
      </c>
      <c r="B1517" t="s">
        <v>11529</v>
      </c>
      <c r="C1517" t="s">
        <v>16</v>
      </c>
      <c r="D1517" s="6">
        <v>4888470718.5825348</v>
      </c>
      <c r="E1517" s="6">
        <v>6477849718.5825348</v>
      </c>
      <c r="F1517" s="6">
        <v>30.479999542236328</v>
      </c>
      <c r="G1517" s="6">
        <v>31.270000457763672</v>
      </c>
      <c r="H1517" s="6">
        <v>10.278552673953488</v>
      </c>
      <c r="I1517" s="6">
        <v>-0.28347001409177419</v>
      </c>
      <c r="J1517" s="6">
        <v>2773456000</v>
      </c>
      <c r="K1517" s="6">
        <v>2.0348837209302411</v>
      </c>
      <c r="L1517" t="s">
        <v>6523</v>
      </c>
      <c r="M1517" t="s">
        <v>6588</v>
      </c>
      <c r="N1517" s="4" t="s">
        <v>233</v>
      </c>
      <c r="O1517" s="4" t="s">
        <v>11530</v>
      </c>
      <c r="P1517" s="4" t="s">
        <v>13258</v>
      </c>
    </row>
    <row r="1518" spans="1:16" x14ac:dyDescent="0.35">
      <c r="A1518" t="s">
        <v>11531</v>
      </c>
      <c r="B1518" t="s">
        <v>1356</v>
      </c>
      <c r="C1518" t="s">
        <v>16</v>
      </c>
      <c r="D1518" s="6">
        <v>4171581376.8367534</v>
      </c>
      <c r="E1518" s="6">
        <v>5147839376.8367538</v>
      </c>
      <c r="F1518" s="6">
        <v>84.209999084472656</v>
      </c>
      <c r="G1518" s="6">
        <v>85.160003662109375</v>
      </c>
      <c r="H1518" s="6">
        <v>19.902014091522478</v>
      </c>
      <c r="I1518" s="6">
        <v>0.23856734971294657</v>
      </c>
      <c r="J1518" s="6">
        <v>1118235000</v>
      </c>
      <c r="K1518" s="6" t="e">
        <v>#N/A</v>
      </c>
      <c r="L1518" t="s">
        <v>17</v>
      </c>
      <c r="M1518" t="s">
        <v>87</v>
      </c>
      <c r="N1518" s="4" t="s">
        <v>1357</v>
      </c>
      <c r="O1518" s="4" t="s">
        <v>1358</v>
      </c>
      <c r="P1518" s="4" t="s">
        <v>233</v>
      </c>
    </row>
    <row r="1519" spans="1:16" x14ac:dyDescent="0.35">
      <c r="A1519" t="s">
        <v>11532</v>
      </c>
      <c r="B1519" t="s">
        <v>11533</v>
      </c>
      <c r="C1519" t="s">
        <v>16</v>
      </c>
      <c r="D1519" s="6">
        <v>607257034.3632431</v>
      </c>
      <c r="E1519" s="6">
        <v>1635657034.3632431</v>
      </c>
      <c r="F1519" s="6">
        <v>29.959999084472656</v>
      </c>
      <c r="G1519" s="6">
        <v>30.090000152587891</v>
      </c>
      <c r="H1519" s="6">
        <v>7.5973272126512876</v>
      </c>
      <c r="I1519" s="6">
        <v>-0.42065020594932545</v>
      </c>
      <c r="J1519" s="6">
        <v>2128300000</v>
      </c>
      <c r="K1519" s="6">
        <v>-15.94877598152425</v>
      </c>
      <c r="L1519" t="s">
        <v>6563</v>
      </c>
      <c r="M1519" t="s">
        <v>6764</v>
      </c>
      <c r="N1519" s="4" t="s">
        <v>11534</v>
      </c>
      <c r="O1519" s="4" t="s">
        <v>11535</v>
      </c>
      <c r="P1519" s="4" t="s">
        <v>233</v>
      </c>
    </row>
    <row r="1520" spans="1:16" x14ac:dyDescent="0.35">
      <c r="A1520" t="s">
        <v>11536</v>
      </c>
      <c r="B1520" t="s">
        <v>3291</v>
      </c>
      <c r="C1520" t="s">
        <v>16</v>
      </c>
      <c r="D1520" s="6">
        <v>98156809.692139372</v>
      </c>
      <c r="E1520" s="6">
        <v>-84961190.307860628</v>
      </c>
      <c r="F1520" s="6">
        <v>3.2200000286102295</v>
      </c>
      <c r="G1520" s="6">
        <v>3.25</v>
      </c>
      <c r="H1520" s="6" t="e">
        <v>#N/A</v>
      </c>
      <c r="I1520" s="6">
        <v>-0.46420106627886804</v>
      </c>
      <c r="J1520" s="6">
        <v>0</v>
      </c>
      <c r="K1520" s="6">
        <v>-40.372835869743078</v>
      </c>
      <c r="L1520" t="s">
        <v>17</v>
      </c>
      <c r="M1520" t="s">
        <v>18</v>
      </c>
      <c r="N1520" s="4" t="s">
        <v>3292</v>
      </c>
      <c r="O1520" s="4" t="s">
        <v>3293</v>
      </c>
      <c r="P1520" s="4" t="s">
        <v>233</v>
      </c>
    </row>
    <row r="1521" spans="1:16" x14ac:dyDescent="0.35">
      <c r="A1521" t="s">
        <v>11537</v>
      </c>
      <c r="B1521" t="s">
        <v>11538</v>
      </c>
      <c r="C1521" t="s">
        <v>16</v>
      </c>
      <c r="D1521" s="6">
        <v>300437589.42276764</v>
      </c>
      <c r="E1521" s="6">
        <v>412200589.42276764</v>
      </c>
      <c r="F1521" s="6">
        <v>15.670000076293945</v>
      </c>
      <c r="G1521" s="6">
        <v>15.510000228881836</v>
      </c>
      <c r="H1521" s="6" t="e">
        <v>#N/A</v>
      </c>
      <c r="I1521" s="6">
        <v>-0.17482883382182635</v>
      </c>
      <c r="J1521" s="6">
        <v>891864000</v>
      </c>
      <c r="K1521" s="6">
        <v>-179.3478260869565</v>
      </c>
      <c r="L1521" t="s">
        <v>6540</v>
      </c>
      <c r="M1521" t="s">
        <v>6541</v>
      </c>
      <c r="N1521" s="4" t="s">
        <v>11539</v>
      </c>
      <c r="O1521" s="4" t="s">
        <v>11540</v>
      </c>
      <c r="P1521" s="4" t="s">
        <v>233</v>
      </c>
    </row>
    <row r="1522" spans="1:16" x14ac:dyDescent="0.35">
      <c r="A1522" t="s">
        <v>11541</v>
      </c>
      <c r="B1522" t="s">
        <v>11542</v>
      </c>
      <c r="C1522" t="s">
        <v>16</v>
      </c>
      <c r="D1522" s="6">
        <v>497274065.26062018</v>
      </c>
      <c r="E1522" s="6" t="e">
        <v>#N/A</v>
      </c>
      <c r="F1522" s="6">
        <v>32.569999694824219</v>
      </c>
      <c r="G1522" s="6">
        <v>33.090000152587891</v>
      </c>
      <c r="H1522" s="6">
        <v>11.502948207003703</v>
      </c>
      <c r="I1522" s="6">
        <v>0.30826939273921194</v>
      </c>
      <c r="J1522" s="6">
        <v>225612000</v>
      </c>
      <c r="K1522" s="6">
        <v>-3.3783783783783816</v>
      </c>
      <c r="L1522" t="s">
        <v>6529</v>
      </c>
      <c r="M1522" t="s">
        <v>6530</v>
      </c>
      <c r="N1522" s="4" t="s">
        <v>11543</v>
      </c>
      <c r="O1522" s="4" t="s">
        <v>11544</v>
      </c>
      <c r="P1522" s="4" t="s">
        <v>233</v>
      </c>
    </row>
    <row r="1523" spans="1:16" x14ac:dyDescent="0.35">
      <c r="A1523" t="s">
        <v>11545</v>
      </c>
      <c r="B1523" t="s">
        <v>4590</v>
      </c>
      <c r="C1523" t="s">
        <v>16</v>
      </c>
      <c r="D1523" s="6">
        <v>327909294.48622918</v>
      </c>
      <c r="E1523" s="6">
        <v>233239294.48622918</v>
      </c>
      <c r="F1523" s="6">
        <v>1.6000000238418579</v>
      </c>
      <c r="G1523" s="6">
        <v>1.6000000238418579</v>
      </c>
      <c r="H1523" s="6" t="e">
        <v>#N/A</v>
      </c>
      <c r="I1523" s="6">
        <v>-5.3112854319119052E-2</v>
      </c>
      <c r="J1523" s="6">
        <v>9915000</v>
      </c>
      <c r="K1523" s="6">
        <v>97.517868217054257</v>
      </c>
      <c r="L1523" t="s">
        <v>17</v>
      </c>
      <c r="M1523" t="s">
        <v>18</v>
      </c>
      <c r="N1523" s="4" t="s">
        <v>4591</v>
      </c>
      <c r="O1523" s="4" t="s">
        <v>4592</v>
      </c>
      <c r="P1523" s="4" t="s">
        <v>233</v>
      </c>
    </row>
    <row r="1524" spans="1:16" x14ac:dyDescent="0.35">
      <c r="A1524" t="s">
        <v>11546</v>
      </c>
      <c r="B1524" t="s">
        <v>11547</v>
      </c>
      <c r="C1524" t="s">
        <v>16</v>
      </c>
      <c r="D1524" s="6">
        <v>1930240251.9999998</v>
      </c>
      <c r="E1524" s="6">
        <v>1855477251.9999998</v>
      </c>
      <c r="F1524" s="6">
        <v>33.5</v>
      </c>
      <c r="G1524" s="6">
        <v>32.509998321533203</v>
      </c>
      <c r="H1524" s="6" t="e">
        <v>#N/A</v>
      </c>
      <c r="I1524" s="6">
        <v>-0.48854624466772922</v>
      </c>
      <c r="J1524" s="6">
        <v>392402000</v>
      </c>
      <c r="K1524" s="6">
        <v>-13.207547169811335</v>
      </c>
      <c r="L1524" t="s">
        <v>6518</v>
      </c>
      <c r="M1524" t="s">
        <v>6519</v>
      </c>
      <c r="N1524" s="4" t="s">
        <v>11548</v>
      </c>
      <c r="O1524" s="4" t="s">
        <v>11549</v>
      </c>
      <c r="P1524" s="4" t="s">
        <v>233</v>
      </c>
    </row>
    <row r="1525" spans="1:16" x14ac:dyDescent="0.35">
      <c r="A1525" t="s">
        <v>11550</v>
      </c>
      <c r="B1525" t="s">
        <v>11551</v>
      </c>
      <c r="C1525" t="s">
        <v>16</v>
      </c>
      <c r="D1525" s="6">
        <v>347550369.71907043</v>
      </c>
      <c r="E1525" s="6">
        <v>298402870.71907043</v>
      </c>
      <c r="F1525" s="6">
        <v>71.849998474121094</v>
      </c>
      <c r="G1525" s="6">
        <v>71.139999389648438</v>
      </c>
      <c r="H1525" s="6">
        <v>23.177418862619707</v>
      </c>
      <c r="I1525" s="6">
        <v>-0.10566103263318327</v>
      </c>
      <c r="J1525" s="6">
        <v>25688208</v>
      </c>
      <c r="K1525" s="6">
        <v>-30.493273542600896</v>
      </c>
      <c r="L1525" t="s">
        <v>6518</v>
      </c>
      <c r="M1525" t="s">
        <v>6807</v>
      </c>
      <c r="N1525" s="4" t="s">
        <v>11552</v>
      </c>
      <c r="O1525" s="4" t="s">
        <v>11553</v>
      </c>
      <c r="P1525" s="4" t="s">
        <v>233</v>
      </c>
    </row>
    <row r="1526" spans="1:16" x14ac:dyDescent="0.35">
      <c r="A1526" t="s">
        <v>11554</v>
      </c>
      <c r="B1526" t="s">
        <v>4281</v>
      </c>
      <c r="C1526" t="s">
        <v>16</v>
      </c>
      <c r="D1526" s="6">
        <v>1454239145.0315094</v>
      </c>
      <c r="E1526" s="6">
        <v>1068033145.0315094</v>
      </c>
      <c r="F1526" s="6">
        <v>11.010000228881836</v>
      </c>
      <c r="G1526" s="6">
        <v>10.930000305175781</v>
      </c>
      <c r="H1526" s="6" t="e">
        <v>#N/A</v>
      </c>
      <c r="I1526" s="6">
        <v>0.17326027976952996</v>
      </c>
      <c r="J1526" s="6">
        <v>0</v>
      </c>
      <c r="K1526" s="6">
        <v>-46.231155778894482</v>
      </c>
      <c r="L1526" t="s">
        <v>17</v>
      </c>
      <c r="M1526" t="s">
        <v>18</v>
      </c>
      <c r="N1526" s="4" t="s">
        <v>4282</v>
      </c>
      <c r="O1526" s="4" t="s">
        <v>4283</v>
      </c>
      <c r="P1526" s="4" t="s">
        <v>233</v>
      </c>
    </row>
    <row r="1527" spans="1:16" x14ac:dyDescent="0.35">
      <c r="A1527" t="s">
        <v>11555</v>
      </c>
      <c r="B1527" t="s">
        <v>11556</v>
      </c>
      <c r="C1527" t="s">
        <v>16</v>
      </c>
      <c r="D1527" s="6">
        <v>1688575976.5625</v>
      </c>
      <c r="E1527" s="6">
        <v>3122475976.5625</v>
      </c>
      <c r="F1527" s="6">
        <v>32.979999542236328</v>
      </c>
      <c r="G1527" s="6">
        <v>32.889999389648438</v>
      </c>
      <c r="H1527" s="6">
        <v>16.29832333948416</v>
      </c>
      <c r="I1527" s="6">
        <v>-0.24109138026587507</v>
      </c>
      <c r="J1527" s="6">
        <v>3359100000</v>
      </c>
      <c r="K1527" s="6" t="e">
        <v>#N/A</v>
      </c>
      <c r="L1527" t="s">
        <v>6735</v>
      </c>
      <c r="M1527" t="s">
        <v>6747</v>
      </c>
      <c r="N1527" s="4" t="s">
        <v>11557</v>
      </c>
      <c r="O1527" s="4" t="s">
        <v>11558</v>
      </c>
      <c r="P1527" s="4" t="s">
        <v>233</v>
      </c>
    </row>
    <row r="1528" spans="1:16" x14ac:dyDescent="0.35">
      <c r="A1528" t="s">
        <v>11559</v>
      </c>
      <c r="B1528" t="s">
        <v>11560</v>
      </c>
      <c r="C1528" t="s">
        <v>16</v>
      </c>
      <c r="D1528" s="6">
        <v>1137700428.1869509</v>
      </c>
      <c r="E1528" s="6">
        <v>1143151428.1869509</v>
      </c>
      <c r="F1528" s="6">
        <v>41.150001525878906</v>
      </c>
      <c r="G1528" s="6">
        <v>41.580001831054688</v>
      </c>
      <c r="H1528" s="6">
        <v>23.536545433469314</v>
      </c>
      <c r="I1528" s="6">
        <v>-0.24890965530006048</v>
      </c>
      <c r="J1528" s="6">
        <v>418411000</v>
      </c>
      <c r="K1528" s="6">
        <v>-1.1299435028248597</v>
      </c>
      <c r="L1528" t="s">
        <v>6540</v>
      </c>
      <c r="M1528" t="s">
        <v>6881</v>
      </c>
      <c r="N1528" s="4" t="s">
        <v>11561</v>
      </c>
      <c r="O1528" s="4" t="s">
        <v>11562</v>
      </c>
      <c r="P1528" s="4" t="s">
        <v>233</v>
      </c>
    </row>
    <row r="1529" spans="1:16" x14ac:dyDescent="0.35">
      <c r="A1529" t="s">
        <v>11563</v>
      </c>
      <c r="B1529" t="s">
        <v>11564</v>
      </c>
      <c r="C1529" t="s">
        <v>16</v>
      </c>
      <c r="D1529" s="6">
        <v>482124309.21005249</v>
      </c>
      <c r="E1529" s="6" t="e">
        <v>#N/A</v>
      </c>
      <c r="F1529" s="6">
        <v>48.279998779296875</v>
      </c>
      <c r="G1529" s="6">
        <v>48.959999084472656</v>
      </c>
      <c r="H1529" s="6">
        <v>11.891625315097754</v>
      </c>
      <c r="I1529" s="6">
        <v>0.75542601796468767</v>
      </c>
      <c r="J1529" s="6" t="e">
        <v>#N/A</v>
      </c>
      <c r="K1529" s="6">
        <v>6.1696658097686319</v>
      </c>
      <c r="L1529" t="s">
        <v>6529</v>
      </c>
      <c r="M1529" t="s">
        <v>6530</v>
      </c>
      <c r="N1529" s="4" t="s">
        <v>11565</v>
      </c>
      <c r="O1529" s="4" t="s">
        <v>11566</v>
      </c>
      <c r="P1529" s="4" t="s">
        <v>233</v>
      </c>
    </row>
    <row r="1530" spans="1:16" x14ac:dyDescent="0.35">
      <c r="A1530" t="s">
        <v>11567</v>
      </c>
      <c r="B1530" t="s">
        <v>11568</v>
      </c>
      <c r="C1530" t="s">
        <v>16</v>
      </c>
      <c r="D1530" s="6">
        <v>278696325.46282196</v>
      </c>
      <c r="E1530" s="6">
        <v>393293325.46282196</v>
      </c>
      <c r="F1530" s="6">
        <v>9.119999885559082</v>
      </c>
      <c r="G1530" s="6">
        <v>9.1800003051757813</v>
      </c>
      <c r="H1530" s="6" t="e">
        <v>#N/A</v>
      </c>
      <c r="I1530" s="6">
        <v>-0.34171211485301689</v>
      </c>
      <c r="J1530" s="6">
        <v>817354000</v>
      </c>
      <c r="K1530" s="6">
        <v>61.134631668077908</v>
      </c>
      <c r="L1530" t="s">
        <v>6540</v>
      </c>
      <c r="M1530" t="s">
        <v>6797</v>
      </c>
      <c r="N1530" s="4" t="s">
        <v>11569</v>
      </c>
      <c r="O1530" s="4" t="s">
        <v>11570</v>
      </c>
      <c r="P1530" s="4" t="s">
        <v>233</v>
      </c>
    </row>
    <row r="1531" spans="1:16" x14ac:dyDescent="0.35">
      <c r="A1531" t="s">
        <v>11571</v>
      </c>
      <c r="B1531" t="s">
        <v>11572</v>
      </c>
      <c r="C1531" t="s">
        <v>16</v>
      </c>
      <c r="D1531" s="6">
        <v>4378391503.6270981</v>
      </c>
      <c r="E1531" s="6">
        <v>4942144503.6270981</v>
      </c>
      <c r="F1531" s="6">
        <v>87.239997863769531</v>
      </c>
      <c r="G1531" s="6">
        <v>87.209999084472656</v>
      </c>
      <c r="H1531" s="6">
        <v>33.138970907967384</v>
      </c>
      <c r="I1531" s="6">
        <v>0.31169384485787854</v>
      </c>
      <c r="J1531" s="6">
        <v>1680740000</v>
      </c>
      <c r="K1531" s="6">
        <v>-2.6962704918032827</v>
      </c>
      <c r="L1531" t="s">
        <v>6547</v>
      </c>
      <c r="M1531" t="s">
        <v>6548</v>
      </c>
      <c r="N1531" s="4" t="s">
        <v>11573</v>
      </c>
      <c r="O1531" s="4" t="s">
        <v>11574</v>
      </c>
      <c r="P1531" s="4" t="s">
        <v>233</v>
      </c>
    </row>
    <row r="1532" spans="1:16" x14ac:dyDescent="0.35">
      <c r="A1532" t="s">
        <v>11575</v>
      </c>
      <c r="B1532" t="s">
        <v>11576</v>
      </c>
      <c r="C1532" t="s">
        <v>16</v>
      </c>
      <c r="D1532" s="6">
        <v>902624583.77410889</v>
      </c>
      <c r="E1532" s="6">
        <v>950024583.77410889</v>
      </c>
      <c r="F1532" s="6">
        <v>23.610000610351563</v>
      </c>
      <c r="G1532" s="6">
        <v>23.950000762939453</v>
      </c>
      <c r="H1532" s="6">
        <v>13.888235653147976</v>
      </c>
      <c r="I1532" s="6">
        <v>-0.46577620473735948</v>
      </c>
      <c r="J1532" s="6">
        <v>1333700000</v>
      </c>
      <c r="K1532" s="6">
        <v>-5.5555555555555598</v>
      </c>
      <c r="L1532" t="s">
        <v>6547</v>
      </c>
      <c r="M1532" t="s">
        <v>6875</v>
      </c>
      <c r="N1532" s="4" t="s">
        <v>11577</v>
      </c>
      <c r="O1532" s="4" t="s">
        <v>11578</v>
      </c>
      <c r="P1532" s="4" t="s">
        <v>233</v>
      </c>
    </row>
    <row r="1533" spans="1:16" x14ac:dyDescent="0.35">
      <c r="A1533" t="s">
        <v>11579</v>
      </c>
      <c r="B1533" t="s">
        <v>11580</v>
      </c>
      <c r="C1533" t="s">
        <v>16</v>
      </c>
      <c r="D1533" s="6">
        <v>429392227.65002435</v>
      </c>
      <c r="E1533" s="6" t="e">
        <v>#N/A</v>
      </c>
      <c r="F1533" s="6">
        <v>40.569999694824219</v>
      </c>
      <c r="G1533" s="6">
        <v>40.840000152587891</v>
      </c>
      <c r="H1533" s="6">
        <v>10.876675521400594</v>
      </c>
      <c r="I1533" s="6">
        <v>8.7971683634801234E-2</v>
      </c>
      <c r="J1533" s="6">
        <v>132195000</v>
      </c>
      <c r="K1533" s="6">
        <v>0.80645161290322054</v>
      </c>
      <c r="L1533" t="s">
        <v>6529</v>
      </c>
      <c r="M1533" t="s">
        <v>6530</v>
      </c>
      <c r="N1533" s="4" t="s">
        <v>11581</v>
      </c>
      <c r="O1533" s="4" t="s">
        <v>11582</v>
      </c>
      <c r="P1533" s="4" t="s">
        <v>233</v>
      </c>
    </row>
    <row r="1534" spans="1:16" x14ac:dyDescent="0.35">
      <c r="A1534" t="s">
        <v>11583</v>
      </c>
      <c r="B1534" t="s">
        <v>11584</v>
      </c>
      <c r="C1534" t="s">
        <v>16</v>
      </c>
      <c r="D1534" s="6">
        <v>1555933494.1218719</v>
      </c>
      <c r="E1534" s="6">
        <v>2841333494.1218719</v>
      </c>
      <c r="F1534" s="6">
        <v>84.819999694824219</v>
      </c>
      <c r="G1534" s="6">
        <v>84.410003662109375</v>
      </c>
      <c r="H1534" s="6">
        <v>20.064090527990309</v>
      </c>
      <c r="I1534" s="6">
        <v>9.0001984308770711E-2</v>
      </c>
      <c r="J1534" s="6">
        <v>2512589000</v>
      </c>
      <c r="K1534" s="6" t="e">
        <v>#N/A</v>
      </c>
      <c r="L1534" t="s">
        <v>6547</v>
      </c>
      <c r="M1534" t="s">
        <v>6814</v>
      </c>
      <c r="N1534" s="4" t="s">
        <v>11585</v>
      </c>
      <c r="O1534" s="4" t="s">
        <v>11586</v>
      </c>
      <c r="P1534" s="4" t="s">
        <v>233</v>
      </c>
    </row>
    <row r="1535" spans="1:16" x14ac:dyDescent="0.35">
      <c r="A1535" t="s">
        <v>11587</v>
      </c>
      <c r="B1535" t="s">
        <v>11588</v>
      </c>
      <c r="C1535" t="s">
        <v>16</v>
      </c>
      <c r="D1535" s="6">
        <v>1155440514.1903305</v>
      </c>
      <c r="E1535" s="6">
        <v>2176140514.1903305</v>
      </c>
      <c r="F1535" s="6">
        <v>71.819999694824219</v>
      </c>
      <c r="G1535" s="6">
        <v>73.410003662109375</v>
      </c>
      <c r="H1535" s="6">
        <v>18.44602859335399</v>
      </c>
      <c r="I1535" s="6">
        <v>0.1414222468358779</v>
      </c>
      <c r="J1535" s="6">
        <v>2980300000</v>
      </c>
      <c r="K1535" s="6">
        <v>270.72009834236189</v>
      </c>
      <c r="L1535" t="s">
        <v>6563</v>
      </c>
      <c r="M1535" t="s">
        <v>6564</v>
      </c>
      <c r="N1535" s="4" t="s">
        <v>11589</v>
      </c>
      <c r="O1535" s="4" t="s">
        <v>11590</v>
      </c>
      <c r="P1535" s="4" t="s">
        <v>233</v>
      </c>
    </row>
    <row r="1536" spans="1:16" x14ac:dyDescent="0.35">
      <c r="A1536" t="s">
        <v>11591</v>
      </c>
      <c r="B1536" t="s">
        <v>11592</v>
      </c>
      <c r="C1536" t="s">
        <v>16</v>
      </c>
      <c r="D1536" s="6">
        <v>691654011.28926849</v>
      </c>
      <c r="E1536" s="6">
        <v>1229913011.2892685</v>
      </c>
      <c r="F1536" s="6">
        <v>12.689999580383301</v>
      </c>
      <c r="G1536" s="6">
        <v>12.130000114440918</v>
      </c>
      <c r="H1536" s="6" t="e">
        <v>#N/A</v>
      </c>
      <c r="I1536" s="6">
        <v>0.3263790075545614</v>
      </c>
      <c r="J1536" s="6">
        <v>621480000</v>
      </c>
      <c r="K1536" s="6">
        <v>30.769230769230774</v>
      </c>
      <c r="L1536" t="s">
        <v>6540</v>
      </c>
      <c r="M1536" t="s">
        <v>6825</v>
      </c>
      <c r="N1536" s="4" t="s">
        <v>11593</v>
      </c>
      <c r="O1536" s="4" t="s">
        <v>11594</v>
      </c>
      <c r="P1536" s="4" t="s">
        <v>233</v>
      </c>
    </row>
    <row r="1537" spans="1:16" x14ac:dyDescent="0.35">
      <c r="A1537" t="s">
        <v>11595</v>
      </c>
      <c r="B1537" t="s">
        <v>11596</v>
      </c>
      <c r="C1537" t="s">
        <v>16</v>
      </c>
      <c r="D1537" s="6">
        <v>1195517924.0803528</v>
      </c>
      <c r="E1537" s="6">
        <v>1056917924.0803528</v>
      </c>
      <c r="F1537" s="6">
        <v>48.369998931884766</v>
      </c>
      <c r="G1537" s="6">
        <v>48.520000457763672</v>
      </c>
      <c r="H1537" s="6">
        <v>11.457716461160842</v>
      </c>
      <c r="I1537" s="6">
        <v>0.16502565106304523</v>
      </c>
      <c r="J1537" s="6">
        <v>889900000</v>
      </c>
      <c r="K1537" s="6">
        <v>20.674157303370787</v>
      </c>
      <c r="L1537" t="s">
        <v>6529</v>
      </c>
      <c r="M1537" t="s">
        <v>6664</v>
      </c>
      <c r="N1537" s="4" t="s">
        <v>11597</v>
      </c>
      <c r="O1537" s="4" t="s">
        <v>11598</v>
      </c>
      <c r="P1537" s="4" t="s">
        <v>233</v>
      </c>
    </row>
    <row r="1538" spans="1:16" x14ac:dyDescent="0.35">
      <c r="A1538" t="s">
        <v>11599</v>
      </c>
      <c r="B1538" t="s">
        <v>11600</v>
      </c>
      <c r="C1538" t="s">
        <v>16</v>
      </c>
      <c r="D1538" s="6">
        <v>897358269.98062134</v>
      </c>
      <c r="E1538" s="6">
        <v>942542269.98062134</v>
      </c>
      <c r="F1538" s="6">
        <v>74.370002746582031</v>
      </c>
      <c r="G1538" s="6">
        <v>71.510002136230469</v>
      </c>
      <c r="H1538" s="6" t="e">
        <v>#N/A</v>
      </c>
      <c r="I1538" s="6">
        <v>-0.30645982008955053</v>
      </c>
      <c r="J1538" s="6">
        <v>250841000</v>
      </c>
      <c r="K1538" s="6" t="e">
        <v>#N/A</v>
      </c>
      <c r="L1538" t="s">
        <v>6540</v>
      </c>
      <c r="M1538" t="s">
        <v>6825</v>
      </c>
      <c r="N1538" s="4" t="s">
        <v>11601</v>
      </c>
      <c r="O1538" s="4" t="s">
        <v>11602</v>
      </c>
      <c r="P1538" s="4" t="s">
        <v>233</v>
      </c>
    </row>
    <row r="1539" spans="1:16" x14ac:dyDescent="0.35">
      <c r="A1539" t="s">
        <v>11603</v>
      </c>
      <c r="B1539" t="s">
        <v>11604</v>
      </c>
      <c r="C1539" t="s">
        <v>16</v>
      </c>
      <c r="D1539" s="6">
        <v>2341147465.5485229</v>
      </c>
      <c r="E1539" s="6" t="e">
        <v>#N/A</v>
      </c>
      <c r="F1539" s="6">
        <v>67.94000244140625</v>
      </c>
      <c r="G1539" s="6">
        <v>69.150001525878906</v>
      </c>
      <c r="H1539" s="6">
        <v>13.922131647829151</v>
      </c>
      <c r="I1539" s="6">
        <v>0.54178415163924898</v>
      </c>
      <c r="J1539" s="6">
        <v>832991000</v>
      </c>
      <c r="K1539" s="6">
        <v>-8.4112149532710152</v>
      </c>
      <c r="L1539" t="s">
        <v>6529</v>
      </c>
      <c r="M1539" t="s">
        <v>6530</v>
      </c>
      <c r="N1539" s="4" t="s">
        <v>11605</v>
      </c>
      <c r="O1539" s="4" t="s">
        <v>11606</v>
      </c>
      <c r="P1539" s="4" t="s">
        <v>233</v>
      </c>
    </row>
    <row r="1540" spans="1:16" x14ac:dyDescent="0.35">
      <c r="A1540" t="s">
        <v>11608</v>
      </c>
      <c r="B1540" t="s">
        <v>11609</v>
      </c>
      <c r="C1540" t="s">
        <v>16</v>
      </c>
      <c r="D1540" s="6">
        <v>204021366.53134346</v>
      </c>
      <c r="E1540" s="6">
        <v>329599366.53134346</v>
      </c>
      <c r="F1540" s="6">
        <v>5.130000114440918</v>
      </c>
      <c r="G1540" s="6">
        <v>5.2899999618530273</v>
      </c>
      <c r="H1540" s="6">
        <v>6.7963944855684826</v>
      </c>
      <c r="I1540" s="6">
        <v>-0.17612779916822874</v>
      </c>
      <c r="J1540" s="6">
        <v>304645000</v>
      </c>
      <c r="K1540" s="6">
        <v>-83.494105037513393</v>
      </c>
      <c r="L1540" t="s">
        <v>6523</v>
      </c>
      <c r="M1540" t="s">
        <v>6524</v>
      </c>
      <c r="N1540" s="4" t="s">
        <v>11610</v>
      </c>
      <c r="O1540" s="4" t="s">
        <v>11611</v>
      </c>
      <c r="P1540" s="4" t="s">
        <v>233</v>
      </c>
    </row>
    <row r="1541" spans="1:16" x14ac:dyDescent="0.35">
      <c r="A1541" t="s">
        <v>11607</v>
      </c>
      <c r="B1541" t="s">
        <v>1241</v>
      </c>
      <c r="C1541" t="s">
        <v>16</v>
      </c>
      <c r="D1541" s="6">
        <v>418580304.6168952</v>
      </c>
      <c r="E1541" s="6">
        <v>389077304.6168952</v>
      </c>
      <c r="F1541" s="6">
        <v>5.4800000190734863</v>
      </c>
      <c r="G1541" s="6">
        <v>5.440000057220459</v>
      </c>
      <c r="H1541" s="6">
        <v>367.71120036727422</v>
      </c>
      <c r="I1541" s="6">
        <v>2.5007822502959867</v>
      </c>
      <c r="J1541" s="6">
        <v>91668000</v>
      </c>
      <c r="K1541" s="6" t="e">
        <v>#N/A</v>
      </c>
      <c r="L1541" t="s">
        <v>17</v>
      </c>
      <c r="M1541" t="s">
        <v>100</v>
      </c>
      <c r="N1541" s="4" t="s">
        <v>1242</v>
      </c>
      <c r="O1541" s="4" t="s">
        <v>1243</v>
      </c>
      <c r="P1541" s="4" t="s">
        <v>233</v>
      </c>
    </row>
    <row r="1542" spans="1:16" x14ac:dyDescent="0.35">
      <c r="A1542" t="s">
        <v>11612</v>
      </c>
      <c r="B1542" t="s">
        <v>11613</v>
      </c>
      <c r="C1542" t="s">
        <v>16</v>
      </c>
      <c r="D1542" s="6">
        <v>318213136.67175299</v>
      </c>
      <c r="E1542" s="6">
        <v>370140136.67175299</v>
      </c>
      <c r="F1542" s="6">
        <v>8.1800003051757813</v>
      </c>
      <c r="G1542" s="6">
        <v>8.3000001907348633</v>
      </c>
      <c r="H1542" s="6" t="e">
        <v>#N/A</v>
      </c>
      <c r="I1542" s="6">
        <v>0.32261107185118032</v>
      </c>
      <c r="J1542" s="6">
        <v>781108000</v>
      </c>
      <c r="K1542" s="6">
        <v>29.824561403508774</v>
      </c>
      <c r="L1542" t="s">
        <v>6547</v>
      </c>
      <c r="M1542" t="s">
        <v>6651</v>
      </c>
      <c r="N1542" s="4" t="s">
        <v>11614</v>
      </c>
      <c r="O1542" s="4" t="s">
        <v>11615</v>
      </c>
      <c r="P1542" s="4" t="s">
        <v>233</v>
      </c>
    </row>
    <row r="1543" spans="1:16" x14ac:dyDescent="0.35">
      <c r="A1543" t="s">
        <v>11616</v>
      </c>
      <c r="B1543" t="s">
        <v>2641</v>
      </c>
      <c r="C1543" t="s">
        <v>16</v>
      </c>
      <c r="D1543" s="6">
        <v>7246271926.6858978</v>
      </c>
      <c r="E1543" s="6">
        <v>8697206926.6858978</v>
      </c>
      <c r="F1543" s="6">
        <v>126.12000274658203</v>
      </c>
      <c r="G1543" s="6">
        <v>127.76000213623047</v>
      </c>
      <c r="H1543" s="6">
        <v>24.555300776451762</v>
      </c>
      <c r="I1543" s="6">
        <v>5.5341093481780623E-2</v>
      </c>
      <c r="J1543" s="6">
        <v>4260484999.9999995</v>
      </c>
      <c r="K1543" s="6">
        <v>39.893617021276597</v>
      </c>
      <c r="L1543" t="s">
        <v>17</v>
      </c>
      <c r="M1543" t="s">
        <v>40</v>
      </c>
      <c r="N1543" s="4" t="s">
        <v>2642</v>
      </c>
      <c r="O1543" s="4" t="s">
        <v>2643</v>
      </c>
      <c r="P1543" s="4" t="s">
        <v>233</v>
      </c>
    </row>
    <row r="1544" spans="1:16" x14ac:dyDescent="0.35">
      <c r="A1544" t="s">
        <v>11617</v>
      </c>
      <c r="B1544" t="s">
        <v>4447</v>
      </c>
      <c r="C1544" t="s">
        <v>16</v>
      </c>
      <c r="D1544" s="6">
        <v>769651667.34214425</v>
      </c>
      <c r="E1544" s="6">
        <v>231708667.34214425</v>
      </c>
      <c r="F1544" s="6">
        <v>2.2799999713897705</v>
      </c>
      <c r="G1544" s="6">
        <v>2.2000000476837158</v>
      </c>
      <c r="H1544" s="6" t="e">
        <v>#N/A</v>
      </c>
      <c r="I1544" s="6">
        <v>0.29453861417622473</v>
      </c>
      <c r="J1544" s="6">
        <v>2162000</v>
      </c>
      <c r="K1544" s="6">
        <v>-471.05263157894734</v>
      </c>
      <c r="L1544" t="s">
        <v>17</v>
      </c>
      <c r="M1544" t="s">
        <v>87</v>
      </c>
      <c r="N1544" s="4" t="s">
        <v>4448</v>
      </c>
      <c r="O1544" s="4" t="s">
        <v>4449</v>
      </c>
      <c r="P1544" s="4" t="s">
        <v>233</v>
      </c>
    </row>
    <row r="1545" spans="1:16" x14ac:dyDescent="0.35">
      <c r="A1545" t="s">
        <v>11618</v>
      </c>
      <c r="B1545" t="s">
        <v>2397</v>
      </c>
      <c r="C1545" t="s">
        <v>16</v>
      </c>
      <c r="D1545" s="6">
        <v>113142921.02812767</v>
      </c>
      <c r="E1545" s="6">
        <v>80076921.02812767</v>
      </c>
      <c r="F1545" s="6">
        <v>3.2899999618530273</v>
      </c>
      <c r="G1545" s="6">
        <v>3.309999942779541</v>
      </c>
      <c r="H1545" s="6" t="e">
        <v>#N/A</v>
      </c>
      <c r="I1545" s="6">
        <v>-0.29482867569310411</v>
      </c>
      <c r="J1545" s="6">
        <v>0</v>
      </c>
      <c r="K1545" s="6">
        <v>46.190476190476197</v>
      </c>
      <c r="L1545" t="s">
        <v>17</v>
      </c>
      <c r="M1545" t="s">
        <v>18</v>
      </c>
      <c r="N1545" s="4" t="s">
        <v>2398</v>
      </c>
      <c r="O1545" s="4" t="s">
        <v>2399</v>
      </c>
      <c r="P1545" s="4" t="s">
        <v>233</v>
      </c>
    </row>
    <row r="1546" spans="1:16" x14ac:dyDescent="0.35">
      <c r="A1546" t="s">
        <v>11619</v>
      </c>
      <c r="B1546" t="s">
        <v>11620</v>
      </c>
      <c r="C1546" t="s">
        <v>16</v>
      </c>
      <c r="D1546" s="6">
        <v>136311164.35208583</v>
      </c>
      <c r="E1546" s="6">
        <v>274476164.35208583</v>
      </c>
      <c r="F1546" s="6">
        <v>2.5099999904632568</v>
      </c>
      <c r="G1546" s="6">
        <v>2.5199999809265137</v>
      </c>
      <c r="H1546" s="6">
        <v>16.593505331494981</v>
      </c>
      <c r="I1546" s="6">
        <v>-0.36696569159765624</v>
      </c>
      <c r="J1546" s="6">
        <v>484954000</v>
      </c>
      <c r="K1546" s="6">
        <v>-65.999999999999986</v>
      </c>
      <c r="L1546" t="s">
        <v>6540</v>
      </c>
      <c r="M1546" t="s">
        <v>6541</v>
      </c>
      <c r="N1546" s="4" t="s">
        <v>11621</v>
      </c>
      <c r="O1546" s="4" t="s">
        <v>11622</v>
      </c>
      <c r="P1546" s="4" t="s">
        <v>233</v>
      </c>
    </row>
    <row r="1547" spans="1:16" x14ac:dyDescent="0.35">
      <c r="A1547" t="s">
        <v>11623</v>
      </c>
      <c r="B1547" t="s">
        <v>11624</v>
      </c>
      <c r="C1547" t="s">
        <v>16</v>
      </c>
      <c r="D1547" s="6">
        <v>2442914304.4169083</v>
      </c>
      <c r="E1547" s="6">
        <v>3445914304.4169083</v>
      </c>
      <c r="F1547" s="6">
        <v>68.019996643066406</v>
      </c>
      <c r="G1547" s="6">
        <v>68.010002136230469</v>
      </c>
      <c r="H1547" s="6">
        <v>19.860833028860814</v>
      </c>
      <c r="I1547" s="6">
        <v>7.6049663589032868E-2</v>
      </c>
      <c r="J1547" s="6">
        <v>2571600000</v>
      </c>
      <c r="K1547" s="6">
        <v>-85.128205128205124</v>
      </c>
      <c r="L1547" t="s">
        <v>6547</v>
      </c>
      <c r="M1547" t="s">
        <v>6843</v>
      </c>
      <c r="N1547" s="4" t="s">
        <v>11625</v>
      </c>
      <c r="O1547" s="4" t="s">
        <v>11626</v>
      </c>
      <c r="P1547" s="4" t="s">
        <v>233</v>
      </c>
    </row>
    <row r="1548" spans="1:16" x14ac:dyDescent="0.35">
      <c r="A1548" t="s">
        <v>11627</v>
      </c>
      <c r="B1548" t="s">
        <v>11628</v>
      </c>
      <c r="C1548" t="s">
        <v>16</v>
      </c>
      <c r="D1548" s="6">
        <v>796230687.62994385</v>
      </c>
      <c r="E1548" s="6">
        <v>968128687.62994385</v>
      </c>
      <c r="F1548" s="6">
        <v>6.0900001525878906</v>
      </c>
      <c r="G1548" s="6">
        <v>6.2600002288818359</v>
      </c>
      <c r="H1548" s="6">
        <v>9.9808416235303508</v>
      </c>
      <c r="I1548" s="6">
        <v>0.11828061579377502</v>
      </c>
      <c r="J1548" s="6">
        <v>380521000</v>
      </c>
      <c r="K1548" s="6">
        <v>-60.439560439560445</v>
      </c>
      <c r="L1548" t="s">
        <v>6523</v>
      </c>
      <c r="M1548" t="s">
        <v>6524</v>
      </c>
      <c r="N1548" s="4" t="s">
        <v>11629</v>
      </c>
      <c r="O1548" s="4" t="s">
        <v>11630</v>
      </c>
      <c r="P1548" s="4" t="s">
        <v>233</v>
      </c>
    </row>
    <row r="1549" spans="1:16" x14ac:dyDescent="0.35">
      <c r="A1549" t="s">
        <v>11631</v>
      </c>
      <c r="B1549" t="s">
        <v>11632</v>
      </c>
      <c r="C1549" t="s">
        <v>16</v>
      </c>
      <c r="D1549" s="6">
        <v>446979167.39702225</v>
      </c>
      <c r="E1549" s="6">
        <v>686666167.39702225</v>
      </c>
      <c r="F1549" s="6">
        <v>50.409999847412109</v>
      </c>
      <c r="G1549" s="6">
        <v>50.970001220703125</v>
      </c>
      <c r="H1549" s="6" t="e">
        <v>#N/A</v>
      </c>
      <c r="I1549" s="6">
        <v>-0.127713334223721</v>
      </c>
      <c r="J1549" s="6">
        <v>293180000</v>
      </c>
      <c r="K1549" s="6">
        <v>-79.928315412186379</v>
      </c>
      <c r="L1549" t="s">
        <v>6540</v>
      </c>
      <c r="M1549" t="s">
        <v>6825</v>
      </c>
      <c r="N1549" s="4" t="s">
        <v>11633</v>
      </c>
      <c r="O1549" s="4" t="s">
        <v>11634</v>
      </c>
      <c r="P1549" s="4" t="s">
        <v>233</v>
      </c>
    </row>
    <row r="1550" spans="1:16" x14ac:dyDescent="0.35">
      <c r="A1550" t="s">
        <v>11635</v>
      </c>
      <c r="B1550" t="s">
        <v>11636</v>
      </c>
      <c r="C1550" t="s">
        <v>16</v>
      </c>
      <c r="D1550" s="6">
        <v>386122720.08677673</v>
      </c>
      <c r="E1550" s="6">
        <v>476195320.08677673</v>
      </c>
      <c r="F1550" s="6">
        <v>21.799999237060547</v>
      </c>
      <c r="G1550" s="6">
        <v>21.860000610351563</v>
      </c>
      <c r="H1550" s="6">
        <v>23.978941689438098</v>
      </c>
      <c r="I1550" s="6">
        <v>0.89727837897784801</v>
      </c>
      <c r="J1550" s="6">
        <v>613253000</v>
      </c>
      <c r="K1550" s="6" t="e">
        <v>#N/A</v>
      </c>
      <c r="L1550" t="s">
        <v>6540</v>
      </c>
      <c r="M1550" t="s">
        <v>6838</v>
      </c>
      <c r="N1550" s="4" t="s">
        <v>11637</v>
      </c>
      <c r="O1550" s="4" t="s">
        <v>11638</v>
      </c>
      <c r="P1550" s="4" t="s">
        <v>233</v>
      </c>
    </row>
    <row r="1551" spans="1:16" x14ac:dyDescent="0.35">
      <c r="A1551" t="s">
        <v>11639</v>
      </c>
      <c r="B1551" t="s">
        <v>11640</v>
      </c>
      <c r="C1551" t="s">
        <v>16</v>
      </c>
      <c r="D1551" s="6">
        <v>501787591.00347519</v>
      </c>
      <c r="E1551" s="6">
        <v>654453591.00347519</v>
      </c>
      <c r="F1551" s="6">
        <v>50.590000152587891</v>
      </c>
      <c r="G1551" s="6">
        <v>50.389999389648438</v>
      </c>
      <c r="H1551" s="6">
        <v>17.207483045097923</v>
      </c>
      <c r="I1551" s="6">
        <v>0.64190184986155407</v>
      </c>
      <c r="J1551" s="6">
        <v>483085000</v>
      </c>
      <c r="K1551" s="6">
        <v>25.84745762711864</v>
      </c>
      <c r="L1551" t="s">
        <v>6547</v>
      </c>
      <c r="M1551" t="s">
        <v>6651</v>
      </c>
      <c r="N1551" s="4" t="s">
        <v>11641</v>
      </c>
      <c r="O1551" s="4" t="s">
        <v>11642</v>
      </c>
      <c r="P1551" s="4" t="s">
        <v>233</v>
      </c>
    </row>
    <row r="1552" spans="1:16" x14ac:dyDescent="0.35">
      <c r="A1552" t="s">
        <v>13388</v>
      </c>
      <c r="B1552" t="s">
        <v>13389</v>
      </c>
      <c r="C1552" t="s">
        <v>16</v>
      </c>
      <c r="D1552" s="6">
        <v>6522350163.4986877</v>
      </c>
      <c r="E1552" s="6">
        <v>6636150163.4986877</v>
      </c>
      <c r="F1552" s="6">
        <v>125.70999908447266</v>
      </c>
      <c r="G1552" s="6">
        <v>125.41999816894531</v>
      </c>
      <c r="H1552" s="6">
        <v>24.264180017879688</v>
      </c>
      <c r="I1552" s="6">
        <v>0.21764966232142435</v>
      </c>
      <c r="J1552" s="6">
        <v>1693000000</v>
      </c>
      <c r="K1552" s="6">
        <v>34.226190476190489</v>
      </c>
      <c r="L1552" t="s">
        <v>6547</v>
      </c>
      <c r="M1552" t="s">
        <v>6668</v>
      </c>
      <c r="N1552" s="4" t="s">
        <v>11643</v>
      </c>
      <c r="O1552" s="4" t="s">
        <v>11644</v>
      </c>
      <c r="P1552" s="4" t="s">
        <v>233</v>
      </c>
    </row>
    <row r="1553" spans="1:16" x14ac:dyDescent="0.35">
      <c r="A1553" t="s">
        <v>11645</v>
      </c>
      <c r="B1553" t="s">
        <v>11646</v>
      </c>
      <c r="C1553" t="s">
        <v>16</v>
      </c>
      <c r="D1553" s="6">
        <v>4413316280.5875397</v>
      </c>
      <c r="E1553" s="6">
        <v>9117316280.5875397</v>
      </c>
      <c r="F1553" s="6">
        <v>41.849998474121094</v>
      </c>
      <c r="G1553" s="6">
        <v>41.319999694824219</v>
      </c>
      <c r="H1553" s="6">
        <v>12.439740371795494</v>
      </c>
      <c r="I1553" s="6">
        <v>7.5430027334961069E-2</v>
      </c>
      <c r="J1553" s="6">
        <v>3341000000</v>
      </c>
      <c r="K1553" s="6">
        <v>50.616708304089002</v>
      </c>
      <c r="L1553" t="s">
        <v>6719</v>
      </c>
      <c r="M1553" t="s">
        <v>7215</v>
      </c>
      <c r="N1553" s="4" t="s">
        <v>11647</v>
      </c>
      <c r="O1553" s="4" t="s">
        <v>11648</v>
      </c>
      <c r="P1553" s="4" t="s">
        <v>233</v>
      </c>
    </row>
    <row r="1554" spans="1:16" x14ac:dyDescent="0.35">
      <c r="A1554" t="s">
        <v>11653</v>
      </c>
      <c r="B1554" t="s">
        <v>11654</v>
      </c>
      <c r="C1554" t="s">
        <v>16</v>
      </c>
      <c r="D1554" s="6">
        <v>461266892.86332315</v>
      </c>
      <c r="E1554" s="6">
        <v>659704892.86332321</v>
      </c>
      <c r="F1554" s="6">
        <v>32.090000152587891</v>
      </c>
      <c r="G1554" s="6">
        <v>31.799999237060547</v>
      </c>
      <c r="H1554" s="6">
        <v>21.682388584744686</v>
      </c>
      <c r="I1554" s="6">
        <v>-0.11685198982711831</v>
      </c>
      <c r="J1554" s="6">
        <v>74189000</v>
      </c>
      <c r="K1554" s="6">
        <v>-6.9679599560738872</v>
      </c>
      <c r="L1554" t="s">
        <v>6719</v>
      </c>
      <c r="M1554" t="s">
        <v>6720</v>
      </c>
      <c r="N1554" s="4" t="s">
        <v>11655</v>
      </c>
      <c r="O1554" s="4" t="s">
        <v>11656</v>
      </c>
      <c r="P1554" s="4" t="s">
        <v>233</v>
      </c>
    </row>
    <row r="1555" spans="1:16" x14ac:dyDescent="0.35">
      <c r="A1555" t="s">
        <v>11649</v>
      </c>
      <c r="B1555" t="s">
        <v>11650</v>
      </c>
      <c r="C1555" t="s">
        <v>16</v>
      </c>
      <c r="D1555" s="6">
        <v>1961775081.1532896</v>
      </c>
      <c r="E1555" s="6">
        <v>1797616081.1532896</v>
      </c>
      <c r="F1555" s="6">
        <v>46.330001831054688</v>
      </c>
      <c r="G1555" s="6">
        <v>44.259998321533203</v>
      </c>
      <c r="H1555" s="6">
        <v>58.529550070435931</v>
      </c>
      <c r="I1555" s="6">
        <v>0.43118487580296705</v>
      </c>
      <c r="J1555" s="6">
        <v>1244234000</v>
      </c>
      <c r="K1555" s="6">
        <v>74.603174603174608</v>
      </c>
      <c r="L1555" t="s">
        <v>6529</v>
      </c>
      <c r="M1555" t="s">
        <v>6664</v>
      </c>
      <c r="N1555" s="4" t="s">
        <v>11651</v>
      </c>
      <c r="O1555" s="4" t="s">
        <v>11652</v>
      </c>
      <c r="P1555" s="4" t="s">
        <v>233</v>
      </c>
    </row>
    <row r="1556" spans="1:16" x14ac:dyDescent="0.35">
      <c r="A1556" t="s">
        <v>11657</v>
      </c>
      <c r="B1556" t="s">
        <v>11658</v>
      </c>
      <c r="C1556" t="s">
        <v>16</v>
      </c>
      <c r="D1556" s="6">
        <v>1031527068.6089857</v>
      </c>
      <c r="E1556" s="6">
        <v>1830449068.6089857</v>
      </c>
      <c r="F1556" s="6">
        <v>21.850000381469727</v>
      </c>
      <c r="G1556" s="6">
        <v>21.709999084472656</v>
      </c>
      <c r="H1556" s="6">
        <v>11.746263710588048</v>
      </c>
      <c r="I1556" s="6">
        <v>-0.34575874625824798</v>
      </c>
      <c r="J1556" s="6">
        <v>1277862000</v>
      </c>
      <c r="K1556" s="6">
        <v>-63.745019920318718</v>
      </c>
      <c r="L1556" t="s">
        <v>6547</v>
      </c>
      <c r="M1556" t="s">
        <v>6553</v>
      </c>
      <c r="N1556" s="4" t="s">
        <v>11659</v>
      </c>
      <c r="O1556" s="4" t="s">
        <v>11660</v>
      </c>
      <c r="P1556" s="4" t="s">
        <v>233</v>
      </c>
    </row>
    <row r="1557" spans="1:16" x14ac:dyDescent="0.35">
      <c r="A1557" t="s">
        <v>11661</v>
      </c>
      <c r="B1557" t="s">
        <v>11662</v>
      </c>
      <c r="C1557" t="s">
        <v>16</v>
      </c>
      <c r="D1557" s="6">
        <v>235785416.14637089</v>
      </c>
      <c r="E1557" s="6">
        <v>127723416.14637089</v>
      </c>
      <c r="F1557" s="6">
        <v>1.5499999523162842</v>
      </c>
      <c r="G1557" s="6">
        <v>1.5299999713897705</v>
      </c>
      <c r="H1557" s="6" t="e">
        <v>#N/A</v>
      </c>
      <c r="I1557" s="6">
        <v>-0.14797793395788672</v>
      </c>
      <c r="J1557" s="6">
        <v>341543000</v>
      </c>
      <c r="K1557" s="6">
        <v>-7.8124999999999885</v>
      </c>
      <c r="L1557" t="s">
        <v>6547</v>
      </c>
      <c r="M1557" t="s">
        <v>6602</v>
      </c>
      <c r="N1557" s="4" t="s">
        <v>11663</v>
      </c>
      <c r="O1557" s="4" t="s">
        <v>11664</v>
      </c>
      <c r="P1557" s="4" t="s">
        <v>233</v>
      </c>
    </row>
    <row r="1558" spans="1:16" x14ac:dyDescent="0.35">
      <c r="A1558" t="s">
        <v>11665</v>
      </c>
      <c r="B1558" t="s">
        <v>11666</v>
      </c>
      <c r="C1558" t="s">
        <v>16</v>
      </c>
      <c r="D1558" s="6">
        <v>11083840180.486464</v>
      </c>
      <c r="E1558" s="6">
        <v>9959840180.4864635</v>
      </c>
      <c r="F1558" s="6">
        <v>6.4499998092651367</v>
      </c>
      <c r="G1558" s="6">
        <v>6.880000114440918</v>
      </c>
      <c r="H1558" s="6" t="e">
        <v>#N/A</v>
      </c>
      <c r="I1558" s="6">
        <v>0.92766838405263141</v>
      </c>
      <c r="J1558" s="6" t="e">
        <v>#N/A</v>
      </c>
      <c r="K1558" s="6">
        <v>23.333333333333329</v>
      </c>
      <c r="L1558" t="s">
        <v>6518</v>
      </c>
      <c r="M1558" t="s">
        <v>6519</v>
      </c>
      <c r="N1558" s="4" t="s">
        <v>11667</v>
      </c>
      <c r="O1558" s="4" t="s">
        <v>11668</v>
      </c>
      <c r="P1558" s="4" t="s">
        <v>233</v>
      </c>
    </row>
    <row r="1559" spans="1:16" x14ac:dyDescent="0.35">
      <c r="A1559" t="s">
        <v>11669</v>
      </c>
      <c r="B1559" t="s">
        <v>11670</v>
      </c>
      <c r="C1559" t="s">
        <v>16</v>
      </c>
      <c r="D1559" s="6">
        <v>329738676.00725937</v>
      </c>
      <c r="E1559" s="6">
        <v>292662676.00725937</v>
      </c>
      <c r="F1559" s="6">
        <v>25.049999237060547</v>
      </c>
      <c r="G1559" s="6">
        <v>25.229999542236328</v>
      </c>
      <c r="H1559" s="6" t="e">
        <v>#N/A</v>
      </c>
      <c r="I1559" s="6">
        <v>0.29299432824452376</v>
      </c>
      <c r="J1559" s="6">
        <v>255554000</v>
      </c>
      <c r="K1559" s="6" t="e">
        <v>#N/A</v>
      </c>
      <c r="L1559" t="s">
        <v>6563</v>
      </c>
      <c r="M1559" t="s">
        <v>6764</v>
      </c>
      <c r="N1559" s="4" t="s">
        <v>11671</v>
      </c>
      <c r="O1559" s="4" t="s">
        <v>11672</v>
      </c>
      <c r="P1559" s="4" t="s">
        <v>233</v>
      </c>
    </row>
    <row r="1560" spans="1:16" x14ac:dyDescent="0.35">
      <c r="A1560" t="s">
        <v>11673</v>
      </c>
      <c r="B1560" t="s">
        <v>11674</v>
      </c>
      <c r="C1560" t="s">
        <v>16</v>
      </c>
      <c r="D1560" s="6">
        <v>567672599.56592572</v>
      </c>
      <c r="E1560" s="6">
        <v>1072769599.5659257</v>
      </c>
      <c r="F1560" s="6">
        <v>19.840000152587891</v>
      </c>
      <c r="G1560" s="6">
        <v>20.319999694824219</v>
      </c>
      <c r="H1560" s="6">
        <v>13.554949573803345</v>
      </c>
      <c r="I1560" s="6">
        <v>-0.53403121422628774</v>
      </c>
      <c r="J1560" s="6">
        <v>981642000</v>
      </c>
      <c r="K1560" s="6">
        <v>-80.588235294117638</v>
      </c>
      <c r="L1560" t="s">
        <v>6547</v>
      </c>
      <c r="M1560" t="s">
        <v>6668</v>
      </c>
      <c r="N1560" s="4" t="s">
        <v>11675</v>
      </c>
      <c r="O1560" s="4" t="s">
        <v>11676</v>
      </c>
      <c r="P1560" s="4" t="s">
        <v>233</v>
      </c>
    </row>
    <row r="1561" spans="1:16" x14ac:dyDescent="0.35">
      <c r="A1561" t="s">
        <v>11677</v>
      </c>
      <c r="B1561" t="s">
        <v>485</v>
      </c>
      <c r="C1561" t="s">
        <v>16</v>
      </c>
      <c r="D1561" s="6">
        <v>211784885.55177644</v>
      </c>
      <c r="E1561" s="6">
        <v>378288885.55177641</v>
      </c>
      <c r="F1561" s="6">
        <v>5.7199997901916504</v>
      </c>
      <c r="G1561" s="6">
        <v>5.5900001525878906</v>
      </c>
      <c r="H1561" s="6" t="e">
        <v>#N/A</v>
      </c>
      <c r="I1561" s="6">
        <v>-0.31752208241732216</v>
      </c>
      <c r="J1561" s="6">
        <v>130858000</v>
      </c>
      <c r="K1561" s="6">
        <v>52.086731509344062</v>
      </c>
      <c r="L1561" t="s">
        <v>17</v>
      </c>
      <c r="M1561" t="s">
        <v>100</v>
      </c>
      <c r="N1561" s="4" t="s">
        <v>486</v>
      </c>
      <c r="O1561" s="4" t="s">
        <v>487</v>
      </c>
      <c r="P1561" s="4" t="s">
        <v>233</v>
      </c>
    </row>
    <row r="1562" spans="1:16" x14ac:dyDescent="0.35">
      <c r="A1562" t="s">
        <v>11678</v>
      </c>
      <c r="B1562" t="s">
        <v>11679</v>
      </c>
      <c r="C1562" t="s">
        <v>16</v>
      </c>
      <c r="D1562" s="6">
        <v>1203881148.5054398</v>
      </c>
      <c r="E1562" s="6">
        <v>1048330148.5054398</v>
      </c>
      <c r="F1562" s="6">
        <v>47.680000305175781</v>
      </c>
      <c r="G1562" s="6">
        <v>47.5</v>
      </c>
      <c r="H1562" s="6">
        <v>16.053180302389588</v>
      </c>
      <c r="I1562" s="6">
        <v>0.34652883131789913</v>
      </c>
      <c r="J1562" s="6">
        <v>1214139000</v>
      </c>
      <c r="K1562" s="6">
        <v>101.37995511826519</v>
      </c>
      <c r="L1562" t="s">
        <v>6514</v>
      </c>
      <c r="M1562" t="s">
        <v>6515</v>
      </c>
      <c r="N1562" s="4" t="s">
        <v>11680</v>
      </c>
      <c r="O1562" s="4" t="s">
        <v>11681</v>
      </c>
      <c r="P1562" s="4" t="s">
        <v>233</v>
      </c>
    </row>
    <row r="1563" spans="1:16" x14ac:dyDescent="0.35">
      <c r="A1563" t="s">
        <v>11682</v>
      </c>
      <c r="B1563" t="s">
        <v>11683</v>
      </c>
      <c r="C1563" t="s">
        <v>16</v>
      </c>
      <c r="D1563" s="6">
        <v>599489248.24100494</v>
      </c>
      <c r="E1563" s="6">
        <v>249761248.24100494</v>
      </c>
      <c r="F1563" s="6">
        <v>44.180000305175781</v>
      </c>
      <c r="G1563" s="6">
        <v>44.049999237060547</v>
      </c>
      <c r="H1563" s="6">
        <v>31.784172881421426</v>
      </c>
      <c r="I1563" s="6">
        <v>-6.1396321121535369E-2</v>
      </c>
      <c r="J1563" s="6">
        <v>219447000</v>
      </c>
      <c r="K1563" s="6">
        <v>-36.036036036036045</v>
      </c>
      <c r="L1563" t="s">
        <v>6529</v>
      </c>
      <c r="M1563" t="s">
        <v>6639</v>
      </c>
      <c r="N1563" s="4" t="s">
        <v>11684</v>
      </c>
      <c r="O1563" s="4" t="s">
        <v>11685</v>
      </c>
      <c r="P1563" s="4" t="s">
        <v>233</v>
      </c>
    </row>
    <row r="1564" spans="1:16" x14ac:dyDescent="0.35">
      <c r="A1564" t="s">
        <v>11686</v>
      </c>
      <c r="B1564" t="s">
        <v>11687</v>
      </c>
      <c r="C1564" t="s">
        <v>16</v>
      </c>
      <c r="D1564" s="6">
        <v>475162272.0160675</v>
      </c>
      <c r="E1564" s="6">
        <v>1590362272.0160675</v>
      </c>
      <c r="F1564" s="6">
        <v>28.680000305175781</v>
      </c>
      <c r="G1564" s="6">
        <v>29.059999465942383</v>
      </c>
      <c r="H1564" s="6">
        <v>20.369549870719965</v>
      </c>
      <c r="I1564" s="6">
        <v>-0.16197754830087585</v>
      </c>
      <c r="J1564" s="6">
        <v>1988700000</v>
      </c>
      <c r="K1564" s="6" t="e">
        <v>#N/A</v>
      </c>
      <c r="L1564" t="s">
        <v>6563</v>
      </c>
      <c r="M1564" t="s">
        <v>7705</v>
      </c>
      <c r="N1564" s="4" t="s">
        <v>11688</v>
      </c>
      <c r="O1564" s="4" t="s">
        <v>11689</v>
      </c>
      <c r="P1564" s="4" t="s">
        <v>233</v>
      </c>
    </row>
    <row r="1565" spans="1:16" x14ac:dyDescent="0.35">
      <c r="A1565" t="s">
        <v>11690</v>
      </c>
      <c r="B1565" t="s">
        <v>11691</v>
      </c>
      <c r="C1565" t="s">
        <v>16</v>
      </c>
      <c r="D1565" s="6">
        <v>601761502.33298492</v>
      </c>
      <c r="E1565" s="6">
        <v>1467761502.3329849</v>
      </c>
      <c r="F1565" s="6">
        <v>19.979999542236328</v>
      </c>
      <c r="G1565" s="6">
        <v>19.819999694824219</v>
      </c>
      <c r="H1565" s="6">
        <v>7.2538403212007561</v>
      </c>
      <c r="I1565" s="6">
        <v>-0.63218608226841688</v>
      </c>
      <c r="J1565" s="6">
        <v>7174000000</v>
      </c>
      <c r="K1565" s="6">
        <v>-74.150943396226424</v>
      </c>
      <c r="L1565" t="s">
        <v>6540</v>
      </c>
      <c r="M1565" t="s">
        <v>6541</v>
      </c>
      <c r="N1565" s="4" t="s">
        <v>11692</v>
      </c>
      <c r="O1565" s="4" t="s">
        <v>11693</v>
      </c>
      <c r="P1565" s="4" t="s">
        <v>233</v>
      </c>
    </row>
    <row r="1566" spans="1:16" x14ac:dyDescent="0.35">
      <c r="A1566" t="s">
        <v>11699</v>
      </c>
      <c r="B1566" t="s">
        <v>11700</v>
      </c>
      <c r="C1566" t="s">
        <v>16</v>
      </c>
      <c r="D1566" s="6">
        <v>3151335147.2556839</v>
      </c>
      <c r="E1566" s="6">
        <v>3263855147.2556839</v>
      </c>
      <c r="F1566" s="6">
        <v>29.649999618530273</v>
      </c>
      <c r="G1566" s="6">
        <v>30.180000305175781</v>
      </c>
      <c r="H1566" s="6">
        <v>29.949494564171992</v>
      </c>
      <c r="I1566" s="6">
        <v>1.0764882861365672</v>
      </c>
      <c r="J1566" s="6">
        <v>816929000</v>
      </c>
      <c r="K1566" s="6">
        <v>-20.472440944881889</v>
      </c>
      <c r="L1566" t="s">
        <v>6523</v>
      </c>
      <c r="M1566" t="s">
        <v>6524</v>
      </c>
      <c r="N1566" s="4" t="s">
        <v>11701</v>
      </c>
      <c r="O1566" s="4" t="s">
        <v>11702</v>
      </c>
      <c r="P1566" s="4" t="s">
        <v>233</v>
      </c>
    </row>
    <row r="1567" spans="1:16" x14ac:dyDescent="0.35">
      <c r="A1567" t="s">
        <v>11694</v>
      </c>
      <c r="B1567" t="s">
        <v>4235</v>
      </c>
      <c r="C1567" t="s">
        <v>16</v>
      </c>
      <c r="D1567" s="6">
        <v>143100635.00420806</v>
      </c>
      <c r="E1567" s="6">
        <v>-122288364.99579194</v>
      </c>
      <c r="F1567" s="6">
        <v>1.4800000190734863</v>
      </c>
      <c r="G1567" s="6">
        <v>1.4099999666213989</v>
      </c>
      <c r="H1567" s="6" t="e">
        <v>#N/A</v>
      </c>
      <c r="I1567" s="6">
        <v>-0.66641386658216595</v>
      </c>
      <c r="J1567" s="6">
        <v>70717000</v>
      </c>
      <c r="K1567" s="6">
        <v>-8.6363636363636545</v>
      </c>
      <c r="L1567" t="s">
        <v>17</v>
      </c>
      <c r="M1567" t="s">
        <v>18</v>
      </c>
      <c r="N1567" s="4" t="s">
        <v>233</v>
      </c>
      <c r="O1567" s="4" t="s">
        <v>4236</v>
      </c>
      <c r="P1567" s="4" t="s">
        <v>13086</v>
      </c>
    </row>
    <row r="1568" spans="1:16" x14ac:dyDescent="0.35">
      <c r="A1568" t="s">
        <v>11695</v>
      </c>
      <c r="B1568" t="s">
        <v>11696</v>
      </c>
      <c r="C1568" t="s">
        <v>16</v>
      </c>
      <c r="D1568" s="6">
        <v>290737314.63915962</v>
      </c>
      <c r="E1568" s="6">
        <v>1392519314.6391597</v>
      </c>
      <c r="F1568" s="6">
        <v>3.8199999332427979</v>
      </c>
      <c r="G1568" s="6">
        <v>3.7799999713897705</v>
      </c>
      <c r="H1568" s="6" t="e">
        <v>#N/A</v>
      </c>
      <c r="I1568" s="6">
        <v>-0.44787569064397315</v>
      </c>
      <c r="J1568" s="6">
        <v>323473000</v>
      </c>
      <c r="K1568" s="6">
        <v>-7.4550128534704383</v>
      </c>
      <c r="L1568" t="s">
        <v>6735</v>
      </c>
      <c r="M1568" t="s">
        <v>6747</v>
      </c>
      <c r="N1568" s="4" t="s">
        <v>11697</v>
      </c>
      <c r="O1568" s="4" t="s">
        <v>11698</v>
      </c>
      <c r="P1568" s="4" t="s">
        <v>233</v>
      </c>
    </row>
    <row r="1569" spans="1:16" x14ac:dyDescent="0.35">
      <c r="A1569" t="s">
        <v>11703</v>
      </c>
      <c r="B1569" t="s">
        <v>11704</v>
      </c>
      <c r="C1569" t="s">
        <v>16</v>
      </c>
      <c r="D1569" s="6">
        <v>7890826465.2015772</v>
      </c>
      <c r="E1569" s="6">
        <v>7956580465.2015772</v>
      </c>
      <c r="F1569" s="6">
        <v>50.540000915527344</v>
      </c>
      <c r="G1569" s="6">
        <v>51.799999237060547</v>
      </c>
      <c r="H1569" s="6">
        <v>262.74200396934503</v>
      </c>
      <c r="I1569" s="6">
        <v>0.9462915532580447</v>
      </c>
      <c r="J1569" s="6">
        <v>643234000</v>
      </c>
      <c r="K1569" s="6" t="e">
        <v>#N/A</v>
      </c>
      <c r="L1569" t="s">
        <v>6518</v>
      </c>
      <c r="M1569" t="s">
        <v>6519</v>
      </c>
      <c r="N1569" s="4" t="s">
        <v>11705</v>
      </c>
      <c r="O1569" s="4" t="s">
        <v>11706</v>
      </c>
      <c r="P1569" s="4" t="s">
        <v>233</v>
      </c>
    </row>
    <row r="1570" spans="1:16" x14ac:dyDescent="0.35">
      <c r="A1570" t="s">
        <v>11707</v>
      </c>
      <c r="B1570" t="s">
        <v>11708</v>
      </c>
      <c r="C1570" t="s">
        <v>16</v>
      </c>
      <c r="D1570" s="6">
        <v>4614486822.2014465</v>
      </c>
      <c r="E1570" s="6">
        <v>6383021822.2014465</v>
      </c>
      <c r="F1570" s="6">
        <v>58.900001525878906</v>
      </c>
      <c r="G1570" s="6">
        <v>58.459999084472656</v>
      </c>
      <c r="H1570" s="6">
        <v>15.660870511958606</v>
      </c>
      <c r="I1570" s="6">
        <v>0.2482480193543195</v>
      </c>
      <c r="J1570" s="6">
        <v>7824625000</v>
      </c>
      <c r="K1570" s="6">
        <v>-13.011152416356881</v>
      </c>
      <c r="L1570" t="s">
        <v>6547</v>
      </c>
      <c r="M1570" t="s">
        <v>6875</v>
      </c>
      <c r="N1570" s="4" t="s">
        <v>11709</v>
      </c>
      <c r="O1570" s="4" t="s">
        <v>11710</v>
      </c>
      <c r="P1570" s="4" t="s">
        <v>233</v>
      </c>
    </row>
    <row r="1571" spans="1:16" x14ac:dyDescent="0.35">
      <c r="A1571" t="s">
        <v>11711</v>
      </c>
      <c r="B1571" t="s">
        <v>5045</v>
      </c>
      <c r="C1571" t="s">
        <v>16</v>
      </c>
      <c r="D1571" s="6">
        <v>3007551205.6479645</v>
      </c>
      <c r="E1571" s="6">
        <v>3436844205.6479645</v>
      </c>
      <c r="F1571" s="6">
        <v>7.8600001335144043</v>
      </c>
      <c r="G1571" s="6">
        <v>7.820000171661377</v>
      </c>
      <c r="H1571" s="6" t="e">
        <v>#N/A</v>
      </c>
      <c r="I1571" s="6">
        <v>0.12410319617613785</v>
      </c>
      <c r="J1571" s="6">
        <v>1055665000</v>
      </c>
      <c r="K1571" s="6">
        <v>16.393442622950818</v>
      </c>
      <c r="L1571" t="s">
        <v>17</v>
      </c>
      <c r="M1571" t="s">
        <v>40</v>
      </c>
      <c r="N1571" s="4" t="s">
        <v>5046</v>
      </c>
      <c r="O1571" s="4" t="s">
        <v>5047</v>
      </c>
      <c r="P1571" s="4" t="s">
        <v>233</v>
      </c>
    </row>
    <row r="1572" spans="1:16" x14ac:dyDescent="0.35">
      <c r="A1572" t="s">
        <v>11717</v>
      </c>
      <c r="B1572" t="s">
        <v>11718</v>
      </c>
      <c r="C1572" t="s">
        <v>16</v>
      </c>
      <c r="D1572" s="6">
        <v>144226509.74107745</v>
      </c>
      <c r="E1572" s="6">
        <v>58105509.741077438</v>
      </c>
      <c r="F1572" s="6">
        <v>3.9500000476837158</v>
      </c>
      <c r="G1572" s="6">
        <v>3.9600000381469727</v>
      </c>
      <c r="H1572" s="6" t="e">
        <v>#N/A</v>
      </c>
      <c r="I1572" s="6">
        <v>-0.18343106350025595</v>
      </c>
      <c r="J1572" s="6">
        <v>86409000</v>
      </c>
      <c r="K1572" s="6">
        <v>38.235294117647044</v>
      </c>
      <c r="L1572" t="s">
        <v>6540</v>
      </c>
      <c r="M1572" t="s">
        <v>7630</v>
      </c>
      <c r="N1572" s="4" t="s">
        <v>11719</v>
      </c>
      <c r="O1572" s="4" t="s">
        <v>11720</v>
      </c>
      <c r="P1572" s="4" t="s">
        <v>233</v>
      </c>
    </row>
    <row r="1573" spans="1:16" x14ac:dyDescent="0.35">
      <c r="A1573" t="s">
        <v>11712</v>
      </c>
      <c r="B1573" t="s">
        <v>3679</v>
      </c>
      <c r="C1573" t="s">
        <v>16</v>
      </c>
      <c r="D1573" s="6">
        <v>85721828.410624027</v>
      </c>
      <c r="E1573" s="6">
        <v>106396828.41062403</v>
      </c>
      <c r="F1573" s="6">
        <v>2.5299999713897705</v>
      </c>
      <c r="G1573" s="6">
        <v>2.4500000476837158</v>
      </c>
      <c r="H1573" s="6" t="e">
        <v>#N/A</v>
      </c>
      <c r="I1573" s="6">
        <v>-0.86624695059754941</v>
      </c>
      <c r="J1573" s="6">
        <v>4153000</v>
      </c>
      <c r="K1573" s="6">
        <v>-71.734148204736442</v>
      </c>
      <c r="L1573" t="s">
        <v>17</v>
      </c>
      <c r="M1573" t="s">
        <v>18</v>
      </c>
      <c r="N1573" s="4" t="s">
        <v>3680</v>
      </c>
      <c r="O1573" s="4" t="s">
        <v>3681</v>
      </c>
      <c r="P1573" s="4" t="s">
        <v>233</v>
      </c>
    </row>
    <row r="1574" spans="1:16" x14ac:dyDescent="0.35">
      <c r="A1574" t="s">
        <v>11713</v>
      </c>
      <c r="B1574" t="s">
        <v>11714</v>
      </c>
      <c r="C1574" t="s">
        <v>16</v>
      </c>
      <c r="D1574" s="6">
        <v>1621897160.134964</v>
      </c>
      <c r="E1574" s="6">
        <v>3042697160.134964</v>
      </c>
      <c r="F1574" s="6">
        <v>44.619998931884766</v>
      </c>
      <c r="G1574" s="6">
        <v>44.270000457763672</v>
      </c>
      <c r="H1574" s="6">
        <v>8.8457572939604159</v>
      </c>
      <c r="I1574" s="6">
        <v>-3.6602813494327813E-2</v>
      </c>
      <c r="J1574" s="6">
        <v>1479300000</v>
      </c>
      <c r="K1574" s="6" t="e">
        <v>#N/A</v>
      </c>
      <c r="L1574" t="s">
        <v>6563</v>
      </c>
      <c r="M1574" t="s">
        <v>6764</v>
      </c>
      <c r="N1574" s="4" t="s">
        <v>11715</v>
      </c>
      <c r="O1574" s="4" t="s">
        <v>11716</v>
      </c>
      <c r="P1574" s="4" t="s">
        <v>233</v>
      </c>
    </row>
    <row r="1575" spans="1:16" x14ac:dyDescent="0.35">
      <c r="A1575" t="s">
        <v>11721</v>
      </c>
      <c r="B1575" t="s">
        <v>3351</v>
      </c>
      <c r="C1575" t="s">
        <v>16</v>
      </c>
      <c r="D1575" s="6">
        <v>7919940267.9067831</v>
      </c>
      <c r="E1575" s="6">
        <v>7817222267.9067831</v>
      </c>
      <c r="F1575" s="6">
        <v>143.63999938964844</v>
      </c>
      <c r="G1575" s="6">
        <v>142.94999694824219</v>
      </c>
      <c r="H1575" s="6" t="e">
        <v>#N/A</v>
      </c>
      <c r="I1575" s="6">
        <v>0.48949741145937087</v>
      </c>
      <c r="J1575" s="6">
        <v>360347000</v>
      </c>
      <c r="K1575" s="6">
        <v>-10.037174721189574</v>
      </c>
      <c r="L1575" t="s">
        <v>17</v>
      </c>
      <c r="M1575" t="s">
        <v>27</v>
      </c>
      <c r="N1575" s="4" t="s">
        <v>3352</v>
      </c>
      <c r="O1575" s="4" t="s">
        <v>3353</v>
      </c>
      <c r="P1575" s="4" t="s">
        <v>233</v>
      </c>
    </row>
    <row r="1576" spans="1:16" x14ac:dyDescent="0.35">
      <c r="A1576" t="s">
        <v>11722</v>
      </c>
      <c r="B1576" t="s">
        <v>4606</v>
      </c>
      <c r="C1576" t="s">
        <v>16</v>
      </c>
      <c r="D1576" s="6">
        <v>279717195.36406326</v>
      </c>
      <c r="E1576" s="6">
        <v>97198195.364063263</v>
      </c>
      <c r="F1576" s="6">
        <v>1.9600000381469727</v>
      </c>
      <c r="G1576" s="6">
        <v>1.8500000238418579</v>
      </c>
      <c r="H1576" s="6" t="e">
        <v>#N/A</v>
      </c>
      <c r="I1576" s="6">
        <v>0.11330894317083295</v>
      </c>
      <c r="J1576" s="6">
        <v>2266000</v>
      </c>
      <c r="K1576" s="6">
        <v>15.789473684210526</v>
      </c>
      <c r="L1576" t="s">
        <v>17</v>
      </c>
      <c r="M1576" t="s">
        <v>100</v>
      </c>
      <c r="N1576" s="4" t="s">
        <v>4607</v>
      </c>
      <c r="O1576" s="4" t="s">
        <v>4608</v>
      </c>
      <c r="P1576" s="4" t="s">
        <v>233</v>
      </c>
    </row>
    <row r="1577" spans="1:16" x14ac:dyDescent="0.35">
      <c r="A1577" t="s">
        <v>11723</v>
      </c>
      <c r="B1577" t="s">
        <v>5398</v>
      </c>
      <c r="C1577" t="s">
        <v>16</v>
      </c>
      <c r="D1577" s="6">
        <v>3773319686.3747916</v>
      </c>
      <c r="E1577" s="6">
        <v>7458648686.3747921</v>
      </c>
      <c r="F1577" s="6">
        <v>21.670000076293945</v>
      </c>
      <c r="G1577" s="6">
        <v>21.739999771118164</v>
      </c>
      <c r="H1577" s="6" t="e">
        <v>#N/A</v>
      </c>
      <c r="I1577" s="6">
        <v>0.90420736728087725</v>
      </c>
      <c r="J1577" s="6">
        <v>8826175000</v>
      </c>
      <c r="K1577" s="6">
        <v>-186.49772980501396</v>
      </c>
      <c r="L1577" t="s">
        <v>17</v>
      </c>
      <c r="M1577" t="s">
        <v>40</v>
      </c>
      <c r="N1577" s="4" t="s">
        <v>5399</v>
      </c>
      <c r="O1577" s="4" t="s">
        <v>5400</v>
      </c>
      <c r="P1577" s="4" t="s">
        <v>233</v>
      </c>
    </row>
    <row r="1578" spans="1:16" x14ac:dyDescent="0.35">
      <c r="A1578" t="s">
        <v>11728</v>
      </c>
      <c r="B1578" t="s">
        <v>5738</v>
      </c>
      <c r="C1578" t="s">
        <v>16</v>
      </c>
      <c r="D1578" s="6">
        <v>906453618.04555321</v>
      </c>
      <c r="E1578" s="6">
        <v>623811618.04555321</v>
      </c>
      <c r="F1578" s="6">
        <v>26.899999618530273</v>
      </c>
      <c r="G1578" s="6">
        <v>26.319999694824219</v>
      </c>
      <c r="H1578" s="6" t="e">
        <v>#N/A</v>
      </c>
      <c r="I1578" s="6">
        <v>0.27826497470962619</v>
      </c>
      <c r="J1578" s="6">
        <v>0</v>
      </c>
      <c r="K1578" s="6" t="e">
        <v>#N/A</v>
      </c>
      <c r="L1578" t="s">
        <v>17</v>
      </c>
      <c r="M1578" t="s">
        <v>18</v>
      </c>
      <c r="N1578" s="4" t="s">
        <v>5739</v>
      </c>
      <c r="O1578" s="4" t="s">
        <v>5740</v>
      </c>
      <c r="P1578" s="4" t="s">
        <v>233</v>
      </c>
    </row>
    <row r="1579" spans="1:16" x14ac:dyDescent="0.35">
      <c r="A1579" t="s">
        <v>11729</v>
      </c>
      <c r="B1579" t="s">
        <v>11730</v>
      </c>
      <c r="C1579" t="s">
        <v>16</v>
      </c>
      <c r="D1579" s="6">
        <v>201077896.55186057</v>
      </c>
      <c r="E1579" s="6">
        <v>430341896.55186057</v>
      </c>
      <c r="F1579" s="6">
        <v>1.6200000047683716</v>
      </c>
      <c r="G1579" s="6">
        <v>1.6000000238418579</v>
      </c>
      <c r="H1579" s="6" t="e">
        <v>#N/A</v>
      </c>
      <c r="I1579" s="6">
        <v>-0.47310182788562216</v>
      </c>
      <c r="J1579" s="6">
        <v>397991000</v>
      </c>
      <c r="K1579" s="6" t="e">
        <v>#N/A</v>
      </c>
      <c r="L1579" t="s">
        <v>6735</v>
      </c>
      <c r="M1579" t="s">
        <v>7752</v>
      </c>
      <c r="N1579" s="4" t="s">
        <v>11731</v>
      </c>
      <c r="O1579" s="4" t="s">
        <v>11732</v>
      </c>
      <c r="P1579" s="4" t="s">
        <v>233</v>
      </c>
    </row>
    <row r="1580" spans="1:16" x14ac:dyDescent="0.35">
      <c r="A1580" t="s">
        <v>11724</v>
      </c>
      <c r="B1580" t="s">
        <v>11725</v>
      </c>
      <c r="C1580" t="s">
        <v>16</v>
      </c>
      <c r="D1580" s="6">
        <v>191000947.28024673</v>
      </c>
      <c r="E1580" s="6">
        <v>202380947.28024673</v>
      </c>
      <c r="F1580" s="6">
        <v>8.2799997329711914</v>
      </c>
      <c r="G1580" s="6">
        <v>8.5200004577636719</v>
      </c>
      <c r="H1580" s="6">
        <v>3.4147581616934195</v>
      </c>
      <c r="I1580" s="6">
        <v>-0.1148430553005958</v>
      </c>
      <c r="J1580" s="6">
        <v>277354000</v>
      </c>
      <c r="K1580" s="6">
        <v>-1.0298367346938866</v>
      </c>
      <c r="L1580" t="s">
        <v>6529</v>
      </c>
      <c r="M1580" t="s">
        <v>6646</v>
      </c>
      <c r="N1580" s="4" t="s">
        <v>11726</v>
      </c>
      <c r="O1580" s="4" t="s">
        <v>11727</v>
      </c>
      <c r="P1580" s="4" t="s">
        <v>233</v>
      </c>
    </row>
    <row r="1581" spans="1:16" x14ac:dyDescent="0.35">
      <c r="A1581" t="s">
        <v>11733</v>
      </c>
      <c r="B1581" t="s">
        <v>11734</v>
      </c>
      <c r="C1581" t="s">
        <v>16</v>
      </c>
      <c r="D1581" s="6">
        <v>1066971905.5</v>
      </c>
      <c r="E1581" s="6" t="e">
        <v>#N/A</v>
      </c>
      <c r="F1581" s="6">
        <v>18.25</v>
      </c>
      <c r="G1581" s="6">
        <v>18.309999465942383</v>
      </c>
      <c r="H1581" s="6">
        <v>10.916919550378443</v>
      </c>
      <c r="I1581" s="6">
        <v>0.21092421157997654</v>
      </c>
      <c r="J1581" s="6">
        <v>692360000</v>
      </c>
      <c r="K1581" s="6">
        <v>-2.9411764705882382</v>
      </c>
      <c r="L1581" t="s">
        <v>6529</v>
      </c>
      <c r="M1581" t="s">
        <v>6530</v>
      </c>
      <c r="N1581" s="4" t="s">
        <v>11735</v>
      </c>
      <c r="O1581" s="4" t="s">
        <v>11736</v>
      </c>
      <c r="P1581" s="4" t="s">
        <v>233</v>
      </c>
    </row>
    <row r="1582" spans="1:16" x14ac:dyDescent="0.35">
      <c r="A1582" t="s">
        <v>11737</v>
      </c>
      <c r="B1582" t="s">
        <v>2892</v>
      </c>
      <c r="C1582" t="s">
        <v>16</v>
      </c>
      <c r="D1582" s="6">
        <v>1871160776.2690544</v>
      </c>
      <c r="E1582" s="6">
        <v>271348776.26905417</v>
      </c>
      <c r="F1582" s="6">
        <v>32.810001373291016</v>
      </c>
      <c r="G1582" s="6">
        <v>32</v>
      </c>
      <c r="H1582" s="6" t="e">
        <v>#N/A</v>
      </c>
      <c r="I1582" s="6">
        <v>0.26695281591725006</v>
      </c>
      <c r="J1582" s="6">
        <v>32871000</v>
      </c>
      <c r="K1582" s="6" t="e">
        <v>#N/A</v>
      </c>
      <c r="L1582" t="s">
        <v>17</v>
      </c>
      <c r="M1582" t="s">
        <v>18</v>
      </c>
      <c r="N1582" s="4" t="s">
        <v>2893</v>
      </c>
      <c r="O1582" s="4" t="s">
        <v>2894</v>
      </c>
      <c r="P1582" s="4" t="s">
        <v>233</v>
      </c>
    </row>
    <row r="1583" spans="1:16" x14ac:dyDescent="0.35">
      <c r="A1583" t="s">
        <v>11738</v>
      </c>
      <c r="B1583" t="s">
        <v>11739</v>
      </c>
      <c r="C1583" t="s">
        <v>16</v>
      </c>
      <c r="D1583" s="6">
        <v>1028046900.8709811</v>
      </c>
      <c r="E1583" s="6">
        <v>1200618900.8709812</v>
      </c>
      <c r="F1583" s="6">
        <v>29.489999771118164</v>
      </c>
      <c r="G1583" s="6">
        <v>29.399999618530273</v>
      </c>
      <c r="H1583" s="6">
        <v>18.861600857514109</v>
      </c>
      <c r="I1583" s="6">
        <v>-0.36922528842426483</v>
      </c>
      <c r="J1583" s="6">
        <v>902175000</v>
      </c>
      <c r="K1583" s="6">
        <v>-69.090909090909079</v>
      </c>
      <c r="L1583" t="s">
        <v>6514</v>
      </c>
      <c r="M1583" t="s">
        <v>6578</v>
      </c>
      <c r="N1583" s="4" t="s">
        <v>11740</v>
      </c>
      <c r="O1583" s="4" t="s">
        <v>11741</v>
      </c>
      <c r="P1583" s="4" t="s">
        <v>233</v>
      </c>
    </row>
    <row r="1584" spans="1:16" x14ac:dyDescent="0.35">
      <c r="A1584" t="s">
        <v>11746</v>
      </c>
      <c r="B1584" t="s">
        <v>11747</v>
      </c>
      <c r="C1584" t="s">
        <v>16</v>
      </c>
      <c r="D1584" s="6">
        <v>701949042.29836655</v>
      </c>
      <c r="E1584" s="6" t="e">
        <v>#N/A</v>
      </c>
      <c r="F1584" s="6">
        <v>26.629999160766602</v>
      </c>
      <c r="G1584" s="6">
        <v>26.579999923706055</v>
      </c>
      <c r="H1584" s="6">
        <v>14.98749962616605</v>
      </c>
      <c r="I1584" s="6">
        <v>-6.5060707897763859E-3</v>
      </c>
      <c r="J1584" s="6">
        <v>1131476000</v>
      </c>
      <c r="K1584" s="6">
        <v>-35.560859188544157</v>
      </c>
      <c r="L1584" t="s">
        <v>6547</v>
      </c>
      <c r="M1584" t="s">
        <v>7792</v>
      </c>
      <c r="N1584" s="4" t="s">
        <v>11748</v>
      </c>
      <c r="O1584" s="4" t="s">
        <v>11749</v>
      </c>
      <c r="P1584" s="4" t="s">
        <v>233</v>
      </c>
    </row>
    <row r="1585" spans="1:16" x14ac:dyDescent="0.35">
      <c r="A1585" t="s">
        <v>11742</v>
      </c>
      <c r="B1585" t="s">
        <v>11743</v>
      </c>
      <c r="C1585" t="s">
        <v>16</v>
      </c>
      <c r="D1585" s="6">
        <v>331712127.69602966</v>
      </c>
      <c r="E1585" s="6" t="e">
        <v>#N/A</v>
      </c>
      <c r="F1585" s="6">
        <v>21.520000457763672</v>
      </c>
      <c r="G1585" s="6">
        <v>21.75</v>
      </c>
      <c r="H1585" s="6">
        <v>12.733728081516967</v>
      </c>
      <c r="I1585" s="6">
        <v>0.13265845351076799</v>
      </c>
      <c r="J1585" s="6">
        <v>157287000</v>
      </c>
      <c r="K1585" s="6">
        <v>7.643312101910821</v>
      </c>
      <c r="L1585" t="s">
        <v>6529</v>
      </c>
      <c r="M1585" t="s">
        <v>6530</v>
      </c>
      <c r="N1585" s="4" t="s">
        <v>11744</v>
      </c>
      <c r="O1585" s="4" t="s">
        <v>11745</v>
      </c>
      <c r="P1585" s="4" t="s">
        <v>233</v>
      </c>
    </row>
    <row r="1586" spans="1:16" x14ac:dyDescent="0.35">
      <c r="A1586" t="s">
        <v>11750</v>
      </c>
      <c r="B1586" t="s">
        <v>11751</v>
      </c>
      <c r="C1586" t="s">
        <v>16</v>
      </c>
      <c r="D1586" s="6">
        <v>3389067631.4999995</v>
      </c>
      <c r="E1586" s="6" t="e">
        <v>#N/A</v>
      </c>
      <c r="F1586" s="6">
        <v>37.75</v>
      </c>
      <c r="G1586" s="6">
        <v>38.189998626708984</v>
      </c>
      <c r="H1586" s="6">
        <v>14.521336363003407</v>
      </c>
      <c r="I1586" s="6">
        <v>0.13161306813484619</v>
      </c>
      <c r="J1586" s="6">
        <v>1346413000</v>
      </c>
      <c r="K1586" s="6">
        <v>-9.4861660079051298</v>
      </c>
      <c r="L1586" t="s">
        <v>6529</v>
      </c>
      <c r="M1586" t="s">
        <v>6530</v>
      </c>
      <c r="N1586" s="4" t="s">
        <v>11752</v>
      </c>
      <c r="O1586" s="4" t="s">
        <v>11753</v>
      </c>
      <c r="P1586" s="4" t="s">
        <v>233</v>
      </c>
    </row>
    <row r="1587" spans="1:16" x14ac:dyDescent="0.35">
      <c r="A1587" t="s">
        <v>11754</v>
      </c>
      <c r="B1587" t="s">
        <v>11755</v>
      </c>
      <c r="C1587" t="s">
        <v>16</v>
      </c>
      <c r="D1587" s="6">
        <v>217666623.96547318</v>
      </c>
      <c r="E1587" s="6">
        <v>473800623.96547318</v>
      </c>
      <c r="F1587" s="6">
        <v>17.719999313354492</v>
      </c>
      <c r="G1587" s="6">
        <v>17.840000152587891</v>
      </c>
      <c r="H1587" s="6" t="e">
        <v>#N/A</v>
      </c>
      <c r="I1587" s="6">
        <v>-6.5228148201531444E-2</v>
      </c>
      <c r="J1587" s="6">
        <v>800607000</v>
      </c>
      <c r="K1587" s="6">
        <v>-74.793388429752014</v>
      </c>
      <c r="L1587" t="s">
        <v>6523</v>
      </c>
      <c r="M1587" t="s">
        <v>6588</v>
      </c>
      <c r="N1587" s="4" t="s">
        <v>11756</v>
      </c>
      <c r="O1587" s="4" t="s">
        <v>11757</v>
      </c>
      <c r="P1587" s="4" t="s">
        <v>233</v>
      </c>
    </row>
    <row r="1588" spans="1:16" x14ac:dyDescent="0.35">
      <c r="A1588" t="s">
        <v>11758</v>
      </c>
      <c r="B1588" t="s">
        <v>11759</v>
      </c>
      <c r="C1588" t="s">
        <v>16</v>
      </c>
      <c r="D1588" s="6">
        <v>169882210.90935707</v>
      </c>
      <c r="E1588" s="6">
        <v>160944210.90935707</v>
      </c>
      <c r="F1588" s="6">
        <v>13.494999885559082</v>
      </c>
      <c r="G1588" s="6">
        <v>13.449999809265137</v>
      </c>
      <c r="H1588" s="6" t="e">
        <v>#N/A</v>
      </c>
      <c r="I1588" s="6">
        <v>-0.37152636486598833</v>
      </c>
      <c r="J1588" s="6">
        <v>104665000</v>
      </c>
      <c r="K1588" s="6">
        <v>81.967213114754088</v>
      </c>
      <c r="L1588" t="s">
        <v>6518</v>
      </c>
      <c r="M1588" t="s">
        <v>6519</v>
      </c>
      <c r="N1588" s="4" t="s">
        <v>11760</v>
      </c>
      <c r="O1588" s="4" t="s">
        <v>11761</v>
      </c>
      <c r="P1588" s="4" t="s">
        <v>233</v>
      </c>
    </row>
    <row r="1589" spans="1:16" x14ac:dyDescent="0.35">
      <c r="A1589" t="s">
        <v>11763</v>
      </c>
      <c r="B1589" t="s">
        <v>11764</v>
      </c>
      <c r="C1589" t="s">
        <v>16</v>
      </c>
      <c r="D1589" s="6">
        <v>1618235364.5191953</v>
      </c>
      <c r="E1589" s="6" t="e">
        <v>#N/A</v>
      </c>
      <c r="F1589" s="6">
        <v>42.569999694824219</v>
      </c>
      <c r="G1589" s="6">
        <v>43.340000152587891</v>
      </c>
      <c r="H1589" s="6">
        <v>13.821428472345525</v>
      </c>
      <c r="I1589" s="6">
        <v>0.25993328061627463</v>
      </c>
      <c r="J1589" s="6">
        <v>599499000</v>
      </c>
      <c r="K1589" s="6">
        <v>-17.112299465240646</v>
      </c>
      <c r="L1589" t="s">
        <v>6529</v>
      </c>
      <c r="M1589" t="s">
        <v>6530</v>
      </c>
      <c r="N1589" s="4" t="s">
        <v>11765</v>
      </c>
      <c r="O1589" s="4" t="s">
        <v>11766</v>
      </c>
      <c r="P1589" s="4" t="s">
        <v>233</v>
      </c>
    </row>
    <row r="1590" spans="1:16" x14ac:dyDescent="0.35">
      <c r="A1590" t="s">
        <v>11767</v>
      </c>
      <c r="B1590" t="s">
        <v>11768</v>
      </c>
      <c r="C1590" t="s">
        <v>16</v>
      </c>
      <c r="D1590" s="6">
        <v>1094520158.6870499</v>
      </c>
      <c r="E1590" s="6">
        <v>1673520158.6870499</v>
      </c>
      <c r="F1590" s="6">
        <v>12.840000152587891</v>
      </c>
      <c r="G1590" s="6">
        <v>13</v>
      </c>
      <c r="H1590" s="6">
        <v>13.673757517199107</v>
      </c>
      <c r="I1590" s="6">
        <v>0.17961309952755333</v>
      </c>
      <c r="J1590" s="6">
        <v>3203000000</v>
      </c>
      <c r="K1590" s="6">
        <v>-17.293932664103391</v>
      </c>
      <c r="L1590" t="s">
        <v>6547</v>
      </c>
      <c r="M1590" t="s">
        <v>6875</v>
      </c>
      <c r="N1590" s="4" t="s">
        <v>11769</v>
      </c>
      <c r="O1590" s="4" t="s">
        <v>11770</v>
      </c>
      <c r="P1590" s="4" t="s">
        <v>233</v>
      </c>
    </row>
    <row r="1591" spans="1:16" x14ac:dyDescent="0.35">
      <c r="A1591" t="s">
        <v>11762</v>
      </c>
      <c r="B1591" t="s">
        <v>2098</v>
      </c>
      <c r="C1591" t="s">
        <v>16</v>
      </c>
      <c r="D1591" s="6">
        <v>76791726.885875687</v>
      </c>
      <c r="E1591" s="6">
        <v>4432297.8858757019</v>
      </c>
      <c r="F1591" s="6">
        <v>2.130000114440918</v>
      </c>
      <c r="G1591" s="6">
        <v>1.8999999761581421</v>
      </c>
      <c r="H1591" s="6" t="e">
        <v>#N/A</v>
      </c>
      <c r="I1591" s="6">
        <v>-0.6998546625009523</v>
      </c>
      <c r="J1591" s="6">
        <v>203412</v>
      </c>
      <c r="K1591" s="6">
        <v>41.496103162207369</v>
      </c>
      <c r="L1591" t="s">
        <v>17</v>
      </c>
      <c r="M1591" t="s">
        <v>18</v>
      </c>
      <c r="N1591" s="4" t="s">
        <v>2099</v>
      </c>
      <c r="O1591" s="4" t="s">
        <v>2100</v>
      </c>
      <c r="P1591" s="4" t="s">
        <v>233</v>
      </c>
    </row>
    <row r="1592" spans="1:16" x14ac:dyDescent="0.35">
      <c r="A1592" t="s">
        <v>11771</v>
      </c>
      <c r="B1592" t="s">
        <v>11772</v>
      </c>
      <c r="C1592" t="s">
        <v>16</v>
      </c>
      <c r="D1592" s="6">
        <v>394864999.96179199</v>
      </c>
      <c r="E1592" s="6">
        <v>367538028.96179199</v>
      </c>
      <c r="F1592" s="6">
        <v>145.03999328613281</v>
      </c>
      <c r="G1592" s="6">
        <v>145.60000610351563</v>
      </c>
      <c r="H1592" s="6">
        <v>17.333894551993119</v>
      </c>
      <c r="I1592" s="6">
        <v>-8.7851710669503702E-2</v>
      </c>
      <c r="J1592" s="6">
        <v>145795495</v>
      </c>
      <c r="K1592" s="6">
        <v>21.709166092350067</v>
      </c>
      <c r="L1592" t="s">
        <v>6529</v>
      </c>
      <c r="M1592" t="s">
        <v>6568</v>
      </c>
      <c r="N1592" s="4" t="s">
        <v>11773</v>
      </c>
      <c r="O1592" s="4" t="s">
        <v>11774</v>
      </c>
      <c r="P1592" s="4" t="s">
        <v>233</v>
      </c>
    </row>
    <row r="1593" spans="1:16" x14ac:dyDescent="0.35">
      <c r="A1593" t="s">
        <v>11775</v>
      </c>
      <c r="B1593" t="s">
        <v>11776</v>
      </c>
      <c r="C1593" t="s">
        <v>16</v>
      </c>
      <c r="D1593" s="6">
        <v>734953124.14044273</v>
      </c>
      <c r="E1593" s="6">
        <v>863254124.14044273</v>
      </c>
      <c r="F1593" s="6">
        <v>3.630000114440918</v>
      </c>
      <c r="G1593" s="6">
        <v>3.75</v>
      </c>
      <c r="H1593" s="6" t="e">
        <v>#N/A</v>
      </c>
      <c r="I1593" s="6">
        <v>-0.51439369592811923</v>
      </c>
      <c r="J1593" s="6">
        <v>228806000</v>
      </c>
      <c r="K1593" s="6">
        <v>26.373626373626372</v>
      </c>
      <c r="L1593" t="s">
        <v>6518</v>
      </c>
      <c r="M1593" t="s">
        <v>6807</v>
      </c>
      <c r="N1593" s="4" t="s">
        <v>11777</v>
      </c>
      <c r="O1593" s="4" t="s">
        <v>11778</v>
      </c>
      <c r="P1593" s="4" t="s">
        <v>233</v>
      </c>
    </row>
    <row r="1594" spans="1:16" x14ac:dyDescent="0.35">
      <c r="A1594" t="s">
        <v>11779</v>
      </c>
      <c r="B1594" t="s">
        <v>1290</v>
      </c>
      <c r="C1594" t="s">
        <v>16</v>
      </c>
      <c r="D1594" s="6">
        <v>1768812768.1039495</v>
      </c>
      <c r="E1594" s="6">
        <v>1987267768.1039495</v>
      </c>
      <c r="F1594" s="6">
        <v>13.779999732971191</v>
      </c>
      <c r="G1594" s="6">
        <v>13.149999618530273</v>
      </c>
      <c r="H1594" s="6" t="e">
        <v>#N/A</v>
      </c>
      <c r="I1594" s="6">
        <v>-9.079197731565769E-2</v>
      </c>
      <c r="J1594" s="6">
        <v>644118000</v>
      </c>
      <c r="K1594" s="6">
        <v>20.779220779220783</v>
      </c>
      <c r="L1594" t="s">
        <v>17</v>
      </c>
      <c r="M1594" t="s">
        <v>40</v>
      </c>
      <c r="N1594" s="4" t="s">
        <v>1291</v>
      </c>
      <c r="O1594" s="4" t="s">
        <v>1292</v>
      </c>
      <c r="P1594" s="4" t="s">
        <v>233</v>
      </c>
    </row>
    <row r="1595" spans="1:16" x14ac:dyDescent="0.35">
      <c r="A1595" t="s">
        <v>11780</v>
      </c>
      <c r="B1595" t="s">
        <v>10753</v>
      </c>
      <c r="C1595" t="s">
        <v>16</v>
      </c>
      <c r="D1595" s="6">
        <v>2204528301.9767532</v>
      </c>
      <c r="E1595" s="6">
        <v>6516928301.9767532</v>
      </c>
      <c r="F1595" s="6">
        <v>8.7600002288818359</v>
      </c>
      <c r="G1595" s="6">
        <v>8.6899995803833008</v>
      </c>
      <c r="H1595" s="6">
        <v>29.743109950638104</v>
      </c>
      <c r="I1595" s="6">
        <v>2.4493507331806441E-2</v>
      </c>
      <c r="J1595" s="6">
        <v>3871500000</v>
      </c>
      <c r="K1595" s="6">
        <v>76.09917505030181</v>
      </c>
      <c r="L1595" t="s">
        <v>6514</v>
      </c>
      <c r="M1595" t="s">
        <v>6690</v>
      </c>
      <c r="N1595" s="4" t="s">
        <v>11781</v>
      </c>
      <c r="O1595" s="4" t="s">
        <v>11782</v>
      </c>
      <c r="P1595" s="4" t="s">
        <v>233</v>
      </c>
    </row>
    <row r="1596" spans="1:16" x14ac:dyDescent="0.35">
      <c r="A1596" t="s">
        <v>11783</v>
      </c>
      <c r="B1596" t="s">
        <v>11784</v>
      </c>
      <c r="C1596" t="s">
        <v>16</v>
      </c>
      <c r="D1596" s="6">
        <v>422465309.00158876</v>
      </c>
      <c r="E1596" s="6" t="e">
        <v>#N/A</v>
      </c>
      <c r="F1596" s="6">
        <v>19.739999771118164</v>
      </c>
      <c r="G1596" s="6">
        <v>19.799999237060547</v>
      </c>
      <c r="H1596" s="6" t="e">
        <v>#N/A</v>
      </c>
      <c r="I1596" s="6">
        <v>-0.18213278529350529</v>
      </c>
      <c r="J1596" s="6">
        <v>489482000</v>
      </c>
      <c r="K1596" s="6" t="e">
        <v>#N/A</v>
      </c>
      <c r="L1596" t="s">
        <v>6529</v>
      </c>
      <c r="M1596" t="s">
        <v>6530</v>
      </c>
      <c r="N1596" s="4" t="s">
        <v>11785</v>
      </c>
      <c r="O1596" s="4" t="s">
        <v>11786</v>
      </c>
      <c r="P1596" s="4" t="s">
        <v>233</v>
      </c>
    </row>
    <row r="1597" spans="1:16" x14ac:dyDescent="0.35">
      <c r="A1597" t="s">
        <v>11787</v>
      </c>
      <c r="B1597" t="s">
        <v>11788</v>
      </c>
      <c r="C1597" t="s">
        <v>16</v>
      </c>
      <c r="D1597" s="6">
        <v>437598757.59972447</v>
      </c>
      <c r="E1597" s="6">
        <v>4339316757.5997248</v>
      </c>
      <c r="F1597" s="6">
        <v>3.1400001049041748</v>
      </c>
      <c r="G1597" s="6">
        <v>3.1400001049041748</v>
      </c>
      <c r="H1597" s="6">
        <v>157.00000524520874</v>
      </c>
      <c r="I1597" s="6">
        <v>-0.6694397317121572</v>
      </c>
      <c r="J1597" s="6">
        <v>777639000</v>
      </c>
      <c r="K1597" s="6">
        <v>-97.468354430379748</v>
      </c>
      <c r="L1597" t="s">
        <v>6529</v>
      </c>
      <c r="M1597" t="s">
        <v>8169</v>
      </c>
      <c r="N1597" s="4" t="s">
        <v>11789</v>
      </c>
      <c r="O1597" s="4" t="s">
        <v>11790</v>
      </c>
      <c r="P1597" s="4" t="s">
        <v>233</v>
      </c>
    </row>
    <row r="1598" spans="1:16" x14ac:dyDescent="0.35">
      <c r="A1598" t="s">
        <v>11791</v>
      </c>
      <c r="B1598" t="s">
        <v>11792</v>
      </c>
      <c r="C1598" t="s">
        <v>16</v>
      </c>
      <c r="D1598" s="6">
        <v>529053252.35828012</v>
      </c>
      <c r="E1598" s="6">
        <v>596177252.35828018</v>
      </c>
      <c r="F1598" s="6">
        <v>8.9300003051757813</v>
      </c>
      <c r="G1598" s="6">
        <v>9.0100002288818359</v>
      </c>
      <c r="H1598" s="6" t="e">
        <v>#N/A</v>
      </c>
      <c r="I1598" s="6">
        <v>-0.18899289320804735</v>
      </c>
      <c r="J1598" s="6">
        <v>698131000</v>
      </c>
      <c r="K1598" s="6" t="e">
        <v>#N/A</v>
      </c>
      <c r="L1598" t="s">
        <v>6563</v>
      </c>
      <c r="M1598" t="s">
        <v>6564</v>
      </c>
      <c r="N1598" s="4" t="s">
        <v>11793</v>
      </c>
      <c r="O1598" s="4" t="s">
        <v>11794</v>
      </c>
      <c r="P1598" s="4" t="s">
        <v>233</v>
      </c>
    </row>
    <row r="1599" spans="1:16" x14ac:dyDescent="0.35">
      <c r="A1599" t="s">
        <v>11799</v>
      </c>
      <c r="B1599" t="s">
        <v>11800</v>
      </c>
      <c r="C1599" t="s">
        <v>16</v>
      </c>
      <c r="D1599" s="6">
        <v>214714522.41266632</v>
      </c>
      <c r="E1599" s="6" t="e">
        <v>#N/A</v>
      </c>
      <c r="F1599" s="6">
        <v>31.350000381469727</v>
      </c>
      <c r="G1599" s="6">
        <v>31.700000762939453</v>
      </c>
      <c r="H1599" s="6">
        <v>12.635147870108957</v>
      </c>
      <c r="I1599" s="6">
        <v>1.0769926551546849E-2</v>
      </c>
      <c r="J1599" s="6">
        <v>131101000</v>
      </c>
      <c r="K1599" s="6">
        <v>-61.707317073170721</v>
      </c>
      <c r="L1599" t="s">
        <v>6529</v>
      </c>
      <c r="M1599" t="s">
        <v>6530</v>
      </c>
      <c r="N1599" s="4" t="s">
        <v>11801</v>
      </c>
      <c r="O1599" s="4" t="s">
        <v>11802</v>
      </c>
      <c r="P1599" s="4" t="s">
        <v>233</v>
      </c>
    </row>
    <row r="1600" spans="1:16" x14ac:dyDescent="0.35">
      <c r="A1600" t="s">
        <v>11795</v>
      </c>
      <c r="B1600" t="s">
        <v>11796</v>
      </c>
      <c r="C1600" t="s">
        <v>16</v>
      </c>
      <c r="D1600" s="6">
        <v>1416073587.6881266</v>
      </c>
      <c r="E1600" s="6">
        <v>1860813587.6881266</v>
      </c>
      <c r="F1600" s="6">
        <v>12.960000038146973</v>
      </c>
      <c r="G1600" s="6">
        <v>13.039999961853027</v>
      </c>
      <c r="H1600" s="6">
        <v>26.031832830132196</v>
      </c>
      <c r="I1600" s="6">
        <v>2.1811934215760331E-2</v>
      </c>
      <c r="J1600" s="6">
        <v>343723000</v>
      </c>
      <c r="K1600" s="6">
        <v>-67.768595041322314</v>
      </c>
      <c r="L1600" t="s">
        <v>6518</v>
      </c>
      <c r="M1600" t="s">
        <v>6519</v>
      </c>
      <c r="N1600" s="4" t="s">
        <v>11797</v>
      </c>
      <c r="O1600" s="4" t="s">
        <v>11798</v>
      </c>
      <c r="P1600" s="4" t="s">
        <v>233</v>
      </c>
    </row>
    <row r="1601" spans="1:16" x14ac:dyDescent="0.35">
      <c r="A1601" t="s">
        <v>11803</v>
      </c>
      <c r="B1601" t="s">
        <v>11804</v>
      </c>
      <c r="C1601" t="s">
        <v>16</v>
      </c>
      <c r="D1601" s="6">
        <v>9979237310.772768</v>
      </c>
      <c r="E1601" s="6">
        <v>10248096310.772768</v>
      </c>
      <c r="F1601" s="6">
        <v>260.02999877929688</v>
      </c>
      <c r="G1601" s="6">
        <v>257.79000854492188</v>
      </c>
      <c r="H1601" s="6">
        <v>26.484050881327949</v>
      </c>
      <c r="I1601" s="6">
        <v>0.39826875418657726</v>
      </c>
      <c r="J1601" s="6">
        <v>4479010000</v>
      </c>
      <c r="K1601" s="6">
        <v>3.5123966942148748</v>
      </c>
      <c r="L1601" t="s">
        <v>6547</v>
      </c>
      <c r="M1601" t="s">
        <v>6875</v>
      </c>
      <c r="N1601" s="4" t="s">
        <v>11805</v>
      </c>
      <c r="O1601" s="4" t="s">
        <v>11806</v>
      </c>
      <c r="P1601" s="4" t="s">
        <v>233</v>
      </c>
    </row>
    <row r="1602" spans="1:16" x14ac:dyDescent="0.35">
      <c r="A1602" t="s">
        <v>11807</v>
      </c>
      <c r="B1602" t="s">
        <v>11808</v>
      </c>
      <c r="C1602" t="s">
        <v>16</v>
      </c>
      <c r="D1602" s="6">
        <v>4011739045.7355042</v>
      </c>
      <c r="E1602" s="6" t="e">
        <v>#N/A</v>
      </c>
      <c r="F1602" s="6">
        <v>70.260002136230469</v>
      </c>
      <c r="G1602" s="6">
        <v>70.650001525878906</v>
      </c>
      <c r="H1602" s="6">
        <v>9.2987875493434551</v>
      </c>
      <c r="I1602" s="6">
        <v>0.32066372376053387</v>
      </c>
      <c r="J1602" s="6">
        <v>1957754000</v>
      </c>
      <c r="K1602" s="6">
        <v>10.495626822157444</v>
      </c>
      <c r="L1602" t="s">
        <v>6529</v>
      </c>
      <c r="M1602" t="s">
        <v>6530</v>
      </c>
      <c r="N1602" s="4" t="s">
        <v>11809</v>
      </c>
      <c r="O1602" s="4" t="s">
        <v>11810</v>
      </c>
      <c r="P1602" s="4" t="s">
        <v>233</v>
      </c>
    </row>
    <row r="1603" spans="1:16" x14ac:dyDescent="0.35">
      <c r="A1603" t="s">
        <v>11811</v>
      </c>
      <c r="B1603" t="s">
        <v>11812</v>
      </c>
      <c r="C1603" t="s">
        <v>16</v>
      </c>
      <c r="D1603" s="6">
        <v>5307735227.958251</v>
      </c>
      <c r="E1603" s="6">
        <v>5729334227.958251</v>
      </c>
      <c r="F1603" s="6">
        <v>147.75999450683594</v>
      </c>
      <c r="G1603" s="6">
        <v>144.38999938964844</v>
      </c>
      <c r="H1603" s="6">
        <v>54.327861637062931</v>
      </c>
      <c r="I1603" s="6">
        <v>-0.11114499494694252</v>
      </c>
      <c r="J1603" s="6">
        <v>922754000</v>
      </c>
      <c r="K1603" s="6">
        <v>-20.853080568720376</v>
      </c>
      <c r="L1603" t="s">
        <v>6518</v>
      </c>
      <c r="M1603" t="s">
        <v>6714</v>
      </c>
      <c r="N1603" s="4" t="s">
        <v>11813</v>
      </c>
      <c r="O1603" s="4" t="s">
        <v>11814</v>
      </c>
      <c r="P1603" s="4" t="s">
        <v>233</v>
      </c>
    </row>
    <row r="1604" spans="1:16" x14ac:dyDescent="0.35">
      <c r="A1604" t="s">
        <v>11815</v>
      </c>
      <c r="B1604" t="s">
        <v>11816</v>
      </c>
      <c r="C1604" t="s">
        <v>16</v>
      </c>
      <c r="D1604" s="6">
        <v>644741793.24007845</v>
      </c>
      <c r="E1604" s="6">
        <v>1017581794.2400784</v>
      </c>
      <c r="F1604" s="6">
        <v>6.1399998664855957</v>
      </c>
      <c r="G1604" s="6">
        <v>5.2699999809265137</v>
      </c>
      <c r="H1604" s="6" t="e">
        <v>#N/A</v>
      </c>
      <c r="I1604" s="6">
        <v>0.59277263724836726</v>
      </c>
      <c r="J1604" s="6">
        <v>483577000</v>
      </c>
      <c r="K1604" s="6">
        <v>-53.807106598984745</v>
      </c>
      <c r="L1604" t="s">
        <v>6518</v>
      </c>
      <c r="M1604" t="s">
        <v>6519</v>
      </c>
      <c r="N1604" s="4" t="s">
        <v>11817</v>
      </c>
      <c r="O1604" s="4" t="s">
        <v>11818</v>
      </c>
      <c r="P1604" s="4" t="s">
        <v>233</v>
      </c>
    </row>
    <row r="1605" spans="1:16" x14ac:dyDescent="0.35">
      <c r="A1605" t="s">
        <v>11819</v>
      </c>
      <c r="B1605" t="s">
        <v>11820</v>
      </c>
      <c r="C1605" t="s">
        <v>16</v>
      </c>
      <c r="D1605" s="6">
        <v>1461402932.8171577</v>
      </c>
      <c r="E1605" s="6" t="e">
        <v>#N/A</v>
      </c>
      <c r="F1605" s="6">
        <v>12.909999847412109</v>
      </c>
      <c r="G1605" s="6">
        <v>13.279999732971191</v>
      </c>
      <c r="H1605" s="6">
        <v>39.100950257327597</v>
      </c>
      <c r="I1605" s="6">
        <v>0.39190576847078318</v>
      </c>
      <c r="J1605" s="6">
        <v>296448000</v>
      </c>
      <c r="K1605" s="6" t="e">
        <v>#N/A</v>
      </c>
      <c r="L1605" t="s">
        <v>6529</v>
      </c>
      <c r="M1605" t="s">
        <v>6568</v>
      </c>
      <c r="N1605" s="4" t="s">
        <v>11821</v>
      </c>
      <c r="O1605" s="4" t="s">
        <v>11822</v>
      </c>
      <c r="P1605" s="4" t="s">
        <v>233</v>
      </c>
    </row>
    <row r="1606" spans="1:16" x14ac:dyDescent="0.35">
      <c r="A1606" t="s">
        <v>11823</v>
      </c>
      <c r="B1606" t="s">
        <v>11824</v>
      </c>
      <c r="C1606" t="s">
        <v>16</v>
      </c>
      <c r="D1606" s="6">
        <v>889638750.25595844</v>
      </c>
      <c r="E1606" s="6">
        <v>2210673750.2559581</v>
      </c>
      <c r="F1606" s="6">
        <v>15.899999618530273</v>
      </c>
      <c r="G1606" s="6">
        <v>17</v>
      </c>
      <c r="H1606" s="6">
        <v>5.8597397975221313</v>
      </c>
      <c r="I1606" s="6">
        <v>-0.60089976872857598</v>
      </c>
      <c r="J1606" s="6">
        <v>8325747000</v>
      </c>
      <c r="K1606" s="6">
        <v>-39.633447880870563</v>
      </c>
      <c r="L1606" t="s">
        <v>6523</v>
      </c>
      <c r="M1606" t="s">
        <v>6524</v>
      </c>
      <c r="N1606" s="4" t="s">
        <v>11825</v>
      </c>
      <c r="O1606" s="4" t="s">
        <v>11826</v>
      </c>
      <c r="P1606" s="4" t="s">
        <v>233</v>
      </c>
    </row>
    <row r="1607" spans="1:16" x14ac:dyDescent="0.35">
      <c r="A1607" t="s">
        <v>11827</v>
      </c>
      <c r="B1607" t="s">
        <v>11828</v>
      </c>
      <c r="C1607" t="s">
        <v>16</v>
      </c>
      <c r="D1607" s="6">
        <v>532370007.18569756</v>
      </c>
      <c r="E1607" s="6">
        <v>441617007.18569756</v>
      </c>
      <c r="F1607" s="6">
        <v>2.8499999046325684</v>
      </c>
      <c r="G1607" s="6">
        <v>2.6800000667572021</v>
      </c>
      <c r="H1607" s="6" t="e">
        <v>#N/A</v>
      </c>
      <c r="I1607" s="6">
        <v>-0.58050059776969154</v>
      </c>
      <c r="J1607" s="6">
        <v>91382000</v>
      </c>
      <c r="K1607" s="6">
        <v>43.243243243243242</v>
      </c>
      <c r="L1607" t="s">
        <v>6518</v>
      </c>
      <c r="M1607" t="s">
        <v>6807</v>
      </c>
      <c r="N1607" s="4" t="s">
        <v>11829</v>
      </c>
      <c r="O1607" s="4" t="s">
        <v>11830</v>
      </c>
      <c r="P1607" s="4" t="s">
        <v>233</v>
      </c>
    </row>
    <row r="1608" spans="1:16" x14ac:dyDescent="0.35">
      <c r="A1608" t="s">
        <v>11831</v>
      </c>
      <c r="B1608" t="s">
        <v>11832</v>
      </c>
      <c r="C1608" t="s">
        <v>16</v>
      </c>
      <c r="D1608" s="6">
        <v>547099868.50466812</v>
      </c>
      <c r="E1608" s="6">
        <v>7872241868.5046682</v>
      </c>
      <c r="F1608" s="6">
        <v>6.0399999618530273</v>
      </c>
      <c r="G1608" s="6">
        <v>6.0799999237060547</v>
      </c>
      <c r="H1608" s="6">
        <v>25.000310276423253</v>
      </c>
      <c r="I1608" s="6">
        <v>-0.10509484423716298</v>
      </c>
      <c r="J1608" s="6">
        <v>638472000</v>
      </c>
      <c r="K1608" s="6">
        <v>82.162162162162161</v>
      </c>
      <c r="L1608" t="s">
        <v>6529</v>
      </c>
      <c r="M1608" t="s">
        <v>8169</v>
      </c>
      <c r="N1608" s="4" t="s">
        <v>11833</v>
      </c>
      <c r="O1608" s="4" t="s">
        <v>11834</v>
      </c>
      <c r="P1608" s="4" t="s">
        <v>233</v>
      </c>
    </row>
    <row r="1609" spans="1:16" x14ac:dyDescent="0.35">
      <c r="A1609" t="s">
        <v>11835</v>
      </c>
      <c r="B1609" t="s">
        <v>11792</v>
      </c>
      <c r="C1609" t="s">
        <v>16</v>
      </c>
      <c r="D1609" s="6">
        <v>529053252.35828012</v>
      </c>
      <c r="E1609" s="6">
        <v>596177252.35828018</v>
      </c>
      <c r="F1609" s="6">
        <v>10.279999732971191</v>
      </c>
      <c r="G1609" s="6">
        <v>10.079999923706055</v>
      </c>
      <c r="H1609" s="6">
        <v>13.835837691314367</v>
      </c>
      <c r="I1609" s="6">
        <v>-0.3665693971562124</v>
      </c>
      <c r="J1609" s="6">
        <v>698131000</v>
      </c>
      <c r="K1609" s="6">
        <v>-47.503123675534042</v>
      </c>
      <c r="L1609" t="s">
        <v>6563</v>
      </c>
      <c r="M1609" t="s">
        <v>6564</v>
      </c>
      <c r="N1609" s="4" t="s">
        <v>11836</v>
      </c>
      <c r="O1609" s="4" t="s">
        <v>11837</v>
      </c>
      <c r="P1609" s="4" t="s">
        <v>233</v>
      </c>
    </row>
    <row r="1610" spans="1:16" x14ac:dyDescent="0.35">
      <c r="A1610" t="s">
        <v>11838</v>
      </c>
      <c r="B1610" t="s">
        <v>11839</v>
      </c>
      <c r="C1610" t="s">
        <v>16</v>
      </c>
      <c r="D1610" s="6">
        <v>2419945798.9012914</v>
      </c>
      <c r="E1610" s="6" t="e">
        <v>#N/A</v>
      </c>
      <c r="F1610" s="6">
        <v>38.069999694824219</v>
      </c>
      <c r="G1610" s="6">
        <v>38.520000457763672</v>
      </c>
      <c r="H1610" s="6">
        <v>11.259399378862147</v>
      </c>
      <c r="I1610" s="6">
        <v>0.20953386020386988</v>
      </c>
      <c r="J1610" s="6">
        <v>1091381000</v>
      </c>
      <c r="K1610" s="6">
        <v>27.519379844961239</v>
      </c>
      <c r="L1610" t="s">
        <v>6529</v>
      </c>
      <c r="M1610" t="s">
        <v>6530</v>
      </c>
      <c r="N1610" s="4" t="s">
        <v>11840</v>
      </c>
      <c r="O1610" s="4" t="s">
        <v>11841</v>
      </c>
      <c r="P1610" s="4" t="s">
        <v>233</v>
      </c>
    </row>
    <row r="1611" spans="1:16" x14ac:dyDescent="0.35">
      <c r="A1611" t="s">
        <v>11842</v>
      </c>
      <c r="B1611" t="s">
        <v>4104</v>
      </c>
      <c r="C1611" t="s">
        <v>16</v>
      </c>
      <c r="D1611" s="6">
        <v>2333196549.1762156</v>
      </c>
      <c r="E1611" s="6">
        <v>2521248549.1762156</v>
      </c>
      <c r="F1611" s="6">
        <v>69.519996643066406</v>
      </c>
      <c r="G1611" s="6">
        <v>67</v>
      </c>
      <c r="H1611" s="6">
        <v>73.957443237304688</v>
      </c>
      <c r="I1611" s="6">
        <v>-0.20940147932512609</v>
      </c>
      <c r="J1611" s="6">
        <v>401090000</v>
      </c>
      <c r="K1611" s="6" t="e">
        <v>#N/A</v>
      </c>
      <c r="L1611" t="s">
        <v>17</v>
      </c>
      <c r="M1611" t="s">
        <v>27</v>
      </c>
      <c r="N1611" s="4" t="s">
        <v>4105</v>
      </c>
      <c r="O1611" s="4" t="s">
        <v>4106</v>
      </c>
      <c r="P1611" s="4" t="s">
        <v>233</v>
      </c>
    </row>
    <row r="1612" spans="1:16" x14ac:dyDescent="0.35">
      <c r="A1612" t="s">
        <v>11843</v>
      </c>
      <c r="B1612" t="s">
        <v>11844</v>
      </c>
      <c r="C1612" t="s">
        <v>16</v>
      </c>
      <c r="D1612" s="6">
        <v>1161371532.0128784</v>
      </c>
      <c r="E1612" s="6">
        <v>3486078532.0128784</v>
      </c>
      <c r="F1612" s="6">
        <v>19.110000610351563</v>
      </c>
      <c r="G1612" s="6">
        <v>18.350000381469727</v>
      </c>
      <c r="H1612" s="6">
        <v>50.021334609871715</v>
      </c>
      <c r="I1612" s="6">
        <v>0.34468318163307354</v>
      </c>
      <c r="J1612" s="6">
        <v>1601138000</v>
      </c>
      <c r="K1612" s="6">
        <v>98.92787524366473</v>
      </c>
      <c r="L1612" t="s">
        <v>6529</v>
      </c>
      <c r="M1612" t="s">
        <v>6639</v>
      </c>
      <c r="N1612" s="4" t="s">
        <v>233</v>
      </c>
      <c r="O1612" s="4" t="s">
        <v>11845</v>
      </c>
      <c r="P1612" s="4" t="s">
        <v>13259</v>
      </c>
    </row>
    <row r="1613" spans="1:16" x14ac:dyDescent="0.35">
      <c r="A1613" t="s">
        <v>11846</v>
      </c>
      <c r="B1613" t="s">
        <v>11847</v>
      </c>
      <c r="C1613" t="s">
        <v>16</v>
      </c>
      <c r="D1613" s="6">
        <v>1044173638.0044909</v>
      </c>
      <c r="E1613" s="6">
        <v>1292067638.0044909</v>
      </c>
      <c r="F1613" s="6">
        <v>7.880000114440918</v>
      </c>
      <c r="G1613" s="6">
        <v>8.130000114440918</v>
      </c>
      <c r="H1613" s="6" t="e">
        <v>#N/A</v>
      </c>
      <c r="I1613" s="6">
        <v>1.4488126480913071</v>
      </c>
      <c r="J1613" s="6">
        <v>292617000</v>
      </c>
      <c r="K1613" s="6">
        <v>4.5576407506702505</v>
      </c>
      <c r="L1613" t="s">
        <v>6518</v>
      </c>
      <c r="M1613" t="s">
        <v>6714</v>
      </c>
      <c r="N1613" s="4" t="s">
        <v>11848</v>
      </c>
      <c r="O1613" s="4" t="s">
        <v>11849</v>
      </c>
      <c r="P1613" s="4" t="s">
        <v>233</v>
      </c>
    </row>
    <row r="1614" spans="1:16" x14ac:dyDescent="0.35">
      <c r="A1614" t="s">
        <v>11854</v>
      </c>
      <c r="B1614" t="s">
        <v>11855</v>
      </c>
      <c r="C1614" t="s">
        <v>16</v>
      </c>
      <c r="D1614" s="6">
        <v>10422829765.999998</v>
      </c>
      <c r="E1614" s="6" t="e">
        <v>#N/A</v>
      </c>
      <c r="F1614" s="6">
        <v>103</v>
      </c>
      <c r="G1614" s="6">
        <v>104.98000335693359</v>
      </c>
      <c r="H1614" s="6">
        <v>14.364850466090585</v>
      </c>
      <c r="I1614" s="6">
        <v>0.26072246957239864</v>
      </c>
      <c r="J1614" s="6">
        <v>2443624000</v>
      </c>
      <c r="K1614" s="6">
        <v>7.8461538461538431</v>
      </c>
      <c r="L1614" t="s">
        <v>6529</v>
      </c>
      <c r="M1614" t="s">
        <v>6530</v>
      </c>
      <c r="N1614" s="4" t="s">
        <v>11856</v>
      </c>
      <c r="O1614" s="4" t="s">
        <v>11857</v>
      </c>
      <c r="P1614" s="4" t="s">
        <v>233</v>
      </c>
    </row>
    <row r="1615" spans="1:16" x14ac:dyDescent="0.35">
      <c r="A1615" t="s">
        <v>11850</v>
      </c>
      <c r="B1615" t="s">
        <v>11851</v>
      </c>
      <c r="C1615" t="s">
        <v>16</v>
      </c>
      <c r="D1615" s="6">
        <v>579792181.69412994</v>
      </c>
      <c r="E1615" s="6">
        <v>214903181.69412994</v>
      </c>
      <c r="F1615" s="6">
        <v>30.420000076293945</v>
      </c>
      <c r="G1615" s="6">
        <v>30.520000457763672</v>
      </c>
      <c r="H1615" s="6" t="e">
        <v>#N/A</v>
      </c>
      <c r="I1615" s="6">
        <v>-0.41815950280272918</v>
      </c>
      <c r="J1615" s="6" t="e">
        <v>#N/A</v>
      </c>
      <c r="K1615" s="6" t="e">
        <v>#N/A</v>
      </c>
      <c r="L1615" t="s">
        <v>6735</v>
      </c>
      <c r="M1615" t="s">
        <v>7752</v>
      </c>
      <c r="N1615" s="4" t="s">
        <v>11852</v>
      </c>
      <c r="O1615" s="4" t="s">
        <v>11853</v>
      </c>
      <c r="P1615" s="4" t="s">
        <v>233</v>
      </c>
    </row>
    <row r="1616" spans="1:16" x14ac:dyDescent="0.35">
      <c r="A1616" t="s">
        <v>11858</v>
      </c>
      <c r="B1616" t="s">
        <v>3545</v>
      </c>
      <c r="C1616" t="s">
        <v>16</v>
      </c>
      <c r="D1616" s="6">
        <v>833457440.2396127</v>
      </c>
      <c r="E1616" s="6">
        <v>1222968440.2396126</v>
      </c>
      <c r="F1616" s="6">
        <v>10.270000457763672</v>
      </c>
      <c r="G1616" s="6">
        <v>10.529999732971191</v>
      </c>
      <c r="H1616" s="6">
        <v>78.297136152871317</v>
      </c>
      <c r="I1616" s="6">
        <v>1.2374161811781224</v>
      </c>
      <c r="J1616" s="6">
        <v>555061000</v>
      </c>
      <c r="K1616" s="6">
        <v>69.191919191919197</v>
      </c>
      <c r="L1616" t="s">
        <v>17</v>
      </c>
      <c r="M1616" t="s">
        <v>27</v>
      </c>
      <c r="N1616" s="4" t="s">
        <v>3546</v>
      </c>
      <c r="O1616" s="4" t="s">
        <v>3547</v>
      </c>
      <c r="P1616" s="4" t="s">
        <v>233</v>
      </c>
    </row>
    <row r="1617" spans="1:16" x14ac:dyDescent="0.35">
      <c r="A1617" t="s">
        <v>11859</v>
      </c>
      <c r="B1617" t="s">
        <v>11860</v>
      </c>
      <c r="C1617" t="s">
        <v>16</v>
      </c>
      <c r="D1617" s="6">
        <v>830080358.8926506</v>
      </c>
      <c r="E1617" s="6">
        <v>3235455358.8926501</v>
      </c>
      <c r="F1617" s="6">
        <v>7.1700000762939453</v>
      </c>
      <c r="G1617" s="6">
        <v>6.8400001525878906</v>
      </c>
      <c r="H1617" s="6" t="e">
        <v>#N/A</v>
      </c>
      <c r="I1617" s="6">
        <v>-0.12542967979254016</v>
      </c>
      <c r="J1617" s="6">
        <v>8973013000</v>
      </c>
      <c r="K1617" s="6">
        <v>-52.941176470588232</v>
      </c>
      <c r="L1617" t="s">
        <v>6540</v>
      </c>
      <c r="M1617" t="s">
        <v>6541</v>
      </c>
      <c r="N1617" s="4" t="s">
        <v>11861</v>
      </c>
      <c r="O1617" s="4" t="s">
        <v>11862</v>
      </c>
      <c r="P1617" s="4" t="s">
        <v>233</v>
      </c>
    </row>
    <row r="1618" spans="1:16" x14ac:dyDescent="0.35">
      <c r="A1618" t="s">
        <v>11863</v>
      </c>
      <c r="B1618" t="s">
        <v>11864</v>
      </c>
      <c r="C1618" t="s">
        <v>16</v>
      </c>
      <c r="D1618" s="6">
        <v>378329093.72441387</v>
      </c>
      <c r="E1618" s="6">
        <v>395470093.72441387</v>
      </c>
      <c r="F1618" s="6">
        <v>7.1100001335144043</v>
      </c>
      <c r="G1618" s="6">
        <v>6.9800000190734863</v>
      </c>
      <c r="H1618" s="6" t="e">
        <v>#N/A</v>
      </c>
      <c r="I1618" s="6">
        <v>-0.25876713929015316</v>
      </c>
      <c r="J1618" s="6">
        <v>344747000</v>
      </c>
      <c r="K1618" s="6">
        <v>-92.166570054364016</v>
      </c>
      <c r="L1618" t="s">
        <v>6547</v>
      </c>
      <c r="M1618" t="s">
        <v>6843</v>
      </c>
      <c r="N1618" s="4" t="s">
        <v>11865</v>
      </c>
      <c r="O1618" s="4" t="s">
        <v>11866</v>
      </c>
      <c r="P1618" s="4" t="s">
        <v>233</v>
      </c>
    </row>
    <row r="1619" spans="1:16" x14ac:dyDescent="0.35">
      <c r="A1619" t="s">
        <v>11867</v>
      </c>
      <c r="B1619" t="s">
        <v>11868</v>
      </c>
      <c r="C1619" t="s">
        <v>16</v>
      </c>
      <c r="D1619" s="6">
        <v>1373769785.9590719</v>
      </c>
      <c r="E1619" s="6">
        <v>1753613785.9590719</v>
      </c>
      <c r="F1619" s="6">
        <v>8.2299995422363281</v>
      </c>
      <c r="G1619" s="6">
        <v>8.3400001525878906</v>
      </c>
      <c r="H1619" s="6">
        <v>6.0760155674735499</v>
      </c>
      <c r="I1619" s="6">
        <v>-0.4014828217118469</v>
      </c>
      <c r="J1619" s="6">
        <v>1083632000</v>
      </c>
      <c r="K1619" s="6">
        <v>-608.69565217391323</v>
      </c>
      <c r="L1619" t="s">
        <v>6514</v>
      </c>
      <c r="M1619" t="s">
        <v>6578</v>
      </c>
      <c r="N1619" s="4" t="s">
        <v>11869</v>
      </c>
      <c r="O1619" s="4" t="s">
        <v>11870</v>
      </c>
      <c r="P1619" s="4" t="s">
        <v>233</v>
      </c>
    </row>
    <row r="1620" spans="1:16" x14ac:dyDescent="0.35">
      <c r="A1620" t="s">
        <v>11871</v>
      </c>
      <c r="B1620" t="s">
        <v>2880</v>
      </c>
      <c r="C1620" t="s">
        <v>16</v>
      </c>
      <c r="D1620" s="6">
        <v>370426120.54046303</v>
      </c>
      <c r="E1620" s="6">
        <v>494671120.54046297</v>
      </c>
      <c r="F1620" s="6">
        <v>1.8799999952316284</v>
      </c>
      <c r="G1620" s="6">
        <v>1.7599999904632568</v>
      </c>
      <c r="H1620" s="6" t="e">
        <v>#N/A</v>
      </c>
      <c r="I1620" s="6">
        <v>-0.27628222055122797</v>
      </c>
      <c r="J1620" s="6">
        <v>295451000</v>
      </c>
      <c r="K1620" s="6">
        <v>73.949579831932766</v>
      </c>
      <c r="L1620" t="s">
        <v>17</v>
      </c>
      <c r="M1620" t="s">
        <v>87</v>
      </c>
      <c r="N1620" s="4" t="s">
        <v>2881</v>
      </c>
      <c r="O1620" s="4" t="s">
        <v>2882</v>
      </c>
      <c r="P1620" s="4" t="s">
        <v>233</v>
      </c>
    </row>
    <row r="1621" spans="1:16" x14ac:dyDescent="0.35">
      <c r="A1621" t="s">
        <v>11872</v>
      </c>
      <c r="B1621" t="s">
        <v>3109</v>
      </c>
      <c r="C1621" t="s">
        <v>16</v>
      </c>
      <c r="D1621" s="6">
        <v>2166650958</v>
      </c>
      <c r="E1621" s="6">
        <v>1884958958</v>
      </c>
      <c r="F1621" s="6">
        <v>50.25</v>
      </c>
      <c r="G1621" s="6">
        <v>48.5</v>
      </c>
      <c r="H1621" s="6" t="e">
        <v>#N/A</v>
      </c>
      <c r="I1621" s="6">
        <v>4.6526547931087459E-2</v>
      </c>
      <c r="J1621" s="6">
        <v>0</v>
      </c>
      <c r="K1621" s="6">
        <v>-2.9782919254658249</v>
      </c>
      <c r="L1621" t="s">
        <v>17</v>
      </c>
      <c r="M1621" t="s">
        <v>18</v>
      </c>
      <c r="N1621" s="4" t="s">
        <v>3110</v>
      </c>
      <c r="O1621" s="4" t="s">
        <v>3111</v>
      </c>
      <c r="P1621" s="4" t="s">
        <v>233</v>
      </c>
    </row>
    <row r="1622" spans="1:16" x14ac:dyDescent="0.35">
      <c r="A1622" t="s">
        <v>11873</v>
      </c>
      <c r="B1622" t="s">
        <v>11874</v>
      </c>
      <c r="C1622" t="s">
        <v>16</v>
      </c>
      <c r="D1622" s="6">
        <v>4118183939.8814616</v>
      </c>
      <c r="E1622" s="6">
        <v>4790339939.8814621</v>
      </c>
      <c r="F1622" s="6">
        <v>67.730003356933594</v>
      </c>
      <c r="G1622" s="6">
        <v>67.540000915527344</v>
      </c>
      <c r="H1622" s="6">
        <v>21.452832548798963</v>
      </c>
      <c r="I1622" s="6">
        <v>-7.8860540041322258E-3</v>
      </c>
      <c r="J1622" s="6">
        <v>2424883000</v>
      </c>
      <c r="K1622" s="6">
        <v>-10.843373493975911</v>
      </c>
      <c r="L1622" t="s">
        <v>6540</v>
      </c>
      <c r="M1622" t="s">
        <v>6571</v>
      </c>
      <c r="N1622" s="4" t="s">
        <v>11875</v>
      </c>
      <c r="O1622" s="4" t="s">
        <v>11876</v>
      </c>
      <c r="P1622" s="4" t="s">
        <v>233</v>
      </c>
    </row>
    <row r="1623" spans="1:16" x14ac:dyDescent="0.35">
      <c r="A1623" t="s">
        <v>11877</v>
      </c>
      <c r="B1623" t="s">
        <v>11878</v>
      </c>
      <c r="C1623" t="s">
        <v>16</v>
      </c>
      <c r="D1623" s="6">
        <v>796778923.89400291</v>
      </c>
      <c r="E1623" s="6" t="e">
        <v>#N/A</v>
      </c>
      <c r="F1623" s="6">
        <v>29.440000534057617</v>
      </c>
      <c r="G1623" s="6">
        <v>29.729999542236328</v>
      </c>
      <c r="H1623" s="6">
        <v>14.944162707643461</v>
      </c>
      <c r="I1623" s="6">
        <v>0.58189328272963881</v>
      </c>
      <c r="J1623" s="6">
        <v>344822000</v>
      </c>
      <c r="K1623" s="6">
        <v>-9.2165898617511512</v>
      </c>
      <c r="L1623" t="s">
        <v>6529</v>
      </c>
      <c r="M1623" t="s">
        <v>6530</v>
      </c>
      <c r="N1623" s="4" t="s">
        <v>11879</v>
      </c>
      <c r="O1623" s="4" t="s">
        <v>11880</v>
      </c>
      <c r="P1623" s="4" t="s">
        <v>233</v>
      </c>
    </row>
    <row r="1624" spans="1:16" x14ac:dyDescent="0.35">
      <c r="A1624" t="s">
        <v>11881</v>
      </c>
      <c r="B1624" t="s">
        <v>11882</v>
      </c>
      <c r="C1624" t="s">
        <v>16</v>
      </c>
      <c r="D1624" s="6">
        <v>739859298.79181671</v>
      </c>
      <c r="E1624" s="6" t="e">
        <v>#N/A</v>
      </c>
      <c r="F1624" s="6">
        <v>35.409999847412109</v>
      </c>
      <c r="G1624" s="6">
        <v>35.849998474121094</v>
      </c>
      <c r="H1624" s="6">
        <v>11.205696154244338</v>
      </c>
      <c r="I1624" s="6">
        <v>0.45451901920110394</v>
      </c>
      <c r="J1624" s="6">
        <v>323138000</v>
      </c>
      <c r="K1624" s="6">
        <v>13.475177304964552</v>
      </c>
      <c r="L1624" t="s">
        <v>6529</v>
      </c>
      <c r="M1624" t="s">
        <v>6530</v>
      </c>
      <c r="N1624" s="4" t="s">
        <v>11883</v>
      </c>
      <c r="O1624" s="4" t="s">
        <v>11884</v>
      </c>
      <c r="P1624" s="4" t="s">
        <v>233</v>
      </c>
    </row>
    <row r="1625" spans="1:16" x14ac:dyDescent="0.35">
      <c r="A1625" t="s">
        <v>11885</v>
      </c>
      <c r="B1625" t="s">
        <v>11886</v>
      </c>
      <c r="C1625" t="s">
        <v>16</v>
      </c>
      <c r="D1625" s="6">
        <v>880969756.34401524</v>
      </c>
      <c r="E1625" s="6">
        <v>1432174756.3440151</v>
      </c>
      <c r="F1625" s="6">
        <v>11.060000419616699</v>
      </c>
      <c r="G1625" s="6">
        <v>10.829999923706055</v>
      </c>
      <c r="H1625" s="6" t="e">
        <v>#N/A</v>
      </c>
      <c r="I1625" s="6">
        <v>0.62431051318716113</v>
      </c>
      <c r="J1625" s="6">
        <v>905347000</v>
      </c>
      <c r="K1625" s="6">
        <v>-354.56048611111117</v>
      </c>
      <c r="L1625" t="s">
        <v>6518</v>
      </c>
      <c r="M1625" t="s">
        <v>7048</v>
      </c>
      <c r="N1625" s="4" t="s">
        <v>11887</v>
      </c>
      <c r="O1625" s="4" t="s">
        <v>11888</v>
      </c>
      <c r="P1625" s="4" t="s">
        <v>233</v>
      </c>
    </row>
    <row r="1626" spans="1:16" x14ac:dyDescent="0.35">
      <c r="A1626" t="s">
        <v>11889</v>
      </c>
      <c r="B1626" t="s">
        <v>11890</v>
      </c>
      <c r="C1626" t="s">
        <v>16</v>
      </c>
      <c r="D1626" s="6">
        <v>2661930573.0917907</v>
      </c>
      <c r="E1626" s="6">
        <v>6535088573.0917912</v>
      </c>
      <c r="F1626" s="6">
        <v>16.219999313354492</v>
      </c>
      <c r="G1626" s="6">
        <v>16</v>
      </c>
      <c r="H1626" s="6">
        <v>16.727839801900387</v>
      </c>
      <c r="I1626" s="6">
        <v>0.18598544660544913</v>
      </c>
      <c r="J1626" s="6">
        <v>2329148000</v>
      </c>
      <c r="K1626" s="6" t="e">
        <v>#N/A</v>
      </c>
      <c r="L1626" t="s">
        <v>6547</v>
      </c>
      <c r="M1626" t="s">
        <v>6802</v>
      </c>
      <c r="N1626" s="4" t="s">
        <v>11891</v>
      </c>
      <c r="O1626" s="4" t="s">
        <v>11892</v>
      </c>
      <c r="P1626" s="4" t="s">
        <v>233</v>
      </c>
    </row>
    <row r="1627" spans="1:16" x14ac:dyDescent="0.35">
      <c r="A1627" t="s">
        <v>11897</v>
      </c>
      <c r="B1627" t="s">
        <v>11898</v>
      </c>
      <c r="C1627" t="s">
        <v>16</v>
      </c>
      <c r="D1627" s="6">
        <v>547779593.75857544</v>
      </c>
      <c r="E1627" s="6">
        <v>830433593.75857544</v>
      </c>
      <c r="F1627" s="6">
        <v>12.640000343322754</v>
      </c>
      <c r="G1627" s="6">
        <v>13.050000190734863</v>
      </c>
      <c r="H1627" s="6">
        <v>10.248751414532595</v>
      </c>
      <c r="I1627" s="6">
        <v>-0.51265228110988637</v>
      </c>
      <c r="J1627" s="6">
        <v>1946740000</v>
      </c>
      <c r="K1627" s="6" t="e">
        <v>#N/A</v>
      </c>
      <c r="L1627" t="s">
        <v>6547</v>
      </c>
      <c r="M1627" t="s">
        <v>6668</v>
      </c>
      <c r="N1627" s="4" t="s">
        <v>11899</v>
      </c>
      <c r="O1627" s="4" t="s">
        <v>11900</v>
      </c>
      <c r="P1627" s="4" t="s">
        <v>233</v>
      </c>
    </row>
    <row r="1628" spans="1:16" x14ac:dyDescent="0.35">
      <c r="A1628" t="s">
        <v>11893</v>
      </c>
      <c r="B1628" t="s">
        <v>11894</v>
      </c>
      <c r="C1628" t="s">
        <v>16</v>
      </c>
      <c r="D1628" s="6">
        <v>5558104234.1976929</v>
      </c>
      <c r="E1628" s="6" t="e">
        <v>#N/A</v>
      </c>
      <c r="F1628" s="6">
        <v>92.019996643066406</v>
      </c>
      <c r="G1628" s="6">
        <v>89.980003356933594</v>
      </c>
      <c r="H1628" s="6" t="e">
        <v>#N/A</v>
      </c>
      <c r="I1628" s="6">
        <v>1.0985673859288054</v>
      </c>
      <c r="J1628" s="6">
        <v>696464000</v>
      </c>
      <c r="K1628" s="6">
        <v>42.857142857142861</v>
      </c>
      <c r="L1628" t="s">
        <v>6518</v>
      </c>
      <c r="M1628" t="s">
        <v>6519</v>
      </c>
      <c r="N1628" s="4" t="s">
        <v>11895</v>
      </c>
      <c r="O1628" s="4" t="s">
        <v>11896</v>
      </c>
      <c r="P1628" s="4" t="s">
        <v>233</v>
      </c>
    </row>
    <row r="1629" spans="1:16" x14ac:dyDescent="0.35">
      <c r="A1629" t="s">
        <v>13390</v>
      </c>
      <c r="B1629" t="s">
        <v>9020</v>
      </c>
      <c r="C1629" t="s">
        <v>16</v>
      </c>
      <c r="D1629" s="6">
        <v>2455544704.0414181</v>
      </c>
      <c r="E1629" s="6">
        <v>4267054704.0414181</v>
      </c>
      <c r="F1629" s="6">
        <v>7.619999885559082</v>
      </c>
      <c r="G1629" s="6">
        <v>7.5399999618530273</v>
      </c>
      <c r="H1629" s="6">
        <v>29.34606749425819</v>
      </c>
      <c r="I1629" s="6">
        <v>0.51982203380294978</v>
      </c>
      <c r="J1629" s="6">
        <v>973695000</v>
      </c>
      <c r="K1629" s="6">
        <v>-17.857142857142861</v>
      </c>
      <c r="L1629" t="s">
        <v>6540</v>
      </c>
      <c r="M1629" t="s">
        <v>6838</v>
      </c>
      <c r="N1629" s="4" t="s">
        <v>9021</v>
      </c>
      <c r="O1629" s="4" t="s">
        <v>9022</v>
      </c>
      <c r="P1629" s="4" t="s">
        <v>233</v>
      </c>
    </row>
    <row r="1630" spans="1:16" x14ac:dyDescent="0.35">
      <c r="A1630" t="s">
        <v>11905</v>
      </c>
      <c r="B1630" t="s">
        <v>11906</v>
      </c>
      <c r="C1630" t="s">
        <v>16</v>
      </c>
      <c r="D1630" s="6">
        <v>262310464.63492629</v>
      </c>
      <c r="E1630" s="6">
        <v>1092977464.6349261</v>
      </c>
      <c r="F1630" s="6">
        <v>1.0199999809265137</v>
      </c>
      <c r="G1630" s="6">
        <v>1.0700000524520874</v>
      </c>
      <c r="H1630" s="6" t="e">
        <v>#N/A</v>
      </c>
      <c r="I1630" s="6">
        <v>-0.28605452748335702</v>
      </c>
      <c r="J1630" s="6">
        <v>538782000</v>
      </c>
      <c r="K1630" s="6">
        <v>48.484848484848484</v>
      </c>
      <c r="L1630" t="s">
        <v>6547</v>
      </c>
      <c r="M1630" t="s">
        <v>6602</v>
      </c>
      <c r="N1630" s="4" t="s">
        <v>11907</v>
      </c>
      <c r="O1630" s="4" t="s">
        <v>11908</v>
      </c>
      <c r="P1630" s="4" t="s">
        <v>233</v>
      </c>
    </row>
    <row r="1631" spans="1:16" x14ac:dyDescent="0.35">
      <c r="A1631" t="s">
        <v>11901</v>
      </c>
      <c r="B1631" t="s">
        <v>11902</v>
      </c>
      <c r="C1631" t="s">
        <v>16</v>
      </c>
      <c r="D1631" s="6">
        <v>893941374.56219661</v>
      </c>
      <c r="E1631" s="6" t="e">
        <v>#N/A</v>
      </c>
      <c r="F1631" s="6">
        <v>30.780000686645508</v>
      </c>
      <c r="G1631" s="6">
        <v>30.809999465942383</v>
      </c>
      <c r="H1631" s="6">
        <v>11.930232824281203</v>
      </c>
      <c r="I1631" s="6">
        <v>0.55449009417396722</v>
      </c>
      <c r="J1631" s="6">
        <v>500410000</v>
      </c>
      <c r="K1631" s="6">
        <v>7.4380165289256261</v>
      </c>
      <c r="L1631" t="s">
        <v>6529</v>
      </c>
      <c r="M1631" t="s">
        <v>6530</v>
      </c>
      <c r="N1631" s="4" t="s">
        <v>11903</v>
      </c>
      <c r="O1631" s="4" t="s">
        <v>11904</v>
      </c>
      <c r="P1631" s="4" t="s">
        <v>233</v>
      </c>
    </row>
    <row r="1632" spans="1:16" x14ac:dyDescent="0.35">
      <c r="A1632" t="s">
        <v>11909</v>
      </c>
      <c r="B1632" t="s">
        <v>11910</v>
      </c>
      <c r="C1632" t="s">
        <v>16</v>
      </c>
      <c r="D1632" s="6">
        <v>782190693.33861876</v>
      </c>
      <c r="E1632" s="6">
        <v>1729975693.3386188</v>
      </c>
      <c r="F1632" s="6">
        <v>129.99000549316406</v>
      </c>
      <c r="G1632" s="6">
        <v>125.87000274658203</v>
      </c>
      <c r="H1632" s="6">
        <v>3.8050095717446855</v>
      </c>
      <c r="I1632" s="6">
        <v>-0.22813588833958842</v>
      </c>
      <c r="J1632" s="6">
        <v>3004918000</v>
      </c>
      <c r="K1632" s="6">
        <v>13.946831243481093</v>
      </c>
      <c r="L1632" t="s">
        <v>6540</v>
      </c>
      <c r="M1632" t="s">
        <v>6797</v>
      </c>
      <c r="N1632" s="4" t="s">
        <v>11911</v>
      </c>
      <c r="O1632" s="4" t="s">
        <v>11912</v>
      </c>
      <c r="P1632" s="4" t="s">
        <v>233</v>
      </c>
    </row>
    <row r="1633" spans="1:16" x14ac:dyDescent="0.35">
      <c r="A1633" t="s">
        <v>11913</v>
      </c>
      <c r="B1633" t="s">
        <v>11914</v>
      </c>
      <c r="C1633" t="s">
        <v>16</v>
      </c>
      <c r="D1633" s="6">
        <v>1954917495.6998444</v>
      </c>
      <c r="E1633" s="6">
        <v>1427248495.6998444</v>
      </c>
      <c r="F1633" s="6">
        <v>60.139999389648438</v>
      </c>
      <c r="G1633" s="6">
        <v>58.310001373291016</v>
      </c>
      <c r="H1633" s="6">
        <v>9.7788616893737288</v>
      </c>
      <c r="I1633" s="6">
        <v>-0.50738414036677959</v>
      </c>
      <c r="J1633" s="6">
        <v>1017865000</v>
      </c>
      <c r="K1633" s="6">
        <v>-17.952127659574465</v>
      </c>
      <c r="L1633" t="s">
        <v>6518</v>
      </c>
      <c r="M1633" t="s">
        <v>6807</v>
      </c>
      <c r="N1633" s="4" t="s">
        <v>11915</v>
      </c>
      <c r="O1633" s="4" t="s">
        <v>11916</v>
      </c>
      <c r="P1633" s="4" t="s">
        <v>233</v>
      </c>
    </row>
    <row r="1634" spans="1:16" x14ac:dyDescent="0.35">
      <c r="A1634" t="s">
        <v>11917</v>
      </c>
      <c r="B1634" t="s">
        <v>11918</v>
      </c>
      <c r="C1634" t="s">
        <v>16</v>
      </c>
      <c r="D1634" s="6">
        <v>1185516020.2405286</v>
      </c>
      <c r="E1634" s="6">
        <v>910782020.24052858</v>
      </c>
      <c r="F1634" s="6">
        <v>6.5300002098083496</v>
      </c>
      <c r="G1634" s="6">
        <v>6.690000057220459</v>
      </c>
      <c r="H1634" s="6">
        <v>48.625022970730789</v>
      </c>
      <c r="I1634" s="6">
        <v>-0.70433949082928904</v>
      </c>
      <c r="J1634" s="6">
        <v>2698562000</v>
      </c>
      <c r="K1634" s="6" t="e">
        <v>#N/A</v>
      </c>
      <c r="L1634" t="s">
        <v>6547</v>
      </c>
      <c r="M1634" t="s">
        <v>6602</v>
      </c>
      <c r="N1634" s="4" t="s">
        <v>11919</v>
      </c>
      <c r="O1634" s="4" t="s">
        <v>11920</v>
      </c>
      <c r="P1634" s="4" t="s">
        <v>233</v>
      </c>
    </row>
    <row r="1635" spans="1:16" x14ac:dyDescent="0.35">
      <c r="A1635" t="s">
        <v>11921</v>
      </c>
      <c r="B1635" t="s">
        <v>11922</v>
      </c>
      <c r="C1635" t="s">
        <v>16</v>
      </c>
      <c r="D1635" s="6">
        <v>445926416.98333746</v>
      </c>
      <c r="E1635" s="6" t="e">
        <v>#N/A</v>
      </c>
      <c r="F1635" s="6">
        <v>26.639999389648438</v>
      </c>
      <c r="G1635" s="6">
        <v>26.700000762939453</v>
      </c>
      <c r="H1635" s="6">
        <v>15.050847112795728</v>
      </c>
      <c r="I1635" s="6">
        <v>0.11849556125775651</v>
      </c>
      <c r="J1635" s="6">
        <v>223067000</v>
      </c>
      <c r="K1635" s="6">
        <v>0.56497175141242983</v>
      </c>
      <c r="L1635" t="s">
        <v>6529</v>
      </c>
      <c r="M1635" t="s">
        <v>6530</v>
      </c>
      <c r="N1635" s="4" t="s">
        <v>11923</v>
      </c>
      <c r="O1635" s="4" t="s">
        <v>11924</v>
      </c>
      <c r="P1635" s="4" t="s">
        <v>233</v>
      </c>
    </row>
    <row r="1636" spans="1:16" x14ac:dyDescent="0.35">
      <c r="A1636" t="s">
        <v>11925</v>
      </c>
      <c r="B1636" t="s">
        <v>11926</v>
      </c>
      <c r="C1636" t="s">
        <v>16</v>
      </c>
      <c r="D1636" s="6">
        <v>2410561599.1999359</v>
      </c>
      <c r="E1636" s="6" t="e">
        <v>#N/A</v>
      </c>
      <c r="F1636" s="6">
        <v>51.659999847412109</v>
      </c>
      <c r="G1636" s="6">
        <v>52.330001831054688</v>
      </c>
      <c r="H1636" s="6">
        <v>20.623495394011005</v>
      </c>
      <c r="I1636" s="6">
        <v>0.413853936696297</v>
      </c>
      <c r="J1636" s="6">
        <v>764608000</v>
      </c>
      <c r="K1636" s="6">
        <v>-3.5019455252918235</v>
      </c>
      <c r="L1636" t="s">
        <v>6529</v>
      </c>
      <c r="M1636" t="s">
        <v>6530</v>
      </c>
      <c r="N1636" s="4" t="s">
        <v>11927</v>
      </c>
      <c r="O1636" s="4" t="s">
        <v>11928</v>
      </c>
      <c r="P1636" s="4" t="s">
        <v>233</v>
      </c>
    </row>
    <row r="1637" spans="1:16" x14ac:dyDescent="0.35">
      <c r="A1637" t="s">
        <v>11932</v>
      </c>
      <c r="B1637" t="s">
        <v>3095</v>
      </c>
      <c r="C1637" t="s">
        <v>16</v>
      </c>
      <c r="D1637" s="6">
        <v>460271393.67734528</v>
      </c>
      <c r="E1637" s="6">
        <v>413891393.67734528</v>
      </c>
      <c r="F1637" s="6">
        <v>9.3599996566772461</v>
      </c>
      <c r="G1637" s="6">
        <v>8.9099998474121094</v>
      </c>
      <c r="H1637" s="6" t="e">
        <v>#N/A</v>
      </c>
      <c r="I1637" s="6">
        <v>9.0649733472790706E-2</v>
      </c>
      <c r="J1637" s="6">
        <v>63192000</v>
      </c>
      <c r="K1637" s="6">
        <v>0</v>
      </c>
      <c r="L1637" t="s">
        <v>17</v>
      </c>
      <c r="M1637" t="s">
        <v>87</v>
      </c>
      <c r="N1637" s="4" t="s">
        <v>233</v>
      </c>
      <c r="O1637" s="4" t="s">
        <v>3096</v>
      </c>
      <c r="P1637" s="4" t="s">
        <v>13083</v>
      </c>
    </row>
    <row r="1638" spans="1:16" x14ac:dyDescent="0.35">
      <c r="A1638" t="s">
        <v>11929</v>
      </c>
      <c r="B1638" t="s">
        <v>11930</v>
      </c>
      <c r="C1638" t="s">
        <v>16</v>
      </c>
      <c r="D1638" s="6">
        <v>1934966206.4151421</v>
      </c>
      <c r="E1638" s="6" t="e">
        <v>#N/A</v>
      </c>
      <c r="F1638" s="6">
        <v>41.310001373291016</v>
      </c>
      <c r="G1638" s="6">
        <v>40.409999847412109</v>
      </c>
      <c r="H1638" s="6">
        <v>8.7707009285118929</v>
      </c>
      <c r="I1638" s="6">
        <v>0.44452505358475847</v>
      </c>
      <c r="J1638" s="6">
        <v>581600000</v>
      </c>
      <c r="K1638" s="6">
        <v>3.8961038961038899</v>
      </c>
      <c r="L1638" t="s">
        <v>6529</v>
      </c>
      <c r="M1638" t="s">
        <v>6530</v>
      </c>
      <c r="N1638" s="4" t="s">
        <v>233</v>
      </c>
      <c r="O1638" s="4" t="s">
        <v>11931</v>
      </c>
      <c r="P1638" s="4" t="s">
        <v>13260</v>
      </c>
    </row>
    <row r="1639" spans="1:16" x14ac:dyDescent="0.35">
      <c r="A1639" t="s">
        <v>11937</v>
      </c>
      <c r="B1639" t="s">
        <v>11938</v>
      </c>
      <c r="C1639" t="s">
        <v>16</v>
      </c>
      <c r="D1639" s="6">
        <v>1268207427.9763143</v>
      </c>
      <c r="E1639" s="6" t="e">
        <v>#N/A</v>
      </c>
      <c r="F1639" s="6">
        <v>29.510000228881836</v>
      </c>
      <c r="G1639" s="6">
        <v>29.719999313354492</v>
      </c>
      <c r="H1639" s="6">
        <v>18.396608832916797</v>
      </c>
      <c r="I1639" s="6">
        <v>0.3163785907681036</v>
      </c>
      <c r="J1639" s="6">
        <v>662352000</v>
      </c>
      <c r="K1639" s="6">
        <v>-10.559006211180133</v>
      </c>
      <c r="L1639" t="s">
        <v>6529</v>
      </c>
      <c r="M1639" t="s">
        <v>6530</v>
      </c>
      <c r="N1639" s="4" t="s">
        <v>11939</v>
      </c>
      <c r="O1639" s="4" t="s">
        <v>11940</v>
      </c>
      <c r="P1639" s="4" t="s">
        <v>233</v>
      </c>
    </row>
    <row r="1640" spans="1:16" x14ac:dyDescent="0.35">
      <c r="A1640" t="s">
        <v>11933</v>
      </c>
      <c r="B1640" t="s">
        <v>11934</v>
      </c>
      <c r="C1640" t="s">
        <v>16</v>
      </c>
      <c r="D1640" s="6">
        <v>493778515.45798302</v>
      </c>
      <c r="E1640" s="6" t="e">
        <v>#N/A</v>
      </c>
      <c r="F1640" s="6">
        <v>14.670000076293945</v>
      </c>
      <c r="G1640" s="6">
        <v>14.779999732971191</v>
      </c>
      <c r="H1640" s="6" t="e">
        <v>#N/A</v>
      </c>
      <c r="I1640" s="6">
        <v>0.1516123867577277</v>
      </c>
      <c r="J1640" s="6">
        <v>407917000</v>
      </c>
      <c r="K1640" s="6" t="e">
        <v>#N/A</v>
      </c>
      <c r="L1640" t="s">
        <v>6529</v>
      </c>
      <c r="M1640" t="s">
        <v>6530</v>
      </c>
      <c r="N1640" s="4" t="s">
        <v>11935</v>
      </c>
      <c r="O1640" s="4" t="s">
        <v>11936</v>
      </c>
      <c r="P1640" s="4" t="s">
        <v>233</v>
      </c>
    </row>
    <row r="1641" spans="1:16" x14ac:dyDescent="0.35">
      <c r="A1641" t="s">
        <v>11941</v>
      </c>
      <c r="B1641" t="s">
        <v>11942</v>
      </c>
      <c r="C1641" t="s">
        <v>16</v>
      </c>
      <c r="D1641" s="6">
        <v>1565845656.4042666</v>
      </c>
      <c r="E1641" s="6">
        <v>5203845656.4042664</v>
      </c>
      <c r="F1641" s="6">
        <v>2.619999885559082</v>
      </c>
      <c r="G1641" s="6">
        <v>2.630000114440918</v>
      </c>
      <c r="H1641" s="6" t="e">
        <v>#N/A</v>
      </c>
      <c r="I1641" s="6">
        <v>-0.2400670487156561</v>
      </c>
      <c r="J1641" s="6">
        <v>4845000000</v>
      </c>
      <c r="K1641" s="6">
        <v>-108990.90909091353</v>
      </c>
      <c r="L1641" t="s">
        <v>6563</v>
      </c>
      <c r="M1641" t="s">
        <v>9157</v>
      </c>
      <c r="N1641" s="4" t="s">
        <v>233</v>
      </c>
      <c r="O1641" s="4" t="s">
        <v>11943</v>
      </c>
      <c r="P1641" s="4" t="s">
        <v>13261</v>
      </c>
    </row>
    <row r="1642" spans="1:16" x14ac:dyDescent="0.35">
      <c r="A1642" t="s">
        <v>11944</v>
      </c>
      <c r="B1642" t="s">
        <v>5379</v>
      </c>
      <c r="C1642" t="s">
        <v>16</v>
      </c>
      <c r="D1642" s="6">
        <v>123296329.21184066</v>
      </c>
      <c r="E1642" s="6">
        <v>158164329.21184066</v>
      </c>
      <c r="F1642" s="6">
        <v>2.3900001049041748</v>
      </c>
      <c r="G1642" s="6">
        <v>2.2999999523162842</v>
      </c>
      <c r="H1642" s="6" t="e">
        <v>#N/A</v>
      </c>
      <c r="I1642" s="6">
        <v>-0.59528201161185623</v>
      </c>
      <c r="J1642" s="6">
        <v>100387000</v>
      </c>
      <c r="K1642" s="6">
        <v>38.008415147265076</v>
      </c>
      <c r="L1642" t="s">
        <v>17</v>
      </c>
      <c r="M1642" t="s">
        <v>18</v>
      </c>
      <c r="N1642" s="4" t="s">
        <v>5380</v>
      </c>
      <c r="O1642" s="4" t="s">
        <v>5381</v>
      </c>
      <c r="P1642" s="4" t="s">
        <v>233</v>
      </c>
    </row>
    <row r="1643" spans="1:16" x14ac:dyDescent="0.35">
      <c r="A1643" t="s">
        <v>11949</v>
      </c>
      <c r="B1643" t="s">
        <v>4250</v>
      </c>
      <c r="C1643" t="s">
        <v>16</v>
      </c>
      <c r="D1643" s="6">
        <v>1875074978.3200722</v>
      </c>
      <c r="E1643" s="6">
        <v>1658851978.3200722</v>
      </c>
      <c r="F1643" s="6">
        <v>22.020000457763672</v>
      </c>
      <c r="G1643" s="6">
        <v>22.360000610351563</v>
      </c>
      <c r="H1643" s="6">
        <v>39.786145780922652</v>
      </c>
      <c r="I1643" s="6">
        <v>-0.4700063446564865</v>
      </c>
      <c r="J1643" s="6">
        <v>1138730000</v>
      </c>
      <c r="K1643" s="6">
        <v>10.714285714285703</v>
      </c>
      <c r="L1643" t="s">
        <v>17</v>
      </c>
      <c r="M1643" t="s">
        <v>40</v>
      </c>
      <c r="N1643" s="4" t="s">
        <v>4251</v>
      </c>
      <c r="O1643" s="4" t="s">
        <v>4252</v>
      </c>
      <c r="P1643" s="4" t="s">
        <v>233</v>
      </c>
    </row>
    <row r="1644" spans="1:16" x14ac:dyDescent="0.35">
      <c r="A1644" t="s">
        <v>11945</v>
      </c>
      <c r="B1644" t="s">
        <v>11946</v>
      </c>
      <c r="C1644" t="s">
        <v>16</v>
      </c>
      <c r="D1644" s="6">
        <v>302837256.40086365</v>
      </c>
      <c r="E1644" s="6" t="e">
        <v>#N/A</v>
      </c>
      <c r="F1644" s="6">
        <v>38.740001678466797</v>
      </c>
      <c r="G1644" s="6">
        <v>39.610000610351563</v>
      </c>
      <c r="H1644" s="6">
        <v>8.8853214858868785</v>
      </c>
      <c r="I1644" s="6">
        <v>0.14185418547018891</v>
      </c>
      <c r="J1644" s="6">
        <v>206393000</v>
      </c>
      <c r="K1644" s="6">
        <v>-3.2397408207343297</v>
      </c>
      <c r="L1644" t="s">
        <v>6529</v>
      </c>
      <c r="M1644" t="s">
        <v>6530</v>
      </c>
      <c r="N1644" s="4" t="s">
        <v>11947</v>
      </c>
      <c r="O1644" s="4" t="s">
        <v>11948</v>
      </c>
      <c r="P1644" s="4" t="s">
        <v>233</v>
      </c>
    </row>
    <row r="1645" spans="1:16" x14ac:dyDescent="0.35">
      <c r="A1645" t="s">
        <v>11950</v>
      </c>
      <c r="B1645" t="s">
        <v>11951</v>
      </c>
      <c r="C1645" t="s">
        <v>16</v>
      </c>
      <c r="D1645" s="6">
        <v>3094261146.3771887</v>
      </c>
      <c r="E1645" s="6">
        <v>3019799146.3771887</v>
      </c>
      <c r="F1645" s="6">
        <v>62.599998474121094</v>
      </c>
      <c r="G1645" s="6">
        <v>62.580001831054688</v>
      </c>
      <c r="H1645" s="6">
        <v>26.924730526503694</v>
      </c>
      <c r="I1645" s="6">
        <v>-8.6172570491691358E-2</v>
      </c>
      <c r="J1645" s="6">
        <v>923824000</v>
      </c>
      <c r="K1645" s="6">
        <v>84.558823529411796</v>
      </c>
      <c r="L1645" t="s">
        <v>6518</v>
      </c>
      <c r="M1645" t="s">
        <v>6519</v>
      </c>
      <c r="N1645" s="4" t="s">
        <v>11952</v>
      </c>
      <c r="O1645" s="4" t="s">
        <v>11953</v>
      </c>
      <c r="P1645" s="4" t="s">
        <v>233</v>
      </c>
    </row>
    <row r="1646" spans="1:16" x14ac:dyDescent="0.35">
      <c r="A1646" t="s">
        <v>11954</v>
      </c>
      <c r="B1646" t="s">
        <v>4718</v>
      </c>
      <c r="C1646" t="s">
        <v>16</v>
      </c>
      <c r="D1646" s="6">
        <v>1130267085.371995</v>
      </c>
      <c r="E1646" s="6">
        <v>925745085.37199497</v>
      </c>
      <c r="F1646" s="6">
        <v>11.630000114440918</v>
      </c>
      <c r="G1646" s="6">
        <v>11.359999656677246</v>
      </c>
      <c r="H1646" s="6" t="e">
        <v>#N/A</v>
      </c>
      <c r="I1646" s="6">
        <v>0.55709103357146494</v>
      </c>
      <c r="J1646" s="6">
        <v>2568000</v>
      </c>
      <c r="K1646" s="6" t="e">
        <v>#N/A</v>
      </c>
      <c r="L1646" t="s">
        <v>17</v>
      </c>
      <c r="M1646" t="s">
        <v>18</v>
      </c>
      <c r="N1646" s="4" t="s">
        <v>4719</v>
      </c>
      <c r="O1646" s="4" t="s">
        <v>4720</v>
      </c>
      <c r="P1646" s="4" t="s">
        <v>233</v>
      </c>
    </row>
    <row r="1647" spans="1:16" x14ac:dyDescent="0.35">
      <c r="A1647" t="s">
        <v>11955</v>
      </c>
      <c r="B1647" t="s">
        <v>11956</v>
      </c>
      <c r="C1647" t="s">
        <v>16</v>
      </c>
      <c r="D1647" s="6">
        <v>296261286.45168686</v>
      </c>
      <c r="E1647" s="6">
        <v>237473286.45168686</v>
      </c>
      <c r="F1647" s="6">
        <v>24.049999237060547</v>
      </c>
      <c r="G1647" s="6">
        <v>24.200000762939453</v>
      </c>
      <c r="H1647" s="6">
        <v>15.822367919118781</v>
      </c>
      <c r="I1647" s="6">
        <v>0.10311998568361713</v>
      </c>
      <c r="J1647" s="6">
        <v>150725000</v>
      </c>
      <c r="K1647" s="6">
        <v>-9.5238095238095308</v>
      </c>
      <c r="L1647" t="s">
        <v>6547</v>
      </c>
      <c r="M1647" t="s">
        <v>6802</v>
      </c>
      <c r="N1647" s="4" t="s">
        <v>11957</v>
      </c>
      <c r="O1647" s="4" t="s">
        <v>11958</v>
      </c>
      <c r="P1647" s="4" t="s">
        <v>233</v>
      </c>
    </row>
    <row r="1648" spans="1:16" x14ac:dyDescent="0.35">
      <c r="A1648" t="s">
        <v>11959</v>
      </c>
      <c r="B1648" t="s">
        <v>11960</v>
      </c>
      <c r="C1648" t="s">
        <v>16</v>
      </c>
      <c r="D1648" s="6">
        <v>1409212382.9999998</v>
      </c>
      <c r="E1648" s="6">
        <v>1151397382.9999998</v>
      </c>
      <c r="F1648" s="6">
        <v>22.25</v>
      </c>
      <c r="G1648" s="6">
        <v>22.200000762939453</v>
      </c>
      <c r="H1648" s="6">
        <v>10.645933014354068</v>
      </c>
      <c r="I1648" s="6">
        <v>-0.334681780038386</v>
      </c>
      <c r="J1648" s="6">
        <v>866946000</v>
      </c>
      <c r="K1648" s="6">
        <v>3.4146341463414775</v>
      </c>
      <c r="L1648" t="s">
        <v>6518</v>
      </c>
      <c r="M1648" t="s">
        <v>6807</v>
      </c>
      <c r="N1648" s="4" t="s">
        <v>11961</v>
      </c>
      <c r="O1648" s="4" t="s">
        <v>11962</v>
      </c>
      <c r="P1648" s="4" t="s">
        <v>233</v>
      </c>
    </row>
    <row r="1649" spans="1:16" x14ac:dyDescent="0.35">
      <c r="A1649" t="s">
        <v>11963</v>
      </c>
      <c r="B1649" t="s">
        <v>11964</v>
      </c>
      <c r="C1649" t="s">
        <v>16</v>
      </c>
      <c r="D1649" s="6">
        <v>1448893024.2325745</v>
      </c>
      <c r="E1649" s="6">
        <v>1504520024.2325745</v>
      </c>
      <c r="F1649" s="6">
        <v>35.680000305175781</v>
      </c>
      <c r="G1649" s="6">
        <v>36.279998779296875</v>
      </c>
      <c r="H1649" s="6">
        <v>31.514841304205465</v>
      </c>
      <c r="I1649" s="6">
        <v>1.634991892216564E-2</v>
      </c>
      <c r="J1649" s="6">
        <v>482532000</v>
      </c>
      <c r="K1649" s="6">
        <v>543.75</v>
      </c>
      <c r="L1649" t="s">
        <v>6547</v>
      </c>
      <c r="M1649" t="s">
        <v>6843</v>
      </c>
      <c r="N1649" s="4" t="s">
        <v>11965</v>
      </c>
      <c r="O1649" s="4" t="s">
        <v>11966</v>
      </c>
      <c r="P1649" s="4" t="s">
        <v>233</v>
      </c>
    </row>
    <row r="1650" spans="1:16" x14ac:dyDescent="0.35">
      <c r="A1650" t="s">
        <v>11967</v>
      </c>
      <c r="B1650" t="s">
        <v>11968</v>
      </c>
      <c r="C1650" t="s">
        <v>16</v>
      </c>
      <c r="D1650" s="6">
        <v>6228061834.4168911</v>
      </c>
      <c r="E1650" s="6">
        <v>7708861834.4168911</v>
      </c>
      <c r="F1650" s="6">
        <v>5.7899999618530273</v>
      </c>
      <c r="G1650" s="6">
        <v>5.7899999618530273</v>
      </c>
      <c r="H1650" s="6">
        <v>12.149495369663668</v>
      </c>
      <c r="I1650" s="6">
        <v>0.24709014273933061</v>
      </c>
      <c r="J1650" s="6">
        <v>900600000</v>
      </c>
      <c r="K1650" s="6">
        <v>-82.559774964838255</v>
      </c>
      <c r="L1650" t="s">
        <v>6563</v>
      </c>
      <c r="M1650" t="s">
        <v>6764</v>
      </c>
      <c r="N1650" s="4" t="s">
        <v>233</v>
      </c>
      <c r="O1650" s="4" t="s">
        <v>11969</v>
      </c>
      <c r="P1650" s="4" t="s">
        <v>13262</v>
      </c>
    </row>
    <row r="1651" spans="1:16" x14ac:dyDescent="0.35">
      <c r="A1651" t="s">
        <v>11970</v>
      </c>
      <c r="B1651" t="s">
        <v>5768</v>
      </c>
      <c r="C1651" t="s">
        <v>16</v>
      </c>
      <c r="D1651" s="6">
        <v>49060095.663348913</v>
      </c>
      <c r="E1651" s="6">
        <v>-117953904.33665106</v>
      </c>
      <c r="F1651" s="6">
        <v>2.2000000476837158</v>
      </c>
      <c r="G1651" s="6">
        <v>2.2100000381469727</v>
      </c>
      <c r="H1651" s="6" t="e">
        <v>#N/A</v>
      </c>
      <c r="I1651" s="6">
        <v>-0.88049420621801566</v>
      </c>
      <c r="J1651" s="6" t="e">
        <v>#N/A</v>
      </c>
      <c r="K1651" s="6" t="e">
        <v>#N/A</v>
      </c>
      <c r="L1651" t="s">
        <v>17</v>
      </c>
      <c r="M1651" t="s">
        <v>18</v>
      </c>
      <c r="N1651" s="4" t="s">
        <v>5769</v>
      </c>
      <c r="O1651" s="4" t="s">
        <v>5770</v>
      </c>
      <c r="P1651" s="4" t="s">
        <v>233</v>
      </c>
    </row>
    <row r="1652" spans="1:16" x14ac:dyDescent="0.35">
      <c r="A1652" t="s">
        <v>11971</v>
      </c>
      <c r="B1652" t="s">
        <v>11972</v>
      </c>
      <c r="C1652" t="s">
        <v>16</v>
      </c>
      <c r="D1652" s="6">
        <v>276914043.26774216</v>
      </c>
      <c r="E1652" s="6" t="e">
        <v>#N/A</v>
      </c>
      <c r="F1652" s="6">
        <v>7.4099998474121094</v>
      </c>
      <c r="G1652" s="6">
        <v>7.3899998664855957</v>
      </c>
      <c r="H1652" s="6">
        <v>10.177872189289348</v>
      </c>
      <c r="I1652" s="6">
        <v>0.13558300767157005</v>
      </c>
      <c r="J1652" s="6">
        <v>167586000</v>
      </c>
      <c r="K1652" s="6" t="e">
        <v>#N/A</v>
      </c>
      <c r="L1652" t="s">
        <v>6529</v>
      </c>
      <c r="M1652" t="s">
        <v>6530</v>
      </c>
      <c r="N1652" s="4" t="s">
        <v>11973</v>
      </c>
      <c r="O1652" s="4" t="s">
        <v>11974</v>
      </c>
      <c r="P1652" s="4" t="s">
        <v>233</v>
      </c>
    </row>
    <row r="1653" spans="1:16" x14ac:dyDescent="0.35">
      <c r="A1653" t="s">
        <v>11975</v>
      </c>
      <c r="B1653" t="s">
        <v>11976</v>
      </c>
      <c r="C1653" t="s">
        <v>16</v>
      </c>
      <c r="D1653" s="6">
        <v>488438442.9961682</v>
      </c>
      <c r="E1653" s="6">
        <v>488437367.9961682</v>
      </c>
      <c r="F1653" s="6">
        <v>5.130000114440918</v>
      </c>
      <c r="G1653" s="6">
        <v>5.7100000381469727</v>
      </c>
      <c r="H1653" s="6" t="e">
        <v>#N/A</v>
      </c>
      <c r="I1653" s="6">
        <v>-0.52665534844378126</v>
      </c>
      <c r="J1653" s="6">
        <v>0</v>
      </c>
      <c r="K1653" s="6">
        <v>82.413892723012239</v>
      </c>
      <c r="L1653" t="s">
        <v>6563</v>
      </c>
      <c r="M1653" t="s">
        <v>6564</v>
      </c>
      <c r="N1653" s="4" t="s">
        <v>233</v>
      </c>
      <c r="O1653" s="4" t="s">
        <v>11977</v>
      </c>
      <c r="P1653" s="4" t="s">
        <v>13263</v>
      </c>
    </row>
    <row r="1654" spans="1:16" x14ac:dyDescent="0.35">
      <c r="A1654" t="s">
        <v>11978</v>
      </c>
      <c r="B1654" t="s">
        <v>3063</v>
      </c>
      <c r="C1654" t="s">
        <v>16</v>
      </c>
      <c r="D1654" s="6">
        <v>1268415021.194768</v>
      </c>
      <c r="E1654" s="6">
        <v>879662021.19476795</v>
      </c>
      <c r="F1654" s="6">
        <v>14.859999656677246</v>
      </c>
      <c r="G1654" s="6">
        <v>14.770000457763672</v>
      </c>
      <c r="H1654" s="6" t="e">
        <v>#N/A</v>
      </c>
      <c r="I1654" s="6">
        <v>-0.34432815949666062</v>
      </c>
      <c r="J1654" s="6">
        <v>16000000</v>
      </c>
      <c r="K1654" s="6">
        <v>-40.697674418604642</v>
      </c>
      <c r="L1654" t="s">
        <v>17</v>
      </c>
      <c r="M1654" t="s">
        <v>18</v>
      </c>
      <c r="N1654" s="4" t="s">
        <v>3064</v>
      </c>
      <c r="O1654" s="4" t="s">
        <v>3065</v>
      </c>
      <c r="P1654" s="4" t="s">
        <v>233</v>
      </c>
    </row>
    <row r="1655" spans="1:16" x14ac:dyDescent="0.35">
      <c r="A1655" t="s">
        <v>11979</v>
      </c>
      <c r="B1655" t="s">
        <v>11980</v>
      </c>
      <c r="C1655" t="s">
        <v>16</v>
      </c>
      <c r="D1655" s="6">
        <v>230230221.08703613</v>
      </c>
      <c r="E1655" s="6">
        <v>324656221.08703613</v>
      </c>
      <c r="F1655" s="6">
        <v>30.149999618530273</v>
      </c>
      <c r="G1655" s="6">
        <v>30.040000915527344</v>
      </c>
      <c r="H1655" s="6" t="e">
        <v>#N/A</v>
      </c>
      <c r="I1655" s="6">
        <v>2.0796406376586418E-3</v>
      </c>
      <c r="J1655" s="6">
        <v>49552000</v>
      </c>
      <c r="K1655" s="6" t="e">
        <v>#N/A</v>
      </c>
      <c r="L1655" t="s">
        <v>6735</v>
      </c>
      <c r="M1655" t="s">
        <v>6747</v>
      </c>
      <c r="N1655" s="4" t="s">
        <v>11981</v>
      </c>
      <c r="O1655" s="4" t="s">
        <v>11982</v>
      </c>
      <c r="P1655" s="4" t="s">
        <v>233</v>
      </c>
    </row>
    <row r="1656" spans="1:16" x14ac:dyDescent="0.35">
      <c r="A1656" t="s">
        <v>11983</v>
      </c>
      <c r="B1656" t="s">
        <v>11984</v>
      </c>
      <c r="C1656" t="s">
        <v>16</v>
      </c>
      <c r="D1656" s="6">
        <v>1942426700.4420376</v>
      </c>
      <c r="E1656" s="6">
        <v>2682050700.4420376</v>
      </c>
      <c r="F1656" s="6">
        <v>13.689999580383301</v>
      </c>
      <c r="G1656" s="6">
        <v>13.539999961853027</v>
      </c>
      <c r="H1656" s="6">
        <v>99.7602516988632</v>
      </c>
      <c r="I1656" s="6">
        <v>-0.26695484737292696</v>
      </c>
      <c r="J1656" s="6">
        <v>1420335000</v>
      </c>
      <c r="K1656" s="6" t="e">
        <v>#N/A</v>
      </c>
      <c r="L1656" t="s">
        <v>6735</v>
      </c>
      <c r="M1656" t="s">
        <v>6747</v>
      </c>
      <c r="N1656" s="4" t="s">
        <v>11985</v>
      </c>
      <c r="O1656" s="4" t="s">
        <v>11986</v>
      </c>
      <c r="P1656" s="4" t="s">
        <v>233</v>
      </c>
    </row>
    <row r="1657" spans="1:16" x14ac:dyDescent="0.35">
      <c r="A1657" t="s">
        <v>11987</v>
      </c>
      <c r="B1657" t="s">
        <v>11988</v>
      </c>
      <c r="C1657" t="s">
        <v>16</v>
      </c>
      <c r="D1657" s="6">
        <v>229864552.5</v>
      </c>
      <c r="E1657" s="6" t="e">
        <v>#N/A</v>
      </c>
      <c r="F1657" s="6">
        <v>27.5</v>
      </c>
      <c r="G1657" s="6">
        <v>27.719999313354492</v>
      </c>
      <c r="H1657" s="6">
        <v>9.1059602649006628</v>
      </c>
      <c r="I1657" s="6">
        <v>5.971416320710321E-2</v>
      </c>
      <c r="J1657" s="6" t="e">
        <v>#N/A</v>
      </c>
      <c r="K1657" s="6">
        <v>-19.14893617021276</v>
      </c>
      <c r="L1657" t="s">
        <v>6529</v>
      </c>
      <c r="M1657" t="s">
        <v>6530</v>
      </c>
      <c r="N1657" s="4" t="s">
        <v>11989</v>
      </c>
      <c r="O1657" s="4" t="s">
        <v>11990</v>
      </c>
      <c r="P1657" s="4" t="s">
        <v>233</v>
      </c>
    </row>
    <row r="1658" spans="1:16" x14ac:dyDescent="0.35">
      <c r="A1658" t="s">
        <v>11991</v>
      </c>
      <c r="B1658" t="s">
        <v>11992</v>
      </c>
      <c r="C1658" t="s">
        <v>16</v>
      </c>
      <c r="D1658" s="6">
        <v>418516332.54242706</v>
      </c>
      <c r="E1658" s="6">
        <v>322555131.54242706</v>
      </c>
      <c r="F1658" s="6">
        <v>26.430000305175781</v>
      </c>
      <c r="G1658" s="6">
        <v>26.420000076293945</v>
      </c>
      <c r="H1658" s="6">
        <v>25.401567059632445</v>
      </c>
      <c r="I1658" s="6">
        <v>-0.10490272246105037</v>
      </c>
      <c r="J1658" s="6">
        <v>158810010</v>
      </c>
      <c r="K1658" s="6">
        <v>14.727975731484873</v>
      </c>
      <c r="L1658" t="s">
        <v>6719</v>
      </c>
      <c r="M1658" t="s">
        <v>6720</v>
      </c>
      <c r="N1658" s="4" t="s">
        <v>233</v>
      </c>
      <c r="O1658" s="4" t="s">
        <v>11993</v>
      </c>
      <c r="P1658" s="4" t="s">
        <v>13264</v>
      </c>
    </row>
    <row r="1659" spans="1:16" x14ac:dyDescent="0.35">
      <c r="A1659" t="s">
        <v>11994</v>
      </c>
      <c r="B1659" t="s">
        <v>11995</v>
      </c>
      <c r="C1659" t="s">
        <v>16</v>
      </c>
      <c r="D1659" s="6">
        <v>1404316764.0161054</v>
      </c>
      <c r="E1659" s="6" t="e">
        <v>#N/A</v>
      </c>
      <c r="F1659" s="6">
        <v>24.690000534057617</v>
      </c>
      <c r="G1659" s="6">
        <v>24.760000228881836</v>
      </c>
      <c r="H1659" s="6">
        <v>11.834626099188267</v>
      </c>
      <c r="I1659" s="6">
        <v>8.0678637282770582E-2</v>
      </c>
      <c r="J1659" s="6">
        <v>663363000</v>
      </c>
      <c r="K1659" s="6">
        <v>-9.0497737556561173</v>
      </c>
      <c r="L1659" t="s">
        <v>6529</v>
      </c>
      <c r="M1659" t="s">
        <v>6530</v>
      </c>
      <c r="N1659" s="4" t="s">
        <v>11996</v>
      </c>
      <c r="O1659" s="4" t="s">
        <v>11997</v>
      </c>
      <c r="P1659" s="4" t="s">
        <v>233</v>
      </c>
    </row>
    <row r="1660" spans="1:16" x14ac:dyDescent="0.35">
      <c r="A1660" t="s">
        <v>11998</v>
      </c>
      <c r="B1660" t="s">
        <v>11999</v>
      </c>
      <c r="C1660" t="s">
        <v>16</v>
      </c>
      <c r="D1660" s="6">
        <v>1844688759.9177186</v>
      </c>
      <c r="E1660" s="6">
        <v>3132204759.9177184</v>
      </c>
      <c r="F1660" s="6">
        <v>9.1700000762939453</v>
      </c>
      <c r="G1660" s="6">
        <v>9.2299995422363281</v>
      </c>
      <c r="H1660" s="6">
        <v>7.7116369831386313</v>
      </c>
      <c r="I1660" s="6">
        <v>-9.8918168681297658E-2</v>
      </c>
      <c r="J1660" s="6">
        <v>1011652000</v>
      </c>
      <c r="K1660" s="6">
        <v>98.360655737704917</v>
      </c>
      <c r="L1660" t="s">
        <v>6547</v>
      </c>
      <c r="M1660" t="s">
        <v>7658</v>
      </c>
      <c r="N1660" s="4" t="s">
        <v>233</v>
      </c>
      <c r="O1660" s="4" t="s">
        <v>12000</v>
      </c>
      <c r="P1660" s="4" t="s">
        <v>13265</v>
      </c>
    </row>
    <row r="1661" spans="1:16" x14ac:dyDescent="0.35">
      <c r="A1661" t="s">
        <v>12002</v>
      </c>
      <c r="B1661" t="s">
        <v>12003</v>
      </c>
      <c r="C1661" t="s">
        <v>16</v>
      </c>
      <c r="D1661" s="6">
        <v>4695248624.3188477</v>
      </c>
      <c r="E1661" s="6">
        <v>4824848624.3188477</v>
      </c>
      <c r="F1661" s="6">
        <v>141.3800048828125</v>
      </c>
      <c r="G1661" s="6">
        <v>139.6300048828125</v>
      </c>
      <c r="H1661" s="6">
        <v>11.748864244596795</v>
      </c>
      <c r="I1661" s="6">
        <v>0.18267658216682192</v>
      </c>
      <c r="J1661" s="6">
        <v>3320400000</v>
      </c>
      <c r="K1661" s="6">
        <v>39.085714285714332</v>
      </c>
      <c r="L1661" t="s">
        <v>6547</v>
      </c>
      <c r="M1661" t="s">
        <v>7658</v>
      </c>
      <c r="N1661" s="4" t="s">
        <v>12004</v>
      </c>
      <c r="O1661" s="4" t="s">
        <v>12005</v>
      </c>
      <c r="P1661" s="4" t="s">
        <v>233</v>
      </c>
    </row>
    <row r="1662" spans="1:16" x14ac:dyDescent="0.35">
      <c r="A1662" t="s">
        <v>12001</v>
      </c>
      <c r="B1662" t="s">
        <v>3037</v>
      </c>
      <c r="C1662" t="s">
        <v>16</v>
      </c>
      <c r="D1662" s="6">
        <v>192969100.88648987</v>
      </c>
      <c r="E1662" s="6">
        <v>154593100.88648987</v>
      </c>
      <c r="F1662" s="6">
        <v>17.889999389648438</v>
      </c>
      <c r="G1662" s="6">
        <v>17.129999160766602</v>
      </c>
      <c r="H1662" s="6" t="e">
        <v>#N/A</v>
      </c>
      <c r="I1662" s="6">
        <v>0.43437619666339056</v>
      </c>
      <c r="J1662" s="6">
        <v>19720000</v>
      </c>
      <c r="K1662" s="6">
        <v>-64.772727272727295</v>
      </c>
      <c r="L1662" t="s">
        <v>17</v>
      </c>
      <c r="M1662" t="s">
        <v>87</v>
      </c>
      <c r="N1662" s="4" t="s">
        <v>233</v>
      </c>
      <c r="O1662" s="4" t="s">
        <v>3038</v>
      </c>
      <c r="P1662" s="4" t="s">
        <v>13117</v>
      </c>
    </row>
    <row r="1663" spans="1:16" x14ac:dyDescent="0.35">
      <c r="A1663" t="s">
        <v>12009</v>
      </c>
      <c r="B1663" t="s">
        <v>12010</v>
      </c>
      <c r="C1663" t="s">
        <v>16</v>
      </c>
      <c r="D1663" s="6">
        <v>2734347100.9758606</v>
      </c>
      <c r="E1663" s="6">
        <v>2480447100.9758606</v>
      </c>
      <c r="F1663" s="6">
        <v>109.62999725341797</v>
      </c>
      <c r="G1663" s="6">
        <v>110.16000366210938</v>
      </c>
      <c r="H1663" s="6">
        <v>17.963870261857945</v>
      </c>
      <c r="I1663" s="6">
        <v>-8.1051628133892994E-2</v>
      </c>
      <c r="J1663" s="6">
        <v>1873300000</v>
      </c>
      <c r="K1663" s="6">
        <v>12.91585127201564</v>
      </c>
      <c r="L1663" t="s">
        <v>6563</v>
      </c>
      <c r="M1663" t="s">
        <v>6764</v>
      </c>
      <c r="N1663" s="4" t="s">
        <v>12011</v>
      </c>
      <c r="O1663" s="4" t="s">
        <v>12012</v>
      </c>
      <c r="P1663" s="4" t="s">
        <v>233</v>
      </c>
    </row>
    <row r="1664" spans="1:16" x14ac:dyDescent="0.35">
      <c r="A1664" t="s">
        <v>12006</v>
      </c>
      <c r="B1664" t="s">
        <v>12007</v>
      </c>
      <c r="C1664" t="s">
        <v>16</v>
      </c>
      <c r="D1664" s="6">
        <v>1359191718.8882828</v>
      </c>
      <c r="E1664" s="6">
        <v>2732274718.8882828</v>
      </c>
      <c r="F1664" s="6">
        <v>24.930000305175781</v>
      </c>
      <c r="G1664" s="6">
        <v>24.979999542236328</v>
      </c>
      <c r="H1664" s="6">
        <v>13.40689484658747</v>
      </c>
      <c r="I1664" s="6">
        <v>5.5819554138342831E-2</v>
      </c>
      <c r="J1664" s="6">
        <v>356349000</v>
      </c>
      <c r="K1664" s="6">
        <v>-2.2321428571428688</v>
      </c>
      <c r="L1664" t="s">
        <v>6523</v>
      </c>
      <c r="M1664" t="s">
        <v>6524</v>
      </c>
      <c r="N1664" s="4" t="s">
        <v>233</v>
      </c>
      <c r="O1664" s="4" t="s">
        <v>12008</v>
      </c>
      <c r="P1664" s="4" t="s">
        <v>13266</v>
      </c>
    </row>
    <row r="1665" spans="1:16" x14ac:dyDescent="0.35">
      <c r="A1665" t="s">
        <v>12013</v>
      </c>
      <c r="B1665" t="s">
        <v>12014</v>
      </c>
      <c r="C1665" t="s">
        <v>16</v>
      </c>
      <c r="D1665" s="6">
        <v>955128235.60123444</v>
      </c>
      <c r="E1665" s="6">
        <v>4641128235.6012344</v>
      </c>
      <c r="F1665" s="6">
        <v>14.380000114440918</v>
      </c>
      <c r="G1665" s="6">
        <v>14.430000305175781</v>
      </c>
      <c r="H1665" s="6">
        <v>4.6540862146617696</v>
      </c>
      <c r="I1665" s="6">
        <v>-3.3372697806036911E-2</v>
      </c>
      <c r="J1665" s="6">
        <v>3370000000</v>
      </c>
      <c r="K1665" s="6" t="e">
        <v>#N/A</v>
      </c>
      <c r="L1665" t="s">
        <v>6514</v>
      </c>
      <c r="M1665" t="s">
        <v>6534</v>
      </c>
      <c r="N1665" s="4" t="s">
        <v>12015</v>
      </c>
      <c r="O1665" s="4" t="s">
        <v>12016</v>
      </c>
      <c r="P1665" s="4" t="s">
        <v>233</v>
      </c>
    </row>
    <row r="1666" spans="1:16" x14ac:dyDescent="0.35">
      <c r="A1666" t="s">
        <v>12017</v>
      </c>
      <c r="B1666" t="s">
        <v>12018</v>
      </c>
      <c r="C1666" t="s">
        <v>16</v>
      </c>
      <c r="D1666" s="6">
        <v>2292801741.768074</v>
      </c>
      <c r="E1666" s="6">
        <v>2357606741.768074</v>
      </c>
      <c r="F1666" s="6">
        <v>22.049999237060547</v>
      </c>
      <c r="G1666" s="6">
        <v>21.489999771118164</v>
      </c>
      <c r="H1666" s="6">
        <v>43.373919068907583</v>
      </c>
      <c r="I1666" s="6">
        <v>0.48927731644337702</v>
      </c>
      <c r="J1666" s="6">
        <v>872619000</v>
      </c>
      <c r="K1666" s="6" t="e">
        <v>#N/A</v>
      </c>
      <c r="L1666" t="s">
        <v>6540</v>
      </c>
      <c r="M1666" t="s">
        <v>6838</v>
      </c>
      <c r="N1666" s="4" t="s">
        <v>233</v>
      </c>
      <c r="O1666" s="4" t="s">
        <v>12019</v>
      </c>
      <c r="P1666" s="4" t="s">
        <v>13267</v>
      </c>
    </row>
    <row r="1667" spans="1:16" x14ac:dyDescent="0.35">
      <c r="A1667" t="s">
        <v>12020</v>
      </c>
      <c r="B1667" t="s">
        <v>12021</v>
      </c>
      <c r="C1667" t="s">
        <v>16</v>
      </c>
      <c r="D1667" s="6">
        <v>5506151809.2377853</v>
      </c>
      <c r="E1667" s="6">
        <v>5964602809.2377853</v>
      </c>
      <c r="F1667" s="6">
        <v>97.260002136230469</v>
      </c>
      <c r="G1667" s="6">
        <v>95.489997863769531</v>
      </c>
      <c r="H1667" s="6">
        <v>27.551237804691151</v>
      </c>
      <c r="I1667" s="6">
        <v>0.42575981427752696</v>
      </c>
      <c r="J1667" s="6">
        <v>2888689000</v>
      </c>
      <c r="K1667" s="6" t="e">
        <v>#N/A</v>
      </c>
      <c r="L1667" t="s">
        <v>6563</v>
      </c>
      <c r="M1667" t="s">
        <v>6607</v>
      </c>
      <c r="N1667" s="4" t="s">
        <v>12022</v>
      </c>
      <c r="O1667" s="4" t="s">
        <v>12023</v>
      </c>
      <c r="P1667" s="4" t="s">
        <v>233</v>
      </c>
    </row>
    <row r="1668" spans="1:16" x14ac:dyDescent="0.35">
      <c r="A1668" t="s">
        <v>12024</v>
      </c>
      <c r="B1668" t="s">
        <v>12025</v>
      </c>
      <c r="C1668" t="s">
        <v>16</v>
      </c>
      <c r="D1668" s="6">
        <v>4202979947.7767949</v>
      </c>
      <c r="E1668" s="6">
        <v>5480057947.7767944</v>
      </c>
      <c r="F1668" s="6">
        <v>40.270000457763672</v>
      </c>
      <c r="G1668" s="6">
        <v>39.860000610351563</v>
      </c>
      <c r="H1668" s="6">
        <v>50.823307866271314</v>
      </c>
      <c r="I1668" s="6">
        <v>0.91250222037837325</v>
      </c>
      <c r="J1668" s="6">
        <v>274134000</v>
      </c>
      <c r="K1668" s="6">
        <v>-73.704979317745199</v>
      </c>
      <c r="L1668" t="s">
        <v>6523</v>
      </c>
      <c r="M1668" t="s">
        <v>6524</v>
      </c>
      <c r="N1668" s="4" t="s">
        <v>233</v>
      </c>
      <c r="O1668" s="4" t="s">
        <v>12026</v>
      </c>
      <c r="P1668" s="4" t="s">
        <v>13268</v>
      </c>
    </row>
    <row r="1669" spans="1:16" x14ac:dyDescent="0.35">
      <c r="A1669" t="s">
        <v>12027</v>
      </c>
      <c r="B1669" t="s">
        <v>12028</v>
      </c>
      <c r="C1669" t="s">
        <v>16</v>
      </c>
      <c r="D1669" s="6">
        <v>194780258.0220108</v>
      </c>
      <c r="E1669" s="6">
        <v>123723258.0220108</v>
      </c>
      <c r="F1669" s="6">
        <v>13.069999694824219</v>
      </c>
      <c r="G1669" s="6">
        <v>12.960000038146973</v>
      </c>
      <c r="H1669" s="6">
        <v>6.9153437538752485</v>
      </c>
      <c r="I1669" s="6">
        <v>0.20214975041767969</v>
      </c>
      <c r="J1669" s="6" t="e">
        <v>#N/A</v>
      </c>
      <c r="K1669" s="6">
        <v>-13.302752293577992</v>
      </c>
      <c r="L1669" t="s">
        <v>6529</v>
      </c>
      <c r="M1669" t="s">
        <v>8169</v>
      </c>
      <c r="N1669" s="4" t="s">
        <v>12029</v>
      </c>
      <c r="O1669" s="4" t="s">
        <v>12030</v>
      </c>
      <c r="P1669" s="4" t="s">
        <v>233</v>
      </c>
    </row>
    <row r="1670" spans="1:16" x14ac:dyDescent="0.35">
      <c r="A1670" t="s">
        <v>12031</v>
      </c>
      <c r="B1670" t="s">
        <v>12032</v>
      </c>
      <c r="C1670" t="s">
        <v>16</v>
      </c>
      <c r="D1670" s="6">
        <v>367742044.90766186</v>
      </c>
      <c r="E1670" s="6">
        <v>250511044.90766186</v>
      </c>
      <c r="F1670" s="6">
        <v>1.0099999904632568</v>
      </c>
      <c r="G1670" s="6">
        <v>1.0099999904632568</v>
      </c>
      <c r="H1670" s="6" t="e">
        <v>#N/A</v>
      </c>
      <c r="I1670" s="6">
        <v>-0.45315050970198012</v>
      </c>
      <c r="J1670" s="6">
        <v>16494000</v>
      </c>
      <c r="K1670" s="6">
        <v>-6.987619680523772</v>
      </c>
      <c r="L1670" t="s">
        <v>6523</v>
      </c>
      <c r="M1670" t="s">
        <v>6524</v>
      </c>
      <c r="N1670" s="4" t="s">
        <v>12033</v>
      </c>
      <c r="O1670" s="4" t="s">
        <v>12034</v>
      </c>
      <c r="P1670" s="4" t="s">
        <v>233</v>
      </c>
    </row>
    <row r="1671" spans="1:16" x14ac:dyDescent="0.35">
      <c r="A1671" t="s">
        <v>12035</v>
      </c>
      <c r="B1671" t="s">
        <v>12036</v>
      </c>
      <c r="C1671" t="s">
        <v>16</v>
      </c>
      <c r="D1671" s="6">
        <v>3298857448.9387207</v>
      </c>
      <c r="E1671" s="6">
        <v>7450195448.9387207</v>
      </c>
      <c r="F1671" s="6">
        <v>27.770000457763672</v>
      </c>
      <c r="G1671" s="6">
        <v>27.510000228881836</v>
      </c>
      <c r="H1671" s="6">
        <v>20.44267215075287</v>
      </c>
      <c r="I1671" s="6">
        <v>0.16668044735925513</v>
      </c>
      <c r="J1671" s="6">
        <v>368883000</v>
      </c>
      <c r="K1671" s="6">
        <v>412.27578947368414</v>
      </c>
      <c r="L1671" t="s">
        <v>6529</v>
      </c>
      <c r="M1671" t="s">
        <v>6639</v>
      </c>
      <c r="N1671" s="4" t="s">
        <v>12037</v>
      </c>
      <c r="O1671" s="4" t="s">
        <v>12038</v>
      </c>
      <c r="P1671" s="4" t="s">
        <v>233</v>
      </c>
    </row>
    <row r="1672" spans="1:16" x14ac:dyDescent="0.35">
      <c r="A1672" t="s">
        <v>12039</v>
      </c>
      <c r="B1672" t="s">
        <v>12040</v>
      </c>
      <c r="C1672" t="s">
        <v>16</v>
      </c>
      <c r="D1672" s="6">
        <v>6770170750.309906</v>
      </c>
      <c r="E1672" s="6">
        <v>6501170750.309906</v>
      </c>
      <c r="F1672" s="6">
        <v>91.660003662109375</v>
      </c>
      <c r="G1672" s="6">
        <v>91.180000305175781</v>
      </c>
      <c r="H1672" s="6">
        <v>1.901618835687533</v>
      </c>
      <c r="I1672" s="6">
        <v>0.80216846452112356</v>
      </c>
      <c r="J1672" s="6">
        <v>3938000000</v>
      </c>
      <c r="K1672" s="6" t="e">
        <v>#N/A</v>
      </c>
      <c r="L1672" t="s">
        <v>6529</v>
      </c>
      <c r="M1672" t="s">
        <v>6639</v>
      </c>
      <c r="N1672" s="4" t="s">
        <v>12041</v>
      </c>
      <c r="O1672" s="4" t="s">
        <v>12042</v>
      </c>
      <c r="P1672" s="4" t="s">
        <v>233</v>
      </c>
    </row>
    <row r="1673" spans="1:16" x14ac:dyDescent="0.35">
      <c r="A1673" t="s">
        <v>12043</v>
      </c>
      <c r="B1673" t="s">
        <v>12044</v>
      </c>
      <c r="C1673" t="s">
        <v>16</v>
      </c>
      <c r="D1673" s="6">
        <v>460802057.35062796</v>
      </c>
      <c r="E1673" s="6">
        <v>532768026.35062796</v>
      </c>
      <c r="F1673" s="6">
        <v>5.7600002288818359</v>
      </c>
      <c r="G1673" s="6">
        <v>6.0100002288818359</v>
      </c>
      <c r="H1673" s="6" t="e">
        <v>#N/A</v>
      </c>
      <c r="I1673" s="6">
        <v>-3.4507303330004735E-3</v>
      </c>
      <c r="J1673" s="6">
        <v>1020728</v>
      </c>
      <c r="K1673" s="6">
        <v>-790.86483140551343</v>
      </c>
      <c r="L1673" t="s">
        <v>6563</v>
      </c>
      <c r="M1673" t="s">
        <v>6564</v>
      </c>
      <c r="N1673" s="4" t="s">
        <v>233</v>
      </c>
      <c r="O1673" s="4" t="s">
        <v>12045</v>
      </c>
      <c r="P1673" s="4" t="s">
        <v>13269</v>
      </c>
    </row>
    <row r="1674" spans="1:16" x14ac:dyDescent="0.35">
      <c r="A1674" t="s">
        <v>12046</v>
      </c>
      <c r="B1674" t="s">
        <v>12047</v>
      </c>
      <c r="C1674" t="s">
        <v>16</v>
      </c>
      <c r="D1674" s="6">
        <v>1010404518.1163026</v>
      </c>
      <c r="E1674" s="6">
        <v>887020518.11630261</v>
      </c>
      <c r="F1674" s="6">
        <v>34.349998474121094</v>
      </c>
      <c r="G1674" s="6">
        <v>34.540000915527344</v>
      </c>
      <c r="H1674" s="6" t="e">
        <v>#N/A</v>
      </c>
      <c r="I1674" s="6">
        <v>0.45095082223945537</v>
      </c>
      <c r="J1674" s="6">
        <v>666399000</v>
      </c>
      <c r="K1674" s="6">
        <v>-31.14754098360654</v>
      </c>
      <c r="L1674" t="s">
        <v>6518</v>
      </c>
      <c r="M1674" t="s">
        <v>6807</v>
      </c>
      <c r="N1674" s="4" t="s">
        <v>233</v>
      </c>
      <c r="O1674" s="4" t="s">
        <v>12048</v>
      </c>
      <c r="P1674" s="4" t="s">
        <v>13270</v>
      </c>
    </row>
    <row r="1675" spans="1:16" x14ac:dyDescent="0.35">
      <c r="A1675" t="s">
        <v>12049</v>
      </c>
      <c r="B1675" t="s">
        <v>12050</v>
      </c>
      <c r="C1675" t="s">
        <v>16</v>
      </c>
      <c r="D1675" s="6">
        <v>474032679.67404562</v>
      </c>
      <c r="E1675" s="6">
        <v>547294679.67404556</v>
      </c>
      <c r="F1675" s="6">
        <v>11.920000076293945</v>
      </c>
      <c r="G1675" s="6">
        <v>11.609999656677246</v>
      </c>
      <c r="H1675" s="6">
        <v>34.594845821610022</v>
      </c>
      <c r="I1675" s="6">
        <v>-0.29566398869474075</v>
      </c>
      <c r="J1675" s="6">
        <v>499894000</v>
      </c>
      <c r="K1675" s="6" t="e">
        <v>#N/A</v>
      </c>
      <c r="L1675" t="s">
        <v>6540</v>
      </c>
      <c r="M1675" t="s">
        <v>7630</v>
      </c>
      <c r="N1675" s="4" t="s">
        <v>12051</v>
      </c>
      <c r="O1675" s="4" t="s">
        <v>12052</v>
      </c>
      <c r="P1675" s="4" t="s">
        <v>233</v>
      </c>
    </row>
    <row r="1676" spans="1:16" x14ac:dyDescent="0.35">
      <c r="A1676" t="s">
        <v>12053</v>
      </c>
      <c r="B1676" t="s">
        <v>12054</v>
      </c>
      <c r="C1676" t="s">
        <v>16</v>
      </c>
      <c r="D1676" s="6">
        <v>1685150228.0053611</v>
      </c>
      <c r="E1676" s="6">
        <v>2254105228.0053611</v>
      </c>
      <c r="F1676" s="6">
        <v>7.559999942779541</v>
      </c>
      <c r="G1676" s="6">
        <v>7.4000000953674316</v>
      </c>
      <c r="H1676" s="6" t="e">
        <v>#N/A</v>
      </c>
      <c r="I1676" s="6">
        <v>0.55687352044268668</v>
      </c>
      <c r="J1676" s="6">
        <v>211619000</v>
      </c>
      <c r="K1676" s="6">
        <v>-367.56756756756749</v>
      </c>
      <c r="L1676" t="s">
        <v>6518</v>
      </c>
      <c r="M1676" t="s">
        <v>6789</v>
      </c>
      <c r="N1676" s="4" t="s">
        <v>12055</v>
      </c>
      <c r="O1676" s="4" t="s">
        <v>12056</v>
      </c>
      <c r="P1676" s="4" t="s">
        <v>233</v>
      </c>
    </row>
    <row r="1677" spans="1:16" x14ac:dyDescent="0.35">
      <c r="A1677" t="s">
        <v>12057</v>
      </c>
      <c r="B1677" t="s">
        <v>1694</v>
      </c>
      <c r="C1677" t="s">
        <v>16</v>
      </c>
      <c r="D1677" s="6">
        <v>442395152.57745981</v>
      </c>
      <c r="E1677" s="6">
        <v>304788152.57745981</v>
      </c>
      <c r="F1677" s="6">
        <v>6.2199997901916504</v>
      </c>
      <c r="G1677" s="6">
        <v>6.1500000953674316</v>
      </c>
      <c r="H1677" s="6" t="e">
        <v>#N/A</v>
      </c>
      <c r="I1677" s="6">
        <v>-0.40108252603094285</v>
      </c>
      <c r="J1677" s="6">
        <v>52000</v>
      </c>
      <c r="K1677" s="6">
        <v>-0.64935064935066444</v>
      </c>
      <c r="L1677" t="s">
        <v>17</v>
      </c>
      <c r="M1677" t="s">
        <v>18</v>
      </c>
      <c r="N1677" s="4" t="s">
        <v>1695</v>
      </c>
      <c r="O1677" s="4" t="s">
        <v>1696</v>
      </c>
      <c r="P1677" s="4" t="s">
        <v>233</v>
      </c>
    </row>
    <row r="1678" spans="1:16" x14ac:dyDescent="0.35">
      <c r="A1678" t="s">
        <v>12058</v>
      </c>
      <c r="B1678" t="s">
        <v>12059</v>
      </c>
      <c r="C1678" t="s">
        <v>16</v>
      </c>
      <c r="D1678" s="6">
        <v>688407531.92653656</v>
      </c>
      <c r="E1678" s="6">
        <v>1794760531.9265366</v>
      </c>
      <c r="F1678" s="6">
        <v>4.6700000762939453</v>
      </c>
      <c r="G1678" s="6">
        <v>4.5799999237060547</v>
      </c>
      <c r="H1678" s="6" t="e">
        <v>#N/A</v>
      </c>
      <c r="I1678" s="6">
        <v>1.0004879358808587</v>
      </c>
      <c r="J1678" s="6">
        <v>2557445000</v>
      </c>
      <c r="K1678" s="6" t="e">
        <v>#N/A</v>
      </c>
      <c r="L1678" t="s">
        <v>6514</v>
      </c>
      <c r="M1678" t="s">
        <v>6534</v>
      </c>
      <c r="N1678" s="4" t="s">
        <v>12060</v>
      </c>
      <c r="O1678" s="4" t="s">
        <v>12061</v>
      </c>
      <c r="P1678" s="4" t="s">
        <v>233</v>
      </c>
    </row>
    <row r="1679" spans="1:16" x14ac:dyDescent="0.35">
      <c r="A1679" t="s">
        <v>12062</v>
      </c>
      <c r="B1679" t="s">
        <v>12063</v>
      </c>
      <c r="C1679" t="s">
        <v>16</v>
      </c>
      <c r="D1679" s="6">
        <v>5494415605.8827076</v>
      </c>
      <c r="E1679" s="6">
        <v>5505541605.8827076</v>
      </c>
      <c r="F1679" s="6">
        <v>13.970000267028809</v>
      </c>
      <c r="G1679" s="6">
        <v>13.630000114440918</v>
      </c>
      <c r="H1679" s="6" t="e">
        <v>#N/A</v>
      </c>
      <c r="I1679" s="6">
        <v>4.9157995064134647</v>
      </c>
      <c r="J1679" s="6">
        <v>45873000</v>
      </c>
      <c r="K1679" s="6">
        <v>45.205479452054789</v>
      </c>
      <c r="L1679" t="s">
        <v>6518</v>
      </c>
      <c r="M1679" t="s">
        <v>6519</v>
      </c>
      <c r="N1679" s="4" t="s">
        <v>12064</v>
      </c>
      <c r="O1679" s="4" t="s">
        <v>12065</v>
      </c>
      <c r="P1679" s="4" t="s">
        <v>233</v>
      </c>
    </row>
    <row r="1680" spans="1:16" x14ac:dyDescent="0.35">
      <c r="A1680" t="s">
        <v>12066</v>
      </c>
      <c r="B1680" t="s">
        <v>12067</v>
      </c>
      <c r="C1680" t="s">
        <v>16</v>
      </c>
      <c r="D1680" s="6">
        <v>249675309.06618118</v>
      </c>
      <c r="E1680" s="6">
        <v>1335036309.0661812</v>
      </c>
      <c r="F1680" s="6">
        <v>14.409999847412109</v>
      </c>
      <c r="G1680" s="6">
        <v>14.25</v>
      </c>
      <c r="H1680" s="6" t="e">
        <v>#N/A</v>
      </c>
      <c r="I1680" s="6">
        <v>-0.23659808984906394</v>
      </c>
      <c r="J1680" s="6">
        <v>2743783000</v>
      </c>
      <c r="K1680" s="6">
        <v>27.179487179487197</v>
      </c>
      <c r="L1680" t="s">
        <v>6540</v>
      </c>
      <c r="M1680" t="s">
        <v>6881</v>
      </c>
      <c r="N1680" s="4" t="s">
        <v>12068</v>
      </c>
      <c r="O1680" s="4" t="s">
        <v>12069</v>
      </c>
      <c r="P1680" s="4" t="s">
        <v>233</v>
      </c>
    </row>
    <row r="1681" spans="1:16" x14ac:dyDescent="0.35">
      <c r="A1681" t="s">
        <v>12070</v>
      </c>
      <c r="B1681" t="s">
        <v>12071</v>
      </c>
      <c r="C1681" t="s">
        <v>16</v>
      </c>
      <c r="D1681" s="6">
        <v>569782636.12901282</v>
      </c>
      <c r="E1681" s="6">
        <v>535595636.12901282</v>
      </c>
      <c r="F1681" s="6">
        <v>11.819999694824219</v>
      </c>
      <c r="G1681" s="6">
        <v>11.819999694824219</v>
      </c>
      <c r="H1681" s="6">
        <v>6.5945467754362719</v>
      </c>
      <c r="I1681" s="6">
        <v>4.2686807636247215E-2</v>
      </c>
      <c r="J1681" s="6">
        <v>282210000</v>
      </c>
      <c r="K1681" s="6">
        <v>9200.0000000001983</v>
      </c>
      <c r="L1681" t="s">
        <v>6529</v>
      </c>
      <c r="M1681" t="s">
        <v>6664</v>
      </c>
      <c r="N1681" s="4" t="s">
        <v>12072</v>
      </c>
      <c r="O1681" s="4" t="s">
        <v>12073</v>
      </c>
      <c r="P1681" s="4" t="s">
        <v>233</v>
      </c>
    </row>
    <row r="1682" spans="1:16" x14ac:dyDescent="0.35">
      <c r="A1682" t="s">
        <v>12074</v>
      </c>
      <c r="B1682" t="s">
        <v>12075</v>
      </c>
      <c r="C1682" t="s">
        <v>16</v>
      </c>
      <c r="D1682" s="6">
        <v>603577694.08904076</v>
      </c>
      <c r="E1682" s="6">
        <v>610626694.08904076</v>
      </c>
      <c r="F1682" s="6">
        <v>4.2100000381469727</v>
      </c>
      <c r="G1682" s="6">
        <v>4.190000057220459</v>
      </c>
      <c r="H1682" s="6">
        <v>25.914868967695497</v>
      </c>
      <c r="I1682" s="6">
        <v>-0.3708435645148489</v>
      </c>
      <c r="J1682" s="6">
        <v>194848000</v>
      </c>
      <c r="K1682" s="6">
        <v>37.095566607840013</v>
      </c>
      <c r="L1682" t="s">
        <v>6719</v>
      </c>
      <c r="M1682" t="s">
        <v>7138</v>
      </c>
      <c r="N1682" s="4" t="s">
        <v>12076</v>
      </c>
      <c r="O1682" s="4" t="s">
        <v>12077</v>
      </c>
      <c r="P1682" s="4" t="s">
        <v>233</v>
      </c>
    </row>
    <row r="1683" spans="1:16" x14ac:dyDescent="0.35">
      <c r="A1683" t="s">
        <v>12078</v>
      </c>
      <c r="B1683" t="s">
        <v>12079</v>
      </c>
      <c r="C1683" t="s">
        <v>16</v>
      </c>
      <c r="D1683" s="6">
        <v>175704685.30078411</v>
      </c>
      <c r="E1683" s="6">
        <v>203550685.30078411</v>
      </c>
      <c r="F1683" s="6">
        <v>5.2300000190734863</v>
      </c>
      <c r="G1683" s="6">
        <v>5.1500000953674316</v>
      </c>
      <c r="H1683" s="6">
        <v>84.243420300143143</v>
      </c>
      <c r="I1683" s="6">
        <v>2.8751600325380933E-2</v>
      </c>
      <c r="J1683" s="6">
        <v>86423000</v>
      </c>
      <c r="K1683" s="6">
        <v>-89.795918367346943</v>
      </c>
      <c r="L1683" t="s">
        <v>6523</v>
      </c>
      <c r="M1683" t="s">
        <v>6524</v>
      </c>
      <c r="N1683" s="4" t="s">
        <v>12080</v>
      </c>
      <c r="O1683" s="4" t="s">
        <v>12081</v>
      </c>
      <c r="P1683" s="4" t="s">
        <v>233</v>
      </c>
    </row>
    <row r="1684" spans="1:16" x14ac:dyDescent="0.35">
      <c r="A1684" t="s">
        <v>12082</v>
      </c>
      <c r="B1684" t="s">
        <v>1415</v>
      </c>
      <c r="C1684" t="s">
        <v>16</v>
      </c>
      <c r="D1684" s="6">
        <v>684322124.07269657</v>
      </c>
      <c r="E1684" s="6">
        <v>600942023.07269657</v>
      </c>
      <c r="F1684" s="6">
        <v>15.050000190734863</v>
      </c>
      <c r="G1684" s="6">
        <v>13.25</v>
      </c>
      <c r="H1684" s="6" t="e">
        <v>#N/A</v>
      </c>
      <c r="I1684" s="6">
        <v>2.7582727869994752</v>
      </c>
      <c r="J1684" s="6">
        <v>23228046</v>
      </c>
      <c r="K1684" s="6">
        <v>8.6206896551724199</v>
      </c>
      <c r="L1684" t="s">
        <v>17</v>
      </c>
      <c r="M1684" t="s">
        <v>18</v>
      </c>
      <c r="N1684" s="4" t="s">
        <v>1416</v>
      </c>
      <c r="O1684" s="4" t="s">
        <v>1417</v>
      </c>
      <c r="P1684" s="4" t="s">
        <v>233</v>
      </c>
    </row>
    <row r="1685" spans="1:16" x14ac:dyDescent="0.35">
      <c r="A1685" t="s">
        <v>12083</v>
      </c>
      <c r="B1685" t="s">
        <v>12084</v>
      </c>
      <c r="C1685" t="s">
        <v>16</v>
      </c>
      <c r="D1685" s="6">
        <v>6597998721.1373138</v>
      </c>
      <c r="E1685" s="6">
        <v>6049788721.1373138</v>
      </c>
      <c r="F1685" s="6">
        <v>45.310001373291016</v>
      </c>
      <c r="G1685" s="6">
        <v>44.450000762939453</v>
      </c>
      <c r="H1685" s="6">
        <v>11.545882042749835</v>
      </c>
      <c r="I1685" s="6">
        <v>-0.22624822153215418</v>
      </c>
      <c r="J1685" s="6">
        <v>2771370000</v>
      </c>
      <c r="K1685" s="6">
        <v>123.54939704075069</v>
      </c>
      <c r="L1685" t="s">
        <v>6547</v>
      </c>
      <c r="M1685" t="s">
        <v>6602</v>
      </c>
      <c r="N1685" s="4" t="s">
        <v>12085</v>
      </c>
      <c r="O1685" s="4" t="s">
        <v>12086</v>
      </c>
      <c r="P1685" s="4" t="s">
        <v>233</v>
      </c>
    </row>
    <row r="1686" spans="1:16" x14ac:dyDescent="0.35">
      <c r="A1686" t="s">
        <v>12091</v>
      </c>
      <c r="B1686" t="s">
        <v>4678</v>
      </c>
      <c r="C1686" t="s">
        <v>16</v>
      </c>
      <c r="D1686" s="6">
        <v>262680104.62947252</v>
      </c>
      <c r="E1686" s="6">
        <v>-217507895.37052748</v>
      </c>
      <c r="F1686" s="6">
        <v>3.1099998950958252</v>
      </c>
      <c r="G1686" s="6">
        <v>2.940000057220459</v>
      </c>
      <c r="H1686" s="6" t="e">
        <v>#N/A</v>
      </c>
      <c r="I1686" s="6">
        <v>-0.24820490701723874</v>
      </c>
      <c r="J1686" s="6">
        <v>0</v>
      </c>
      <c r="K1686" s="6">
        <v>-31.012658227848132</v>
      </c>
      <c r="L1686" t="s">
        <v>17</v>
      </c>
      <c r="M1686" t="s">
        <v>87</v>
      </c>
      <c r="N1686" s="4" t="s">
        <v>4679</v>
      </c>
      <c r="O1686" s="4" t="s">
        <v>4680</v>
      </c>
      <c r="P1686" s="4" t="s">
        <v>233</v>
      </c>
    </row>
    <row r="1687" spans="1:16" x14ac:dyDescent="0.35">
      <c r="A1687" t="s">
        <v>12087</v>
      </c>
      <c r="B1687" t="s">
        <v>12088</v>
      </c>
      <c r="C1687" t="s">
        <v>16</v>
      </c>
      <c r="D1687" s="6">
        <v>164952377.84734046</v>
      </c>
      <c r="E1687" s="6">
        <v>3659094377.8473411</v>
      </c>
      <c r="F1687" s="6">
        <v>1.9099999666213989</v>
      </c>
      <c r="G1687" s="6">
        <v>1.8999999761581421</v>
      </c>
      <c r="H1687" s="6">
        <v>6.2229374435827154</v>
      </c>
      <c r="I1687" s="6">
        <v>-0.7273382175162747</v>
      </c>
      <c r="J1687" s="6">
        <v>2397162000</v>
      </c>
      <c r="K1687" s="6">
        <v>60.253291668525783</v>
      </c>
      <c r="L1687" t="s">
        <v>6514</v>
      </c>
      <c r="M1687" t="s">
        <v>6534</v>
      </c>
      <c r="N1687" s="4" t="s">
        <v>12089</v>
      </c>
      <c r="O1687" s="4" t="s">
        <v>12090</v>
      </c>
      <c r="P1687" s="4" t="s">
        <v>233</v>
      </c>
    </row>
    <row r="1688" spans="1:16" x14ac:dyDescent="0.35">
      <c r="A1688" t="s">
        <v>12092</v>
      </c>
      <c r="B1688" t="s">
        <v>244</v>
      </c>
      <c r="C1688" t="s">
        <v>16</v>
      </c>
      <c r="D1688" s="6">
        <v>5421974346.5503836</v>
      </c>
      <c r="E1688" s="6">
        <v>6160458346.5503836</v>
      </c>
      <c r="F1688" s="6">
        <v>31.860000610351563</v>
      </c>
      <c r="G1688" s="6">
        <v>31.409999847412109</v>
      </c>
      <c r="H1688" s="6">
        <v>26.336238043175857</v>
      </c>
      <c r="I1688" s="6">
        <v>-3.7651742989113113E-2</v>
      </c>
      <c r="J1688" s="6">
        <v>4776174000</v>
      </c>
      <c r="K1688" s="6">
        <v>-15.384615384615383</v>
      </c>
      <c r="L1688" t="s">
        <v>17</v>
      </c>
      <c r="M1688" t="s">
        <v>40</v>
      </c>
      <c r="N1688" s="4" t="s">
        <v>245</v>
      </c>
      <c r="O1688" s="4" t="s">
        <v>246</v>
      </c>
      <c r="P1688" s="4" t="s">
        <v>233</v>
      </c>
    </row>
    <row r="1689" spans="1:16" x14ac:dyDescent="0.35">
      <c r="A1689" t="s">
        <v>12093</v>
      </c>
      <c r="B1689" t="s">
        <v>12094</v>
      </c>
      <c r="C1689" t="s">
        <v>16</v>
      </c>
      <c r="D1689" s="6">
        <v>1260677301.4085693</v>
      </c>
      <c r="E1689" s="6">
        <v>941038301.40856934</v>
      </c>
      <c r="F1689" s="6">
        <v>119.63999938964844</v>
      </c>
      <c r="G1689" s="6">
        <v>118.93000030517578</v>
      </c>
      <c r="H1689" s="6">
        <v>15.955048396533424</v>
      </c>
      <c r="I1689" s="6">
        <v>0.27838747734768887</v>
      </c>
      <c r="J1689" s="6">
        <v>750846000</v>
      </c>
      <c r="K1689" s="6">
        <v>204.91771255060732</v>
      </c>
      <c r="L1689" t="s">
        <v>6529</v>
      </c>
      <c r="M1689" t="s">
        <v>6664</v>
      </c>
      <c r="N1689" s="4" t="s">
        <v>12095</v>
      </c>
      <c r="O1689" s="4" t="s">
        <v>12096</v>
      </c>
      <c r="P1689" s="4" t="s">
        <v>233</v>
      </c>
    </row>
    <row r="1690" spans="1:16" x14ac:dyDescent="0.35">
      <c r="A1690" t="s">
        <v>12097</v>
      </c>
      <c r="B1690" t="s">
        <v>12098</v>
      </c>
      <c r="C1690" t="s">
        <v>16</v>
      </c>
      <c r="D1690" s="6">
        <v>319974555.87758183</v>
      </c>
      <c r="E1690" s="6">
        <v>749248555.87758183</v>
      </c>
      <c r="F1690" s="6">
        <v>2.4500000476837158</v>
      </c>
      <c r="G1690" s="6">
        <v>2.4500000476837158</v>
      </c>
      <c r="H1690" s="6" t="e">
        <v>#N/A</v>
      </c>
      <c r="I1690" s="6">
        <v>6.5033550073162028E-2</v>
      </c>
      <c r="J1690" s="6">
        <v>605882000</v>
      </c>
      <c r="K1690" s="6">
        <v>78.683385579937294</v>
      </c>
      <c r="L1690" t="s">
        <v>6540</v>
      </c>
      <c r="M1690" t="s">
        <v>6797</v>
      </c>
      <c r="N1690" s="4" t="s">
        <v>12099</v>
      </c>
      <c r="O1690" s="4" t="s">
        <v>12100</v>
      </c>
      <c r="P1690" s="4" t="s">
        <v>233</v>
      </c>
    </row>
    <row r="1691" spans="1:16" x14ac:dyDescent="0.35">
      <c r="A1691" t="s">
        <v>12101</v>
      </c>
      <c r="B1691" t="s">
        <v>12102</v>
      </c>
      <c r="C1691" t="s">
        <v>16</v>
      </c>
      <c r="D1691" s="6">
        <v>241719482.48108801</v>
      </c>
      <c r="E1691" s="6">
        <v>118516482.48108803</v>
      </c>
      <c r="F1691" s="6">
        <v>1.3400000333786011</v>
      </c>
      <c r="G1691" s="6">
        <v>1.309999942779541</v>
      </c>
      <c r="H1691" s="6" t="e">
        <v>#N/A</v>
      </c>
      <c r="I1691" s="6">
        <v>-0.24236193799215455</v>
      </c>
      <c r="J1691" s="6">
        <v>18025000</v>
      </c>
      <c r="K1691" s="6">
        <v>-85.216692930169529</v>
      </c>
      <c r="L1691" t="s">
        <v>6540</v>
      </c>
      <c r="M1691" t="s">
        <v>6881</v>
      </c>
      <c r="N1691" s="4" t="s">
        <v>12103</v>
      </c>
      <c r="O1691" s="4" t="s">
        <v>12104</v>
      </c>
      <c r="P1691" s="4" t="s">
        <v>233</v>
      </c>
    </row>
    <row r="1692" spans="1:16" x14ac:dyDescent="0.35">
      <c r="A1692" t="s">
        <v>12105</v>
      </c>
      <c r="B1692" t="s">
        <v>2377</v>
      </c>
      <c r="C1692" t="s">
        <v>16</v>
      </c>
      <c r="D1692" s="6">
        <v>1686557811.580116</v>
      </c>
      <c r="E1692" s="6">
        <v>1325172811.580116</v>
      </c>
      <c r="F1692" s="6">
        <v>2.7899999618530273</v>
      </c>
      <c r="G1692" s="6">
        <v>2.7300000190734863</v>
      </c>
      <c r="H1692" s="6" t="e">
        <v>#N/A</v>
      </c>
      <c r="I1692" s="6">
        <v>0.17669052413544617</v>
      </c>
      <c r="J1692" s="6">
        <v>29480000</v>
      </c>
      <c r="K1692" s="6">
        <v>5.8823529411764603</v>
      </c>
      <c r="L1692" t="s">
        <v>17</v>
      </c>
      <c r="M1692" t="s">
        <v>18</v>
      </c>
      <c r="N1692" s="4" t="s">
        <v>2378</v>
      </c>
      <c r="O1692" s="4" t="s">
        <v>2379</v>
      </c>
      <c r="P1692" s="4" t="s">
        <v>233</v>
      </c>
    </row>
    <row r="1693" spans="1:16" x14ac:dyDescent="0.35">
      <c r="A1693" t="s">
        <v>12106</v>
      </c>
      <c r="B1693" t="s">
        <v>5232</v>
      </c>
      <c r="C1693" t="s">
        <v>16</v>
      </c>
      <c r="D1693" s="6">
        <v>5772309741.3753586</v>
      </c>
      <c r="E1693" s="6">
        <v>5052404741.3753586</v>
      </c>
      <c r="F1693" s="6">
        <v>81.239997863769531</v>
      </c>
      <c r="G1693" s="6">
        <v>81.279998779296875</v>
      </c>
      <c r="H1693" s="6" t="e">
        <v>#N/A</v>
      </c>
      <c r="I1693" s="6">
        <v>-2.7573650297687324E-2</v>
      </c>
      <c r="J1693" s="6">
        <v>0</v>
      </c>
      <c r="K1693" s="6">
        <v>-31.515151515151516</v>
      </c>
      <c r="L1693" t="s">
        <v>17</v>
      </c>
      <c r="M1693" t="s">
        <v>18</v>
      </c>
      <c r="N1693" s="4" t="s">
        <v>5233</v>
      </c>
      <c r="O1693" s="4" t="s">
        <v>5234</v>
      </c>
      <c r="P1693" s="4" t="s">
        <v>233</v>
      </c>
    </row>
    <row r="1694" spans="1:16" x14ac:dyDescent="0.35">
      <c r="A1694" t="s">
        <v>12111</v>
      </c>
      <c r="B1694" t="s">
        <v>12112</v>
      </c>
      <c r="C1694" t="s">
        <v>16</v>
      </c>
      <c r="D1694" s="6">
        <v>287940608.67672729</v>
      </c>
      <c r="E1694" s="6" t="e">
        <v>#N/A</v>
      </c>
      <c r="F1694" s="6">
        <v>25.819999694824219</v>
      </c>
      <c r="G1694" s="6">
        <v>25.680000305175781</v>
      </c>
      <c r="H1694" s="6">
        <v>10.62551427770544</v>
      </c>
      <c r="I1694" s="6">
        <v>9.7298984769717878E-2</v>
      </c>
      <c r="J1694" s="6">
        <v>165187000</v>
      </c>
      <c r="K1694" s="6">
        <v>-8.5820895522388057</v>
      </c>
      <c r="L1694" t="s">
        <v>6529</v>
      </c>
      <c r="M1694" t="s">
        <v>6530</v>
      </c>
      <c r="N1694" s="4" t="s">
        <v>12113</v>
      </c>
      <c r="O1694" s="4" t="s">
        <v>12114</v>
      </c>
      <c r="P1694" s="4" t="s">
        <v>233</v>
      </c>
    </row>
    <row r="1695" spans="1:16" x14ac:dyDescent="0.35">
      <c r="A1695" t="s">
        <v>12107</v>
      </c>
      <c r="B1695" t="s">
        <v>12108</v>
      </c>
      <c r="C1695" t="s">
        <v>16</v>
      </c>
      <c r="D1695" s="6">
        <v>1549038873.1187727</v>
      </c>
      <c r="E1695" s="6" t="e">
        <v>#N/A</v>
      </c>
      <c r="F1695" s="6">
        <v>20.989999771118164</v>
      </c>
      <c r="G1695" s="6">
        <v>20.409999847412109</v>
      </c>
      <c r="H1695" s="6">
        <v>30.841023662100749</v>
      </c>
      <c r="I1695" s="6">
        <v>0.61601122554148802</v>
      </c>
      <c r="J1695" s="6">
        <v>261696000.00000003</v>
      </c>
      <c r="K1695" s="6">
        <v>25.925925925925927</v>
      </c>
      <c r="L1695" t="s">
        <v>6518</v>
      </c>
      <c r="M1695" t="s">
        <v>6519</v>
      </c>
      <c r="N1695" s="4" t="s">
        <v>12109</v>
      </c>
      <c r="O1695" s="4" t="s">
        <v>12110</v>
      </c>
      <c r="P1695" s="4" t="s">
        <v>233</v>
      </c>
    </row>
    <row r="1696" spans="1:16" x14ac:dyDescent="0.35">
      <c r="A1696" t="s">
        <v>12115</v>
      </c>
      <c r="B1696" t="s">
        <v>12116</v>
      </c>
      <c r="C1696" t="s">
        <v>16</v>
      </c>
      <c r="D1696" s="6">
        <v>759483166.68121338</v>
      </c>
      <c r="E1696" s="6">
        <v>1769964166.6812134</v>
      </c>
      <c r="F1696" s="6">
        <v>24.340000152587891</v>
      </c>
      <c r="G1696" s="6">
        <v>23.120000839233398</v>
      </c>
      <c r="H1696" s="6">
        <v>6.449411114340557</v>
      </c>
      <c r="I1696" s="6">
        <v>-0.22207753444967848</v>
      </c>
      <c r="J1696" s="6">
        <v>2412332000</v>
      </c>
      <c r="K1696" s="6">
        <v>-22.265625000000004</v>
      </c>
      <c r="L1696" t="s">
        <v>6540</v>
      </c>
      <c r="M1696" t="s">
        <v>6797</v>
      </c>
      <c r="N1696" s="4" t="s">
        <v>12117</v>
      </c>
      <c r="O1696" s="4" t="s">
        <v>12118</v>
      </c>
      <c r="P1696" s="4" t="s">
        <v>233</v>
      </c>
    </row>
    <row r="1697" spans="1:16" x14ac:dyDescent="0.35">
      <c r="A1697" t="s">
        <v>13391</v>
      </c>
      <c r="B1697" t="s">
        <v>12123</v>
      </c>
      <c r="C1697" t="s">
        <v>16</v>
      </c>
      <c r="D1697" s="6">
        <v>348777857.36123842</v>
      </c>
      <c r="E1697" s="6">
        <v>448749857.36123842</v>
      </c>
      <c r="F1697" s="6">
        <v>17.370000839233398</v>
      </c>
      <c r="G1697" s="6">
        <v>17.420000076293945</v>
      </c>
      <c r="H1697" s="6">
        <v>23.011835580288249</v>
      </c>
      <c r="I1697" s="6">
        <v>0.34750101861236504</v>
      </c>
      <c r="J1697" s="6">
        <v>326227000</v>
      </c>
      <c r="K1697" s="6" t="e">
        <v>#N/A</v>
      </c>
      <c r="L1697" t="s">
        <v>6518</v>
      </c>
      <c r="M1697" t="s">
        <v>9005</v>
      </c>
      <c r="N1697" s="4" t="s">
        <v>12124</v>
      </c>
      <c r="O1697" s="4" t="s">
        <v>12125</v>
      </c>
      <c r="P1697" s="4" t="s">
        <v>233</v>
      </c>
    </row>
    <row r="1698" spans="1:16" x14ac:dyDescent="0.35">
      <c r="A1698" t="s">
        <v>12119</v>
      </c>
      <c r="B1698" t="s">
        <v>12120</v>
      </c>
      <c r="C1698" t="s">
        <v>16</v>
      </c>
      <c r="D1698" s="6">
        <v>2775373953.1495514</v>
      </c>
      <c r="E1698" s="6">
        <v>3288995953.1495514</v>
      </c>
      <c r="F1698" s="6">
        <v>17.139999389648438</v>
      </c>
      <c r="G1698" s="6">
        <v>17.5</v>
      </c>
      <c r="H1698" s="6">
        <v>10.60947498549921</v>
      </c>
      <c r="I1698" s="6">
        <v>-0.11547012043972393</v>
      </c>
      <c r="J1698" s="6">
        <v>4315161000</v>
      </c>
      <c r="K1698" s="6">
        <v>-41.049382716049386</v>
      </c>
      <c r="L1698" t="s">
        <v>6523</v>
      </c>
      <c r="M1698" t="s">
        <v>6588</v>
      </c>
      <c r="N1698" s="4" t="s">
        <v>12121</v>
      </c>
      <c r="O1698" s="4" t="s">
        <v>12122</v>
      </c>
      <c r="P1698" s="4" t="s">
        <v>233</v>
      </c>
    </row>
    <row r="1699" spans="1:16" x14ac:dyDescent="0.35">
      <c r="A1699" t="s">
        <v>12126</v>
      </c>
      <c r="B1699" t="s">
        <v>12127</v>
      </c>
      <c r="C1699" t="s">
        <v>16</v>
      </c>
      <c r="D1699" s="6">
        <v>1467500394.4713898</v>
      </c>
      <c r="E1699" s="6">
        <v>1878700394.4713898</v>
      </c>
      <c r="F1699" s="6">
        <v>30.610000610351563</v>
      </c>
      <c r="G1699" s="6">
        <v>30.549999237060547</v>
      </c>
      <c r="H1699" s="6">
        <v>12.077090029102418</v>
      </c>
      <c r="I1699" s="6">
        <v>0.31164979118240987</v>
      </c>
      <c r="J1699" s="6">
        <v>4275700000</v>
      </c>
      <c r="K1699" s="6">
        <v>-85.957446808510653</v>
      </c>
      <c r="L1699" t="s">
        <v>6735</v>
      </c>
      <c r="M1699" t="s">
        <v>6747</v>
      </c>
      <c r="N1699" s="4" t="s">
        <v>233</v>
      </c>
      <c r="O1699" s="4" t="s">
        <v>12128</v>
      </c>
      <c r="P1699" s="4" t="s">
        <v>13271</v>
      </c>
    </row>
    <row r="1700" spans="1:16" x14ac:dyDescent="0.35">
      <c r="A1700" t="s">
        <v>12133</v>
      </c>
      <c r="B1700" t="s">
        <v>104</v>
      </c>
      <c r="C1700" t="s">
        <v>16</v>
      </c>
      <c r="D1700" s="6">
        <v>266667870.97795141</v>
      </c>
      <c r="E1700" s="6">
        <v>374023870.97795141</v>
      </c>
      <c r="F1700" s="6">
        <v>1.6599999666213989</v>
      </c>
      <c r="G1700" s="6">
        <v>1.6299999952316284</v>
      </c>
      <c r="H1700" s="6" t="e">
        <v>#N/A</v>
      </c>
      <c r="I1700" s="6">
        <v>-0.36802723495982836</v>
      </c>
      <c r="J1700" s="6">
        <v>137737000</v>
      </c>
      <c r="K1700" s="6">
        <v>81.25</v>
      </c>
      <c r="L1700" t="s">
        <v>17</v>
      </c>
      <c r="M1700" t="s">
        <v>18</v>
      </c>
      <c r="N1700" s="4" t="s">
        <v>105</v>
      </c>
      <c r="O1700" s="4" t="s">
        <v>106</v>
      </c>
      <c r="P1700" s="4" t="s">
        <v>233</v>
      </c>
    </row>
    <row r="1701" spans="1:16" x14ac:dyDescent="0.35">
      <c r="A1701" t="s">
        <v>12129</v>
      </c>
      <c r="B1701" t="s">
        <v>12130</v>
      </c>
      <c r="C1701" t="s">
        <v>16</v>
      </c>
      <c r="D1701" s="6">
        <v>3399527561.2363753</v>
      </c>
      <c r="E1701" s="6">
        <v>3753494561.2363753</v>
      </c>
      <c r="F1701" s="6">
        <v>19.690000534057617</v>
      </c>
      <c r="G1701" s="6">
        <v>19.530000686645508</v>
      </c>
      <c r="H1701" s="6">
        <v>49.873986585589016</v>
      </c>
      <c r="I1701" s="6">
        <v>0.1564137826167058</v>
      </c>
      <c r="J1701" s="6">
        <v>763761000</v>
      </c>
      <c r="K1701" s="6">
        <v>-39.534883720930232</v>
      </c>
      <c r="L1701" t="s">
        <v>6547</v>
      </c>
      <c r="M1701" t="s">
        <v>6548</v>
      </c>
      <c r="N1701" s="4" t="s">
        <v>12131</v>
      </c>
      <c r="O1701" s="4" t="s">
        <v>12132</v>
      </c>
      <c r="P1701" s="4" t="s">
        <v>233</v>
      </c>
    </row>
    <row r="1702" spans="1:16" x14ac:dyDescent="0.35">
      <c r="A1702" t="s">
        <v>12134</v>
      </c>
      <c r="B1702" t="s">
        <v>12135</v>
      </c>
      <c r="C1702" t="s">
        <v>16</v>
      </c>
      <c r="D1702" s="6">
        <v>2337777907.9667253</v>
      </c>
      <c r="E1702" s="6">
        <v>1912292907.9667253</v>
      </c>
      <c r="F1702" s="6">
        <v>9.1899995803833008</v>
      </c>
      <c r="G1702" s="6">
        <v>8.9499998092651367</v>
      </c>
      <c r="H1702" s="6">
        <v>57.43749737739563</v>
      </c>
      <c r="I1702" s="6">
        <v>-0.28082070777004808</v>
      </c>
      <c r="J1702" s="6">
        <v>788062000</v>
      </c>
      <c r="K1702" s="6">
        <v>58.199871578927763</v>
      </c>
      <c r="L1702" t="s">
        <v>6518</v>
      </c>
      <c r="M1702" t="s">
        <v>6519</v>
      </c>
      <c r="N1702" s="4" t="s">
        <v>12136</v>
      </c>
      <c r="O1702" s="4" t="s">
        <v>12137</v>
      </c>
      <c r="P1702" s="4" t="s">
        <v>233</v>
      </c>
    </row>
    <row r="1703" spans="1:16" x14ac:dyDescent="0.35">
      <c r="A1703" t="s">
        <v>12138</v>
      </c>
      <c r="B1703" t="s">
        <v>12139</v>
      </c>
      <c r="C1703" t="s">
        <v>16</v>
      </c>
      <c r="D1703" s="6">
        <v>5012886858.5708008</v>
      </c>
      <c r="E1703" s="6">
        <v>5573586858.5708008</v>
      </c>
      <c r="F1703" s="6">
        <v>178.1300048828125</v>
      </c>
      <c r="G1703" s="6">
        <v>177.80000305175781</v>
      </c>
      <c r="H1703" s="6">
        <v>19.575816463929641</v>
      </c>
      <c r="I1703" s="6">
        <v>-0.14854539025378499</v>
      </c>
      <c r="J1703" s="6">
        <v>2911800000</v>
      </c>
      <c r="K1703" s="6">
        <v>2.9579067121729419</v>
      </c>
      <c r="L1703" t="s">
        <v>6540</v>
      </c>
      <c r="M1703" t="s">
        <v>6797</v>
      </c>
      <c r="N1703" s="4" t="s">
        <v>12140</v>
      </c>
      <c r="O1703" s="4" t="s">
        <v>12141</v>
      </c>
      <c r="P1703" s="4" t="s">
        <v>233</v>
      </c>
    </row>
    <row r="1704" spans="1:16" x14ac:dyDescent="0.35">
      <c r="A1704" t="s">
        <v>12142</v>
      </c>
      <c r="B1704" t="s">
        <v>12143</v>
      </c>
      <c r="C1704" t="s">
        <v>16</v>
      </c>
      <c r="D1704" s="6">
        <v>1279845444.1679075</v>
      </c>
      <c r="E1704" s="6">
        <v>3329509444.1679077</v>
      </c>
      <c r="F1704" s="6">
        <v>193.80999755859375</v>
      </c>
      <c r="G1704" s="6">
        <v>192.97999572753906</v>
      </c>
      <c r="H1704" s="6">
        <v>19.871933895555689</v>
      </c>
      <c r="I1704" s="6">
        <v>2.9047569607844856</v>
      </c>
      <c r="J1704" s="6">
        <v>530705000</v>
      </c>
      <c r="K1704" s="6">
        <v>108.0664949928469</v>
      </c>
      <c r="L1704" t="s">
        <v>6547</v>
      </c>
      <c r="M1704" t="s">
        <v>6875</v>
      </c>
      <c r="N1704" s="4" t="s">
        <v>12144</v>
      </c>
      <c r="O1704" s="4" t="s">
        <v>12145</v>
      </c>
      <c r="P1704" s="4" t="s">
        <v>233</v>
      </c>
    </row>
    <row r="1705" spans="1:16" x14ac:dyDescent="0.35">
      <c r="A1705" t="s">
        <v>12146</v>
      </c>
      <c r="B1705" t="s">
        <v>12147</v>
      </c>
      <c r="C1705" t="s">
        <v>16</v>
      </c>
      <c r="D1705" s="6">
        <v>621102631.58569336</v>
      </c>
      <c r="E1705" s="6">
        <v>1187519631.5856934</v>
      </c>
      <c r="F1705" s="6">
        <v>40.799999237060547</v>
      </c>
      <c r="G1705" s="6">
        <v>40.779998779296875</v>
      </c>
      <c r="H1705" s="6">
        <v>14.001699160124721</v>
      </c>
      <c r="I1705" s="6">
        <v>0.63309077872760056</v>
      </c>
      <c r="J1705" s="6">
        <v>405332000</v>
      </c>
      <c r="K1705" s="6">
        <v>14.42786069651739</v>
      </c>
      <c r="L1705" t="s">
        <v>6540</v>
      </c>
      <c r="M1705" t="s">
        <v>6838</v>
      </c>
      <c r="N1705" s="4" t="s">
        <v>12148</v>
      </c>
      <c r="O1705" s="4" t="s">
        <v>12149</v>
      </c>
      <c r="P1705" s="4" t="s">
        <v>233</v>
      </c>
    </row>
    <row r="1706" spans="1:16" x14ac:dyDescent="0.35">
      <c r="A1706" t="s">
        <v>12154</v>
      </c>
      <c r="B1706" t="s">
        <v>12155</v>
      </c>
      <c r="C1706" t="s">
        <v>16</v>
      </c>
      <c r="D1706" s="6">
        <v>302245087.35563993</v>
      </c>
      <c r="E1706" s="6">
        <v>272854087.35563993</v>
      </c>
      <c r="F1706" s="6">
        <v>1.3799999952316284</v>
      </c>
      <c r="G1706" s="6">
        <v>1.3799999952316284</v>
      </c>
      <c r="H1706" s="6" t="e">
        <v>#N/A</v>
      </c>
      <c r="I1706" s="6">
        <v>-0.46626415324996529</v>
      </c>
      <c r="J1706" s="6">
        <v>8147000</v>
      </c>
      <c r="K1706" s="6">
        <v>4.6511627906976658</v>
      </c>
      <c r="L1706" t="s">
        <v>6518</v>
      </c>
      <c r="M1706" t="s">
        <v>6714</v>
      </c>
      <c r="N1706" s="4" t="s">
        <v>12156</v>
      </c>
      <c r="O1706" s="4" t="s">
        <v>12157</v>
      </c>
      <c r="P1706" s="4" t="s">
        <v>233</v>
      </c>
    </row>
    <row r="1707" spans="1:16" x14ac:dyDescent="0.35">
      <c r="A1707" t="s">
        <v>12150</v>
      </c>
      <c r="B1707" t="s">
        <v>12151</v>
      </c>
      <c r="C1707" t="s">
        <v>16</v>
      </c>
      <c r="D1707" s="6">
        <v>321554451.20352173</v>
      </c>
      <c r="E1707" s="6" t="e">
        <v>#N/A</v>
      </c>
      <c r="F1707" s="6">
        <v>32.529998779296875</v>
      </c>
      <c r="G1707" s="6">
        <v>32.729999542236328</v>
      </c>
      <c r="H1707" s="6">
        <v>8.8637598853669957</v>
      </c>
      <c r="I1707" s="6">
        <v>0.29109516512190758</v>
      </c>
      <c r="J1707" s="6">
        <v>177171000</v>
      </c>
      <c r="K1707" s="6">
        <v>2.4793388429752148</v>
      </c>
      <c r="L1707" t="s">
        <v>6529</v>
      </c>
      <c r="M1707" t="s">
        <v>6530</v>
      </c>
      <c r="N1707" s="4" t="s">
        <v>12152</v>
      </c>
      <c r="O1707" s="4" t="s">
        <v>12153</v>
      </c>
      <c r="P1707" s="4" t="s">
        <v>233</v>
      </c>
    </row>
    <row r="1708" spans="1:16" x14ac:dyDescent="0.35">
      <c r="A1708" t="s">
        <v>12158</v>
      </c>
      <c r="B1708" t="s">
        <v>12159</v>
      </c>
      <c r="C1708" t="s">
        <v>16</v>
      </c>
      <c r="D1708" s="6">
        <v>263254800.82160476</v>
      </c>
      <c r="E1708" s="6">
        <v>4871130800.8216047</v>
      </c>
      <c r="F1708" s="6">
        <v>3.9800000190734863</v>
      </c>
      <c r="G1708" s="6">
        <v>3.9600000381469727</v>
      </c>
      <c r="H1708" s="6" t="e">
        <v>#N/A</v>
      </c>
      <c r="I1708" s="6">
        <v>-2.4362761643131559E-2</v>
      </c>
      <c r="J1708" s="6">
        <v>440696000</v>
      </c>
      <c r="K1708" s="6">
        <v>11.734404724517482</v>
      </c>
      <c r="L1708" t="s">
        <v>6623</v>
      </c>
      <c r="M1708" t="s">
        <v>7444</v>
      </c>
      <c r="N1708" s="4" t="s">
        <v>12160</v>
      </c>
      <c r="O1708" s="4" t="s">
        <v>12161</v>
      </c>
      <c r="P1708" s="4" t="s">
        <v>233</v>
      </c>
    </row>
    <row r="1709" spans="1:16" x14ac:dyDescent="0.35">
      <c r="A1709" t="s">
        <v>12162</v>
      </c>
      <c r="B1709" t="s">
        <v>12163</v>
      </c>
      <c r="C1709" t="s">
        <v>16</v>
      </c>
      <c r="D1709" s="6">
        <v>2637411179.3296809</v>
      </c>
      <c r="E1709" s="6">
        <v>2918611179.3296809</v>
      </c>
      <c r="F1709" s="6">
        <v>59.270000457763672</v>
      </c>
      <c r="G1709" s="6">
        <v>58.229999542236328</v>
      </c>
      <c r="H1709" s="6">
        <v>7.6974026568524243</v>
      </c>
      <c r="I1709" s="6">
        <v>7.5660885012134527E-2</v>
      </c>
      <c r="J1709" s="6">
        <v>1982011000</v>
      </c>
      <c r="K1709" s="6">
        <v>34.196891191709859</v>
      </c>
      <c r="L1709" t="s">
        <v>6540</v>
      </c>
      <c r="M1709" t="s">
        <v>6797</v>
      </c>
      <c r="N1709" s="4" t="s">
        <v>12164</v>
      </c>
      <c r="O1709" s="4" t="s">
        <v>12165</v>
      </c>
      <c r="P1709" s="4" t="s">
        <v>233</v>
      </c>
    </row>
    <row r="1710" spans="1:16" x14ac:dyDescent="0.35">
      <c r="A1710" t="s">
        <v>12166</v>
      </c>
      <c r="B1710" t="s">
        <v>12167</v>
      </c>
      <c r="C1710" t="s">
        <v>16</v>
      </c>
      <c r="D1710" s="6">
        <v>519251156.20842463</v>
      </c>
      <c r="E1710" s="6">
        <v>880475501.20842457</v>
      </c>
      <c r="F1710" s="6">
        <v>7.9600000381469727</v>
      </c>
      <c r="G1710" s="6">
        <v>7.9499998092651367</v>
      </c>
      <c r="H1710" s="6">
        <v>43.914818703227255</v>
      </c>
      <c r="I1710" s="6">
        <v>0.17872811698810098</v>
      </c>
      <c r="J1710" s="6">
        <v>156433583</v>
      </c>
      <c r="K1710" s="6" t="e">
        <v>#N/A</v>
      </c>
      <c r="L1710" t="s">
        <v>6514</v>
      </c>
      <c r="M1710" t="s">
        <v>6690</v>
      </c>
      <c r="N1710" s="4" t="s">
        <v>12168</v>
      </c>
      <c r="O1710" s="4" t="s">
        <v>12169</v>
      </c>
      <c r="P1710" s="4" t="s">
        <v>233</v>
      </c>
    </row>
    <row r="1711" spans="1:16" x14ac:dyDescent="0.35">
      <c r="A1711" t="s">
        <v>12170</v>
      </c>
      <c r="B1711" t="s">
        <v>489</v>
      </c>
      <c r="C1711" t="s">
        <v>16</v>
      </c>
      <c r="D1711" s="6">
        <v>319430519.11336064</v>
      </c>
      <c r="E1711" s="6">
        <v>342555519.11336064</v>
      </c>
      <c r="F1711" s="6">
        <v>1.7200000286102295</v>
      </c>
      <c r="G1711" s="6">
        <v>1.6499999761581421</v>
      </c>
      <c r="H1711" s="6" t="e">
        <v>#N/A</v>
      </c>
      <c r="I1711" s="6">
        <v>-0.27362566584991954</v>
      </c>
      <c r="J1711" s="6">
        <v>197912000</v>
      </c>
      <c r="K1711" s="6">
        <v>60.714285714285722</v>
      </c>
      <c r="L1711" t="s">
        <v>17</v>
      </c>
      <c r="M1711" t="s">
        <v>27</v>
      </c>
      <c r="N1711" s="4" t="s">
        <v>490</v>
      </c>
      <c r="O1711" s="4" t="s">
        <v>491</v>
      </c>
      <c r="P1711" s="4" t="s">
        <v>233</v>
      </c>
    </row>
    <row r="1712" spans="1:16" x14ac:dyDescent="0.35">
      <c r="A1712" t="s">
        <v>12171</v>
      </c>
      <c r="B1712" t="s">
        <v>12172</v>
      </c>
      <c r="C1712" t="s">
        <v>16</v>
      </c>
      <c r="D1712" s="6">
        <v>2171917607.4594836</v>
      </c>
      <c r="E1712" s="6">
        <v>1424521607.4594836</v>
      </c>
      <c r="F1712" s="6">
        <v>18.799999237060547</v>
      </c>
      <c r="G1712" s="6">
        <v>19</v>
      </c>
      <c r="H1712" s="6">
        <v>87.682882887661194</v>
      </c>
      <c r="I1712" s="6">
        <v>0.2542280048674519</v>
      </c>
      <c r="J1712" s="6">
        <v>2254593000</v>
      </c>
      <c r="K1712" s="6" t="e">
        <v>#N/A</v>
      </c>
      <c r="L1712" t="s">
        <v>6529</v>
      </c>
      <c r="M1712" t="s">
        <v>6664</v>
      </c>
      <c r="N1712" s="4" t="s">
        <v>233</v>
      </c>
      <c r="O1712" s="4" t="s">
        <v>12173</v>
      </c>
      <c r="P1712" s="4" t="s">
        <v>13272</v>
      </c>
    </row>
    <row r="1713" spans="1:16" x14ac:dyDescent="0.35">
      <c r="A1713" t="s">
        <v>12175</v>
      </c>
      <c r="B1713" t="s">
        <v>12176</v>
      </c>
      <c r="C1713" t="s">
        <v>16</v>
      </c>
      <c r="D1713" s="6">
        <v>1821627849.7814941</v>
      </c>
      <c r="E1713" s="6">
        <v>1602348849.7814941</v>
      </c>
      <c r="F1713" s="6">
        <v>68.44000244140625</v>
      </c>
      <c r="G1713" s="6">
        <v>68.010002136230469</v>
      </c>
      <c r="H1713" s="6">
        <v>17.015551537653931</v>
      </c>
      <c r="I1713" s="6">
        <v>-0.10321675802788133</v>
      </c>
      <c r="J1713" s="6">
        <v>2125136000</v>
      </c>
      <c r="K1713" s="6">
        <v>-17.016806722689068</v>
      </c>
      <c r="L1713" t="s">
        <v>6518</v>
      </c>
      <c r="M1713" t="s">
        <v>6714</v>
      </c>
      <c r="N1713" s="4" t="s">
        <v>12177</v>
      </c>
      <c r="O1713" s="4" t="s">
        <v>12178</v>
      </c>
      <c r="P1713" s="4" t="s">
        <v>233</v>
      </c>
    </row>
    <row r="1714" spans="1:16" x14ac:dyDescent="0.35">
      <c r="A1714" t="s">
        <v>12174</v>
      </c>
      <c r="B1714" t="s">
        <v>3645</v>
      </c>
      <c r="C1714" t="s">
        <v>16</v>
      </c>
      <c r="D1714" s="6">
        <v>437607918.35066026</v>
      </c>
      <c r="E1714" s="6">
        <v>306137918.35066032</v>
      </c>
      <c r="F1714" s="6">
        <v>10.369999885559082</v>
      </c>
      <c r="G1714" s="6">
        <v>10.060000419616699</v>
      </c>
      <c r="H1714" s="6" t="e">
        <v>#N/A</v>
      </c>
      <c r="I1714" s="6">
        <v>-0.46178159798788154</v>
      </c>
      <c r="J1714" s="6">
        <v>89363000</v>
      </c>
      <c r="K1714" s="6">
        <v>25.531914893617024</v>
      </c>
      <c r="L1714" t="s">
        <v>17</v>
      </c>
      <c r="M1714" t="s">
        <v>18</v>
      </c>
      <c r="N1714" s="4" t="s">
        <v>233</v>
      </c>
      <c r="O1714" s="4" t="s">
        <v>3646</v>
      </c>
      <c r="P1714" s="4" t="s">
        <v>13084</v>
      </c>
    </row>
    <row r="1715" spans="1:16" x14ac:dyDescent="0.35">
      <c r="A1715" t="s">
        <v>12179</v>
      </c>
      <c r="B1715" t="s">
        <v>12180</v>
      </c>
      <c r="C1715" t="s">
        <v>16</v>
      </c>
      <c r="D1715" s="6">
        <v>1351305101.5657711</v>
      </c>
      <c r="E1715" s="6">
        <v>1139784101.5657711</v>
      </c>
      <c r="F1715" s="6">
        <v>4.5399999618530273</v>
      </c>
      <c r="G1715" s="6">
        <v>4.440000057220459</v>
      </c>
      <c r="H1715" s="6" t="e">
        <v>#N/A</v>
      </c>
      <c r="I1715" s="6">
        <v>-0.31555446271992771</v>
      </c>
      <c r="J1715" s="6">
        <v>0</v>
      </c>
      <c r="K1715" s="6">
        <v>11.369797304623823</v>
      </c>
      <c r="L1715" t="s">
        <v>6547</v>
      </c>
      <c r="M1715" t="s">
        <v>6843</v>
      </c>
      <c r="N1715" s="4" t="s">
        <v>12181</v>
      </c>
      <c r="O1715" s="4" t="s">
        <v>12182</v>
      </c>
      <c r="P1715" s="4" t="s">
        <v>233</v>
      </c>
    </row>
    <row r="1716" spans="1:16" x14ac:dyDescent="0.35">
      <c r="A1716" t="s">
        <v>12183</v>
      </c>
      <c r="B1716" t="s">
        <v>12184</v>
      </c>
      <c r="C1716" t="s">
        <v>16</v>
      </c>
      <c r="D1716" s="6">
        <v>308836976.5</v>
      </c>
      <c r="E1716" s="6">
        <v>12138936976.5</v>
      </c>
      <c r="F1716" s="6">
        <v>39.25</v>
      </c>
      <c r="G1716" s="6">
        <v>39.75</v>
      </c>
      <c r="H1716" s="6">
        <v>7.2861631770121837</v>
      </c>
      <c r="I1716" s="6">
        <v>0.36169496405677459</v>
      </c>
      <c r="J1716" s="6">
        <v>1110600000</v>
      </c>
      <c r="K1716" s="6" t="e">
        <v>#N/A</v>
      </c>
      <c r="L1716" t="s">
        <v>6529</v>
      </c>
      <c r="M1716" t="s">
        <v>6639</v>
      </c>
      <c r="N1716" s="4" t="s">
        <v>12185</v>
      </c>
      <c r="O1716" s="4" t="s">
        <v>12186</v>
      </c>
      <c r="P1716" s="4" t="s">
        <v>233</v>
      </c>
    </row>
    <row r="1717" spans="1:16" x14ac:dyDescent="0.35">
      <c r="A1717" t="s">
        <v>12187</v>
      </c>
      <c r="B1717" t="s">
        <v>12188</v>
      </c>
      <c r="C1717" t="s">
        <v>16</v>
      </c>
      <c r="D1717" s="6">
        <v>314173654.93346214</v>
      </c>
      <c r="E1717" s="6">
        <v>578166654.93346214</v>
      </c>
      <c r="F1717" s="6">
        <v>6.320000171661377</v>
      </c>
      <c r="G1717" s="6">
        <v>6.3499999046325684</v>
      </c>
      <c r="H1717" s="6">
        <v>2.0307426707418759</v>
      </c>
      <c r="I1717" s="6">
        <v>-0.65314477141899752</v>
      </c>
      <c r="J1717" s="6">
        <v>1775172000</v>
      </c>
      <c r="K1717" s="6" t="e">
        <v>#N/A</v>
      </c>
      <c r="L1717" t="s">
        <v>6735</v>
      </c>
      <c r="M1717" t="s">
        <v>7752</v>
      </c>
      <c r="N1717" s="4" t="s">
        <v>12189</v>
      </c>
      <c r="O1717" s="4" t="s">
        <v>12190</v>
      </c>
      <c r="P1717" s="4" t="s">
        <v>233</v>
      </c>
    </row>
    <row r="1718" spans="1:16" x14ac:dyDescent="0.35">
      <c r="A1718" t="s">
        <v>12191</v>
      </c>
      <c r="B1718" t="s">
        <v>12192</v>
      </c>
      <c r="C1718" t="s">
        <v>16</v>
      </c>
      <c r="D1718" s="6">
        <v>1012419231.3389359</v>
      </c>
      <c r="E1718" s="6" t="e">
        <v>#N/A</v>
      </c>
      <c r="F1718" s="6">
        <v>101.12000274658203</v>
      </c>
      <c r="G1718" s="6">
        <v>102.47000122070313</v>
      </c>
      <c r="H1718" s="6">
        <v>15.556923499474159</v>
      </c>
      <c r="I1718" s="6">
        <v>0.19695580779703836</v>
      </c>
      <c r="J1718" s="6">
        <v>226085000</v>
      </c>
      <c r="K1718" s="6">
        <v>-10.714285714285717</v>
      </c>
      <c r="L1718" t="s">
        <v>6529</v>
      </c>
      <c r="M1718" t="s">
        <v>6530</v>
      </c>
      <c r="N1718" s="4" t="s">
        <v>12193</v>
      </c>
      <c r="O1718" s="4" t="s">
        <v>12194</v>
      </c>
      <c r="P1718" s="4" t="s">
        <v>233</v>
      </c>
    </row>
    <row r="1719" spans="1:16" x14ac:dyDescent="0.35">
      <c r="A1719" t="s">
        <v>12195</v>
      </c>
      <c r="B1719" t="s">
        <v>152</v>
      </c>
      <c r="C1719" t="s">
        <v>16</v>
      </c>
      <c r="D1719" s="6">
        <v>1254248490.7988548</v>
      </c>
      <c r="E1719" s="6">
        <v>578025490.79885483</v>
      </c>
      <c r="F1719" s="6">
        <v>7.8299999237060547</v>
      </c>
      <c r="G1719" s="6">
        <v>7.940000057220459</v>
      </c>
      <c r="H1719" s="6" t="e">
        <v>#N/A</v>
      </c>
      <c r="I1719" s="6">
        <v>0.88347710363936449</v>
      </c>
      <c r="J1719" s="6">
        <v>885193000</v>
      </c>
      <c r="K1719" s="6">
        <v>65.714285714285722</v>
      </c>
      <c r="L1719" t="s">
        <v>17</v>
      </c>
      <c r="M1719" t="s">
        <v>18</v>
      </c>
      <c r="N1719" s="4" t="s">
        <v>153</v>
      </c>
      <c r="O1719" s="4" t="s">
        <v>154</v>
      </c>
      <c r="P1719" s="4" t="s">
        <v>233</v>
      </c>
    </row>
    <row r="1720" spans="1:16" x14ac:dyDescent="0.35">
      <c r="A1720" t="s">
        <v>12199</v>
      </c>
      <c r="B1720" t="s">
        <v>12200</v>
      </c>
      <c r="C1720" t="s">
        <v>16</v>
      </c>
      <c r="D1720" s="6">
        <v>228995014.94496346</v>
      </c>
      <c r="E1720" s="6" t="e">
        <v>#N/A</v>
      </c>
      <c r="F1720" s="6">
        <v>25.190000534057617</v>
      </c>
      <c r="G1720" s="6">
        <v>25.719999313354492</v>
      </c>
      <c r="H1720" s="6" t="e">
        <v>#N/A</v>
      </c>
      <c r="I1720" s="6">
        <v>-2.7916340635800729E-2</v>
      </c>
      <c r="J1720" s="6">
        <v>101429000</v>
      </c>
      <c r="K1720" s="6" t="e">
        <v>#N/A</v>
      </c>
      <c r="L1720" t="s">
        <v>6529</v>
      </c>
      <c r="M1720" t="s">
        <v>6530</v>
      </c>
      <c r="N1720" s="4" t="s">
        <v>12201</v>
      </c>
      <c r="O1720" s="4" t="s">
        <v>12202</v>
      </c>
      <c r="P1720" s="4" t="s">
        <v>233</v>
      </c>
    </row>
    <row r="1721" spans="1:16" x14ac:dyDescent="0.35">
      <c r="A1721" t="s">
        <v>12203</v>
      </c>
      <c r="B1721" t="s">
        <v>12204</v>
      </c>
      <c r="C1721" t="s">
        <v>16</v>
      </c>
      <c r="D1721" s="6">
        <v>1874239381.1165979</v>
      </c>
      <c r="E1721" s="6">
        <v>1655806381.1165979</v>
      </c>
      <c r="F1721" s="6">
        <v>22.719999313354492</v>
      </c>
      <c r="G1721" s="6">
        <v>23.139999389648438</v>
      </c>
      <c r="H1721" s="6">
        <v>266.5196348652093</v>
      </c>
      <c r="I1721" s="6">
        <v>0.60357760968950713</v>
      </c>
      <c r="J1721" s="6">
        <v>328358000</v>
      </c>
      <c r="K1721" s="6" t="e">
        <v>#N/A</v>
      </c>
      <c r="L1721" t="s">
        <v>6518</v>
      </c>
      <c r="M1721" t="s">
        <v>6789</v>
      </c>
      <c r="N1721" s="4" t="s">
        <v>12205</v>
      </c>
      <c r="O1721" s="4" t="s">
        <v>12206</v>
      </c>
      <c r="P1721" s="4" t="s">
        <v>233</v>
      </c>
    </row>
    <row r="1722" spans="1:16" x14ac:dyDescent="0.35">
      <c r="A1722" t="s">
        <v>12207</v>
      </c>
      <c r="B1722" t="s">
        <v>12208</v>
      </c>
      <c r="C1722" t="s">
        <v>16</v>
      </c>
      <c r="D1722" s="6">
        <v>153369696.65497324</v>
      </c>
      <c r="E1722" s="6">
        <v>1767464696.6549733</v>
      </c>
      <c r="F1722" s="6">
        <v>3.0699999332427979</v>
      </c>
      <c r="G1722" s="6">
        <v>3.0199999809265137</v>
      </c>
      <c r="H1722" s="6" t="e">
        <v>#N/A</v>
      </c>
      <c r="I1722" s="6">
        <v>-0.37127841398498096</v>
      </c>
      <c r="J1722" s="6">
        <v>215536000</v>
      </c>
      <c r="K1722" s="6">
        <v>-183.82352941176475</v>
      </c>
      <c r="L1722" t="s">
        <v>6529</v>
      </c>
      <c r="M1722" t="s">
        <v>8169</v>
      </c>
      <c r="N1722" s="4" t="s">
        <v>12209</v>
      </c>
      <c r="O1722" s="4" t="s">
        <v>12210</v>
      </c>
      <c r="P1722" s="4" t="s">
        <v>233</v>
      </c>
    </row>
    <row r="1723" spans="1:16" x14ac:dyDescent="0.35">
      <c r="A1723" t="s">
        <v>12211</v>
      </c>
      <c r="B1723" t="s">
        <v>12212</v>
      </c>
      <c r="C1723" t="s">
        <v>16</v>
      </c>
      <c r="D1723" s="6">
        <v>278326081.63046271</v>
      </c>
      <c r="E1723" s="6" t="e">
        <v>#N/A</v>
      </c>
      <c r="F1723" s="6">
        <v>32.110000610351563</v>
      </c>
      <c r="G1723" s="6">
        <v>32.479999542236328</v>
      </c>
      <c r="H1723" s="6">
        <v>11.149305767483181</v>
      </c>
      <c r="I1723" s="6">
        <v>7.3567526484834556E-3</v>
      </c>
      <c r="J1723" s="6">
        <v>339232000</v>
      </c>
      <c r="K1723" s="6">
        <v>206.31578947368425</v>
      </c>
      <c r="L1723" t="s">
        <v>6529</v>
      </c>
      <c r="M1723" t="s">
        <v>6530</v>
      </c>
      <c r="N1723" s="4" t="s">
        <v>12213</v>
      </c>
      <c r="O1723" s="4" t="s">
        <v>12214</v>
      </c>
      <c r="P1723" s="4" t="s">
        <v>233</v>
      </c>
    </row>
    <row r="1724" spans="1:16" x14ac:dyDescent="0.35">
      <c r="A1724" t="s">
        <v>12215</v>
      </c>
      <c r="B1724" t="s">
        <v>12216</v>
      </c>
      <c r="C1724" t="s">
        <v>16</v>
      </c>
      <c r="D1724" s="6">
        <v>759527489.66348648</v>
      </c>
      <c r="E1724" s="6">
        <v>812227489.66348648</v>
      </c>
      <c r="F1724" s="6">
        <v>33.310001373291016</v>
      </c>
      <c r="G1724" s="6">
        <v>33.189998626708984</v>
      </c>
      <c r="H1724" s="6">
        <v>17.162000505581393</v>
      </c>
      <c r="I1724" s="6">
        <v>-6.9128714231070032E-2</v>
      </c>
      <c r="J1724" s="6">
        <v>1283300000</v>
      </c>
      <c r="K1724" s="6" t="e">
        <v>#N/A</v>
      </c>
      <c r="L1724" t="s">
        <v>6547</v>
      </c>
      <c r="M1724" t="s">
        <v>6668</v>
      </c>
      <c r="N1724" s="4" t="s">
        <v>12217</v>
      </c>
      <c r="O1724" s="4" t="s">
        <v>12218</v>
      </c>
      <c r="P1724" s="4" t="s">
        <v>233</v>
      </c>
    </row>
    <row r="1725" spans="1:16" x14ac:dyDescent="0.35">
      <c r="A1725" t="s">
        <v>12223</v>
      </c>
      <c r="B1725" t="s">
        <v>1298</v>
      </c>
      <c r="C1725" t="s">
        <v>16</v>
      </c>
      <c r="D1725" s="6">
        <v>257908954.49896237</v>
      </c>
      <c r="E1725" s="6">
        <v>223074954.49896237</v>
      </c>
      <c r="F1725" s="6">
        <v>17.610000610351563</v>
      </c>
      <c r="G1725" s="6">
        <v>17.520000457763672</v>
      </c>
      <c r="H1725" s="6" t="e">
        <v>#N/A</v>
      </c>
      <c r="I1725" s="6">
        <v>-0.26593408290662457</v>
      </c>
      <c r="J1725" s="6">
        <v>164168000</v>
      </c>
      <c r="K1725" s="6">
        <v>-293.49112426035492</v>
      </c>
      <c r="L1725" t="s">
        <v>17</v>
      </c>
      <c r="M1725" t="s">
        <v>18</v>
      </c>
      <c r="N1725" s="4" t="s">
        <v>1299</v>
      </c>
      <c r="O1725" s="4" t="s">
        <v>1300</v>
      </c>
      <c r="P1725" s="4" t="s">
        <v>233</v>
      </c>
    </row>
    <row r="1726" spans="1:16" x14ac:dyDescent="0.35">
      <c r="A1726" t="s">
        <v>12224</v>
      </c>
      <c r="B1726" t="s">
        <v>12225</v>
      </c>
      <c r="C1726" t="s">
        <v>16</v>
      </c>
      <c r="D1726" s="6">
        <v>359209392.89474481</v>
      </c>
      <c r="E1726" s="6" t="e">
        <v>#N/A</v>
      </c>
      <c r="F1726" s="6">
        <v>18.959999084472656</v>
      </c>
      <c r="G1726" s="6">
        <v>19.110000610351563</v>
      </c>
      <c r="H1726" s="6">
        <v>42.133331298828125</v>
      </c>
      <c r="I1726" s="6">
        <v>6.3613369343692217E-2</v>
      </c>
      <c r="J1726" s="6">
        <v>166833000</v>
      </c>
      <c r="K1726" s="6">
        <v>-79.262672811059915</v>
      </c>
      <c r="L1726" t="s">
        <v>6529</v>
      </c>
      <c r="M1726" t="s">
        <v>6530</v>
      </c>
      <c r="N1726" s="4" t="s">
        <v>12226</v>
      </c>
      <c r="O1726" s="4" t="s">
        <v>12227</v>
      </c>
      <c r="P1726" s="4" t="s">
        <v>233</v>
      </c>
    </row>
    <row r="1727" spans="1:16" x14ac:dyDescent="0.35">
      <c r="A1727" t="s">
        <v>12219</v>
      </c>
      <c r="B1727" t="s">
        <v>12220</v>
      </c>
      <c r="C1727" t="s">
        <v>16</v>
      </c>
      <c r="D1727" s="6">
        <v>346158964.78973389</v>
      </c>
      <c r="E1727" s="6">
        <v>467338964.78973389</v>
      </c>
      <c r="F1727" s="6">
        <v>22.430000305175781</v>
      </c>
      <c r="G1727" s="6">
        <v>21.829999923706055</v>
      </c>
      <c r="H1727" s="6">
        <v>26.575357434614062</v>
      </c>
      <c r="I1727" s="6">
        <v>-0.12995128205104556</v>
      </c>
      <c r="J1727" s="6">
        <v>689645000</v>
      </c>
      <c r="K1727" s="6">
        <v>-65.92592592592591</v>
      </c>
      <c r="L1727" t="s">
        <v>6540</v>
      </c>
      <c r="M1727" t="s">
        <v>6797</v>
      </c>
      <c r="N1727" s="4" t="s">
        <v>12221</v>
      </c>
      <c r="O1727" s="4" t="s">
        <v>12222</v>
      </c>
      <c r="P1727" s="4" t="s">
        <v>233</v>
      </c>
    </row>
    <row r="1728" spans="1:16" x14ac:dyDescent="0.35">
      <c r="A1728" t="s">
        <v>12228</v>
      </c>
      <c r="B1728" t="s">
        <v>9943</v>
      </c>
      <c r="C1728" t="s">
        <v>16</v>
      </c>
      <c r="D1728" s="6">
        <v>2217385197.8898931</v>
      </c>
      <c r="E1728" s="6">
        <v>3012420197.8898931</v>
      </c>
      <c r="F1728" s="6">
        <v>38.299999237060547</v>
      </c>
      <c r="G1728" s="6">
        <v>38.650001525878906</v>
      </c>
      <c r="H1728" s="6">
        <v>16.444938753147532</v>
      </c>
      <c r="I1728" s="6">
        <v>-0.11619463889138992</v>
      </c>
      <c r="J1728" s="6">
        <v>3222363000</v>
      </c>
      <c r="K1728" s="6">
        <v>-27.734375000000004</v>
      </c>
      <c r="L1728" t="s">
        <v>6735</v>
      </c>
      <c r="M1728" t="s">
        <v>8777</v>
      </c>
      <c r="N1728" s="4" t="s">
        <v>12229</v>
      </c>
      <c r="O1728" s="4" t="s">
        <v>12230</v>
      </c>
      <c r="P1728" s="4" t="s">
        <v>233</v>
      </c>
    </row>
    <row r="1729" spans="1:16" x14ac:dyDescent="0.35">
      <c r="A1729" t="s">
        <v>12231</v>
      </c>
      <c r="B1729" t="s">
        <v>12232</v>
      </c>
      <c r="C1729" t="s">
        <v>16</v>
      </c>
      <c r="D1729" s="6">
        <v>215913146.29826829</v>
      </c>
      <c r="E1729" s="6">
        <v>474851146.29826832</v>
      </c>
      <c r="F1729" s="6">
        <v>5.1500000953674316</v>
      </c>
      <c r="G1729" s="6">
        <v>5.0900001525878906</v>
      </c>
      <c r="H1729" s="6" t="e">
        <v>#N/A</v>
      </c>
      <c r="I1729" s="6">
        <v>-0.18722545890211317</v>
      </c>
      <c r="J1729" s="6">
        <v>61223000</v>
      </c>
      <c r="K1729" s="6" t="e">
        <v>#N/A</v>
      </c>
      <c r="L1729" t="s">
        <v>6623</v>
      </c>
      <c r="M1729" t="s">
        <v>6700</v>
      </c>
      <c r="N1729" s="4" t="s">
        <v>12233</v>
      </c>
      <c r="O1729" s="4" t="s">
        <v>12234</v>
      </c>
      <c r="P1729" s="4" t="s">
        <v>233</v>
      </c>
    </row>
    <row r="1730" spans="1:16" x14ac:dyDescent="0.35">
      <c r="A1730" t="s">
        <v>12235</v>
      </c>
      <c r="B1730" t="s">
        <v>12236</v>
      </c>
      <c r="C1730" t="s">
        <v>16</v>
      </c>
      <c r="D1730" s="6">
        <v>2187505063.8446503</v>
      </c>
      <c r="E1730" s="6">
        <v>1977713063.8446503</v>
      </c>
      <c r="F1730" s="6">
        <v>30.860000610351563</v>
      </c>
      <c r="G1730" s="6">
        <v>29.450000762939453</v>
      </c>
      <c r="H1730" s="6">
        <v>50.862906850260273</v>
      </c>
      <c r="I1730" s="6">
        <v>0.78511271758534251</v>
      </c>
      <c r="J1730" s="6">
        <v>1093961000</v>
      </c>
      <c r="K1730" s="6">
        <v>31.818181818181834</v>
      </c>
      <c r="L1730" t="s">
        <v>6540</v>
      </c>
      <c r="M1730" t="s">
        <v>6541</v>
      </c>
      <c r="N1730" s="4" t="s">
        <v>12237</v>
      </c>
      <c r="O1730" s="4" t="s">
        <v>12238</v>
      </c>
      <c r="P1730" s="4" t="s">
        <v>233</v>
      </c>
    </row>
    <row r="1731" spans="1:16" x14ac:dyDescent="0.35">
      <c r="A1731" t="s">
        <v>12239</v>
      </c>
      <c r="B1731" t="s">
        <v>12240</v>
      </c>
      <c r="C1731" t="s">
        <v>16</v>
      </c>
      <c r="D1731" s="6">
        <v>3349136906.2199473</v>
      </c>
      <c r="E1731" s="6" t="e">
        <v>#N/A</v>
      </c>
      <c r="F1731" s="6">
        <v>32.040000915527344</v>
      </c>
      <c r="G1731" s="6">
        <v>32.369998931884766</v>
      </c>
      <c r="H1731" s="6">
        <v>14.630137404350386</v>
      </c>
      <c r="I1731" s="6">
        <v>0.28677873970061363</v>
      </c>
      <c r="J1731" s="6" t="e">
        <v>#N/A</v>
      </c>
      <c r="K1731" s="6">
        <v>-11.693548387096776</v>
      </c>
      <c r="L1731" t="s">
        <v>6529</v>
      </c>
      <c r="M1731" t="s">
        <v>6530</v>
      </c>
      <c r="N1731" s="4" t="s">
        <v>12241</v>
      </c>
      <c r="O1731" s="4" t="s">
        <v>12242</v>
      </c>
      <c r="P1731" s="4" t="s">
        <v>233</v>
      </c>
    </row>
    <row r="1732" spans="1:16" x14ac:dyDescent="0.35">
      <c r="A1732" t="s">
        <v>12243</v>
      </c>
      <c r="B1732" t="s">
        <v>12244</v>
      </c>
      <c r="C1732" t="s">
        <v>16</v>
      </c>
      <c r="D1732" s="6">
        <v>440300165.0162887</v>
      </c>
      <c r="E1732" s="6" t="e">
        <v>#N/A</v>
      </c>
      <c r="F1732" s="6">
        <v>30.590000152587891</v>
      </c>
      <c r="G1732" s="6">
        <v>30.819999694824219</v>
      </c>
      <c r="H1732" s="6">
        <v>11.709525732663716</v>
      </c>
      <c r="I1732" s="6">
        <v>0.62936672860684495</v>
      </c>
      <c r="J1732" s="6">
        <v>203869000</v>
      </c>
      <c r="K1732" s="6">
        <v>19.831223628691969</v>
      </c>
      <c r="L1732" t="s">
        <v>6529</v>
      </c>
      <c r="M1732" t="s">
        <v>6530</v>
      </c>
      <c r="N1732" s="4" t="s">
        <v>12245</v>
      </c>
      <c r="O1732" s="4" t="s">
        <v>12246</v>
      </c>
      <c r="P1732" s="4" t="s">
        <v>233</v>
      </c>
    </row>
    <row r="1733" spans="1:16" x14ac:dyDescent="0.35">
      <c r="A1733" t="s">
        <v>12247</v>
      </c>
      <c r="B1733" t="s">
        <v>12248</v>
      </c>
      <c r="C1733" t="s">
        <v>16</v>
      </c>
      <c r="D1733" s="6">
        <v>1479210171.2488177</v>
      </c>
      <c r="E1733" s="6">
        <v>525152171.24881768</v>
      </c>
      <c r="F1733" s="6">
        <v>13.159999847412109</v>
      </c>
      <c r="G1733" s="6">
        <v>13.090000152587891</v>
      </c>
      <c r="H1733" s="6">
        <v>29.244444105360241</v>
      </c>
      <c r="I1733" s="6">
        <v>0.48205439455739629</v>
      </c>
      <c r="J1733" s="6">
        <v>1160928000</v>
      </c>
      <c r="K1733" s="6">
        <v>27.777777777777789</v>
      </c>
      <c r="L1733" t="s">
        <v>6529</v>
      </c>
      <c r="M1733" t="s">
        <v>6646</v>
      </c>
      <c r="N1733" s="4" t="s">
        <v>12249</v>
      </c>
      <c r="O1733" s="4" t="s">
        <v>12250</v>
      </c>
      <c r="P1733" s="4" t="s">
        <v>233</v>
      </c>
    </row>
    <row r="1734" spans="1:16" x14ac:dyDescent="0.35">
      <c r="A1734" t="s">
        <v>12251</v>
      </c>
      <c r="B1734" t="s">
        <v>5053</v>
      </c>
      <c r="C1734" t="s">
        <v>16</v>
      </c>
      <c r="D1734" s="6">
        <v>2151245761.5016174</v>
      </c>
      <c r="E1734" s="6">
        <v>1516645761.5016174</v>
      </c>
      <c r="F1734" s="6">
        <v>36.779998779296875</v>
      </c>
      <c r="G1734" s="6">
        <v>35.450000762939453</v>
      </c>
      <c r="H1734" s="6" t="e">
        <v>#N/A</v>
      </c>
      <c r="I1734" s="6">
        <v>3.254863037166051</v>
      </c>
      <c r="J1734" s="6">
        <v>13049000</v>
      </c>
      <c r="K1734" s="6">
        <v>20.945945945945951</v>
      </c>
      <c r="L1734" t="s">
        <v>17</v>
      </c>
      <c r="M1734" t="s">
        <v>18</v>
      </c>
      <c r="N1734" s="4" t="s">
        <v>5054</v>
      </c>
      <c r="O1734" s="4" t="s">
        <v>5055</v>
      </c>
      <c r="P1734" s="4" t="s">
        <v>233</v>
      </c>
    </row>
    <row r="1735" spans="1:16" x14ac:dyDescent="0.35">
      <c r="A1735" t="s">
        <v>12252</v>
      </c>
      <c r="B1735" t="s">
        <v>12253</v>
      </c>
      <c r="C1735" t="s">
        <v>16</v>
      </c>
      <c r="D1735" s="6">
        <v>1129700363.2421453</v>
      </c>
      <c r="E1735" s="6">
        <v>1545106363.2421453</v>
      </c>
      <c r="F1735" s="6">
        <v>17.450000762939453</v>
      </c>
      <c r="G1735" s="6">
        <v>17.469999313354492</v>
      </c>
      <c r="H1735" s="6">
        <v>35.371431971190937</v>
      </c>
      <c r="I1735" s="6">
        <v>-9.9792287097074328E-2</v>
      </c>
      <c r="J1735" s="6">
        <v>718327000</v>
      </c>
      <c r="K1735" s="6">
        <v>-67.222222222222214</v>
      </c>
      <c r="L1735" t="s">
        <v>6514</v>
      </c>
      <c r="M1735" t="s">
        <v>6578</v>
      </c>
      <c r="N1735" s="4" t="s">
        <v>12254</v>
      </c>
      <c r="O1735" s="4" t="s">
        <v>12255</v>
      </c>
      <c r="P1735" s="4" t="s">
        <v>233</v>
      </c>
    </row>
    <row r="1736" spans="1:16" x14ac:dyDescent="0.35">
      <c r="A1736" t="s">
        <v>12256</v>
      </c>
      <c r="B1736" t="s">
        <v>12257</v>
      </c>
      <c r="C1736" t="s">
        <v>16</v>
      </c>
      <c r="D1736" s="6">
        <v>8222905196</v>
      </c>
      <c r="E1736" s="6">
        <v>7875569196</v>
      </c>
      <c r="F1736" s="6">
        <v>38</v>
      </c>
      <c r="G1736" s="6">
        <v>37.799999237060547</v>
      </c>
      <c r="H1736" s="6" t="e">
        <v>#N/A</v>
      </c>
      <c r="I1736" s="6">
        <v>2.2596541156217933</v>
      </c>
      <c r="J1736" s="6">
        <v>22042000</v>
      </c>
      <c r="K1736" s="6">
        <v>-212</v>
      </c>
      <c r="L1736" t="s">
        <v>6518</v>
      </c>
      <c r="M1736" t="s">
        <v>9005</v>
      </c>
      <c r="N1736" s="4" t="s">
        <v>12258</v>
      </c>
      <c r="O1736" s="4" t="s">
        <v>12259</v>
      </c>
      <c r="P1736" s="4" t="s">
        <v>233</v>
      </c>
    </row>
    <row r="1737" spans="1:16" x14ac:dyDescent="0.35">
      <c r="A1737" t="s">
        <v>12260</v>
      </c>
      <c r="B1737" t="s">
        <v>12261</v>
      </c>
      <c r="C1737" t="s">
        <v>16</v>
      </c>
      <c r="D1737" s="6">
        <v>95347970.668806717</v>
      </c>
      <c r="E1737" s="6">
        <v>240097970.66880673</v>
      </c>
      <c r="F1737" s="6">
        <v>0.95999997854232788</v>
      </c>
      <c r="G1737" s="6">
        <v>1.0099999904632568</v>
      </c>
      <c r="H1737" s="6" t="e">
        <v>#N/A</v>
      </c>
      <c r="I1737" s="6">
        <v>-0.48293743941373246</v>
      </c>
      <c r="J1737" s="6">
        <v>89074000</v>
      </c>
      <c r="K1737" s="6" t="e">
        <v>#N/A</v>
      </c>
      <c r="L1737" t="s">
        <v>6529</v>
      </c>
      <c r="M1737" t="s">
        <v>6664</v>
      </c>
      <c r="N1737" s="4" t="s">
        <v>233</v>
      </c>
      <c r="O1737" s="4" t="s">
        <v>12262</v>
      </c>
      <c r="P1737" s="4" t="s">
        <v>13273</v>
      </c>
    </row>
    <row r="1738" spans="1:16" x14ac:dyDescent="0.35">
      <c r="A1738" t="s">
        <v>12263</v>
      </c>
      <c r="B1738" t="s">
        <v>12264</v>
      </c>
      <c r="C1738" t="s">
        <v>16</v>
      </c>
      <c r="D1738" s="6">
        <v>474349126.59001058</v>
      </c>
      <c r="E1738" s="6">
        <v>570889126.59001064</v>
      </c>
      <c r="F1738" s="6">
        <v>10.779999732971191</v>
      </c>
      <c r="G1738" s="6">
        <v>10.75</v>
      </c>
      <c r="H1738" s="6">
        <v>18.108516265699972</v>
      </c>
      <c r="I1738" s="6">
        <v>-0.19101203698169544</v>
      </c>
      <c r="J1738" s="6">
        <v>514645000</v>
      </c>
      <c r="K1738" s="6">
        <v>21.875000000000004</v>
      </c>
      <c r="L1738" t="s">
        <v>6540</v>
      </c>
      <c r="M1738" t="s">
        <v>6571</v>
      </c>
      <c r="N1738" s="4" t="s">
        <v>12265</v>
      </c>
      <c r="O1738" s="4" t="s">
        <v>12266</v>
      </c>
      <c r="P1738" s="4" t="s">
        <v>233</v>
      </c>
    </row>
    <row r="1739" spans="1:16" x14ac:dyDescent="0.35">
      <c r="A1739" t="s">
        <v>12267</v>
      </c>
      <c r="B1739" t="s">
        <v>12268</v>
      </c>
      <c r="C1739" t="s">
        <v>16</v>
      </c>
      <c r="D1739" s="6">
        <v>1294418214.9951172</v>
      </c>
      <c r="E1739" s="6">
        <v>1162105214.9951172</v>
      </c>
      <c r="F1739" s="6">
        <v>184.42999267578125</v>
      </c>
      <c r="G1739" s="6">
        <v>185.07000732421875</v>
      </c>
      <c r="H1739" s="6">
        <v>10.174169715384238</v>
      </c>
      <c r="I1739" s="6">
        <v>-0.19406522679041149</v>
      </c>
      <c r="J1739" s="6">
        <v>1124169000</v>
      </c>
      <c r="K1739" s="6">
        <v>-4.6016257681053618</v>
      </c>
      <c r="L1739" t="s">
        <v>6529</v>
      </c>
      <c r="M1739" t="s">
        <v>6568</v>
      </c>
      <c r="N1739" s="4" t="s">
        <v>12269</v>
      </c>
      <c r="O1739" s="4" t="s">
        <v>12270</v>
      </c>
      <c r="P1739" s="4" t="s">
        <v>233</v>
      </c>
    </row>
    <row r="1740" spans="1:16" x14ac:dyDescent="0.35">
      <c r="A1740" t="s">
        <v>12271</v>
      </c>
      <c r="B1740" t="s">
        <v>12272</v>
      </c>
      <c r="C1740" t="s">
        <v>16</v>
      </c>
      <c r="D1740" s="6">
        <v>309243091.5</v>
      </c>
      <c r="E1740" s="6">
        <v>356482658.5</v>
      </c>
      <c r="F1740" s="6">
        <v>15.75</v>
      </c>
      <c r="G1740" s="6">
        <v>15.789999961853027</v>
      </c>
      <c r="H1740" s="6">
        <v>7.8743306818920402</v>
      </c>
      <c r="I1740" s="6">
        <v>0.12157585372771806</v>
      </c>
      <c r="J1740" s="6">
        <v>63154870</v>
      </c>
      <c r="K1740" s="6">
        <v>0</v>
      </c>
      <c r="L1740" t="s">
        <v>6529</v>
      </c>
      <c r="M1740" t="s">
        <v>8169</v>
      </c>
      <c r="N1740" s="4" t="s">
        <v>12273</v>
      </c>
      <c r="O1740" s="4" t="s">
        <v>12274</v>
      </c>
      <c r="P1740" s="4" t="s">
        <v>233</v>
      </c>
    </row>
    <row r="1741" spans="1:16" x14ac:dyDescent="0.35">
      <c r="A1741" t="s">
        <v>13355</v>
      </c>
      <c r="B1741" t="s">
        <v>8957</v>
      </c>
      <c r="C1741" t="s">
        <v>16</v>
      </c>
      <c r="D1741" s="6">
        <v>477798153.38599199</v>
      </c>
      <c r="E1741" s="6">
        <v>348302153.38599199</v>
      </c>
      <c r="F1741" s="6">
        <v>9.6000003814697266</v>
      </c>
      <c r="G1741" s="6">
        <v>9.4899997711181641</v>
      </c>
      <c r="H1741" s="6" t="e">
        <v>#N/A</v>
      </c>
      <c r="I1741" s="6">
        <v>-0.82114311323375366</v>
      </c>
      <c r="J1741" s="6">
        <v>105453000</v>
      </c>
      <c r="K1741" s="6">
        <v>96.14577084583081</v>
      </c>
      <c r="L1741" t="s">
        <v>6518</v>
      </c>
      <c r="M1741" t="s">
        <v>6714</v>
      </c>
      <c r="N1741" s="4" t="s">
        <v>8958</v>
      </c>
      <c r="O1741" s="4" t="s">
        <v>8959</v>
      </c>
      <c r="P1741" s="4" t="s">
        <v>233</v>
      </c>
    </row>
    <row r="1742" spans="1:16" x14ac:dyDescent="0.35">
      <c r="A1742" t="s">
        <v>12278</v>
      </c>
      <c r="B1742" t="s">
        <v>3577</v>
      </c>
      <c r="C1742" t="s">
        <v>16</v>
      </c>
      <c r="D1742" s="6">
        <v>496118053.41770363</v>
      </c>
      <c r="E1742" s="6">
        <v>-315277946.58229625</v>
      </c>
      <c r="F1742" s="6">
        <v>16.219999313354492</v>
      </c>
      <c r="G1742" s="6">
        <v>16.100000381469727</v>
      </c>
      <c r="H1742" s="6" t="e">
        <v>#N/A</v>
      </c>
      <c r="I1742" s="6">
        <v>-0.37939575811396986</v>
      </c>
      <c r="J1742" s="6">
        <v>277761000</v>
      </c>
      <c r="K1742" s="6">
        <v>-157.94392523364482</v>
      </c>
      <c r="L1742" t="s">
        <v>17</v>
      </c>
      <c r="M1742" t="s">
        <v>40</v>
      </c>
      <c r="N1742" s="4" t="s">
        <v>3578</v>
      </c>
      <c r="O1742" s="4" t="s">
        <v>3579</v>
      </c>
      <c r="P1742" s="4" t="s">
        <v>233</v>
      </c>
    </row>
    <row r="1743" spans="1:16" x14ac:dyDescent="0.35">
      <c r="A1743" t="s">
        <v>12275</v>
      </c>
      <c r="B1743" t="s">
        <v>12276</v>
      </c>
      <c r="C1743" t="s">
        <v>16</v>
      </c>
      <c r="D1743" s="6">
        <v>1079466880.0000005</v>
      </c>
      <c r="E1743" s="6">
        <v>1145003880.0000005</v>
      </c>
      <c r="F1743" s="6">
        <v>32</v>
      </c>
      <c r="G1743" s="6">
        <v>32.700000762939453</v>
      </c>
      <c r="H1743" s="6" t="e">
        <v>#N/A</v>
      </c>
      <c r="I1743" s="6">
        <v>-0.2596770489699991</v>
      </c>
      <c r="J1743" s="6">
        <v>849040000</v>
      </c>
      <c r="K1743" s="6">
        <v>56.462585034013607</v>
      </c>
      <c r="L1743" t="s">
        <v>6518</v>
      </c>
      <c r="M1743" t="s">
        <v>6807</v>
      </c>
      <c r="N1743" s="4" t="s">
        <v>233</v>
      </c>
      <c r="O1743" s="4" t="s">
        <v>12277</v>
      </c>
      <c r="P1743" s="4" t="s">
        <v>13274</v>
      </c>
    </row>
    <row r="1744" spans="1:16" x14ac:dyDescent="0.35">
      <c r="A1744" t="s">
        <v>12279</v>
      </c>
      <c r="B1744" t="s">
        <v>12280</v>
      </c>
      <c r="C1744" t="s">
        <v>16</v>
      </c>
      <c r="D1744" s="6">
        <v>3505859653.0552216</v>
      </c>
      <c r="E1744" s="6">
        <v>5424602653.0552216</v>
      </c>
      <c r="F1744" s="6">
        <v>35.119998931884766</v>
      </c>
      <c r="G1744" s="6">
        <v>35.790000915527344</v>
      </c>
      <c r="H1744" s="6">
        <v>8.8860975157852895</v>
      </c>
      <c r="I1744" s="6">
        <v>0.10317205258599493</v>
      </c>
      <c r="J1744" s="6">
        <v>2504269000</v>
      </c>
      <c r="K1744" s="6">
        <v>7.6726342710997519</v>
      </c>
      <c r="L1744" t="s">
        <v>6523</v>
      </c>
      <c r="M1744" t="s">
        <v>6524</v>
      </c>
      <c r="N1744" s="4" t="s">
        <v>12281</v>
      </c>
      <c r="O1744" s="4" t="s">
        <v>12282</v>
      </c>
      <c r="P1744" s="4" t="s">
        <v>233</v>
      </c>
    </row>
    <row r="1745" spans="1:16" x14ac:dyDescent="0.35">
      <c r="A1745" t="s">
        <v>12287</v>
      </c>
      <c r="B1745" t="s">
        <v>3553</v>
      </c>
      <c r="C1745" t="s">
        <v>16</v>
      </c>
      <c r="D1745" s="6">
        <v>2230157724.4327698</v>
      </c>
      <c r="E1745" s="6">
        <v>1657776724.4327698</v>
      </c>
      <c r="F1745" s="6">
        <v>37.419998168945313</v>
      </c>
      <c r="G1745" s="6">
        <v>36.430000305175781</v>
      </c>
      <c r="H1745" s="6">
        <v>14.067668484565909</v>
      </c>
      <c r="I1745" s="6">
        <v>0.32171837264933423</v>
      </c>
      <c r="J1745" s="6">
        <v>323795000</v>
      </c>
      <c r="K1745" s="6" t="e">
        <v>#N/A</v>
      </c>
      <c r="L1745" t="s">
        <v>17</v>
      </c>
      <c r="M1745" t="s">
        <v>18</v>
      </c>
      <c r="N1745" s="4" t="s">
        <v>3554</v>
      </c>
      <c r="O1745" s="4" t="s">
        <v>3555</v>
      </c>
      <c r="P1745" s="4" t="s">
        <v>233</v>
      </c>
    </row>
    <row r="1746" spans="1:16" x14ac:dyDescent="0.35">
      <c r="A1746" t="s">
        <v>12283</v>
      </c>
      <c r="B1746" t="s">
        <v>12284</v>
      </c>
      <c r="C1746" t="s">
        <v>16</v>
      </c>
      <c r="D1746" s="6">
        <v>809748248.02241695</v>
      </c>
      <c r="E1746" s="6" t="e">
        <v>#N/A</v>
      </c>
      <c r="F1746" s="6">
        <v>16.420000076293945</v>
      </c>
      <c r="G1746" s="6">
        <v>16.600000381469727</v>
      </c>
      <c r="H1746" s="6">
        <v>10.125114894952825</v>
      </c>
      <c r="I1746" s="6">
        <v>0.18757367574489314</v>
      </c>
      <c r="J1746" s="6">
        <v>517332999.99999994</v>
      </c>
      <c r="K1746" s="6">
        <v>17.037037037037035</v>
      </c>
      <c r="L1746" t="s">
        <v>6529</v>
      </c>
      <c r="M1746" t="s">
        <v>6530</v>
      </c>
      <c r="N1746" s="4" t="s">
        <v>12285</v>
      </c>
      <c r="O1746" s="4" t="s">
        <v>12286</v>
      </c>
      <c r="P1746" s="4" t="s">
        <v>233</v>
      </c>
    </row>
    <row r="1747" spans="1:16" x14ac:dyDescent="0.35">
      <c r="A1747" t="s">
        <v>12288</v>
      </c>
      <c r="B1747" t="s">
        <v>12289</v>
      </c>
      <c r="C1747" t="s">
        <v>16</v>
      </c>
      <c r="D1747" s="6">
        <v>137406726.59849882</v>
      </c>
      <c r="E1747" s="6">
        <v>137285726.59849882</v>
      </c>
      <c r="F1747" s="6">
        <v>3.9800000190734863</v>
      </c>
      <c r="G1747" s="6">
        <v>4.0399999618530273</v>
      </c>
      <c r="H1747" s="6" t="e">
        <v>#N/A</v>
      </c>
      <c r="I1747" s="6">
        <v>-7.4609277569575028E-3</v>
      </c>
      <c r="J1747" s="6">
        <v>473883000</v>
      </c>
      <c r="K1747" s="6">
        <v>47.247334415681571</v>
      </c>
      <c r="L1747" t="s">
        <v>6547</v>
      </c>
      <c r="M1747" t="s">
        <v>6553</v>
      </c>
      <c r="N1747" s="4" t="s">
        <v>233</v>
      </c>
      <c r="O1747" s="4" t="s">
        <v>12290</v>
      </c>
      <c r="P1747" s="4" t="s">
        <v>13275</v>
      </c>
    </row>
    <row r="1748" spans="1:16" x14ac:dyDescent="0.35">
      <c r="A1748" t="s">
        <v>12291</v>
      </c>
      <c r="B1748" t="s">
        <v>5726</v>
      </c>
      <c r="C1748" t="s">
        <v>16</v>
      </c>
      <c r="D1748" s="6">
        <v>62986525.774435036</v>
      </c>
      <c r="E1748" s="6">
        <v>55570525.774435036</v>
      </c>
      <c r="F1748" s="6">
        <v>1.7300000190734863</v>
      </c>
      <c r="G1748" s="6">
        <v>1.7400000095367432</v>
      </c>
      <c r="H1748" s="6" t="e">
        <v>#N/A</v>
      </c>
      <c r="I1748" s="6">
        <v>-0.7652860301150044</v>
      </c>
      <c r="J1748" s="6" t="e">
        <v>#N/A</v>
      </c>
      <c r="K1748" s="6" t="e">
        <v>#N/A</v>
      </c>
      <c r="L1748" t="s">
        <v>17</v>
      </c>
      <c r="M1748" t="s">
        <v>18</v>
      </c>
      <c r="N1748" s="4" t="s">
        <v>5727</v>
      </c>
      <c r="O1748" s="4" t="s">
        <v>5728</v>
      </c>
      <c r="P1748" s="4" t="s">
        <v>233</v>
      </c>
    </row>
    <row r="1749" spans="1:16" x14ac:dyDescent="0.35">
      <c r="A1749" t="s">
        <v>12292</v>
      </c>
      <c r="B1749" t="s">
        <v>12293</v>
      </c>
      <c r="C1749" t="s">
        <v>16</v>
      </c>
      <c r="D1749" s="6">
        <v>656799089.78652561</v>
      </c>
      <c r="E1749" s="6" t="e">
        <v>#N/A</v>
      </c>
      <c r="F1749" s="6">
        <v>33.880001068115234</v>
      </c>
      <c r="G1749" s="6">
        <v>34.299999237060547</v>
      </c>
      <c r="H1749" s="6">
        <v>12.564109616333058</v>
      </c>
      <c r="I1749" s="6">
        <v>0.26619274829532413</v>
      </c>
      <c r="J1749" s="6">
        <v>286368000</v>
      </c>
      <c r="K1749" s="6">
        <v>-56.811594202898554</v>
      </c>
      <c r="L1749" t="s">
        <v>6529</v>
      </c>
      <c r="M1749" t="s">
        <v>6530</v>
      </c>
      <c r="N1749" s="4" t="s">
        <v>12294</v>
      </c>
      <c r="O1749" s="4" t="s">
        <v>12295</v>
      </c>
      <c r="P1749" s="4" t="s">
        <v>233</v>
      </c>
    </row>
    <row r="1750" spans="1:16" x14ac:dyDescent="0.35">
      <c r="A1750" t="s">
        <v>12296</v>
      </c>
      <c r="B1750" t="s">
        <v>12297</v>
      </c>
      <c r="C1750" t="s">
        <v>16</v>
      </c>
      <c r="D1750" s="6">
        <v>6721712779.0657578</v>
      </c>
      <c r="E1750" s="6">
        <v>6270065779.0657578</v>
      </c>
      <c r="F1750" s="6">
        <v>63.069999694824219</v>
      </c>
      <c r="G1750" s="6">
        <v>63.310001373291016</v>
      </c>
      <c r="H1750" s="6">
        <v>38.874770289261214</v>
      </c>
      <c r="I1750" s="6">
        <v>8.6417627937812824E-2</v>
      </c>
      <c r="J1750" s="6">
        <v>556624000</v>
      </c>
      <c r="K1750" s="6">
        <v>-45.954692556634306</v>
      </c>
      <c r="L1750" t="s">
        <v>6518</v>
      </c>
      <c r="M1750" t="s">
        <v>6807</v>
      </c>
      <c r="N1750" s="4" t="s">
        <v>12298</v>
      </c>
      <c r="O1750" s="4" t="s">
        <v>12299</v>
      </c>
      <c r="P1750" s="4" t="s">
        <v>233</v>
      </c>
    </row>
    <row r="1751" spans="1:16" x14ac:dyDescent="0.35">
      <c r="A1751" t="s">
        <v>12300</v>
      </c>
      <c r="B1751" t="s">
        <v>12301</v>
      </c>
      <c r="C1751" t="s">
        <v>16</v>
      </c>
      <c r="D1751" s="6">
        <v>140627973.38571167</v>
      </c>
      <c r="E1751" s="6">
        <v>192560973.38571167</v>
      </c>
      <c r="F1751" s="6">
        <v>13.130000114440918</v>
      </c>
      <c r="G1751" s="6">
        <v>12.880000114440918</v>
      </c>
      <c r="H1751" s="6" t="e">
        <v>#N/A</v>
      </c>
      <c r="I1751" s="6">
        <v>-0.44989808436780987</v>
      </c>
      <c r="J1751" s="6">
        <v>389779000</v>
      </c>
      <c r="K1751" s="6">
        <v>-22.972972972972975</v>
      </c>
      <c r="L1751" t="s">
        <v>6540</v>
      </c>
      <c r="M1751" t="s">
        <v>6797</v>
      </c>
      <c r="N1751" s="4" t="s">
        <v>12302</v>
      </c>
      <c r="O1751" s="4" t="s">
        <v>12303</v>
      </c>
      <c r="P1751" s="4" t="s">
        <v>233</v>
      </c>
    </row>
    <row r="1752" spans="1:16" x14ac:dyDescent="0.35">
      <c r="A1752" t="s">
        <v>12304</v>
      </c>
      <c r="B1752" t="s">
        <v>12305</v>
      </c>
      <c r="C1752" t="s">
        <v>16</v>
      </c>
      <c r="D1752" s="6">
        <v>550225013.34789276</v>
      </c>
      <c r="E1752" s="6" t="e">
        <v>#N/A</v>
      </c>
      <c r="F1752" s="6">
        <v>16.510000228881836</v>
      </c>
      <c r="G1752" s="6">
        <v>16.5</v>
      </c>
      <c r="H1752" s="6">
        <v>12.507575930971088</v>
      </c>
      <c r="I1752" s="6">
        <v>0.46643517184492889</v>
      </c>
      <c r="J1752" s="6">
        <v>326485000</v>
      </c>
      <c r="K1752" s="6">
        <v>214.28571428571433</v>
      </c>
      <c r="L1752" t="s">
        <v>6529</v>
      </c>
      <c r="M1752" t="s">
        <v>6530</v>
      </c>
      <c r="N1752" s="4" t="s">
        <v>12306</v>
      </c>
      <c r="O1752" s="4" t="s">
        <v>12307</v>
      </c>
      <c r="P1752" s="4" t="s">
        <v>233</v>
      </c>
    </row>
    <row r="1753" spans="1:16" x14ac:dyDescent="0.35">
      <c r="A1753" t="s">
        <v>12308</v>
      </c>
      <c r="B1753" t="s">
        <v>12309</v>
      </c>
      <c r="C1753" t="s">
        <v>16</v>
      </c>
      <c r="D1753" s="6">
        <v>865883347.86263084</v>
      </c>
      <c r="E1753" s="6">
        <v>878872347.86263084</v>
      </c>
      <c r="F1753" s="6">
        <v>31.379999160766602</v>
      </c>
      <c r="G1753" s="6">
        <v>31.909999847412109</v>
      </c>
      <c r="H1753" s="6">
        <v>24.202971119766609</v>
      </c>
      <c r="I1753" s="6">
        <v>0.32493153905069461</v>
      </c>
      <c r="J1753" s="6">
        <v>307023000</v>
      </c>
      <c r="K1753" s="6">
        <v>-3.8759689922480653</v>
      </c>
      <c r="L1753" t="s">
        <v>6518</v>
      </c>
      <c r="M1753" t="s">
        <v>6789</v>
      </c>
      <c r="N1753" s="4" t="s">
        <v>12310</v>
      </c>
      <c r="O1753" s="4" t="s">
        <v>12311</v>
      </c>
      <c r="P1753" s="4" t="s">
        <v>233</v>
      </c>
    </row>
    <row r="1754" spans="1:16" x14ac:dyDescent="0.35">
      <c r="A1754" t="s">
        <v>12312</v>
      </c>
      <c r="B1754" t="s">
        <v>12313</v>
      </c>
      <c r="C1754" t="s">
        <v>16</v>
      </c>
      <c r="D1754" s="6">
        <v>303951741.31901544</v>
      </c>
      <c r="E1754" s="6">
        <v>278166741.31901544</v>
      </c>
      <c r="F1754" s="6">
        <v>10.229999542236328</v>
      </c>
      <c r="G1754" s="6">
        <v>10.149999618530273</v>
      </c>
      <c r="H1754" s="6">
        <v>13.574263755037377</v>
      </c>
      <c r="I1754" s="6">
        <v>-0.43408074579288058</v>
      </c>
      <c r="J1754" s="6">
        <v>50735000</v>
      </c>
      <c r="K1754" s="6">
        <v>4.1095890410958793</v>
      </c>
      <c r="L1754" t="s">
        <v>6518</v>
      </c>
      <c r="M1754" t="s">
        <v>6807</v>
      </c>
      <c r="N1754" s="4" t="s">
        <v>12314</v>
      </c>
      <c r="O1754" s="4" t="s">
        <v>12315</v>
      </c>
      <c r="P1754" s="4" t="s">
        <v>233</v>
      </c>
    </row>
    <row r="1755" spans="1:16" x14ac:dyDescent="0.35">
      <c r="A1755" t="s">
        <v>12324</v>
      </c>
      <c r="B1755" t="s">
        <v>12325</v>
      </c>
      <c r="C1755" t="s">
        <v>16</v>
      </c>
      <c r="D1755" s="6">
        <v>581422961.68235779</v>
      </c>
      <c r="E1755" s="6">
        <v>561501961.68235779</v>
      </c>
      <c r="F1755" s="6">
        <v>126.20999908447266</v>
      </c>
      <c r="G1755" s="6">
        <v>124.98999786376953</v>
      </c>
      <c r="H1755" s="6">
        <v>30.064394900623292</v>
      </c>
      <c r="I1755" s="6">
        <v>1.1452243783094955</v>
      </c>
      <c r="J1755" s="6">
        <v>410630000</v>
      </c>
      <c r="K1755" s="6">
        <v>39.868002189825425</v>
      </c>
      <c r="L1755" t="s">
        <v>6518</v>
      </c>
      <c r="M1755" t="s">
        <v>6714</v>
      </c>
      <c r="N1755" s="4" t="s">
        <v>12326</v>
      </c>
      <c r="O1755" s="4" t="s">
        <v>12327</v>
      </c>
      <c r="P1755" s="4" t="s">
        <v>233</v>
      </c>
    </row>
    <row r="1756" spans="1:16" x14ac:dyDescent="0.35">
      <c r="A1756" t="s">
        <v>12316</v>
      </c>
      <c r="B1756" t="s">
        <v>12317</v>
      </c>
      <c r="C1756" t="s">
        <v>16</v>
      </c>
      <c r="D1756" s="6">
        <v>221849145.60436246</v>
      </c>
      <c r="E1756" s="6">
        <v>294359145.60436243</v>
      </c>
      <c r="F1756" s="6">
        <v>16.180000305175781</v>
      </c>
      <c r="G1756" s="6">
        <v>16.079999923706055</v>
      </c>
      <c r="H1756" s="6">
        <v>6.9625568096755357</v>
      </c>
      <c r="I1756" s="6">
        <v>-8.5500386208276935E-2</v>
      </c>
      <c r="J1756" s="6">
        <v>647834000</v>
      </c>
      <c r="K1756" s="6">
        <v>104.34782608695653</v>
      </c>
      <c r="L1756" t="s">
        <v>6540</v>
      </c>
      <c r="M1756" t="s">
        <v>6797</v>
      </c>
      <c r="N1756" s="4" t="s">
        <v>12318</v>
      </c>
      <c r="O1756" s="4" t="s">
        <v>12319</v>
      </c>
      <c r="P1756" s="4" t="s">
        <v>233</v>
      </c>
    </row>
    <row r="1757" spans="1:16" x14ac:dyDescent="0.35">
      <c r="A1757" t="s">
        <v>12320</v>
      </c>
      <c r="B1757" t="s">
        <v>12321</v>
      </c>
      <c r="C1757" t="s">
        <v>16</v>
      </c>
      <c r="D1757" s="6">
        <v>5446773705.8576279</v>
      </c>
      <c r="E1757" s="6" t="e">
        <v>#N/A</v>
      </c>
      <c r="F1757" s="6">
        <v>51.569999694824219</v>
      </c>
      <c r="G1757" s="6">
        <v>53.110000610351563</v>
      </c>
      <c r="H1757" s="6">
        <v>19.179837737465032</v>
      </c>
      <c r="I1757" s="6">
        <v>-9.6403602853356474E-2</v>
      </c>
      <c r="J1757" s="6">
        <v>1939011000</v>
      </c>
      <c r="K1757" s="6">
        <v>-14.144736842105267</v>
      </c>
      <c r="L1757" t="s">
        <v>6540</v>
      </c>
      <c r="M1757" t="s">
        <v>6825</v>
      </c>
      <c r="N1757" s="4" t="s">
        <v>12322</v>
      </c>
      <c r="O1757" s="4" t="s">
        <v>12323</v>
      </c>
      <c r="P1757" s="4" t="s">
        <v>233</v>
      </c>
    </row>
    <row r="1758" spans="1:16" x14ac:dyDescent="0.35">
      <c r="A1758" t="s">
        <v>12328</v>
      </c>
      <c r="B1758" t="s">
        <v>4638</v>
      </c>
      <c r="C1758" t="s">
        <v>16</v>
      </c>
      <c r="D1758" s="6">
        <v>49855614.523101918</v>
      </c>
      <c r="E1758" s="6">
        <v>-85993385.476898074</v>
      </c>
      <c r="F1758" s="6">
        <v>0.90600001811981201</v>
      </c>
      <c r="G1758" s="6">
        <v>0.9100000262260437</v>
      </c>
      <c r="H1758" s="6" t="e">
        <v>#N/A</v>
      </c>
      <c r="I1758" s="6">
        <v>-0.71765698041801551</v>
      </c>
      <c r="J1758" s="6">
        <v>3000000</v>
      </c>
      <c r="K1758" s="6">
        <v>17.81787154524508</v>
      </c>
      <c r="L1758" t="s">
        <v>17</v>
      </c>
      <c r="M1758" t="s">
        <v>18</v>
      </c>
      <c r="N1758" s="4" t="s">
        <v>4639</v>
      </c>
      <c r="O1758" s="4" t="s">
        <v>4640</v>
      </c>
      <c r="P1758" s="4" t="s">
        <v>233</v>
      </c>
    </row>
    <row r="1759" spans="1:16" x14ac:dyDescent="0.35">
      <c r="A1759" t="s">
        <v>12329</v>
      </c>
      <c r="B1759" t="s">
        <v>5523</v>
      </c>
      <c r="C1759" t="s">
        <v>16</v>
      </c>
      <c r="D1759" s="6">
        <v>4259268893.5097885</v>
      </c>
      <c r="E1759" s="6">
        <v>3909440893.5097885</v>
      </c>
      <c r="F1759" s="6">
        <v>42.119998931884766</v>
      </c>
      <c r="G1759" s="6">
        <v>40.790000915527344</v>
      </c>
      <c r="H1759" s="6" t="e">
        <v>#N/A</v>
      </c>
      <c r="I1759" s="6">
        <v>-0.1349470178065002</v>
      </c>
      <c r="J1759" s="6">
        <v>0</v>
      </c>
      <c r="K1759" s="6">
        <v>-30.491074898946174</v>
      </c>
      <c r="L1759" t="s">
        <v>17</v>
      </c>
      <c r="M1759" t="s">
        <v>18</v>
      </c>
      <c r="N1759" s="4" t="s">
        <v>233</v>
      </c>
      <c r="O1759" s="4" t="s">
        <v>5524</v>
      </c>
      <c r="P1759" s="4" t="s">
        <v>13087</v>
      </c>
    </row>
    <row r="1760" spans="1:16" x14ac:dyDescent="0.35">
      <c r="A1760" t="s">
        <v>12330</v>
      </c>
      <c r="B1760" t="s">
        <v>12331</v>
      </c>
      <c r="C1760" t="s">
        <v>16</v>
      </c>
      <c r="D1760" s="6">
        <v>994479639.72267139</v>
      </c>
      <c r="E1760" s="6">
        <v>3084297639.7226715</v>
      </c>
      <c r="F1760" s="6">
        <v>8.0200004577636719</v>
      </c>
      <c r="G1760" s="6">
        <v>7.9499998092651367</v>
      </c>
      <c r="H1760" s="6" t="e">
        <v>#N/A</v>
      </c>
      <c r="I1760" s="6">
        <v>0.24007565259297192</v>
      </c>
      <c r="J1760" s="6">
        <v>572424000</v>
      </c>
      <c r="K1760" s="6" t="e">
        <v>#N/A</v>
      </c>
      <c r="L1760" t="s">
        <v>6623</v>
      </c>
      <c r="M1760" t="s">
        <v>6866</v>
      </c>
      <c r="N1760" s="4" t="s">
        <v>12332</v>
      </c>
      <c r="O1760" s="4" t="s">
        <v>12333</v>
      </c>
      <c r="P1760" s="4" t="s">
        <v>233</v>
      </c>
    </row>
    <row r="1761" spans="1:16" x14ac:dyDescent="0.35">
      <c r="A1761" t="s">
        <v>12334</v>
      </c>
      <c r="B1761" t="s">
        <v>12335</v>
      </c>
      <c r="C1761" t="s">
        <v>16</v>
      </c>
      <c r="D1761" s="6">
        <v>818472723.03481293</v>
      </c>
      <c r="E1761" s="6">
        <v>1735772723.0348129</v>
      </c>
      <c r="F1761" s="6">
        <v>14.180000305175781</v>
      </c>
      <c r="G1761" s="6">
        <v>13.810000419616699</v>
      </c>
      <c r="H1761" s="6">
        <v>9.7296624364197992</v>
      </c>
      <c r="I1761" s="6">
        <v>-0.40101194579538624</v>
      </c>
      <c r="J1761" s="6">
        <v>1911500000</v>
      </c>
      <c r="K1761" s="6">
        <v>-70.967741935483858</v>
      </c>
      <c r="L1761" t="s">
        <v>6563</v>
      </c>
      <c r="M1761" t="s">
        <v>6764</v>
      </c>
      <c r="N1761" s="4" t="s">
        <v>233</v>
      </c>
      <c r="O1761" s="4" t="s">
        <v>12336</v>
      </c>
      <c r="P1761" s="4" t="s">
        <v>13276</v>
      </c>
    </row>
    <row r="1762" spans="1:16" x14ac:dyDescent="0.35">
      <c r="A1762" t="s">
        <v>12337</v>
      </c>
      <c r="B1762" t="s">
        <v>12338</v>
      </c>
      <c r="C1762" t="s">
        <v>16</v>
      </c>
      <c r="D1762" s="6">
        <v>240970678.65343472</v>
      </c>
      <c r="E1762" s="6" t="e">
        <v>#N/A</v>
      </c>
      <c r="F1762" s="6">
        <v>30.290000915527344</v>
      </c>
      <c r="G1762" s="6">
        <v>30.579999923706055</v>
      </c>
      <c r="H1762" s="6">
        <v>9.8022752395723689</v>
      </c>
      <c r="I1762" s="6">
        <v>0.14024406125569455</v>
      </c>
      <c r="J1762" s="6">
        <v>108622000</v>
      </c>
      <c r="K1762" s="6">
        <v>-2.2012578616352152</v>
      </c>
      <c r="L1762" t="s">
        <v>6529</v>
      </c>
      <c r="M1762" t="s">
        <v>6530</v>
      </c>
      <c r="N1762" s="4" t="s">
        <v>12339</v>
      </c>
      <c r="O1762" s="4" t="s">
        <v>12340</v>
      </c>
      <c r="P1762" s="4" t="s">
        <v>233</v>
      </c>
    </row>
    <row r="1763" spans="1:16" x14ac:dyDescent="0.35">
      <c r="A1763" t="s">
        <v>12341</v>
      </c>
      <c r="B1763" t="s">
        <v>12342</v>
      </c>
      <c r="C1763" t="s">
        <v>16</v>
      </c>
      <c r="D1763" s="6">
        <v>124993524.95649004</v>
      </c>
      <c r="E1763" s="6">
        <v>115850215.95649004</v>
      </c>
      <c r="F1763" s="6">
        <v>3.9000000953674316</v>
      </c>
      <c r="G1763" s="6">
        <v>3.9600000381469727</v>
      </c>
      <c r="H1763" s="6" t="e">
        <v>#N/A</v>
      </c>
      <c r="I1763" s="6">
        <v>0.39159672790578171</v>
      </c>
      <c r="J1763" s="6">
        <v>0</v>
      </c>
      <c r="K1763" s="6">
        <v>-31.338983725279547</v>
      </c>
      <c r="L1763" t="s">
        <v>6523</v>
      </c>
      <c r="M1763" t="s">
        <v>6524</v>
      </c>
      <c r="N1763" s="4" t="s">
        <v>12343</v>
      </c>
      <c r="O1763" s="4" t="s">
        <v>12344</v>
      </c>
      <c r="P1763" s="4" t="s">
        <v>233</v>
      </c>
    </row>
    <row r="1764" spans="1:16" x14ac:dyDescent="0.35">
      <c r="A1764" t="s">
        <v>12345</v>
      </c>
      <c r="B1764" t="s">
        <v>12346</v>
      </c>
      <c r="C1764" t="s">
        <v>16</v>
      </c>
      <c r="D1764" s="6">
        <v>1375236976.8733137</v>
      </c>
      <c r="E1764" s="6">
        <v>1834836976.8733137</v>
      </c>
      <c r="F1764" s="6">
        <v>41.369998931884766</v>
      </c>
      <c r="G1764" s="6">
        <v>41.860000610351563</v>
      </c>
      <c r="H1764" s="6">
        <v>25.889695582909152</v>
      </c>
      <c r="I1764" s="6">
        <v>-1.3014868456660444E-2</v>
      </c>
      <c r="J1764" s="6">
        <v>819800000</v>
      </c>
      <c r="K1764" s="6">
        <v>-28.930817610062892</v>
      </c>
      <c r="L1764" t="s">
        <v>6547</v>
      </c>
      <c r="M1764" t="s">
        <v>6668</v>
      </c>
      <c r="N1764" s="4" t="s">
        <v>12347</v>
      </c>
      <c r="O1764" s="4" t="s">
        <v>12348</v>
      </c>
      <c r="P1764" s="4" t="s">
        <v>233</v>
      </c>
    </row>
    <row r="1765" spans="1:16" x14ac:dyDescent="0.35">
      <c r="A1765" t="s">
        <v>12349</v>
      </c>
      <c r="B1765" t="s">
        <v>272</v>
      </c>
      <c r="C1765" t="s">
        <v>16</v>
      </c>
      <c r="D1765" s="6">
        <v>466452182.54089355</v>
      </c>
      <c r="E1765" s="6">
        <v>1104013182.5408936</v>
      </c>
      <c r="F1765" s="6">
        <v>24.459999084472656</v>
      </c>
      <c r="G1765" s="6">
        <v>24.629999160766602</v>
      </c>
      <c r="H1765" s="6" t="e">
        <v>#N/A</v>
      </c>
      <c r="I1765" s="6">
        <v>1.049702013611661</v>
      </c>
      <c r="J1765" s="6">
        <v>278115000</v>
      </c>
      <c r="K1765" s="6">
        <v>64.86486486486487</v>
      </c>
      <c r="L1765" t="s">
        <v>17</v>
      </c>
      <c r="M1765" t="s">
        <v>40</v>
      </c>
      <c r="N1765" s="4" t="s">
        <v>273</v>
      </c>
      <c r="O1765" s="4" t="s">
        <v>274</v>
      </c>
      <c r="P1765" s="4" t="s">
        <v>233</v>
      </c>
    </row>
    <row r="1766" spans="1:16" x14ac:dyDescent="0.35">
      <c r="A1766" t="s">
        <v>12350</v>
      </c>
      <c r="B1766" t="s">
        <v>12351</v>
      </c>
      <c r="C1766" t="s">
        <v>16</v>
      </c>
      <c r="D1766" s="6">
        <v>8530488827.1188974</v>
      </c>
      <c r="E1766" s="6">
        <v>8791667827.1188965</v>
      </c>
      <c r="F1766" s="6">
        <v>153.8699951171875</v>
      </c>
      <c r="G1766" s="6">
        <v>154.80999755859375</v>
      </c>
      <c r="H1766" s="6">
        <v>28.919648054466652</v>
      </c>
      <c r="I1766" s="6">
        <v>0.33761554250883474</v>
      </c>
      <c r="J1766" s="6">
        <v>698625000</v>
      </c>
      <c r="K1766" s="6">
        <v>66.185206412070499</v>
      </c>
      <c r="L1766" t="s">
        <v>6529</v>
      </c>
      <c r="M1766" t="s">
        <v>6568</v>
      </c>
      <c r="N1766" s="4" t="s">
        <v>12352</v>
      </c>
      <c r="O1766" s="4" t="s">
        <v>12353</v>
      </c>
      <c r="P1766" s="4" t="s">
        <v>233</v>
      </c>
    </row>
    <row r="1767" spans="1:16" x14ac:dyDescent="0.35">
      <c r="A1767" t="s">
        <v>12358</v>
      </c>
      <c r="B1767" t="s">
        <v>12359</v>
      </c>
      <c r="C1767" t="s">
        <v>16</v>
      </c>
      <c r="D1767" s="6">
        <v>1131568919.4534616</v>
      </c>
      <c r="E1767" s="6">
        <v>1890130919.4534616</v>
      </c>
      <c r="F1767" s="6">
        <v>13.869999885559082</v>
      </c>
      <c r="G1767" s="6">
        <v>14.090000152587891</v>
      </c>
      <c r="H1767" s="6">
        <v>69.87511088610448</v>
      </c>
      <c r="I1767" s="6">
        <v>-0.15861558123058872</v>
      </c>
      <c r="J1767" s="6">
        <v>155546000</v>
      </c>
      <c r="K1767" s="6" t="e">
        <v>#N/A</v>
      </c>
      <c r="L1767" t="s">
        <v>6623</v>
      </c>
      <c r="M1767" t="s">
        <v>7043</v>
      </c>
      <c r="N1767" s="4" t="s">
        <v>12360</v>
      </c>
      <c r="O1767" s="4" t="s">
        <v>12361</v>
      </c>
      <c r="P1767" s="4" t="s">
        <v>233</v>
      </c>
    </row>
    <row r="1768" spans="1:16" x14ac:dyDescent="0.35">
      <c r="A1768" t="s">
        <v>12354</v>
      </c>
      <c r="B1768" t="s">
        <v>12355</v>
      </c>
      <c r="C1768" t="s">
        <v>16</v>
      </c>
      <c r="D1768" s="6">
        <v>6756199746.9546204</v>
      </c>
      <c r="E1768" s="6" t="e">
        <v>#N/A</v>
      </c>
      <c r="F1768" s="6">
        <v>106.70999908447266</v>
      </c>
      <c r="G1768" s="6">
        <v>106.44000244140625</v>
      </c>
      <c r="H1768" s="6">
        <v>166.16008278336849</v>
      </c>
      <c r="I1768" s="6">
        <v>0.1958484388637074</v>
      </c>
      <c r="J1768" s="6">
        <v>1557283000</v>
      </c>
      <c r="K1768" s="6">
        <v>-50</v>
      </c>
      <c r="L1768" t="s">
        <v>6547</v>
      </c>
      <c r="M1768" t="s">
        <v>6802</v>
      </c>
      <c r="N1768" s="4" t="s">
        <v>12356</v>
      </c>
      <c r="O1768" s="4" t="s">
        <v>12357</v>
      </c>
      <c r="P1768" s="4" t="s">
        <v>233</v>
      </c>
    </row>
    <row r="1769" spans="1:16" x14ac:dyDescent="0.35">
      <c r="A1769" t="s">
        <v>12362</v>
      </c>
      <c r="B1769" t="s">
        <v>12363</v>
      </c>
      <c r="C1769" t="s">
        <v>16</v>
      </c>
      <c r="D1769" s="6">
        <v>2818929887.500001</v>
      </c>
      <c r="E1769" s="6">
        <v>5112586887.500001</v>
      </c>
      <c r="F1769" s="6">
        <v>51.25</v>
      </c>
      <c r="G1769" s="6">
        <v>51.419998168945313</v>
      </c>
      <c r="H1769" s="6">
        <v>11.242057623387339</v>
      </c>
      <c r="I1769" s="6">
        <v>1.8834594036247321E-2</v>
      </c>
      <c r="J1769" s="6">
        <v>1729882000</v>
      </c>
      <c r="K1769" s="6">
        <v>6.0686015831134439</v>
      </c>
      <c r="L1769" t="s">
        <v>6540</v>
      </c>
      <c r="M1769" t="s">
        <v>6825</v>
      </c>
      <c r="N1769" s="4" t="s">
        <v>12364</v>
      </c>
      <c r="O1769" s="4" t="s">
        <v>12365</v>
      </c>
      <c r="P1769" s="4" t="s">
        <v>233</v>
      </c>
    </row>
    <row r="1770" spans="1:16" x14ac:dyDescent="0.35">
      <c r="A1770" t="s">
        <v>12366</v>
      </c>
      <c r="B1770" t="s">
        <v>12367</v>
      </c>
      <c r="C1770" t="s">
        <v>16</v>
      </c>
      <c r="D1770" s="6">
        <v>2868462468.3240509</v>
      </c>
      <c r="E1770" s="6">
        <v>2884728468.3240509</v>
      </c>
      <c r="F1770" s="6">
        <v>93.550003051757813</v>
      </c>
      <c r="G1770" s="6">
        <v>93.970001220703125</v>
      </c>
      <c r="H1770" s="6">
        <v>20.029615793604787</v>
      </c>
      <c r="I1770" s="6">
        <v>0.18944131859391566</v>
      </c>
      <c r="J1770" s="6">
        <v>5005367000</v>
      </c>
      <c r="K1770" s="6">
        <v>24.504027027027036</v>
      </c>
      <c r="L1770" t="s">
        <v>6735</v>
      </c>
      <c r="M1770" t="s">
        <v>6736</v>
      </c>
      <c r="N1770" s="4" t="s">
        <v>12368</v>
      </c>
      <c r="O1770" s="4" t="s">
        <v>12369</v>
      </c>
      <c r="P1770" s="4" t="s">
        <v>233</v>
      </c>
    </row>
    <row r="1771" spans="1:16" x14ac:dyDescent="0.35">
      <c r="A1771" t="s">
        <v>12370</v>
      </c>
      <c r="B1771" t="s">
        <v>12371</v>
      </c>
      <c r="C1771" t="s">
        <v>16</v>
      </c>
      <c r="D1771" s="6">
        <v>794021465.34243381</v>
      </c>
      <c r="E1771" s="6" t="e">
        <v>#N/A</v>
      </c>
      <c r="F1771" s="6">
        <v>49.189998626708984</v>
      </c>
      <c r="G1771" s="6">
        <v>50.610000610351563</v>
      </c>
      <c r="H1771" s="6">
        <v>9.9776873482168327</v>
      </c>
      <c r="I1771" s="6">
        <v>0.3082762833212449</v>
      </c>
      <c r="J1771" s="6">
        <v>361891000</v>
      </c>
      <c r="K1771" s="6">
        <v>-3.8986354775828493</v>
      </c>
      <c r="L1771" t="s">
        <v>6529</v>
      </c>
      <c r="M1771" t="s">
        <v>6530</v>
      </c>
      <c r="N1771" s="4" t="s">
        <v>12372</v>
      </c>
      <c r="O1771" s="4" t="s">
        <v>12373</v>
      </c>
      <c r="P1771" s="4" t="s">
        <v>233</v>
      </c>
    </row>
    <row r="1772" spans="1:16" x14ac:dyDescent="0.35">
      <c r="A1772" t="s">
        <v>12374</v>
      </c>
      <c r="B1772" t="s">
        <v>12375</v>
      </c>
      <c r="C1772" t="s">
        <v>16</v>
      </c>
      <c r="D1772" s="6">
        <v>493986210.04013819</v>
      </c>
      <c r="E1772" s="6">
        <v>995887210.04013824</v>
      </c>
      <c r="F1772" s="6">
        <v>12.069999694824219</v>
      </c>
      <c r="G1772" s="6">
        <v>12.069999694824219</v>
      </c>
      <c r="H1772" s="6">
        <v>27.034351085571942</v>
      </c>
      <c r="I1772" s="6">
        <v>0.28863429493031401</v>
      </c>
      <c r="J1772" s="6">
        <v>386033000</v>
      </c>
      <c r="K1772" s="6">
        <v>157.14285714285717</v>
      </c>
      <c r="L1772" t="s">
        <v>6540</v>
      </c>
      <c r="M1772" t="s">
        <v>6825</v>
      </c>
      <c r="N1772" s="4" t="s">
        <v>12376</v>
      </c>
      <c r="O1772" s="4" t="s">
        <v>12377</v>
      </c>
      <c r="P1772" s="4" t="s">
        <v>233</v>
      </c>
    </row>
    <row r="1773" spans="1:16" x14ac:dyDescent="0.35">
      <c r="A1773" t="s">
        <v>12379</v>
      </c>
      <c r="B1773" t="s">
        <v>535</v>
      </c>
      <c r="C1773" t="s">
        <v>16</v>
      </c>
      <c r="D1773" s="6">
        <v>435568474.09032005</v>
      </c>
      <c r="E1773" s="6">
        <v>337805542.09032005</v>
      </c>
      <c r="F1773" s="6">
        <v>6.0999999046325684</v>
      </c>
      <c r="G1773" s="6">
        <v>5.9200000762939453</v>
      </c>
      <c r="H1773" s="6">
        <v>4.9849144266960712</v>
      </c>
      <c r="I1773" s="6">
        <v>0.28366434485325764</v>
      </c>
      <c r="J1773" s="6">
        <v>173731385</v>
      </c>
      <c r="K1773" s="6" t="e">
        <v>#N/A</v>
      </c>
      <c r="L1773" t="s">
        <v>17</v>
      </c>
      <c r="M1773" t="s">
        <v>87</v>
      </c>
      <c r="N1773" s="4" t="s">
        <v>536</v>
      </c>
      <c r="O1773" s="4" t="s">
        <v>537</v>
      </c>
      <c r="P1773" s="4" t="s">
        <v>233</v>
      </c>
    </row>
    <row r="1774" spans="1:16" x14ac:dyDescent="0.35">
      <c r="A1774" t="s">
        <v>12378</v>
      </c>
      <c r="B1774" t="s">
        <v>2772</v>
      </c>
      <c r="C1774" t="s">
        <v>16</v>
      </c>
      <c r="D1774" s="6">
        <v>984599727.22447968</v>
      </c>
      <c r="E1774" s="6">
        <v>1739037727.2244797</v>
      </c>
      <c r="F1774" s="6">
        <v>30.530000686645508</v>
      </c>
      <c r="G1774" s="6">
        <v>31.280000686645508</v>
      </c>
      <c r="H1774" s="6">
        <v>10.408360469042888</v>
      </c>
      <c r="I1774" s="6">
        <v>-9.3820705328878318E-2</v>
      </c>
      <c r="J1774" s="6">
        <v>599245000</v>
      </c>
      <c r="K1774" s="6">
        <v>914.81481481481489</v>
      </c>
      <c r="L1774" t="s">
        <v>17</v>
      </c>
      <c r="M1774" t="s">
        <v>87</v>
      </c>
      <c r="N1774" s="4" t="s">
        <v>2773</v>
      </c>
      <c r="O1774" s="4" t="s">
        <v>2774</v>
      </c>
      <c r="P1774" s="4" t="s">
        <v>233</v>
      </c>
    </row>
    <row r="1775" spans="1:16" x14ac:dyDescent="0.35">
      <c r="A1775" t="s">
        <v>12380</v>
      </c>
      <c r="B1775" t="s">
        <v>3812</v>
      </c>
      <c r="C1775" t="s">
        <v>16</v>
      </c>
      <c r="D1775" s="6">
        <v>141039761.56688949</v>
      </c>
      <c r="E1775" s="6">
        <v>-5358238.4331105351</v>
      </c>
      <c r="F1775" s="6">
        <v>3.5299999713897705</v>
      </c>
      <c r="G1775" s="6">
        <v>3.2699999809265137</v>
      </c>
      <c r="H1775" s="6" t="e">
        <v>#N/A</v>
      </c>
      <c r="I1775" s="6">
        <v>-0.56158812258972546</v>
      </c>
      <c r="J1775" s="6">
        <v>0</v>
      </c>
      <c r="K1775" s="6">
        <v>22.497978119137851</v>
      </c>
      <c r="L1775" t="s">
        <v>17</v>
      </c>
      <c r="M1775" t="s">
        <v>18</v>
      </c>
      <c r="N1775" s="4" t="s">
        <v>3813</v>
      </c>
      <c r="O1775" s="4" t="s">
        <v>3814</v>
      </c>
      <c r="P1775" s="4" t="s">
        <v>233</v>
      </c>
    </row>
    <row r="1776" spans="1:16" x14ac:dyDescent="0.35">
      <c r="A1776" t="s">
        <v>12381</v>
      </c>
      <c r="B1776" t="s">
        <v>12382</v>
      </c>
      <c r="C1776" t="s">
        <v>16</v>
      </c>
      <c r="D1776" s="6">
        <v>611213741.37400818</v>
      </c>
      <c r="E1776" s="6">
        <v>1248026466.3740082</v>
      </c>
      <c r="F1776" s="6">
        <v>20.389999389648438</v>
      </c>
      <c r="G1776" s="6">
        <v>19.959999084472656</v>
      </c>
      <c r="H1776" s="6" t="e">
        <v>#N/A</v>
      </c>
      <c r="I1776" s="6">
        <v>0.33158583273913611</v>
      </c>
      <c r="J1776" s="6">
        <v>118662000</v>
      </c>
      <c r="K1776" s="6" t="e">
        <v>#N/A</v>
      </c>
      <c r="L1776" t="s">
        <v>6623</v>
      </c>
      <c r="M1776" t="s">
        <v>6700</v>
      </c>
      <c r="N1776" s="4" t="s">
        <v>12383</v>
      </c>
      <c r="O1776" s="4" t="s">
        <v>12384</v>
      </c>
      <c r="P1776" s="4" t="s">
        <v>233</v>
      </c>
    </row>
    <row r="1777" spans="1:16" x14ac:dyDescent="0.35">
      <c r="A1777" t="s">
        <v>12385</v>
      </c>
      <c r="B1777" t="s">
        <v>12386</v>
      </c>
      <c r="C1777" t="s">
        <v>16</v>
      </c>
      <c r="D1777" s="6">
        <v>6106923996.7461386</v>
      </c>
      <c r="E1777" s="6">
        <v>9461643996.7461395</v>
      </c>
      <c r="F1777" s="6">
        <v>101.94999694824219</v>
      </c>
      <c r="G1777" s="6">
        <v>101.75</v>
      </c>
      <c r="H1777" s="6">
        <v>18.58438513268143</v>
      </c>
      <c r="I1777" s="6">
        <v>-7.2529827090911048E-2</v>
      </c>
      <c r="J1777" s="6">
        <v>2324656000</v>
      </c>
      <c r="K1777" s="6">
        <v>43.176178660049608</v>
      </c>
      <c r="L1777" t="s">
        <v>6623</v>
      </c>
      <c r="M1777" t="s">
        <v>7409</v>
      </c>
      <c r="N1777" s="4" t="s">
        <v>12387</v>
      </c>
      <c r="O1777" s="4" t="s">
        <v>12388</v>
      </c>
      <c r="P1777" s="4" t="s">
        <v>233</v>
      </c>
    </row>
    <row r="1778" spans="1:16" x14ac:dyDescent="0.35">
      <c r="A1778" t="s">
        <v>12389</v>
      </c>
      <c r="B1778" t="s">
        <v>3040</v>
      </c>
      <c r="C1778" t="s">
        <v>16</v>
      </c>
      <c r="D1778" s="6">
        <v>114022538.73498344</v>
      </c>
      <c r="E1778" s="6">
        <v>117623188.73498344</v>
      </c>
      <c r="F1778" s="6">
        <v>0.71840000152587891</v>
      </c>
      <c r="G1778" s="6">
        <v>0.72619998455047607</v>
      </c>
      <c r="H1778" s="6" t="e">
        <v>#N/A</v>
      </c>
      <c r="I1778" s="6">
        <v>-0.78528737851526342</v>
      </c>
      <c r="J1778" s="6">
        <v>0</v>
      </c>
      <c r="K1778" s="6">
        <v>-21.887613032869268</v>
      </c>
      <c r="L1778" t="s">
        <v>17</v>
      </c>
      <c r="M1778" t="s">
        <v>18</v>
      </c>
      <c r="N1778" s="4" t="s">
        <v>3041</v>
      </c>
      <c r="O1778" s="4" t="s">
        <v>3042</v>
      </c>
      <c r="P1778" s="4" t="s">
        <v>233</v>
      </c>
    </row>
    <row r="1779" spans="1:16" x14ac:dyDescent="0.35">
      <c r="A1779" t="s">
        <v>12390</v>
      </c>
      <c r="B1779" t="s">
        <v>12391</v>
      </c>
      <c r="C1779" t="s">
        <v>16</v>
      </c>
      <c r="D1779" s="6">
        <v>383480622</v>
      </c>
      <c r="E1779" s="6">
        <v>358813944</v>
      </c>
      <c r="F1779" s="6">
        <v>21</v>
      </c>
      <c r="G1779" s="6">
        <v>20.120000839233398</v>
      </c>
      <c r="H1779" s="6">
        <v>67.175924148785072</v>
      </c>
      <c r="I1779" s="6">
        <v>0.75399571391630649</v>
      </c>
      <c r="J1779" s="6">
        <v>21199507</v>
      </c>
      <c r="K1779" s="6">
        <v>14.945260179655318</v>
      </c>
      <c r="L1779" t="s">
        <v>6518</v>
      </c>
      <c r="M1779" t="s">
        <v>6519</v>
      </c>
      <c r="N1779" s="4" t="s">
        <v>12392</v>
      </c>
      <c r="O1779" s="4" t="s">
        <v>12393</v>
      </c>
      <c r="P1779" s="4" t="s">
        <v>233</v>
      </c>
    </row>
    <row r="1780" spans="1:16" x14ac:dyDescent="0.35">
      <c r="A1780" t="s">
        <v>12398</v>
      </c>
      <c r="B1780" t="s">
        <v>5310</v>
      </c>
      <c r="C1780" t="s">
        <v>16</v>
      </c>
      <c r="D1780" s="6">
        <v>1093387753.8904552</v>
      </c>
      <c r="E1780" s="6">
        <v>1165855753.8904552</v>
      </c>
      <c r="F1780" s="6">
        <v>13.060000419616699</v>
      </c>
      <c r="G1780" s="6">
        <v>13.050000190734863</v>
      </c>
      <c r="H1780" s="6" t="e">
        <v>#N/A</v>
      </c>
      <c r="I1780" s="6">
        <v>-0.10214047603126453</v>
      </c>
      <c r="J1780" s="6">
        <v>244995000</v>
      </c>
      <c r="K1780" s="6">
        <v>13.083132897495759</v>
      </c>
      <c r="L1780" t="s">
        <v>17</v>
      </c>
      <c r="M1780" t="s">
        <v>27</v>
      </c>
      <c r="N1780" s="4" t="s">
        <v>5311</v>
      </c>
      <c r="O1780" s="4" t="s">
        <v>5312</v>
      </c>
      <c r="P1780" s="4" t="s">
        <v>233</v>
      </c>
    </row>
    <row r="1781" spans="1:16" x14ac:dyDescent="0.35">
      <c r="A1781" t="s">
        <v>12394</v>
      </c>
      <c r="B1781" t="s">
        <v>12395</v>
      </c>
      <c r="C1781" t="s">
        <v>16</v>
      </c>
      <c r="D1781" s="6">
        <v>239759055.46396813</v>
      </c>
      <c r="E1781" s="6">
        <v>243378905.46396813</v>
      </c>
      <c r="F1781" s="6">
        <v>1.8600000143051147</v>
      </c>
      <c r="G1781" s="6">
        <v>1.8300000429153442</v>
      </c>
      <c r="H1781" s="6" t="e">
        <v>#N/A</v>
      </c>
      <c r="I1781" s="6">
        <v>-0.42149344263639144</v>
      </c>
      <c r="J1781" s="6">
        <v>104032441</v>
      </c>
      <c r="K1781" s="6" t="e">
        <v>#N/A</v>
      </c>
      <c r="L1781" t="s">
        <v>6514</v>
      </c>
      <c r="M1781" t="s">
        <v>6690</v>
      </c>
      <c r="N1781" s="4" t="s">
        <v>12396</v>
      </c>
      <c r="O1781" s="4" t="s">
        <v>12397</v>
      </c>
      <c r="P1781" s="4" t="s">
        <v>233</v>
      </c>
    </row>
    <row r="1782" spans="1:16" x14ac:dyDescent="0.35">
      <c r="A1782" t="s">
        <v>12399</v>
      </c>
      <c r="B1782" t="s">
        <v>2609</v>
      </c>
      <c r="C1782" t="s">
        <v>16</v>
      </c>
      <c r="D1782" s="6">
        <v>1514080894.8641207</v>
      </c>
      <c r="E1782" s="6">
        <v>2020561894.8641207</v>
      </c>
      <c r="F1782" s="6">
        <v>10.680000305175781</v>
      </c>
      <c r="G1782" s="6">
        <v>10.829999923706055</v>
      </c>
      <c r="H1782" s="6" t="e">
        <v>#N/A</v>
      </c>
      <c r="I1782" s="6">
        <v>-0.34722297420432424</v>
      </c>
      <c r="J1782" s="6">
        <v>572739000</v>
      </c>
      <c r="K1782" s="6">
        <v>15.231788079470196</v>
      </c>
      <c r="L1782" t="s">
        <v>17</v>
      </c>
      <c r="M1782" t="s">
        <v>27</v>
      </c>
      <c r="N1782" s="4" t="s">
        <v>2610</v>
      </c>
      <c r="O1782" s="4" t="s">
        <v>2611</v>
      </c>
      <c r="P1782" s="4" t="s">
        <v>233</v>
      </c>
    </row>
    <row r="1783" spans="1:16" x14ac:dyDescent="0.35">
      <c r="A1783" t="s">
        <v>12400</v>
      </c>
      <c r="B1783" t="s">
        <v>12401</v>
      </c>
      <c r="C1783" t="s">
        <v>16</v>
      </c>
      <c r="D1783" s="6">
        <v>1468092988.325037</v>
      </c>
      <c r="E1783" s="6">
        <v>3066462988.325037</v>
      </c>
      <c r="F1783" s="6">
        <v>22.280000686645508</v>
      </c>
      <c r="G1783" s="6">
        <v>22.25</v>
      </c>
      <c r="H1783" s="6">
        <v>71.049772107051425</v>
      </c>
      <c r="I1783" s="6">
        <v>0.45471461643103761</v>
      </c>
      <c r="J1783" s="6">
        <v>1962220000</v>
      </c>
      <c r="K1783" s="6" t="e">
        <v>#N/A</v>
      </c>
      <c r="L1783" t="s">
        <v>6547</v>
      </c>
      <c r="M1783" t="s">
        <v>9330</v>
      </c>
      <c r="N1783" s="4" t="s">
        <v>12402</v>
      </c>
      <c r="O1783" s="4" t="s">
        <v>12403</v>
      </c>
      <c r="P1783" s="4" t="s">
        <v>233</v>
      </c>
    </row>
    <row r="1784" spans="1:16" x14ac:dyDescent="0.35">
      <c r="A1784" t="s">
        <v>12404</v>
      </c>
      <c r="B1784" t="s">
        <v>12405</v>
      </c>
      <c r="C1784" t="s">
        <v>16</v>
      </c>
      <c r="D1784" s="6">
        <v>5783911508.3875456</v>
      </c>
      <c r="E1784" s="6">
        <v>4411911508.3875456</v>
      </c>
      <c r="F1784" s="6">
        <v>45.869998931884766</v>
      </c>
      <c r="G1784" s="6">
        <v>45.889999389648438</v>
      </c>
      <c r="H1784" s="6" t="e">
        <v>#N/A</v>
      </c>
      <c r="I1784" s="6">
        <v>7.7773369923721525E-3</v>
      </c>
      <c r="J1784" s="6">
        <v>5797000000</v>
      </c>
      <c r="K1784" s="6">
        <v>-99.130434782608702</v>
      </c>
      <c r="L1784" t="s">
        <v>6529</v>
      </c>
      <c r="M1784" t="s">
        <v>6664</v>
      </c>
      <c r="N1784" s="4" t="s">
        <v>12406</v>
      </c>
      <c r="O1784" s="4" t="s">
        <v>12407</v>
      </c>
      <c r="P1784" s="4" t="s">
        <v>233</v>
      </c>
    </row>
    <row r="1785" spans="1:16" x14ac:dyDescent="0.35">
      <c r="A1785" t="s">
        <v>12408</v>
      </c>
      <c r="B1785" t="s">
        <v>12409</v>
      </c>
      <c r="C1785" t="s">
        <v>16</v>
      </c>
      <c r="D1785" s="6">
        <v>2454504582.2819366</v>
      </c>
      <c r="E1785" s="6" t="e">
        <v>#N/A</v>
      </c>
      <c r="F1785" s="6">
        <v>71.790000915527344</v>
      </c>
      <c r="G1785" s="6">
        <v>76.779998779296875</v>
      </c>
      <c r="H1785" s="6">
        <v>9.7941283410784141</v>
      </c>
      <c r="I1785" s="6">
        <v>0.23272756697622388</v>
      </c>
      <c r="J1785" s="6">
        <v>14224300000</v>
      </c>
      <c r="K1785" s="6">
        <v>24.557956777996072</v>
      </c>
      <c r="L1785" t="s">
        <v>6540</v>
      </c>
      <c r="M1785" t="s">
        <v>6541</v>
      </c>
      <c r="N1785" s="4" t="s">
        <v>12410</v>
      </c>
      <c r="O1785" s="4" t="s">
        <v>12411</v>
      </c>
      <c r="P1785" s="4" t="s">
        <v>233</v>
      </c>
    </row>
    <row r="1786" spans="1:16" x14ac:dyDescent="0.35">
      <c r="A1786" t="s">
        <v>12412</v>
      </c>
      <c r="B1786" t="s">
        <v>12413</v>
      </c>
      <c r="C1786" t="s">
        <v>16</v>
      </c>
      <c r="D1786" s="6">
        <v>1688573388.6520386</v>
      </c>
      <c r="E1786" s="6">
        <v>1247512388.6520386</v>
      </c>
      <c r="F1786" s="6">
        <v>64.230003356933594</v>
      </c>
      <c r="G1786" s="6">
        <v>64.650001525878906</v>
      </c>
      <c r="H1786" s="6">
        <v>19.728010658264861</v>
      </c>
      <c r="I1786" s="6">
        <v>-4.3045733943156694E-2</v>
      </c>
      <c r="J1786" s="6">
        <v>2802118000</v>
      </c>
      <c r="K1786" s="6">
        <v>4.4164037854889626</v>
      </c>
      <c r="L1786" t="s">
        <v>6518</v>
      </c>
      <c r="M1786" t="s">
        <v>6714</v>
      </c>
      <c r="N1786" s="4" t="s">
        <v>12414</v>
      </c>
      <c r="O1786" s="4" t="s">
        <v>12415</v>
      </c>
      <c r="P1786" s="4" t="s">
        <v>233</v>
      </c>
    </row>
    <row r="1787" spans="1:16" x14ac:dyDescent="0.35">
      <c r="A1787" t="s">
        <v>12416</v>
      </c>
      <c r="B1787" t="s">
        <v>4136</v>
      </c>
      <c r="C1787" t="s">
        <v>16</v>
      </c>
      <c r="D1787" s="6">
        <v>890653218.65229034</v>
      </c>
      <c r="E1787" s="6">
        <v>1280994218.6522903</v>
      </c>
      <c r="F1787" s="6">
        <v>25.930000305175781</v>
      </c>
      <c r="G1787" s="6">
        <v>26.049999237060547</v>
      </c>
      <c r="H1787" s="6">
        <v>34.969279232558222</v>
      </c>
      <c r="I1787" s="6">
        <v>0.62761898023407192</v>
      </c>
      <c r="J1787" s="6">
        <v>652302000</v>
      </c>
      <c r="K1787" s="6">
        <v>66.666666666666686</v>
      </c>
      <c r="L1787" t="s">
        <v>17</v>
      </c>
      <c r="M1787" t="s">
        <v>40</v>
      </c>
      <c r="N1787" s="4" t="s">
        <v>4137</v>
      </c>
      <c r="O1787" s="4" t="s">
        <v>4138</v>
      </c>
      <c r="P1787" s="4" t="s">
        <v>233</v>
      </c>
    </row>
    <row r="1788" spans="1:16" x14ac:dyDescent="0.35">
      <c r="A1788" t="s">
        <v>12421</v>
      </c>
      <c r="B1788" t="s">
        <v>12422</v>
      </c>
      <c r="C1788" t="s">
        <v>16</v>
      </c>
      <c r="D1788" s="6">
        <v>1356702695.3951797</v>
      </c>
      <c r="E1788" s="6">
        <v>1549602695.3951797</v>
      </c>
      <c r="F1788" s="6">
        <v>11.930000305175781</v>
      </c>
      <c r="G1788" s="6">
        <v>11.779999732971191</v>
      </c>
      <c r="H1788" s="6">
        <v>13.707413154032922</v>
      </c>
      <c r="I1788" s="6">
        <v>-5.8815744491932498E-2</v>
      </c>
      <c r="J1788" s="6">
        <v>3153200000</v>
      </c>
      <c r="K1788" s="6">
        <v>52.380952380952372</v>
      </c>
      <c r="L1788" t="s">
        <v>6547</v>
      </c>
      <c r="M1788" t="s">
        <v>6802</v>
      </c>
      <c r="N1788" s="4" t="s">
        <v>12423</v>
      </c>
      <c r="O1788" s="4" t="s">
        <v>12424</v>
      </c>
      <c r="P1788" s="4" t="s">
        <v>233</v>
      </c>
    </row>
    <row r="1789" spans="1:16" x14ac:dyDescent="0.35">
      <c r="A1789" t="s">
        <v>12417</v>
      </c>
      <c r="B1789" t="s">
        <v>12418</v>
      </c>
      <c r="C1789" t="s">
        <v>16</v>
      </c>
      <c r="D1789" s="6">
        <v>1973007170.0213585</v>
      </c>
      <c r="E1789" s="6">
        <v>2458196170.0213585</v>
      </c>
      <c r="F1789" s="6">
        <v>7.5799999237060547</v>
      </c>
      <c r="G1789" s="6">
        <v>7.8299999237060547</v>
      </c>
      <c r="H1789" s="6">
        <v>12.960277814510819</v>
      </c>
      <c r="I1789" s="6">
        <v>0.5052706745641391</v>
      </c>
      <c r="J1789" s="6">
        <v>0</v>
      </c>
      <c r="K1789" s="6">
        <v>-29.138153702200206</v>
      </c>
      <c r="L1789" t="s">
        <v>6523</v>
      </c>
      <c r="M1789" t="s">
        <v>6524</v>
      </c>
      <c r="N1789" s="4" t="s">
        <v>12419</v>
      </c>
      <c r="O1789" s="4" t="s">
        <v>12420</v>
      </c>
      <c r="P1789" s="4" t="s">
        <v>233</v>
      </c>
    </row>
    <row r="1790" spans="1:16" x14ac:dyDescent="0.35">
      <c r="A1790" t="s">
        <v>12425</v>
      </c>
      <c r="B1790" t="s">
        <v>12426</v>
      </c>
      <c r="C1790" t="s">
        <v>16</v>
      </c>
      <c r="D1790" s="6">
        <v>390471949.96171188</v>
      </c>
      <c r="E1790" s="6">
        <v>286494949.96171188</v>
      </c>
      <c r="F1790" s="6">
        <v>8.4799995422363281</v>
      </c>
      <c r="G1790" s="6">
        <v>9.0799999237060547</v>
      </c>
      <c r="H1790" s="6" t="e">
        <v>#N/A</v>
      </c>
      <c r="I1790" s="6">
        <v>-0.67069897280343849</v>
      </c>
      <c r="J1790" s="6">
        <v>1476271000</v>
      </c>
      <c r="K1790" s="6">
        <v>-106.96378830083569</v>
      </c>
      <c r="L1790" t="s">
        <v>6540</v>
      </c>
      <c r="M1790" t="s">
        <v>6541</v>
      </c>
      <c r="N1790" s="4" t="s">
        <v>12427</v>
      </c>
      <c r="O1790" s="4" t="s">
        <v>12428</v>
      </c>
      <c r="P1790" s="4" t="s">
        <v>233</v>
      </c>
    </row>
    <row r="1791" spans="1:16" x14ac:dyDescent="0.35">
      <c r="A1791" t="s">
        <v>12429</v>
      </c>
      <c r="B1791" t="s">
        <v>12430</v>
      </c>
      <c r="C1791" t="s">
        <v>16</v>
      </c>
      <c r="D1791" s="6">
        <v>934759701.53780448</v>
      </c>
      <c r="E1791" s="6">
        <v>1685047701.5378046</v>
      </c>
      <c r="F1791" s="6">
        <v>11.869999885559082</v>
      </c>
      <c r="G1791" s="6">
        <v>11.560000419616699</v>
      </c>
      <c r="H1791" s="6">
        <v>42.582653704938735</v>
      </c>
      <c r="I1791" s="6">
        <v>-0.42403317790859307</v>
      </c>
      <c r="J1791" s="6">
        <v>1952174000</v>
      </c>
      <c r="K1791" s="6" t="e">
        <v>#N/A</v>
      </c>
      <c r="L1791" t="s">
        <v>6540</v>
      </c>
      <c r="M1791" t="s">
        <v>6541</v>
      </c>
      <c r="N1791" s="4" t="s">
        <v>12431</v>
      </c>
      <c r="O1791" s="4" t="s">
        <v>12432</v>
      </c>
      <c r="P1791" s="4" t="s">
        <v>233</v>
      </c>
    </row>
    <row r="1792" spans="1:16" x14ac:dyDescent="0.35">
      <c r="A1792" t="s">
        <v>12433</v>
      </c>
      <c r="B1792" t="s">
        <v>12434</v>
      </c>
      <c r="C1792" t="s">
        <v>16</v>
      </c>
      <c r="D1792" s="6">
        <v>3419312026.9775391</v>
      </c>
      <c r="E1792" s="6">
        <v>4247612026.9775391</v>
      </c>
      <c r="F1792" s="6">
        <v>77.360000610351563</v>
      </c>
      <c r="G1792" s="6">
        <v>78.120002746582031</v>
      </c>
      <c r="H1792" s="6">
        <v>19.540979122866574</v>
      </c>
      <c r="I1792" s="6">
        <v>-0.20402694604876748</v>
      </c>
      <c r="J1792" s="6">
        <v>4099700000</v>
      </c>
      <c r="K1792" s="6">
        <v>-14.537444933920709</v>
      </c>
      <c r="L1792" t="s">
        <v>6518</v>
      </c>
      <c r="M1792" t="s">
        <v>6789</v>
      </c>
      <c r="N1792" s="4" t="s">
        <v>12435</v>
      </c>
      <c r="O1792" s="4" t="s">
        <v>12436</v>
      </c>
      <c r="P1792" s="4" t="s">
        <v>233</v>
      </c>
    </row>
    <row r="1793" spans="1:16" x14ac:dyDescent="0.35">
      <c r="A1793" t="s">
        <v>12437</v>
      </c>
      <c r="B1793" t="s">
        <v>1352</v>
      </c>
      <c r="C1793" t="s">
        <v>16</v>
      </c>
      <c r="D1793" s="6">
        <v>1547195166.8775942</v>
      </c>
      <c r="E1793" s="6">
        <v>1408496166.8775942</v>
      </c>
      <c r="F1793" s="6">
        <v>100.19999694824219</v>
      </c>
      <c r="G1793" s="6">
        <v>100.5</v>
      </c>
      <c r="H1793" s="6">
        <v>22.042464732218622</v>
      </c>
      <c r="I1793" s="6">
        <v>9.8840991854791005E-2</v>
      </c>
      <c r="J1793" s="6">
        <v>1238946000</v>
      </c>
      <c r="K1793" s="6">
        <v>178.00687285223367</v>
      </c>
      <c r="L1793" t="s">
        <v>17</v>
      </c>
      <c r="M1793" t="s">
        <v>40</v>
      </c>
      <c r="N1793" s="4" t="s">
        <v>1353</v>
      </c>
      <c r="O1793" s="4" t="s">
        <v>1354</v>
      </c>
      <c r="P1793" s="4" t="s">
        <v>233</v>
      </c>
    </row>
    <row r="1794" spans="1:16" x14ac:dyDescent="0.35">
      <c r="A1794" t="s">
        <v>12438</v>
      </c>
      <c r="B1794" t="s">
        <v>12439</v>
      </c>
      <c r="C1794" t="s">
        <v>16</v>
      </c>
      <c r="D1794" s="6">
        <v>828564863.95712447</v>
      </c>
      <c r="E1794" s="6" t="e">
        <v>#N/A</v>
      </c>
      <c r="F1794" s="6">
        <v>24.260000228881836</v>
      </c>
      <c r="G1794" s="6">
        <v>24.659999847412109</v>
      </c>
      <c r="H1794" s="6">
        <v>20.134985931140868</v>
      </c>
      <c r="I1794" s="6">
        <v>0.34604758612483377</v>
      </c>
      <c r="J1794" s="6">
        <v>317185000</v>
      </c>
      <c r="K1794" s="6">
        <v>-28.40909090909091</v>
      </c>
      <c r="L1794" t="s">
        <v>6529</v>
      </c>
      <c r="M1794" t="s">
        <v>6530</v>
      </c>
      <c r="N1794" s="4" t="s">
        <v>12440</v>
      </c>
      <c r="O1794" s="4" t="s">
        <v>12441</v>
      </c>
      <c r="P1794" s="4" t="s">
        <v>233</v>
      </c>
    </row>
    <row r="1795" spans="1:16" x14ac:dyDescent="0.35">
      <c r="A1795" t="s">
        <v>12442</v>
      </c>
      <c r="B1795" t="s">
        <v>12443</v>
      </c>
      <c r="C1795" t="s">
        <v>16</v>
      </c>
      <c r="D1795" s="6">
        <v>735419657.9094888</v>
      </c>
      <c r="E1795" s="6">
        <v>204719657.9094888</v>
      </c>
      <c r="F1795" s="6">
        <v>30.190000534057617</v>
      </c>
      <c r="G1795" s="6">
        <v>30.149999618530273</v>
      </c>
      <c r="H1795" s="6" t="e">
        <v>#N/A</v>
      </c>
      <c r="I1795" s="6">
        <v>1.6504828278069956</v>
      </c>
      <c r="J1795" s="6">
        <v>334700000</v>
      </c>
      <c r="K1795" s="6">
        <v>58.530855248143041</v>
      </c>
      <c r="L1795" t="s">
        <v>6529</v>
      </c>
      <c r="M1795" t="s">
        <v>6664</v>
      </c>
      <c r="N1795" s="4" t="s">
        <v>12444</v>
      </c>
      <c r="O1795" s="4" t="s">
        <v>12445</v>
      </c>
      <c r="P1795" s="4" t="s">
        <v>233</v>
      </c>
    </row>
    <row r="1796" spans="1:16" x14ac:dyDescent="0.35">
      <c r="A1796" t="s">
        <v>12450</v>
      </c>
      <c r="B1796" t="s">
        <v>12451</v>
      </c>
      <c r="C1796" t="s">
        <v>16</v>
      </c>
      <c r="D1796" s="6">
        <v>181836639.09959793</v>
      </c>
      <c r="E1796" s="6">
        <v>159927639.09959793</v>
      </c>
      <c r="F1796" s="6">
        <v>4.7399997711181641</v>
      </c>
      <c r="G1796" s="6">
        <v>4.7100000381469727</v>
      </c>
      <c r="H1796" s="6" t="e">
        <v>#N/A</v>
      </c>
      <c r="I1796" s="6">
        <v>-0.22916913242519021</v>
      </c>
      <c r="J1796" s="6">
        <v>269413000</v>
      </c>
      <c r="K1796" s="6">
        <v>76.612903225806448</v>
      </c>
      <c r="L1796" t="s">
        <v>6540</v>
      </c>
      <c r="M1796" t="s">
        <v>6571</v>
      </c>
      <c r="N1796" s="4" t="s">
        <v>12452</v>
      </c>
      <c r="O1796" s="4" t="s">
        <v>12453</v>
      </c>
      <c r="P1796" s="4" t="s">
        <v>233</v>
      </c>
    </row>
    <row r="1797" spans="1:16" x14ac:dyDescent="0.35">
      <c r="A1797" t="s">
        <v>12446</v>
      </c>
      <c r="B1797" t="s">
        <v>12447</v>
      </c>
      <c r="C1797" t="s">
        <v>16</v>
      </c>
      <c r="D1797" s="6">
        <v>275351199.59506416</v>
      </c>
      <c r="E1797" s="6">
        <v>615251199.59506416</v>
      </c>
      <c r="F1797" s="6">
        <v>10.359999656677246</v>
      </c>
      <c r="G1797" s="6">
        <v>10.229999542236328</v>
      </c>
      <c r="H1797" s="6">
        <v>38.34097435180157</v>
      </c>
      <c r="I1797" s="6">
        <v>6.6752389806739032E-2</v>
      </c>
      <c r="J1797" s="6">
        <v>297900000</v>
      </c>
      <c r="K1797" s="6" t="e">
        <v>#N/A</v>
      </c>
      <c r="L1797" t="s">
        <v>6540</v>
      </c>
      <c r="M1797" t="s">
        <v>6825</v>
      </c>
      <c r="N1797" s="4" t="s">
        <v>12448</v>
      </c>
      <c r="O1797" s="4" t="s">
        <v>12449</v>
      </c>
      <c r="P1797" s="4" t="s">
        <v>233</v>
      </c>
    </row>
    <row r="1798" spans="1:16" x14ac:dyDescent="0.35">
      <c r="A1798" t="s">
        <v>12454</v>
      </c>
      <c r="B1798" t="s">
        <v>12455</v>
      </c>
      <c r="C1798" t="s">
        <v>16</v>
      </c>
      <c r="D1798" s="6">
        <v>1281365190.0000002</v>
      </c>
      <c r="E1798" s="6">
        <v>1424922190.0000002</v>
      </c>
      <c r="F1798" s="6">
        <v>189</v>
      </c>
      <c r="G1798" s="6">
        <v>188.52999877929688</v>
      </c>
      <c r="H1798" s="6">
        <v>32.207546108766074</v>
      </c>
      <c r="I1798" s="6">
        <v>0.70608887961125855</v>
      </c>
      <c r="J1798" s="6">
        <v>672592000</v>
      </c>
      <c r="K1798" s="6">
        <v>24.206349206349202</v>
      </c>
      <c r="L1798" t="s">
        <v>6547</v>
      </c>
      <c r="M1798" t="s">
        <v>6548</v>
      </c>
      <c r="N1798" s="4" t="s">
        <v>12456</v>
      </c>
      <c r="O1798" s="4" t="s">
        <v>12457</v>
      </c>
      <c r="P1798" s="4" t="s">
        <v>233</v>
      </c>
    </row>
    <row r="1799" spans="1:16" x14ac:dyDescent="0.35">
      <c r="A1799" t="s">
        <v>12458</v>
      </c>
      <c r="B1799" t="s">
        <v>5572</v>
      </c>
      <c r="C1799" t="s">
        <v>16</v>
      </c>
      <c r="D1799" s="6">
        <v>334460140.84576368</v>
      </c>
      <c r="E1799" s="6">
        <v>226428140.84576368</v>
      </c>
      <c r="F1799" s="6">
        <v>2.5499999523162842</v>
      </c>
      <c r="G1799" s="6">
        <v>2.25</v>
      </c>
      <c r="H1799" s="6" t="e">
        <v>#N/A</v>
      </c>
      <c r="I1799" s="6">
        <v>-0.64920042581004667</v>
      </c>
      <c r="J1799" s="6">
        <v>0</v>
      </c>
      <c r="K1799" s="6">
        <v>47.971360381861579</v>
      </c>
      <c r="L1799" t="s">
        <v>17</v>
      </c>
      <c r="M1799" t="s">
        <v>18</v>
      </c>
      <c r="N1799" s="4" t="s">
        <v>5573</v>
      </c>
      <c r="O1799" s="4" t="s">
        <v>5574</v>
      </c>
      <c r="P1799" s="4" t="s">
        <v>233</v>
      </c>
    </row>
    <row r="1800" spans="1:16" x14ac:dyDescent="0.35">
      <c r="A1800" t="s">
        <v>12459</v>
      </c>
      <c r="B1800" t="s">
        <v>12460</v>
      </c>
      <c r="C1800" t="s">
        <v>16</v>
      </c>
      <c r="D1800" s="6">
        <v>748423832.18487561</v>
      </c>
      <c r="E1800" s="6">
        <v>680514832.18487561</v>
      </c>
      <c r="F1800" s="6">
        <v>19.700000762939453</v>
      </c>
      <c r="G1800" s="6">
        <v>19.510000228881836</v>
      </c>
      <c r="H1800" s="6">
        <v>19.62751634507708</v>
      </c>
      <c r="I1800" s="6">
        <v>0.85121161584775518</v>
      </c>
      <c r="J1800" s="6">
        <v>244937000</v>
      </c>
      <c r="K1800" s="6" t="e">
        <v>#N/A</v>
      </c>
      <c r="L1800" t="s">
        <v>6518</v>
      </c>
      <c r="M1800" t="s">
        <v>6519</v>
      </c>
      <c r="N1800" s="4" t="s">
        <v>12461</v>
      </c>
      <c r="O1800" s="4" t="s">
        <v>12462</v>
      </c>
      <c r="P1800" s="4" t="s">
        <v>233</v>
      </c>
    </row>
    <row r="1801" spans="1:16" x14ac:dyDescent="0.35">
      <c r="A1801" t="s">
        <v>12463</v>
      </c>
      <c r="B1801" t="s">
        <v>12464</v>
      </c>
      <c r="C1801" t="s">
        <v>16</v>
      </c>
      <c r="D1801" s="6">
        <v>2514469012.262764</v>
      </c>
      <c r="E1801" s="6">
        <v>1833343012.262764</v>
      </c>
      <c r="F1801" s="6">
        <v>20.209999084472656</v>
      </c>
      <c r="G1801" s="6">
        <v>19.840000152587891</v>
      </c>
      <c r="H1801" s="6">
        <v>164.22748949279341</v>
      </c>
      <c r="I1801" s="6">
        <v>-0.1129164381799922</v>
      </c>
      <c r="J1801" s="6">
        <v>475139000</v>
      </c>
      <c r="K1801" s="6" t="e">
        <v>#N/A</v>
      </c>
      <c r="L1801" t="s">
        <v>6529</v>
      </c>
      <c r="M1801" t="s">
        <v>6639</v>
      </c>
      <c r="N1801" s="4" t="s">
        <v>12465</v>
      </c>
      <c r="O1801" s="4" t="s">
        <v>12466</v>
      </c>
      <c r="P1801" s="4" t="s">
        <v>233</v>
      </c>
    </row>
    <row r="1802" spans="1:16" x14ac:dyDescent="0.35">
      <c r="A1802" t="s">
        <v>12467</v>
      </c>
      <c r="B1802" t="s">
        <v>12468</v>
      </c>
      <c r="C1802" t="s">
        <v>16</v>
      </c>
      <c r="D1802" s="6">
        <v>1212176654.4799728</v>
      </c>
      <c r="E1802" s="6" t="e">
        <v>#N/A</v>
      </c>
      <c r="F1802" s="6">
        <v>90.510002136230469</v>
      </c>
      <c r="G1802" s="6">
        <v>90.720001220703125</v>
      </c>
      <c r="H1802" s="6">
        <v>9.3890043709782631</v>
      </c>
      <c r="I1802" s="6">
        <v>0.32528760883928709</v>
      </c>
      <c r="J1802" s="6">
        <v>522660999.99999994</v>
      </c>
      <c r="K1802" s="6">
        <v>-7.9887218045112913</v>
      </c>
      <c r="L1802" t="s">
        <v>6529</v>
      </c>
      <c r="M1802" t="s">
        <v>6530</v>
      </c>
      <c r="N1802" s="4" t="s">
        <v>12469</v>
      </c>
      <c r="O1802" s="4" t="s">
        <v>12470</v>
      </c>
      <c r="P1802" s="4" t="s">
        <v>233</v>
      </c>
    </row>
    <row r="1803" spans="1:16" x14ac:dyDescent="0.35">
      <c r="A1803" t="s">
        <v>12471</v>
      </c>
      <c r="B1803" t="s">
        <v>12472</v>
      </c>
      <c r="C1803" t="s">
        <v>16</v>
      </c>
      <c r="D1803" s="6">
        <v>761097516.83296978</v>
      </c>
      <c r="E1803" s="6">
        <v>796707516.83296978</v>
      </c>
      <c r="F1803" s="6">
        <v>7.7899999618530273</v>
      </c>
      <c r="G1803" s="6">
        <v>7.8400001525878906</v>
      </c>
      <c r="H1803" s="6">
        <v>16.934782525767449</v>
      </c>
      <c r="I1803" s="6">
        <v>-0.46914780464405392</v>
      </c>
      <c r="J1803" s="6">
        <v>645722000</v>
      </c>
      <c r="K1803" s="6">
        <v>-9.2592592592592666</v>
      </c>
      <c r="L1803" t="s">
        <v>6514</v>
      </c>
      <c r="M1803" t="s">
        <v>6578</v>
      </c>
      <c r="N1803" s="4" t="s">
        <v>12473</v>
      </c>
      <c r="O1803" s="4" t="s">
        <v>12474</v>
      </c>
      <c r="P1803" s="4" t="s">
        <v>233</v>
      </c>
    </row>
    <row r="1804" spans="1:16" x14ac:dyDescent="0.35">
      <c r="A1804" t="s">
        <v>12475</v>
      </c>
      <c r="B1804" t="s">
        <v>12476</v>
      </c>
      <c r="C1804" t="s">
        <v>16</v>
      </c>
      <c r="D1804" s="6">
        <v>4084194377.179039</v>
      </c>
      <c r="E1804" s="6">
        <v>4026241377.179039</v>
      </c>
      <c r="F1804" s="6">
        <v>39.290000915527344</v>
      </c>
      <c r="G1804" s="6">
        <v>38.950000762939453</v>
      </c>
      <c r="H1804" s="6">
        <v>79.229845019907984</v>
      </c>
      <c r="I1804" s="6">
        <v>0.64444655983524735</v>
      </c>
      <c r="J1804" s="6">
        <v>888969000</v>
      </c>
      <c r="K1804" s="6" t="e">
        <v>#N/A</v>
      </c>
      <c r="L1804" t="s">
        <v>6514</v>
      </c>
      <c r="M1804" t="s">
        <v>6578</v>
      </c>
      <c r="N1804" s="4" t="s">
        <v>12477</v>
      </c>
      <c r="O1804" s="4" t="s">
        <v>12478</v>
      </c>
      <c r="P1804" s="4" t="s">
        <v>233</v>
      </c>
    </row>
    <row r="1805" spans="1:16" x14ac:dyDescent="0.35">
      <c r="A1805" t="s">
        <v>12479</v>
      </c>
      <c r="B1805" t="s">
        <v>12480</v>
      </c>
      <c r="C1805" t="s">
        <v>16</v>
      </c>
      <c r="D1805" s="6">
        <v>384924212.80425453</v>
      </c>
      <c r="E1805" s="6">
        <v>1442572212.8042545</v>
      </c>
      <c r="F1805" s="6">
        <v>10.579999923706055</v>
      </c>
      <c r="G1805" s="6">
        <v>10.5</v>
      </c>
      <c r="H1805" s="6">
        <v>1.8548081296882653</v>
      </c>
      <c r="I1805" s="6">
        <v>-0.28613190242718267</v>
      </c>
      <c r="J1805" s="6">
        <v>233197000</v>
      </c>
      <c r="K1805" s="6">
        <v>92.511264834676666</v>
      </c>
      <c r="L1805" t="s">
        <v>6623</v>
      </c>
      <c r="M1805" t="s">
        <v>6866</v>
      </c>
      <c r="N1805" s="4" t="s">
        <v>12481</v>
      </c>
      <c r="O1805" s="4" t="s">
        <v>12482</v>
      </c>
      <c r="P1805" s="4" t="s">
        <v>233</v>
      </c>
    </row>
    <row r="1806" spans="1:16" x14ac:dyDescent="0.35">
      <c r="A1806" t="s">
        <v>12483</v>
      </c>
      <c r="B1806" t="s">
        <v>3703</v>
      </c>
      <c r="C1806" t="s">
        <v>16</v>
      </c>
      <c r="D1806" s="6">
        <v>603218962.06494141</v>
      </c>
      <c r="E1806" s="6">
        <v>604625962.06494141</v>
      </c>
      <c r="F1806" s="6">
        <v>24.909999847412109</v>
      </c>
      <c r="G1806" s="6">
        <v>23.75</v>
      </c>
      <c r="H1806" s="6" t="e">
        <v>#N/A</v>
      </c>
      <c r="I1806" s="6">
        <v>-0.14654736627117737</v>
      </c>
      <c r="J1806" s="6">
        <v>189673000</v>
      </c>
      <c r="K1806" s="6">
        <v>-25.510204081632676</v>
      </c>
      <c r="L1806" t="s">
        <v>17</v>
      </c>
      <c r="M1806" t="s">
        <v>27</v>
      </c>
      <c r="N1806" s="4" t="s">
        <v>3704</v>
      </c>
      <c r="O1806" s="4" t="s">
        <v>3705</v>
      </c>
      <c r="P1806" s="4" t="s">
        <v>233</v>
      </c>
    </row>
    <row r="1807" spans="1:16" x14ac:dyDescent="0.35">
      <c r="A1807" t="s">
        <v>12484</v>
      </c>
      <c r="B1807" t="s">
        <v>12485</v>
      </c>
      <c r="C1807" t="s">
        <v>16</v>
      </c>
      <c r="D1807" s="6">
        <v>790102473.56870258</v>
      </c>
      <c r="E1807" s="6" t="e">
        <v>#N/A</v>
      </c>
      <c r="F1807" s="6">
        <v>31.190000534057617</v>
      </c>
      <c r="G1807" s="6">
        <v>31.510000228881836</v>
      </c>
      <c r="H1807" s="6">
        <v>12.376984338911752</v>
      </c>
      <c r="I1807" s="6">
        <v>0.31172484058936401</v>
      </c>
      <c r="J1807" s="6">
        <v>235976000</v>
      </c>
      <c r="K1807" s="6">
        <v>24.390243902439025</v>
      </c>
      <c r="L1807" t="s">
        <v>6529</v>
      </c>
      <c r="M1807" t="s">
        <v>6530</v>
      </c>
      <c r="N1807" s="4" t="s">
        <v>12486</v>
      </c>
      <c r="O1807" s="4" t="s">
        <v>12487</v>
      </c>
      <c r="P1807" s="4" t="s">
        <v>233</v>
      </c>
    </row>
    <row r="1808" spans="1:16" x14ac:dyDescent="0.35">
      <c r="A1808" t="s">
        <v>12488</v>
      </c>
      <c r="B1808" t="s">
        <v>12489</v>
      </c>
      <c r="C1808" t="s">
        <v>16</v>
      </c>
      <c r="D1808" s="6">
        <v>740751501.66831958</v>
      </c>
      <c r="E1808" s="6">
        <v>1548421501.6683195</v>
      </c>
      <c r="F1808" s="6">
        <v>16.319999694824219</v>
      </c>
      <c r="G1808" s="6">
        <v>16.340000152587891</v>
      </c>
      <c r="H1808" s="6" t="e">
        <v>#N/A</v>
      </c>
      <c r="I1808" s="6">
        <v>-0.23492817639502162</v>
      </c>
      <c r="J1808" s="6">
        <v>201569000</v>
      </c>
      <c r="K1808" s="6" t="e">
        <v>#N/A</v>
      </c>
      <c r="L1808" t="s">
        <v>6623</v>
      </c>
      <c r="M1808" t="s">
        <v>7444</v>
      </c>
      <c r="N1808" s="4" t="s">
        <v>12490</v>
      </c>
      <c r="O1808" s="4" t="s">
        <v>12491</v>
      </c>
      <c r="P1808" s="4" t="s">
        <v>233</v>
      </c>
    </row>
    <row r="1809" spans="1:16" x14ac:dyDescent="0.35">
      <c r="A1809" t="s">
        <v>12496</v>
      </c>
      <c r="B1809" t="s">
        <v>12497</v>
      </c>
      <c r="C1809" t="s">
        <v>16</v>
      </c>
      <c r="D1809" s="6">
        <v>454786560.29147333</v>
      </c>
      <c r="E1809" s="6" t="e">
        <v>#N/A</v>
      </c>
      <c r="F1809" s="6">
        <v>26.709999084472656</v>
      </c>
      <c r="G1809" s="6">
        <v>26.409999847412109</v>
      </c>
      <c r="H1809" s="6">
        <v>17.232257473853327</v>
      </c>
      <c r="I1809" s="6">
        <v>-0.13822599770709543</v>
      </c>
      <c r="J1809" s="6">
        <v>125329000</v>
      </c>
      <c r="K1809" s="6">
        <v>-1.894387726038496</v>
      </c>
      <c r="L1809" t="s">
        <v>6529</v>
      </c>
      <c r="M1809" t="s">
        <v>6530</v>
      </c>
      <c r="N1809" s="4" t="s">
        <v>12498</v>
      </c>
      <c r="O1809" s="4" t="s">
        <v>12499</v>
      </c>
      <c r="P1809" s="4" t="s">
        <v>233</v>
      </c>
    </row>
    <row r="1810" spans="1:16" x14ac:dyDescent="0.35">
      <c r="A1810" t="s">
        <v>12492</v>
      </c>
      <c r="B1810" t="s">
        <v>12493</v>
      </c>
      <c r="C1810" t="s">
        <v>16</v>
      </c>
      <c r="D1810" s="6">
        <v>318542064.49015045</v>
      </c>
      <c r="E1810" s="6">
        <v>459625064.49015045</v>
      </c>
      <c r="F1810" s="6">
        <v>15.430000305175781</v>
      </c>
      <c r="G1810" s="6">
        <v>15.670000076293945</v>
      </c>
      <c r="H1810" s="6">
        <v>23.522776244246263</v>
      </c>
      <c r="I1810" s="6">
        <v>0.21431446780357244</v>
      </c>
      <c r="J1810" s="6">
        <v>608879000</v>
      </c>
      <c r="K1810" s="6">
        <v>47.499999999999979</v>
      </c>
      <c r="L1810" t="s">
        <v>6547</v>
      </c>
      <c r="M1810" t="s">
        <v>6668</v>
      </c>
      <c r="N1810" s="4" t="s">
        <v>12494</v>
      </c>
      <c r="O1810" s="4" t="s">
        <v>12495</v>
      </c>
      <c r="P1810" s="4" t="s">
        <v>233</v>
      </c>
    </row>
    <row r="1811" spans="1:16" x14ac:dyDescent="0.35">
      <c r="A1811" t="s">
        <v>12500</v>
      </c>
      <c r="B1811" t="s">
        <v>5576</v>
      </c>
      <c r="C1811" t="s">
        <v>16</v>
      </c>
      <c r="D1811" s="6">
        <v>160663282.60897824</v>
      </c>
      <c r="E1811" s="6">
        <v>-22776717.391021758</v>
      </c>
      <c r="F1811" s="6">
        <v>5.1599998474121094</v>
      </c>
      <c r="G1811" s="6">
        <v>4.9099998474121094</v>
      </c>
      <c r="H1811" s="6" t="e">
        <v>#N/A</v>
      </c>
      <c r="I1811" s="6">
        <v>0.47272289642310827</v>
      </c>
      <c r="J1811" s="6">
        <v>0</v>
      </c>
      <c r="K1811" s="6">
        <v>-1.1235955056179703</v>
      </c>
      <c r="L1811" t="s">
        <v>17</v>
      </c>
      <c r="M1811" t="s">
        <v>18</v>
      </c>
      <c r="N1811" s="4" t="s">
        <v>5577</v>
      </c>
      <c r="O1811" s="4" t="s">
        <v>5578</v>
      </c>
      <c r="P1811" s="4" t="s">
        <v>233</v>
      </c>
    </row>
    <row r="1812" spans="1:16" x14ac:dyDescent="0.35">
      <c r="A1812" t="s">
        <v>12505</v>
      </c>
      <c r="B1812" t="s">
        <v>12506</v>
      </c>
      <c r="C1812" t="s">
        <v>16</v>
      </c>
      <c r="D1812" s="6">
        <v>2054435112.9484088</v>
      </c>
      <c r="E1812" s="6">
        <v>2053466112.9484088</v>
      </c>
      <c r="F1812" s="6">
        <v>10.904999732971191</v>
      </c>
      <c r="G1812" s="6">
        <v>10.479999542236328</v>
      </c>
      <c r="H1812" s="6" t="e">
        <v>#N/A</v>
      </c>
      <c r="I1812" s="6">
        <v>-9.477386078417338E-2</v>
      </c>
      <c r="J1812" s="6">
        <v>20738000</v>
      </c>
      <c r="K1812" s="6">
        <v>-36.717340695815324</v>
      </c>
      <c r="L1812" t="s">
        <v>6547</v>
      </c>
      <c r="M1812" t="s">
        <v>6602</v>
      </c>
      <c r="N1812" s="4" t="s">
        <v>12507</v>
      </c>
      <c r="O1812" s="4" t="s">
        <v>12508</v>
      </c>
      <c r="P1812" s="4" t="s">
        <v>233</v>
      </c>
    </row>
    <row r="1813" spans="1:16" x14ac:dyDescent="0.35">
      <c r="A1813" t="s">
        <v>12501</v>
      </c>
      <c r="B1813" t="s">
        <v>12502</v>
      </c>
      <c r="C1813" t="s">
        <v>16</v>
      </c>
      <c r="D1813" s="6">
        <v>580849492.45222843</v>
      </c>
      <c r="E1813" s="6" t="e">
        <v>#N/A</v>
      </c>
      <c r="F1813" s="6">
        <v>35.439998626708984</v>
      </c>
      <c r="G1813" s="6">
        <v>36.110000610351563</v>
      </c>
      <c r="H1813" s="6">
        <v>12.233416152842107</v>
      </c>
      <c r="I1813" s="6">
        <v>0.36959885054574126</v>
      </c>
      <c r="J1813" s="6">
        <v>288971000</v>
      </c>
      <c r="K1813" s="6">
        <v>-18.727667560321709</v>
      </c>
      <c r="L1813" t="s">
        <v>6529</v>
      </c>
      <c r="M1813" t="s">
        <v>6530</v>
      </c>
      <c r="N1813" s="4" t="s">
        <v>12503</v>
      </c>
      <c r="O1813" s="4" t="s">
        <v>12504</v>
      </c>
      <c r="P1813" s="4" t="s">
        <v>233</v>
      </c>
    </row>
    <row r="1814" spans="1:16" x14ac:dyDescent="0.35">
      <c r="A1814" t="s">
        <v>12509</v>
      </c>
      <c r="B1814" t="s">
        <v>12510</v>
      </c>
      <c r="C1814" t="s">
        <v>16</v>
      </c>
      <c r="D1814" s="6">
        <v>1975739718.14676</v>
      </c>
      <c r="E1814" s="6">
        <v>2757267718.14676</v>
      </c>
      <c r="F1814" s="6">
        <v>10.050000190734863</v>
      </c>
      <c r="G1814" s="6">
        <v>9.9399995803833008</v>
      </c>
      <c r="H1814" s="6">
        <v>51.965378084234914</v>
      </c>
      <c r="I1814" s="6">
        <v>8.8587576007231883E-2</v>
      </c>
      <c r="J1814" s="6">
        <v>1470841000</v>
      </c>
      <c r="K1814" s="6" t="e">
        <v>#N/A</v>
      </c>
      <c r="L1814" t="s">
        <v>6547</v>
      </c>
      <c r="M1814" t="s">
        <v>6668</v>
      </c>
      <c r="N1814" s="4" t="s">
        <v>12511</v>
      </c>
      <c r="O1814" s="4" t="s">
        <v>12512</v>
      </c>
      <c r="P1814" s="4" t="s">
        <v>233</v>
      </c>
    </row>
    <row r="1815" spans="1:16" x14ac:dyDescent="0.35">
      <c r="A1815" t="s">
        <v>12513</v>
      </c>
      <c r="B1815" t="s">
        <v>12514</v>
      </c>
      <c r="C1815" t="s">
        <v>16</v>
      </c>
      <c r="D1815" s="6">
        <v>1265614477.6051598</v>
      </c>
      <c r="E1815" s="6">
        <v>542553477.60515976</v>
      </c>
      <c r="F1815" s="6">
        <v>7.9899997711181641</v>
      </c>
      <c r="G1815" s="6">
        <v>7.8499999046325684</v>
      </c>
      <c r="H1815" s="6" t="e">
        <v>#N/A</v>
      </c>
      <c r="I1815" s="6">
        <v>-0.54504214846629595</v>
      </c>
      <c r="J1815" s="6">
        <v>694674000</v>
      </c>
      <c r="K1815" s="6">
        <v>33.766233766233768</v>
      </c>
      <c r="L1815" t="s">
        <v>6540</v>
      </c>
      <c r="M1815" t="s">
        <v>6838</v>
      </c>
      <c r="N1815" s="4" t="s">
        <v>12515</v>
      </c>
      <c r="O1815" s="4" t="s">
        <v>12516</v>
      </c>
      <c r="P1815" s="4" t="s">
        <v>233</v>
      </c>
    </row>
    <row r="1816" spans="1:16" x14ac:dyDescent="0.35">
      <c r="A1816" t="s">
        <v>12517</v>
      </c>
      <c r="B1816" t="s">
        <v>12518</v>
      </c>
      <c r="C1816" t="s">
        <v>16</v>
      </c>
      <c r="D1816" s="6">
        <v>554982427.49051845</v>
      </c>
      <c r="E1816" s="6">
        <v>2808282427.4905186</v>
      </c>
      <c r="F1816" s="6">
        <v>4.7199997901916504</v>
      </c>
      <c r="G1816" s="6">
        <v>4.7800002098083496</v>
      </c>
      <c r="H1816" s="6">
        <v>9.7073197517057732</v>
      </c>
      <c r="I1816" s="6">
        <v>-0.43317185768166278</v>
      </c>
      <c r="J1816" s="6">
        <v>6207100000</v>
      </c>
      <c r="K1816" s="6" t="e">
        <v>#N/A</v>
      </c>
      <c r="L1816" t="s">
        <v>6540</v>
      </c>
      <c r="M1816" t="s">
        <v>6881</v>
      </c>
      <c r="N1816" s="4" t="s">
        <v>12519</v>
      </c>
      <c r="O1816" s="4" t="s">
        <v>12520</v>
      </c>
      <c r="P1816" s="4" t="s">
        <v>233</v>
      </c>
    </row>
    <row r="1817" spans="1:16" x14ac:dyDescent="0.35">
      <c r="A1817" t="s">
        <v>13356</v>
      </c>
      <c r="B1817" t="s">
        <v>13357</v>
      </c>
      <c r="C1817" t="s">
        <v>16</v>
      </c>
      <c r="D1817" s="6">
        <v>2030407224</v>
      </c>
      <c r="E1817" s="6">
        <v>2189089224</v>
      </c>
      <c r="F1817" s="6">
        <v>24</v>
      </c>
      <c r="G1817" s="6">
        <v>24.100000381469727</v>
      </c>
      <c r="H1817" s="6" t="e">
        <v>#N/A</v>
      </c>
      <c r="I1817" s="6">
        <v>1.1285141349887553</v>
      </c>
      <c r="J1817" s="6">
        <v>618100000</v>
      </c>
      <c r="K1817" s="6" t="e">
        <v>#N/A</v>
      </c>
      <c r="L1817" t="s">
        <v>6523</v>
      </c>
      <c r="M1817" t="s">
        <v>6524</v>
      </c>
      <c r="N1817" s="4" t="s">
        <v>13358</v>
      </c>
      <c r="O1817" s="4" t="s">
        <v>13359</v>
      </c>
      <c r="P1817" s="4" t="s">
        <v>233</v>
      </c>
    </row>
    <row r="1818" spans="1:16" x14ac:dyDescent="0.35">
      <c r="A1818" t="s">
        <v>13360</v>
      </c>
      <c r="B1818" t="s">
        <v>13361</v>
      </c>
      <c r="C1818" t="s">
        <v>16</v>
      </c>
      <c r="D1818" s="6">
        <v>1234235398.5</v>
      </c>
      <c r="E1818" s="6">
        <v>1234235398.5</v>
      </c>
      <c r="F1818" s="6">
        <v>19.5</v>
      </c>
      <c r="G1818" s="6">
        <v>19.670000076293945</v>
      </c>
      <c r="H1818" s="6" t="e">
        <v>#N/A</v>
      </c>
      <c r="I1818" s="6">
        <v>0.68113721329607912</v>
      </c>
      <c r="J1818" s="6" t="e">
        <v>#N/A</v>
      </c>
      <c r="K1818" s="6" t="e">
        <v>#N/A</v>
      </c>
      <c r="L1818" t="s">
        <v>6735</v>
      </c>
      <c r="M1818" t="s">
        <v>6736</v>
      </c>
      <c r="N1818" s="4" t="s">
        <v>13362</v>
      </c>
      <c r="O1818" s="4" t="s">
        <v>13363</v>
      </c>
      <c r="P1818" s="4" t="s">
        <v>233</v>
      </c>
    </row>
    <row r="1819" spans="1:16" x14ac:dyDescent="0.35">
      <c r="A1819" t="s">
        <v>12521</v>
      </c>
      <c r="B1819" t="s">
        <v>12522</v>
      </c>
      <c r="C1819" t="s">
        <v>16</v>
      </c>
      <c r="D1819" s="6">
        <v>759285248.90607834</v>
      </c>
      <c r="E1819" s="6">
        <v>3834625248.9060783</v>
      </c>
      <c r="F1819" s="6">
        <v>11.050000190734863</v>
      </c>
      <c r="G1819" s="6">
        <v>10.850000381469727</v>
      </c>
      <c r="H1819" s="6">
        <v>58.157895740709804</v>
      </c>
      <c r="I1819" s="6">
        <v>0.27615250521564105</v>
      </c>
      <c r="J1819" s="6">
        <v>594136000</v>
      </c>
      <c r="K1819" s="6" t="e">
        <v>#N/A</v>
      </c>
      <c r="L1819" t="s">
        <v>6529</v>
      </c>
      <c r="M1819" t="s">
        <v>8169</v>
      </c>
      <c r="N1819" s="4" t="s">
        <v>12523</v>
      </c>
      <c r="O1819" s="4" t="s">
        <v>12524</v>
      </c>
      <c r="P1819" s="4" t="s">
        <v>233</v>
      </c>
    </row>
    <row r="1820" spans="1:16" x14ac:dyDescent="0.35">
      <c r="A1820" t="s">
        <v>12525</v>
      </c>
      <c r="B1820" t="s">
        <v>12526</v>
      </c>
      <c r="C1820" t="s">
        <v>16</v>
      </c>
      <c r="D1820" s="6">
        <v>765608999.82097232</v>
      </c>
      <c r="E1820" s="6" t="e">
        <v>#N/A</v>
      </c>
      <c r="F1820" s="6">
        <v>25.350000381469727</v>
      </c>
      <c r="G1820" s="6">
        <v>25.75</v>
      </c>
      <c r="H1820" s="6">
        <v>13.419095760185002</v>
      </c>
      <c r="I1820" s="6">
        <v>0.10395223110717189</v>
      </c>
      <c r="J1820" s="6">
        <v>707502000</v>
      </c>
      <c r="K1820" s="6" t="e">
        <v>#N/A</v>
      </c>
      <c r="L1820" t="s">
        <v>6529</v>
      </c>
      <c r="M1820" t="s">
        <v>6530</v>
      </c>
      <c r="N1820" s="4" t="s">
        <v>12527</v>
      </c>
      <c r="O1820" s="4" t="s">
        <v>12528</v>
      </c>
      <c r="P1820" s="4" t="s">
        <v>233</v>
      </c>
    </row>
    <row r="1821" spans="1:16" x14ac:dyDescent="0.35">
      <c r="A1821" t="s">
        <v>12529</v>
      </c>
      <c r="B1821" t="s">
        <v>667</v>
      </c>
      <c r="C1821" t="s">
        <v>16</v>
      </c>
      <c r="D1821" s="6">
        <v>81623574.684703335</v>
      </c>
      <c r="E1821" s="6">
        <v>94507574.684703335</v>
      </c>
      <c r="F1821" s="6">
        <v>1.309999942779541</v>
      </c>
      <c r="G1821" s="6">
        <v>1.2999999523162842</v>
      </c>
      <c r="H1821" s="6" t="e">
        <v>#N/A</v>
      </c>
      <c r="I1821" s="6">
        <v>-0.21033268323231913</v>
      </c>
      <c r="J1821" s="6">
        <v>0</v>
      </c>
      <c r="K1821" s="6">
        <v>-34.161624106989152</v>
      </c>
      <c r="L1821" t="s">
        <v>17</v>
      </c>
      <c r="M1821" t="s">
        <v>18</v>
      </c>
      <c r="N1821" s="4" t="s">
        <v>668</v>
      </c>
      <c r="O1821" s="4" t="s">
        <v>669</v>
      </c>
      <c r="P1821" s="4" t="s">
        <v>233</v>
      </c>
    </row>
    <row r="1822" spans="1:16" x14ac:dyDescent="0.35">
      <c r="A1822" t="s">
        <v>12530</v>
      </c>
      <c r="B1822" t="s">
        <v>12531</v>
      </c>
      <c r="C1822" t="s">
        <v>16</v>
      </c>
      <c r="D1822" s="6">
        <v>3063435287.6457825</v>
      </c>
      <c r="E1822" s="6">
        <v>4298435287.6457825</v>
      </c>
      <c r="F1822" s="6">
        <v>26.610000610351563</v>
      </c>
      <c r="G1822" s="6">
        <v>28.450000762939453</v>
      </c>
      <c r="H1822" s="6" t="e">
        <v>#N/A</v>
      </c>
      <c r="I1822" s="6">
        <v>-0.48473278747492465</v>
      </c>
      <c r="J1822" s="6">
        <v>34902700000</v>
      </c>
      <c r="K1822" s="6" t="e">
        <v>#N/A</v>
      </c>
      <c r="L1822" t="s">
        <v>6523</v>
      </c>
      <c r="M1822" t="s">
        <v>6524</v>
      </c>
      <c r="N1822" s="4" t="s">
        <v>12532</v>
      </c>
      <c r="O1822" s="4" t="s">
        <v>12533</v>
      </c>
      <c r="P1822" s="4" t="s">
        <v>233</v>
      </c>
    </row>
    <row r="1823" spans="1:16" x14ac:dyDescent="0.35">
      <c r="A1823" t="s">
        <v>12534</v>
      </c>
      <c r="B1823" t="s">
        <v>12535</v>
      </c>
      <c r="C1823" t="s">
        <v>16</v>
      </c>
      <c r="D1823" s="6">
        <v>641233210.69853783</v>
      </c>
      <c r="E1823" s="6" t="e">
        <v>#N/A</v>
      </c>
      <c r="F1823" s="6">
        <v>10.460000038146973</v>
      </c>
      <c r="G1823" s="6">
        <v>10.420000076293945</v>
      </c>
      <c r="H1823" s="6">
        <v>15.848484906283291</v>
      </c>
      <c r="I1823" s="6">
        <v>0.2996155423110487</v>
      </c>
      <c r="J1823" s="6">
        <v>251447000</v>
      </c>
      <c r="K1823" s="6">
        <v>-37.735849056603769</v>
      </c>
      <c r="L1823" t="s">
        <v>6529</v>
      </c>
      <c r="M1823" t="s">
        <v>6530</v>
      </c>
      <c r="N1823" s="4" t="s">
        <v>12536</v>
      </c>
      <c r="O1823" s="4" t="s">
        <v>12537</v>
      </c>
      <c r="P1823" s="4" t="s">
        <v>233</v>
      </c>
    </row>
    <row r="1824" spans="1:16" x14ac:dyDescent="0.35">
      <c r="A1824" t="s">
        <v>12538</v>
      </c>
      <c r="B1824" t="s">
        <v>12539</v>
      </c>
      <c r="C1824" t="s">
        <v>16</v>
      </c>
      <c r="D1824" s="6">
        <v>1279379792.2337265</v>
      </c>
      <c r="E1824" s="6" t="e">
        <v>#N/A</v>
      </c>
      <c r="F1824" s="6">
        <v>65.790000915527344</v>
      </c>
      <c r="G1824" s="6">
        <v>67.010002136230469</v>
      </c>
      <c r="H1824" s="6">
        <v>12.465775660668543</v>
      </c>
      <c r="I1824" s="6">
        <v>0.31845905733920232</v>
      </c>
      <c r="J1824" s="6">
        <v>505636000</v>
      </c>
      <c r="K1824" s="6">
        <v>12.978922462237639</v>
      </c>
      <c r="L1824" t="s">
        <v>6529</v>
      </c>
      <c r="M1824" t="s">
        <v>6530</v>
      </c>
      <c r="N1824" s="4" t="s">
        <v>12540</v>
      </c>
      <c r="O1824" s="4" t="s">
        <v>12541</v>
      </c>
      <c r="P1824" s="4" t="s">
        <v>233</v>
      </c>
    </row>
    <row r="1825" spans="1:16" x14ac:dyDescent="0.35">
      <c r="A1825" t="s">
        <v>12542</v>
      </c>
      <c r="B1825" t="s">
        <v>3055</v>
      </c>
      <c r="C1825" t="s">
        <v>16</v>
      </c>
      <c r="D1825" s="6">
        <v>1383846635.6989229</v>
      </c>
      <c r="E1825" s="6">
        <v>779826635.69892287</v>
      </c>
      <c r="F1825" s="6">
        <v>17.469999313354492</v>
      </c>
      <c r="G1825" s="6">
        <v>17.430000305175781</v>
      </c>
      <c r="H1825" s="6" t="e">
        <v>#N/A</v>
      </c>
      <c r="I1825" s="6">
        <v>-0.11200782529144271</v>
      </c>
      <c r="J1825" s="6">
        <v>302000</v>
      </c>
      <c r="K1825" s="6">
        <v>15.490196078431371</v>
      </c>
      <c r="L1825" t="s">
        <v>17</v>
      </c>
      <c r="M1825" t="s">
        <v>18</v>
      </c>
      <c r="N1825" s="4" t="s">
        <v>3056</v>
      </c>
      <c r="O1825" s="4" t="s">
        <v>3057</v>
      </c>
      <c r="P1825" s="4" t="s">
        <v>233</v>
      </c>
    </row>
    <row r="1826" spans="1:16" x14ac:dyDescent="0.35">
      <c r="A1826" t="s">
        <v>12543</v>
      </c>
      <c r="B1826" t="s">
        <v>12544</v>
      </c>
      <c r="C1826" t="s">
        <v>16</v>
      </c>
      <c r="D1826" s="6">
        <v>1071396910.7667102</v>
      </c>
      <c r="E1826" s="6">
        <v>757915910.76671016</v>
      </c>
      <c r="F1826" s="6">
        <v>6.4600000381469727</v>
      </c>
      <c r="G1826" s="6">
        <v>6.3499999046325684</v>
      </c>
      <c r="H1826" s="6">
        <v>31.158057387483588</v>
      </c>
      <c r="I1826" s="6">
        <v>0.54730908798549005</v>
      </c>
      <c r="J1826" s="6">
        <v>419394000</v>
      </c>
      <c r="K1826" s="6">
        <v>250.00000000000003</v>
      </c>
      <c r="L1826" t="s">
        <v>6514</v>
      </c>
      <c r="M1826" t="s">
        <v>6578</v>
      </c>
      <c r="N1826" s="4" t="s">
        <v>12545</v>
      </c>
      <c r="O1826" s="4" t="s">
        <v>12546</v>
      </c>
      <c r="P1826" s="4" t="s">
        <v>233</v>
      </c>
    </row>
    <row r="1827" spans="1:16" x14ac:dyDescent="0.35">
      <c r="A1827" t="s">
        <v>12547</v>
      </c>
      <c r="B1827" t="s">
        <v>12548</v>
      </c>
      <c r="C1827" t="s">
        <v>16</v>
      </c>
      <c r="D1827" s="6">
        <v>552470056.25</v>
      </c>
      <c r="E1827" s="6">
        <v>968790056.25</v>
      </c>
      <c r="F1827" s="6">
        <v>8.75</v>
      </c>
      <c r="G1827" s="6">
        <v>8.9799995422363281</v>
      </c>
      <c r="H1827" s="6" t="e">
        <v>#N/A</v>
      </c>
      <c r="I1827" s="6">
        <v>-0.39984601146838039</v>
      </c>
      <c r="J1827" s="6">
        <v>1852563000</v>
      </c>
      <c r="K1827" s="6" t="e">
        <v>#N/A</v>
      </c>
      <c r="L1827" t="s">
        <v>6547</v>
      </c>
      <c r="M1827" t="s">
        <v>6668</v>
      </c>
      <c r="N1827" s="4" t="s">
        <v>12549</v>
      </c>
      <c r="O1827" s="4" t="s">
        <v>12550</v>
      </c>
      <c r="P1827" s="4" t="s">
        <v>233</v>
      </c>
    </row>
    <row r="1828" spans="1:16" x14ac:dyDescent="0.35">
      <c r="A1828" t="s">
        <v>12551</v>
      </c>
      <c r="B1828" t="s">
        <v>5804</v>
      </c>
      <c r="C1828" t="s">
        <v>16</v>
      </c>
      <c r="D1828" s="6">
        <v>237528777.47765777</v>
      </c>
      <c r="E1828" s="6">
        <v>221156777.47765777</v>
      </c>
      <c r="F1828" s="6">
        <v>5.0300002098083496</v>
      </c>
      <c r="G1828" s="6">
        <v>4.8299999237060547</v>
      </c>
      <c r="H1828" s="6" t="e">
        <v>#N/A</v>
      </c>
      <c r="I1828" s="6">
        <v>-0.78771083627582339</v>
      </c>
      <c r="J1828" s="6">
        <v>0</v>
      </c>
      <c r="K1828" s="6">
        <v>-3.2819825853985281</v>
      </c>
      <c r="L1828" t="s">
        <v>17</v>
      </c>
      <c r="M1828" t="s">
        <v>87</v>
      </c>
      <c r="N1828" s="4" t="s">
        <v>5805</v>
      </c>
      <c r="O1828" s="4" t="s">
        <v>5806</v>
      </c>
      <c r="P1828" s="4" t="s">
        <v>233</v>
      </c>
    </row>
    <row r="1829" spans="1:16" x14ac:dyDescent="0.35">
      <c r="A1829" t="s">
        <v>12552</v>
      </c>
      <c r="B1829" t="s">
        <v>12553</v>
      </c>
      <c r="C1829" t="s">
        <v>16</v>
      </c>
      <c r="D1829" s="6">
        <v>1051658641.6699163</v>
      </c>
      <c r="E1829" s="6">
        <v>4672292366.6699171</v>
      </c>
      <c r="F1829" s="6">
        <v>12.850000381469727</v>
      </c>
      <c r="G1829" s="6">
        <v>12.760000228881836</v>
      </c>
      <c r="H1829" s="6">
        <v>9.1922813320650558</v>
      </c>
      <c r="I1829" s="6">
        <v>0.13078132090700723</v>
      </c>
      <c r="J1829" s="6">
        <v>569527000</v>
      </c>
      <c r="K1829" s="6" t="e">
        <v>#N/A</v>
      </c>
      <c r="L1829" t="s">
        <v>6529</v>
      </c>
      <c r="M1829" t="s">
        <v>8169</v>
      </c>
      <c r="N1829" s="4" t="s">
        <v>12554</v>
      </c>
      <c r="O1829" s="4" t="s">
        <v>12555</v>
      </c>
      <c r="P1829" s="4" t="s">
        <v>233</v>
      </c>
    </row>
    <row r="1830" spans="1:16" x14ac:dyDescent="0.35">
      <c r="A1830" t="s">
        <v>12556</v>
      </c>
      <c r="B1830" t="s">
        <v>12557</v>
      </c>
      <c r="C1830" t="s">
        <v>16</v>
      </c>
      <c r="D1830" s="6">
        <v>860307359.19719684</v>
      </c>
      <c r="E1830" s="6">
        <v>3011620359.197197</v>
      </c>
      <c r="F1830" s="6">
        <v>58.369998931884766</v>
      </c>
      <c r="G1830" s="6">
        <v>57.869998931884766</v>
      </c>
      <c r="H1830" s="6">
        <v>13.208619463192999</v>
      </c>
      <c r="I1830" s="6">
        <v>0.80364450889102135</v>
      </c>
      <c r="J1830" s="6">
        <v>1265369000</v>
      </c>
      <c r="K1830" s="6">
        <v>6.0442857335052933</v>
      </c>
      <c r="L1830" t="s">
        <v>6529</v>
      </c>
      <c r="M1830" t="s">
        <v>6646</v>
      </c>
      <c r="N1830" s="4" t="s">
        <v>12558</v>
      </c>
      <c r="O1830" s="4" t="s">
        <v>12559</v>
      </c>
      <c r="P1830" s="4" t="s">
        <v>233</v>
      </c>
    </row>
    <row r="1831" spans="1:16" x14ac:dyDescent="0.35">
      <c r="A1831" t="s">
        <v>12560</v>
      </c>
      <c r="B1831" t="s">
        <v>12561</v>
      </c>
      <c r="C1831" t="s">
        <v>16</v>
      </c>
      <c r="D1831" s="6">
        <v>1016452877.6206977</v>
      </c>
      <c r="E1831" s="6">
        <v>1665939877.620698</v>
      </c>
      <c r="F1831" s="6">
        <v>199.02000427246094</v>
      </c>
      <c r="G1831" s="6">
        <v>196.05000305175781</v>
      </c>
      <c r="H1831" s="6">
        <v>23.524823200054481</v>
      </c>
      <c r="I1831" s="6">
        <v>-2.9533335746379619E-2</v>
      </c>
      <c r="J1831" s="6">
        <v>226374000</v>
      </c>
      <c r="K1831" s="6">
        <v>-57.636454682023029</v>
      </c>
      <c r="L1831" t="s">
        <v>6623</v>
      </c>
      <c r="M1831" t="s">
        <v>7043</v>
      </c>
      <c r="N1831" s="4" t="s">
        <v>12562</v>
      </c>
      <c r="O1831" s="4" t="s">
        <v>12563</v>
      </c>
      <c r="P1831" s="4" t="s">
        <v>233</v>
      </c>
    </row>
    <row r="1832" spans="1:16" x14ac:dyDescent="0.35">
      <c r="A1832" t="s">
        <v>12564</v>
      </c>
      <c r="B1832" t="s">
        <v>12565</v>
      </c>
      <c r="C1832" t="s">
        <v>16</v>
      </c>
      <c r="D1832" s="6">
        <v>2174629740</v>
      </c>
      <c r="E1832" s="6">
        <v>4991629740</v>
      </c>
      <c r="F1832" s="6">
        <v>30</v>
      </c>
      <c r="G1832" s="6">
        <v>29.870000839233398</v>
      </c>
      <c r="H1832" s="6">
        <v>46.063490844881194</v>
      </c>
      <c r="I1832" s="6">
        <v>0.26874491830384706</v>
      </c>
      <c r="J1832" s="6">
        <v>4191000000</v>
      </c>
      <c r="K1832" s="6" t="e">
        <v>#N/A</v>
      </c>
      <c r="L1832" t="s">
        <v>6529</v>
      </c>
      <c r="M1832" t="s">
        <v>6639</v>
      </c>
      <c r="N1832" s="4" t="s">
        <v>12566</v>
      </c>
      <c r="O1832" s="4" t="s">
        <v>12567</v>
      </c>
      <c r="P1832" s="4" t="s">
        <v>233</v>
      </c>
    </row>
    <row r="1833" spans="1:16" x14ac:dyDescent="0.35">
      <c r="A1833" t="s">
        <v>12568</v>
      </c>
      <c r="B1833" t="s">
        <v>12569</v>
      </c>
      <c r="C1833" t="s">
        <v>16</v>
      </c>
      <c r="D1833" s="6">
        <v>4570643698.6807241</v>
      </c>
      <c r="E1833" s="6">
        <v>5101434698.6807241</v>
      </c>
      <c r="F1833" s="6">
        <v>106.72000122070313</v>
      </c>
      <c r="G1833" s="6">
        <v>105.25</v>
      </c>
      <c r="H1833" s="6">
        <v>180.01757873779059</v>
      </c>
      <c r="I1833" s="6">
        <v>0.32798375326204554</v>
      </c>
      <c r="J1833" s="6">
        <v>1210167000</v>
      </c>
      <c r="K1833" s="6">
        <v>255.01500000000001</v>
      </c>
      <c r="L1833" t="s">
        <v>6540</v>
      </c>
      <c r="M1833" t="s">
        <v>6825</v>
      </c>
      <c r="N1833" s="4" t="s">
        <v>12570</v>
      </c>
      <c r="O1833" s="4" t="s">
        <v>12571</v>
      </c>
      <c r="P1833" s="4" t="s">
        <v>233</v>
      </c>
    </row>
    <row r="1834" spans="1:16" x14ac:dyDescent="0.35">
      <c r="A1834" t="s">
        <v>12572</v>
      </c>
      <c r="B1834" t="s">
        <v>12573</v>
      </c>
      <c r="C1834" t="s">
        <v>16</v>
      </c>
      <c r="D1834" s="6">
        <v>5047226887.5758896</v>
      </c>
      <c r="E1834" s="6">
        <v>5061402887.5758896</v>
      </c>
      <c r="F1834" s="6">
        <v>91.120002746582031</v>
      </c>
      <c r="G1834" s="6">
        <v>92.010002136230469</v>
      </c>
      <c r="H1834" s="6" t="e">
        <v>#N/A</v>
      </c>
      <c r="I1834" s="6">
        <v>-2.2466471763076257E-2</v>
      </c>
      <c r="J1834" s="6">
        <v>705444000</v>
      </c>
      <c r="K1834" s="6">
        <v>63.921568627450988</v>
      </c>
      <c r="L1834" t="s">
        <v>6518</v>
      </c>
      <c r="M1834" t="s">
        <v>6519</v>
      </c>
      <c r="N1834" s="4" t="s">
        <v>12574</v>
      </c>
      <c r="O1834" s="4" t="s">
        <v>12575</v>
      </c>
      <c r="P1834" s="4" t="s">
        <v>233</v>
      </c>
    </row>
    <row r="1835" spans="1:16" x14ac:dyDescent="0.35">
      <c r="A1835" t="s">
        <v>12576</v>
      </c>
      <c r="B1835" t="s">
        <v>3842</v>
      </c>
      <c r="C1835" t="s">
        <v>16</v>
      </c>
      <c r="D1835" s="6">
        <v>1098139307.9999998</v>
      </c>
      <c r="E1835" s="6">
        <v>54139307.999999762</v>
      </c>
      <c r="F1835" s="6">
        <v>12</v>
      </c>
      <c r="G1835" s="6">
        <v>11.720000267028809</v>
      </c>
      <c r="H1835" s="6" t="e">
        <v>#N/A</v>
      </c>
      <c r="I1835" s="6">
        <v>-0.27033013361161795</v>
      </c>
      <c r="J1835" s="6">
        <v>263000000</v>
      </c>
      <c r="K1835" s="6">
        <v>21.250000000000004</v>
      </c>
      <c r="L1835" t="s">
        <v>17</v>
      </c>
      <c r="M1835" t="s">
        <v>18</v>
      </c>
      <c r="N1835" s="4" t="s">
        <v>3843</v>
      </c>
      <c r="O1835" s="4" t="s">
        <v>3844</v>
      </c>
      <c r="P1835" s="4" t="s">
        <v>233</v>
      </c>
    </row>
    <row r="1836" spans="1:16" x14ac:dyDescent="0.35">
      <c r="A1836" t="s">
        <v>12577</v>
      </c>
      <c r="B1836" t="s">
        <v>12578</v>
      </c>
      <c r="C1836" t="s">
        <v>16</v>
      </c>
      <c r="D1836" s="6">
        <v>378613767.65598845</v>
      </c>
      <c r="E1836" s="6">
        <v>59887767.655988455</v>
      </c>
      <c r="F1836" s="6">
        <v>1.0499999523162842</v>
      </c>
      <c r="G1836" s="6">
        <v>1.0499999523162842</v>
      </c>
      <c r="H1836" s="6" t="e">
        <v>#N/A</v>
      </c>
      <c r="I1836" s="6">
        <v>-0.25471912802101127</v>
      </c>
      <c r="J1836" s="6">
        <v>0</v>
      </c>
      <c r="K1836" s="6">
        <v>5.5555555555555456</v>
      </c>
      <c r="L1836" t="s">
        <v>6547</v>
      </c>
      <c r="M1836" t="s">
        <v>6602</v>
      </c>
      <c r="N1836" s="4" t="s">
        <v>12579</v>
      </c>
      <c r="O1836" s="4" t="s">
        <v>12580</v>
      </c>
      <c r="P1836" s="4" t="s">
        <v>233</v>
      </c>
    </row>
    <row r="1837" spans="1:16" x14ac:dyDescent="0.35">
      <c r="A1837" t="s">
        <v>12581</v>
      </c>
      <c r="B1837" t="s">
        <v>12582</v>
      </c>
      <c r="C1837" t="s">
        <v>16</v>
      </c>
      <c r="D1837" s="6">
        <v>2258163807.6502686</v>
      </c>
      <c r="E1837" s="6">
        <v>5290363807.6502686</v>
      </c>
      <c r="F1837" s="6">
        <v>31.280000686645508</v>
      </c>
      <c r="G1837" s="6">
        <v>31.049999237060547</v>
      </c>
      <c r="H1837" s="6">
        <v>57.361553248584741</v>
      </c>
      <c r="I1837" s="6">
        <v>1.320103303612119E-2</v>
      </c>
      <c r="J1837" s="6">
        <v>2902100000</v>
      </c>
      <c r="K1837" s="6">
        <v>-38.167938931297705</v>
      </c>
      <c r="L1837" t="s">
        <v>6735</v>
      </c>
      <c r="M1837" t="s">
        <v>8777</v>
      </c>
      <c r="N1837" s="4" t="s">
        <v>12583</v>
      </c>
      <c r="O1837" s="4" t="s">
        <v>12584</v>
      </c>
      <c r="P1837" s="4" t="s">
        <v>233</v>
      </c>
    </row>
    <row r="1838" spans="1:16" x14ac:dyDescent="0.35">
      <c r="A1838" t="s">
        <v>12585</v>
      </c>
      <c r="B1838" t="s">
        <v>12586</v>
      </c>
      <c r="C1838" t="s">
        <v>16</v>
      </c>
      <c r="D1838" s="6">
        <v>1580306295.8128738</v>
      </c>
      <c r="E1838" s="6">
        <v>1265486295.8128738</v>
      </c>
      <c r="F1838" s="6">
        <v>12.350000381469727</v>
      </c>
      <c r="G1838" s="6">
        <v>12.199999809265137</v>
      </c>
      <c r="H1838" s="6" t="e">
        <v>#N/A</v>
      </c>
      <c r="I1838" s="6">
        <v>-0.13541465199348834</v>
      </c>
      <c r="J1838" s="6">
        <v>292544000</v>
      </c>
      <c r="K1838" s="6">
        <v>19.277108433734931</v>
      </c>
      <c r="L1838" t="s">
        <v>6518</v>
      </c>
      <c r="M1838" t="s">
        <v>6519</v>
      </c>
      <c r="N1838" s="4" t="s">
        <v>12587</v>
      </c>
      <c r="O1838" s="4" t="s">
        <v>12588</v>
      </c>
      <c r="P1838" s="4" t="s">
        <v>233</v>
      </c>
    </row>
    <row r="1839" spans="1:16" x14ac:dyDescent="0.35">
      <c r="A1839" t="s">
        <v>12589</v>
      </c>
      <c r="B1839" t="s">
        <v>12590</v>
      </c>
      <c r="C1839" t="s">
        <v>16</v>
      </c>
      <c r="D1839" s="6">
        <v>1570386948.9481812</v>
      </c>
      <c r="E1839" s="6">
        <v>4836889948.9481812</v>
      </c>
      <c r="F1839" s="6">
        <v>279.45001220703125</v>
      </c>
      <c r="G1839" s="6">
        <v>279.91000366210938</v>
      </c>
      <c r="H1839" s="6">
        <v>6.0221126321641671</v>
      </c>
      <c r="I1839" s="6">
        <v>-0.43000727272987027</v>
      </c>
      <c r="J1839" s="6">
        <v>1604143000</v>
      </c>
      <c r="K1839" s="6">
        <v>283.502538071066</v>
      </c>
      <c r="L1839" t="s">
        <v>6514</v>
      </c>
      <c r="M1839" t="s">
        <v>6534</v>
      </c>
      <c r="N1839" s="4" t="s">
        <v>12591</v>
      </c>
      <c r="O1839" s="4" t="s">
        <v>12592</v>
      </c>
      <c r="P1839" s="4" t="s">
        <v>233</v>
      </c>
    </row>
    <row r="1840" spans="1:16" x14ac:dyDescent="0.35">
      <c r="A1840" t="s">
        <v>12593</v>
      </c>
      <c r="B1840" t="s">
        <v>12594</v>
      </c>
      <c r="C1840" t="s">
        <v>16</v>
      </c>
      <c r="D1840" s="6">
        <v>5608077045.1186047</v>
      </c>
      <c r="E1840" s="6">
        <v>4606488045.1186047</v>
      </c>
      <c r="F1840" s="6">
        <v>7.3299999237060547</v>
      </c>
      <c r="G1840" s="6">
        <v>7.25</v>
      </c>
      <c r="H1840" s="6" t="e">
        <v>#N/A</v>
      </c>
      <c r="I1840" s="6">
        <v>0.16117268579560529</v>
      </c>
      <c r="J1840" s="6">
        <v>1032000</v>
      </c>
      <c r="K1840" s="6">
        <v>-79.545454545454547</v>
      </c>
      <c r="L1840" t="s">
        <v>6547</v>
      </c>
      <c r="M1840" t="s">
        <v>6814</v>
      </c>
      <c r="N1840" s="4" t="s">
        <v>233</v>
      </c>
      <c r="O1840" s="4" t="s">
        <v>12595</v>
      </c>
      <c r="P1840" s="4" t="s">
        <v>13277</v>
      </c>
    </row>
    <row r="1841" spans="1:16" x14ac:dyDescent="0.35">
      <c r="A1841" t="s">
        <v>12600</v>
      </c>
      <c r="B1841" t="s">
        <v>12601</v>
      </c>
      <c r="C1841" t="s">
        <v>16</v>
      </c>
      <c r="D1841" s="6">
        <v>504265166.71229935</v>
      </c>
      <c r="E1841" s="6">
        <v>573660166.71229935</v>
      </c>
      <c r="F1841" s="6">
        <v>37.520000457763672</v>
      </c>
      <c r="G1841" s="6">
        <v>38.5</v>
      </c>
      <c r="H1841" s="6">
        <v>10.573160083549288</v>
      </c>
      <c r="I1841" s="6">
        <v>0.70402816185634953</v>
      </c>
      <c r="J1841" s="6">
        <v>495236000</v>
      </c>
      <c r="K1841" s="6">
        <v>6.4971751412429244</v>
      </c>
      <c r="L1841" t="s">
        <v>6540</v>
      </c>
      <c r="M1841" t="s">
        <v>6541</v>
      </c>
      <c r="N1841" s="4" t="s">
        <v>12602</v>
      </c>
      <c r="O1841" s="4" t="s">
        <v>12603</v>
      </c>
      <c r="P1841" s="4" t="s">
        <v>233</v>
      </c>
    </row>
    <row r="1842" spans="1:16" x14ac:dyDescent="0.35">
      <c r="A1842" t="s">
        <v>12596</v>
      </c>
      <c r="B1842" t="s">
        <v>12597</v>
      </c>
      <c r="C1842" t="s">
        <v>16</v>
      </c>
      <c r="D1842" s="6">
        <v>223043939.58730507</v>
      </c>
      <c r="E1842" s="6" t="e">
        <v>#N/A</v>
      </c>
      <c r="F1842" s="6">
        <v>12.579999923706055</v>
      </c>
      <c r="G1842" s="6">
        <v>12.609999656677246</v>
      </c>
      <c r="H1842" s="6">
        <v>29.255813776060592</v>
      </c>
      <c r="I1842" s="6">
        <v>0.21598277182531644</v>
      </c>
      <c r="J1842" s="6">
        <v>95369000</v>
      </c>
      <c r="K1842" s="6">
        <v>-34.848484848484851</v>
      </c>
      <c r="L1842" t="e">
        <v>#N/A</v>
      </c>
      <c r="M1842" t="e">
        <v>#N/A</v>
      </c>
      <c r="N1842" s="4" t="s">
        <v>12598</v>
      </c>
      <c r="O1842" s="4" t="s">
        <v>12599</v>
      </c>
      <c r="P1842" s="4" t="s">
        <v>233</v>
      </c>
    </row>
    <row r="1843" spans="1:16" x14ac:dyDescent="0.35">
      <c r="A1843" t="s">
        <v>12604</v>
      </c>
      <c r="B1843" t="s">
        <v>12605</v>
      </c>
      <c r="C1843" t="s">
        <v>16</v>
      </c>
      <c r="D1843" s="6">
        <v>2216692009.8803096</v>
      </c>
      <c r="E1843" s="6">
        <v>2186692009.8803096</v>
      </c>
      <c r="F1843" s="6">
        <v>80.260002136230469</v>
      </c>
      <c r="G1843" s="6">
        <v>80.419998168945313</v>
      </c>
      <c r="H1843" s="6">
        <v>9.7311083783350156</v>
      </c>
      <c r="I1843" s="6">
        <v>-0.33644199799629471</v>
      </c>
      <c r="J1843" s="6">
        <v>3917000000</v>
      </c>
      <c r="K1843" s="6">
        <v>240.69343065693437</v>
      </c>
      <c r="L1843" t="s">
        <v>6540</v>
      </c>
      <c r="M1843" t="s">
        <v>6881</v>
      </c>
      <c r="N1843" s="4" t="s">
        <v>12606</v>
      </c>
      <c r="O1843" s="4" t="s">
        <v>12607</v>
      </c>
      <c r="P1843" s="4" t="s">
        <v>233</v>
      </c>
    </row>
    <row r="1844" spans="1:16" x14ac:dyDescent="0.35">
      <c r="A1844" t="s">
        <v>12608</v>
      </c>
      <c r="B1844" t="s">
        <v>12609</v>
      </c>
      <c r="C1844" t="s">
        <v>16</v>
      </c>
      <c r="D1844" s="6">
        <v>352608777.53871924</v>
      </c>
      <c r="E1844" s="6">
        <v>932608777.53871918</v>
      </c>
      <c r="F1844" s="6">
        <v>6.7600002288818359</v>
      </c>
      <c r="G1844" s="6">
        <v>6.7699999809265137</v>
      </c>
      <c r="H1844" s="6" t="e">
        <v>#N/A</v>
      </c>
      <c r="I1844" s="6">
        <v>0.22848675526520745</v>
      </c>
      <c r="J1844" s="6">
        <v>2751700000</v>
      </c>
      <c r="K1844" s="6">
        <v>-91.860465116279116</v>
      </c>
      <c r="L1844" t="s">
        <v>6547</v>
      </c>
      <c r="M1844" t="s">
        <v>6802</v>
      </c>
      <c r="N1844" s="4" t="s">
        <v>12610</v>
      </c>
      <c r="O1844" s="4" t="s">
        <v>12611</v>
      </c>
      <c r="P1844" s="4" t="s">
        <v>233</v>
      </c>
    </row>
    <row r="1845" spans="1:16" x14ac:dyDescent="0.35">
      <c r="A1845" t="s">
        <v>12612</v>
      </c>
      <c r="B1845" t="s">
        <v>4455</v>
      </c>
      <c r="C1845" t="s">
        <v>16</v>
      </c>
      <c r="D1845" s="6">
        <v>157341499.92000103</v>
      </c>
      <c r="E1845" s="6">
        <v>151519132.92000103</v>
      </c>
      <c r="F1845" s="6">
        <v>11.970000267028809</v>
      </c>
      <c r="G1845" s="6">
        <v>11.850000381469727</v>
      </c>
      <c r="H1845" s="6" t="e">
        <v>#N/A</v>
      </c>
      <c r="I1845" s="6">
        <v>0.36372077271701353</v>
      </c>
      <c r="J1845" s="6">
        <v>0</v>
      </c>
      <c r="K1845" s="6">
        <v>-13.649667443386209</v>
      </c>
      <c r="L1845" t="s">
        <v>17</v>
      </c>
      <c r="M1845" t="s">
        <v>18</v>
      </c>
      <c r="N1845" s="4" t="s">
        <v>4456</v>
      </c>
      <c r="O1845" s="4" t="s">
        <v>4457</v>
      </c>
      <c r="P1845" s="4" t="s">
        <v>233</v>
      </c>
    </row>
    <row r="1846" spans="1:16" x14ac:dyDescent="0.35">
      <c r="A1846" t="s">
        <v>12617</v>
      </c>
      <c r="B1846" t="s">
        <v>12618</v>
      </c>
      <c r="C1846" t="s">
        <v>16</v>
      </c>
      <c r="D1846" s="6">
        <v>318356433.81893635</v>
      </c>
      <c r="E1846" s="6" t="e">
        <v>#N/A</v>
      </c>
      <c r="F1846" s="6">
        <v>13.359999656677246</v>
      </c>
      <c r="G1846" s="6">
        <v>13.5</v>
      </c>
      <c r="H1846" s="6">
        <v>29.04347751451575</v>
      </c>
      <c r="I1846" s="6">
        <v>0.4601914912024303</v>
      </c>
      <c r="J1846" s="6">
        <v>169850000</v>
      </c>
      <c r="K1846" s="6">
        <v>206.66666666666671</v>
      </c>
      <c r="L1846" t="s">
        <v>6529</v>
      </c>
      <c r="M1846" t="s">
        <v>6530</v>
      </c>
      <c r="N1846" s="4" t="s">
        <v>12619</v>
      </c>
      <c r="O1846" s="4" t="s">
        <v>12620</v>
      </c>
      <c r="P1846" s="4" t="s">
        <v>233</v>
      </c>
    </row>
    <row r="1847" spans="1:16" x14ac:dyDescent="0.35">
      <c r="A1847" t="s">
        <v>12613</v>
      </c>
      <c r="B1847" t="s">
        <v>12614</v>
      </c>
      <c r="C1847" t="s">
        <v>16</v>
      </c>
      <c r="D1847" s="6">
        <v>1959261758.0999527</v>
      </c>
      <c r="E1847" s="6">
        <v>3234430758.0999527</v>
      </c>
      <c r="F1847" s="6">
        <v>20.959999084472656</v>
      </c>
      <c r="G1847" s="6">
        <v>20.879999160766602</v>
      </c>
      <c r="H1847" s="6">
        <v>6.4972703045820808</v>
      </c>
      <c r="I1847" s="6">
        <v>-0.38541807303862496</v>
      </c>
      <c r="J1847" s="6">
        <v>4028413000</v>
      </c>
      <c r="K1847" s="6">
        <v>10.695514671497444</v>
      </c>
      <c r="L1847" t="s">
        <v>6540</v>
      </c>
      <c r="M1847" t="s">
        <v>6797</v>
      </c>
      <c r="N1847" s="4" t="s">
        <v>12615</v>
      </c>
      <c r="O1847" s="4" t="s">
        <v>12616</v>
      </c>
      <c r="P1847" s="4" t="s">
        <v>233</v>
      </c>
    </row>
    <row r="1848" spans="1:16" x14ac:dyDescent="0.35">
      <c r="A1848" t="s">
        <v>12621</v>
      </c>
      <c r="B1848" t="s">
        <v>12622</v>
      </c>
      <c r="C1848" t="s">
        <v>16</v>
      </c>
      <c r="D1848" s="6">
        <v>906252566.15195465</v>
      </c>
      <c r="E1848" s="6">
        <v>1325177566.1519547</v>
      </c>
      <c r="F1848" s="6">
        <v>33.040000915527344</v>
      </c>
      <c r="G1848" s="6">
        <v>32.569999694824219</v>
      </c>
      <c r="H1848" s="6">
        <v>4063.9607522173865</v>
      </c>
      <c r="I1848" s="6">
        <v>-0.13762266334369966</v>
      </c>
      <c r="J1848" s="6">
        <v>733305000</v>
      </c>
      <c r="K1848" s="6">
        <v>-86.145833333333343</v>
      </c>
      <c r="L1848" t="s">
        <v>6540</v>
      </c>
      <c r="M1848" t="s">
        <v>6825</v>
      </c>
      <c r="N1848" s="4" t="s">
        <v>12623</v>
      </c>
      <c r="O1848" s="4" t="s">
        <v>12624</v>
      </c>
      <c r="P1848" s="4" t="s">
        <v>233</v>
      </c>
    </row>
    <row r="1849" spans="1:16" x14ac:dyDescent="0.35">
      <c r="A1849" t="s">
        <v>12625</v>
      </c>
      <c r="B1849" t="s">
        <v>12626</v>
      </c>
      <c r="C1849" t="s">
        <v>16</v>
      </c>
      <c r="D1849" s="6">
        <v>811324707.8788923</v>
      </c>
      <c r="E1849" s="6" t="e">
        <v>#N/A</v>
      </c>
      <c r="F1849" s="6">
        <v>6.1100001335144043</v>
      </c>
      <c r="G1849" s="6">
        <v>6.0399999618530273</v>
      </c>
      <c r="H1849" s="6">
        <v>15.666667009011293</v>
      </c>
      <c r="I1849" s="6">
        <v>5.1483512150620303E-2</v>
      </c>
      <c r="J1849" s="6">
        <v>401604000</v>
      </c>
      <c r="K1849" s="6" t="e">
        <v>#N/A</v>
      </c>
      <c r="L1849" t="s">
        <v>6529</v>
      </c>
      <c r="M1849" t="s">
        <v>6530</v>
      </c>
      <c r="N1849" s="4" t="s">
        <v>12627</v>
      </c>
      <c r="O1849" s="4" t="s">
        <v>12628</v>
      </c>
      <c r="P1849" s="4" t="s">
        <v>233</v>
      </c>
    </row>
    <row r="1850" spans="1:16" x14ac:dyDescent="0.35">
      <c r="A1850" t="s">
        <v>12629</v>
      </c>
      <c r="B1850" t="s">
        <v>12630</v>
      </c>
      <c r="C1850" t="s">
        <v>16</v>
      </c>
      <c r="D1850" s="6">
        <v>1132853856.751236</v>
      </c>
      <c r="E1850" s="6">
        <v>1340628856.751236</v>
      </c>
      <c r="F1850" s="6">
        <v>17.409999847412109</v>
      </c>
      <c r="G1850" s="6">
        <v>17.799999237060547</v>
      </c>
      <c r="H1850" s="6">
        <v>28.604452415995343</v>
      </c>
      <c r="I1850" s="6">
        <v>-0.38115351858833624</v>
      </c>
      <c r="J1850" s="6">
        <v>916003000</v>
      </c>
      <c r="K1850" s="6">
        <v>-18.94736842105263</v>
      </c>
      <c r="L1850" t="s">
        <v>6547</v>
      </c>
      <c r="M1850" t="s">
        <v>6548</v>
      </c>
      <c r="N1850" s="4" t="s">
        <v>12631</v>
      </c>
      <c r="O1850" s="4" t="s">
        <v>12632</v>
      </c>
      <c r="P1850" s="4" t="s">
        <v>233</v>
      </c>
    </row>
    <row r="1851" spans="1:16" x14ac:dyDescent="0.35">
      <c r="A1851" t="s">
        <v>12633</v>
      </c>
      <c r="B1851" t="s">
        <v>12634</v>
      </c>
      <c r="C1851" t="s">
        <v>16</v>
      </c>
      <c r="D1851" s="6">
        <v>2060362378.8505552</v>
      </c>
      <c r="E1851" s="6">
        <v>2121645378.8505552</v>
      </c>
      <c r="F1851" s="6">
        <v>15.520000457763672</v>
      </c>
      <c r="G1851" s="6">
        <v>15.210000038146973</v>
      </c>
      <c r="H1851" s="6" t="e">
        <v>#N/A</v>
      </c>
      <c r="I1851" s="6">
        <v>0.23201992584253528</v>
      </c>
      <c r="J1851" s="6">
        <v>1016248000</v>
      </c>
      <c r="K1851" s="6" t="e">
        <v>#N/A</v>
      </c>
      <c r="L1851" t="s">
        <v>6518</v>
      </c>
      <c r="M1851" t="s">
        <v>7048</v>
      </c>
      <c r="N1851" s="4" t="s">
        <v>12635</v>
      </c>
      <c r="O1851" s="4" t="s">
        <v>12636</v>
      </c>
      <c r="P1851" s="4" t="s">
        <v>233</v>
      </c>
    </row>
    <row r="1852" spans="1:16" x14ac:dyDescent="0.35">
      <c r="A1852" t="s">
        <v>12640</v>
      </c>
      <c r="B1852" t="s">
        <v>12641</v>
      </c>
      <c r="C1852" t="s">
        <v>16</v>
      </c>
      <c r="D1852" s="6">
        <v>649810354.43794465</v>
      </c>
      <c r="E1852" s="6">
        <v>850095354.43794465</v>
      </c>
      <c r="F1852" s="6">
        <v>18.450000762939453</v>
      </c>
      <c r="G1852" s="6">
        <v>18.569999694824219</v>
      </c>
      <c r="H1852" s="6">
        <v>66.175761246971717</v>
      </c>
      <c r="I1852" s="6">
        <v>-3.6956975218864874E-2</v>
      </c>
      <c r="J1852" s="6">
        <v>782178000</v>
      </c>
      <c r="K1852" s="6">
        <v>84.552845528455279</v>
      </c>
      <c r="L1852" t="s">
        <v>6547</v>
      </c>
      <c r="M1852" t="s">
        <v>6843</v>
      </c>
      <c r="N1852" s="4" t="s">
        <v>12642</v>
      </c>
      <c r="O1852" s="4" t="s">
        <v>12643</v>
      </c>
      <c r="P1852" s="4" t="s">
        <v>233</v>
      </c>
    </row>
    <row r="1853" spans="1:16" x14ac:dyDescent="0.35">
      <c r="A1853" t="s">
        <v>12637</v>
      </c>
      <c r="B1853" t="s">
        <v>12638</v>
      </c>
      <c r="C1853" t="s">
        <v>16</v>
      </c>
      <c r="D1853" s="6">
        <v>1434409736.1771126</v>
      </c>
      <c r="E1853" s="6">
        <v>3553409736.1771126</v>
      </c>
      <c r="F1853" s="6">
        <v>17.090000152587891</v>
      </c>
      <c r="G1853" s="6">
        <v>17.030000686645508</v>
      </c>
      <c r="H1853" s="6">
        <v>13.0200795318774</v>
      </c>
      <c r="I1853" s="6">
        <v>-0.50682229354895325</v>
      </c>
      <c r="J1853" s="6">
        <v>14523000000</v>
      </c>
      <c r="K1853" s="6">
        <v>-99.115044247787608</v>
      </c>
      <c r="L1853" t="s">
        <v>6540</v>
      </c>
      <c r="M1853" t="s">
        <v>6881</v>
      </c>
      <c r="N1853" s="4" t="s">
        <v>233</v>
      </c>
      <c r="O1853" s="4" t="s">
        <v>12639</v>
      </c>
      <c r="P1853" s="4" t="s">
        <v>13278</v>
      </c>
    </row>
    <row r="1854" spans="1:16" x14ac:dyDescent="0.35">
      <c r="A1854" t="s">
        <v>13340</v>
      </c>
      <c r="B1854" t="s">
        <v>13000</v>
      </c>
      <c r="C1854" t="s">
        <v>16</v>
      </c>
      <c r="D1854" s="6">
        <v>90119992.080038548</v>
      </c>
      <c r="E1854" s="6">
        <v>226317992.08003855</v>
      </c>
      <c r="F1854" s="6">
        <v>4.4699997901916504</v>
      </c>
      <c r="G1854" s="6">
        <v>4.4699997901916504</v>
      </c>
      <c r="H1854" s="6" t="e">
        <v>#N/A</v>
      </c>
      <c r="I1854" s="6">
        <v>-0.92383009709407637</v>
      </c>
      <c r="J1854" s="6">
        <v>350000</v>
      </c>
      <c r="K1854" s="6" t="e">
        <v>#N/A</v>
      </c>
      <c r="L1854" t="s">
        <v>17</v>
      </c>
      <c r="M1854" t="s">
        <v>18</v>
      </c>
      <c r="N1854" s="4" t="s">
        <v>13001</v>
      </c>
      <c r="O1854" s="4" t="s">
        <v>13002</v>
      </c>
      <c r="P1854" s="4" t="s">
        <v>233</v>
      </c>
    </row>
    <row r="1855" spans="1:16" x14ac:dyDescent="0.35">
      <c r="A1855" t="s">
        <v>12644</v>
      </c>
      <c r="B1855" t="s">
        <v>12645</v>
      </c>
      <c r="C1855" t="s">
        <v>16</v>
      </c>
      <c r="D1855" s="6">
        <v>180348263.78771353</v>
      </c>
      <c r="E1855" s="6">
        <v>176568628.78771353</v>
      </c>
      <c r="F1855" s="6">
        <v>5.4800000190734863</v>
      </c>
      <c r="G1855" s="6">
        <v>5.3299999237060547</v>
      </c>
      <c r="H1855" s="6">
        <v>29.439731921552166</v>
      </c>
      <c r="I1855" s="6">
        <v>2.1944972961528255</v>
      </c>
      <c r="J1855" s="6">
        <v>32143279</v>
      </c>
      <c r="K1855" s="6" t="e">
        <v>#N/A</v>
      </c>
      <c r="L1855" t="s">
        <v>6518</v>
      </c>
      <c r="M1855" t="s">
        <v>6519</v>
      </c>
      <c r="N1855" s="4" t="s">
        <v>12646</v>
      </c>
      <c r="O1855" s="4" t="s">
        <v>12647</v>
      </c>
      <c r="P1855" s="4" t="s">
        <v>233</v>
      </c>
    </row>
    <row r="1856" spans="1:16" x14ac:dyDescent="0.35">
      <c r="A1856" t="s">
        <v>13364</v>
      </c>
      <c r="B1856" t="s">
        <v>12952</v>
      </c>
      <c r="C1856" t="s">
        <v>16</v>
      </c>
      <c r="D1856" s="6">
        <v>799597115.14730835</v>
      </c>
      <c r="E1856" s="6">
        <v>931896115.14730835</v>
      </c>
      <c r="F1856" s="6">
        <v>22.319999694824219</v>
      </c>
      <c r="G1856" s="6">
        <v>21.510000228881836</v>
      </c>
      <c r="H1856" s="6" t="e">
        <v>#N/A</v>
      </c>
      <c r="I1856" s="6">
        <v>-0.28378644994167035</v>
      </c>
      <c r="J1856" s="6">
        <v>45225000</v>
      </c>
      <c r="K1856" s="6">
        <v>23.731138545953367</v>
      </c>
      <c r="L1856" t="s">
        <v>17</v>
      </c>
      <c r="M1856" t="s">
        <v>27</v>
      </c>
      <c r="N1856" s="4" t="s">
        <v>12953</v>
      </c>
      <c r="O1856" s="4" t="s">
        <v>12954</v>
      </c>
      <c r="P1856" s="4" t="s">
        <v>233</v>
      </c>
    </row>
    <row r="1857" spans="1:16" x14ac:dyDescent="0.35">
      <c r="A1857" t="s">
        <v>13341</v>
      </c>
      <c r="B1857" t="s">
        <v>12996</v>
      </c>
      <c r="C1857" t="s">
        <v>16</v>
      </c>
      <c r="D1857" s="6">
        <v>383751654.98180771</v>
      </c>
      <c r="E1857" s="6">
        <v>383872824.98180771</v>
      </c>
      <c r="F1857" s="6">
        <v>7.1599998474121094</v>
      </c>
      <c r="G1857" s="6">
        <v>6.8400001525878906</v>
      </c>
      <c r="H1857" s="6" t="e">
        <v>#N/A</v>
      </c>
      <c r="I1857" s="6">
        <v>-0.96327247155694939</v>
      </c>
      <c r="J1857" s="6">
        <v>2380</v>
      </c>
      <c r="K1857" s="6">
        <v>14.43514644351464</v>
      </c>
      <c r="L1857" t="s">
        <v>17</v>
      </c>
      <c r="M1857" t="s">
        <v>18</v>
      </c>
      <c r="N1857" s="4" t="s">
        <v>12997</v>
      </c>
      <c r="O1857" s="4" t="s">
        <v>12998</v>
      </c>
      <c r="P1857" s="4" t="s">
        <v>233</v>
      </c>
    </row>
    <row r="1858" spans="1:16" x14ac:dyDescent="0.35">
      <c r="A1858" t="s">
        <v>12648</v>
      </c>
      <c r="B1858" t="s">
        <v>12649</v>
      </c>
      <c r="C1858" t="s">
        <v>16</v>
      </c>
      <c r="D1858" s="6">
        <v>2563063714.0329747</v>
      </c>
      <c r="E1858" s="6">
        <v>5524063714.0329742</v>
      </c>
      <c r="F1858" s="6">
        <v>32.599998474121094</v>
      </c>
      <c r="G1858" s="6">
        <v>32.130001068115234</v>
      </c>
      <c r="H1858" s="6">
        <v>13.859300238848085</v>
      </c>
      <c r="I1858" s="6">
        <v>6.8657972756693386E-2</v>
      </c>
      <c r="J1858" s="6">
        <v>6205452000</v>
      </c>
      <c r="K1858" s="6">
        <v>65.81196581196582</v>
      </c>
      <c r="L1858" t="s">
        <v>6540</v>
      </c>
      <c r="M1858" t="s">
        <v>6541</v>
      </c>
      <c r="N1858" s="4" t="s">
        <v>12650</v>
      </c>
      <c r="O1858" s="4" t="s">
        <v>12651</v>
      </c>
      <c r="P1858" s="4" t="s">
        <v>233</v>
      </c>
    </row>
    <row r="1859" spans="1:16" x14ac:dyDescent="0.35">
      <c r="A1859" t="s">
        <v>12652</v>
      </c>
      <c r="B1859" t="s">
        <v>3256</v>
      </c>
      <c r="C1859" t="s">
        <v>16</v>
      </c>
      <c r="D1859" s="6">
        <v>461069805.60970688</v>
      </c>
      <c r="E1859" s="6">
        <v>331505805.60970688</v>
      </c>
      <c r="F1859" s="6">
        <v>9.3299999237060547</v>
      </c>
      <c r="G1859" s="6">
        <v>9.4099998474121094</v>
      </c>
      <c r="H1859" s="6" t="e">
        <v>#N/A</v>
      </c>
      <c r="I1859" s="6">
        <v>-0.41746740011924532</v>
      </c>
      <c r="J1859" s="6">
        <v>0</v>
      </c>
      <c r="K1859" s="6">
        <v>-18.954248366013061</v>
      </c>
      <c r="L1859" t="s">
        <v>17</v>
      </c>
      <c r="M1859" t="s">
        <v>18</v>
      </c>
      <c r="N1859" s="4" t="s">
        <v>3257</v>
      </c>
      <c r="O1859" s="4" t="s">
        <v>3258</v>
      </c>
      <c r="P1859" s="4" t="s">
        <v>233</v>
      </c>
    </row>
    <row r="1860" spans="1:16" x14ac:dyDescent="0.35">
      <c r="A1860" t="s">
        <v>12653</v>
      </c>
      <c r="B1860" t="s">
        <v>12654</v>
      </c>
      <c r="C1860" t="s">
        <v>16</v>
      </c>
      <c r="D1860" s="6">
        <v>1591404688.9335098</v>
      </c>
      <c r="E1860" s="6">
        <v>1731604688.9335098</v>
      </c>
      <c r="F1860" s="6">
        <v>18.069999694824219</v>
      </c>
      <c r="G1860" s="6">
        <v>17.969999313354492</v>
      </c>
      <c r="H1860" s="6">
        <v>63.778795561335365</v>
      </c>
      <c r="I1860" s="6">
        <v>0.11785179688465375</v>
      </c>
      <c r="J1860" s="6">
        <v>758800000</v>
      </c>
      <c r="K1860" s="6">
        <v>-11.442786069651763</v>
      </c>
      <c r="L1860" t="s">
        <v>6518</v>
      </c>
      <c r="M1860" t="s">
        <v>6714</v>
      </c>
      <c r="N1860" s="4" t="s">
        <v>12655</v>
      </c>
      <c r="O1860" s="4" t="s">
        <v>12656</v>
      </c>
      <c r="P1860" s="4" t="s">
        <v>233</v>
      </c>
    </row>
    <row r="1861" spans="1:16" x14ac:dyDescent="0.35">
      <c r="A1861" t="s">
        <v>12657</v>
      </c>
      <c r="B1861" t="s">
        <v>12658</v>
      </c>
      <c r="C1861" t="s">
        <v>16</v>
      </c>
      <c r="D1861" s="6">
        <v>1865847111.4184942</v>
      </c>
      <c r="E1861" s="6">
        <v>2678161111.4184942</v>
      </c>
      <c r="F1861" s="6">
        <v>9.2200002670288086</v>
      </c>
      <c r="G1861" s="6">
        <v>9.0200004577636719</v>
      </c>
      <c r="H1861" s="6" t="e">
        <v>#N/A</v>
      </c>
      <c r="I1861" s="6">
        <v>-5.1303423124570369E-2</v>
      </c>
      <c r="J1861" s="6">
        <v>1098328000</v>
      </c>
      <c r="K1861" s="6" t="e">
        <v>#N/A</v>
      </c>
      <c r="L1861" t="s">
        <v>6563</v>
      </c>
      <c r="M1861" t="s">
        <v>6564</v>
      </c>
      <c r="N1861" s="4" t="s">
        <v>12659</v>
      </c>
      <c r="O1861" s="4" t="s">
        <v>12660</v>
      </c>
      <c r="P1861" s="4" t="s">
        <v>233</v>
      </c>
    </row>
    <row r="1862" spans="1:16" x14ac:dyDescent="0.35">
      <c r="A1862" t="s">
        <v>12661</v>
      </c>
      <c r="B1862" t="s">
        <v>12662</v>
      </c>
      <c r="C1862" t="s">
        <v>16</v>
      </c>
      <c r="D1862" s="6">
        <v>1180715657.6994944</v>
      </c>
      <c r="E1862" s="6">
        <v>1585090657.6994944</v>
      </c>
      <c r="F1862" s="6">
        <v>13.689999580383301</v>
      </c>
      <c r="G1862" s="6">
        <v>13.670000076293945</v>
      </c>
      <c r="H1862" s="6">
        <v>30.215346881425837</v>
      </c>
      <c r="I1862" s="6">
        <v>0.22273987937565987</v>
      </c>
      <c r="J1862" s="6">
        <v>760419000</v>
      </c>
      <c r="K1862" s="6">
        <v>-87.90322580645163</v>
      </c>
      <c r="L1862" t="s">
        <v>6540</v>
      </c>
      <c r="M1862" t="s">
        <v>6825</v>
      </c>
      <c r="N1862" s="4" t="s">
        <v>12663</v>
      </c>
      <c r="O1862" s="4" t="s">
        <v>12664</v>
      </c>
      <c r="P1862" s="4" t="s">
        <v>233</v>
      </c>
    </row>
    <row r="1863" spans="1:16" x14ac:dyDescent="0.35">
      <c r="A1863" t="s">
        <v>12665</v>
      </c>
      <c r="B1863" t="s">
        <v>12666</v>
      </c>
      <c r="C1863" t="s">
        <v>16</v>
      </c>
      <c r="D1863" s="6">
        <v>1990186905.0110776</v>
      </c>
      <c r="E1863" s="6">
        <v>1799986905.0110776</v>
      </c>
      <c r="F1863" s="6">
        <v>118.70999908447266</v>
      </c>
      <c r="G1863" s="6">
        <v>113.37000274658203</v>
      </c>
      <c r="H1863" s="6">
        <v>26.471325870803753</v>
      </c>
      <c r="I1863" s="6">
        <v>1.5204283702522541</v>
      </c>
      <c r="J1863" s="6">
        <v>442000000</v>
      </c>
      <c r="K1863" s="6">
        <v>-19.099099099099092</v>
      </c>
      <c r="L1863" t="s">
        <v>6523</v>
      </c>
      <c r="M1863" t="s">
        <v>6524</v>
      </c>
      <c r="N1863" s="4" t="s">
        <v>12667</v>
      </c>
      <c r="O1863" s="4" t="s">
        <v>12668</v>
      </c>
      <c r="P1863" s="4" t="s">
        <v>233</v>
      </c>
    </row>
    <row r="1864" spans="1:16" x14ac:dyDescent="0.35">
      <c r="A1864" t="s">
        <v>12669</v>
      </c>
      <c r="B1864" t="s">
        <v>3600</v>
      </c>
      <c r="C1864" t="s">
        <v>16</v>
      </c>
      <c r="D1864" s="6">
        <v>624052698.68429184</v>
      </c>
      <c r="E1864" s="6">
        <v>524348698.68429184</v>
      </c>
      <c r="F1864" s="6">
        <v>8.5100002288818359</v>
      </c>
      <c r="G1864" s="6">
        <v>8.0500001907348633</v>
      </c>
      <c r="H1864" s="6" t="e">
        <v>#N/A</v>
      </c>
      <c r="I1864" s="6">
        <v>0.78124753724933593</v>
      </c>
      <c r="J1864" s="6">
        <v>0</v>
      </c>
      <c r="K1864" s="6">
        <v>1.2920948718405856</v>
      </c>
      <c r="L1864" t="s">
        <v>17</v>
      </c>
      <c r="M1864" t="s">
        <v>87</v>
      </c>
      <c r="N1864" s="4" t="s">
        <v>3601</v>
      </c>
      <c r="O1864" s="4" t="s">
        <v>3602</v>
      </c>
      <c r="P1864" s="4" t="s">
        <v>233</v>
      </c>
    </row>
    <row r="1865" spans="1:16" x14ac:dyDescent="0.35">
      <c r="A1865" t="s">
        <v>12670</v>
      </c>
      <c r="B1865" t="s">
        <v>12671</v>
      </c>
      <c r="C1865" t="s">
        <v>16</v>
      </c>
      <c r="D1865" s="6">
        <v>5556117536.2549744</v>
      </c>
      <c r="E1865" s="6">
        <v>4516273536.2549744</v>
      </c>
      <c r="F1865" s="6">
        <v>17.799999237060547</v>
      </c>
      <c r="G1865" s="6">
        <v>18.760000228881836</v>
      </c>
      <c r="H1865" s="6" t="e">
        <v>#N/A</v>
      </c>
      <c r="I1865" s="6">
        <v>-0.17472812528552795</v>
      </c>
      <c r="J1865" s="6">
        <v>720420000</v>
      </c>
      <c r="K1865" s="6">
        <v>31.914893617021271</v>
      </c>
      <c r="L1865" t="s">
        <v>6518</v>
      </c>
      <c r="M1865" t="s">
        <v>6519</v>
      </c>
      <c r="N1865" s="4" t="s">
        <v>12672</v>
      </c>
      <c r="O1865" s="4" t="s">
        <v>12673</v>
      </c>
      <c r="P1865" s="4" t="s">
        <v>233</v>
      </c>
    </row>
    <row r="1866" spans="1:16" x14ac:dyDescent="0.35">
      <c r="A1866" t="s">
        <v>12674</v>
      </c>
      <c r="B1866" t="s">
        <v>12675</v>
      </c>
      <c r="C1866" t="s">
        <v>16</v>
      </c>
      <c r="D1866" s="6">
        <v>654762315.66281307</v>
      </c>
      <c r="E1866" s="6">
        <v>5345252315.6628132</v>
      </c>
      <c r="F1866" s="6">
        <v>8.3500003814697266</v>
      </c>
      <c r="G1866" s="6">
        <v>8.25</v>
      </c>
      <c r="H1866" s="6" t="e">
        <v>#N/A</v>
      </c>
      <c r="I1866" s="6">
        <v>0.20158427798863698</v>
      </c>
      <c r="J1866" s="6">
        <v>290687000</v>
      </c>
      <c r="K1866" s="6" t="e">
        <v>#N/A</v>
      </c>
      <c r="L1866" t="s">
        <v>6529</v>
      </c>
      <c r="M1866" t="s">
        <v>8169</v>
      </c>
      <c r="N1866" s="4" t="s">
        <v>12676</v>
      </c>
      <c r="O1866" s="4" t="s">
        <v>12677</v>
      </c>
      <c r="P1866" s="4" t="s">
        <v>233</v>
      </c>
    </row>
    <row r="1867" spans="1:16" x14ac:dyDescent="0.35">
      <c r="A1867" t="s">
        <v>12678</v>
      </c>
      <c r="B1867" t="s">
        <v>5466</v>
      </c>
      <c r="C1867" t="s">
        <v>16</v>
      </c>
      <c r="D1867" s="6">
        <v>3776072.3593065734</v>
      </c>
      <c r="E1867" s="6">
        <v>4080072.3593065734</v>
      </c>
      <c r="F1867" s="6">
        <v>1.7799999713897705</v>
      </c>
      <c r="G1867" s="6">
        <v>1.8500000238418579</v>
      </c>
      <c r="H1867" s="6" t="e">
        <v>#N/A</v>
      </c>
      <c r="I1867" s="6">
        <v>-0.99348477436736293</v>
      </c>
      <c r="J1867" s="6">
        <v>0</v>
      </c>
      <c r="K1867" s="6" t="e">
        <v>#N/A</v>
      </c>
      <c r="L1867" t="s">
        <v>17</v>
      </c>
      <c r="M1867" t="s">
        <v>100</v>
      </c>
      <c r="N1867" s="4" t="s">
        <v>13433</v>
      </c>
      <c r="O1867" s="4" t="s">
        <v>13434</v>
      </c>
      <c r="P1867" s="4" t="s">
        <v>233</v>
      </c>
    </row>
    <row r="1868" spans="1:16" x14ac:dyDescent="0.35">
      <c r="A1868" t="s">
        <v>12679</v>
      </c>
      <c r="B1868" t="s">
        <v>4986</v>
      </c>
      <c r="C1868" t="s">
        <v>16</v>
      </c>
      <c r="D1868" s="6">
        <v>89384728.661487564</v>
      </c>
      <c r="E1868" s="6">
        <v>229877728.66148758</v>
      </c>
      <c r="F1868" s="6">
        <v>3.6800000667572021</v>
      </c>
      <c r="G1868" s="6">
        <v>3.7899999618530273</v>
      </c>
      <c r="H1868" s="6" t="e">
        <v>#N/A</v>
      </c>
      <c r="I1868" s="6">
        <v>-0.87433956269506186</v>
      </c>
      <c r="J1868" s="6">
        <v>33491999.999999996</v>
      </c>
      <c r="K1868" s="6">
        <v>53.318077803203657</v>
      </c>
      <c r="L1868" t="s">
        <v>17</v>
      </c>
      <c r="M1868" t="s">
        <v>18</v>
      </c>
      <c r="N1868" s="4" t="s">
        <v>4987</v>
      </c>
      <c r="O1868" s="4" t="s">
        <v>4988</v>
      </c>
      <c r="P1868" s="4" t="s">
        <v>233</v>
      </c>
    </row>
    <row r="1869" spans="1:16" x14ac:dyDescent="0.35">
      <c r="A1869" t="s">
        <v>12681</v>
      </c>
      <c r="B1869" t="s">
        <v>12682</v>
      </c>
      <c r="C1869" t="s">
        <v>16</v>
      </c>
      <c r="D1869" s="6">
        <v>4858790028.4345093</v>
      </c>
      <c r="E1869" s="6">
        <v>4383614028.4345093</v>
      </c>
      <c r="F1869" s="6">
        <v>43.169998168945313</v>
      </c>
      <c r="G1869" s="6">
        <v>42.029998779296875</v>
      </c>
      <c r="H1869" s="6" t="e">
        <v>#N/A</v>
      </c>
      <c r="I1869" s="6">
        <v>-0.13556382107143206</v>
      </c>
      <c r="J1869" s="6">
        <v>550950000</v>
      </c>
      <c r="K1869" s="6">
        <v>6.5217391304347885</v>
      </c>
      <c r="L1869" t="s">
        <v>6518</v>
      </c>
      <c r="M1869" t="s">
        <v>6519</v>
      </c>
      <c r="N1869" s="4" t="s">
        <v>12683</v>
      </c>
      <c r="O1869" s="4" t="s">
        <v>12684</v>
      </c>
      <c r="P1869" s="4" t="s">
        <v>233</v>
      </c>
    </row>
    <row r="1870" spans="1:16" x14ac:dyDescent="0.35">
      <c r="A1870" t="s">
        <v>12680</v>
      </c>
      <c r="B1870" t="s">
        <v>3101</v>
      </c>
      <c r="C1870" t="s">
        <v>16</v>
      </c>
      <c r="D1870" s="6">
        <v>1290855726.3236332</v>
      </c>
      <c r="E1870" s="6">
        <v>1204945726.3236332</v>
      </c>
      <c r="F1870" s="6">
        <v>5.4499998092651367</v>
      </c>
      <c r="G1870" s="6">
        <v>5.429999828338623</v>
      </c>
      <c r="H1870" s="6" t="e">
        <v>#N/A</v>
      </c>
      <c r="I1870" s="6">
        <v>-0.43898897460715536</v>
      </c>
      <c r="J1870" s="6">
        <v>251849000</v>
      </c>
      <c r="K1870" s="6">
        <v>-150</v>
      </c>
      <c r="L1870" t="s">
        <v>17</v>
      </c>
      <c r="M1870" t="s">
        <v>18</v>
      </c>
      <c r="N1870" s="4" t="s">
        <v>3102</v>
      </c>
      <c r="O1870" s="4" t="s">
        <v>3103</v>
      </c>
      <c r="P1870" s="4" t="s">
        <v>233</v>
      </c>
    </row>
    <row r="1871" spans="1:16" x14ac:dyDescent="0.35">
      <c r="A1871" t="s">
        <v>12685</v>
      </c>
      <c r="B1871" t="s">
        <v>12686</v>
      </c>
      <c r="C1871" t="s">
        <v>16</v>
      </c>
      <c r="D1871" s="6">
        <v>3245185618.9458046</v>
      </c>
      <c r="E1871" s="6">
        <v>3312355618.9458046</v>
      </c>
      <c r="F1871" s="6">
        <v>51.935001373291016</v>
      </c>
      <c r="G1871" s="6">
        <v>54</v>
      </c>
      <c r="H1871" s="6">
        <v>70.373393442328663</v>
      </c>
      <c r="I1871" s="6">
        <v>-0.14599831737864899</v>
      </c>
      <c r="J1871" s="6">
        <v>653336000</v>
      </c>
      <c r="K1871" s="6">
        <v>197.70114942528733</v>
      </c>
      <c r="L1871" t="s">
        <v>6518</v>
      </c>
      <c r="M1871" t="s">
        <v>6519</v>
      </c>
      <c r="N1871" s="4" t="s">
        <v>12687</v>
      </c>
      <c r="O1871" s="4" t="s">
        <v>12688</v>
      </c>
      <c r="P1871" s="4" t="s">
        <v>233</v>
      </c>
    </row>
    <row r="1872" spans="1:16" x14ac:dyDescent="0.35">
      <c r="A1872" t="s">
        <v>12689</v>
      </c>
      <c r="B1872" t="s">
        <v>12690</v>
      </c>
      <c r="C1872" t="s">
        <v>16</v>
      </c>
      <c r="D1872" s="6">
        <v>545280792</v>
      </c>
      <c r="E1872" s="6" t="e">
        <v>#N/A</v>
      </c>
      <c r="F1872" s="6">
        <v>28</v>
      </c>
      <c r="G1872" s="6">
        <v>28</v>
      </c>
      <c r="H1872" s="6" t="e">
        <v>#N/A</v>
      </c>
      <c r="I1872" s="6">
        <v>0.50484781989314165</v>
      </c>
      <c r="J1872" s="6">
        <v>266550000</v>
      </c>
      <c r="K1872" s="6" t="e">
        <v>#N/A</v>
      </c>
      <c r="L1872" t="s">
        <v>6529</v>
      </c>
      <c r="M1872" t="s">
        <v>6530</v>
      </c>
      <c r="N1872" s="4" t="s">
        <v>12691</v>
      </c>
      <c r="O1872" s="4" t="s">
        <v>12692</v>
      </c>
      <c r="P1872" s="4" t="s">
        <v>233</v>
      </c>
    </row>
    <row r="1873" spans="1:16" x14ac:dyDescent="0.35">
      <c r="A1873" t="s">
        <v>12693</v>
      </c>
      <c r="B1873" t="s">
        <v>12694</v>
      </c>
      <c r="C1873" t="s">
        <v>16</v>
      </c>
      <c r="D1873" s="6">
        <v>3290580555.75</v>
      </c>
      <c r="E1873" s="6">
        <v>3209243555.75</v>
      </c>
      <c r="F1873" s="6">
        <v>11.75</v>
      </c>
      <c r="G1873" s="6">
        <v>10.939999580383301</v>
      </c>
      <c r="H1873" s="6" t="e">
        <v>#N/A</v>
      </c>
      <c r="I1873" s="6">
        <v>7.4040807462190728</v>
      </c>
      <c r="J1873" s="6">
        <v>11892000</v>
      </c>
      <c r="K1873" s="6">
        <v>44.117647058823529</v>
      </c>
      <c r="L1873" t="s">
        <v>6518</v>
      </c>
      <c r="M1873" t="s">
        <v>6807</v>
      </c>
      <c r="N1873" s="4" t="s">
        <v>12695</v>
      </c>
      <c r="O1873" s="4" t="s">
        <v>12696</v>
      </c>
      <c r="P1873" s="4" t="s">
        <v>233</v>
      </c>
    </row>
    <row r="1874" spans="1:16" x14ac:dyDescent="0.35">
      <c r="A1874" t="s">
        <v>12697</v>
      </c>
      <c r="B1874" t="s">
        <v>12698</v>
      </c>
      <c r="C1874" t="s">
        <v>16</v>
      </c>
      <c r="D1874" s="6">
        <v>409299904.60041142</v>
      </c>
      <c r="E1874" s="6">
        <v>400046904.60041142</v>
      </c>
      <c r="F1874" s="6">
        <v>9.130000114440918</v>
      </c>
      <c r="G1874" s="6">
        <v>9.0799999237060547</v>
      </c>
      <c r="H1874" s="6" t="e">
        <v>#N/A</v>
      </c>
      <c r="I1874" s="6">
        <v>-0.16731256199740729</v>
      </c>
      <c r="J1874" s="6">
        <v>508559000</v>
      </c>
      <c r="K1874" s="6">
        <v>80.371900826446279</v>
      </c>
      <c r="L1874" t="s">
        <v>6518</v>
      </c>
      <c r="M1874" t="s">
        <v>6519</v>
      </c>
      <c r="N1874" s="4" t="s">
        <v>12699</v>
      </c>
      <c r="O1874" s="4" t="s">
        <v>12700</v>
      </c>
      <c r="P1874" s="4" t="s">
        <v>233</v>
      </c>
    </row>
    <row r="1875" spans="1:16" x14ac:dyDescent="0.35">
      <c r="A1875" t="s">
        <v>12701</v>
      </c>
      <c r="B1875" t="s">
        <v>12702</v>
      </c>
      <c r="C1875" t="s">
        <v>16</v>
      </c>
      <c r="D1875" s="6">
        <v>293836076.77396768</v>
      </c>
      <c r="E1875" s="6" t="e">
        <v>#N/A</v>
      </c>
      <c r="F1875" s="6">
        <v>36.009998321533203</v>
      </c>
      <c r="G1875" s="6">
        <v>35.880001068115234</v>
      </c>
      <c r="H1875" s="6">
        <v>18.853402262582829</v>
      </c>
      <c r="I1875" s="6">
        <v>3.3784680586579352E-2</v>
      </c>
      <c r="J1875" s="6">
        <v>213353000</v>
      </c>
      <c r="K1875" s="6">
        <v>14.970059880239521</v>
      </c>
      <c r="L1875" t="s">
        <v>6529</v>
      </c>
      <c r="M1875" t="s">
        <v>6530</v>
      </c>
      <c r="N1875" s="4" t="s">
        <v>12703</v>
      </c>
      <c r="O1875" s="4" t="s">
        <v>12704</v>
      </c>
      <c r="P1875" s="4" t="s">
        <v>233</v>
      </c>
    </row>
    <row r="1876" spans="1:16" x14ac:dyDescent="0.35">
      <c r="A1876" t="s">
        <v>12705</v>
      </c>
      <c r="B1876" t="s">
        <v>12706</v>
      </c>
      <c r="C1876" t="s">
        <v>16</v>
      </c>
      <c r="D1876" s="6">
        <v>1150497391.7968216</v>
      </c>
      <c r="E1876" s="6">
        <v>3418768391.7968216</v>
      </c>
      <c r="F1876" s="6">
        <v>12.689999580383301</v>
      </c>
      <c r="G1876" s="6">
        <v>12.579999923706055</v>
      </c>
      <c r="H1876" s="6" t="e">
        <v>#N/A</v>
      </c>
      <c r="I1876" s="6">
        <v>0.19126119536456287</v>
      </c>
      <c r="J1876" s="6">
        <v>0</v>
      </c>
      <c r="K1876" s="6">
        <v>20.183486238532133</v>
      </c>
      <c r="L1876" t="s">
        <v>6529</v>
      </c>
      <c r="M1876" t="s">
        <v>8169</v>
      </c>
      <c r="N1876" s="4" t="s">
        <v>12707</v>
      </c>
      <c r="O1876" s="4" t="s">
        <v>12708</v>
      </c>
      <c r="P1876" s="4" t="s">
        <v>233</v>
      </c>
    </row>
    <row r="1877" spans="1:16" x14ac:dyDescent="0.35">
      <c r="A1877" t="s">
        <v>12709</v>
      </c>
      <c r="B1877" t="s">
        <v>12710</v>
      </c>
      <c r="C1877" t="s">
        <v>16</v>
      </c>
      <c r="D1877" s="6">
        <v>792574406.65292931</v>
      </c>
      <c r="E1877" s="6">
        <v>1081204406.6529293</v>
      </c>
      <c r="F1877" s="6">
        <v>29.649999618530273</v>
      </c>
      <c r="G1877" s="6">
        <v>29.629999160766602</v>
      </c>
      <c r="H1877" s="6">
        <v>20.197712527984063</v>
      </c>
      <c r="I1877" s="6">
        <v>0.12865853257410431</v>
      </c>
      <c r="J1877" s="6">
        <v>1570703000</v>
      </c>
      <c r="K1877" s="6">
        <v>-57.522123893805308</v>
      </c>
      <c r="L1877" t="s">
        <v>6563</v>
      </c>
      <c r="M1877" t="s">
        <v>6764</v>
      </c>
      <c r="N1877" s="4" t="s">
        <v>12711</v>
      </c>
      <c r="O1877" s="4" t="s">
        <v>12712</v>
      </c>
      <c r="P1877" s="4" t="s">
        <v>233</v>
      </c>
    </row>
    <row r="1878" spans="1:16" x14ac:dyDescent="0.35">
      <c r="A1878" t="s">
        <v>12713</v>
      </c>
      <c r="B1878" t="s">
        <v>12714</v>
      </c>
      <c r="C1878" t="s">
        <v>16</v>
      </c>
      <c r="D1878" s="6">
        <v>1893100303.1658249</v>
      </c>
      <c r="E1878" s="6">
        <v>2001600303.1658249</v>
      </c>
      <c r="F1878" s="6">
        <v>65.599998474121094</v>
      </c>
      <c r="G1878" s="6">
        <v>65.44000244140625</v>
      </c>
      <c r="H1878" s="6">
        <v>22.460460848307349</v>
      </c>
      <c r="I1878" s="6">
        <v>1.7164518702657894E-2</v>
      </c>
      <c r="J1878" s="6">
        <v>802100000</v>
      </c>
      <c r="K1878" s="6">
        <v>17.437722419928818</v>
      </c>
      <c r="L1878" t="s">
        <v>6529</v>
      </c>
      <c r="M1878" t="s">
        <v>6568</v>
      </c>
      <c r="N1878" s="4" t="s">
        <v>12715</v>
      </c>
      <c r="O1878" s="4" t="s">
        <v>12716</v>
      </c>
      <c r="P1878" s="4" t="s">
        <v>233</v>
      </c>
    </row>
    <row r="1879" spans="1:16" x14ac:dyDescent="0.35">
      <c r="A1879" t="s">
        <v>12717</v>
      </c>
      <c r="B1879" t="s">
        <v>12718</v>
      </c>
      <c r="C1879" t="s">
        <v>16</v>
      </c>
      <c r="D1879" s="6">
        <v>270147647.15633875</v>
      </c>
      <c r="E1879" s="6">
        <v>726659647.15633869</v>
      </c>
      <c r="F1879" s="6">
        <v>8.369999885559082</v>
      </c>
      <c r="G1879" s="6">
        <v>8.2299995422363281</v>
      </c>
      <c r="H1879" s="6">
        <v>3.8318174926632742</v>
      </c>
      <c r="I1879" s="6">
        <v>6.6008386628996885E-2</v>
      </c>
      <c r="J1879" s="6">
        <v>163133000</v>
      </c>
      <c r="K1879" s="6">
        <v>58.778625954198468</v>
      </c>
      <c r="L1879" t="s">
        <v>6518</v>
      </c>
      <c r="M1879" t="s">
        <v>9005</v>
      </c>
      <c r="N1879" s="4" t="s">
        <v>12719</v>
      </c>
      <c r="O1879" s="4" t="s">
        <v>12720</v>
      </c>
      <c r="P1879" s="4" t="s">
        <v>233</v>
      </c>
    </row>
    <row r="1880" spans="1:16" x14ac:dyDescent="0.35">
      <c r="A1880" t="s">
        <v>12729</v>
      </c>
      <c r="B1880" t="s">
        <v>12730</v>
      </c>
      <c r="C1880" t="s">
        <v>16</v>
      </c>
      <c r="D1880" s="6">
        <v>664174146.16499519</v>
      </c>
      <c r="E1880" s="6" t="e">
        <v>#N/A</v>
      </c>
      <c r="F1880" s="6">
        <v>31.969999313354492</v>
      </c>
      <c r="G1880" s="6">
        <v>31.739999771118164</v>
      </c>
      <c r="H1880" s="6" t="e">
        <v>#N/A</v>
      </c>
      <c r="I1880" s="6">
        <v>0.35870814453395994</v>
      </c>
      <c r="J1880" s="6">
        <v>206027000</v>
      </c>
      <c r="K1880" s="6" t="e">
        <v>#N/A</v>
      </c>
      <c r="L1880" t="s">
        <v>6529</v>
      </c>
      <c r="M1880" t="s">
        <v>6530</v>
      </c>
      <c r="N1880" s="4" t="s">
        <v>12731</v>
      </c>
      <c r="O1880" s="4" t="s">
        <v>12732</v>
      </c>
      <c r="P1880" s="4" t="s">
        <v>233</v>
      </c>
    </row>
    <row r="1881" spans="1:16" x14ac:dyDescent="0.35">
      <c r="A1881" t="s">
        <v>12725</v>
      </c>
      <c r="B1881" t="s">
        <v>12726</v>
      </c>
      <c r="C1881" t="s">
        <v>16</v>
      </c>
      <c r="D1881" s="6">
        <v>759884535.00419235</v>
      </c>
      <c r="E1881" s="6">
        <v>1840610535.0041924</v>
      </c>
      <c r="F1881" s="6">
        <v>8.9799995422363281</v>
      </c>
      <c r="G1881" s="6">
        <v>8.7399997711181641</v>
      </c>
      <c r="H1881" s="6">
        <v>8.0786631001523332</v>
      </c>
      <c r="I1881" s="6">
        <v>-0.54753485062745222</v>
      </c>
      <c r="J1881" s="6">
        <v>3900958000</v>
      </c>
      <c r="K1881" s="6" t="e">
        <v>#N/A</v>
      </c>
      <c r="L1881" t="s">
        <v>6547</v>
      </c>
      <c r="M1881" t="s">
        <v>6553</v>
      </c>
      <c r="N1881" s="4" t="s">
        <v>12727</v>
      </c>
      <c r="O1881" s="4" t="s">
        <v>12728</v>
      </c>
      <c r="P1881" s="4" t="s">
        <v>233</v>
      </c>
    </row>
    <row r="1882" spans="1:16" x14ac:dyDescent="0.35">
      <c r="A1882" t="s">
        <v>12721</v>
      </c>
      <c r="B1882" t="s">
        <v>12722</v>
      </c>
      <c r="C1882" t="s">
        <v>16</v>
      </c>
      <c r="D1882" s="6">
        <v>2344888778.3641243</v>
      </c>
      <c r="E1882" s="6">
        <v>11657888778.364124</v>
      </c>
      <c r="F1882" s="6">
        <v>8.2299995422363281</v>
      </c>
      <c r="G1882" s="6">
        <v>8.119999885559082</v>
      </c>
      <c r="H1882" s="6">
        <v>18.483124978353246</v>
      </c>
      <c r="I1882" s="6">
        <v>-0.39535205902647608</v>
      </c>
      <c r="J1882" s="6">
        <v>19047000000</v>
      </c>
      <c r="K1882" s="6">
        <v>40.909090909090914</v>
      </c>
      <c r="L1882" t="s">
        <v>6540</v>
      </c>
      <c r="M1882" t="s">
        <v>6881</v>
      </c>
      <c r="N1882" s="4" t="s">
        <v>12723</v>
      </c>
      <c r="O1882" s="4" t="s">
        <v>12724</v>
      </c>
      <c r="P1882" s="4" t="s">
        <v>233</v>
      </c>
    </row>
    <row r="1883" spans="1:16" x14ac:dyDescent="0.35">
      <c r="A1883" t="s">
        <v>12733</v>
      </c>
      <c r="B1883" t="s">
        <v>2206</v>
      </c>
      <c r="C1883" t="s">
        <v>16</v>
      </c>
      <c r="D1883" s="6">
        <v>1010382450.3875427</v>
      </c>
      <c r="E1883" s="6">
        <v>929449450.38754272</v>
      </c>
      <c r="F1883" s="6">
        <v>33.220001220703125</v>
      </c>
      <c r="G1883" s="6">
        <v>33.590000152587891</v>
      </c>
      <c r="H1883" s="6">
        <v>51.826487703617282</v>
      </c>
      <c r="I1883" s="6">
        <v>0.21534516805973847</v>
      </c>
      <c r="J1883" s="6">
        <v>287991000</v>
      </c>
      <c r="K1883" s="6">
        <v>51.162790697674424</v>
      </c>
      <c r="L1883" t="s">
        <v>17</v>
      </c>
      <c r="M1883" t="s">
        <v>32</v>
      </c>
      <c r="N1883" s="4" t="s">
        <v>2207</v>
      </c>
      <c r="O1883" s="4" t="s">
        <v>2208</v>
      </c>
      <c r="P1883" s="4" t="s">
        <v>233</v>
      </c>
    </row>
    <row r="1884" spans="1:16" x14ac:dyDescent="0.35">
      <c r="A1884" t="s">
        <v>12734</v>
      </c>
      <c r="B1884" t="s">
        <v>12735</v>
      </c>
      <c r="C1884" t="s">
        <v>16</v>
      </c>
      <c r="D1884" s="6">
        <v>4684801239.4380674</v>
      </c>
      <c r="E1884" s="6">
        <v>4672101239.4380674</v>
      </c>
      <c r="F1884" s="6">
        <v>31.010000228881836</v>
      </c>
      <c r="G1884" s="6">
        <v>31.379999160766602</v>
      </c>
      <c r="H1884" s="6">
        <v>312.64808417484335</v>
      </c>
      <c r="I1884" s="6">
        <v>0.68475058896529895</v>
      </c>
      <c r="J1884" s="6">
        <v>1127000000</v>
      </c>
      <c r="K1884" s="6" t="e">
        <v>#N/A</v>
      </c>
      <c r="L1884" t="s">
        <v>6547</v>
      </c>
      <c r="M1884" t="s">
        <v>6843</v>
      </c>
      <c r="N1884" s="4" t="s">
        <v>12736</v>
      </c>
      <c r="O1884" s="4" t="s">
        <v>12737</v>
      </c>
      <c r="P1884" s="4" t="s">
        <v>233</v>
      </c>
    </row>
    <row r="1885" spans="1:16" x14ac:dyDescent="0.35">
      <c r="A1885" t="s">
        <v>12738</v>
      </c>
      <c r="B1885" t="s">
        <v>12739</v>
      </c>
      <c r="C1885" t="s">
        <v>16</v>
      </c>
      <c r="D1885" s="6">
        <v>1503474922.6753721</v>
      </c>
      <c r="E1885" s="6">
        <v>1976604922.6753721</v>
      </c>
      <c r="F1885" s="6">
        <v>1.6499999761581421</v>
      </c>
      <c r="G1885" s="6">
        <v>1.6000000238418579</v>
      </c>
      <c r="H1885" s="6" t="e">
        <v>#N/A</v>
      </c>
      <c r="I1885" s="6">
        <v>-0.63794331625084033</v>
      </c>
      <c r="J1885" s="6">
        <v>659505000</v>
      </c>
      <c r="K1885" s="6">
        <v>-34.164706675455442</v>
      </c>
      <c r="L1885" t="s">
        <v>6547</v>
      </c>
      <c r="M1885" t="s">
        <v>6602</v>
      </c>
      <c r="N1885" s="4" t="s">
        <v>12740</v>
      </c>
      <c r="O1885" s="4" t="s">
        <v>12741</v>
      </c>
      <c r="P1885" s="4" t="s">
        <v>233</v>
      </c>
    </row>
    <row r="1886" spans="1:16" x14ac:dyDescent="0.35">
      <c r="A1886" t="s">
        <v>12742</v>
      </c>
      <c r="B1886" t="s">
        <v>12743</v>
      </c>
      <c r="C1886" t="s">
        <v>16</v>
      </c>
      <c r="D1886" s="6">
        <v>1753677449.4683456</v>
      </c>
      <c r="E1886" s="6" t="e">
        <v>#N/A</v>
      </c>
      <c r="F1886" s="6">
        <v>55.939998626708984</v>
      </c>
      <c r="G1886" s="6">
        <v>57.110000610351563</v>
      </c>
      <c r="H1886" s="6">
        <v>10.753210849768756</v>
      </c>
      <c r="I1886" s="6">
        <v>5.7903770890590511E-2</v>
      </c>
      <c r="J1886" s="6">
        <v>1388268000</v>
      </c>
      <c r="K1886" s="6">
        <v>-29.506008010680908</v>
      </c>
      <c r="L1886" t="s">
        <v>6529</v>
      </c>
      <c r="M1886" t="s">
        <v>6530</v>
      </c>
      <c r="N1886" s="4" t="s">
        <v>12744</v>
      </c>
      <c r="O1886" s="4" t="s">
        <v>12745</v>
      </c>
      <c r="P1886" s="4" t="s">
        <v>233</v>
      </c>
    </row>
    <row r="1887" spans="1:16" x14ac:dyDescent="0.35">
      <c r="A1887" t="s">
        <v>12746</v>
      </c>
      <c r="B1887" t="s">
        <v>12747</v>
      </c>
      <c r="C1887" t="s">
        <v>16</v>
      </c>
      <c r="D1887" s="6">
        <v>1795433863.6510618</v>
      </c>
      <c r="E1887" s="6" t="e">
        <v>#N/A</v>
      </c>
      <c r="F1887" s="6">
        <v>118.02999877929688</v>
      </c>
      <c r="G1887" s="6">
        <v>116.87000274658203</v>
      </c>
      <c r="H1887" s="6">
        <v>15.28189005756531</v>
      </c>
      <c r="I1887" s="6">
        <v>0.51027089938257042</v>
      </c>
      <c r="J1887" s="6">
        <v>520631999.99999994</v>
      </c>
      <c r="K1887" s="6">
        <v>97.601918465227826</v>
      </c>
      <c r="L1887" t="s">
        <v>6529</v>
      </c>
      <c r="M1887" t="s">
        <v>6530</v>
      </c>
      <c r="N1887" s="4" t="s">
        <v>12748</v>
      </c>
      <c r="O1887" s="4" t="s">
        <v>12749</v>
      </c>
      <c r="P1887" s="4" t="s">
        <v>233</v>
      </c>
    </row>
    <row r="1888" spans="1:16" x14ac:dyDescent="0.35">
      <c r="A1888" t="s">
        <v>12750</v>
      </c>
      <c r="B1888" t="s">
        <v>1364</v>
      </c>
      <c r="C1888" t="s">
        <v>16</v>
      </c>
      <c r="D1888" s="6">
        <v>2158979837.4843979</v>
      </c>
      <c r="E1888" s="6">
        <v>2086941837.4843979</v>
      </c>
      <c r="F1888" s="6">
        <v>38.380001068115234</v>
      </c>
      <c r="G1888" s="6">
        <v>37.290000915527344</v>
      </c>
      <c r="H1888" s="6">
        <v>30.291933623031365</v>
      </c>
      <c r="I1888" s="6">
        <v>-1.0382535642616819E-3</v>
      </c>
      <c r="J1888" s="6">
        <v>1722367000</v>
      </c>
      <c r="K1888" s="6">
        <v>31.000000000000007</v>
      </c>
      <c r="L1888" t="s">
        <v>17</v>
      </c>
      <c r="M1888" t="s">
        <v>40</v>
      </c>
      <c r="N1888" s="4" t="s">
        <v>1365</v>
      </c>
      <c r="O1888" s="4" t="s">
        <v>1366</v>
      </c>
      <c r="P1888" s="4" t="s">
        <v>233</v>
      </c>
    </row>
    <row r="1889" spans="1:16" x14ac:dyDescent="0.35">
      <c r="A1889" t="s">
        <v>12751</v>
      </c>
      <c r="B1889" t="s">
        <v>12752</v>
      </c>
      <c r="C1889" t="s">
        <v>16</v>
      </c>
      <c r="D1889" s="6">
        <v>179716231.27561951</v>
      </c>
      <c r="E1889" s="6">
        <v>337003231.27561951</v>
      </c>
      <c r="F1889" s="6">
        <v>16.889999389648438</v>
      </c>
      <c r="G1889" s="6">
        <v>16.799999237060547</v>
      </c>
      <c r="H1889" s="6" t="e">
        <v>#N/A</v>
      </c>
      <c r="I1889" s="6">
        <v>0.8249120183775156</v>
      </c>
      <c r="J1889" s="6">
        <v>564586000</v>
      </c>
      <c r="K1889" s="6">
        <v>88.008296764867339</v>
      </c>
      <c r="L1889" t="s">
        <v>6540</v>
      </c>
      <c r="M1889" t="s">
        <v>6541</v>
      </c>
      <c r="N1889" s="4" t="s">
        <v>12753</v>
      </c>
      <c r="O1889" s="4" t="s">
        <v>12754</v>
      </c>
      <c r="P1889" s="4" t="s">
        <v>233</v>
      </c>
    </row>
    <row r="1890" spans="1:16" x14ac:dyDescent="0.35">
      <c r="A1890" t="s">
        <v>12755</v>
      </c>
      <c r="B1890" t="s">
        <v>12756</v>
      </c>
      <c r="C1890" t="s">
        <v>16</v>
      </c>
      <c r="D1890" s="6">
        <v>4141823594.4085426</v>
      </c>
      <c r="E1890" s="6">
        <v>3711898162.3571095</v>
      </c>
      <c r="F1890" s="6">
        <v>8.2600002288818359</v>
      </c>
      <c r="G1890" s="6">
        <v>8.0699996948242188</v>
      </c>
      <c r="H1890" s="6">
        <v>49.507589800424569</v>
      </c>
      <c r="I1890" s="6">
        <v>1.5760221937723013</v>
      </c>
      <c r="J1890" s="6">
        <v>1556769000</v>
      </c>
      <c r="K1890" s="6">
        <v>1679.9442807393518</v>
      </c>
      <c r="L1890" t="s">
        <v>6540</v>
      </c>
      <c r="M1890" t="s">
        <v>6825</v>
      </c>
      <c r="N1890" s="4" t="s">
        <v>233</v>
      </c>
      <c r="O1890" s="4" t="s">
        <v>12757</v>
      </c>
      <c r="P1890" s="4" t="s">
        <v>13279</v>
      </c>
    </row>
    <row r="1891" spans="1:16" x14ac:dyDescent="0.35">
      <c r="A1891" t="s">
        <v>12758</v>
      </c>
      <c r="B1891" t="s">
        <v>12759</v>
      </c>
      <c r="C1891" t="s">
        <v>16</v>
      </c>
      <c r="D1891" s="6">
        <v>2885560977.1114864</v>
      </c>
      <c r="E1891" s="6">
        <v>3116934977.1114864</v>
      </c>
      <c r="F1891" s="6">
        <v>20.510000228881836</v>
      </c>
      <c r="G1891" s="6">
        <v>19.709999084472656</v>
      </c>
      <c r="H1891" s="6">
        <v>90.181595343102643</v>
      </c>
      <c r="I1891" s="6">
        <v>1.1210148616423639</v>
      </c>
      <c r="J1891" s="6">
        <v>661134000</v>
      </c>
      <c r="K1891" s="6" t="e">
        <v>#N/A</v>
      </c>
      <c r="L1891" t="s">
        <v>6514</v>
      </c>
      <c r="M1891" t="s">
        <v>6534</v>
      </c>
      <c r="N1891" s="4" t="s">
        <v>12760</v>
      </c>
      <c r="O1891" s="4" t="s">
        <v>12761</v>
      </c>
      <c r="P1891" s="4" t="s">
        <v>233</v>
      </c>
    </row>
    <row r="1892" spans="1:16" x14ac:dyDescent="0.35">
      <c r="A1892" t="s">
        <v>12762</v>
      </c>
      <c r="B1892" t="s">
        <v>12763</v>
      </c>
      <c r="C1892" t="s">
        <v>16</v>
      </c>
      <c r="D1892" s="6">
        <v>280364196.36511427</v>
      </c>
      <c r="E1892" s="6">
        <v>138752196.36511427</v>
      </c>
      <c r="F1892" s="6">
        <v>3.5799999237060547</v>
      </c>
      <c r="G1892" s="6">
        <v>3.5099999904632568</v>
      </c>
      <c r="H1892" s="6" t="e">
        <v>#N/A</v>
      </c>
      <c r="I1892" s="6">
        <v>0.11493240172380581</v>
      </c>
      <c r="J1892" s="6">
        <v>225180000</v>
      </c>
      <c r="K1892" s="6">
        <v>-100</v>
      </c>
      <c r="L1892" t="s">
        <v>6547</v>
      </c>
      <c r="M1892" t="s">
        <v>6814</v>
      </c>
      <c r="N1892" s="4" t="s">
        <v>12764</v>
      </c>
      <c r="O1892" s="4" t="s">
        <v>12765</v>
      </c>
      <c r="P1892" s="4" t="s">
        <v>233</v>
      </c>
    </row>
    <row r="1893" spans="1:16" x14ac:dyDescent="0.35">
      <c r="A1893" t="s">
        <v>12766</v>
      </c>
      <c r="B1893" t="s">
        <v>12767</v>
      </c>
      <c r="C1893" t="s">
        <v>16</v>
      </c>
      <c r="D1893" s="6">
        <v>11932507389.313433</v>
      </c>
      <c r="E1893" s="6">
        <v>11536377389.313433</v>
      </c>
      <c r="F1893" s="6">
        <v>71.349998474121094</v>
      </c>
      <c r="G1893" s="6">
        <v>69.680000305175781</v>
      </c>
      <c r="H1893" s="6" t="e">
        <v>#N/A</v>
      </c>
      <c r="I1893" s="6">
        <v>2.1653364756810851</v>
      </c>
      <c r="J1893" s="6">
        <v>192970000</v>
      </c>
      <c r="K1893" s="6">
        <v>-63.636363636363626</v>
      </c>
      <c r="L1893" t="s">
        <v>6518</v>
      </c>
      <c r="M1893" t="s">
        <v>6807</v>
      </c>
      <c r="N1893" s="4" t="s">
        <v>233</v>
      </c>
      <c r="O1893" s="4" t="s">
        <v>12768</v>
      </c>
      <c r="P1893" s="4" t="s">
        <v>13280</v>
      </c>
    </row>
    <row r="1894" spans="1:16" x14ac:dyDescent="0.35">
      <c r="A1894" t="s">
        <v>12769</v>
      </c>
      <c r="B1894" t="s">
        <v>12770</v>
      </c>
      <c r="C1894" t="s">
        <v>16</v>
      </c>
      <c r="D1894" s="6">
        <v>374265959.22460938</v>
      </c>
      <c r="E1894" s="6">
        <v>713673959.22460938</v>
      </c>
      <c r="F1894" s="6">
        <v>13.430000305175781</v>
      </c>
      <c r="G1894" s="6">
        <v>13.390000343322754</v>
      </c>
      <c r="H1894" s="6">
        <v>107.39790246364051</v>
      </c>
      <c r="I1894" s="6">
        <v>-4.9078480347207742E-3</v>
      </c>
      <c r="J1894" s="6">
        <v>72005000</v>
      </c>
      <c r="K1894" s="6">
        <v>-23.076923076923077</v>
      </c>
      <c r="L1894" t="s">
        <v>6623</v>
      </c>
      <c r="M1894" t="s">
        <v>6866</v>
      </c>
      <c r="N1894" s="4" t="s">
        <v>12771</v>
      </c>
      <c r="O1894" s="4" t="s">
        <v>12772</v>
      </c>
      <c r="P1894" s="4" t="s">
        <v>233</v>
      </c>
    </row>
    <row r="1895" spans="1:16" x14ac:dyDescent="0.35">
      <c r="A1895" t="s">
        <v>12773</v>
      </c>
      <c r="B1895" t="s">
        <v>893</v>
      </c>
      <c r="C1895" t="s">
        <v>16</v>
      </c>
      <c r="D1895" s="6">
        <v>81167895.234887108</v>
      </c>
      <c r="E1895" s="6">
        <v>161954895.23488712</v>
      </c>
      <c r="F1895" s="6">
        <v>3.4600000381469727</v>
      </c>
      <c r="G1895" s="6">
        <v>3.1400001049041748</v>
      </c>
      <c r="H1895" s="6" t="e">
        <v>#N/A</v>
      </c>
      <c r="I1895" s="6">
        <v>-0.78533198427311035</v>
      </c>
      <c r="J1895" s="6">
        <v>160428000</v>
      </c>
      <c r="K1895" s="6">
        <v>32.091812774913379</v>
      </c>
      <c r="L1895" t="s">
        <v>17</v>
      </c>
      <c r="M1895" t="s">
        <v>18</v>
      </c>
      <c r="N1895" s="4" t="s">
        <v>894</v>
      </c>
      <c r="O1895" s="4" t="s">
        <v>895</v>
      </c>
      <c r="P1895" s="4" t="s">
        <v>233</v>
      </c>
    </row>
    <row r="1896" spans="1:16" x14ac:dyDescent="0.35">
      <c r="A1896" t="s">
        <v>12774</v>
      </c>
      <c r="B1896" t="s">
        <v>4804</v>
      </c>
      <c r="C1896" t="s">
        <v>16</v>
      </c>
      <c r="D1896" s="6">
        <v>634083625.59667754</v>
      </c>
      <c r="E1896" s="6">
        <v>531160625.59667754</v>
      </c>
      <c r="F1896" s="6">
        <v>2.8399999141693115</v>
      </c>
      <c r="G1896" s="6">
        <v>2.690000057220459</v>
      </c>
      <c r="H1896" s="6" t="e">
        <v>#N/A</v>
      </c>
      <c r="I1896" s="6">
        <v>-0.54822396099347537</v>
      </c>
      <c r="J1896" s="6">
        <v>0</v>
      </c>
      <c r="K1896" s="6">
        <v>2.7777777777777803</v>
      </c>
      <c r="L1896" t="s">
        <v>17</v>
      </c>
      <c r="M1896" t="s">
        <v>18</v>
      </c>
      <c r="N1896" s="4" t="s">
        <v>4805</v>
      </c>
      <c r="O1896" s="4" t="s">
        <v>4806</v>
      </c>
      <c r="P1896" s="4" t="s">
        <v>233</v>
      </c>
    </row>
    <row r="1897" spans="1:16" x14ac:dyDescent="0.35">
      <c r="A1897" t="s">
        <v>12775</v>
      </c>
      <c r="B1897" t="s">
        <v>12776</v>
      </c>
      <c r="C1897" t="s">
        <v>16</v>
      </c>
      <c r="D1897" s="6">
        <v>234298568.24859011</v>
      </c>
      <c r="E1897" s="6">
        <v>501811568.24859011</v>
      </c>
      <c r="F1897" s="6">
        <v>1.5900000333786011</v>
      </c>
      <c r="G1897" s="6">
        <v>1.6299999952316284</v>
      </c>
      <c r="H1897" s="6" t="e">
        <v>#N/A</v>
      </c>
      <c r="I1897" s="6">
        <v>-0.45590896990464924</v>
      </c>
      <c r="J1897" s="6">
        <v>541372000</v>
      </c>
      <c r="K1897" s="6" t="e">
        <v>#N/A</v>
      </c>
      <c r="L1897" t="s">
        <v>6523</v>
      </c>
      <c r="M1897" t="s">
        <v>6524</v>
      </c>
      <c r="N1897" s="4" t="s">
        <v>12777</v>
      </c>
      <c r="O1897" s="4" t="s">
        <v>12778</v>
      </c>
      <c r="P1897" s="4" t="s">
        <v>233</v>
      </c>
    </row>
    <row r="1898" spans="1:16" x14ac:dyDescent="0.35">
      <c r="A1898" t="s">
        <v>12779</v>
      </c>
      <c r="B1898" t="s">
        <v>12780</v>
      </c>
      <c r="C1898" t="s">
        <v>16</v>
      </c>
      <c r="D1898" s="6">
        <v>5896412758.8595276</v>
      </c>
      <c r="E1898" s="6">
        <v>10660312758.859528</v>
      </c>
      <c r="F1898" s="6">
        <v>301.02999877929688</v>
      </c>
      <c r="G1898" s="6">
        <v>298.04000854492188</v>
      </c>
      <c r="H1898" s="6">
        <v>11.147649823714223</v>
      </c>
      <c r="I1898" s="6">
        <v>0.35243304180042601</v>
      </c>
      <c r="J1898" s="6">
        <v>17188600000</v>
      </c>
      <c r="K1898" s="6">
        <v>-25.14157625407546</v>
      </c>
      <c r="L1898" t="s">
        <v>6540</v>
      </c>
      <c r="M1898" t="s">
        <v>6541</v>
      </c>
      <c r="N1898" s="4" t="s">
        <v>12781</v>
      </c>
      <c r="O1898" s="4" t="s">
        <v>12782</v>
      </c>
      <c r="P1898" s="4" t="s">
        <v>233</v>
      </c>
    </row>
    <row r="1899" spans="1:16" x14ac:dyDescent="0.35">
      <c r="A1899" t="s">
        <v>13344</v>
      </c>
      <c r="B1899" t="s">
        <v>5830</v>
      </c>
      <c r="C1899" t="s">
        <v>16</v>
      </c>
      <c r="D1899" s="6">
        <v>719374497.71053791</v>
      </c>
      <c r="E1899" s="6">
        <v>856868497.71053791</v>
      </c>
      <c r="F1899" s="6">
        <v>13.220000267028809</v>
      </c>
      <c r="G1899" s="6">
        <v>12.819999694824219</v>
      </c>
      <c r="H1899" s="6" t="e">
        <v>#N/A</v>
      </c>
      <c r="I1899" s="6">
        <v>-0.74644885206096556</v>
      </c>
      <c r="J1899" s="6" t="e">
        <v>#N/A</v>
      </c>
      <c r="K1899" s="6" t="e">
        <v>#N/A</v>
      </c>
      <c r="L1899" t="s">
        <v>17</v>
      </c>
      <c r="M1899" t="s">
        <v>18</v>
      </c>
      <c r="N1899" s="4" t="s">
        <v>5831</v>
      </c>
      <c r="O1899" s="4" t="s">
        <v>5832</v>
      </c>
      <c r="P1899" s="4" t="s">
        <v>233</v>
      </c>
    </row>
    <row r="1900" spans="1:16" x14ac:dyDescent="0.35">
      <c r="A1900" t="s">
        <v>13345</v>
      </c>
      <c r="B1900" t="s">
        <v>5826</v>
      </c>
      <c r="C1900" t="s">
        <v>16</v>
      </c>
      <c r="D1900" s="6">
        <v>301425125.65727991</v>
      </c>
      <c r="E1900" s="6">
        <v>374211383.65727991</v>
      </c>
      <c r="F1900" s="6">
        <v>9.0200004577636719</v>
      </c>
      <c r="G1900" s="6">
        <v>9.2100000381469727</v>
      </c>
      <c r="H1900" s="6" t="e">
        <v>#N/A</v>
      </c>
      <c r="I1900" s="6">
        <v>-0.9012015404936744</v>
      </c>
      <c r="J1900" s="6" t="e">
        <v>#N/A</v>
      </c>
      <c r="K1900" s="6">
        <v>18.404907975460116</v>
      </c>
      <c r="L1900" t="s">
        <v>17</v>
      </c>
      <c r="M1900" t="s">
        <v>87</v>
      </c>
      <c r="N1900" s="4" t="s">
        <v>5827</v>
      </c>
      <c r="O1900" s="4" t="s">
        <v>5828</v>
      </c>
      <c r="P1900" s="4" t="s">
        <v>233</v>
      </c>
    </row>
    <row r="1901" spans="1:16" x14ac:dyDescent="0.35">
      <c r="A1901" t="s">
        <v>12783</v>
      </c>
      <c r="B1901" t="s">
        <v>5341</v>
      </c>
      <c r="C1901" t="s">
        <v>16</v>
      </c>
      <c r="D1901" s="6">
        <v>533711619.00598711</v>
      </c>
      <c r="E1901" s="6">
        <v>735274619.00598717</v>
      </c>
      <c r="F1901" s="6">
        <v>3.5799999237060547</v>
      </c>
      <c r="G1901" s="6">
        <v>3.4900000095367432</v>
      </c>
      <c r="H1901" s="6" t="e">
        <v>#N/A</v>
      </c>
      <c r="I1901" s="6">
        <v>0.21291767995536981</v>
      </c>
      <c r="J1901" s="6">
        <v>187361000</v>
      </c>
      <c r="K1901" s="6">
        <v>-2.4671622769447927E-14</v>
      </c>
      <c r="L1901" t="s">
        <v>17</v>
      </c>
      <c r="M1901" t="s">
        <v>87</v>
      </c>
      <c r="N1901" s="4" t="s">
        <v>5342</v>
      </c>
      <c r="O1901" s="4" t="s">
        <v>5343</v>
      </c>
      <c r="P1901" s="4" t="s">
        <v>233</v>
      </c>
    </row>
    <row r="1902" spans="1:16" x14ac:dyDescent="0.35">
      <c r="A1902" t="s">
        <v>13346</v>
      </c>
      <c r="B1902" t="s">
        <v>5822</v>
      </c>
      <c r="C1902" t="s">
        <v>16</v>
      </c>
      <c r="D1902" s="6">
        <v>301313378.36420155</v>
      </c>
      <c r="E1902" s="6">
        <v>515099378.36420155</v>
      </c>
      <c r="F1902" s="6">
        <v>7.2100000381469727</v>
      </c>
      <c r="G1902" s="6">
        <v>7.7199997901916504</v>
      </c>
      <c r="H1902" s="6" t="e">
        <v>#N/A</v>
      </c>
      <c r="I1902" s="6">
        <v>-0.8910535267913523</v>
      </c>
      <c r="J1902" s="6">
        <v>50000000</v>
      </c>
      <c r="K1902" s="6">
        <v>69.706840390879478</v>
      </c>
      <c r="L1902" t="s">
        <v>17</v>
      </c>
      <c r="M1902" t="s">
        <v>18</v>
      </c>
      <c r="N1902" s="4" t="s">
        <v>5823</v>
      </c>
      <c r="O1902" s="4" t="s">
        <v>5824</v>
      </c>
      <c r="P1902" s="4" t="s">
        <v>233</v>
      </c>
    </row>
    <row r="1903" spans="1:16" x14ac:dyDescent="0.35">
      <c r="A1903" t="s">
        <v>12784</v>
      </c>
      <c r="B1903" t="s">
        <v>5660</v>
      </c>
      <c r="C1903" t="s">
        <v>16</v>
      </c>
      <c r="D1903" s="6">
        <v>2077218528.9999998</v>
      </c>
      <c r="E1903" s="6">
        <v>1335563528.9999998</v>
      </c>
      <c r="F1903" s="6">
        <v>35.5</v>
      </c>
      <c r="G1903" s="6">
        <v>33.810001373291016</v>
      </c>
      <c r="H1903" s="6" t="e">
        <v>#N/A</v>
      </c>
      <c r="I1903" s="6">
        <v>-2.8084149345652953E-4</v>
      </c>
      <c r="J1903" s="6" t="e">
        <v>#N/A</v>
      </c>
      <c r="K1903" s="6" t="e">
        <v>#N/A</v>
      </c>
      <c r="L1903" t="s">
        <v>17</v>
      </c>
      <c r="M1903" t="s">
        <v>18</v>
      </c>
      <c r="N1903" s="4" t="s">
        <v>5661</v>
      </c>
      <c r="O1903" s="4" t="s">
        <v>5662</v>
      </c>
      <c r="P1903" s="4" t="s">
        <v>233</v>
      </c>
    </row>
    <row r="1904" spans="1:16" x14ac:dyDescent="0.35">
      <c r="A1904" t="s">
        <v>12785</v>
      </c>
      <c r="B1904" t="s">
        <v>12786</v>
      </c>
      <c r="C1904" t="s">
        <v>16</v>
      </c>
      <c r="D1904" s="6">
        <v>1951854689.1102295</v>
      </c>
      <c r="E1904" s="6">
        <v>3443559689.1102295</v>
      </c>
      <c r="F1904" s="6">
        <v>83.010002136230469</v>
      </c>
      <c r="G1904" s="6">
        <v>83.55999755859375</v>
      </c>
      <c r="H1904" s="6">
        <v>9.7918009253234501</v>
      </c>
      <c r="I1904" s="6">
        <v>-0.3543884632452069</v>
      </c>
      <c r="J1904" s="6">
        <v>2253616000</v>
      </c>
      <c r="K1904" s="6">
        <v>8.5492227979274524</v>
      </c>
      <c r="L1904" t="s">
        <v>6540</v>
      </c>
      <c r="M1904" t="s">
        <v>6797</v>
      </c>
      <c r="N1904" s="4" t="s">
        <v>12787</v>
      </c>
      <c r="O1904" s="4" t="s">
        <v>12788</v>
      </c>
      <c r="P1904" s="4" t="s">
        <v>233</v>
      </c>
    </row>
    <row r="1905" spans="1:16" x14ac:dyDescent="0.35">
      <c r="A1905" t="s">
        <v>12789</v>
      </c>
      <c r="B1905" t="s">
        <v>12790</v>
      </c>
      <c r="C1905" t="s">
        <v>16</v>
      </c>
      <c r="D1905" s="6">
        <v>1122203493.5071566</v>
      </c>
      <c r="E1905" s="6">
        <v>2632037493.5071568</v>
      </c>
      <c r="F1905" s="6">
        <v>10.619999885559082</v>
      </c>
      <c r="G1905" s="6">
        <v>10.609999656677246</v>
      </c>
      <c r="H1905" s="6">
        <v>62.470587562112243</v>
      </c>
      <c r="I1905" s="6">
        <v>-4.0140925342301959E-2</v>
      </c>
      <c r="J1905" s="6">
        <v>296422000</v>
      </c>
      <c r="K1905" s="6">
        <v>-48.484848484848477</v>
      </c>
      <c r="L1905" t="s">
        <v>6623</v>
      </c>
      <c r="M1905" t="s">
        <v>6866</v>
      </c>
      <c r="N1905" s="4" t="s">
        <v>12791</v>
      </c>
      <c r="O1905" s="4" t="s">
        <v>12792</v>
      </c>
      <c r="P1905" s="4" t="s">
        <v>233</v>
      </c>
    </row>
    <row r="1906" spans="1:16" x14ac:dyDescent="0.35">
      <c r="A1906" t="s">
        <v>12793</v>
      </c>
      <c r="B1906" t="s">
        <v>5556</v>
      </c>
      <c r="C1906" t="s">
        <v>16</v>
      </c>
      <c r="D1906" s="6">
        <v>159957364.00144741</v>
      </c>
      <c r="E1906" s="6">
        <v>-105159635.99855262</v>
      </c>
      <c r="F1906" s="6">
        <v>3.5499999523162842</v>
      </c>
      <c r="G1906" s="6">
        <v>3.380000114440918</v>
      </c>
      <c r="H1906" s="6" t="e">
        <v>#N/A</v>
      </c>
      <c r="I1906" s="6">
        <v>-0.62452110683683926</v>
      </c>
      <c r="J1906" s="6">
        <v>0</v>
      </c>
      <c r="K1906" s="6">
        <v>70.229007633587784</v>
      </c>
      <c r="L1906" t="s">
        <v>17</v>
      </c>
      <c r="M1906" t="s">
        <v>87</v>
      </c>
      <c r="N1906" s="4" t="s">
        <v>5557</v>
      </c>
      <c r="O1906" s="4" t="s">
        <v>5558</v>
      </c>
      <c r="P1906" s="4" t="s">
        <v>233</v>
      </c>
    </row>
    <row r="1907" spans="1:16" x14ac:dyDescent="0.35">
      <c r="A1907" t="s">
        <v>12794</v>
      </c>
      <c r="B1907" t="s">
        <v>12795</v>
      </c>
      <c r="C1907" t="s">
        <v>16</v>
      </c>
      <c r="D1907" s="6">
        <v>4265850665.4548335</v>
      </c>
      <c r="E1907" s="6">
        <v>6300729665.454834</v>
      </c>
      <c r="F1907" s="6">
        <v>27.459999084472656</v>
      </c>
      <c r="G1907" s="6">
        <v>27.090000152587891</v>
      </c>
      <c r="H1907" s="6">
        <v>235.65555399200741</v>
      </c>
      <c r="I1907" s="6">
        <v>1.1967440625548065</v>
      </c>
      <c r="J1907" s="6">
        <v>2010509000</v>
      </c>
      <c r="K1907" s="6">
        <v>65.881706528765363</v>
      </c>
      <c r="L1907" t="s">
        <v>6623</v>
      </c>
      <c r="M1907" t="s">
        <v>6624</v>
      </c>
      <c r="N1907" s="4" t="s">
        <v>12796</v>
      </c>
      <c r="O1907" s="4" t="s">
        <v>12797</v>
      </c>
      <c r="P1907" s="4" t="s">
        <v>233</v>
      </c>
    </row>
    <row r="1908" spans="1:16" x14ac:dyDescent="0.35">
      <c r="A1908" t="s">
        <v>12798</v>
      </c>
      <c r="B1908" t="s">
        <v>12799</v>
      </c>
      <c r="C1908" t="s">
        <v>16</v>
      </c>
      <c r="D1908" s="6">
        <v>389731929.53420639</v>
      </c>
      <c r="E1908" s="6">
        <v>752856929.53420639</v>
      </c>
      <c r="F1908" s="6">
        <v>6.8400001525878906</v>
      </c>
      <c r="G1908" s="6">
        <v>6.8899998664855957</v>
      </c>
      <c r="H1908" s="6">
        <v>26.671034448478466</v>
      </c>
      <c r="I1908" s="6">
        <v>-0.55107888474495859</v>
      </c>
      <c r="J1908" s="6">
        <v>223500000</v>
      </c>
      <c r="K1908" s="6">
        <v>54.974604332697261</v>
      </c>
      <c r="L1908" t="s">
        <v>6540</v>
      </c>
      <c r="M1908" t="s">
        <v>6838</v>
      </c>
      <c r="N1908" s="4" t="s">
        <v>12800</v>
      </c>
      <c r="O1908" s="4" t="s">
        <v>12801</v>
      </c>
      <c r="P1908" s="4" t="s">
        <v>233</v>
      </c>
    </row>
    <row r="1909" spans="1:16" x14ac:dyDescent="0.35">
      <c r="A1909" t="s">
        <v>12802</v>
      </c>
      <c r="B1909" t="s">
        <v>12803</v>
      </c>
      <c r="C1909" t="s">
        <v>16</v>
      </c>
      <c r="D1909" s="6">
        <v>177703710.64404967</v>
      </c>
      <c r="E1909" s="6">
        <v>114126710.64404967</v>
      </c>
      <c r="F1909" s="6">
        <v>6.2300000190734863</v>
      </c>
      <c r="G1909" s="6">
        <v>6.190000057220459</v>
      </c>
      <c r="H1909" s="6">
        <v>31.832488652067767</v>
      </c>
      <c r="I1909" s="6">
        <v>4.8684964235188088E-2</v>
      </c>
      <c r="J1909" s="6">
        <v>90426000</v>
      </c>
      <c r="K1909" s="6">
        <v>26.666666666666675</v>
      </c>
      <c r="L1909" t="s">
        <v>6518</v>
      </c>
      <c r="M1909" t="s">
        <v>6519</v>
      </c>
      <c r="N1909" s="4" t="s">
        <v>12804</v>
      </c>
      <c r="O1909" s="4" t="s">
        <v>12805</v>
      </c>
      <c r="P1909" s="4" t="s">
        <v>233</v>
      </c>
    </row>
    <row r="1910" spans="1:16" x14ac:dyDescent="0.35">
      <c r="A1910" t="s">
        <v>12810</v>
      </c>
      <c r="B1910" t="s">
        <v>12811</v>
      </c>
      <c r="C1910" t="s">
        <v>16</v>
      </c>
      <c r="D1910" s="6">
        <v>2779703242.8778839</v>
      </c>
      <c r="E1910" s="6">
        <v>2458907242.8778839</v>
      </c>
      <c r="F1910" s="6">
        <v>35.889999389648438</v>
      </c>
      <c r="G1910" s="6">
        <v>34.25</v>
      </c>
      <c r="H1910" s="6">
        <v>49.821687759534953</v>
      </c>
      <c r="I1910" s="6">
        <v>-0.15135570177754309</v>
      </c>
      <c r="J1910" s="6">
        <v>763599000</v>
      </c>
      <c r="K1910" s="6">
        <v>-15.094339622641511</v>
      </c>
      <c r="L1910" t="s">
        <v>6518</v>
      </c>
      <c r="M1910" t="s">
        <v>6807</v>
      </c>
      <c r="N1910" s="4" t="s">
        <v>12812</v>
      </c>
      <c r="O1910" s="4" t="s">
        <v>12813</v>
      </c>
      <c r="P1910" s="4" t="s">
        <v>233</v>
      </c>
    </row>
    <row r="1911" spans="1:16" x14ac:dyDescent="0.35">
      <c r="A1911" t="s">
        <v>12806</v>
      </c>
      <c r="B1911" t="s">
        <v>12807</v>
      </c>
      <c r="C1911" t="s">
        <v>16</v>
      </c>
      <c r="D1911" s="6">
        <v>97189057.142435074</v>
      </c>
      <c r="E1911" s="6">
        <v>863326057.14243507</v>
      </c>
      <c r="F1911" s="6">
        <v>3.1500000953674316</v>
      </c>
      <c r="G1911" s="6">
        <v>3.0899999141693115</v>
      </c>
      <c r="H1911" s="6">
        <v>23.349765356120464</v>
      </c>
      <c r="I1911" s="6">
        <v>-0.2311537884014675</v>
      </c>
      <c r="J1911" s="6">
        <v>541401000</v>
      </c>
      <c r="K1911" s="6" t="e">
        <v>#N/A</v>
      </c>
      <c r="L1911" t="s">
        <v>6540</v>
      </c>
      <c r="M1911" t="s">
        <v>6825</v>
      </c>
      <c r="N1911" s="4" t="s">
        <v>12808</v>
      </c>
      <c r="O1911" s="4" t="s">
        <v>12809</v>
      </c>
      <c r="P1911" s="4" t="s">
        <v>233</v>
      </c>
    </row>
    <row r="1912" spans="1:16" x14ac:dyDescent="0.35">
      <c r="A1912" t="s">
        <v>12814</v>
      </c>
      <c r="B1912" t="s">
        <v>3446</v>
      </c>
      <c r="C1912" t="s">
        <v>16</v>
      </c>
      <c r="D1912" s="6">
        <v>6375225710.6954346</v>
      </c>
      <c r="E1912" s="6">
        <v>6235953710.6954346</v>
      </c>
      <c r="F1912" s="6">
        <v>131.55000305175781</v>
      </c>
      <c r="G1912" s="6">
        <v>130.00999450683594</v>
      </c>
      <c r="H1912" s="6" t="e">
        <v>#N/A</v>
      </c>
      <c r="I1912" s="6">
        <v>0.34619932188989377</v>
      </c>
      <c r="J1912" s="6">
        <v>338458000</v>
      </c>
      <c r="K1912" s="6">
        <v>-44.150110375275915</v>
      </c>
      <c r="L1912" t="s">
        <v>17</v>
      </c>
      <c r="M1912" t="s">
        <v>87</v>
      </c>
      <c r="N1912" s="4" t="s">
        <v>3447</v>
      </c>
      <c r="O1912" s="4" t="s">
        <v>3448</v>
      </c>
      <c r="P1912" s="4" t="s">
        <v>233</v>
      </c>
    </row>
    <row r="1913" spans="1:16" x14ac:dyDescent="0.35">
      <c r="A1913" t="s">
        <v>12819</v>
      </c>
      <c r="B1913" t="s">
        <v>12984</v>
      </c>
      <c r="C1913" t="s">
        <v>16</v>
      </c>
      <c r="D1913" s="6">
        <v>189451605.02228451</v>
      </c>
      <c r="E1913" s="6">
        <v>155749809.02228451</v>
      </c>
      <c r="F1913" s="6">
        <v>8.630000114440918</v>
      </c>
      <c r="G1913" s="6">
        <v>8.5799999237060547</v>
      </c>
      <c r="H1913" s="6">
        <v>9.6276671197221209</v>
      </c>
      <c r="I1913" s="6">
        <v>0.28325181305816138</v>
      </c>
      <c r="J1913" s="6">
        <v>57997085</v>
      </c>
      <c r="K1913" s="6">
        <v>-75.451890172587696</v>
      </c>
      <c r="L1913" t="s">
        <v>6529</v>
      </c>
      <c r="M1913" t="s">
        <v>8169</v>
      </c>
      <c r="N1913" s="4" t="s">
        <v>12820</v>
      </c>
      <c r="O1913" s="4" t="s">
        <v>12821</v>
      </c>
      <c r="P1913" s="4" t="s">
        <v>233</v>
      </c>
    </row>
    <row r="1914" spans="1:16" x14ac:dyDescent="0.35">
      <c r="A1914" t="s">
        <v>12815</v>
      </c>
      <c r="B1914" t="s">
        <v>12816</v>
      </c>
      <c r="C1914" t="s">
        <v>16</v>
      </c>
      <c r="D1914" s="6">
        <v>2930626671.2160497</v>
      </c>
      <c r="E1914" s="6" t="e">
        <v>#N/A</v>
      </c>
      <c r="F1914" s="6">
        <v>102.48999786376953</v>
      </c>
      <c r="G1914" s="6">
        <v>100.40000152587891</v>
      </c>
      <c r="H1914" s="6">
        <v>27.042215795189851</v>
      </c>
      <c r="I1914" s="6">
        <v>0.95975398103932763</v>
      </c>
      <c r="J1914" s="6">
        <v>317721000</v>
      </c>
      <c r="K1914" s="6">
        <v>45.419847328244273</v>
      </c>
      <c r="L1914" t="s">
        <v>6563</v>
      </c>
      <c r="M1914" t="s">
        <v>6607</v>
      </c>
      <c r="N1914" s="4" t="s">
        <v>12817</v>
      </c>
      <c r="O1914" s="4" t="s">
        <v>12818</v>
      </c>
      <c r="P1914" s="4" t="s">
        <v>233</v>
      </c>
    </row>
    <row r="1915" spans="1:16" x14ac:dyDescent="0.35">
      <c r="A1915" t="s">
        <v>12822</v>
      </c>
      <c r="B1915" t="s">
        <v>12823</v>
      </c>
      <c r="C1915" t="s">
        <v>16</v>
      </c>
      <c r="D1915" s="6">
        <v>131759707.15566015</v>
      </c>
      <c r="E1915" s="6">
        <v>1650409707.1556599</v>
      </c>
      <c r="F1915" s="6">
        <v>4.320000171661377</v>
      </c>
      <c r="G1915" s="6">
        <v>4.2399997711181641</v>
      </c>
      <c r="H1915" s="6" t="e">
        <v>#N/A</v>
      </c>
      <c r="I1915" s="6">
        <v>-0.7838707429206655</v>
      </c>
      <c r="J1915" s="6">
        <v>1300214000</v>
      </c>
      <c r="K1915" s="6" t="e">
        <v>#N/A</v>
      </c>
      <c r="L1915" t="s">
        <v>6529</v>
      </c>
      <c r="M1915" t="s">
        <v>6568</v>
      </c>
      <c r="N1915" s="4" t="s">
        <v>12824</v>
      </c>
      <c r="O1915" s="4" t="s">
        <v>12825</v>
      </c>
      <c r="P1915" s="4" t="s">
        <v>233</v>
      </c>
    </row>
    <row r="1916" spans="1:16" x14ac:dyDescent="0.35">
      <c r="A1916" t="s">
        <v>12826</v>
      </c>
      <c r="B1916" t="s">
        <v>12827</v>
      </c>
      <c r="C1916" t="s">
        <v>16</v>
      </c>
      <c r="D1916" s="6">
        <v>1541641834.7458265</v>
      </c>
      <c r="E1916" s="6">
        <v>2131641834.7458265</v>
      </c>
      <c r="F1916" s="6">
        <v>17.899999618530273</v>
      </c>
      <c r="G1916" s="6">
        <v>16.489999771118164</v>
      </c>
      <c r="H1916" s="6">
        <v>10.279209533668588</v>
      </c>
      <c r="I1916" s="6">
        <v>0.47050414442189181</v>
      </c>
      <c r="J1916" s="6">
        <v>2708000000</v>
      </c>
      <c r="K1916" s="6">
        <v>-35.109102707435873</v>
      </c>
      <c r="L1916" t="s">
        <v>6735</v>
      </c>
      <c r="M1916" t="s">
        <v>6747</v>
      </c>
      <c r="N1916" s="4" t="s">
        <v>12828</v>
      </c>
      <c r="O1916" s="4" t="s">
        <v>12829</v>
      </c>
      <c r="P1916" s="4" t="s">
        <v>233</v>
      </c>
    </row>
    <row r="1917" spans="1:16" x14ac:dyDescent="0.35">
      <c r="A1917" t="s">
        <v>12830</v>
      </c>
      <c r="B1917" t="s">
        <v>12831</v>
      </c>
      <c r="C1917" t="s">
        <v>16</v>
      </c>
      <c r="D1917" s="6">
        <v>3072082742.9321365</v>
      </c>
      <c r="E1917" s="6">
        <v>4538316742.9321365</v>
      </c>
      <c r="F1917" s="6">
        <v>90.980003356933594</v>
      </c>
      <c r="G1917" s="6">
        <v>92.349998474121094</v>
      </c>
      <c r="H1917" s="6">
        <v>34.113326640502464</v>
      </c>
      <c r="I1917" s="6">
        <v>-2.5098184980573812E-2</v>
      </c>
      <c r="J1917" s="6">
        <v>1065375000</v>
      </c>
      <c r="K1917" s="6">
        <v>-20.669896145319203</v>
      </c>
      <c r="L1917" t="s">
        <v>6529</v>
      </c>
      <c r="M1917" t="s">
        <v>6639</v>
      </c>
      <c r="N1917" s="4" t="s">
        <v>12832</v>
      </c>
      <c r="O1917" s="4" t="s">
        <v>12833</v>
      </c>
      <c r="P1917" s="4" t="s">
        <v>233</v>
      </c>
    </row>
    <row r="1918" spans="1:16" x14ac:dyDescent="0.35">
      <c r="A1918" t="s">
        <v>12834</v>
      </c>
      <c r="B1918" t="s">
        <v>12835</v>
      </c>
      <c r="C1918" t="s">
        <v>16</v>
      </c>
      <c r="D1918" s="6">
        <v>5174577994.7863779</v>
      </c>
      <c r="E1918" s="6">
        <v>5346173994.7863779</v>
      </c>
      <c r="F1918" s="6">
        <v>159.17999267578125</v>
      </c>
      <c r="G1918" s="6">
        <v>157.58000183105469</v>
      </c>
      <c r="H1918" s="6">
        <v>42.664529064784595</v>
      </c>
      <c r="I1918" s="6">
        <v>0.10071829269855259</v>
      </c>
      <c r="J1918" s="6">
        <v>942379000</v>
      </c>
      <c r="K1918" s="6">
        <v>16.408668730650149</v>
      </c>
      <c r="L1918" t="s">
        <v>6563</v>
      </c>
      <c r="M1918" t="s">
        <v>6764</v>
      </c>
      <c r="N1918" s="4" t="s">
        <v>12836</v>
      </c>
      <c r="O1918" s="4" t="s">
        <v>12837</v>
      </c>
      <c r="P1918" s="4" t="s">
        <v>233</v>
      </c>
    </row>
    <row r="1919" spans="1:16" x14ac:dyDescent="0.35">
      <c r="A1919" t="s">
        <v>12838</v>
      </c>
      <c r="B1919" t="s">
        <v>12839</v>
      </c>
      <c r="C1919" t="s">
        <v>16</v>
      </c>
      <c r="D1919" s="6">
        <v>1236302293.4853573</v>
      </c>
      <c r="E1919" s="6">
        <v>1323494293.4853573</v>
      </c>
      <c r="F1919" s="6">
        <v>25.030000686645508</v>
      </c>
      <c r="G1919" s="6">
        <v>27.799999237060547</v>
      </c>
      <c r="H1919" s="6" t="e">
        <v>#N/A</v>
      </c>
      <c r="I1919" s="6">
        <v>0.19076774933924412</v>
      </c>
      <c r="J1919" s="6">
        <v>209547000</v>
      </c>
      <c r="K1919" s="6">
        <v>2.3696682464454892</v>
      </c>
      <c r="L1919" t="s">
        <v>6518</v>
      </c>
      <c r="M1919" t="s">
        <v>7048</v>
      </c>
      <c r="N1919" s="4" t="s">
        <v>12840</v>
      </c>
      <c r="O1919" s="4" t="s">
        <v>12841</v>
      </c>
      <c r="P1919" s="4" t="s">
        <v>233</v>
      </c>
    </row>
    <row r="1920" spans="1:16" x14ac:dyDescent="0.35">
      <c r="A1920" t="s">
        <v>12846</v>
      </c>
      <c r="B1920" t="s">
        <v>12847</v>
      </c>
      <c r="C1920" t="s">
        <v>16</v>
      </c>
      <c r="D1920" s="6">
        <v>790607639.90715981</v>
      </c>
      <c r="E1920" s="6">
        <v>871055639.90715981</v>
      </c>
      <c r="F1920" s="6">
        <v>26.010000228881836</v>
      </c>
      <c r="G1920" s="6">
        <v>26.629999160766602</v>
      </c>
      <c r="H1920" s="6" t="e">
        <v>#N/A</v>
      </c>
      <c r="I1920" s="6">
        <v>0.336064888766062</v>
      </c>
      <c r="J1920" s="6">
        <v>233905000</v>
      </c>
      <c r="K1920" s="6" t="e">
        <v>#N/A</v>
      </c>
      <c r="L1920" t="s">
        <v>6523</v>
      </c>
      <c r="M1920" t="s">
        <v>6524</v>
      </c>
      <c r="N1920" s="4" t="s">
        <v>12848</v>
      </c>
      <c r="O1920" s="4" t="s">
        <v>12849</v>
      </c>
      <c r="P1920" s="4" t="s">
        <v>233</v>
      </c>
    </row>
    <row r="1921" spans="1:16" x14ac:dyDescent="0.35">
      <c r="A1921" t="s">
        <v>12842</v>
      </c>
      <c r="B1921" t="s">
        <v>12843</v>
      </c>
      <c r="C1921" t="s">
        <v>16</v>
      </c>
      <c r="D1921" s="6">
        <v>221641975.29117587</v>
      </c>
      <c r="E1921" s="6">
        <v>225770975.29117587</v>
      </c>
      <c r="F1921" s="6">
        <v>18.200000762939453</v>
      </c>
      <c r="G1921" s="6">
        <v>17.930000305175781</v>
      </c>
      <c r="H1921" s="6" t="e">
        <v>#N/A</v>
      </c>
      <c r="I1921" s="6">
        <v>2.2923196469105287</v>
      </c>
      <c r="J1921" s="6">
        <v>33348000</v>
      </c>
      <c r="K1921" s="6">
        <v>55.447551846912042</v>
      </c>
      <c r="L1921" t="s">
        <v>6518</v>
      </c>
      <c r="M1921" t="s">
        <v>6519</v>
      </c>
      <c r="N1921" s="4" t="s">
        <v>12844</v>
      </c>
      <c r="O1921" s="4" t="s">
        <v>12845</v>
      </c>
      <c r="P1921" s="4" t="s">
        <v>233</v>
      </c>
    </row>
    <row r="1922" spans="1:16" x14ac:dyDescent="0.35">
      <c r="A1922" t="s">
        <v>12850</v>
      </c>
      <c r="B1922" t="s">
        <v>5501</v>
      </c>
      <c r="C1922" t="s">
        <v>16</v>
      </c>
      <c r="D1922" s="6">
        <v>86662562.274987713</v>
      </c>
      <c r="E1922" s="6">
        <v>-77674437.725012287</v>
      </c>
      <c r="F1922" s="6">
        <v>1.7400000095367432</v>
      </c>
      <c r="G1922" s="6">
        <v>1.7300000190734863</v>
      </c>
      <c r="H1922" s="6" t="e">
        <v>#N/A</v>
      </c>
      <c r="I1922" s="6">
        <v>-0.88699644633481411</v>
      </c>
      <c r="J1922" s="6">
        <v>0</v>
      </c>
      <c r="K1922" s="6">
        <v>-9.929078014184423</v>
      </c>
      <c r="L1922" t="s">
        <v>17</v>
      </c>
      <c r="M1922" t="s">
        <v>18</v>
      </c>
      <c r="N1922" s="4" t="s">
        <v>5502</v>
      </c>
      <c r="O1922" s="4" t="s">
        <v>5503</v>
      </c>
      <c r="P1922" s="4" t="s">
        <v>233</v>
      </c>
    </row>
    <row r="1923" spans="1:16" x14ac:dyDescent="0.35">
      <c r="A1923" t="s">
        <v>12851</v>
      </c>
      <c r="B1923" t="s">
        <v>12852</v>
      </c>
      <c r="C1923" t="s">
        <v>16</v>
      </c>
      <c r="D1923" s="6">
        <v>2271850031.0127258</v>
      </c>
      <c r="E1923" s="6" t="e">
        <v>#N/A</v>
      </c>
      <c r="F1923" s="6">
        <v>61.189998626708984</v>
      </c>
      <c r="G1923" s="6">
        <v>60.720001220703125</v>
      </c>
      <c r="H1923" s="6">
        <v>12.476754907246873</v>
      </c>
      <c r="I1923" s="6">
        <v>0.53503616047709834</v>
      </c>
      <c r="J1923" s="6">
        <v>920754000</v>
      </c>
      <c r="K1923" s="6">
        <v>-4.518664047151268</v>
      </c>
      <c r="L1923" t="s">
        <v>6529</v>
      </c>
      <c r="M1923" t="s">
        <v>6530</v>
      </c>
      <c r="N1923" s="4" t="s">
        <v>12853</v>
      </c>
      <c r="O1923" s="4" t="s">
        <v>12854</v>
      </c>
      <c r="P1923" s="4" t="s">
        <v>233</v>
      </c>
    </row>
    <row r="1924" spans="1:16" x14ac:dyDescent="0.35">
      <c r="A1924" t="s">
        <v>12855</v>
      </c>
      <c r="B1924" t="s">
        <v>12856</v>
      </c>
      <c r="C1924" t="s">
        <v>16</v>
      </c>
      <c r="D1924" s="6">
        <v>1234366238.25</v>
      </c>
      <c r="E1924" s="6">
        <v>1462063238.25</v>
      </c>
      <c r="F1924" s="6">
        <v>69.75</v>
      </c>
      <c r="G1924" s="6">
        <v>67.610000610351563</v>
      </c>
      <c r="H1924" s="6">
        <v>23.508443997156743</v>
      </c>
      <c r="I1924" s="6">
        <v>1.9856949839460021</v>
      </c>
      <c r="J1924" s="6">
        <v>408307000</v>
      </c>
      <c r="K1924" s="6">
        <v>291.12367359638949</v>
      </c>
      <c r="L1924" t="s">
        <v>6735</v>
      </c>
      <c r="M1924" t="s">
        <v>9787</v>
      </c>
      <c r="N1924" s="4" t="s">
        <v>12857</v>
      </c>
      <c r="O1924" s="4" t="s">
        <v>12858</v>
      </c>
      <c r="P1924" s="4" t="s">
        <v>233</v>
      </c>
    </row>
    <row r="1925" spans="1:16" x14ac:dyDescent="0.35">
      <c r="A1925" t="s">
        <v>12859</v>
      </c>
      <c r="B1925" t="s">
        <v>12860</v>
      </c>
      <c r="C1925" t="s">
        <v>16</v>
      </c>
      <c r="D1925" s="6">
        <v>3407533721.9705124</v>
      </c>
      <c r="E1925" s="6">
        <v>4640353721.9705124</v>
      </c>
      <c r="F1925" s="6">
        <v>13.630000114440918</v>
      </c>
      <c r="G1925" s="6">
        <v>13.399999618530273</v>
      </c>
      <c r="H1925" s="6">
        <v>68.597254672670402</v>
      </c>
      <c r="I1925" s="6">
        <v>0.28794807084533747</v>
      </c>
      <c r="J1925" s="6">
        <v>2629372000</v>
      </c>
      <c r="K1925" s="6">
        <v>194.80532682728477</v>
      </c>
      <c r="L1925" t="s">
        <v>6623</v>
      </c>
      <c r="M1925" t="s">
        <v>6634</v>
      </c>
      <c r="N1925" s="4" t="s">
        <v>12861</v>
      </c>
      <c r="O1925" s="4" t="s">
        <v>12862</v>
      </c>
      <c r="P1925" s="4" t="s">
        <v>233</v>
      </c>
    </row>
    <row r="1926" spans="1:16" x14ac:dyDescent="0.35">
      <c r="A1926" t="s">
        <v>12863</v>
      </c>
      <c r="B1926" t="s">
        <v>12864</v>
      </c>
      <c r="C1926" t="s">
        <v>16</v>
      </c>
      <c r="D1926" s="6">
        <v>295735441.05937952</v>
      </c>
      <c r="E1926" s="6" t="e">
        <v>#N/A</v>
      </c>
      <c r="F1926" s="6">
        <v>26.059999465942383</v>
      </c>
      <c r="G1926" s="6">
        <v>26.520000457763672</v>
      </c>
      <c r="H1926" s="6">
        <v>10.550607071231733</v>
      </c>
      <c r="I1926" s="6">
        <v>9.8273219876100937E-2</v>
      </c>
      <c r="J1926" s="6">
        <v>143199000</v>
      </c>
      <c r="K1926" s="6">
        <v>-5.7251908396946529</v>
      </c>
      <c r="L1926" t="s">
        <v>6529</v>
      </c>
      <c r="M1926" t="s">
        <v>6530</v>
      </c>
      <c r="N1926" s="4" t="s">
        <v>12865</v>
      </c>
      <c r="O1926" s="4" t="s">
        <v>12866</v>
      </c>
      <c r="P1926" s="4" t="s">
        <v>233</v>
      </c>
    </row>
    <row r="1927" spans="1:16" x14ac:dyDescent="0.35">
      <c r="A1927" t="s">
        <v>12867</v>
      </c>
      <c r="B1927" t="s">
        <v>12868</v>
      </c>
      <c r="C1927" t="s">
        <v>16</v>
      </c>
      <c r="D1927" s="6">
        <v>4516942505.4220953</v>
      </c>
      <c r="E1927" s="6">
        <v>4635596505.4220953</v>
      </c>
      <c r="F1927" s="6">
        <v>22.979999542236328</v>
      </c>
      <c r="G1927" s="6">
        <v>23.520000457763672</v>
      </c>
      <c r="H1927" s="6">
        <v>11.659440591514347</v>
      </c>
      <c r="I1927" s="6">
        <v>0.1329311703349414</v>
      </c>
      <c r="J1927" s="6">
        <v>1311905000</v>
      </c>
      <c r="K1927" s="6">
        <v>-26.007326007326007</v>
      </c>
      <c r="L1927" t="s">
        <v>6523</v>
      </c>
      <c r="M1927" t="s">
        <v>6524</v>
      </c>
      <c r="N1927" s="4" t="s">
        <v>12869</v>
      </c>
      <c r="O1927" s="4" t="s">
        <v>12870</v>
      </c>
      <c r="P1927" s="4" t="s">
        <v>233</v>
      </c>
    </row>
    <row r="1928" spans="1:16" x14ac:dyDescent="0.35">
      <c r="A1928" t="s">
        <v>12871</v>
      </c>
      <c r="B1928" t="s">
        <v>12872</v>
      </c>
      <c r="C1928" t="s">
        <v>16</v>
      </c>
      <c r="D1928" s="6">
        <v>1423049575.999527</v>
      </c>
      <c r="E1928" s="6">
        <v>1754771575.999527</v>
      </c>
      <c r="F1928" s="6">
        <v>9.7399997711181641</v>
      </c>
      <c r="G1928" s="6">
        <v>9.5799999237060547</v>
      </c>
      <c r="H1928" s="6">
        <v>20.19297303412522</v>
      </c>
      <c r="I1928" s="6">
        <v>0.36451346673246987</v>
      </c>
      <c r="J1928" s="6">
        <v>434515000</v>
      </c>
      <c r="K1928" s="6">
        <v>-52.021178416303762</v>
      </c>
      <c r="L1928" t="s">
        <v>6529</v>
      </c>
      <c r="M1928" t="s">
        <v>6568</v>
      </c>
      <c r="N1928" s="4" t="s">
        <v>12873</v>
      </c>
      <c r="O1928" s="4" t="s">
        <v>12874</v>
      </c>
      <c r="P1928" s="4" t="s">
        <v>233</v>
      </c>
    </row>
    <row r="1929" spans="1:16" x14ac:dyDescent="0.35">
      <c r="A1929" t="s">
        <v>12875</v>
      </c>
      <c r="B1929" t="s">
        <v>12876</v>
      </c>
      <c r="C1929" t="s">
        <v>16</v>
      </c>
      <c r="D1929" s="6">
        <v>1498176498.8259888</v>
      </c>
      <c r="E1929" s="6">
        <v>2581652498.8259888</v>
      </c>
      <c r="F1929" s="6">
        <v>47.470001220703125</v>
      </c>
      <c r="G1929" s="6">
        <v>47.709999084472656</v>
      </c>
      <c r="H1929" s="6" t="e">
        <v>#N/A</v>
      </c>
      <c r="I1929" s="6">
        <v>0.21033623685801928</v>
      </c>
      <c r="J1929" s="6">
        <v>4204710000</v>
      </c>
      <c r="K1929" s="6" t="e">
        <v>#N/A</v>
      </c>
      <c r="L1929" t="s">
        <v>6547</v>
      </c>
      <c r="M1929" t="s">
        <v>6843</v>
      </c>
      <c r="N1929" s="4" t="s">
        <v>12877</v>
      </c>
      <c r="O1929" s="4" t="s">
        <v>12878</v>
      </c>
      <c r="P1929" s="4" t="s">
        <v>233</v>
      </c>
    </row>
    <row r="1930" spans="1:16" x14ac:dyDescent="0.35">
      <c r="A1930" t="s">
        <v>12879</v>
      </c>
      <c r="B1930" t="s">
        <v>5712</v>
      </c>
      <c r="C1930" t="s">
        <v>16</v>
      </c>
      <c r="D1930" s="6">
        <v>165239535.97940847</v>
      </c>
      <c r="E1930" s="6">
        <v>-200951464.02059159</v>
      </c>
      <c r="F1930" s="6">
        <v>3.5899999141693115</v>
      </c>
      <c r="G1930" s="6">
        <v>3.4000000953674316</v>
      </c>
      <c r="H1930" s="6" t="e">
        <v>#N/A</v>
      </c>
      <c r="I1930" s="6">
        <v>-0.8377727897254782</v>
      </c>
      <c r="J1930" s="6">
        <v>0</v>
      </c>
      <c r="K1930" s="6">
        <v>-114.95448634590376</v>
      </c>
      <c r="L1930" t="s">
        <v>17</v>
      </c>
      <c r="M1930" t="s">
        <v>18</v>
      </c>
      <c r="N1930" s="4" t="s">
        <v>5713</v>
      </c>
      <c r="O1930" s="4" t="s">
        <v>5714</v>
      </c>
      <c r="P1930" s="4" t="s">
        <v>233</v>
      </c>
    </row>
    <row r="1931" spans="1:16" x14ac:dyDescent="0.35">
      <c r="A1931" t="s">
        <v>12880</v>
      </c>
      <c r="B1931" t="s">
        <v>12881</v>
      </c>
      <c r="C1931" t="s">
        <v>16</v>
      </c>
      <c r="D1931" s="6">
        <v>218375628.75381848</v>
      </c>
      <c r="E1931" s="6">
        <v>580976768.75381851</v>
      </c>
      <c r="F1931" s="6">
        <v>13.520000457763672</v>
      </c>
      <c r="G1931" s="6">
        <v>13.090000152587891</v>
      </c>
      <c r="H1931" s="6">
        <v>24.805929310009287</v>
      </c>
      <c r="I1931" s="6">
        <v>-0.39774039959993446</v>
      </c>
      <c r="J1931" s="6">
        <v>49326000</v>
      </c>
      <c r="K1931" s="6" t="e">
        <v>#N/A</v>
      </c>
      <c r="L1931" t="s">
        <v>6623</v>
      </c>
      <c r="M1931" t="s">
        <v>6634</v>
      </c>
      <c r="N1931" s="4" t="s">
        <v>12882</v>
      </c>
      <c r="O1931" s="4" t="s">
        <v>12883</v>
      </c>
      <c r="P1931" s="4" t="s">
        <v>233</v>
      </c>
    </row>
    <row r="1932" spans="1:16" x14ac:dyDescent="0.35">
      <c r="A1932" t="s">
        <v>12884</v>
      </c>
      <c r="B1932" t="s">
        <v>12885</v>
      </c>
      <c r="C1932" t="s">
        <v>16</v>
      </c>
      <c r="D1932" s="6">
        <v>5234902646.8649082</v>
      </c>
      <c r="E1932" s="6">
        <v>5048576646.8649082</v>
      </c>
      <c r="F1932" s="6">
        <v>22.879999160766602</v>
      </c>
      <c r="G1932" s="6">
        <v>21.899999618530273</v>
      </c>
      <c r="H1932" s="6" t="e">
        <v>#N/A</v>
      </c>
      <c r="I1932" s="6">
        <v>0.16626007736421711</v>
      </c>
      <c r="J1932" s="6">
        <v>706677000</v>
      </c>
      <c r="K1932" s="6">
        <v>15.789473684210522</v>
      </c>
      <c r="L1932" t="s">
        <v>6518</v>
      </c>
      <c r="M1932" t="s">
        <v>6519</v>
      </c>
      <c r="N1932" s="4" t="s">
        <v>12886</v>
      </c>
      <c r="O1932" s="4" t="s">
        <v>12887</v>
      </c>
      <c r="P1932" s="4" t="s">
        <v>233</v>
      </c>
    </row>
    <row r="1933" spans="1:16" x14ac:dyDescent="0.35">
      <c r="A1933" t="s">
        <v>12888</v>
      </c>
      <c r="B1933" t="s">
        <v>12889</v>
      </c>
      <c r="C1933" t="s">
        <v>16</v>
      </c>
      <c r="D1933" s="6">
        <v>3142061073.6438122</v>
      </c>
      <c r="E1933" s="6">
        <v>4202105073.6438122</v>
      </c>
      <c r="F1933" s="6">
        <v>18.309999465942383</v>
      </c>
      <c r="G1933" s="6">
        <v>18.180000305175781</v>
      </c>
      <c r="H1933" s="6">
        <v>55.12735432631537</v>
      </c>
      <c r="I1933" s="6">
        <v>0.51024241614757981</v>
      </c>
      <c r="J1933" s="6">
        <v>784725000</v>
      </c>
      <c r="K1933" s="6" t="e">
        <v>#N/A</v>
      </c>
      <c r="L1933" t="s">
        <v>6518</v>
      </c>
      <c r="M1933" t="s">
        <v>6519</v>
      </c>
      <c r="N1933" s="4" t="s">
        <v>12890</v>
      </c>
      <c r="O1933" s="4" t="s">
        <v>12891</v>
      </c>
      <c r="P1933" s="4" t="s">
        <v>233</v>
      </c>
    </row>
    <row r="1934" spans="1:16" x14ac:dyDescent="0.35">
      <c r="A1934" t="s">
        <v>12895</v>
      </c>
      <c r="B1934" t="s">
        <v>12896</v>
      </c>
      <c r="C1934" t="s">
        <v>16</v>
      </c>
      <c r="D1934" s="6">
        <v>2064444546.9812391</v>
      </c>
      <c r="E1934" s="6">
        <v>2108444546.9812391</v>
      </c>
      <c r="F1934" s="6">
        <v>31.930000305175781</v>
      </c>
      <c r="G1934" s="6">
        <v>32.479999542236328</v>
      </c>
      <c r="H1934" s="6">
        <v>10.363955734963104</v>
      </c>
      <c r="I1934" s="6">
        <v>-0.27087274379883608</v>
      </c>
      <c r="J1934" s="6">
        <v>1504000000</v>
      </c>
      <c r="K1934" s="6">
        <v>118.13413284132847</v>
      </c>
      <c r="L1934" t="s">
        <v>6523</v>
      </c>
      <c r="M1934" t="s">
        <v>6588</v>
      </c>
      <c r="N1934" s="4" t="s">
        <v>233</v>
      </c>
      <c r="O1934" s="4" t="s">
        <v>12897</v>
      </c>
      <c r="P1934" s="4" t="s">
        <v>13282</v>
      </c>
    </row>
    <row r="1935" spans="1:16" x14ac:dyDescent="0.35">
      <c r="A1935" t="s">
        <v>12898</v>
      </c>
      <c r="B1935" t="s">
        <v>2086</v>
      </c>
      <c r="C1935" t="s">
        <v>16</v>
      </c>
      <c r="D1935" s="6">
        <v>366745127.42431641</v>
      </c>
      <c r="E1935" s="6">
        <v>306097127.42431641</v>
      </c>
      <c r="F1935" s="6">
        <v>20.819999694824219</v>
      </c>
      <c r="G1935" s="6">
        <v>20.270000457763672</v>
      </c>
      <c r="H1935" s="6">
        <v>107.89241692918185</v>
      </c>
      <c r="I1935" s="6">
        <v>0.71811160832884746</v>
      </c>
      <c r="J1935" s="6">
        <v>157474000</v>
      </c>
      <c r="K1935" s="6" t="e">
        <v>#N/A</v>
      </c>
      <c r="L1935" t="s">
        <v>17</v>
      </c>
      <c r="M1935" t="s">
        <v>18</v>
      </c>
      <c r="N1935" s="4" t="s">
        <v>2087</v>
      </c>
      <c r="O1935" s="4" t="s">
        <v>2088</v>
      </c>
      <c r="P1935" s="4" t="s">
        <v>233</v>
      </c>
    </row>
    <row r="1936" spans="1:16" x14ac:dyDescent="0.35">
      <c r="A1936" t="s">
        <v>12892</v>
      </c>
      <c r="B1936" t="s">
        <v>12893</v>
      </c>
      <c r="C1936" t="s">
        <v>16</v>
      </c>
      <c r="D1936" s="6">
        <v>1606556017.1048641</v>
      </c>
      <c r="E1936" s="6">
        <v>1619056017.1048641</v>
      </c>
      <c r="F1936" s="6">
        <v>19.219999313354492</v>
      </c>
      <c r="G1936" s="6">
        <v>19.229999542236328</v>
      </c>
      <c r="H1936" s="6">
        <v>41.434914227039393</v>
      </c>
      <c r="I1936" s="6">
        <v>1.2561414017966608</v>
      </c>
      <c r="J1936" s="6">
        <v>756296000</v>
      </c>
      <c r="K1936" s="6">
        <v>171.54971449525905</v>
      </c>
      <c r="L1936" t="s">
        <v>6540</v>
      </c>
      <c r="M1936" t="s">
        <v>6825</v>
      </c>
      <c r="N1936" s="4" t="s">
        <v>233</v>
      </c>
      <c r="O1936" s="4" t="s">
        <v>12894</v>
      </c>
      <c r="P1936" s="4" t="s">
        <v>13281</v>
      </c>
    </row>
    <row r="1937" spans="1:16" x14ac:dyDescent="0.35">
      <c r="A1937" t="s">
        <v>12899</v>
      </c>
      <c r="B1937" t="s">
        <v>1404</v>
      </c>
      <c r="C1937" t="s">
        <v>16</v>
      </c>
      <c r="D1937" s="6">
        <v>858581199.77639771</v>
      </c>
      <c r="E1937" s="6">
        <v>794715199.77639771</v>
      </c>
      <c r="F1937" s="6">
        <v>8.9099998474121094</v>
      </c>
      <c r="G1937" s="6">
        <v>8.9099998474121094</v>
      </c>
      <c r="H1937" s="6" t="e">
        <v>#N/A</v>
      </c>
      <c r="I1937" s="6">
        <v>-0.39098200333148037</v>
      </c>
      <c r="J1937" s="6">
        <v>138160000</v>
      </c>
      <c r="K1937" s="6">
        <v>63.425925925925924</v>
      </c>
      <c r="L1937" t="s">
        <v>17</v>
      </c>
      <c r="M1937" t="s">
        <v>87</v>
      </c>
      <c r="N1937" s="4" t="s">
        <v>233</v>
      </c>
      <c r="O1937" s="4" t="s">
        <v>1405</v>
      </c>
      <c r="P1937" s="4" t="s">
        <v>13100</v>
      </c>
    </row>
    <row r="1938" spans="1:16" x14ac:dyDescent="0.35">
      <c r="A1938" t="s">
        <v>12900</v>
      </c>
      <c r="B1938" t="s">
        <v>12901</v>
      </c>
      <c r="C1938" t="s">
        <v>16</v>
      </c>
      <c r="D1938" s="6">
        <v>1093459104.3628364</v>
      </c>
      <c r="E1938" s="6">
        <v>2412615104.3628364</v>
      </c>
      <c r="F1938" s="6">
        <v>2.6600000858306885</v>
      </c>
      <c r="G1938" s="6">
        <v>2.6700000762939453</v>
      </c>
      <c r="H1938" s="6">
        <v>18.8013774894556</v>
      </c>
      <c r="I1938" s="6">
        <v>-0.44837702131114521</v>
      </c>
      <c r="J1938" s="6">
        <v>917903000</v>
      </c>
      <c r="K1938" s="6" t="e">
        <v>#N/A</v>
      </c>
      <c r="L1938" t="s">
        <v>6514</v>
      </c>
      <c r="M1938" t="s">
        <v>6578</v>
      </c>
      <c r="N1938" s="4" t="s">
        <v>12902</v>
      </c>
      <c r="O1938" s="4" t="s">
        <v>12903</v>
      </c>
      <c r="P1938" s="4" t="s">
        <v>233</v>
      </c>
    </row>
    <row r="1939" spans="1:16" x14ac:dyDescent="0.35">
      <c r="A1939" t="s">
        <v>12904</v>
      </c>
      <c r="B1939" t="s">
        <v>869</v>
      </c>
      <c r="C1939" t="s">
        <v>16</v>
      </c>
      <c r="D1939" s="6">
        <v>251237142.43940559</v>
      </c>
      <c r="E1939" s="6">
        <v>100734142.43940556</v>
      </c>
      <c r="F1939" s="6">
        <v>0.69499999284744263</v>
      </c>
      <c r="G1939" s="6">
        <v>0.69679999351501465</v>
      </c>
      <c r="H1939" s="6" t="e">
        <v>#N/A</v>
      </c>
      <c r="I1939" s="6">
        <v>-0.76105099741658577</v>
      </c>
      <c r="J1939" s="6">
        <v>5229000</v>
      </c>
      <c r="K1939" s="6">
        <v>1.3157894736842117</v>
      </c>
      <c r="L1939" t="s">
        <v>17</v>
      </c>
      <c r="M1939" t="s">
        <v>18</v>
      </c>
      <c r="N1939" s="4" t="s">
        <v>870</v>
      </c>
      <c r="O1939" s="4" t="s">
        <v>871</v>
      </c>
      <c r="P1939" s="4" t="s">
        <v>233</v>
      </c>
    </row>
    <row r="1940" spans="1:16" x14ac:dyDescent="0.35">
      <c r="A1940" t="s">
        <v>12905</v>
      </c>
      <c r="B1940" t="s">
        <v>3721</v>
      </c>
      <c r="C1940" t="s">
        <v>16</v>
      </c>
      <c r="D1940" s="6">
        <v>460777784.29447937</v>
      </c>
      <c r="E1940" s="6">
        <v>293914184.29447937</v>
      </c>
      <c r="F1940" s="6">
        <v>12.409999847412109</v>
      </c>
      <c r="G1940" s="6">
        <v>11.930000305175781</v>
      </c>
      <c r="H1940" s="6" t="e">
        <v>#N/A</v>
      </c>
      <c r="I1940" s="6">
        <v>-0.22238231158871047</v>
      </c>
      <c r="J1940" s="6">
        <v>0</v>
      </c>
      <c r="K1940" s="6">
        <v>4.3956043956043995</v>
      </c>
      <c r="L1940" t="s">
        <v>17</v>
      </c>
      <c r="M1940" t="s">
        <v>18</v>
      </c>
      <c r="N1940" s="4" t="s">
        <v>3722</v>
      </c>
      <c r="O1940" s="4" t="s">
        <v>3723</v>
      </c>
      <c r="P1940" s="4" t="s">
        <v>233</v>
      </c>
    </row>
    <row r="1941" spans="1:16" x14ac:dyDescent="0.35">
      <c r="A1941" t="s">
        <v>12906</v>
      </c>
      <c r="B1941" t="s">
        <v>1059</v>
      </c>
      <c r="C1941" t="s">
        <v>16</v>
      </c>
      <c r="D1941" s="6">
        <v>1086719052.3773212</v>
      </c>
      <c r="E1941" s="6">
        <v>1098717052.3773212</v>
      </c>
      <c r="F1941" s="6">
        <v>11.619999885559082</v>
      </c>
      <c r="G1941" s="6">
        <v>11.359999656677246</v>
      </c>
      <c r="H1941" s="6" t="e">
        <v>#N/A</v>
      </c>
      <c r="I1941" s="6">
        <v>1.8354152656732792E-2</v>
      </c>
      <c r="J1941" s="6">
        <v>191335000</v>
      </c>
      <c r="K1941" s="6">
        <v>97.828169170010696</v>
      </c>
      <c r="L1941" t="s">
        <v>17</v>
      </c>
      <c r="M1941" t="s">
        <v>18</v>
      </c>
      <c r="N1941" s="4" t="s">
        <v>1060</v>
      </c>
      <c r="O1941" s="4" t="s">
        <v>1061</v>
      </c>
      <c r="P1941" s="4" t="s">
        <v>233</v>
      </c>
    </row>
    <row r="1942" spans="1:16" x14ac:dyDescent="0.35">
      <c r="A1942" t="s">
        <v>12907</v>
      </c>
      <c r="B1942" t="s">
        <v>3648</v>
      </c>
      <c r="C1942" t="s">
        <v>16</v>
      </c>
      <c r="D1942" s="6">
        <v>43820188.335688114</v>
      </c>
      <c r="E1942" s="6">
        <v>-3816810.4143118858</v>
      </c>
      <c r="F1942" s="6">
        <v>0.61710000038146973</v>
      </c>
      <c r="G1942" s="6">
        <v>0.58259999752044678</v>
      </c>
      <c r="H1942" s="6" t="e">
        <v>#N/A</v>
      </c>
      <c r="I1942" s="6">
        <v>-0.84646628436489857</v>
      </c>
      <c r="J1942" s="6">
        <v>631562</v>
      </c>
      <c r="K1942" s="6">
        <v>31.884057971014499</v>
      </c>
      <c r="L1942" t="s">
        <v>17</v>
      </c>
      <c r="M1942" t="s">
        <v>18</v>
      </c>
      <c r="N1942" s="4" t="s">
        <v>3649</v>
      </c>
      <c r="O1942" s="4" t="s">
        <v>3650</v>
      </c>
      <c r="P1942" s="4" t="s">
        <v>233</v>
      </c>
    </row>
    <row r="1943" spans="1:16" x14ac:dyDescent="0.35">
      <c r="A1943" t="s">
        <v>12908</v>
      </c>
      <c r="B1943" t="s">
        <v>11708</v>
      </c>
      <c r="C1943" t="s">
        <v>16</v>
      </c>
      <c r="D1943" s="6">
        <v>4614486822.2014465</v>
      </c>
      <c r="E1943" s="6">
        <v>6383021822.2014465</v>
      </c>
      <c r="F1943" s="6">
        <v>56.430000305175781</v>
      </c>
      <c r="G1943" s="6">
        <v>56.240001678466797</v>
      </c>
      <c r="H1943" s="6">
        <v>15.004124021641191</v>
      </c>
      <c r="I1943" s="6">
        <v>0.12458176208263572</v>
      </c>
      <c r="J1943" s="6">
        <v>7824625000</v>
      </c>
      <c r="K1943" s="6">
        <v>-13.011152416356881</v>
      </c>
      <c r="L1943" t="s">
        <v>6547</v>
      </c>
      <c r="M1943" t="s">
        <v>6875</v>
      </c>
      <c r="N1943" s="4" t="s">
        <v>12909</v>
      </c>
      <c r="O1943" s="4" t="s">
        <v>12910</v>
      </c>
      <c r="P1943" s="4" t="s">
        <v>233</v>
      </c>
    </row>
    <row r="1944" spans="1:16" x14ac:dyDescent="0.35">
      <c r="A1944" t="s">
        <v>12911</v>
      </c>
      <c r="B1944" t="s">
        <v>3131</v>
      </c>
      <c r="C1944" t="s">
        <v>16</v>
      </c>
      <c r="D1944" s="6">
        <v>1172055906.290262</v>
      </c>
      <c r="E1944" s="6">
        <v>819959906.29026198</v>
      </c>
      <c r="F1944" s="6">
        <v>7.4549999237060547</v>
      </c>
      <c r="G1944" s="6">
        <v>7.2899999618530273</v>
      </c>
      <c r="H1944" s="6" t="e">
        <v>#N/A</v>
      </c>
      <c r="I1944" s="6">
        <v>0.2670352700886176</v>
      </c>
      <c r="J1944" s="6">
        <v>61442000</v>
      </c>
      <c r="K1944" s="6">
        <v>-53.488372093023216</v>
      </c>
      <c r="L1944" t="s">
        <v>17</v>
      </c>
      <c r="M1944" t="s">
        <v>87</v>
      </c>
      <c r="N1944" s="4" t="s">
        <v>3132</v>
      </c>
      <c r="O1944" s="4" t="s">
        <v>3133</v>
      </c>
      <c r="P1944" s="4" t="s">
        <v>233</v>
      </c>
    </row>
    <row r="1945" spans="1:16" x14ac:dyDescent="0.35">
      <c r="A1945" t="s">
        <v>12912</v>
      </c>
      <c r="B1945" t="s">
        <v>12913</v>
      </c>
      <c r="C1945" t="s">
        <v>16</v>
      </c>
      <c r="D1945" s="6">
        <v>367354316.72508997</v>
      </c>
      <c r="E1945" s="6">
        <v>623278316.72508991</v>
      </c>
      <c r="F1945" s="6">
        <v>12.270000457763672</v>
      </c>
      <c r="G1945" s="6">
        <v>12.079999923706055</v>
      </c>
      <c r="H1945" s="6">
        <v>13.179448286793885</v>
      </c>
      <c r="I1945" s="6">
        <v>0.3127255510447724</v>
      </c>
      <c r="J1945" s="6">
        <v>470971000</v>
      </c>
      <c r="K1945" s="6">
        <v>-1.2500000000000149</v>
      </c>
      <c r="L1945" t="s">
        <v>6540</v>
      </c>
      <c r="M1945" t="s">
        <v>6825</v>
      </c>
      <c r="N1945" s="4" t="s">
        <v>12914</v>
      </c>
      <c r="O1945" s="4" t="s">
        <v>12915</v>
      </c>
      <c r="P1945" s="4" t="s">
        <v>233</v>
      </c>
    </row>
    <row r="1946" spans="1:16" x14ac:dyDescent="0.35">
      <c r="A1946" t="s">
        <v>12916</v>
      </c>
      <c r="B1946" t="s">
        <v>12917</v>
      </c>
      <c r="C1946" t="s">
        <v>16</v>
      </c>
      <c r="D1946" s="6">
        <v>471540561.79158211</v>
      </c>
      <c r="E1946" s="6">
        <v>407902561.79158211</v>
      </c>
      <c r="F1946" s="6">
        <v>2.3199999332427979</v>
      </c>
      <c r="G1946" s="6">
        <v>2.2599999904632568</v>
      </c>
      <c r="H1946" s="6" t="e">
        <v>#N/A</v>
      </c>
      <c r="I1946" s="6">
        <v>-0.79047164955478411</v>
      </c>
      <c r="J1946" s="6">
        <v>26633000</v>
      </c>
      <c r="K1946" s="6">
        <v>14.814814814814817</v>
      </c>
      <c r="L1946" t="s">
        <v>6540</v>
      </c>
      <c r="M1946" t="s">
        <v>9271</v>
      </c>
      <c r="N1946" s="4" t="s">
        <v>12918</v>
      </c>
      <c r="O1946" s="4" t="s">
        <v>12919</v>
      </c>
      <c r="P1946" s="4" t="s">
        <v>233</v>
      </c>
    </row>
    <row r="1947" spans="1:16" x14ac:dyDescent="0.35">
      <c r="A1947" t="s">
        <v>12920</v>
      </c>
      <c r="B1947" t="s">
        <v>4434</v>
      </c>
      <c r="C1947" t="s">
        <v>16</v>
      </c>
      <c r="D1947" s="6">
        <v>699340323.90637445</v>
      </c>
      <c r="E1947" s="6">
        <v>575432323.90637445</v>
      </c>
      <c r="F1947" s="6">
        <v>4.1399998664855957</v>
      </c>
      <c r="G1947" s="6">
        <v>3.9600000381469727</v>
      </c>
      <c r="H1947" s="6" t="e">
        <v>#N/A</v>
      </c>
      <c r="I1947" s="6">
        <v>0.74417513323216666</v>
      </c>
      <c r="J1947" s="6">
        <v>150045000</v>
      </c>
      <c r="K1947" s="6">
        <v>76.470588235294116</v>
      </c>
      <c r="L1947" t="s">
        <v>17</v>
      </c>
      <c r="M1947" t="s">
        <v>40</v>
      </c>
      <c r="N1947" s="4" t="s">
        <v>4435</v>
      </c>
      <c r="O1947" s="4" t="s">
        <v>4436</v>
      </c>
      <c r="P1947" s="4" t="s">
        <v>233</v>
      </c>
    </row>
    <row r="1948" spans="1:16" x14ac:dyDescent="0.35">
      <c r="A1948" t="s">
        <v>12925</v>
      </c>
      <c r="B1948" t="s">
        <v>12926</v>
      </c>
      <c r="C1948" t="s">
        <v>16</v>
      </c>
      <c r="D1948" s="6">
        <v>477419127.54699707</v>
      </c>
      <c r="E1948" s="6">
        <v>429227127.54699707</v>
      </c>
      <c r="F1948" s="6">
        <v>36.180000305175781</v>
      </c>
      <c r="G1948" s="6">
        <v>37.400001525878906</v>
      </c>
      <c r="H1948" s="6">
        <v>20.268998575442232</v>
      </c>
      <c r="I1948" s="6">
        <v>-0.11185863430453158</v>
      </c>
      <c r="J1948" s="6">
        <v>287919000</v>
      </c>
      <c r="K1948" s="6">
        <v>11.851851851851846</v>
      </c>
      <c r="L1948" t="s">
        <v>6547</v>
      </c>
      <c r="M1948" t="s">
        <v>6548</v>
      </c>
      <c r="N1948" s="4" t="s">
        <v>12927</v>
      </c>
      <c r="O1948" s="4" t="s">
        <v>12928</v>
      </c>
      <c r="P1948" s="4" t="s">
        <v>233</v>
      </c>
    </row>
    <row r="1949" spans="1:16" x14ac:dyDescent="0.35">
      <c r="A1949" t="s">
        <v>12921</v>
      </c>
      <c r="B1949" t="s">
        <v>12922</v>
      </c>
      <c r="C1949" t="s">
        <v>16</v>
      </c>
      <c r="D1949" s="6">
        <v>980785947.92156994</v>
      </c>
      <c r="E1949" s="6">
        <v>3472944947.9215698</v>
      </c>
      <c r="F1949" s="6">
        <v>11.560000419616699</v>
      </c>
      <c r="G1949" s="6">
        <v>11.819999694824219</v>
      </c>
      <c r="H1949" s="6">
        <v>6.9291763988524302</v>
      </c>
      <c r="I1949" s="6">
        <v>-0.55743540935983393</v>
      </c>
      <c r="J1949" s="6">
        <v>4547161000</v>
      </c>
      <c r="K1949" s="6" t="e">
        <v>#N/A</v>
      </c>
      <c r="L1949" t="s">
        <v>6540</v>
      </c>
      <c r="M1949" t="s">
        <v>6825</v>
      </c>
      <c r="N1949" s="4" t="s">
        <v>12923</v>
      </c>
      <c r="O1949" s="4" t="s">
        <v>12924</v>
      </c>
      <c r="P1949" s="4" t="s">
        <v>233</v>
      </c>
    </row>
    <row r="1950" spans="1:16" x14ac:dyDescent="0.35">
      <c r="A1950" t="s">
        <v>12929</v>
      </c>
      <c r="B1950" t="s">
        <v>12930</v>
      </c>
      <c r="C1950" t="s">
        <v>16</v>
      </c>
      <c r="D1950" s="6">
        <v>5045439417.2998199</v>
      </c>
      <c r="E1950" s="6">
        <v>5600781417.2998199</v>
      </c>
      <c r="F1950" s="6">
        <v>35.110000610351563</v>
      </c>
      <c r="G1950" s="6">
        <v>34.279998779296875</v>
      </c>
      <c r="H1950" s="6">
        <v>121.50765214533699</v>
      </c>
      <c r="I1950" s="6">
        <v>0.29417940755711203</v>
      </c>
      <c r="J1950" s="6">
        <v>1073488000</v>
      </c>
      <c r="K1950" s="6">
        <v>285.71428571428572</v>
      </c>
      <c r="L1950" t="s">
        <v>6518</v>
      </c>
      <c r="M1950" t="s">
        <v>6519</v>
      </c>
      <c r="N1950" s="4" t="s">
        <v>12931</v>
      </c>
      <c r="O1950" s="4" t="s">
        <v>12932</v>
      </c>
      <c r="P1950" s="4" t="s">
        <v>233</v>
      </c>
    </row>
    <row r="1951" spans="1:16" x14ac:dyDescent="0.35">
      <c r="A1951" t="s">
        <v>12933</v>
      </c>
      <c r="B1951" t="s">
        <v>12934</v>
      </c>
      <c r="C1951" t="s">
        <v>16</v>
      </c>
      <c r="D1951" s="6">
        <v>319382552.52535623</v>
      </c>
      <c r="E1951" s="6">
        <v>584884552.52535629</v>
      </c>
      <c r="F1951" s="6">
        <v>28.620000839233398</v>
      </c>
      <c r="G1951" s="6">
        <v>28.209999084472656</v>
      </c>
      <c r="H1951" s="6">
        <v>15.459858300427603</v>
      </c>
      <c r="I1951" s="6">
        <v>0.42959954593703764</v>
      </c>
      <c r="J1951" s="6">
        <v>458377000</v>
      </c>
      <c r="K1951" s="6">
        <v>-53.378378378378372</v>
      </c>
      <c r="L1951" t="s">
        <v>6518</v>
      </c>
      <c r="M1951" t="s">
        <v>9005</v>
      </c>
      <c r="N1951" s="4" t="s">
        <v>12935</v>
      </c>
      <c r="O1951" s="4" t="s">
        <v>12936</v>
      </c>
      <c r="P1951" s="4" t="s">
        <v>233</v>
      </c>
    </row>
    <row r="1952" spans="1:16" x14ac:dyDescent="0.35">
      <c r="A1952" t="s">
        <v>12937</v>
      </c>
      <c r="B1952" t="s">
        <v>12938</v>
      </c>
      <c r="C1952" t="s">
        <v>16</v>
      </c>
      <c r="D1952" s="6">
        <v>980435036.40936279</v>
      </c>
      <c r="E1952" s="6">
        <v>1088083036.4093628</v>
      </c>
      <c r="F1952" s="6">
        <v>86.860000610351563</v>
      </c>
      <c r="G1952" s="6">
        <v>86.5</v>
      </c>
      <c r="H1952" s="6" t="e">
        <v>#N/A</v>
      </c>
      <c r="I1952" s="6">
        <v>0.757364369218265</v>
      </c>
      <c r="J1952" s="6">
        <v>423431000</v>
      </c>
      <c r="K1952" s="6">
        <v>80.92906172841414</v>
      </c>
      <c r="L1952" t="s">
        <v>6529</v>
      </c>
      <c r="M1952" t="s">
        <v>6646</v>
      </c>
      <c r="N1952" s="4" t="s">
        <v>12939</v>
      </c>
      <c r="O1952" s="4" t="s">
        <v>12940</v>
      </c>
      <c r="P1952" s="4" t="s">
        <v>233</v>
      </c>
    </row>
    <row r="1953" spans="1:16" x14ac:dyDescent="0.35">
      <c r="A1953" t="s">
        <v>12945</v>
      </c>
      <c r="B1953" t="s">
        <v>950</v>
      </c>
      <c r="C1953" t="s">
        <v>16</v>
      </c>
      <c r="D1953" s="6">
        <v>1636609259.377032</v>
      </c>
      <c r="E1953" s="6">
        <v>1127208259.377032</v>
      </c>
      <c r="F1953" s="6">
        <v>12.449999809265137</v>
      </c>
      <c r="G1953" s="6">
        <v>12.479999542236328</v>
      </c>
      <c r="H1953" s="6">
        <v>94.573959946712975</v>
      </c>
      <c r="I1953" s="6">
        <v>-2.8783459602550354E-2</v>
      </c>
      <c r="J1953" s="6">
        <v>260811000</v>
      </c>
      <c r="K1953" s="6">
        <v>-68.397291666666661</v>
      </c>
      <c r="L1953" t="s">
        <v>17</v>
      </c>
      <c r="M1953" t="s">
        <v>18</v>
      </c>
      <c r="N1953" s="4" t="s">
        <v>951</v>
      </c>
      <c r="O1953" s="4" t="s">
        <v>952</v>
      </c>
      <c r="P1953" s="4" t="s">
        <v>233</v>
      </c>
    </row>
    <row r="1954" spans="1:16" x14ac:dyDescent="0.35">
      <c r="A1954" t="s">
        <v>12941</v>
      </c>
      <c r="B1954" t="s">
        <v>12942</v>
      </c>
      <c r="C1954" t="s">
        <v>16</v>
      </c>
      <c r="D1954" s="6">
        <v>155584783.43833351</v>
      </c>
      <c r="E1954" s="6">
        <v>782484783.43833351</v>
      </c>
      <c r="F1954" s="6">
        <v>4.119999885559082</v>
      </c>
      <c r="G1954" s="6">
        <v>4.1500000953674316</v>
      </c>
      <c r="H1954" s="6" t="e">
        <v>#N/A</v>
      </c>
      <c r="I1954" s="6">
        <v>-0.38699441831065318</v>
      </c>
      <c r="J1954" s="6">
        <v>1250700000</v>
      </c>
      <c r="K1954" s="6">
        <v>57.519005818576041</v>
      </c>
      <c r="L1954" t="s">
        <v>6540</v>
      </c>
      <c r="M1954" t="s">
        <v>6541</v>
      </c>
      <c r="N1954" s="4" t="s">
        <v>12943</v>
      </c>
      <c r="O1954" s="4" t="s">
        <v>12944</v>
      </c>
      <c r="P1954" s="4" t="s">
        <v>233</v>
      </c>
    </row>
    <row r="1955" spans="1:16" x14ac:dyDescent="0.35">
      <c r="A1955" t="s">
        <v>12946</v>
      </c>
      <c r="B1955" t="s">
        <v>962</v>
      </c>
      <c r="C1955" t="s">
        <v>16</v>
      </c>
      <c r="D1955" s="6">
        <v>57137771.01423692</v>
      </c>
      <c r="E1955" s="6">
        <v>98259771.014236912</v>
      </c>
      <c r="F1955" s="6">
        <v>1.309999942779541</v>
      </c>
      <c r="G1955" s="6">
        <v>1.3400000333786011</v>
      </c>
      <c r="H1955" s="6" t="e">
        <v>#N/A</v>
      </c>
      <c r="I1955" s="6">
        <v>-0.72668115842913894</v>
      </c>
      <c r="J1955" s="6">
        <v>97732000</v>
      </c>
      <c r="K1955" s="6">
        <v>-312.49999999999989</v>
      </c>
      <c r="L1955" t="s">
        <v>17</v>
      </c>
      <c r="M1955" t="s">
        <v>100</v>
      </c>
      <c r="N1955" s="4" t="s">
        <v>963</v>
      </c>
      <c r="O1955" s="4" t="s">
        <v>964</v>
      </c>
      <c r="P1955" s="4" t="s">
        <v>233</v>
      </c>
    </row>
    <row r="1956" spans="1:16" x14ac:dyDescent="0.35">
      <c r="A1956" t="s">
        <v>12947</v>
      </c>
      <c r="B1956" t="s">
        <v>12948</v>
      </c>
      <c r="C1956" t="s">
        <v>16</v>
      </c>
      <c r="D1956" s="6">
        <v>712101555.5579375</v>
      </c>
      <c r="E1956" s="6">
        <v>1578001555.5579376</v>
      </c>
      <c r="F1956" s="6">
        <v>22.360000610351563</v>
      </c>
      <c r="G1956" s="6">
        <v>22.719999313354492</v>
      </c>
      <c r="H1956" s="6">
        <v>25.9288771965638</v>
      </c>
      <c r="I1956" s="6">
        <v>-0.33223896602819858</v>
      </c>
      <c r="J1956" s="6">
        <v>4703700000</v>
      </c>
      <c r="K1956" s="6">
        <v>-77.007299270073005</v>
      </c>
      <c r="L1956" t="s">
        <v>6563</v>
      </c>
      <c r="M1956" t="s">
        <v>6564</v>
      </c>
      <c r="N1956" s="4" t="s">
        <v>12949</v>
      </c>
      <c r="O1956" s="4" t="s">
        <v>12950</v>
      </c>
      <c r="P1956" s="4" t="s">
        <v>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F4FE-F0DD-4106-A4E8-4A0E2633BBC1}">
  <sheetPr codeName="Sheet4"/>
  <dimension ref="A1:P271"/>
  <sheetViews>
    <sheetView showGridLines="0" tabSelected="1" zoomScale="91" zoomScaleNormal="91" workbookViewId="0">
      <selection activeCell="A2" sqref="A2"/>
    </sheetView>
  </sheetViews>
  <sheetFormatPr defaultRowHeight="14.5" x14ac:dyDescent="0.35"/>
  <cols>
    <col min="1" max="1" width="20.26953125" bestFit="1" customWidth="1"/>
    <col min="2" max="2" width="31.1796875" bestFit="1" customWidth="1"/>
    <col min="3" max="3" width="17.26953125" customWidth="1"/>
    <col min="4" max="11" width="22.1796875" style="6" customWidth="1"/>
    <col min="12" max="13" width="31.1796875" bestFit="1" customWidth="1"/>
    <col min="14" max="16" width="31.1796875" style="4" bestFit="1" customWidth="1"/>
  </cols>
  <sheetData>
    <row r="1" spans="1:16" x14ac:dyDescent="0.35">
      <c r="A1" s="2" t="str">
        <f>_xll.BQL("filter(members(['RGUSHSBT Index']), crncy == 'USD')", "name().value, crncy().value, cur_mkt_cap().value, curr_entp_val().value, px_last().value, px_open().value, pe_ratio().value, ann_total_return().value, sales_rev_turn().value, eps_growth().value, gics_sector_name().value, gics_industry_name().value, " &amp; "id_cusip().value, id_sedol1().value, id_cins().value","cols=16;rows=271")</f>
        <v>ID</v>
      </c>
      <c r="B1" s="1" t="s">
        <v>0</v>
      </c>
      <c r="C1" s="1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1" t="s">
        <v>10</v>
      </c>
      <c r="M1" s="1" t="s">
        <v>11</v>
      </c>
      <c r="N1" s="3" t="s">
        <v>12</v>
      </c>
      <c r="O1" s="3" t="s">
        <v>13</v>
      </c>
      <c r="P1" s="3" t="s">
        <v>13080</v>
      </c>
    </row>
    <row r="2" spans="1:16" x14ac:dyDescent="0.35">
      <c r="A2" t="s">
        <v>12879</v>
      </c>
      <c r="B2" t="s">
        <v>5712</v>
      </c>
      <c r="C2" t="s">
        <v>16</v>
      </c>
      <c r="D2" s="6">
        <v>165239535.97940847</v>
      </c>
      <c r="E2" s="6">
        <v>-200951464.02059159</v>
      </c>
      <c r="F2" s="6">
        <v>3.5899999141693115</v>
      </c>
      <c r="G2" s="6">
        <v>3.4000000953674316</v>
      </c>
      <c r="H2" s="6" t="e">
        <v>#N/A</v>
      </c>
      <c r="I2" s="6">
        <v>-0.8377727897254782</v>
      </c>
      <c r="J2" s="6">
        <v>0</v>
      </c>
      <c r="K2" s="6">
        <v>-114.95448634590376</v>
      </c>
      <c r="L2" t="s">
        <v>17</v>
      </c>
      <c r="M2" t="s">
        <v>18</v>
      </c>
      <c r="N2" s="4" t="s">
        <v>5713</v>
      </c>
      <c r="O2" s="4" t="s">
        <v>5714</v>
      </c>
      <c r="P2" s="4" t="s">
        <v>233</v>
      </c>
    </row>
    <row r="3" spans="1:16" x14ac:dyDescent="0.35">
      <c r="A3" t="s">
        <v>9032</v>
      </c>
      <c r="B3" t="s">
        <v>3911</v>
      </c>
      <c r="C3" t="s">
        <v>16</v>
      </c>
      <c r="D3" s="6">
        <v>58867143.840765953</v>
      </c>
      <c r="E3" s="6">
        <v>83021143.840765953</v>
      </c>
      <c r="F3" s="6">
        <v>0.64999997615814209</v>
      </c>
      <c r="G3" s="6">
        <v>0.64999997615814209</v>
      </c>
      <c r="H3" s="6" t="e">
        <v>#N/A</v>
      </c>
      <c r="I3" s="6">
        <v>-0.88628120294687984</v>
      </c>
      <c r="J3" s="6">
        <v>9210000</v>
      </c>
      <c r="K3" s="6">
        <v>-71.028037383177562</v>
      </c>
      <c r="L3" t="s">
        <v>17</v>
      </c>
      <c r="M3" t="s">
        <v>87</v>
      </c>
      <c r="N3" s="4" t="s">
        <v>3912</v>
      </c>
      <c r="O3" s="4" t="s">
        <v>3913</v>
      </c>
      <c r="P3" s="4" t="s">
        <v>233</v>
      </c>
    </row>
    <row r="4" spans="1:16" x14ac:dyDescent="0.35">
      <c r="A4" t="s">
        <v>8370</v>
      </c>
      <c r="B4" t="s">
        <v>3917</v>
      </c>
      <c r="C4" t="s">
        <v>16</v>
      </c>
      <c r="D4" s="6">
        <v>681026171.42420769</v>
      </c>
      <c r="E4" s="6">
        <v>400214171.42420769</v>
      </c>
      <c r="F4" s="6">
        <v>23.010000228881836</v>
      </c>
      <c r="G4" s="6">
        <v>22.760000228881836</v>
      </c>
      <c r="H4" s="6" t="e">
        <v>#N/A</v>
      </c>
      <c r="I4" s="6">
        <v>-9.4447493078575473E-3</v>
      </c>
      <c r="J4" s="6">
        <v>5366000</v>
      </c>
      <c r="K4" s="6">
        <v>85.78503885574338</v>
      </c>
      <c r="L4" t="s">
        <v>17</v>
      </c>
      <c r="M4" t="s">
        <v>18</v>
      </c>
      <c r="N4" s="4" t="s">
        <v>3918</v>
      </c>
      <c r="O4" s="4" t="s">
        <v>3919</v>
      </c>
      <c r="P4" s="4" t="s">
        <v>233</v>
      </c>
    </row>
    <row r="5" spans="1:16" x14ac:dyDescent="0.35">
      <c r="A5" t="s">
        <v>12251</v>
      </c>
      <c r="B5" t="s">
        <v>5053</v>
      </c>
      <c r="C5" t="s">
        <v>16</v>
      </c>
      <c r="D5" s="6">
        <v>2151245761.5016174</v>
      </c>
      <c r="E5" s="6">
        <v>1516645761.5016174</v>
      </c>
      <c r="F5" s="6">
        <v>36.779998779296875</v>
      </c>
      <c r="G5" s="6">
        <v>35.450000762939453</v>
      </c>
      <c r="H5" s="6" t="e">
        <v>#N/A</v>
      </c>
      <c r="I5" s="6">
        <v>3.254863037166051</v>
      </c>
      <c r="J5" s="6">
        <v>13049000</v>
      </c>
      <c r="K5" s="6">
        <v>20.945945945945951</v>
      </c>
      <c r="L5" t="s">
        <v>17</v>
      </c>
      <c r="M5" t="s">
        <v>18</v>
      </c>
      <c r="N5" s="4" t="s">
        <v>5054</v>
      </c>
      <c r="O5" s="4" t="s">
        <v>5055</v>
      </c>
      <c r="P5" s="4" t="s">
        <v>233</v>
      </c>
    </row>
    <row r="6" spans="1:16" x14ac:dyDescent="0.35">
      <c r="A6" t="s">
        <v>11246</v>
      </c>
      <c r="B6" t="s">
        <v>4533</v>
      </c>
      <c r="C6" t="s">
        <v>16</v>
      </c>
      <c r="D6" s="6">
        <v>2276499479.9239659</v>
      </c>
      <c r="E6" s="6">
        <v>1453725479.9239659</v>
      </c>
      <c r="F6" s="6">
        <v>35.150001525878906</v>
      </c>
      <c r="G6" s="6">
        <v>33.560001373291016</v>
      </c>
      <c r="H6" s="6" t="e">
        <v>#N/A</v>
      </c>
      <c r="I6" s="6">
        <v>-3.4512934886469226E-2</v>
      </c>
      <c r="J6" s="6">
        <v>87563000</v>
      </c>
      <c r="K6" s="6">
        <v>18.623797909407678</v>
      </c>
      <c r="L6" t="s">
        <v>17</v>
      </c>
      <c r="M6" t="s">
        <v>18</v>
      </c>
      <c r="N6" s="4" t="s">
        <v>4534</v>
      </c>
      <c r="O6" s="4" t="s">
        <v>4535</v>
      </c>
      <c r="P6" s="4" t="s">
        <v>233</v>
      </c>
    </row>
    <row r="7" spans="1:16" x14ac:dyDescent="0.35">
      <c r="A7" t="s">
        <v>12678</v>
      </c>
      <c r="B7" t="s">
        <v>5466</v>
      </c>
      <c r="C7" t="s">
        <v>16</v>
      </c>
      <c r="D7" s="6">
        <v>3776072.3593065734</v>
      </c>
      <c r="E7" s="6">
        <v>4080072.3593065734</v>
      </c>
      <c r="F7" s="6">
        <v>1.7799999713897705</v>
      </c>
      <c r="G7" s="6">
        <v>1.8500000238418579</v>
      </c>
      <c r="H7" s="6" t="e">
        <v>#N/A</v>
      </c>
      <c r="I7" s="6">
        <v>-0.99348477436736293</v>
      </c>
      <c r="J7" s="6">
        <v>0</v>
      </c>
      <c r="K7" s="6" t="e">
        <v>#N/A</v>
      </c>
      <c r="L7" t="s">
        <v>17</v>
      </c>
      <c r="M7" t="s">
        <v>100</v>
      </c>
      <c r="N7" s="4" t="s">
        <v>13433</v>
      </c>
      <c r="O7" s="4" t="s">
        <v>13434</v>
      </c>
      <c r="P7" s="4" t="s">
        <v>233</v>
      </c>
    </row>
    <row r="8" spans="1:16" x14ac:dyDescent="0.35">
      <c r="A8" t="s">
        <v>11487</v>
      </c>
      <c r="B8" t="s">
        <v>3003</v>
      </c>
      <c r="C8" t="s">
        <v>16</v>
      </c>
      <c r="D8" s="6">
        <v>358786333.62909222</v>
      </c>
      <c r="E8" s="6">
        <v>301655566.62909222</v>
      </c>
      <c r="F8" s="6">
        <v>6.0250000953674316</v>
      </c>
      <c r="G8" s="6">
        <v>5.809999942779541</v>
      </c>
      <c r="H8" s="6" t="e">
        <v>#N/A</v>
      </c>
      <c r="I8" s="6">
        <v>0.77449574685596412</v>
      </c>
      <c r="J8" s="6">
        <v>0</v>
      </c>
      <c r="K8" s="6">
        <v>3.8462129950019133</v>
      </c>
      <c r="L8" t="s">
        <v>17</v>
      </c>
      <c r="M8" t="s">
        <v>18</v>
      </c>
      <c r="N8" s="4" t="s">
        <v>3004</v>
      </c>
      <c r="O8" s="4" t="s">
        <v>3005</v>
      </c>
      <c r="P8" s="4" t="s">
        <v>233</v>
      </c>
    </row>
    <row r="9" spans="1:16" x14ac:dyDescent="0.35">
      <c r="A9" t="s">
        <v>12328</v>
      </c>
      <c r="B9" t="s">
        <v>4638</v>
      </c>
      <c r="C9" t="s">
        <v>16</v>
      </c>
      <c r="D9" s="6">
        <v>49855614.523101918</v>
      </c>
      <c r="E9" s="6">
        <v>-85993385.476898074</v>
      </c>
      <c r="F9" s="6">
        <v>0.90600001811981201</v>
      </c>
      <c r="G9" s="6">
        <v>0.9100000262260437</v>
      </c>
      <c r="H9" s="6" t="e">
        <v>#N/A</v>
      </c>
      <c r="I9" s="6">
        <v>-0.71765698041801551</v>
      </c>
      <c r="J9" s="6">
        <v>3000000</v>
      </c>
      <c r="K9" s="6">
        <v>17.81787154524508</v>
      </c>
      <c r="L9" t="s">
        <v>17</v>
      </c>
      <c r="M9" t="s">
        <v>18</v>
      </c>
      <c r="N9" s="4" t="s">
        <v>4639</v>
      </c>
      <c r="O9" s="4" t="s">
        <v>4640</v>
      </c>
      <c r="P9" s="4" t="s">
        <v>233</v>
      </c>
    </row>
    <row r="10" spans="1:16" x14ac:dyDescent="0.35">
      <c r="A10" t="s">
        <v>12850</v>
      </c>
      <c r="B10" t="s">
        <v>5501</v>
      </c>
      <c r="C10" t="s">
        <v>16</v>
      </c>
      <c r="D10" s="6">
        <v>86662562.274987713</v>
      </c>
      <c r="E10" s="6">
        <v>-77674437.725012287</v>
      </c>
      <c r="F10" s="6">
        <v>1.7400000095367432</v>
      </c>
      <c r="G10" s="6">
        <v>1.7300000190734863</v>
      </c>
      <c r="H10" s="6" t="e">
        <v>#N/A</v>
      </c>
      <c r="I10" s="6">
        <v>-0.88699644633481411</v>
      </c>
      <c r="J10" s="6">
        <v>0</v>
      </c>
      <c r="K10" s="6">
        <v>-9.929078014184423</v>
      </c>
      <c r="L10" t="s">
        <v>17</v>
      </c>
      <c r="M10" t="s">
        <v>18</v>
      </c>
      <c r="N10" s="4" t="s">
        <v>5502</v>
      </c>
      <c r="O10" s="4" t="s">
        <v>5503</v>
      </c>
      <c r="P10" s="4" t="s">
        <v>233</v>
      </c>
    </row>
    <row r="11" spans="1:16" x14ac:dyDescent="0.35">
      <c r="A11" t="s">
        <v>10340</v>
      </c>
      <c r="B11" t="s">
        <v>4507</v>
      </c>
      <c r="C11" t="s">
        <v>16</v>
      </c>
      <c r="D11" s="6">
        <v>200902346.99367821</v>
      </c>
      <c r="E11" s="6">
        <v>62112346.993678242</v>
      </c>
      <c r="F11" s="6">
        <v>1.6000000238418579</v>
      </c>
      <c r="G11" s="6">
        <v>1.5900000333786011</v>
      </c>
      <c r="H11" s="6" t="e">
        <v>#N/A</v>
      </c>
      <c r="I11" s="6">
        <v>-0.45671972790293602</v>
      </c>
      <c r="J11" s="6">
        <v>0</v>
      </c>
      <c r="K11" s="6">
        <v>-10.869565217391301</v>
      </c>
      <c r="L11" t="s">
        <v>17</v>
      </c>
      <c r="M11" t="s">
        <v>100</v>
      </c>
      <c r="N11" s="4" t="s">
        <v>4508</v>
      </c>
      <c r="O11" s="4" t="s">
        <v>4509</v>
      </c>
      <c r="P11" s="4" t="s">
        <v>233</v>
      </c>
    </row>
    <row r="12" spans="1:16" x14ac:dyDescent="0.35">
      <c r="A12" t="s">
        <v>12669</v>
      </c>
      <c r="B12" t="s">
        <v>3600</v>
      </c>
      <c r="C12" t="s">
        <v>16</v>
      </c>
      <c r="D12" s="6">
        <v>624052698.68429184</v>
      </c>
      <c r="E12" s="6">
        <v>524348698.68429184</v>
      </c>
      <c r="F12" s="6">
        <v>8.5100002288818359</v>
      </c>
      <c r="G12" s="6">
        <v>8.0500001907348633</v>
      </c>
      <c r="H12" s="6" t="e">
        <v>#N/A</v>
      </c>
      <c r="I12" s="6">
        <v>0.78124753724933593</v>
      </c>
      <c r="J12" s="6">
        <v>0</v>
      </c>
      <c r="K12" s="6">
        <v>1.2920948718405856</v>
      </c>
      <c r="L12" t="s">
        <v>17</v>
      </c>
      <c r="M12" t="s">
        <v>87</v>
      </c>
      <c r="N12" s="4" t="s">
        <v>3601</v>
      </c>
      <c r="O12" s="4" t="s">
        <v>3602</v>
      </c>
      <c r="P12" s="4" t="s">
        <v>233</v>
      </c>
    </row>
    <row r="13" spans="1:16" x14ac:dyDescent="0.35">
      <c r="A13" t="s">
        <v>12946</v>
      </c>
      <c r="B13" t="s">
        <v>962</v>
      </c>
      <c r="C13" t="s">
        <v>16</v>
      </c>
      <c r="D13" s="6">
        <v>57137771.01423692</v>
      </c>
      <c r="E13" s="6">
        <v>98259771.014236912</v>
      </c>
      <c r="F13" s="6">
        <v>1.309999942779541</v>
      </c>
      <c r="G13" s="6">
        <v>1.3400000333786011</v>
      </c>
      <c r="H13" s="6" t="e">
        <v>#N/A</v>
      </c>
      <c r="I13" s="6">
        <v>-0.72668115842913894</v>
      </c>
      <c r="J13" s="6">
        <v>97732000</v>
      </c>
      <c r="K13" s="6">
        <v>-312.49999999999989</v>
      </c>
      <c r="L13" t="s">
        <v>17</v>
      </c>
      <c r="M13" t="s">
        <v>100</v>
      </c>
      <c r="N13" s="4" t="s">
        <v>963</v>
      </c>
      <c r="O13" s="4" t="s">
        <v>964</v>
      </c>
      <c r="P13" s="4" t="s">
        <v>233</v>
      </c>
    </row>
    <row r="14" spans="1:16" x14ac:dyDescent="0.35">
      <c r="A14" t="s">
        <v>8221</v>
      </c>
      <c r="B14" t="s">
        <v>5676</v>
      </c>
      <c r="C14" t="s">
        <v>16</v>
      </c>
      <c r="D14" s="6">
        <v>274653816.5038318</v>
      </c>
      <c r="E14" s="6">
        <v>-63720183.496168196</v>
      </c>
      <c r="F14" s="6">
        <v>1.7000000476837158</v>
      </c>
      <c r="G14" s="6">
        <v>1.6599999666213989</v>
      </c>
      <c r="H14" s="6" t="e">
        <v>#N/A</v>
      </c>
      <c r="I14" s="6">
        <v>-0.90525960289780105</v>
      </c>
      <c r="J14" s="6">
        <v>0</v>
      </c>
      <c r="K14" s="6">
        <v>34.95652173913043</v>
      </c>
      <c r="L14" t="s">
        <v>17</v>
      </c>
      <c r="M14" t="s">
        <v>87</v>
      </c>
      <c r="N14" s="4" t="s">
        <v>5677</v>
      </c>
      <c r="O14" s="4" t="s">
        <v>5678</v>
      </c>
      <c r="P14" s="4" t="s">
        <v>233</v>
      </c>
    </row>
    <row r="15" spans="1:16" x14ac:dyDescent="0.35">
      <c r="A15" t="s">
        <v>9475</v>
      </c>
      <c r="B15" t="s">
        <v>4318</v>
      </c>
      <c r="C15" t="s">
        <v>16</v>
      </c>
      <c r="D15" s="6">
        <v>127882241.84036279</v>
      </c>
      <c r="E15" s="6">
        <v>38199241.840362787</v>
      </c>
      <c r="F15" s="6">
        <v>2.2599999904632568</v>
      </c>
      <c r="G15" s="6">
        <v>2.1700000762939453</v>
      </c>
      <c r="H15" s="6" t="e">
        <v>#N/A</v>
      </c>
      <c r="I15" s="6">
        <v>-0.47833346970934731</v>
      </c>
      <c r="J15" s="6">
        <v>0</v>
      </c>
      <c r="K15" s="6">
        <v>37.558685446009385</v>
      </c>
      <c r="L15" t="s">
        <v>17</v>
      </c>
      <c r="M15" t="s">
        <v>18</v>
      </c>
      <c r="N15" s="4" t="s">
        <v>4319</v>
      </c>
      <c r="O15" s="4" t="s">
        <v>4320</v>
      </c>
      <c r="P15" s="4" t="s">
        <v>233</v>
      </c>
    </row>
    <row r="16" spans="1:16" x14ac:dyDescent="0.35">
      <c r="A16" t="s">
        <v>8634</v>
      </c>
      <c r="B16" t="s">
        <v>4622</v>
      </c>
      <c r="C16" t="s">
        <v>16</v>
      </c>
      <c r="D16" s="6">
        <v>56810255.251688004</v>
      </c>
      <c r="E16" s="6">
        <v>-30505744.748311982</v>
      </c>
      <c r="F16" s="6">
        <v>1.190000057220459</v>
      </c>
      <c r="G16" s="6">
        <v>1.1799999475479126</v>
      </c>
      <c r="H16" s="6" t="e">
        <v>#N/A</v>
      </c>
      <c r="I16" s="6">
        <v>-0.86615494398466797</v>
      </c>
      <c r="J16" s="6">
        <v>6435000</v>
      </c>
      <c r="K16" s="6">
        <v>28.504672897196251</v>
      </c>
      <c r="L16" t="s">
        <v>17</v>
      </c>
      <c r="M16" t="s">
        <v>18</v>
      </c>
      <c r="N16" s="4" t="s">
        <v>4623</v>
      </c>
      <c r="O16" s="4" t="s">
        <v>4624</v>
      </c>
      <c r="P16" s="4" t="s">
        <v>233</v>
      </c>
    </row>
    <row r="17" spans="1:16" x14ac:dyDescent="0.35">
      <c r="A17" t="s">
        <v>13340</v>
      </c>
      <c r="B17" t="s">
        <v>13000</v>
      </c>
      <c r="C17" t="s">
        <v>16</v>
      </c>
      <c r="D17" s="6">
        <v>90119992.080038548</v>
      </c>
      <c r="E17" s="6">
        <v>226317992.08003855</v>
      </c>
      <c r="F17" s="6">
        <v>4.4699997901916504</v>
      </c>
      <c r="G17" s="6">
        <v>4.4699997901916504</v>
      </c>
      <c r="H17" s="6" t="e">
        <v>#N/A</v>
      </c>
      <c r="I17" s="6">
        <v>-0.92383009709407637</v>
      </c>
      <c r="J17" s="6">
        <v>350000</v>
      </c>
      <c r="K17" s="6" t="e">
        <v>#N/A</v>
      </c>
      <c r="L17" t="s">
        <v>17</v>
      </c>
      <c r="M17" t="s">
        <v>18</v>
      </c>
      <c r="N17" s="4" t="s">
        <v>13001</v>
      </c>
      <c r="O17" s="4" t="s">
        <v>13002</v>
      </c>
      <c r="P17" s="4" t="s">
        <v>233</v>
      </c>
    </row>
    <row r="18" spans="1:16" x14ac:dyDescent="0.35">
      <c r="A18" t="s">
        <v>12784</v>
      </c>
      <c r="B18" t="s">
        <v>5660</v>
      </c>
      <c r="C18" t="s">
        <v>16</v>
      </c>
      <c r="D18" s="6">
        <v>2077218528.9999998</v>
      </c>
      <c r="E18" s="6">
        <v>1335563528.9999998</v>
      </c>
      <c r="F18" s="6">
        <v>35.5</v>
      </c>
      <c r="G18" s="6">
        <v>33.810001373291016</v>
      </c>
      <c r="H18" s="6" t="e">
        <v>#N/A</v>
      </c>
      <c r="I18" s="6">
        <v>-2.8084149345652953E-4</v>
      </c>
      <c r="J18" s="6" t="e">
        <v>#N/A</v>
      </c>
      <c r="K18" s="6" t="e">
        <v>#N/A</v>
      </c>
      <c r="L18" t="s">
        <v>17</v>
      </c>
      <c r="M18" t="s">
        <v>18</v>
      </c>
      <c r="N18" s="4" t="s">
        <v>5661</v>
      </c>
      <c r="O18" s="4" t="s">
        <v>5662</v>
      </c>
      <c r="P18" s="4" t="s">
        <v>233</v>
      </c>
    </row>
    <row r="19" spans="1:16" x14ac:dyDescent="0.35">
      <c r="A19" t="s">
        <v>6610</v>
      </c>
      <c r="B19" t="s">
        <v>2349</v>
      </c>
      <c r="C19" t="s">
        <v>16</v>
      </c>
      <c r="D19" s="6">
        <v>627217466.50719881</v>
      </c>
      <c r="E19" s="6">
        <v>497905466.50719881</v>
      </c>
      <c r="F19" s="6">
        <v>3.309999942779541</v>
      </c>
      <c r="G19" s="6">
        <v>3.2699999809265137</v>
      </c>
      <c r="H19" s="6" t="e">
        <v>#N/A</v>
      </c>
      <c r="I19" s="6">
        <v>0.15286070849748068</v>
      </c>
      <c r="J19" s="6">
        <v>6742000</v>
      </c>
      <c r="K19" s="6">
        <v>7.9047044684423406</v>
      </c>
      <c r="L19" t="s">
        <v>17</v>
      </c>
      <c r="M19" t="s">
        <v>18</v>
      </c>
      <c r="N19" s="4" t="s">
        <v>2350</v>
      </c>
      <c r="O19" s="4" t="s">
        <v>2351</v>
      </c>
      <c r="P19" s="4" t="s">
        <v>233</v>
      </c>
    </row>
    <row r="20" spans="1:16" x14ac:dyDescent="0.35">
      <c r="A20" t="s">
        <v>13341</v>
      </c>
      <c r="B20" t="s">
        <v>12996</v>
      </c>
      <c r="C20" t="s">
        <v>16</v>
      </c>
      <c r="D20" s="6">
        <v>383751654.98180771</v>
      </c>
      <c r="E20" s="6">
        <v>383872824.98180771</v>
      </c>
      <c r="F20" s="6">
        <v>7.1599998474121094</v>
      </c>
      <c r="G20" s="6">
        <v>6.8400001525878906</v>
      </c>
      <c r="H20" s="6" t="e">
        <v>#N/A</v>
      </c>
      <c r="I20" s="6">
        <v>-0.96327247155694939</v>
      </c>
      <c r="J20" s="6">
        <v>2380</v>
      </c>
      <c r="K20" s="6">
        <v>14.43514644351464</v>
      </c>
      <c r="L20" t="s">
        <v>17</v>
      </c>
      <c r="M20" t="s">
        <v>18</v>
      </c>
      <c r="N20" s="4" t="s">
        <v>12997</v>
      </c>
      <c r="O20" s="4" t="s">
        <v>12998</v>
      </c>
      <c r="P20" s="4" t="s">
        <v>233</v>
      </c>
    </row>
    <row r="21" spans="1:16" x14ac:dyDescent="0.35">
      <c r="A21" t="s">
        <v>10717</v>
      </c>
      <c r="B21" t="s">
        <v>268</v>
      </c>
      <c r="C21" t="s">
        <v>16</v>
      </c>
      <c r="D21" s="6">
        <v>471952096</v>
      </c>
      <c r="E21" s="6">
        <v>279064096</v>
      </c>
      <c r="F21" s="6">
        <v>2.75</v>
      </c>
      <c r="G21" s="6">
        <v>2.690000057220459</v>
      </c>
      <c r="H21" s="6" t="e">
        <v>#N/A</v>
      </c>
      <c r="I21" s="6">
        <v>-0.44910087693506739</v>
      </c>
      <c r="J21" s="6">
        <v>0</v>
      </c>
      <c r="K21" s="6">
        <v>-38.709677419354797</v>
      </c>
      <c r="L21" t="s">
        <v>17</v>
      </c>
      <c r="M21" t="s">
        <v>18</v>
      </c>
      <c r="N21" s="4" t="s">
        <v>269</v>
      </c>
      <c r="O21" s="4" t="s">
        <v>270</v>
      </c>
      <c r="P21" s="4" t="s">
        <v>233</v>
      </c>
    </row>
    <row r="22" spans="1:16" x14ac:dyDescent="0.35">
      <c r="A22" t="s">
        <v>12814</v>
      </c>
      <c r="B22" t="s">
        <v>3446</v>
      </c>
      <c r="C22" t="s">
        <v>16</v>
      </c>
      <c r="D22" s="6">
        <v>6375225710.6954346</v>
      </c>
      <c r="E22" s="6">
        <v>6235953710.6954346</v>
      </c>
      <c r="F22" s="6">
        <v>131.55000305175781</v>
      </c>
      <c r="G22" s="6">
        <v>130.00999450683594</v>
      </c>
      <c r="H22" s="6" t="e">
        <v>#N/A</v>
      </c>
      <c r="I22" s="6">
        <v>0.34619932188989377</v>
      </c>
      <c r="J22" s="6">
        <v>338458000</v>
      </c>
      <c r="K22" s="6">
        <v>-44.150110375275915</v>
      </c>
      <c r="L22" t="s">
        <v>17</v>
      </c>
      <c r="M22" t="s">
        <v>87</v>
      </c>
      <c r="N22" s="4" t="s">
        <v>3447</v>
      </c>
      <c r="O22" s="4" t="s">
        <v>3448</v>
      </c>
      <c r="P22" s="4" t="s">
        <v>233</v>
      </c>
    </row>
    <row r="23" spans="1:16" x14ac:dyDescent="0.35">
      <c r="A23" t="s">
        <v>12774</v>
      </c>
      <c r="B23" t="s">
        <v>4804</v>
      </c>
      <c r="C23" t="s">
        <v>16</v>
      </c>
      <c r="D23" s="6">
        <v>634083625.59667754</v>
      </c>
      <c r="E23" s="6">
        <v>531160625.59667754</v>
      </c>
      <c r="F23" s="6">
        <v>2.8399999141693115</v>
      </c>
      <c r="G23" s="6">
        <v>2.690000057220459</v>
      </c>
      <c r="H23" s="6" t="e">
        <v>#N/A</v>
      </c>
      <c r="I23" s="6">
        <v>-0.54822396099347537</v>
      </c>
      <c r="J23" s="6">
        <v>0</v>
      </c>
      <c r="K23" s="6">
        <v>2.7777777777777803</v>
      </c>
      <c r="L23" t="s">
        <v>17</v>
      </c>
      <c r="M23" t="s">
        <v>18</v>
      </c>
      <c r="N23" s="4" t="s">
        <v>4805</v>
      </c>
      <c r="O23" s="4" t="s">
        <v>4806</v>
      </c>
      <c r="P23" s="4" t="s">
        <v>233</v>
      </c>
    </row>
    <row r="24" spans="1:16" x14ac:dyDescent="0.35">
      <c r="A24" t="s">
        <v>12905</v>
      </c>
      <c r="B24" t="s">
        <v>3721</v>
      </c>
      <c r="C24" t="s">
        <v>16</v>
      </c>
      <c r="D24" s="6">
        <v>460777784.29447937</v>
      </c>
      <c r="E24" s="6">
        <v>293914184.29447937</v>
      </c>
      <c r="F24" s="6">
        <v>12.409999847412109</v>
      </c>
      <c r="G24" s="6">
        <v>11.930000305175781</v>
      </c>
      <c r="H24" s="6" t="e">
        <v>#N/A</v>
      </c>
      <c r="I24" s="6">
        <v>-0.22238231158871047</v>
      </c>
      <c r="J24" s="6">
        <v>0</v>
      </c>
      <c r="K24" s="6">
        <v>4.3956043956043995</v>
      </c>
      <c r="L24" t="s">
        <v>17</v>
      </c>
      <c r="M24" t="s">
        <v>18</v>
      </c>
      <c r="N24" s="4" t="s">
        <v>3722</v>
      </c>
      <c r="O24" s="4" t="s">
        <v>3723</v>
      </c>
      <c r="P24" s="4" t="s">
        <v>233</v>
      </c>
    </row>
    <row r="25" spans="1:16" x14ac:dyDescent="0.35">
      <c r="A25" t="s">
        <v>10365</v>
      </c>
      <c r="B25" t="s">
        <v>4367</v>
      </c>
      <c r="C25" t="s">
        <v>16</v>
      </c>
      <c r="D25" s="6">
        <v>153933270.11675835</v>
      </c>
      <c r="E25" s="6">
        <v>-194052729.88324165</v>
      </c>
      <c r="F25" s="6">
        <v>2.1600000858306885</v>
      </c>
      <c r="G25" s="6">
        <v>2.0199999809265137</v>
      </c>
      <c r="H25" s="6" t="e">
        <v>#N/A</v>
      </c>
      <c r="I25" s="6">
        <v>-0.81131377250852799</v>
      </c>
      <c r="J25" s="6">
        <v>40560000</v>
      </c>
      <c r="K25" s="6">
        <v>45.879851622826983</v>
      </c>
      <c r="L25" t="s">
        <v>17</v>
      </c>
      <c r="M25" t="s">
        <v>18</v>
      </c>
      <c r="N25" s="4" t="s">
        <v>4368</v>
      </c>
      <c r="O25" s="4" t="s">
        <v>4369</v>
      </c>
      <c r="P25" s="4" t="s">
        <v>233</v>
      </c>
    </row>
    <row r="26" spans="1:16" x14ac:dyDescent="0.35">
      <c r="A26" t="s">
        <v>11134</v>
      </c>
      <c r="B26" t="s">
        <v>3442</v>
      </c>
      <c r="C26" t="s">
        <v>16</v>
      </c>
      <c r="D26" s="6">
        <v>241445094.28760147</v>
      </c>
      <c r="E26" s="6">
        <v>-58567905.712398589</v>
      </c>
      <c r="F26" s="6">
        <v>4.4200000762939453</v>
      </c>
      <c r="G26" s="6">
        <v>4.2399997711181641</v>
      </c>
      <c r="H26" s="6">
        <v>6.1953527514569524</v>
      </c>
      <c r="I26" s="6">
        <v>-0.4243572331529033</v>
      </c>
      <c r="J26" s="6">
        <v>163784000</v>
      </c>
      <c r="K26" s="6">
        <v>-44.776119402985067</v>
      </c>
      <c r="L26" t="s">
        <v>17</v>
      </c>
      <c r="M26" t="s">
        <v>18</v>
      </c>
      <c r="N26" s="4" t="s">
        <v>3443</v>
      </c>
      <c r="O26" s="4" t="s">
        <v>3444</v>
      </c>
      <c r="P26" s="4" t="s">
        <v>233</v>
      </c>
    </row>
    <row r="27" spans="1:16" x14ac:dyDescent="0.35">
      <c r="A27" t="s">
        <v>11350</v>
      </c>
      <c r="B27" t="s">
        <v>4140</v>
      </c>
      <c r="C27" t="s">
        <v>16</v>
      </c>
      <c r="D27" s="6">
        <v>3264722210.6259251</v>
      </c>
      <c r="E27" s="6">
        <v>2629495210.6259251</v>
      </c>
      <c r="F27" s="6">
        <v>19.219999313354492</v>
      </c>
      <c r="G27" s="6">
        <v>19.079999923706055</v>
      </c>
      <c r="H27" s="6" t="e">
        <v>#N/A</v>
      </c>
      <c r="I27" s="6">
        <v>-0.47522534266267735</v>
      </c>
      <c r="J27" s="6">
        <v>0</v>
      </c>
      <c r="K27" s="6">
        <v>-42.391304347826107</v>
      </c>
      <c r="L27" t="s">
        <v>17</v>
      </c>
      <c r="M27" t="s">
        <v>18</v>
      </c>
      <c r="N27" s="4" t="s">
        <v>4141</v>
      </c>
      <c r="O27" s="4" t="s">
        <v>4142</v>
      </c>
      <c r="P27" s="4" t="s">
        <v>233</v>
      </c>
    </row>
    <row r="28" spans="1:16" x14ac:dyDescent="0.35">
      <c r="A28" t="s">
        <v>10172</v>
      </c>
      <c r="B28" t="s">
        <v>5867</v>
      </c>
      <c r="C28" t="s">
        <v>16</v>
      </c>
      <c r="D28" s="6">
        <v>179474481.19496873</v>
      </c>
      <c r="E28" s="6">
        <v>193488481.19496873</v>
      </c>
      <c r="F28" s="6">
        <v>6.5199999809265137</v>
      </c>
      <c r="G28" s="6">
        <v>6.4499998092651367</v>
      </c>
      <c r="H28" s="6" t="e">
        <v>#N/A</v>
      </c>
      <c r="I28" s="6">
        <v>-0.35811952640463085</v>
      </c>
      <c r="J28" s="6">
        <v>49348000</v>
      </c>
      <c r="K28" s="6">
        <v>94.805194805194802</v>
      </c>
      <c r="L28" t="s">
        <v>17</v>
      </c>
      <c r="M28" t="s">
        <v>18</v>
      </c>
      <c r="N28" s="4" t="s">
        <v>5868</v>
      </c>
      <c r="O28" s="4" t="s">
        <v>10173</v>
      </c>
      <c r="P28" s="4" t="s">
        <v>233</v>
      </c>
    </row>
    <row r="29" spans="1:16" x14ac:dyDescent="0.35">
      <c r="A29" t="s">
        <v>12389</v>
      </c>
      <c r="B29" t="s">
        <v>3040</v>
      </c>
      <c r="C29" t="s">
        <v>16</v>
      </c>
      <c r="D29" s="6">
        <v>114022538.73498344</v>
      </c>
      <c r="E29" s="6">
        <v>117623188.73498344</v>
      </c>
      <c r="F29" s="6">
        <v>0.71840000152587891</v>
      </c>
      <c r="G29" s="6">
        <v>0.72619998455047607</v>
      </c>
      <c r="H29" s="6" t="e">
        <v>#N/A</v>
      </c>
      <c r="I29" s="6">
        <v>-0.78528737851526342</v>
      </c>
      <c r="J29" s="6">
        <v>0</v>
      </c>
      <c r="K29" s="6">
        <v>-21.887613032869268</v>
      </c>
      <c r="L29" t="s">
        <v>17</v>
      </c>
      <c r="M29" t="s">
        <v>18</v>
      </c>
      <c r="N29" s="4" t="s">
        <v>3041</v>
      </c>
      <c r="O29" s="4" t="s">
        <v>3042</v>
      </c>
      <c r="P29" s="4" t="s">
        <v>233</v>
      </c>
    </row>
    <row r="30" spans="1:16" x14ac:dyDescent="0.35">
      <c r="A30" t="s">
        <v>11260</v>
      </c>
      <c r="B30" t="s">
        <v>5002</v>
      </c>
      <c r="C30" t="s">
        <v>16</v>
      </c>
      <c r="D30" s="6">
        <v>339251718.56174475</v>
      </c>
      <c r="E30" s="6">
        <v>57617718.561744809</v>
      </c>
      <c r="F30" s="6">
        <v>13.229999542236328</v>
      </c>
      <c r="G30" s="6">
        <v>12.659999847412109</v>
      </c>
      <c r="H30" s="6" t="e">
        <v>#N/A</v>
      </c>
      <c r="I30" s="6">
        <v>-0.64353997931613116</v>
      </c>
      <c r="J30" s="6">
        <v>0</v>
      </c>
      <c r="K30" s="6">
        <v>99.078310890312466</v>
      </c>
      <c r="L30" t="s">
        <v>17</v>
      </c>
      <c r="M30" t="s">
        <v>18</v>
      </c>
      <c r="N30" s="4" t="s">
        <v>5003</v>
      </c>
      <c r="O30" s="4" t="s">
        <v>5004</v>
      </c>
      <c r="P30" s="4" t="s">
        <v>233</v>
      </c>
    </row>
    <row r="31" spans="1:16" x14ac:dyDescent="0.35">
      <c r="A31" t="s">
        <v>7636</v>
      </c>
      <c r="B31" t="s">
        <v>3991</v>
      </c>
      <c r="C31" t="s">
        <v>16</v>
      </c>
      <c r="D31" s="6">
        <v>265599212.99144554</v>
      </c>
      <c r="E31" s="6">
        <v>198552212.99144554</v>
      </c>
      <c r="F31" s="6">
        <v>5.929999828338623</v>
      </c>
      <c r="G31" s="6">
        <v>5.6700000762939453</v>
      </c>
      <c r="H31" s="6" t="e">
        <v>#N/A</v>
      </c>
      <c r="I31" s="6">
        <v>-0.58604827778729685</v>
      </c>
      <c r="J31" s="6">
        <v>84553000</v>
      </c>
      <c r="K31" s="6">
        <v>-21.757364629485586</v>
      </c>
      <c r="L31" t="s">
        <v>17</v>
      </c>
      <c r="M31" t="s">
        <v>18</v>
      </c>
      <c r="N31" s="4" t="s">
        <v>3992</v>
      </c>
      <c r="O31" s="4" t="s">
        <v>3993</v>
      </c>
      <c r="P31" s="4" t="s">
        <v>233</v>
      </c>
    </row>
    <row r="32" spans="1:16" x14ac:dyDescent="0.35">
      <c r="A32" t="s">
        <v>9227</v>
      </c>
      <c r="B32" t="s">
        <v>5753</v>
      </c>
      <c r="C32" t="s">
        <v>16</v>
      </c>
      <c r="D32" s="6">
        <v>71186438.037414551</v>
      </c>
      <c r="E32" s="6">
        <v>49453438.037414551</v>
      </c>
      <c r="F32" s="6">
        <v>1.4800000190734863</v>
      </c>
      <c r="G32" s="6">
        <v>1.440000057220459</v>
      </c>
      <c r="H32" s="6" t="e">
        <v>#N/A</v>
      </c>
      <c r="I32" s="6">
        <v>-0.82687680633216476</v>
      </c>
      <c r="J32" s="6">
        <v>97000</v>
      </c>
      <c r="K32" s="6">
        <v>67.659348676792476</v>
      </c>
      <c r="L32" t="s">
        <v>17</v>
      </c>
      <c r="M32" t="s">
        <v>27</v>
      </c>
      <c r="N32" s="4" t="s">
        <v>5754</v>
      </c>
      <c r="O32" s="4" t="s">
        <v>5755</v>
      </c>
      <c r="P32" s="4" t="s">
        <v>233</v>
      </c>
    </row>
    <row r="33" spans="1:16" x14ac:dyDescent="0.35">
      <c r="A33" t="s">
        <v>6537</v>
      </c>
      <c r="B33" t="s">
        <v>995</v>
      </c>
      <c r="C33" t="s">
        <v>16</v>
      </c>
      <c r="D33" s="6">
        <v>2707507088.1984096</v>
      </c>
      <c r="E33" s="6">
        <v>2268458088.1984096</v>
      </c>
      <c r="F33" s="6">
        <v>22.700000762939453</v>
      </c>
      <c r="G33" s="6">
        <v>22.399999618530273</v>
      </c>
      <c r="H33" s="6">
        <v>19.237288782152081</v>
      </c>
      <c r="I33" s="6">
        <v>0.66190845937601428</v>
      </c>
      <c r="J33" s="6">
        <v>460482000</v>
      </c>
      <c r="K33" s="6">
        <v>111.86440677966098</v>
      </c>
      <c r="L33" t="s">
        <v>17</v>
      </c>
      <c r="M33" t="s">
        <v>18</v>
      </c>
      <c r="N33" s="4" t="s">
        <v>996</v>
      </c>
      <c r="O33" s="4" t="s">
        <v>997</v>
      </c>
      <c r="P33" s="4" t="s">
        <v>233</v>
      </c>
    </row>
    <row r="34" spans="1:16" x14ac:dyDescent="0.35">
      <c r="A34" t="s">
        <v>11872</v>
      </c>
      <c r="B34" t="s">
        <v>3109</v>
      </c>
      <c r="C34" t="s">
        <v>16</v>
      </c>
      <c r="D34" s="6">
        <v>2166650958</v>
      </c>
      <c r="E34" s="6">
        <v>1884958958</v>
      </c>
      <c r="F34" s="6">
        <v>50.25</v>
      </c>
      <c r="G34" s="6">
        <v>48.5</v>
      </c>
      <c r="H34" s="6" t="e">
        <v>#N/A</v>
      </c>
      <c r="I34" s="6">
        <v>4.6526547931087459E-2</v>
      </c>
      <c r="J34" s="6">
        <v>0</v>
      </c>
      <c r="K34" s="6">
        <v>-2.9782919254658249</v>
      </c>
      <c r="L34" t="s">
        <v>17</v>
      </c>
      <c r="M34" t="s">
        <v>18</v>
      </c>
      <c r="N34" s="4" t="s">
        <v>3110</v>
      </c>
      <c r="O34" s="4" t="s">
        <v>3111</v>
      </c>
      <c r="P34" s="4" t="s">
        <v>233</v>
      </c>
    </row>
    <row r="35" spans="1:16" x14ac:dyDescent="0.35">
      <c r="A35" t="s">
        <v>9831</v>
      </c>
      <c r="B35" t="s">
        <v>2812</v>
      </c>
      <c r="C35" t="s">
        <v>16</v>
      </c>
      <c r="D35" s="6">
        <v>125008710.6882019</v>
      </c>
      <c r="E35" s="6">
        <v>-32873289.311798126</v>
      </c>
      <c r="F35" s="6">
        <v>5.8600001335144043</v>
      </c>
      <c r="G35" s="6">
        <v>5.4499998092651367</v>
      </c>
      <c r="H35" s="6" t="e">
        <v>#N/A</v>
      </c>
      <c r="I35" s="6">
        <v>-0.5237694609380894</v>
      </c>
      <c r="J35" s="6">
        <v>66591000</v>
      </c>
      <c r="K35" s="6">
        <v>24.542682926829272</v>
      </c>
      <c r="L35" t="s">
        <v>17</v>
      </c>
      <c r="M35" t="s">
        <v>18</v>
      </c>
      <c r="N35" s="4" t="s">
        <v>2813</v>
      </c>
      <c r="O35" s="4" t="s">
        <v>2814</v>
      </c>
      <c r="P35" s="4" t="s">
        <v>233</v>
      </c>
    </row>
    <row r="36" spans="1:16" x14ac:dyDescent="0.35">
      <c r="A36" t="s">
        <v>7030</v>
      </c>
      <c r="B36" t="s">
        <v>5025</v>
      </c>
      <c r="C36" t="s">
        <v>16</v>
      </c>
      <c r="D36" s="6">
        <v>1223265557.7609425</v>
      </c>
      <c r="E36" s="6">
        <v>667497557.76094246</v>
      </c>
      <c r="F36" s="6">
        <v>12.130000114440918</v>
      </c>
      <c r="G36" s="6">
        <v>11.689999580383301</v>
      </c>
      <c r="H36" s="6" t="e">
        <v>#N/A</v>
      </c>
      <c r="I36" s="6">
        <v>-0.22733455089969778</v>
      </c>
      <c r="J36" s="6" t="e">
        <v>#N/A</v>
      </c>
      <c r="K36" s="6">
        <v>55.535467158878291</v>
      </c>
      <c r="L36" t="s">
        <v>17</v>
      </c>
      <c r="M36" t="s">
        <v>18</v>
      </c>
      <c r="N36" s="4" t="s">
        <v>5026</v>
      </c>
      <c r="O36" s="4" t="s">
        <v>5027</v>
      </c>
      <c r="P36" s="4" t="s">
        <v>233</v>
      </c>
    </row>
    <row r="37" spans="1:16" x14ac:dyDescent="0.35">
      <c r="A37" t="s">
        <v>8222</v>
      </c>
      <c r="B37" t="s">
        <v>3119</v>
      </c>
      <c r="C37" t="s">
        <v>16</v>
      </c>
      <c r="D37" s="6">
        <v>440203571.13875198</v>
      </c>
      <c r="E37" s="6" t="e">
        <v>#N/A</v>
      </c>
      <c r="F37" s="6">
        <v>7.1599998474121094</v>
      </c>
      <c r="G37" s="6">
        <v>7.119999885559082</v>
      </c>
      <c r="H37" s="6" t="e">
        <v>#N/A</v>
      </c>
      <c r="I37" s="6">
        <v>-0.69854966085857439</v>
      </c>
      <c r="J37" s="6">
        <v>41243000</v>
      </c>
      <c r="K37" s="6">
        <v>27.182320441988956</v>
      </c>
      <c r="L37" t="s">
        <v>17</v>
      </c>
      <c r="M37" t="s">
        <v>18</v>
      </c>
      <c r="N37" s="4" t="s">
        <v>3120</v>
      </c>
      <c r="O37" s="4" t="s">
        <v>3121</v>
      </c>
      <c r="P37" s="4" t="s">
        <v>233</v>
      </c>
    </row>
    <row r="38" spans="1:16" x14ac:dyDescent="0.35">
      <c r="A38" t="s">
        <v>8968</v>
      </c>
      <c r="B38" t="s">
        <v>4994</v>
      </c>
      <c r="C38" t="s">
        <v>16</v>
      </c>
      <c r="D38" s="6">
        <v>67735991.710025311</v>
      </c>
      <c r="E38" s="6">
        <v>-54007008.289974689</v>
      </c>
      <c r="F38" s="6">
        <v>1.5199999809265137</v>
      </c>
      <c r="G38" s="6">
        <v>1.5199999809265137</v>
      </c>
      <c r="H38" s="6" t="e">
        <v>#N/A</v>
      </c>
      <c r="I38" s="6">
        <v>-0.7506870061008295</v>
      </c>
      <c r="J38" s="6">
        <v>19943000</v>
      </c>
      <c r="K38" s="6">
        <v>43.548387096774192</v>
      </c>
      <c r="L38" t="s">
        <v>17</v>
      </c>
      <c r="M38" t="s">
        <v>18</v>
      </c>
      <c r="N38" s="4" t="s">
        <v>4995</v>
      </c>
      <c r="O38" s="4" t="s">
        <v>4996</v>
      </c>
      <c r="P38" s="4" t="s">
        <v>233</v>
      </c>
    </row>
    <row r="39" spans="1:16" x14ac:dyDescent="0.35">
      <c r="A39" t="s">
        <v>10475</v>
      </c>
      <c r="B39" t="s">
        <v>3428</v>
      </c>
      <c r="C39" t="s">
        <v>16</v>
      </c>
      <c r="D39" s="6">
        <v>2312264735.3862572</v>
      </c>
      <c r="E39" s="6">
        <v>1373510735.3862572</v>
      </c>
      <c r="F39" s="6">
        <v>21.370000839233398</v>
      </c>
      <c r="G39" s="6">
        <v>20.850000381469727</v>
      </c>
      <c r="H39" s="6" t="e">
        <v>#N/A</v>
      </c>
      <c r="I39" s="6">
        <v>0.32630270664696681</v>
      </c>
      <c r="J39" s="6">
        <v>577738000</v>
      </c>
      <c r="K39" s="6">
        <v>24.73118279569891</v>
      </c>
      <c r="L39" t="s">
        <v>17</v>
      </c>
      <c r="M39" t="s">
        <v>27</v>
      </c>
      <c r="N39" s="4" t="s">
        <v>233</v>
      </c>
      <c r="O39" s="4" t="s">
        <v>3429</v>
      </c>
      <c r="P39" s="4" t="s">
        <v>13081</v>
      </c>
    </row>
    <row r="40" spans="1:16" x14ac:dyDescent="0.35">
      <c r="A40" t="s">
        <v>11970</v>
      </c>
      <c r="B40" t="s">
        <v>5768</v>
      </c>
      <c r="C40" t="s">
        <v>16</v>
      </c>
      <c r="D40" s="6">
        <v>49060095.663348913</v>
      </c>
      <c r="E40" s="6">
        <v>-117953904.33665106</v>
      </c>
      <c r="F40" s="6">
        <v>2.2000000476837158</v>
      </c>
      <c r="G40" s="6">
        <v>2.2100000381469727</v>
      </c>
      <c r="H40" s="6" t="e">
        <v>#N/A</v>
      </c>
      <c r="I40" s="6">
        <v>-0.88049420621801566</v>
      </c>
      <c r="J40" s="6" t="e">
        <v>#N/A</v>
      </c>
      <c r="K40" s="6" t="e">
        <v>#N/A</v>
      </c>
      <c r="L40" t="s">
        <v>17</v>
      </c>
      <c r="M40" t="s">
        <v>18</v>
      </c>
      <c r="N40" s="4" t="s">
        <v>5769</v>
      </c>
      <c r="O40" s="4" t="s">
        <v>5770</v>
      </c>
      <c r="P40" s="4" t="s">
        <v>233</v>
      </c>
    </row>
    <row r="41" spans="1:16" x14ac:dyDescent="0.35">
      <c r="A41" t="s">
        <v>9349</v>
      </c>
      <c r="B41" t="s">
        <v>603</v>
      </c>
      <c r="C41" t="s">
        <v>16</v>
      </c>
      <c r="D41" s="6">
        <v>2104755586.9371796</v>
      </c>
      <c r="E41" s="6">
        <v>1892469586.9371796</v>
      </c>
      <c r="F41" s="6">
        <v>111.38999938964844</v>
      </c>
      <c r="G41" s="6">
        <v>110.80999755859375</v>
      </c>
      <c r="H41" s="6">
        <v>27.233180568444283</v>
      </c>
      <c r="I41" s="6">
        <v>0.47107700298438981</v>
      </c>
      <c r="J41" s="6">
        <v>152422000</v>
      </c>
      <c r="K41" s="6">
        <v>112.09677419354837</v>
      </c>
      <c r="L41" t="s">
        <v>17</v>
      </c>
      <c r="M41" t="s">
        <v>87</v>
      </c>
      <c r="N41" s="4" t="s">
        <v>604</v>
      </c>
      <c r="O41" s="4" t="s">
        <v>605</v>
      </c>
      <c r="P41" s="4" t="s">
        <v>233</v>
      </c>
    </row>
    <row r="42" spans="1:16" x14ac:dyDescent="0.35">
      <c r="A42" t="s">
        <v>6557</v>
      </c>
      <c r="B42" t="s">
        <v>4270</v>
      </c>
      <c r="C42" t="s">
        <v>16</v>
      </c>
      <c r="D42" s="6">
        <v>374708038.224195</v>
      </c>
      <c r="E42" s="6">
        <v>236633038.224195</v>
      </c>
      <c r="F42" s="6">
        <v>5.4800000190734863</v>
      </c>
      <c r="G42" s="6">
        <v>5.3000001907348633</v>
      </c>
      <c r="H42" s="6" t="e">
        <v>#N/A</v>
      </c>
      <c r="I42" s="6">
        <v>-0.14604814618174355</v>
      </c>
      <c r="J42" s="6">
        <v>26270000</v>
      </c>
      <c r="K42" s="6">
        <v>-48.952879581151805</v>
      </c>
      <c r="L42" t="s">
        <v>17</v>
      </c>
      <c r="M42" t="s">
        <v>87</v>
      </c>
      <c r="N42" s="4" t="s">
        <v>4271</v>
      </c>
      <c r="O42" s="4" t="s">
        <v>4272</v>
      </c>
      <c r="P42" s="4" t="s">
        <v>233</v>
      </c>
    </row>
    <row r="43" spans="1:16" x14ac:dyDescent="0.35">
      <c r="A43" t="s">
        <v>6558</v>
      </c>
      <c r="B43" t="s">
        <v>4262</v>
      </c>
      <c r="C43" t="s">
        <v>16</v>
      </c>
      <c r="D43" s="6">
        <v>124797219.27980566</v>
      </c>
      <c r="E43" s="6">
        <v>-42990780.72019434</v>
      </c>
      <c r="F43" s="6">
        <v>2.4800000190734863</v>
      </c>
      <c r="G43" s="6">
        <v>2.3599998950958252</v>
      </c>
      <c r="H43" s="6" t="e">
        <v>#N/A</v>
      </c>
      <c r="I43" s="6">
        <v>-0.90017175254640935</v>
      </c>
      <c r="J43" s="6" t="e">
        <v>#N/A</v>
      </c>
      <c r="K43" s="6">
        <v>-7.4490691412270671</v>
      </c>
      <c r="L43" t="s">
        <v>17</v>
      </c>
      <c r="M43" t="s">
        <v>18</v>
      </c>
      <c r="N43" s="4" t="s">
        <v>4263</v>
      </c>
      <c r="O43" s="4" t="s">
        <v>4264</v>
      </c>
      <c r="P43" s="4" t="s">
        <v>233</v>
      </c>
    </row>
    <row r="44" spans="1:16" x14ac:dyDescent="0.35">
      <c r="A44" t="s">
        <v>11618</v>
      </c>
      <c r="B44" t="s">
        <v>2397</v>
      </c>
      <c r="C44" t="s">
        <v>16</v>
      </c>
      <c r="D44" s="6">
        <v>113142921.02812767</v>
      </c>
      <c r="E44" s="6">
        <v>80076921.02812767</v>
      </c>
      <c r="F44" s="6">
        <v>3.2899999618530273</v>
      </c>
      <c r="G44" s="6">
        <v>3.309999942779541</v>
      </c>
      <c r="H44" s="6" t="e">
        <v>#N/A</v>
      </c>
      <c r="I44" s="6">
        <v>-0.29482867569310411</v>
      </c>
      <c r="J44" s="6">
        <v>0</v>
      </c>
      <c r="K44" s="6">
        <v>46.190476190476197</v>
      </c>
      <c r="L44" t="s">
        <v>17</v>
      </c>
      <c r="M44" t="s">
        <v>18</v>
      </c>
      <c r="N44" s="4" t="s">
        <v>2398</v>
      </c>
      <c r="O44" s="4" t="s">
        <v>2399</v>
      </c>
      <c r="P44" s="4" t="s">
        <v>233</v>
      </c>
    </row>
    <row r="45" spans="1:16" x14ac:dyDescent="0.35">
      <c r="A45" t="s">
        <v>13471</v>
      </c>
      <c r="B45" t="s">
        <v>4363</v>
      </c>
      <c r="C45" t="s">
        <v>16</v>
      </c>
      <c r="D45" s="6">
        <v>12862428.050488474</v>
      </c>
      <c r="E45" s="6">
        <v>-3439571.9495115336</v>
      </c>
      <c r="F45" s="6">
        <v>0.19650000333786011</v>
      </c>
      <c r="G45" s="6">
        <v>0.19460000097751617</v>
      </c>
      <c r="H45" s="6" t="e">
        <v>#N/A</v>
      </c>
      <c r="I45" s="6">
        <v>-0.95929546491873419</v>
      </c>
      <c r="J45" s="6">
        <v>1471000</v>
      </c>
      <c r="K45" s="6">
        <v>4.191204874196834</v>
      </c>
      <c r="L45" t="s">
        <v>17</v>
      </c>
      <c r="M45" t="s">
        <v>87</v>
      </c>
      <c r="N45" s="4" t="s">
        <v>4364</v>
      </c>
      <c r="O45" s="4" t="s">
        <v>4365</v>
      </c>
      <c r="P45" s="4" t="s">
        <v>233</v>
      </c>
    </row>
    <row r="46" spans="1:16" x14ac:dyDescent="0.35">
      <c r="A46" t="s">
        <v>9108</v>
      </c>
      <c r="B46" t="s">
        <v>5734</v>
      </c>
      <c r="C46" t="s">
        <v>16</v>
      </c>
      <c r="D46" s="6">
        <v>2129060024</v>
      </c>
      <c r="E46" s="6">
        <v>1588646024</v>
      </c>
      <c r="F46" s="6">
        <v>28</v>
      </c>
      <c r="G46" s="6">
        <v>27.090000152587891</v>
      </c>
      <c r="H46" s="6" t="e">
        <v>#N/A</v>
      </c>
      <c r="I46" s="6">
        <v>-0.35907303389627732</v>
      </c>
      <c r="J46" s="6">
        <v>684000</v>
      </c>
      <c r="K46" s="6">
        <v>9.7724852672221019</v>
      </c>
      <c r="L46" t="s">
        <v>17</v>
      </c>
      <c r="M46" t="s">
        <v>18</v>
      </c>
      <c r="N46" s="4" t="s">
        <v>5735</v>
      </c>
      <c r="O46" s="4" t="s">
        <v>5736</v>
      </c>
      <c r="P46" s="4" t="s">
        <v>233</v>
      </c>
    </row>
    <row r="47" spans="1:16" x14ac:dyDescent="0.35">
      <c r="A47" t="s">
        <v>8195</v>
      </c>
      <c r="B47" t="s">
        <v>4654</v>
      </c>
      <c r="C47" t="s">
        <v>16</v>
      </c>
      <c r="D47" s="6">
        <v>2000415264.5655975</v>
      </c>
      <c r="E47" s="6">
        <v>1755171264.5655975</v>
      </c>
      <c r="F47" s="6">
        <v>52.330001831054688</v>
      </c>
      <c r="G47" s="6">
        <v>50.650001525878906</v>
      </c>
      <c r="H47" s="6" t="e">
        <v>#N/A</v>
      </c>
      <c r="I47" s="6">
        <v>0.6954692750184881</v>
      </c>
      <c r="J47" s="6">
        <v>129621000</v>
      </c>
      <c r="K47" s="6">
        <v>2.1262015610522815</v>
      </c>
      <c r="L47" t="s">
        <v>17</v>
      </c>
      <c r="M47" t="s">
        <v>87</v>
      </c>
      <c r="N47" s="4" t="s">
        <v>4655</v>
      </c>
      <c r="O47" s="4" t="s">
        <v>4656</v>
      </c>
      <c r="P47" s="4" t="s">
        <v>233</v>
      </c>
    </row>
    <row r="48" spans="1:16" x14ac:dyDescent="0.35">
      <c r="A48" t="s">
        <v>10342</v>
      </c>
      <c r="B48" t="s">
        <v>3494</v>
      </c>
      <c r="C48" t="s">
        <v>16</v>
      </c>
      <c r="D48" s="6">
        <v>55709891.765339613</v>
      </c>
      <c r="E48" s="6">
        <v>70520182.765339613</v>
      </c>
      <c r="F48" s="6">
        <v>1.7400000095367432</v>
      </c>
      <c r="G48" s="6">
        <v>1.6499999761581421</v>
      </c>
      <c r="H48" s="6" t="e">
        <v>#N/A</v>
      </c>
      <c r="I48" s="6">
        <v>-0.80017225422807015</v>
      </c>
      <c r="J48" s="6">
        <v>0</v>
      </c>
      <c r="K48" s="6">
        <v>15.416666666666673</v>
      </c>
      <c r="L48" t="s">
        <v>17</v>
      </c>
      <c r="M48" t="s">
        <v>18</v>
      </c>
      <c r="N48" s="4" t="s">
        <v>3495</v>
      </c>
      <c r="O48" s="4" t="s">
        <v>3496</v>
      </c>
      <c r="P48" s="4" t="s">
        <v>233</v>
      </c>
    </row>
    <row r="49" spans="1:16" x14ac:dyDescent="0.35">
      <c r="A49" t="s">
        <v>9441</v>
      </c>
      <c r="B49" t="s">
        <v>4010</v>
      </c>
      <c r="C49" t="s">
        <v>16</v>
      </c>
      <c r="D49" s="6">
        <v>5606908424.5305634</v>
      </c>
      <c r="E49" s="6">
        <v>5947254424.5305634</v>
      </c>
      <c r="F49" s="6">
        <v>45.380001068115234</v>
      </c>
      <c r="G49" s="6">
        <v>42.5</v>
      </c>
      <c r="H49" s="6" t="e">
        <v>#N/A</v>
      </c>
      <c r="I49" s="6">
        <v>0.94993760428125196</v>
      </c>
      <c r="J49" s="6">
        <v>692256000</v>
      </c>
      <c r="K49" s="6">
        <v>-4.4334975369458052</v>
      </c>
      <c r="L49" t="s">
        <v>17</v>
      </c>
      <c r="M49" t="s">
        <v>40</v>
      </c>
      <c r="N49" s="4" t="s">
        <v>4011</v>
      </c>
      <c r="O49" s="4" t="s">
        <v>4012</v>
      </c>
      <c r="P49" s="4" t="s">
        <v>233</v>
      </c>
    </row>
    <row r="50" spans="1:16" x14ac:dyDescent="0.35">
      <c r="A50" t="s">
        <v>9370</v>
      </c>
      <c r="B50" t="s">
        <v>2939</v>
      </c>
      <c r="C50" t="s">
        <v>16</v>
      </c>
      <c r="D50" s="6">
        <v>3129435101.7985344</v>
      </c>
      <c r="E50" s="6">
        <v>2875050101.7985344</v>
      </c>
      <c r="F50" s="6">
        <v>40.380001068115234</v>
      </c>
      <c r="G50" s="6">
        <v>40.009998321533203</v>
      </c>
      <c r="H50" s="6">
        <v>70.079227129433505</v>
      </c>
      <c r="I50" s="6">
        <v>0.52087639325873281</v>
      </c>
      <c r="J50" s="6">
        <v>425331000</v>
      </c>
      <c r="K50" s="6">
        <v>79.710144927536234</v>
      </c>
      <c r="L50" t="s">
        <v>17</v>
      </c>
      <c r="M50" t="s">
        <v>18</v>
      </c>
      <c r="N50" s="4" t="s">
        <v>2940</v>
      </c>
      <c r="O50" s="4" t="s">
        <v>2941</v>
      </c>
      <c r="P50" s="4" t="s">
        <v>233</v>
      </c>
    </row>
    <row r="51" spans="1:16" x14ac:dyDescent="0.35">
      <c r="A51" t="s">
        <v>10356</v>
      </c>
      <c r="B51" t="s">
        <v>3999</v>
      </c>
      <c r="C51" t="s">
        <v>16</v>
      </c>
      <c r="D51" s="6">
        <v>1234455065.1187706</v>
      </c>
      <c r="E51" s="6">
        <v>204755065.1187706</v>
      </c>
      <c r="F51" s="6">
        <v>17.950000762939453</v>
      </c>
      <c r="G51" s="6">
        <v>17.510000228881836</v>
      </c>
      <c r="H51" s="6" t="e">
        <v>#N/A</v>
      </c>
      <c r="I51" s="6">
        <v>-0.64827158331245649</v>
      </c>
      <c r="J51" s="6">
        <v>263399999.99999997</v>
      </c>
      <c r="K51" s="6">
        <v>58.157099697885194</v>
      </c>
      <c r="L51" t="s">
        <v>17</v>
      </c>
      <c r="M51" t="s">
        <v>87</v>
      </c>
      <c r="N51" s="4" t="s">
        <v>4000</v>
      </c>
      <c r="O51" s="4" t="s">
        <v>4001</v>
      </c>
      <c r="P51" s="4" t="s">
        <v>233</v>
      </c>
    </row>
    <row r="52" spans="1:16" x14ac:dyDescent="0.35">
      <c r="A52" t="s">
        <v>12542</v>
      </c>
      <c r="B52" t="s">
        <v>3055</v>
      </c>
      <c r="C52" t="s">
        <v>16</v>
      </c>
      <c r="D52" s="6">
        <v>1383846635.6989229</v>
      </c>
      <c r="E52" s="6">
        <v>779826635.69892287</v>
      </c>
      <c r="F52" s="6">
        <v>17.469999313354492</v>
      </c>
      <c r="G52" s="6">
        <v>17.430000305175781</v>
      </c>
      <c r="H52" s="6" t="e">
        <v>#N/A</v>
      </c>
      <c r="I52" s="6">
        <v>-0.11200782529144271</v>
      </c>
      <c r="J52" s="6">
        <v>302000</v>
      </c>
      <c r="K52" s="6">
        <v>15.490196078431371</v>
      </c>
      <c r="L52" t="s">
        <v>17</v>
      </c>
      <c r="M52" t="s">
        <v>18</v>
      </c>
      <c r="N52" s="4" t="s">
        <v>3056</v>
      </c>
      <c r="O52" s="4" t="s">
        <v>3057</v>
      </c>
      <c r="P52" s="4" t="s">
        <v>233</v>
      </c>
    </row>
    <row r="53" spans="1:16" x14ac:dyDescent="0.35">
      <c r="A53" t="s">
        <v>10636</v>
      </c>
      <c r="B53" t="s">
        <v>4266</v>
      </c>
      <c r="C53" t="s">
        <v>16</v>
      </c>
      <c r="D53" s="6">
        <v>226640901.25072953</v>
      </c>
      <c r="E53" s="6">
        <v>-299196098.74927056</v>
      </c>
      <c r="F53" s="6">
        <v>4.5500001907348633</v>
      </c>
      <c r="G53" s="6">
        <v>4.570000171661377</v>
      </c>
      <c r="H53" s="6" t="e">
        <v>#N/A</v>
      </c>
      <c r="I53" s="6">
        <v>-0.83581405392944308</v>
      </c>
      <c r="J53" s="6" t="e">
        <v>#N/A</v>
      </c>
      <c r="K53" s="6">
        <v>-3.4315391512942282</v>
      </c>
      <c r="L53" t="s">
        <v>17</v>
      </c>
      <c r="M53" t="s">
        <v>18</v>
      </c>
      <c r="N53" s="4" t="s">
        <v>4267</v>
      </c>
      <c r="O53" s="4" t="s">
        <v>4268</v>
      </c>
      <c r="P53" s="4" t="s">
        <v>233</v>
      </c>
    </row>
    <row r="54" spans="1:16" x14ac:dyDescent="0.35">
      <c r="A54" t="s">
        <v>9458</v>
      </c>
      <c r="B54" t="s">
        <v>4014</v>
      </c>
      <c r="C54" t="s">
        <v>16</v>
      </c>
      <c r="D54" s="6">
        <v>262592620.21537399</v>
      </c>
      <c r="E54" s="6">
        <v>138163620.21537399</v>
      </c>
      <c r="F54" s="6">
        <v>4.9899997711181641</v>
      </c>
      <c r="G54" s="6">
        <v>5.119999885559082</v>
      </c>
      <c r="H54" s="6" t="e">
        <v>#N/A</v>
      </c>
      <c r="I54" s="6">
        <v>-7.7430371429919709E-2</v>
      </c>
      <c r="J54" s="6">
        <v>0</v>
      </c>
      <c r="K54" s="6">
        <v>29.536679536679532</v>
      </c>
      <c r="L54" t="s">
        <v>17</v>
      </c>
      <c r="M54" t="s">
        <v>18</v>
      </c>
      <c r="N54" s="4" t="s">
        <v>4015</v>
      </c>
      <c r="O54" s="4" t="s">
        <v>4016</v>
      </c>
      <c r="P54" s="4" t="s">
        <v>233</v>
      </c>
    </row>
    <row r="55" spans="1:16" x14ac:dyDescent="0.35">
      <c r="A55" t="s">
        <v>7371</v>
      </c>
      <c r="B55" t="s">
        <v>5089</v>
      </c>
      <c r="C55" t="s">
        <v>16</v>
      </c>
      <c r="D55" s="6">
        <v>449051787.45664501</v>
      </c>
      <c r="E55" s="6">
        <v>1471975787.456645</v>
      </c>
      <c r="F55" s="6">
        <v>1.5399999618530273</v>
      </c>
      <c r="G55" s="6">
        <v>1.5499999523162842</v>
      </c>
      <c r="H55" s="6" t="e">
        <v>#N/A</v>
      </c>
      <c r="I55" s="6">
        <v>0.16617536848043502</v>
      </c>
      <c r="J55" s="6">
        <v>0</v>
      </c>
      <c r="K55" s="6">
        <v>5.7011864406779527</v>
      </c>
      <c r="L55" t="s">
        <v>17</v>
      </c>
      <c r="M55" t="s">
        <v>18</v>
      </c>
      <c r="N55" s="4" t="s">
        <v>233</v>
      </c>
      <c r="O55" s="4" t="s">
        <v>5090</v>
      </c>
      <c r="P55" s="4" t="s">
        <v>13082</v>
      </c>
    </row>
    <row r="56" spans="1:16" x14ac:dyDescent="0.35">
      <c r="A56" t="s">
        <v>8814</v>
      </c>
      <c r="B56" t="s">
        <v>3936</v>
      </c>
      <c r="C56" t="s">
        <v>16</v>
      </c>
      <c r="D56" s="6">
        <v>3265291761.7661667</v>
      </c>
      <c r="E56" s="6">
        <v>2455162761.7661667</v>
      </c>
      <c r="F56" s="6">
        <v>35.209999084472656</v>
      </c>
      <c r="G56" s="6">
        <v>34.069999694824219</v>
      </c>
      <c r="H56" s="6" t="e">
        <v>#N/A</v>
      </c>
      <c r="I56" s="6">
        <v>-0.10380221999629979</v>
      </c>
      <c r="J56" s="6">
        <v>1039000</v>
      </c>
      <c r="K56" s="6">
        <v>-2.4725274725274811</v>
      </c>
      <c r="L56" t="s">
        <v>17</v>
      </c>
      <c r="M56" t="s">
        <v>18</v>
      </c>
      <c r="N56" s="4" t="s">
        <v>3937</v>
      </c>
      <c r="O56" s="4" t="s">
        <v>3938</v>
      </c>
      <c r="P56" s="4" t="s">
        <v>233</v>
      </c>
    </row>
    <row r="57" spans="1:16" x14ac:dyDescent="0.35">
      <c r="A57" t="s">
        <v>7376</v>
      </c>
      <c r="B57" t="s">
        <v>5111</v>
      </c>
      <c r="C57" t="s">
        <v>16</v>
      </c>
      <c r="D57" s="6">
        <v>70742558.226844072</v>
      </c>
      <c r="E57" s="6">
        <v>-51021441.773155928</v>
      </c>
      <c r="F57" s="6">
        <v>2.4500000476837158</v>
      </c>
      <c r="G57" s="6">
        <v>2.4600000381469727</v>
      </c>
      <c r="H57" s="6" t="e">
        <v>#N/A</v>
      </c>
      <c r="I57" s="6">
        <v>-0.87920447253028355</v>
      </c>
      <c r="J57" s="6">
        <v>0</v>
      </c>
      <c r="K57" s="6">
        <v>-36.666666666666664</v>
      </c>
      <c r="L57" t="s">
        <v>17</v>
      </c>
      <c r="M57" t="s">
        <v>18</v>
      </c>
      <c r="N57" s="4" t="s">
        <v>5112</v>
      </c>
      <c r="O57" s="4" t="s">
        <v>5113</v>
      </c>
      <c r="P57" s="4" t="s">
        <v>233</v>
      </c>
    </row>
    <row r="58" spans="1:16" x14ac:dyDescent="0.35">
      <c r="A58" t="s">
        <v>11722</v>
      </c>
      <c r="B58" t="s">
        <v>4606</v>
      </c>
      <c r="C58" t="s">
        <v>16</v>
      </c>
      <c r="D58" s="6">
        <v>279717195.36406326</v>
      </c>
      <c r="E58" s="6">
        <v>97198195.364063263</v>
      </c>
      <c r="F58" s="6">
        <v>1.9600000381469727</v>
      </c>
      <c r="G58" s="6">
        <v>1.8500000238418579</v>
      </c>
      <c r="H58" s="6" t="e">
        <v>#N/A</v>
      </c>
      <c r="I58" s="6">
        <v>0.11330894317083295</v>
      </c>
      <c r="J58" s="6">
        <v>2266000</v>
      </c>
      <c r="K58" s="6">
        <v>15.789473684210526</v>
      </c>
      <c r="L58" t="s">
        <v>17</v>
      </c>
      <c r="M58" t="s">
        <v>100</v>
      </c>
      <c r="N58" s="4" t="s">
        <v>4607</v>
      </c>
      <c r="O58" s="4" t="s">
        <v>4608</v>
      </c>
      <c r="P58" s="4" t="s">
        <v>233</v>
      </c>
    </row>
    <row r="59" spans="1:16" x14ac:dyDescent="0.35">
      <c r="A59" t="s">
        <v>8598</v>
      </c>
      <c r="B59" t="s">
        <v>2959</v>
      </c>
      <c r="C59" t="s">
        <v>16</v>
      </c>
      <c r="D59" s="6">
        <v>1135108478.5471535</v>
      </c>
      <c r="E59" s="6">
        <v>385507478.54715347</v>
      </c>
      <c r="F59" s="6">
        <v>16.219999313354492</v>
      </c>
      <c r="G59" s="6">
        <v>15.819999694824219</v>
      </c>
      <c r="H59" s="6" t="e">
        <v>#N/A</v>
      </c>
      <c r="I59" s="6">
        <v>-0.20865907381640136</v>
      </c>
      <c r="J59" s="6">
        <v>85164000</v>
      </c>
      <c r="K59" s="6">
        <v>-60.80402010050252</v>
      </c>
      <c r="L59" t="s">
        <v>17</v>
      </c>
      <c r="M59" t="s">
        <v>18</v>
      </c>
      <c r="N59" s="4" t="s">
        <v>2960</v>
      </c>
      <c r="O59" s="4" t="s">
        <v>2961</v>
      </c>
      <c r="P59" s="4" t="s">
        <v>233</v>
      </c>
    </row>
    <row r="60" spans="1:16" x14ac:dyDescent="0.35">
      <c r="A60" t="s">
        <v>11018</v>
      </c>
      <c r="B60" t="s">
        <v>3526</v>
      </c>
      <c r="C60" t="s">
        <v>16</v>
      </c>
      <c r="D60" s="6">
        <v>486722791.48268509</v>
      </c>
      <c r="E60" s="6">
        <v>282175791.48268509</v>
      </c>
      <c r="F60" s="6">
        <v>18.920000076293945</v>
      </c>
      <c r="G60" s="6">
        <v>18.229999542236328</v>
      </c>
      <c r="H60" s="6" t="e">
        <v>#N/A</v>
      </c>
      <c r="I60" s="6">
        <v>-9.8799812416411448E-2</v>
      </c>
      <c r="J60" s="6">
        <v>47938000</v>
      </c>
      <c r="K60" s="6">
        <v>-551.44473913043475</v>
      </c>
      <c r="L60" t="s">
        <v>17</v>
      </c>
      <c r="M60" t="s">
        <v>18</v>
      </c>
      <c r="N60" s="4" t="s">
        <v>3527</v>
      </c>
      <c r="O60" s="4" t="s">
        <v>3528</v>
      </c>
      <c r="P60" s="4" t="s">
        <v>233</v>
      </c>
    </row>
    <row r="61" spans="1:16" x14ac:dyDescent="0.35">
      <c r="A61" t="s">
        <v>9272</v>
      </c>
      <c r="B61" t="s">
        <v>3828</v>
      </c>
      <c r="C61" t="s">
        <v>16</v>
      </c>
      <c r="D61" s="6">
        <v>902964504.67313957</v>
      </c>
      <c r="E61" s="6">
        <v>947804504.67313957</v>
      </c>
      <c r="F61" s="6">
        <v>14.260000228881836</v>
      </c>
      <c r="G61" s="6">
        <v>13.430000305175781</v>
      </c>
      <c r="H61" s="6" t="e">
        <v>#N/A</v>
      </c>
      <c r="I61" s="6">
        <v>3.8494145721056139E-2</v>
      </c>
      <c r="J61" s="6">
        <v>248326000</v>
      </c>
      <c r="K61" s="6">
        <v>18.309454558511987</v>
      </c>
      <c r="L61" t="s">
        <v>17</v>
      </c>
      <c r="M61" t="s">
        <v>87</v>
      </c>
      <c r="N61" s="4" t="s">
        <v>3829</v>
      </c>
      <c r="O61" s="4" t="s">
        <v>3830</v>
      </c>
      <c r="P61" s="4" t="s">
        <v>233</v>
      </c>
    </row>
    <row r="62" spans="1:16" x14ac:dyDescent="0.35">
      <c r="A62" t="s">
        <v>6989</v>
      </c>
      <c r="B62" t="s">
        <v>5208</v>
      </c>
      <c r="C62" t="s">
        <v>16</v>
      </c>
      <c r="D62" s="6">
        <v>181816370.91850519</v>
      </c>
      <c r="E62" s="6">
        <v>-16659629.081494808</v>
      </c>
      <c r="F62" s="6">
        <v>1.5199999809265137</v>
      </c>
      <c r="G62" s="6">
        <v>1.5499999523162842</v>
      </c>
      <c r="H62" s="6" t="e">
        <v>#N/A</v>
      </c>
      <c r="I62" s="6">
        <v>-0.63448513154089647</v>
      </c>
      <c r="J62" s="6">
        <v>0</v>
      </c>
      <c r="K62" s="6">
        <v>18.834080717488785</v>
      </c>
      <c r="L62" t="s">
        <v>17</v>
      </c>
      <c r="M62" t="s">
        <v>18</v>
      </c>
      <c r="N62" s="4" t="s">
        <v>5209</v>
      </c>
      <c r="O62" s="4" t="s">
        <v>5210</v>
      </c>
      <c r="P62" s="4" t="s">
        <v>233</v>
      </c>
    </row>
    <row r="63" spans="1:16" x14ac:dyDescent="0.35">
      <c r="A63" t="s">
        <v>7768</v>
      </c>
      <c r="B63" t="s">
        <v>1776</v>
      </c>
      <c r="C63" t="s">
        <v>16</v>
      </c>
      <c r="D63" s="6">
        <v>1204958918.5722342</v>
      </c>
      <c r="E63" s="6">
        <v>1135175918.5722342</v>
      </c>
      <c r="F63" s="6">
        <v>8.1999998092651367</v>
      </c>
      <c r="G63" s="6">
        <v>8</v>
      </c>
      <c r="H63" s="6">
        <v>15.242315287791902</v>
      </c>
      <c r="I63" s="6">
        <v>-1.2015495693673661E-2</v>
      </c>
      <c r="J63" s="6">
        <v>342805000</v>
      </c>
      <c r="K63" s="6" t="e">
        <v>#N/A</v>
      </c>
      <c r="L63" t="s">
        <v>17</v>
      </c>
      <c r="M63" t="s">
        <v>18</v>
      </c>
      <c r="N63" s="4" t="s">
        <v>1777</v>
      </c>
      <c r="O63" s="4" t="s">
        <v>1778</v>
      </c>
      <c r="P63" s="4" t="s">
        <v>233</v>
      </c>
    </row>
    <row r="64" spans="1:16" x14ac:dyDescent="0.35">
      <c r="A64" t="s">
        <v>10489</v>
      </c>
      <c r="B64" t="s">
        <v>4172</v>
      </c>
      <c r="C64" t="s">
        <v>16</v>
      </c>
      <c r="D64" s="6">
        <v>192021630.07360506</v>
      </c>
      <c r="E64" s="6">
        <v>-56067369.926394969</v>
      </c>
      <c r="F64" s="6">
        <v>3.559999942779541</v>
      </c>
      <c r="G64" s="6">
        <v>3.369999885559082</v>
      </c>
      <c r="H64" s="6" t="e">
        <v>#N/A</v>
      </c>
      <c r="I64" s="6">
        <v>-0.61412975055933394</v>
      </c>
      <c r="J64" s="6">
        <v>80871000</v>
      </c>
      <c r="K64" s="6">
        <v>82.738095238095241</v>
      </c>
      <c r="L64" t="s">
        <v>17</v>
      </c>
      <c r="M64" t="s">
        <v>87</v>
      </c>
      <c r="N64" s="4" t="s">
        <v>4173</v>
      </c>
      <c r="O64" s="4" t="s">
        <v>4174</v>
      </c>
      <c r="P64" s="4" t="s">
        <v>233</v>
      </c>
    </row>
    <row r="65" spans="1:16" x14ac:dyDescent="0.35">
      <c r="A65" t="s">
        <v>11536</v>
      </c>
      <c r="B65" t="s">
        <v>3291</v>
      </c>
      <c r="C65" t="s">
        <v>16</v>
      </c>
      <c r="D65" s="6">
        <v>98156809.692139372</v>
      </c>
      <c r="E65" s="6">
        <v>-84961190.307860628</v>
      </c>
      <c r="F65" s="6">
        <v>3.2200000286102295</v>
      </c>
      <c r="G65" s="6">
        <v>3.25</v>
      </c>
      <c r="H65" s="6" t="e">
        <v>#N/A</v>
      </c>
      <c r="I65" s="6">
        <v>-0.46420106627886804</v>
      </c>
      <c r="J65" s="6">
        <v>0</v>
      </c>
      <c r="K65" s="6">
        <v>-40.372835869743078</v>
      </c>
      <c r="L65" t="s">
        <v>17</v>
      </c>
      <c r="M65" t="s">
        <v>18</v>
      </c>
      <c r="N65" s="4" t="s">
        <v>3292</v>
      </c>
      <c r="O65" s="4" t="s">
        <v>3293</v>
      </c>
      <c r="P65" s="4" t="s">
        <v>233</v>
      </c>
    </row>
    <row r="66" spans="1:16" x14ac:dyDescent="0.35">
      <c r="A66" t="s">
        <v>10490</v>
      </c>
      <c r="B66" t="s">
        <v>4180</v>
      </c>
      <c r="C66" t="s">
        <v>16</v>
      </c>
      <c r="D66" s="6">
        <v>2434792457.6393433</v>
      </c>
      <c r="E66" s="6">
        <v>2467999457.6393433</v>
      </c>
      <c r="F66" s="6">
        <v>50.720001220703125</v>
      </c>
      <c r="G66" s="6">
        <v>49.340000152587891</v>
      </c>
      <c r="H66" s="6" t="e">
        <v>#N/A</v>
      </c>
      <c r="I66" s="6">
        <v>0.69218038748375976</v>
      </c>
      <c r="J66" s="6">
        <v>307028000</v>
      </c>
      <c r="K66" s="6">
        <v>51.574113503956141</v>
      </c>
      <c r="L66" t="s">
        <v>17</v>
      </c>
      <c r="M66" t="s">
        <v>18</v>
      </c>
      <c r="N66" s="4" t="s">
        <v>4181</v>
      </c>
      <c r="O66" s="4" t="s">
        <v>4182</v>
      </c>
      <c r="P66" s="4" t="s">
        <v>233</v>
      </c>
    </row>
    <row r="67" spans="1:16" x14ac:dyDescent="0.35">
      <c r="A67" t="s">
        <v>10727</v>
      </c>
      <c r="B67" t="s">
        <v>2583</v>
      </c>
      <c r="C67" t="s">
        <v>16</v>
      </c>
      <c r="D67" s="6">
        <v>96690842.192761421</v>
      </c>
      <c r="E67" s="6">
        <v>21924842.192761421</v>
      </c>
      <c r="F67" s="6">
        <v>0.7685999870300293</v>
      </c>
      <c r="G67" s="6">
        <v>0.79000002145767212</v>
      </c>
      <c r="H67" s="6" t="e">
        <v>#N/A</v>
      </c>
      <c r="I67" s="6">
        <v>-0.2230992395123903</v>
      </c>
      <c r="J67" s="6">
        <v>0</v>
      </c>
      <c r="K67" s="6">
        <v>7.2207192704435146</v>
      </c>
      <c r="L67" t="s">
        <v>17</v>
      </c>
      <c r="M67" t="s">
        <v>18</v>
      </c>
      <c r="N67" s="4" t="s">
        <v>2584</v>
      </c>
      <c r="O67" s="4" t="s">
        <v>2585</v>
      </c>
      <c r="P67" s="4" t="s">
        <v>233</v>
      </c>
    </row>
    <row r="68" spans="1:16" x14ac:dyDescent="0.35">
      <c r="A68" t="s">
        <v>6591</v>
      </c>
      <c r="B68" t="s">
        <v>2548</v>
      </c>
      <c r="C68" t="s">
        <v>16</v>
      </c>
      <c r="D68" s="6">
        <v>1544355054.4997897</v>
      </c>
      <c r="E68" s="6">
        <v>1535306054.4997897</v>
      </c>
      <c r="F68" s="6">
        <v>5.5999999046325684</v>
      </c>
      <c r="G68" s="6">
        <v>5.5399999618530273</v>
      </c>
      <c r="H68" s="6">
        <v>51.608621447369046</v>
      </c>
      <c r="I68" s="6">
        <v>0.52412479800160883</v>
      </c>
      <c r="J68" s="6">
        <v>267200000</v>
      </c>
      <c r="K68" s="6" t="e">
        <v>#N/A</v>
      </c>
      <c r="L68" t="s">
        <v>17</v>
      </c>
      <c r="M68" t="s">
        <v>18</v>
      </c>
      <c r="N68" s="4" t="s">
        <v>2549</v>
      </c>
      <c r="O68" s="4" t="s">
        <v>2550</v>
      </c>
      <c r="P68" s="4" t="s">
        <v>233</v>
      </c>
    </row>
    <row r="69" spans="1:16" x14ac:dyDescent="0.35">
      <c r="A69" t="s">
        <v>10576</v>
      </c>
      <c r="B69" t="s">
        <v>1764</v>
      </c>
      <c r="C69" t="s">
        <v>16</v>
      </c>
      <c r="D69" s="6">
        <v>1818623918.0696361</v>
      </c>
      <c r="E69" s="6">
        <v>1534640918.0696361</v>
      </c>
      <c r="F69" s="6">
        <v>8.7799997329711914</v>
      </c>
      <c r="G69" s="6">
        <v>8.9099998474121094</v>
      </c>
      <c r="H69" s="6" t="e">
        <v>#N/A</v>
      </c>
      <c r="I69" s="6">
        <v>0.47406233634728268</v>
      </c>
      <c r="J69" s="6">
        <v>412579000</v>
      </c>
      <c r="K69" s="6">
        <v>51.199999999999996</v>
      </c>
      <c r="L69" t="s">
        <v>17</v>
      </c>
      <c r="M69" t="s">
        <v>18</v>
      </c>
      <c r="N69" s="4" t="s">
        <v>1765</v>
      </c>
      <c r="O69" s="4" t="s">
        <v>1766</v>
      </c>
      <c r="P69" s="4" t="s">
        <v>233</v>
      </c>
    </row>
    <row r="70" spans="1:16" x14ac:dyDescent="0.35">
      <c r="A70" t="s">
        <v>11287</v>
      </c>
      <c r="B70" t="s">
        <v>5780</v>
      </c>
      <c r="C70" t="s">
        <v>16</v>
      </c>
      <c r="D70" s="6">
        <v>200809006.48665524</v>
      </c>
      <c r="E70" s="6">
        <v>-12490993.513344765</v>
      </c>
      <c r="F70" s="6">
        <v>7.7899999618530273</v>
      </c>
      <c r="G70" s="6">
        <v>7.7100000381469727</v>
      </c>
      <c r="H70" s="6" t="e">
        <v>#N/A</v>
      </c>
      <c r="I70" s="6">
        <v>-0.54830654671585977</v>
      </c>
      <c r="J70" s="6" t="e">
        <v>#N/A</v>
      </c>
      <c r="K70" s="6" t="e">
        <v>#N/A</v>
      </c>
      <c r="L70" t="s">
        <v>17</v>
      </c>
      <c r="M70" t="s">
        <v>87</v>
      </c>
      <c r="N70" s="4" t="s">
        <v>5781</v>
      </c>
      <c r="O70" s="4" t="s">
        <v>5782</v>
      </c>
      <c r="P70" s="4" t="s">
        <v>233</v>
      </c>
    </row>
    <row r="71" spans="1:16" x14ac:dyDescent="0.35">
      <c r="A71" t="s">
        <v>6955</v>
      </c>
      <c r="B71" t="s">
        <v>6956</v>
      </c>
      <c r="C71" t="s">
        <v>16</v>
      </c>
      <c r="D71" s="6">
        <v>438487159.44069952</v>
      </c>
      <c r="E71" s="6">
        <v>302974159.44069952</v>
      </c>
      <c r="F71" s="6">
        <v>4.1999998092651367</v>
      </c>
      <c r="G71" s="6">
        <v>4.1100001335144043</v>
      </c>
      <c r="H71" s="6" t="e">
        <v>#N/A</v>
      </c>
      <c r="I71" s="6">
        <v>-0.15113420650146836</v>
      </c>
      <c r="J71" s="6">
        <v>45599600</v>
      </c>
      <c r="K71" s="6">
        <v>7.9094594594594554</v>
      </c>
      <c r="L71" t="s">
        <v>17</v>
      </c>
      <c r="M71" t="s">
        <v>100</v>
      </c>
      <c r="N71" s="4" t="s">
        <v>6957</v>
      </c>
      <c r="O71" s="4" t="s">
        <v>6958</v>
      </c>
      <c r="P71" s="4" t="s">
        <v>233</v>
      </c>
    </row>
    <row r="72" spans="1:16" x14ac:dyDescent="0.35">
      <c r="A72" t="s">
        <v>8529</v>
      </c>
      <c r="B72" t="s">
        <v>2878</v>
      </c>
      <c r="C72" t="s">
        <v>16</v>
      </c>
      <c r="D72" s="6">
        <v>62124966.929443955</v>
      </c>
      <c r="E72" s="6">
        <v>356496966.92944396</v>
      </c>
      <c r="F72" s="6">
        <v>6.3899998664855957</v>
      </c>
      <c r="G72" s="6">
        <v>5.940000057220459</v>
      </c>
      <c r="H72" s="6" t="e">
        <v>#N/A</v>
      </c>
      <c r="I72" s="6">
        <v>-0.70589627953668344</v>
      </c>
      <c r="J72" s="6">
        <v>53120000</v>
      </c>
      <c r="K72" s="6">
        <v>-361.71521816746355</v>
      </c>
      <c r="L72" t="s">
        <v>17</v>
      </c>
      <c r="M72" t="s">
        <v>18</v>
      </c>
      <c r="N72" s="4" t="s">
        <v>13309</v>
      </c>
      <c r="O72" s="4" t="s">
        <v>13310</v>
      </c>
      <c r="P72" s="4" t="s">
        <v>233</v>
      </c>
    </row>
    <row r="73" spans="1:16" x14ac:dyDescent="0.35">
      <c r="A73" t="s">
        <v>6740</v>
      </c>
      <c r="B73" t="s">
        <v>3482</v>
      </c>
      <c r="C73" t="s">
        <v>16</v>
      </c>
      <c r="D73" s="6">
        <v>98232242.533440098</v>
      </c>
      <c r="E73" s="6">
        <v>-128367757.46655987</v>
      </c>
      <c r="F73" s="6">
        <v>1.190000057220459</v>
      </c>
      <c r="G73" s="6">
        <v>1.1699999570846558</v>
      </c>
      <c r="H73" s="6" t="e">
        <v>#N/A</v>
      </c>
      <c r="I73" s="6">
        <v>-0.85285801506378056</v>
      </c>
      <c r="J73" s="6">
        <v>61758000</v>
      </c>
      <c r="K73" s="6">
        <v>5.1851851851851896</v>
      </c>
      <c r="L73" t="s">
        <v>17</v>
      </c>
      <c r="M73" t="s">
        <v>18</v>
      </c>
      <c r="N73" s="4" t="s">
        <v>3483</v>
      </c>
      <c r="O73" s="4" t="s">
        <v>3484</v>
      </c>
      <c r="P73" s="4" t="s">
        <v>233</v>
      </c>
    </row>
    <row r="74" spans="1:16" x14ac:dyDescent="0.35">
      <c r="A74" t="s">
        <v>6544</v>
      </c>
      <c r="B74" t="s">
        <v>5697</v>
      </c>
      <c r="C74" t="s">
        <v>16</v>
      </c>
      <c r="D74" s="6">
        <v>130610492.22670723</v>
      </c>
      <c r="E74" s="6">
        <v>206338492.22670725</v>
      </c>
      <c r="F74" s="6">
        <v>3.9500000476837158</v>
      </c>
      <c r="G74" s="6">
        <v>4.179999828338623</v>
      </c>
      <c r="H74" s="6" t="e">
        <v>#N/A</v>
      </c>
      <c r="I74" s="6">
        <v>-0.7510936244368559</v>
      </c>
      <c r="J74" s="6">
        <v>0</v>
      </c>
      <c r="K74" s="6">
        <v>-261.51603498542278</v>
      </c>
      <c r="L74" t="s">
        <v>17</v>
      </c>
      <c r="M74" t="s">
        <v>18</v>
      </c>
      <c r="N74" s="4" t="s">
        <v>5698</v>
      </c>
      <c r="O74" s="4" t="s">
        <v>5699</v>
      </c>
      <c r="P74" s="4" t="s">
        <v>233</v>
      </c>
    </row>
    <row r="75" spans="1:16" x14ac:dyDescent="0.35">
      <c r="A75" t="s">
        <v>8587</v>
      </c>
      <c r="B75" t="s">
        <v>1716</v>
      </c>
      <c r="C75" t="s">
        <v>16</v>
      </c>
      <c r="D75" s="6">
        <v>2853595189.1426778</v>
      </c>
      <c r="E75" s="6">
        <v>3048496189.1426778</v>
      </c>
      <c r="F75" s="6">
        <v>9.5500001907348633</v>
      </c>
      <c r="G75" s="6">
        <v>9.380000114440918</v>
      </c>
      <c r="H75" s="6" t="e">
        <v>#N/A</v>
      </c>
      <c r="I75" s="6">
        <v>-0.30576952132909685</v>
      </c>
      <c r="J75" s="6">
        <v>493671000</v>
      </c>
      <c r="K75" s="6">
        <v>42.428755115933136</v>
      </c>
      <c r="L75" t="s">
        <v>17</v>
      </c>
      <c r="M75" t="s">
        <v>18</v>
      </c>
      <c r="N75" s="4" t="s">
        <v>1717</v>
      </c>
      <c r="O75" s="4" t="s">
        <v>1718</v>
      </c>
      <c r="P75" s="4" t="s">
        <v>233</v>
      </c>
    </row>
    <row r="76" spans="1:16" x14ac:dyDescent="0.35">
      <c r="A76" t="s">
        <v>6966</v>
      </c>
      <c r="B76" t="s">
        <v>5188</v>
      </c>
      <c r="C76" t="s">
        <v>16</v>
      </c>
      <c r="D76" s="6">
        <v>71100411.410112143</v>
      </c>
      <c r="E76" s="6">
        <v>-21117588.589887843</v>
      </c>
      <c r="F76" s="6">
        <v>0.89749997854232788</v>
      </c>
      <c r="G76" s="6">
        <v>0.95999997854232788</v>
      </c>
      <c r="H76" s="6" t="e">
        <v>#N/A</v>
      </c>
      <c r="I76" s="6">
        <v>-0.84063123309436538</v>
      </c>
      <c r="J76" s="6">
        <v>0</v>
      </c>
      <c r="K76" s="6">
        <v>39.130434782608695</v>
      </c>
      <c r="L76" t="s">
        <v>17</v>
      </c>
      <c r="M76" t="s">
        <v>18</v>
      </c>
      <c r="N76" s="4" t="s">
        <v>5189</v>
      </c>
      <c r="O76" s="4" t="s">
        <v>5190</v>
      </c>
      <c r="P76" s="4" t="s">
        <v>233</v>
      </c>
    </row>
    <row r="77" spans="1:16" x14ac:dyDescent="0.35">
      <c r="A77" t="s">
        <v>10152</v>
      </c>
      <c r="B77" t="s">
        <v>4223</v>
      </c>
      <c r="C77" t="s">
        <v>16</v>
      </c>
      <c r="D77" s="6">
        <v>82060569.496452674</v>
      </c>
      <c r="E77" s="6">
        <v>-90869430.503547326</v>
      </c>
      <c r="F77" s="6">
        <v>1.3799999952316284</v>
      </c>
      <c r="G77" s="6">
        <v>1.2799999713897705</v>
      </c>
      <c r="H77" s="6" t="e">
        <v>#N/A</v>
      </c>
      <c r="I77" s="6">
        <v>-0.91977069601968076</v>
      </c>
      <c r="J77" s="6">
        <v>2918000</v>
      </c>
      <c r="K77" s="6">
        <v>27.054108216432876</v>
      </c>
      <c r="L77" t="s">
        <v>17</v>
      </c>
      <c r="M77" t="s">
        <v>18</v>
      </c>
      <c r="N77" s="4" t="s">
        <v>4224</v>
      </c>
      <c r="O77" s="4" t="s">
        <v>4225</v>
      </c>
      <c r="P77" s="4" t="s">
        <v>233</v>
      </c>
    </row>
    <row r="78" spans="1:16" x14ac:dyDescent="0.35">
      <c r="A78" t="s">
        <v>9241</v>
      </c>
      <c r="B78" t="s">
        <v>5017</v>
      </c>
      <c r="C78" t="s">
        <v>16</v>
      </c>
      <c r="D78" s="6">
        <v>2187811432.8383441</v>
      </c>
      <c r="E78" s="6">
        <v>2080792432.8383441</v>
      </c>
      <c r="F78" s="6">
        <v>34.549999237060547</v>
      </c>
      <c r="G78" s="6">
        <v>33.220001220703125</v>
      </c>
      <c r="H78" s="6" t="e">
        <v>#N/A</v>
      </c>
      <c r="I78" s="6">
        <v>-0.22979009975120701</v>
      </c>
      <c r="J78" s="6">
        <v>0</v>
      </c>
      <c r="K78" s="6">
        <v>32.835820895522389</v>
      </c>
      <c r="L78" t="s">
        <v>17</v>
      </c>
      <c r="M78" t="s">
        <v>18</v>
      </c>
      <c r="N78" s="4" t="s">
        <v>5018</v>
      </c>
      <c r="O78" s="4" t="s">
        <v>5019</v>
      </c>
      <c r="P78" s="4" t="s">
        <v>233</v>
      </c>
    </row>
    <row r="79" spans="1:16" x14ac:dyDescent="0.35">
      <c r="A79" t="s">
        <v>12106</v>
      </c>
      <c r="B79" t="s">
        <v>5232</v>
      </c>
      <c r="C79" t="s">
        <v>16</v>
      </c>
      <c r="D79" s="6">
        <v>5772309741.3753586</v>
      </c>
      <c r="E79" s="6">
        <v>5052404741.3753586</v>
      </c>
      <c r="F79" s="6">
        <v>81.239997863769531</v>
      </c>
      <c r="G79" s="6">
        <v>81.279998779296875</v>
      </c>
      <c r="H79" s="6" t="e">
        <v>#N/A</v>
      </c>
      <c r="I79" s="6">
        <v>-2.7573650297687324E-2</v>
      </c>
      <c r="J79" s="6">
        <v>0</v>
      </c>
      <c r="K79" s="6">
        <v>-31.515151515151516</v>
      </c>
      <c r="L79" t="s">
        <v>17</v>
      </c>
      <c r="M79" t="s">
        <v>18</v>
      </c>
      <c r="N79" s="4" t="s">
        <v>5233</v>
      </c>
      <c r="O79" s="4" t="s">
        <v>5234</v>
      </c>
      <c r="P79" s="4" t="s">
        <v>233</v>
      </c>
    </row>
    <row r="80" spans="1:16" x14ac:dyDescent="0.35">
      <c r="A80" t="s">
        <v>11944</v>
      </c>
      <c r="B80" t="s">
        <v>5379</v>
      </c>
      <c r="C80" t="s">
        <v>16</v>
      </c>
      <c r="D80" s="6">
        <v>123296329.21184066</v>
      </c>
      <c r="E80" s="6">
        <v>158164329.21184066</v>
      </c>
      <c r="F80" s="6">
        <v>2.3900001049041748</v>
      </c>
      <c r="G80" s="6">
        <v>2.2999999523162842</v>
      </c>
      <c r="H80" s="6" t="e">
        <v>#N/A</v>
      </c>
      <c r="I80" s="6">
        <v>-0.59528201161185623</v>
      </c>
      <c r="J80" s="6">
        <v>100387000</v>
      </c>
      <c r="K80" s="6">
        <v>38.008415147265076</v>
      </c>
      <c r="L80" t="s">
        <v>17</v>
      </c>
      <c r="M80" t="s">
        <v>18</v>
      </c>
      <c r="N80" s="4" t="s">
        <v>5380</v>
      </c>
      <c r="O80" s="4" t="s">
        <v>5381</v>
      </c>
      <c r="P80" s="4" t="s">
        <v>233</v>
      </c>
    </row>
    <row r="81" spans="1:16" x14ac:dyDescent="0.35">
      <c r="A81" t="s">
        <v>11978</v>
      </c>
      <c r="B81" t="s">
        <v>3063</v>
      </c>
      <c r="C81" t="s">
        <v>16</v>
      </c>
      <c r="D81" s="6">
        <v>1268415021.194768</v>
      </c>
      <c r="E81" s="6">
        <v>879662021.19476795</v>
      </c>
      <c r="F81" s="6">
        <v>14.859999656677246</v>
      </c>
      <c r="G81" s="6">
        <v>14.770000457763672</v>
      </c>
      <c r="H81" s="6" t="e">
        <v>#N/A</v>
      </c>
      <c r="I81" s="6">
        <v>-0.34432815949666062</v>
      </c>
      <c r="J81" s="6">
        <v>16000000</v>
      </c>
      <c r="K81" s="6">
        <v>-40.697674418604642</v>
      </c>
      <c r="L81" t="s">
        <v>17</v>
      </c>
      <c r="M81" t="s">
        <v>18</v>
      </c>
      <c r="N81" s="4" t="s">
        <v>3064</v>
      </c>
      <c r="O81" s="4" t="s">
        <v>3065</v>
      </c>
      <c r="P81" s="4" t="s">
        <v>233</v>
      </c>
    </row>
    <row r="82" spans="1:16" x14ac:dyDescent="0.35">
      <c r="A82" t="s">
        <v>8157</v>
      </c>
      <c r="B82" t="s">
        <v>5115</v>
      </c>
      <c r="C82" t="s">
        <v>16</v>
      </c>
      <c r="D82" s="6">
        <v>82309296.146482706</v>
      </c>
      <c r="E82" s="6">
        <v>-193474703.85351729</v>
      </c>
      <c r="F82" s="6">
        <v>1.3700000047683716</v>
      </c>
      <c r="G82" s="6">
        <v>1.3200000524520874</v>
      </c>
      <c r="H82" s="6" t="e">
        <v>#N/A</v>
      </c>
      <c r="I82" s="6">
        <v>-0.58385011392419495</v>
      </c>
      <c r="J82" s="6">
        <v>0</v>
      </c>
      <c r="K82" s="6">
        <v>-1.8867924528301903</v>
      </c>
      <c r="L82" t="s">
        <v>17</v>
      </c>
      <c r="M82" t="s">
        <v>18</v>
      </c>
      <c r="N82" s="4" t="s">
        <v>5116</v>
      </c>
      <c r="O82" s="4" t="s">
        <v>5117</v>
      </c>
      <c r="P82" s="4" t="s">
        <v>233</v>
      </c>
    </row>
    <row r="83" spans="1:16" x14ac:dyDescent="0.35">
      <c r="A83" t="s">
        <v>8394</v>
      </c>
      <c r="B83" t="s">
        <v>4399</v>
      </c>
      <c r="C83" t="s">
        <v>16</v>
      </c>
      <c r="D83" s="6">
        <v>165521856.30103612</v>
      </c>
      <c r="E83" s="6">
        <v>-208917143.69896382</v>
      </c>
      <c r="F83" s="6">
        <v>2.7200000286102295</v>
      </c>
      <c r="G83" s="6">
        <v>2.5999999046325684</v>
      </c>
      <c r="H83" s="6" t="e">
        <v>#N/A</v>
      </c>
      <c r="I83" s="6">
        <v>-0.84170404968581392</v>
      </c>
      <c r="J83" s="6">
        <v>0</v>
      </c>
      <c r="K83" s="6">
        <v>-19.713261648745529</v>
      </c>
      <c r="L83" t="s">
        <v>17</v>
      </c>
      <c r="M83" t="s">
        <v>87</v>
      </c>
      <c r="N83" s="4" t="s">
        <v>4400</v>
      </c>
      <c r="O83" s="4" t="s">
        <v>4401</v>
      </c>
      <c r="P83" s="4" t="s">
        <v>233</v>
      </c>
    </row>
    <row r="84" spans="1:16" x14ac:dyDescent="0.35">
      <c r="A84" t="s">
        <v>6859</v>
      </c>
      <c r="B84" t="s">
        <v>228</v>
      </c>
      <c r="C84" t="s">
        <v>16</v>
      </c>
      <c r="D84" s="6">
        <v>17993155.930996656</v>
      </c>
      <c r="E84" s="6">
        <v>-28663747.069003344</v>
      </c>
      <c r="F84" s="6">
        <v>2.1800000667572021</v>
      </c>
      <c r="G84" s="6">
        <v>2.0999999046325684</v>
      </c>
      <c r="H84" s="6" t="e">
        <v>#N/A</v>
      </c>
      <c r="I84" s="6">
        <v>-0.84315730064180072</v>
      </c>
      <c r="J84" s="6">
        <v>10066550</v>
      </c>
      <c r="K84" s="6">
        <v>76.800802140099037</v>
      </c>
      <c r="L84" t="s">
        <v>17</v>
      </c>
      <c r="M84" t="s">
        <v>18</v>
      </c>
      <c r="N84" s="4" t="s">
        <v>229</v>
      </c>
      <c r="O84" s="4" t="s">
        <v>230</v>
      </c>
      <c r="P84" s="4" t="s">
        <v>233</v>
      </c>
    </row>
    <row r="85" spans="1:16" x14ac:dyDescent="0.35">
      <c r="A85" t="s">
        <v>12906</v>
      </c>
      <c r="B85" t="s">
        <v>1059</v>
      </c>
      <c r="C85" t="s">
        <v>16</v>
      </c>
      <c r="D85" s="6">
        <v>1086719052.3773212</v>
      </c>
      <c r="E85" s="6">
        <v>1098717052.3773212</v>
      </c>
      <c r="F85" s="6">
        <v>11.619999885559082</v>
      </c>
      <c r="G85" s="6">
        <v>11.359999656677246</v>
      </c>
      <c r="H85" s="6" t="e">
        <v>#N/A</v>
      </c>
      <c r="I85" s="6">
        <v>1.8354152656732792E-2</v>
      </c>
      <c r="J85" s="6">
        <v>191335000</v>
      </c>
      <c r="K85" s="6">
        <v>97.828169170010696</v>
      </c>
      <c r="L85" t="s">
        <v>17</v>
      </c>
      <c r="M85" t="s">
        <v>18</v>
      </c>
      <c r="N85" s="4" t="s">
        <v>1060</v>
      </c>
      <c r="O85" s="4" t="s">
        <v>1061</v>
      </c>
      <c r="P85" s="4" t="s">
        <v>233</v>
      </c>
    </row>
    <row r="86" spans="1:16" x14ac:dyDescent="0.35">
      <c r="A86" t="s">
        <v>10756</v>
      </c>
      <c r="B86" t="s">
        <v>3083</v>
      </c>
      <c r="C86" t="s">
        <v>16</v>
      </c>
      <c r="D86" s="6">
        <v>206095409.65701485</v>
      </c>
      <c r="E86" s="6">
        <v>7750409.6570148468</v>
      </c>
      <c r="F86" s="6">
        <v>3.2300000190734863</v>
      </c>
      <c r="G86" s="6">
        <v>3.1099998950958252</v>
      </c>
      <c r="H86" s="6" t="e">
        <v>#N/A</v>
      </c>
      <c r="I86" s="6">
        <v>-0.58648480652345514</v>
      </c>
      <c r="J86" s="6">
        <v>0</v>
      </c>
      <c r="K86" s="6">
        <v>-51.315789473684227</v>
      </c>
      <c r="L86" t="s">
        <v>17</v>
      </c>
      <c r="M86" t="s">
        <v>18</v>
      </c>
      <c r="N86" s="4" t="s">
        <v>3084</v>
      </c>
      <c r="O86" s="4" t="s">
        <v>3085</v>
      </c>
      <c r="P86" s="4" t="s">
        <v>233</v>
      </c>
    </row>
    <row r="87" spans="1:16" x14ac:dyDescent="0.35">
      <c r="A87" t="s">
        <v>9126</v>
      </c>
      <c r="B87" t="s">
        <v>5161</v>
      </c>
      <c r="C87" t="s">
        <v>16</v>
      </c>
      <c r="D87" s="6">
        <v>573130211.12160301</v>
      </c>
      <c r="E87" s="6">
        <v>458051211.12160301</v>
      </c>
      <c r="F87" s="6">
        <v>4.9899997711181641</v>
      </c>
      <c r="G87" s="6">
        <v>4.8400001525878906</v>
      </c>
      <c r="H87" s="6" t="e">
        <v>#N/A</v>
      </c>
      <c r="I87" s="6">
        <v>9.8835113480250314E-2</v>
      </c>
      <c r="J87" s="6">
        <v>4207000</v>
      </c>
      <c r="K87" s="6">
        <v>19.827586206896552</v>
      </c>
      <c r="L87" t="s">
        <v>17</v>
      </c>
      <c r="M87" t="s">
        <v>18</v>
      </c>
      <c r="N87" s="4" t="s">
        <v>5162</v>
      </c>
      <c r="O87" s="4" t="s">
        <v>5163</v>
      </c>
      <c r="P87" s="4" t="s">
        <v>233</v>
      </c>
    </row>
    <row r="88" spans="1:16" x14ac:dyDescent="0.35">
      <c r="A88" t="s">
        <v>6631</v>
      </c>
      <c r="B88" t="s">
        <v>926</v>
      </c>
      <c r="C88" t="s">
        <v>16</v>
      </c>
      <c r="D88" s="6">
        <v>335276753.28704357</v>
      </c>
      <c r="E88" s="6">
        <v>281077753.28704357</v>
      </c>
      <c r="F88" s="6">
        <v>4.119999885559082</v>
      </c>
      <c r="G88" s="6">
        <v>4.0300002098083496</v>
      </c>
      <c r="H88" s="6" t="e">
        <v>#N/A</v>
      </c>
      <c r="I88" s="6">
        <v>0.3195100796331134</v>
      </c>
      <c r="J88" s="6">
        <v>64446000</v>
      </c>
      <c r="K88" s="6">
        <v>27.499999999999996</v>
      </c>
      <c r="L88" t="s">
        <v>17</v>
      </c>
      <c r="M88" t="s">
        <v>100</v>
      </c>
      <c r="N88" s="4" t="s">
        <v>927</v>
      </c>
      <c r="O88" s="4" t="s">
        <v>928</v>
      </c>
      <c r="P88" s="4" t="s">
        <v>233</v>
      </c>
    </row>
    <row r="89" spans="1:16" x14ac:dyDescent="0.35">
      <c r="A89" t="s">
        <v>7342</v>
      </c>
      <c r="B89" t="s">
        <v>4375</v>
      </c>
      <c r="C89" t="s">
        <v>16</v>
      </c>
      <c r="D89" s="6">
        <v>413175564.07382482</v>
      </c>
      <c r="E89" s="6">
        <v>-98222435.926175117</v>
      </c>
      <c r="F89" s="6">
        <v>10.199999809265137</v>
      </c>
      <c r="G89" s="6">
        <v>10.25</v>
      </c>
      <c r="H89" s="6" t="e">
        <v>#N/A</v>
      </c>
      <c r="I89" s="6">
        <v>-0.82130362631813858</v>
      </c>
      <c r="J89" s="6">
        <v>651000</v>
      </c>
      <c r="K89" s="6">
        <v>-5.2525252525252482</v>
      </c>
      <c r="L89" t="s">
        <v>17</v>
      </c>
      <c r="M89" t="s">
        <v>18</v>
      </c>
      <c r="N89" s="4" t="s">
        <v>4376</v>
      </c>
      <c r="O89" s="4" t="s">
        <v>4377</v>
      </c>
      <c r="P89" s="4" t="s">
        <v>233</v>
      </c>
    </row>
    <row r="90" spans="1:16" x14ac:dyDescent="0.35">
      <c r="A90" t="s">
        <v>8107</v>
      </c>
      <c r="B90" t="s">
        <v>5138</v>
      </c>
      <c r="C90" t="s">
        <v>16</v>
      </c>
      <c r="D90" s="6">
        <v>387665825.8845616</v>
      </c>
      <c r="E90" s="6">
        <v>201291825.88456157</v>
      </c>
      <c r="F90" s="6">
        <v>6.309999942779541</v>
      </c>
      <c r="G90" s="6">
        <v>6.070000171661377</v>
      </c>
      <c r="H90" s="6" t="e">
        <v>#N/A</v>
      </c>
      <c r="I90" s="6">
        <v>0.35295626205688313</v>
      </c>
      <c r="J90" s="6">
        <v>0</v>
      </c>
      <c r="K90" s="6">
        <v>-14.347826086956525</v>
      </c>
      <c r="L90" t="s">
        <v>17</v>
      </c>
      <c r="M90" t="s">
        <v>18</v>
      </c>
      <c r="N90" s="4" t="s">
        <v>5139</v>
      </c>
      <c r="O90" s="4" t="s">
        <v>5140</v>
      </c>
      <c r="P90" s="4" t="s">
        <v>233</v>
      </c>
    </row>
    <row r="91" spans="1:16" x14ac:dyDescent="0.35">
      <c r="A91" t="s">
        <v>12091</v>
      </c>
      <c r="B91" t="s">
        <v>4678</v>
      </c>
      <c r="C91" t="s">
        <v>16</v>
      </c>
      <c r="D91" s="6">
        <v>262680104.62947252</v>
      </c>
      <c r="E91" s="6">
        <v>-217507895.37052748</v>
      </c>
      <c r="F91" s="6">
        <v>3.1099998950958252</v>
      </c>
      <c r="G91" s="6">
        <v>2.940000057220459</v>
      </c>
      <c r="H91" s="6" t="e">
        <v>#N/A</v>
      </c>
      <c r="I91" s="6">
        <v>-0.24820490701723874</v>
      </c>
      <c r="J91" s="6">
        <v>0</v>
      </c>
      <c r="K91" s="6">
        <v>-31.012658227848132</v>
      </c>
      <c r="L91" t="s">
        <v>17</v>
      </c>
      <c r="M91" t="s">
        <v>87</v>
      </c>
      <c r="N91" s="4" t="s">
        <v>4679</v>
      </c>
      <c r="O91" s="4" t="s">
        <v>4680</v>
      </c>
      <c r="P91" s="4" t="s">
        <v>233</v>
      </c>
    </row>
    <row r="92" spans="1:16" x14ac:dyDescent="0.35">
      <c r="A92" t="s">
        <v>8876</v>
      </c>
      <c r="B92" t="s">
        <v>4467</v>
      </c>
      <c r="C92" t="s">
        <v>16</v>
      </c>
      <c r="D92" s="6">
        <v>56435124.046485893</v>
      </c>
      <c r="E92" s="6">
        <v>-82303875.953514099</v>
      </c>
      <c r="F92" s="6">
        <v>1.0700000524520874</v>
      </c>
      <c r="G92" s="6">
        <v>1.0099999904632568</v>
      </c>
      <c r="H92" s="6" t="e">
        <v>#N/A</v>
      </c>
      <c r="I92" s="6">
        <v>-0.92810238977463289</v>
      </c>
      <c r="J92" s="6">
        <v>0</v>
      </c>
      <c r="K92" s="6">
        <v>16.526610644257708</v>
      </c>
      <c r="L92" t="s">
        <v>17</v>
      </c>
      <c r="M92" t="s">
        <v>18</v>
      </c>
      <c r="N92" s="4" t="s">
        <v>4468</v>
      </c>
      <c r="O92" s="4" t="s">
        <v>4469</v>
      </c>
      <c r="P92" s="4" t="s">
        <v>233</v>
      </c>
    </row>
    <row r="93" spans="1:16" x14ac:dyDescent="0.35">
      <c r="A93" t="s">
        <v>6643</v>
      </c>
      <c r="B93" t="s">
        <v>741</v>
      </c>
      <c r="C93" t="s">
        <v>16</v>
      </c>
      <c r="D93" s="6">
        <v>4977840679.2150879</v>
      </c>
      <c r="E93" s="6">
        <v>4755774679.2150879</v>
      </c>
      <c r="F93" s="6">
        <v>42.180000305175781</v>
      </c>
      <c r="G93" s="6">
        <v>40.529998779296875</v>
      </c>
      <c r="H93" s="6" t="e">
        <v>#N/A</v>
      </c>
      <c r="I93" s="6">
        <v>-0.46717759273973469</v>
      </c>
      <c r="J93" s="6">
        <v>3219000</v>
      </c>
      <c r="K93" s="6">
        <v>2.5362318840579809</v>
      </c>
      <c r="L93" t="s">
        <v>17</v>
      </c>
      <c r="M93" t="s">
        <v>18</v>
      </c>
      <c r="N93" s="4" t="s">
        <v>742</v>
      </c>
      <c r="O93" s="4" t="s">
        <v>743</v>
      </c>
      <c r="P93" s="4" t="s">
        <v>233</v>
      </c>
    </row>
    <row r="94" spans="1:16" x14ac:dyDescent="0.35">
      <c r="A94" t="s">
        <v>9612</v>
      </c>
      <c r="B94" t="s">
        <v>5568</v>
      </c>
      <c r="C94" t="s">
        <v>16</v>
      </c>
      <c r="D94" s="6">
        <v>984948634.9373455</v>
      </c>
      <c r="E94" s="6">
        <v>722633634.9373455</v>
      </c>
      <c r="F94" s="6">
        <v>14.300000190734863</v>
      </c>
      <c r="G94" s="6">
        <v>13</v>
      </c>
      <c r="H94" s="6" t="e">
        <v>#N/A</v>
      </c>
      <c r="I94" s="6">
        <v>0.20918446710845195</v>
      </c>
      <c r="J94" s="6">
        <v>62199000</v>
      </c>
      <c r="K94" s="6" t="e">
        <v>#N/A</v>
      </c>
      <c r="L94" t="s">
        <v>17</v>
      </c>
      <c r="M94" t="s">
        <v>18</v>
      </c>
      <c r="N94" s="4" t="s">
        <v>5569</v>
      </c>
      <c r="O94" s="4" t="s">
        <v>5570</v>
      </c>
      <c r="P94" s="4" t="s">
        <v>233</v>
      </c>
    </row>
    <row r="95" spans="1:16" x14ac:dyDescent="0.35">
      <c r="A95" t="s">
        <v>7708</v>
      </c>
      <c r="B95" t="s">
        <v>4215</v>
      </c>
      <c r="C95" t="s">
        <v>16</v>
      </c>
      <c r="D95" s="6">
        <v>4409625879.0362854</v>
      </c>
      <c r="E95" s="6">
        <v>3918412879.0362854</v>
      </c>
      <c r="F95" s="6">
        <v>59.279998779296875</v>
      </c>
      <c r="G95" s="6">
        <v>57.159999847412109</v>
      </c>
      <c r="H95" s="6" t="e">
        <v>#N/A</v>
      </c>
      <c r="I95" s="6">
        <v>0.29032054438719213</v>
      </c>
      <c r="J95" s="6">
        <v>135487000</v>
      </c>
      <c r="K95" s="6">
        <v>20.536137936702207</v>
      </c>
      <c r="L95" t="s">
        <v>17</v>
      </c>
      <c r="M95" t="s">
        <v>18</v>
      </c>
      <c r="N95" s="4" t="s">
        <v>4216</v>
      </c>
      <c r="O95" s="4" t="s">
        <v>4217</v>
      </c>
      <c r="P95" s="4" t="s">
        <v>233</v>
      </c>
    </row>
    <row r="96" spans="1:16" x14ac:dyDescent="0.35">
      <c r="A96" t="s">
        <v>7799</v>
      </c>
      <c r="B96" t="s">
        <v>3846</v>
      </c>
      <c r="C96" t="s">
        <v>16</v>
      </c>
      <c r="D96" s="6">
        <v>32400665.705477949</v>
      </c>
      <c r="E96" s="6">
        <v>-38280334.294522047</v>
      </c>
      <c r="F96" s="6">
        <v>2.6600000858306885</v>
      </c>
      <c r="G96" s="6">
        <v>2.8499999046325684</v>
      </c>
      <c r="H96" s="6" t="e">
        <v>#N/A</v>
      </c>
      <c r="I96" s="6">
        <v>-0.776192318598664</v>
      </c>
      <c r="J96" s="6">
        <v>0</v>
      </c>
      <c r="K96" s="6">
        <v>91.232845465802654</v>
      </c>
      <c r="L96" t="s">
        <v>17</v>
      </c>
      <c r="M96" t="s">
        <v>18</v>
      </c>
      <c r="N96" s="4" t="s">
        <v>3847</v>
      </c>
      <c r="O96" s="4" t="s">
        <v>3848</v>
      </c>
      <c r="P96" s="4" t="s">
        <v>233</v>
      </c>
    </row>
    <row r="97" spans="1:16" x14ac:dyDescent="0.35">
      <c r="A97" t="s">
        <v>6520</v>
      </c>
      <c r="B97" t="s">
        <v>5619</v>
      </c>
      <c r="C97" t="s">
        <v>16</v>
      </c>
      <c r="D97" s="6">
        <v>529752827.01323599</v>
      </c>
      <c r="E97" s="6" t="e">
        <v>#N/A</v>
      </c>
      <c r="F97" s="6">
        <v>10.630000114440918</v>
      </c>
      <c r="G97" s="6">
        <v>10.609999656677246</v>
      </c>
      <c r="H97" s="6" t="e">
        <v>#N/A</v>
      </c>
      <c r="I97" s="6">
        <v>-0.27721067721640369</v>
      </c>
      <c r="J97" s="6">
        <v>0</v>
      </c>
      <c r="K97" s="6">
        <v>-83.919597989949764</v>
      </c>
      <c r="L97" t="s">
        <v>17</v>
      </c>
      <c r="M97" t="s">
        <v>18</v>
      </c>
      <c r="N97" s="4" t="s">
        <v>5620</v>
      </c>
      <c r="O97" s="4" t="s">
        <v>5621</v>
      </c>
      <c r="P97" s="4" t="s">
        <v>233</v>
      </c>
    </row>
    <row r="98" spans="1:16" x14ac:dyDescent="0.35">
      <c r="A98" t="s">
        <v>12291</v>
      </c>
      <c r="B98" t="s">
        <v>5726</v>
      </c>
      <c r="C98" t="s">
        <v>16</v>
      </c>
      <c r="D98" s="6">
        <v>62986525.774435036</v>
      </c>
      <c r="E98" s="6">
        <v>55570525.774435036</v>
      </c>
      <c r="F98" s="6">
        <v>1.7300000190734863</v>
      </c>
      <c r="G98" s="6">
        <v>1.7400000095367432</v>
      </c>
      <c r="H98" s="6" t="e">
        <v>#N/A</v>
      </c>
      <c r="I98" s="6">
        <v>-0.7652860301150044</v>
      </c>
      <c r="J98" s="6" t="e">
        <v>#N/A</v>
      </c>
      <c r="K98" s="6" t="e">
        <v>#N/A</v>
      </c>
      <c r="L98" t="s">
        <v>17</v>
      </c>
      <c r="M98" t="s">
        <v>18</v>
      </c>
      <c r="N98" s="4" t="s">
        <v>5727</v>
      </c>
      <c r="O98" s="4" t="s">
        <v>5728</v>
      </c>
      <c r="P98" s="4" t="s">
        <v>233</v>
      </c>
    </row>
    <row r="99" spans="1:16" x14ac:dyDescent="0.35">
      <c r="A99" t="s">
        <v>10484</v>
      </c>
      <c r="B99" t="s">
        <v>4120</v>
      </c>
      <c r="C99" t="s">
        <v>16</v>
      </c>
      <c r="D99" s="6">
        <v>1897178053.9922295</v>
      </c>
      <c r="E99" s="6">
        <v>995945053.99222946</v>
      </c>
      <c r="F99" s="6">
        <v>21.950000762939453</v>
      </c>
      <c r="G99" s="6">
        <v>21.030000686645508</v>
      </c>
      <c r="H99" s="6" t="e">
        <v>#N/A</v>
      </c>
      <c r="I99" s="6">
        <v>-0.52678481690066392</v>
      </c>
      <c r="J99" s="6">
        <v>3923000</v>
      </c>
      <c r="K99" s="6">
        <v>-19.487179487179496</v>
      </c>
      <c r="L99" t="s">
        <v>17</v>
      </c>
      <c r="M99" t="s">
        <v>18</v>
      </c>
      <c r="N99" s="4" t="s">
        <v>4121</v>
      </c>
      <c r="O99" s="4" t="s">
        <v>4122</v>
      </c>
      <c r="P99" s="4" t="s">
        <v>233</v>
      </c>
    </row>
    <row r="100" spans="1:16" x14ac:dyDescent="0.35">
      <c r="A100" t="s">
        <v>12287</v>
      </c>
      <c r="B100" t="s">
        <v>3553</v>
      </c>
      <c r="C100" t="s">
        <v>16</v>
      </c>
      <c r="D100" s="6">
        <v>2230157724.4327698</v>
      </c>
      <c r="E100" s="6">
        <v>1657776724.4327698</v>
      </c>
      <c r="F100" s="6">
        <v>37.419998168945313</v>
      </c>
      <c r="G100" s="6">
        <v>36.430000305175781</v>
      </c>
      <c r="H100" s="6">
        <v>14.067668484565909</v>
      </c>
      <c r="I100" s="6">
        <v>0.32171837264933423</v>
      </c>
      <c r="J100" s="6">
        <v>323795000</v>
      </c>
      <c r="K100" s="6" t="e">
        <v>#N/A</v>
      </c>
      <c r="L100" t="s">
        <v>17</v>
      </c>
      <c r="M100" t="s">
        <v>18</v>
      </c>
      <c r="N100" s="4" t="s">
        <v>3554</v>
      </c>
      <c r="O100" s="4" t="s">
        <v>3555</v>
      </c>
      <c r="P100" s="4" t="s">
        <v>233</v>
      </c>
    </row>
    <row r="101" spans="1:16" x14ac:dyDescent="0.35">
      <c r="A101" t="s">
        <v>6565</v>
      </c>
      <c r="B101" t="s">
        <v>1949</v>
      </c>
      <c r="C101" t="s">
        <v>16</v>
      </c>
      <c r="D101" s="6">
        <v>4810058761.2183886</v>
      </c>
      <c r="E101" s="6">
        <v>4722825761.2183886</v>
      </c>
      <c r="F101" s="6">
        <v>30.899999618530273</v>
      </c>
      <c r="G101" s="6">
        <v>30.510000228881836</v>
      </c>
      <c r="H101" s="6" t="e">
        <v>#N/A</v>
      </c>
      <c r="I101" s="6">
        <v>1.0316238204322299</v>
      </c>
      <c r="J101" s="6">
        <v>264790000</v>
      </c>
      <c r="K101" s="6">
        <v>57.142857142857146</v>
      </c>
      <c r="L101" t="s">
        <v>17</v>
      </c>
      <c r="M101" t="s">
        <v>18</v>
      </c>
      <c r="N101" s="4" t="s">
        <v>1950</v>
      </c>
      <c r="O101" s="4" t="s">
        <v>1951</v>
      </c>
      <c r="P101" s="4" t="s">
        <v>233</v>
      </c>
    </row>
    <row r="102" spans="1:16" x14ac:dyDescent="0.35">
      <c r="A102" t="s">
        <v>7123</v>
      </c>
      <c r="B102" t="s">
        <v>3767</v>
      </c>
      <c r="C102" t="s">
        <v>16</v>
      </c>
      <c r="D102" s="6">
        <v>81981685.298068374</v>
      </c>
      <c r="E102" s="6">
        <v>25207685.298068359</v>
      </c>
      <c r="F102" s="6">
        <v>0.48069998621940613</v>
      </c>
      <c r="G102" s="6">
        <v>0.46000000834465027</v>
      </c>
      <c r="H102" s="6" t="e">
        <v>#N/A</v>
      </c>
      <c r="I102" s="6">
        <v>-0.52775580069765349</v>
      </c>
      <c r="J102" s="6">
        <v>1123000</v>
      </c>
      <c r="K102" s="6">
        <v>88.60759493670885</v>
      </c>
      <c r="L102" t="s">
        <v>17</v>
      </c>
      <c r="M102" t="s">
        <v>18</v>
      </c>
      <c r="N102" s="4" t="s">
        <v>3768</v>
      </c>
      <c r="O102" s="4" t="s">
        <v>3769</v>
      </c>
      <c r="P102" s="4" t="s">
        <v>233</v>
      </c>
    </row>
    <row r="103" spans="1:16" x14ac:dyDescent="0.35">
      <c r="A103" t="s">
        <v>8272</v>
      </c>
      <c r="B103" t="s">
        <v>3197</v>
      </c>
      <c r="C103" t="s">
        <v>16</v>
      </c>
      <c r="D103" s="6">
        <v>129797008.87260748</v>
      </c>
      <c r="E103" s="6">
        <v>335619008.87260747</v>
      </c>
      <c r="F103" s="6">
        <v>1.1200000047683716</v>
      </c>
      <c r="G103" s="6">
        <v>1.1000000238418579</v>
      </c>
      <c r="H103" s="6" t="e">
        <v>#N/A</v>
      </c>
      <c r="I103" s="6">
        <v>-0.60183358071011561</v>
      </c>
      <c r="J103" s="6">
        <v>304340000</v>
      </c>
      <c r="K103" s="6">
        <v>100</v>
      </c>
      <c r="L103" t="s">
        <v>17</v>
      </c>
      <c r="M103" t="s">
        <v>18</v>
      </c>
      <c r="N103" s="4" t="s">
        <v>3198</v>
      </c>
      <c r="O103" s="4" t="s">
        <v>3199</v>
      </c>
      <c r="P103" s="4" t="s">
        <v>233</v>
      </c>
    </row>
    <row r="104" spans="1:16" x14ac:dyDescent="0.35">
      <c r="A104" t="s">
        <v>11133</v>
      </c>
      <c r="B104" t="s">
        <v>4303</v>
      </c>
      <c r="C104" t="s">
        <v>16</v>
      </c>
      <c r="D104" s="6">
        <v>1546159051.5748968</v>
      </c>
      <c r="E104" s="6">
        <v>1423776051.5748968</v>
      </c>
      <c r="F104" s="6">
        <v>13.210000038146973</v>
      </c>
      <c r="G104" s="6">
        <v>11.149999618530273</v>
      </c>
      <c r="H104" s="6" t="e">
        <v>#N/A</v>
      </c>
      <c r="I104" s="6">
        <v>0.97092177518728628</v>
      </c>
      <c r="J104" s="6">
        <v>138708000</v>
      </c>
      <c r="K104" s="6">
        <v>59.12761431994857</v>
      </c>
      <c r="L104" t="s">
        <v>17</v>
      </c>
      <c r="M104" t="s">
        <v>18</v>
      </c>
      <c r="N104" s="4" t="s">
        <v>4304</v>
      </c>
      <c r="O104" s="4" t="s">
        <v>4305</v>
      </c>
      <c r="P104" s="4" t="s">
        <v>233</v>
      </c>
    </row>
    <row r="105" spans="1:16" x14ac:dyDescent="0.35">
      <c r="A105" t="s">
        <v>11932</v>
      </c>
      <c r="B105" t="s">
        <v>3095</v>
      </c>
      <c r="C105" t="s">
        <v>16</v>
      </c>
      <c r="D105" s="6">
        <v>460271393.67734528</v>
      </c>
      <c r="E105" s="6">
        <v>413891393.67734528</v>
      </c>
      <c r="F105" s="6">
        <v>9.3599996566772461</v>
      </c>
      <c r="G105" s="6">
        <v>8.9099998474121094</v>
      </c>
      <c r="H105" s="6" t="e">
        <v>#N/A</v>
      </c>
      <c r="I105" s="6">
        <v>9.0649733472790706E-2</v>
      </c>
      <c r="J105" s="6">
        <v>63192000</v>
      </c>
      <c r="K105" s="6">
        <v>0</v>
      </c>
      <c r="L105" t="s">
        <v>17</v>
      </c>
      <c r="M105" t="s">
        <v>87</v>
      </c>
      <c r="N105" s="4" t="s">
        <v>233</v>
      </c>
      <c r="O105" s="4" t="s">
        <v>3096</v>
      </c>
      <c r="P105" s="4" t="s">
        <v>13083</v>
      </c>
    </row>
    <row r="106" spans="1:16" x14ac:dyDescent="0.35">
      <c r="A106" t="s">
        <v>10355</v>
      </c>
      <c r="B106" t="s">
        <v>2843</v>
      </c>
      <c r="C106" t="s">
        <v>16</v>
      </c>
      <c r="D106" s="6">
        <v>86464123.606715217</v>
      </c>
      <c r="E106" s="6">
        <v>19242503.606715217</v>
      </c>
      <c r="F106" s="6">
        <v>2.8499999046325684</v>
      </c>
      <c r="G106" s="6">
        <v>2.9300000667572021</v>
      </c>
      <c r="H106" s="6" t="e">
        <v>#N/A</v>
      </c>
      <c r="I106" s="6">
        <v>-0.83062736423534866</v>
      </c>
      <c r="J106" s="6">
        <v>0</v>
      </c>
      <c r="K106" s="6">
        <v>87.713949180191889</v>
      </c>
      <c r="L106" t="s">
        <v>17</v>
      </c>
      <c r="M106" t="s">
        <v>18</v>
      </c>
      <c r="N106" s="4" t="s">
        <v>2844</v>
      </c>
      <c r="O106" s="4" t="s">
        <v>2845</v>
      </c>
      <c r="P106" s="4" t="s">
        <v>233</v>
      </c>
    </row>
    <row r="107" spans="1:16" x14ac:dyDescent="0.35">
      <c r="A107" t="s">
        <v>11617</v>
      </c>
      <c r="B107" t="s">
        <v>4447</v>
      </c>
      <c r="C107" t="s">
        <v>16</v>
      </c>
      <c r="D107" s="6">
        <v>769651667.34214425</v>
      </c>
      <c r="E107" s="6">
        <v>231708667.34214425</v>
      </c>
      <c r="F107" s="6">
        <v>2.2799999713897705</v>
      </c>
      <c r="G107" s="6">
        <v>2.2000000476837158</v>
      </c>
      <c r="H107" s="6" t="e">
        <v>#N/A</v>
      </c>
      <c r="I107" s="6">
        <v>0.29453861417622473</v>
      </c>
      <c r="J107" s="6">
        <v>2162000</v>
      </c>
      <c r="K107" s="6">
        <v>-471.05263157894734</v>
      </c>
      <c r="L107" t="s">
        <v>17</v>
      </c>
      <c r="M107" t="s">
        <v>87</v>
      </c>
      <c r="N107" s="4" t="s">
        <v>4448</v>
      </c>
      <c r="O107" s="4" t="s">
        <v>4449</v>
      </c>
      <c r="P107" s="4" t="s">
        <v>233</v>
      </c>
    </row>
    <row r="108" spans="1:16" x14ac:dyDescent="0.35">
      <c r="A108" t="s">
        <v>12057</v>
      </c>
      <c r="B108" t="s">
        <v>1694</v>
      </c>
      <c r="C108" t="s">
        <v>16</v>
      </c>
      <c r="D108" s="6">
        <v>442395152.57745981</v>
      </c>
      <c r="E108" s="6">
        <v>304788152.57745981</v>
      </c>
      <c r="F108" s="6">
        <v>6.2199997901916504</v>
      </c>
      <c r="G108" s="6">
        <v>6.1500000953674316</v>
      </c>
      <c r="H108" s="6" t="e">
        <v>#N/A</v>
      </c>
      <c r="I108" s="6">
        <v>-0.40108252603094285</v>
      </c>
      <c r="J108" s="6">
        <v>52000</v>
      </c>
      <c r="K108" s="6">
        <v>-0.64935064935066444</v>
      </c>
      <c r="L108" t="s">
        <v>17</v>
      </c>
      <c r="M108" t="s">
        <v>18</v>
      </c>
      <c r="N108" s="4" t="s">
        <v>1695</v>
      </c>
      <c r="O108" s="4" t="s">
        <v>1696</v>
      </c>
      <c r="P108" s="4" t="s">
        <v>233</v>
      </c>
    </row>
    <row r="109" spans="1:16" x14ac:dyDescent="0.35">
      <c r="A109" t="s">
        <v>8158</v>
      </c>
      <c r="B109" t="s">
        <v>4451</v>
      </c>
      <c r="C109" t="s">
        <v>16</v>
      </c>
      <c r="D109" s="6">
        <v>146077316.06902742</v>
      </c>
      <c r="E109" s="6">
        <v>-51528683.930972576</v>
      </c>
      <c r="F109" s="6">
        <v>2.0699999332427979</v>
      </c>
      <c r="G109" s="6">
        <v>2.0099999904632568</v>
      </c>
      <c r="H109" s="6" t="e">
        <v>#N/A</v>
      </c>
      <c r="I109" s="6">
        <v>-0.81612498010008494</v>
      </c>
      <c r="J109" s="6">
        <v>0</v>
      </c>
      <c r="K109" s="6">
        <v>24.800000000000004</v>
      </c>
      <c r="L109" t="s">
        <v>17</v>
      </c>
      <c r="M109" t="s">
        <v>18</v>
      </c>
      <c r="N109" s="4" t="s">
        <v>4452</v>
      </c>
      <c r="O109" s="4" t="s">
        <v>4453</v>
      </c>
      <c r="P109" s="4" t="s">
        <v>233</v>
      </c>
    </row>
    <row r="110" spans="1:16" x14ac:dyDescent="0.35">
      <c r="A110" t="s">
        <v>11762</v>
      </c>
      <c r="B110" t="s">
        <v>2098</v>
      </c>
      <c r="C110" t="s">
        <v>16</v>
      </c>
      <c r="D110" s="6">
        <v>76791726.885875687</v>
      </c>
      <c r="E110" s="6">
        <v>4432297.8858757019</v>
      </c>
      <c r="F110" s="6">
        <v>2.130000114440918</v>
      </c>
      <c r="G110" s="6">
        <v>1.8999999761581421</v>
      </c>
      <c r="H110" s="6" t="e">
        <v>#N/A</v>
      </c>
      <c r="I110" s="6">
        <v>-0.6998546625009523</v>
      </c>
      <c r="J110" s="6">
        <v>203412</v>
      </c>
      <c r="K110" s="6">
        <v>41.496103162207369</v>
      </c>
      <c r="L110" t="s">
        <v>17</v>
      </c>
      <c r="M110" t="s">
        <v>18</v>
      </c>
      <c r="N110" s="4" t="s">
        <v>2099</v>
      </c>
      <c r="O110" s="4" t="s">
        <v>2100</v>
      </c>
      <c r="P110" s="4" t="s">
        <v>233</v>
      </c>
    </row>
    <row r="111" spans="1:16" x14ac:dyDescent="0.35">
      <c r="A111" t="s">
        <v>12680</v>
      </c>
      <c r="B111" t="s">
        <v>3101</v>
      </c>
      <c r="C111" t="s">
        <v>16</v>
      </c>
      <c r="D111" s="6">
        <v>1290855726.3236332</v>
      </c>
      <c r="E111" s="6">
        <v>1204945726.3236332</v>
      </c>
      <c r="F111" s="6">
        <v>5.4499998092651367</v>
      </c>
      <c r="G111" s="6">
        <v>5.429999828338623</v>
      </c>
      <c r="H111" s="6" t="e">
        <v>#N/A</v>
      </c>
      <c r="I111" s="6">
        <v>-0.43898897460715536</v>
      </c>
      <c r="J111" s="6">
        <v>251849000</v>
      </c>
      <c r="K111" s="6">
        <v>-150</v>
      </c>
      <c r="L111" t="s">
        <v>17</v>
      </c>
      <c r="M111" t="s">
        <v>18</v>
      </c>
      <c r="N111" s="4" t="s">
        <v>3102</v>
      </c>
      <c r="O111" s="4" t="s">
        <v>3103</v>
      </c>
      <c r="P111" s="4" t="s">
        <v>233</v>
      </c>
    </row>
    <row r="112" spans="1:16" x14ac:dyDescent="0.35">
      <c r="A112" t="s">
        <v>7650</v>
      </c>
      <c r="B112" t="s">
        <v>3948</v>
      </c>
      <c r="C112" t="s">
        <v>16</v>
      </c>
      <c r="D112" s="6">
        <v>1375768203.3251209</v>
      </c>
      <c r="E112" s="6">
        <v>1174091203.3251209</v>
      </c>
      <c r="F112" s="6">
        <v>16.254999160766602</v>
      </c>
      <c r="G112" s="6">
        <v>15.970000267028809</v>
      </c>
      <c r="H112" s="6" t="e">
        <v>#N/A</v>
      </c>
      <c r="I112" s="6">
        <v>7.9124053609586076E-2</v>
      </c>
      <c r="J112" s="6">
        <v>15610000</v>
      </c>
      <c r="K112" s="6">
        <v>-84.804818576857926</v>
      </c>
      <c r="L112" t="s">
        <v>17</v>
      </c>
      <c r="M112" t="s">
        <v>87</v>
      </c>
      <c r="N112" s="4" t="s">
        <v>3949</v>
      </c>
      <c r="O112" s="4" t="s">
        <v>3950</v>
      </c>
      <c r="P112" s="4" t="s">
        <v>233</v>
      </c>
    </row>
    <row r="113" spans="1:16" x14ac:dyDescent="0.35">
      <c r="A113" t="s">
        <v>9031</v>
      </c>
      <c r="B113" t="s">
        <v>4352</v>
      </c>
      <c r="C113" t="s">
        <v>16</v>
      </c>
      <c r="D113" s="6">
        <v>666857664.04042244</v>
      </c>
      <c r="E113" s="6">
        <v>394488664.04042244</v>
      </c>
      <c r="F113" s="6">
        <v>9.4499998092651367</v>
      </c>
      <c r="G113" s="6">
        <v>9.4700002670288086</v>
      </c>
      <c r="H113" s="6" t="e">
        <v>#N/A</v>
      </c>
      <c r="I113" s="6">
        <v>-0.21198583884658806</v>
      </c>
      <c r="J113" s="6">
        <v>0</v>
      </c>
      <c r="K113" s="6">
        <v>9.5477386934673323</v>
      </c>
      <c r="L113" t="s">
        <v>17</v>
      </c>
      <c r="M113" t="s">
        <v>18</v>
      </c>
      <c r="N113" s="4" t="s">
        <v>4353</v>
      </c>
      <c r="O113" s="4" t="s">
        <v>4354</v>
      </c>
      <c r="P113" s="4" t="s">
        <v>233</v>
      </c>
    </row>
    <row r="114" spans="1:16" x14ac:dyDescent="0.35">
      <c r="A114" t="s">
        <v>7363</v>
      </c>
      <c r="B114" t="s">
        <v>463</v>
      </c>
      <c r="C114" t="s">
        <v>16</v>
      </c>
      <c r="D114" s="6">
        <v>319311797.79475206</v>
      </c>
      <c r="E114" s="6">
        <v>285642797.79475206</v>
      </c>
      <c r="F114" s="6">
        <v>27.100000381469727</v>
      </c>
      <c r="G114" s="6">
        <v>26.579999923706055</v>
      </c>
      <c r="H114" s="6" t="e">
        <v>#N/A</v>
      </c>
      <c r="I114" s="6">
        <v>0.29573070767131893</v>
      </c>
      <c r="J114" s="6">
        <v>21606000</v>
      </c>
      <c r="K114" s="6">
        <v>-22.420071174377224</v>
      </c>
      <c r="L114" t="s">
        <v>17</v>
      </c>
      <c r="M114" t="s">
        <v>18</v>
      </c>
      <c r="N114" s="4" t="s">
        <v>464</v>
      </c>
      <c r="O114" s="4" t="s">
        <v>465</v>
      </c>
      <c r="P114" s="4" t="s">
        <v>233</v>
      </c>
    </row>
    <row r="115" spans="1:16" x14ac:dyDescent="0.35">
      <c r="A115" t="s">
        <v>8788</v>
      </c>
      <c r="B115" t="s">
        <v>5134</v>
      </c>
      <c r="C115" t="s">
        <v>16</v>
      </c>
      <c r="D115" s="6">
        <v>63576212.659931652</v>
      </c>
      <c r="E115" s="6">
        <v>-60990787.340068348</v>
      </c>
      <c r="F115" s="6">
        <v>0.74769997596740723</v>
      </c>
      <c r="G115" s="6">
        <v>0.70999997854232788</v>
      </c>
      <c r="H115" s="6" t="e">
        <v>#N/A</v>
      </c>
      <c r="I115" s="6">
        <v>-0.83874520101328953</v>
      </c>
      <c r="J115" s="6">
        <v>2235000</v>
      </c>
      <c r="K115" s="6">
        <v>-1.3215859030836918</v>
      </c>
      <c r="L115" t="s">
        <v>17</v>
      </c>
      <c r="M115" t="s">
        <v>18</v>
      </c>
      <c r="N115" s="4" t="s">
        <v>5135</v>
      </c>
      <c r="O115" s="4" t="s">
        <v>5136</v>
      </c>
      <c r="P115" s="4" t="s">
        <v>233</v>
      </c>
    </row>
    <row r="116" spans="1:16" x14ac:dyDescent="0.35">
      <c r="A116" t="s">
        <v>7854</v>
      </c>
      <c r="B116" t="s">
        <v>2717</v>
      </c>
      <c r="C116" t="s">
        <v>16</v>
      </c>
      <c r="D116" s="6">
        <v>3744421643.5902901</v>
      </c>
      <c r="E116" s="6">
        <v>3769098643.5902901</v>
      </c>
      <c r="F116" s="6">
        <v>15.840000152587891</v>
      </c>
      <c r="G116" s="6">
        <v>15.539999961853027</v>
      </c>
      <c r="H116" s="6">
        <v>42.583850807555116</v>
      </c>
      <c r="I116" s="6">
        <v>1.8926687686614474</v>
      </c>
      <c r="J116" s="6">
        <v>382808677</v>
      </c>
      <c r="K116" s="6" t="e">
        <v>#N/A</v>
      </c>
      <c r="L116" t="s">
        <v>17</v>
      </c>
      <c r="M116" t="s">
        <v>18</v>
      </c>
      <c r="N116" s="4" t="s">
        <v>2718</v>
      </c>
      <c r="O116" s="4" t="s">
        <v>2719</v>
      </c>
      <c r="P116" s="4" t="s">
        <v>233</v>
      </c>
    </row>
    <row r="117" spans="1:16" x14ac:dyDescent="0.35">
      <c r="A117" t="s">
        <v>12783</v>
      </c>
      <c r="B117" t="s">
        <v>5341</v>
      </c>
      <c r="C117" t="s">
        <v>16</v>
      </c>
      <c r="D117" s="6">
        <v>533711619.00598711</v>
      </c>
      <c r="E117" s="6">
        <v>735274619.00598717</v>
      </c>
      <c r="F117" s="6">
        <v>3.5799999237060547</v>
      </c>
      <c r="G117" s="6">
        <v>3.4900000095367432</v>
      </c>
      <c r="H117" s="6" t="e">
        <v>#N/A</v>
      </c>
      <c r="I117" s="6">
        <v>0.21291767995536981</v>
      </c>
      <c r="J117" s="6">
        <v>187361000</v>
      </c>
      <c r="K117" s="6">
        <v>-2.4671622769447927E-14</v>
      </c>
      <c r="L117" t="s">
        <v>17</v>
      </c>
      <c r="M117" t="s">
        <v>87</v>
      </c>
      <c r="N117" s="4" t="s">
        <v>5342</v>
      </c>
      <c r="O117" s="4" t="s">
        <v>5343</v>
      </c>
      <c r="P117" s="4" t="s">
        <v>233</v>
      </c>
    </row>
    <row r="118" spans="1:16" x14ac:dyDescent="0.35">
      <c r="A118" t="s">
        <v>7596</v>
      </c>
      <c r="B118" t="s">
        <v>3850</v>
      </c>
      <c r="C118" t="s">
        <v>16</v>
      </c>
      <c r="D118" s="6">
        <v>899158511.98402488</v>
      </c>
      <c r="E118" s="6">
        <v>682039511.98402488</v>
      </c>
      <c r="F118" s="6">
        <v>8.1400003433227539</v>
      </c>
      <c r="G118" s="6">
        <v>8.2399997711181641</v>
      </c>
      <c r="H118" s="6" t="e">
        <v>#N/A</v>
      </c>
      <c r="I118" s="6">
        <v>0.40456433272978387</v>
      </c>
      <c r="J118" s="6">
        <v>0</v>
      </c>
      <c r="K118" s="6">
        <v>-5.9829059829059883</v>
      </c>
      <c r="L118" t="s">
        <v>17</v>
      </c>
      <c r="M118" t="s">
        <v>18</v>
      </c>
      <c r="N118" s="4" t="s">
        <v>3851</v>
      </c>
      <c r="O118" s="4" t="s">
        <v>3852</v>
      </c>
      <c r="P118" s="4" t="s">
        <v>233</v>
      </c>
    </row>
    <row r="119" spans="1:16" x14ac:dyDescent="0.35">
      <c r="A119" t="s">
        <v>10993</v>
      </c>
      <c r="B119" t="s">
        <v>4196</v>
      </c>
      <c r="C119" t="s">
        <v>16</v>
      </c>
      <c r="D119" s="6">
        <v>153127916.07379675</v>
      </c>
      <c r="E119" s="6">
        <v>60342916.073796749</v>
      </c>
      <c r="F119" s="6">
        <v>1.1599999666213989</v>
      </c>
      <c r="G119" s="6">
        <v>1.1499999761581421</v>
      </c>
      <c r="H119" s="6" t="e">
        <v>#N/A</v>
      </c>
      <c r="I119" s="6">
        <v>-0.95576738710643394</v>
      </c>
      <c r="J119" s="6">
        <v>0</v>
      </c>
      <c r="K119" s="6">
        <v>3.8194444444444553</v>
      </c>
      <c r="L119" t="s">
        <v>17</v>
      </c>
      <c r="M119" t="s">
        <v>18</v>
      </c>
      <c r="N119" s="4" t="s">
        <v>4197</v>
      </c>
      <c r="O119" s="4" t="s">
        <v>4198</v>
      </c>
      <c r="P119" s="4" t="s">
        <v>233</v>
      </c>
    </row>
    <row r="120" spans="1:16" x14ac:dyDescent="0.35">
      <c r="A120" t="s">
        <v>10175</v>
      </c>
      <c r="B120" t="s">
        <v>5294</v>
      </c>
      <c r="C120" t="s">
        <v>16</v>
      </c>
      <c r="D120" s="6">
        <v>76116131.418671846</v>
      </c>
      <c r="E120" s="6">
        <v>-21850868.581328154</v>
      </c>
      <c r="F120" s="6">
        <v>1.2799999713897705</v>
      </c>
      <c r="G120" s="6">
        <v>1.2599999904632568</v>
      </c>
      <c r="H120" s="6" t="e">
        <v>#N/A</v>
      </c>
      <c r="I120" s="6">
        <v>-0.72899014503238391</v>
      </c>
      <c r="J120" s="6">
        <v>0</v>
      </c>
      <c r="K120" s="6">
        <v>49.315068493150676</v>
      </c>
      <c r="L120" t="s">
        <v>17</v>
      </c>
      <c r="M120" t="s">
        <v>18</v>
      </c>
      <c r="N120" s="4" t="s">
        <v>5295</v>
      </c>
      <c r="O120" s="4" t="s">
        <v>5296</v>
      </c>
      <c r="P120" s="4" t="s">
        <v>233</v>
      </c>
    </row>
    <row r="121" spans="1:16" x14ac:dyDescent="0.35">
      <c r="A121" t="s">
        <v>12612</v>
      </c>
      <c r="B121" t="s">
        <v>4455</v>
      </c>
      <c r="C121" t="s">
        <v>16</v>
      </c>
      <c r="D121" s="6">
        <v>157341499.92000103</v>
      </c>
      <c r="E121" s="6">
        <v>151519132.92000103</v>
      </c>
      <c r="F121" s="6">
        <v>11.970000267028809</v>
      </c>
      <c r="G121" s="6">
        <v>11.850000381469727</v>
      </c>
      <c r="H121" s="6" t="e">
        <v>#N/A</v>
      </c>
      <c r="I121" s="6">
        <v>0.36372077271701353</v>
      </c>
      <c r="J121" s="6">
        <v>0</v>
      </c>
      <c r="K121" s="6">
        <v>-13.649667443386209</v>
      </c>
      <c r="L121" t="s">
        <v>17</v>
      </c>
      <c r="M121" t="s">
        <v>18</v>
      </c>
      <c r="N121" s="4" t="s">
        <v>4456</v>
      </c>
      <c r="O121" s="4" t="s">
        <v>4457</v>
      </c>
      <c r="P121" s="4" t="s">
        <v>233</v>
      </c>
    </row>
    <row r="122" spans="1:16" x14ac:dyDescent="0.35">
      <c r="A122" t="s">
        <v>6790</v>
      </c>
      <c r="B122" t="s">
        <v>5255</v>
      </c>
      <c r="C122" t="s">
        <v>16</v>
      </c>
      <c r="D122" s="6">
        <v>609260009.70964897</v>
      </c>
      <c r="E122" s="6">
        <v>412287009.70964897</v>
      </c>
      <c r="F122" s="6">
        <v>12.039999961853027</v>
      </c>
      <c r="G122" s="6">
        <v>11.979999542236328</v>
      </c>
      <c r="H122" s="6" t="e">
        <v>#N/A</v>
      </c>
      <c r="I122" s="6">
        <v>-0.37793245799932362</v>
      </c>
      <c r="J122" s="6">
        <v>0</v>
      </c>
      <c r="K122" s="6">
        <v>-22.72727272727273</v>
      </c>
      <c r="L122" t="s">
        <v>17</v>
      </c>
      <c r="M122" t="s">
        <v>18</v>
      </c>
      <c r="N122" s="4" t="s">
        <v>5256</v>
      </c>
      <c r="O122" s="4" t="s">
        <v>5257</v>
      </c>
      <c r="P122" s="4" t="s">
        <v>233</v>
      </c>
    </row>
    <row r="123" spans="1:16" x14ac:dyDescent="0.35">
      <c r="A123" t="s">
        <v>12529</v>
      </c>
      <c r="B123" t="s">
        <v>667</v>
      </c>
      <c r="C123" t="s">
        <v>16</v>
      </c>
      <c r="D123" s="6">
        <v>81623574.684703335</v>
      </c>
      <c r="E123" s="6">
        <v>94507574.684703335</v>
      </c>
      <c r="F123" s="6">
        <v>1.309999942779541</v>
      </c>
      <c r="G123" s="6">
        <v>1.2999999523162842</v>
      </c>
      <c r="H123" s="6" t="e">
        <v>#N/A</v>
      </c>
      <c r="I123" s="6">
        <v>-0.21033268323231913</v>
      </c>
      <c r="J123" s="6">
        <v>0</v>
      </c>
      <c r="K123" s="6">
        <v>-34.161624106989152</v>
      </c>
      <c r="L123" t="s">
        <v>17</v>
      </c>
      <c r="M123" t="s">
        <v>18</v>
      </c>
      <c r="N123" s="4" t="s">
        <v>668</v>
      </c>
      <c r="O123" s="4" t="s">
        <v>669</v>
      </c>
      <c r="P123" s="4" t="s">
        <v>233</v>
      </c>
    </row>
    <row r="124" spans="1:16" x14ac:dyDescent="0.35">
      <c r="A124" t="s">
        <v>10868</v>
      </c>
      <c r="B124" t="s">
        <v>4562</v>
      </c>
      <c r="C124" t="s">
        <v>16</v>
      </c>
      <c r="D124" s="6">
        <v>1416582143.1241264</v>
      </c>
      <c r="E124" s="6">
        <v>717766143.12412643</v>
      </c>
      <c r="F124" s="6">
        <v>13.920000076293945</v>
      </c>
      <c r="G124" s="6">
        <v>13.100000381469727</v>
      </c>
      <c r="H124" s="6" t="e">
        <v>#N/A</v>
      </c>
      <c r="I124" s="6">
        <v>-0.42652316575963167</v>
      </c>
      <c r="J124" s="6">
        <v>0</v>
      </c>
      <c r="K124" s="6">
        <v>0.85878296448187685</v>
      </c>
      <c r="L124" t="s">
        <v>17</v>
      </c>
      <c r="M124" t="s">
        <v>18</v>
      </c>
      <c r="N124" s="4" t="s">
        <v>4563</v>
      </c>
      <c r="O124" s="4" t="s">
        <v>4564</v>
      </c>
      <c r="P124" s="4" t="s">
        <v>233</v>
      </c>
    </row>
    <row r="125" spans="1:16" x14ac:dyDescent="0.35">
      <c r="A125" t="s">
        <v>10068</v>
      </c>
      <c r="B125" t="s">
        <v>3932</v>
      </c>
      <c r="C125" t="s">
        <v>16</v>
      </c>
      <c r="D125" s="6">
        <v>1062033827.0521193</v>
      </c>
      <c r="E125" s="6">
        <v>717234827.05211926</v>
      </c>
      <c r="F125" s="6">
        <v>13.789999961853027</v>
      </c>
      <c r="G125" s="6">
        <v>12.359999656677246</v>
      </c>
      <c r="H125" s="6" t="e">
        <v>#N/A</v>
      </c>
      <c r="I125" s="6">
        <v>0.73198286949123426</v>
      </c>
      <c r="J125" s="6">
        <v>0</v>
      </c>
      <c r="K125" s="6">
        <v>2.8423539995142013</v>
      </c>
      <c r="L125" t="s">
        <v>17</v>
      </c>
      <c r="M125" t="s">
        <v>18</v>
      </c>
      <c r="N125" s="4" t="s">
        <v>3933</v>
      </c>
      <c r="O125" s="4" t="s">
        <v>3934</v>
      </c>
      <c r="P125" s="4" t="s">
        <v>233</v>
      </c>
    </row>
    <row r="126" spans="1:16" x14ac:dyDescent="0.35">
      <c r="A126" t="s">
        <v>11261</v>
      </c>
      <c r="B126" t="s">
        <v>3355</v>
      </c>
      <c r="C126" t="s">
        <v>16</v>
      </c>
      <c r="D126" s="6">
        <v>394475177.89323235</v>
      </c>
      <c r="E126" s="6">
        <v>151154177.89323229</v>
      </c>
      <c r="F126" s="6">
        <v>6.9899997711181641</v>
      </c>
      <c r="G126" s="6">
        <v>6.7100000381469727</v>
      </c>
      <c r="H126" s="6" t="e">
        <v>#N/A</v>
      </c>
      <c r="I126" s="6">
        <v>-0.53240504756122231</v>
      </c>
      <c r="J126" s="6">
        <v>0</v>
      </c>
      <c r="K126" s="6">
        <v>4.9604545454545628</v>
      </c>
      <c r="L126" t="s">
        <v>17</v>
      </c>
      <c r="M126" t="s">
        <v>18</v>
      </c>
      <c r="N126" s="4" t="s">
        <v>3356</v>
      </c>
      <c r="O126" s="4" t="s">
        <v>3357</v>
      </c>
      <c r="P126" s="4" t="s">
        <v>233</v>
      </c>
    </row>
    <row r="127" spans="1:16" x14ac:dyDescent="0.35">
      <c r="A127" t="s">
        <v>6991</v>
      </c>
      <c r="B127" t="s">
        <v>4670</v>
      </c>
      <c r="C127" t="s">
        <v>16</v>
      </c>
      <c r="D127" s="6">
        <v>306979558.21928072</v>
      </c>
      <c r="E127" s="6">
        <v>78652558.21928072</v>
      </c>
      <c r="F127" s="6">
        <v>5.5199999809265137</v>
      </c>
      <c r="G127" s="6">
        <v>5.320000171661377</v>
      </c>
      <c r="H127" s="6" t="e">
        <v>#N/A</v>
      </c>
      <c r="I127" s="6">
        <v>-0.11367172108296153</v>
      </c>
      <c r="J127" s="6">
        <v>25515000</v>
      </c>
      <c r="K127" s="6">
        <v>21.949980637377696</v>
      </c>
      <c r="L127" t="s">
        <v>17</v>
      </c>
      <c r="M127" t="s">
        <v>18</v>
      </c>
      <c r="N127" s="4" t="s">
        <v>4671</v>
      </c>
      <c r="O127" s="4" t="s">
        <v>4672</v>
      </c>
      <c r="P127" s="4" t="s">
        <v>233</v>
      </c>
    </row>
    <row r="128" spans="1:16" x14ac:dyDescent="0.35">
      <c r="A128" t="s">
        <v>12793</v>
      </c>
      <c r="B128" t="s">
        <v>5556</v>
      </c>
      <c r="C128" t="s">
        <v>16</v>
      </c>
      <c r="D128" s="6">
        <v>159957364.00144741</v>
      </c>
      <c r="E128" s="6">
        <v>-105159635.99855262</v>
      </c>
      <c r="F128" s="6">
        <v>3.5499999523162842</v>
      </c>
      <c r="G128" s="6">
        <v>3.380000114440918</v>
      </c>
      <c r="H128" s="6" t="e">
        <v>#N/A</v>
      </c>
      <c r="I128" s="6">
        <v>-0.62452110683683926</v>
      </c>
      <c r="J128" s="6">
        <v>0</v>
      </c>
      <c r="K128" s="6">
        <v>70.229007633587784</v>
      </c>
      <c r="L128" t="s">
        <v>17</v>
      </c>
      <c r="M128" t="s">
        <v>87</v>
      </c>
      <c r="N128" s="4" t="s">
        <v>5557</v>
      </c>
      <c r="O128" s="4" t="s">
        <v>5558</v>
      </c>
      <c r="P128" s="4" t="s">
        <v>233</v>
      </c>
    </row>
    <row r="129" spans="1:16" x14ac:dyDescent="0.35">
      <c r="A129" t="s">
        <v>7672</v>
      </c>
      <c r="B129" t="s">
        <v>4148</v>
      </c>
      <c r="C129" t="s">
        <v>16</v>
      </c>
      <c r="D129" s="6">
        <v>543441196.14317894</v>
      </c>
      <c r="E129" s="6">
        <v>277339196.14317894</v>
      </c>
      <c r="F129" s="6">
        <v>10.260000228881836</v>
      </c>
      <c r="G129" s="6">
        <v>10.029999732971191</v>
      </c>
      <c r="H129" s="6" t="e">
        <v>#N/A</v>
      </c>
      <c r="I129" s="6">
        <v>1.056176201139051</v>
      </c>
      <c r="J129" s="6">
        <v>16742000</v>
      </c>
      <c r="K129" s="6">
        <v>13.259171292497113</v>
      </c>
      <c r="L129" t="s">
        <v>17</v>
      </c>
      <c r="M129" t="s">
        <v>18</v>
      </c>
      <c r="N129" s="4" t="s">
        <v>4149</v>
      </c>
      <c r="O129" s="4" t="s">
        <v>4150</v>
      </c>
      <c r="P129" s="4" t="s">
        <v>233</v>
      </c>
    </row>
    <row r="130" spans="1:16" x14ac:dyDescent="0.35">
      <c r="A130" t="s">
        <v>6813</v>
      </c>
      <c r="B130" t="s">
        <v>5448</v>
      </c>
      <c r="C130" t="s">
        <v>16</v>
      </c>
      <c r="D130" s="6">
        <v>3423737656.789742</v>
      </c>
      <c r="E130" s="6">
        <v>2812387656.789742</v>
      </c>
      <c r="F130" s="6">
        <v>63.314998626708984</v>
      </c>
      <c r="G130" s="6">
        <v>61.330001831054688</v>
      </c>
      <c r="H130" s="6" t="e">
        <v>#N/A</v>
      </c>
      <c r="I130" s="6">
        <v>-1.9383705404179552E-2</v>
      </c>
      <c r="J130" s="6">
        <v>155818000</v>
      </c>
      <c r="K130" s="6">
        <v>72.117744544540997</v>
      </c>
      <c r="L130" t="s">
        <v>17</v>
      </c>
      <c r="M130" t="s">
        <v>18</v>
      </c>
      <c r="N130" s="4" t="s">
        <v>5449</v>
      </c>
      <c r="O130" s="4" t="s">
        <v>5450</v>
      </c>
      <c r="P130" s="4" t="s">
        <v>233</v>
      </c>
    </row>
    <row r="131" spans="1:16" x14ac:dyDescent="0.35">
      <c r="A131" t="s">
        <v>7304</v>
      </c>
      <c r="B131" t="s">
        <v>897</v>
      </c>
      <c r="C131" t="s">
        <v>16</v>
      </c>
      <c r="D131" s="6">
        <v>7393161047.6531982</v>
      </c>
      <c r="E131" s="6">
        <v>8231009047.6531982</v>
      </c>
      <c r="F131" s="6">
        <v>58.110000610351563</v>
      </c>
      <c r="G131" s="6">
        <v>56.709999084472656</v>
      </c>
      <c r="H131" s="6">
        <v>19.172997652570359</v>
      </c>
      <c r="I131" s="6">
        <v>0.62602008164722367</v>
      </c>
      <c r="J131" s="6">
        <v>947355000</v>
      </c>
      <c r="K131" s="6">
        <v>61.256544502617814</v>
      </c>
      <c r="L131" t="s">
        <v>17</v>
      </c>
      <c r="M131" t="s">
        <v>18</v>
      </c>
      <c r="N131" s="4" t="s">
        <v>898</v>
      </c>
      <c r="O131" s="4" t="s">
        <v>899</v>
      </c>
      <c r="P131" s="4" t="s">
        <v>233</v>
      </c>
    </row>
    <row r="132" spans="1:16" x14ac:dyDescent="0.35">
      <c r="A132" t="s">
        <v>7975</v>
      </c>
      <c r="B132" t="s">
        <v>3713</v>
      </c>
      <c r="C132" t="s">
        <v>16</v>
      </c>
      <c r="D132" s="6">
        <v>4352046334.0085449</v>
      </c>
      <c r="E132" s="6">
        <v>3771198334.0085449</v>
      </c>
      <c r="F132" s="6">
        <v>151.32000732421875</v>
      </c>
      <c r="G132" s="6">
        <v>146.97999572753906</v>
      </c>
      <c r="H132" s="6">
        <v>54.584887693445467</v>
      </c>
      <c r="I132" s="6">
        <v>0.30488197966984965</v>
      </c>
      <c r="J132" s="6">
        <v>241518000</v>
      </c>
      <c r="K132" s="6" t="e">
        <v>#N/A</v>
      </c>
      <c r="L132" t="s">
        <v>17</v>
      </c>
      <c r="M132" t="s">
        <v>18</v>
      </c>
      <c r="N132" s="4" t="s">
        <v>3714</v>
      </c>
      <c r="O132" s="4" t="s">
        <v>3715</v>
      </c>
      <c r="P132" s="4" t="s">
        <v>233</v>
      </c>
    </row>
    <row r="133" spans="1:16" x14ac:dyDescent="0.35">
      <c r="A133" t="s">
        <v>9256</v>
      </c>
      <c r="B133" t="s">
        <v>4152</v>
      </c>
      <c r="C133" t="s">
        <v>16</v>
      </c>
      <c r="D133" s="6">
        <v>1114225147.4485531</v>
      </c>
      <c r="E133" s="6">
        <v>947434147.44855309</v>
      </c>
      <c r="F133" s="6">
        <v>7.5500001907348633</v>
      </c>
      <c r="G133" s="6">
        <v>7.5500001907348633</v>
      </c>
      <c r="H133" s="6" t="e">
        <v>#N/A</v>
      </c>
      <c r="I133" s="6">
        <v>0.92257430435788756</v>
      </c>
      <c r="J133" s="6">
        <v>178957000</v>
      </c>
      <c r="K133" s="6">
        <v>30.769230769230766</v>
      </c>
      <c r="L133" t="s">
        <v>17</v>
      </c>
      <c r="M133" t="s">
        <v>100</v>
      </c>
      <c r="N133" s="4" t="s">
        <v>4153</v>
      </c>
      <c r="O133" s="4" t="s">
        <v>4154</v>
      </c>
      <c r="P133" s="4" t="s">
        <v>233</v>
      </c>
    </row>
    <row r="134" spans="1:16" x14ac:dyDescent="0.35">
      <c r="A134" t="s">
        <v>8277</v>
      </c>
      <c r="B134" t="s">
        <v>4459</v>
      </c>
      <c r="C134" t="s">
        <v>16</v>
      </c>
      <c r="D134" s="6">
        <v>629359920.48371172</v>
      </c>
      <c r="E134" s="6">
        <v>-160434079.51628816</v>
      </c>
      <c r="F134" s="6">
        <v>3.7599999904632568</v>
      </c>
      <c r="G134" s="6">
        <v>3.630000114440918</v>
      </c>
      <c r="H134" s="6" t="e">
        <v>#N/A</v>
      </c>
      <c r="I134" s="6">
        <v>-0.60195338388868747</v>
      </c>
      <c r="J134" s="6">
        <v>10007000</v>
      </c>
      <c r="K134" s="6">
        <v>2.9739776951672892</v>
      </c>
      <c r="L134" t="s">
        <v>17</v>
      </c>
      <c r="M134" t="s">
        <v>18</v>
      </c>
      <c r="N134" s="4" t="s">
        <v>4460</v>
      </c>
      <c r="O134" s="4" t="s">
        <v>4461</v>
      </c>
      <c r="P134" s="4" t="s">
        <v>233</v>
      </c>
    </row>
    <row r="135" spans="1:16" x14ac:dyDescent="0.35">
      <c r="A135" t="s">
        <v>9266</v>
      </c>
      <c r="B135" t="s">
        <v>4164</v>
      </c>
      <c r="C135" t="s">
        <v>16</v>
      </c>
      <c r="D135" s="6">
        <v>6038224318.0877762</v>
      </c>
      <c r="E135" s="6">
        <v>7513179318.0877762</v>
      </c>
      <c r="F135" s="6">
        <v>31.950000762939453</v>
      </c>
      <c r="G135" s="6">
        <v>30.5</v>
      </c>
      <c r="H135" s="6" t="e">
        <v>#N/A</v>
      </c>
      <c r="I135" s="6">
        <v>-0.10351843693204577</v>
      </c>
      <c r="J135" s="6">
        <v>217765000</v>
      </c>
      <c r="K135" s="6">
        <v>38.205128205128197</v>
      </c>
      <c r="L135" t="s">
        <v>17</v>
      </c>
      <c r="M135" t="s">
        <v>18</v>
      </c>
      <c r="N135" s="4" t="s">
        <v>4165</v>
      </c>
      <c r="O135" s="4" t="s">
        <v>4166</v>
      </c>
      <c r="P135" s="4" t="s">
        <v>233</v>
      </c>
    </row>
    <row r="136" spans="1:16" x14ac:dyDescent="0.35">
      <c r="A136" t="s">
        <v>8276</v>
      </c>
      <c r="B136" t="s">
        <v>4289</v>
      </c>
      <c r="C136" t="s">
        <v>16</v>
      </c>
      <c r="D136" s="6">
        <v>82357424.536462784</v>
      </c>
      <c r="E136" s="6">
        <v>-8075575.4635372162</v>
      </c>
      <c r="F136" s="6">
        <v>5.4899997711181641</v>
      </c>
      <c r="G136" s="6">
        <v>5.3299999237060547</v>
      </c>
      <c r="H136" s="6" t="e">
        <v>#N/A</v>
      </c>
      <c r="I136" s="6">
        <v>-0.67700736405578188</v>
      </c>
      <c r="J136" s="6">
        <v>0</v>
      </c>
      <c r="K136" s="6">
        <v>42.876144578313244</v>
      </c>
      <c r="L136" t="s">
        <v>17</v>
      </c>
      <c r="M136" t="s">
        <v>18</v>
      </c>
      <c r="N136" s="4" t="s">
        <v>4290</v>
      </c>
      <c r="O136" s="4" t="s">
        <v>4291</v>
      </c>
      <c r="P136" s="4" t="s">
        <v>233</v>
      </c>
    </row>
    <row r="137" spans="1:16" x14ac:dyDescent="0.35">
      <c r="A137" t="s">
        <v>7840</v>
      </c>
      <c r="B137" t="s">
        <v>2559</v>
      </c>
      <c r="C137" t="s">
        <v>16</v>
      </c>
      <c r="D137" s="6">
        <v>2341641882.78791</v>
      </c>
      <c r="E137" s="6">
        <v>1908048882.78791</v>
      </c>
      <c r="F137" s="6">
        <v>18.569999694824219</v>
      </c>
      <c r="G137" s="6">
        <v>18.350000381469727</v>
      </c>
      <c r="H137" s="6" t="e">
        <v>#N/A</v>
      </c>
      <c r="I137" s="6">
        <v>-0.42349527890365002</v>
      </c>
      <c r="J137" s="6">
        <v>2500000</v>
      </c>
      <c r="K137" s="6">
        <v>-86.841601447636251</v>
      </c>
      <c r="L137" t="s">
        <v>17</v>
      </c>
      <c r="M137" t="s">
        <v>18</v>
      </c>
      <c r="N137" s="4" t="s">
        <v>2560</v>
      </c>
      <c r="O137" s="4" t="s">
        <v>2561</v>
      </c>
      <c r="P137" s="4" t="s">
        <v>233</v>
      </c>
    </row>
    <row r="138" spans="1:16" x14ac:dyDescent="0.35">
      <c r="A138" t="s">
        <v>9440</v>
      </c>
      <c r="B138" t="s">
        <v>5212</v>
      </c>
      <c r="C138" t="s">
        <v>16</v>
      </c>
      <c r="D138" s="6">
        <v>101507876.95890427</v>
      </c>
      <c r="E138" s="6">
        <v>-4941123.0410957336</v>
      </c>
      <c r="F138" s="6">
        <v>1.5099999904632568</v>
      </c>
      <c r="G138" s="6">
        <v>1.5099999904632568</v>
      </c>
      <c r="H138" s="6" t="e">
        <v>#N/A</v>
      </c>
      <c r="I138" s="6">
        <v>-0.41836786186218722</v>
      </c>
      <c r="J138" s="6">
        <v>0</v>
      </c>
      <c r="K138" s="6">
        <v>24.418604651162788</v>
      </c>
      <c r="L138" t="s">
        <v>17</v>
      </c>
      <c r="M138" t="s">
        <v>18</v>
      </c>
      <c r="N138" s="4" t="s">
        <v>5213</v>
      </c>
      <c r="O138" s="4" t="s">
        <v>5214</v>
      </c>
      <c r="P138" s="4" t="s">
        <v>233</v>
      </c>
    </row>
    <row r="139" spans="1:16" x14ac:dyDescent="0.35">
      <c r="A139" t="s">
        <v>9002</v>
      </c>
      <c r="B139" t="s">
        <v>5095</v>
      </c>
      <c r="C139" t="s">
        <v>16</v>
      </c>
      <c r="D139" s="6">
        <v>36600605.450783372</v>
      </c>
      <c r="E139" s="6">
        <v>-16369394.549216628</v>
      </c>
      <c r="F139" s="6">
        <v>0.61909997463226318</v>
      </c>
      <c r="G139" s="6">
        <v>0.60110002756118774</v>
      </c>
      <c r="H139" s="6" t="e">
        <v>#N/A</v>
      </c>
      <c r="I139" s="6">
        <v>-0.78634934725281513</v>
      </c>
      <c r="J139" s="6">
        <v>0</v>
      </c>
      <c r="K139" s="6">
        <v>67.237163814180931</v>
      </c>
      <c r="L139" t="s">
        <v>17</v>
      </c>
      <c r="M139" t="s">
        <v>18</v>
      </c>
      <c r="N139" s="4" t="s">
        <v>5096</v>
      </c>
      <c r="O139" s="4" t="s">
        <v>5097</v>
      </c>
      <c r="P139" s="4" t="s">
        <v>233</v>
      </c>
    </row>
    <row r="140" spans="1:16" x14ac:dyDescent="0.35">
      <c r="A140" t="s">
        <v>11737</v>
      </c>
      <c r="B140" t="s">
        <v>2892</v>
      </c>
      <c r="C140" t="s">
        <v>16</v>
      </c>
      <c r="D140" s="6">
        <v>1871160776.2690544</v>
      </c>
      <c r="E140" s="6">
        <v>271348776.26905417</v>
      </c>
      <c r="F140" s="6">
        <v>32.810001373291016</v>
      </c>
      <c r="G140" s="6">
        <v>32</v>
      </c>
      <c r="H140" s="6" t="e">
        <v>#N/A</v>
      </c>
      <c r="I140" s="6">
        <v>0.26695281591725006</v>
      </c>
      <c r="J140" s="6">
        <v>32871000</v>
      </c>
      <c r="K140" s="6" t="e">
        <v>#N/A</v>
      </c>
      <c r="L140" t="s">
        <v>17</v>
      </c>
      <c r="M140" t="s">
        <v>18</v>
      </c>
      <c r="N140" s="4" t="s">
        <v>2893</v>
      </c>
      <c r="O140" s="4" t="s">
        <v>2894</v>
      </c>
      <c r="P140" s="4" t="s">
        <v>233</v>
      </c>
    </row>
    <row r="141" spans="1:16" x14ac:dyDescent="0.35">
      <c r="A141" t="s">
        <v>9242</v>
      </c>
      <c r="B141" t="s">
        <v>4254</v>
      </c>
      <c r="C141" t="s">
        <v>16</v>
      </c>
      <c r="D141" s="6">
        <v>2365756738.1197281</v>
      </c>
      <c r="E141" s="6">
        <v>1602064738.1197281</v>
      </c>
      <c r="F141" s="6">
        <v>28.569999694824219</v>
      </c>
      <c r="G141" s="6">
        <v>26.360000610351563</v>
      </c>
      <c r="H141" s="6" t="e">
        <v>#N/A</v>
      </c>
      <c r="I141" s="6">
        <v>-0.14424565317319271</v>
      </c>
      <c r="J141" s="6">
        <v>349643000</v>
      </c>
      <c r="K141" s="6">
        <v>57.821585944268207</v>
      </c>
      <c r="L141" t="s">
        <v>17</v>
      </c>
      <c r="M141" t="s">
        <v>18</v>
      </c>
      <c r="N141" s="4" t="s">
        <v>4255</v>
      </c>
      <c r="O141" s="4" t="s">
        <v>4256</v>
      </c>
      <c r="P141" s="4" t="s">
        <v>233</v>
      </c>
    </row>
    <row r="142" spans="1:16" x14ac:dyDescent="0.35">
      <c r="A142" t="s">
        <v>8849</v>
      </c>
      <c r="B142" t="s">
        <v>2768</v>
      </c>
      <c r="C142" t="s">
        <v>16</v>
      </c>
      <c r="D142" s="6">
        <v>3773733270.5267253</v>
      </c>
      <c r="E142" s="6">
        <v>3160581270.5267253</v>
      </c>
      <c r="F142" s="6">
        <v>48.930000305175781</v>
      </c>
      <c r="G142" s="6">
        <v>47.639999389648438</v>
      </c>
      <c r="H142" s="6" t="e">
        <v>#N/A</v>
      </c>
      <c r="I142" s="6">
        <v>0.88445723508558483</v>
      </c>
      <c r="J142" s="6">
        <v>900664000</v>
      </c>
      <c r="K142" s="6">
        <v>31.32947976878614</v>
      </c>
      <c r="L142" t="s">
        <v>17</v>
      </c>
      <c r="M142" t="s">
        <v>18</v>
      </c>
      <c r="N142" s="4" t="s">
        <v>2769</v>
      </c>
      <c r="O142" s="4" t="s">
        <v>2770</v>
      </c>
      <c r="P142" s="4" t="s">
        <v>233</v>
      </c>
    </row>
    <row r="143" spans="1:16" x14ac:dyDescent="0.35">
      <c r="A143" t="s">
        <v>6611</v>
      </c>
      <c r="B143" t="s">
        <v>2345</v>
      </c>
      <c r="C143" t="s">
        <v>16</v>
      </c>
      <c r="D143" s="6">
        <v>34003522.231275201</v>
      </c>
      <c r="E143" s="6">
        <v>-42945477.768724799</v>
      </c>
      <c r="F143" s="6">
        <v>1.0900000333786011</v>
      </c>
      <c r="G143" s="6">
        <v>1.1000000238418579</v>
      </c>
      <c r="H143" s="6" t="e">
        <v>#N/A</v>
      </c>
      <c r="I143" s="6">
        <v>-0.80689204522163072</v>
      </c>
      <c r="J143" s="6">
        <v>81000</v>
      </c>
      <c r="K143" s="6">
        <v>26.986102511646433</v>
      </c>
      <c r="L143" t="s">
        <v>17</v>
      </c>
      <c r="M143" t="s">
        <v>18</v>
      </c>
      <c r="N143" s="4" t="s">
        <v>2346</v>
      </c>
      <c r="O143" s="4" t="s">
        <v>2347</v>
      </c>
      <c r="P143" s="4" t="s">
        <v>233</v>
      </c>
    </row>
    <row r="144" spans="1:16" x14ac:dyDescent="0.35">
      <c r="A144" t="s">
        <v>12195</v>
      </c>
      <c r="B144" t="s">
        <v>152</v>
      </c>
      <c r="C144" t="s">
        <v>16</v>
      </c>
      <c r="D144" s="6">
        <v>1254248490.7988548</v>
      </c>
      <c r="E144" s="6">
        <v>578025490.79885483</v>
      </c>
      <c r="F144" s="6">
        <v>7.8299999237060547</v>
      </c>
      <c r="G144" s="6">
        <v>7.940000057220459</v>
      </c>
      <c r="H144" s="6" t="e">
        <v>#N/A</v>
      </c>
      <c r="I144" s="6">
        <v>0.88347710363936449</v>
      </c>
      <c r="J144" s="6">
        <v>885193000</v>
      </c>
      <c r="K144" s="6">
        <v>65.714285714285722</v>
      </c>
      <c r="L144" t="s">
        <v>17</v>
      </c>
      <c r="M144" t="s">
        <v>18</v>
      </c>
      <c r="N144" s="4" t="s">
        <v>153</v>
      </c>
      <c r="O144" s="4" t="s">
        <v>154</v>
      </c>
      <c r="P144" s="4" t="s">
        <v>233</v>
      </c>
    </row>
    <row r="145" spans="1:16" x14ac:dyDescent="0.35">
      <c r="A145" t="s">
        <v>8259</v>
      </c>
      <c r="B145" t="s">
        <v>4088</v>
      </c>
      <c r="C145" t="s">
        <v>16</v>
      </c>
      <c r="D145" s="6">
        <v>429605504.44029331</v>
      </c>
      <c r="E145" s="6">
        <v>221849504.44029331</v>
      </c>
      <c r="F145" s="6">
        <v>15.859999656677246</v>
      </c>
      <c r="G145" s="6">
        <v>15.710000038146973</v>
      </c>
      <c r="H145" s="6" t="e">
        <v>#N/A</v>
      </c>
      <c r="I145" s="6">
        <v>-0.61792739147527875</v>
      </c>
      <c r="J145" s="6">
        <v>160399000</v>
      </c>
      <c r="K145" s="6" t="e">
        <v>#N/A</v>
      </c>
      <c r="L145" t="s">
        <v>17</v>
      </c>
      <c r="M145" t="s">
        <v>18</v>
      </c>
      <c r="N145" s="4" t="s">
        <v>4089</v>
      </c>
      <c r="O145" s="4" t="s">
        <v>4090</v>
      </c>
      <c r="P145" s="4" t="s">
        <v>233</v>
      </c>
    </row>
    <row r="146" spans="1:16" x14ac:dyDescent="0.35">
      <c r="A146" t="s">
        <v>12458</v>
      </c>
      <c r="B146" t="s">
        <v>5572</v>
      </c>
      <c r="C146" t="s">
        <v>16</v>
      </c>
      <c r="D146" s="6">
        <v>334460140.84576368</v>
      </c>
      <c r="E146" s="6">
        <v>226428140.84576368</v>
      </c>
      <c r="F146" s="6">
        <v>2.5499999523162842</v>
      </c>
      <c r="G146" s="6">
        <v>2.25</v>
      </c>
      <c r="H146" s="6" t="e">
        <v>#N/A</v>
      </c>
      <c r="I146" s="6">
        <v>-0.64920042581004667</v>
      </c>
      <c r="J146" s="6">
        <v>0</v>
      </c>
      <c r="K146" s="6">
        <v>47.971360381861579</v>
      </c>
      <c r="L146" t="s">
        <v>17</v>
      </c>
      <c r="M146" t="s">
        <v>18</v>
      </c>
      <c r="N146" s="4" t="s">
        <v>5573</v>
      </c>
      <c r="O146" s="4" t="s">
        <v>5574</v>
      </c>
      <c r="P146" s="4" t="s">
        <v>233</v>
      </c>
    </row>
    <row r="147" spans="1:16" x14ac:dyDescent="0.35">
      <c r="A147" t="s">
        <v>11728</v>
      </c>
      <c r="B147" t="s">
        <v>5738</v>
      </c>
      <c r="C147" t="s">
        <v>16</v>
      </c>
      <c r="D147" s="6">
        <v>906453618.04555321</v>
      </c>
      <c r="E147" s="6">
        <v>623811618.04555321</v>
      </c>
      <c r="F147" s="6">
        <v>26.899999618530273</v>
      </c>
      <c r="G147" s="6">
        <v>26.319999694824219</v>
      </c>
      <c r="H147" s="6" t="e">
        <v>#N/A</v>
      </c>
      <c r="I147" s="6">
        <v>0.27826497470962619</v>
      </c>
      <c r="J147" s="6">
        <v>0</v>
      </c>
      <c r="K147" s="6" t="e">
        <v>#N/A</v>
      </c>
      <c r="L147" t="s">
        <v>17</v>
      </c>
      <c r="M147" t="s">
        <v>18</v>
      </c>
      <c r="N147" s="4" t="s">
        <v>5739</v>
      </c>
      <c r="O147" s="4" t="s">
        <v>5740</v>
      </c>
      <c r="P147" s="4" t="s">
        <v>233</v>
      </c>
    </row>
    <row r="148" spans="1:16" x14ac:dyDescent="0.35">
      <c r="A148" t="s">
        <v>6779</v>
      </c>
      <c r="B148" t="s">
        <v>3236</v>
      </c>
      <c r="C148" t="s">
        <v>16</v>
      </c>
      <c r="D148" s="6">
        <v>1028562547.3057059</v>
      </c>
      <c r="E148" s="6">
        <v>818542547.3057059</v>
      </c>
      <c r="F148" s="6">
        <v>9.8599996566772461</v>
      </c>
      <c r="G148" s="6">
        <v>9.6899995803833008</v>
      </c>
      <c r="H148" s="6" t="e">
        <v>#N/A</v>
      </c>
      <c r="I148" s="6">
        <v>-0.67022298835030636</v>
      </c>
      <c r="J148" s="6">
        <v>0</v>
      </c>
      <c r="K148" s="6">
        <v>14.596273291925458</v>
      </c>
      <c r="L148" t="s">
        <v>17</v>
      </c>
      <c r="M148" t="s">
        <v>18</v>
      </c>
      <c r="N148" s="4" t="s">
        <v>3237</v>
      </c>
      <c r="O148" s="4" t="s">
        <v>3238</v>
      </c>
      <c r="P148" s="4" t="s">
        <v>233</v>
      </c>
    </row>
    <row r="149" spans="1:16" x14ac:dyDescent="0.35">
      <c r="A149" t="s">
        <v>11482</v>
      </c>
      <c r="B149" t="s">
        <v>4242</v>
      </c>
      <c r="C149" t="s">
        <v>16</v>
      </c>
      <c r="D149" s="6">
        <v>278705794.49999994</v>
      </c>
      <c r="E149" s="6">
        <v>183493794.49999994</v>
      </c>
      <c r="F149" s="6">
        <v>29.75</v>
      </c>
      <c r="G149" s="6">
        <v>29.649999618530273</v>
      </c>
      <c r="H149" s="6" t="e">
        <v>#N/A</v>
      </c>
      <c r="I149" s="6">
        <v>-0.45818197460289389</v>
      </c>
      <c r="J149" s="6">
        <v>0</v>
      </c>
      <c r="K149" s="6">
        <v>99.026214041655521</v>
      </c>
      <c r="L149" t="s">
        <v>17</v>
      </c>
      <c r="M149" t="s">
        <v>18</v>
      </c>
      <c r="N149" s="4" t="s">
        <v>4243</v>
      </c>
      <c r="O149" s="4" t="s">
        <v>4244</v>
      </c>
      <c r="P149" s="4" t="s">
        <v>233</v>
      </c>
    </row>
    <row r="150" spans="1:16" x14ac:dyDescent="0.35">
      <c r="A150" t="s">
        <v>12174</v>
      </c>
      <c r="B150" t="s">
        <v>3645</v>
      </c>
      <c r="C150" t="s">
        <v>16</v>
      </c>
      <c r="D150" s="6">
        <v>437607918.35066026</v>
      </c>
      <c r="E150" s="6">
        <v>306137918.35066032</v>
      </c>
      <c r="F150" s="6">
        <v>10.369999885559082</v>
      </c>
      <c r="G150" s="6">
        <v>10.060000419616699</v>
      </c>
      <c r="H150" s="6" t="e">
        <v>#N/A</v>
      </c>
      <c r="I150" s="6">
        <v>-0.46178159798788154</v>
      </c>
      <c r="J150" s="6">
        <v>89363000</v>
      </c>
      <c r="K150" s="6">
        <v>25.531914893617024</v>
      </c>
      <c r="L150" t="s">
        <v>17</v>
      </c>
      <c r="M150" t="s">
        <v>18</v>
      </c>
      <c r="N150" s="4" t="s">
        <v>233</v>
      </c>
      <c r="O150" s="4" t="s">
        <v>3646</v>
      </c>
      <c r="P150" s="4" t="s">
        <v>13084</v>
      </c>
    </row>
    <row r="151" spans="1:16" x14ac:dyDescent="0.35">
      <c r="A151" t="s">
        <v>8254</v>
      </c>
      <c r="B151" t="s">
        <v>3663</v>
      </c>
      <c r="C151" t="s">
        <v>16</v>
      </c>
      <c r="D151" s="6">
        <v>79715782.60805206</v>
      </c>
      <c r="E151" s="6">
        <v>-55408217.39194794</v>
      </c>
      <c r="F151" s="6">
        <v>0.64529997110366821</v>
      </c>
      <c r="G151" s="6">
        <v>0.6600000262260437</v>
      </c>
      <c r="H151" s="6" t="e">
        <v>#N/A</v>
      </c>
      <c r="I151" s="6">
        <v>-0.83498900024471767</v>
      </c>
      <c r="J151" s="6">
        <v>34837000</v>
      </c>
      <c r="K151" s="6">
        <v>65.730337078651672</v>
      </c>
      <c r="L151" t="s">
        <v>17</v>
      </c>
      <c r="M151" t="s">
        <v>18</v>
      </c>
      <c r="N151" s="4" t="s">
        <v>3664</v>
      </c>
      <c r="O151" s="4" t="s">
        <v>3665</v>
      </c>
      <c r="P151" s="4" t="s">
        <v>233</v>
      </c>
    </row>
    <row r="152" spans="1:16" x14ac:dyDescent="0.35">
      <c r="A152" t="s">
        <v>11954</v>
      </c>
      <c r="B152" t="s">
        <v>4718</v>
      </c>
      <c r="C152" t="s">
        <v>16</v>
      </c>
      <c r="D152" s="6">
        <v>1130267085.371995</v>
      </c>
      <c r="E152" s="6">
        <v>925745085.37199497</v>
      </c>
      <c r="F152" s="6">
        <v>11.630000114440918</v>
      </c>
      <c r="G152" s="6">
        <v>11.359999656677246</v>
      </c>
      <c r="H152" s="6" t="e">
        <v>#N/A</v>
      </c>
      <c r="I152" s="6">
        <v>0.55709103357146494</v>
      </c>
      <c r="J152" s="6">
        <v>2568000</v>
      </c>
      <c r="K152" s="6" t="e">
        <v>#N/A</v>
      </c>
      <c r="L152" t="s">
        <v>17</v>
      </c>
      <c r="M152" t="s">
        <v>18</v>
      </c>
      <c r="N152" s="4" t="s">
        <v>4719</v>
      </c>
      <c r="O152" s="4" t="s">
        <v>4720</v>
      </c>
      <c r="P152" s="4" t="s">
        <v>233</v>
      </c>
    </row>
    <row r="153" spans="1:16" x14ac:dyDescent="0.35">
      <c r="A153" t="s">
        <v>8797</v>
      </c>
      <c r="B153" t="s">
        <v>4231</v>
      </c>
      <c r="C153" t="s">
        <v>16</v>
      </c>
      <c r="D153" s="6">
        <v>1254630245.9175491</v>
      </c>
      <c r="E153" s="6">
        <v>186991245.91754925</v>
      </c>
      <c r="F153" s="6">
        <v>9.1099996566772461</v>
      </c>
      <c r="G153" s="6">
        <v>8.9099998474121094</v>
      </c>
      <c r="H153" s="6" t="e">
        <v>#N/A</v>
      </c>
      <c r="I153" s="6">
        <v>-6.4510861217391913E-2</v>
      </c>
      <c r="J153" s="6">
        <v>78618000</v>
      </c>
      <c r="K153" s="6">
        <v>12.694877505567934</v>
      </c>
      <c r="L153" t="s">
        <v>17</v>
      </c>
      <c r="M153" t="s">
        <v>18</v>
      </c>
      <c r="N153" s="4" t="s">
        <v>4232</v>
      </c>
      <c r="O153" s="4" t="s">
        <v>4233</v>
      </c>
      <c r="P153" s="4" t="s">
        <v>233</v>
      </c>
    </row>
    <row r="154" spans="1:16" x14ac:dyDescent="0.35">
      <c r="A154" t="s">
        <v>9216</v>
      </c>
      <c r="B154" t="s">
        <v>4544</v>
      </c>
      <c r="C154" t="s">
        <v>16</v>
      </c>
      <c r="D154" s="6">
        <v>515959391.24999994</v>
      </c>
      <c r="E154" s="6">
        <v>387434391.25</v>
      </c>
      <c r="F154" s="6">
        <v>3.75</v>
      </c>
      <c r="G154" s="6">
        <v>3.6600000858306885</v>
      </c>
      <c r="H154" s="6" t="e">
        <v>#N/A</v>
      </c>
      <c r="I154" s="6">
        <v>1.3095124466873931</v>
      </c>
      <c r="J154" s="6">
        <v>850000</v>
      </c>
      <c r="K154" s="6">
        <v>-11.219408190305044</v>
      </c>
      <c r="L154" t="s">
        <v>17</v>
      </c>
      <c r="M154" t="s">
        <v>18</v>
      </c>
      <c r="N154" s="4" t="s">
        <v>4545</v>
      </c>
      <c r="O154" s="4" t="s">
        <v>4546</v>
      </c>
      <c r="P154" s="4" t="s">
        <v>233</v>
      </c>
    </row>
    <row r="155" spans="1:16" x14ac:dyDescent="0.35">
      <c r="A155" t="s">
        <v>8938</v>
      </c>
      <c r="B155" t="s">
        <v>1225</v>
      </c>
      <c r="C155" t="s">
        <v>16</v>
      </c>
      <c r="D155" s="6">
        <v>372454423.75764942</v>
      </c>
      <c r="E155" s="6">
        <v>822059423.7576493</v>
      </c>
      <c r="F155" s="6">
        <v>1.3600000143051147</v>
      </c>
      <c r="G155" s="6">
        <v>1.3300000429153442</v>
      </c>
      <c r="H155" s="6" t="e">
        <v>#N/A</v>
      </c>
      <c r="I155" s="6">
        <v>-0.79643161225644654</v>
      </c>
      <c r="J155" s="6">
        <v>173147000</v>
      </c>
      <c r="K155" s="6">
        <v>-14.960629921259837</v>
      </c>
      <c r="L155" t="s">
        <v>17</v>
      </c>
      <c r="M155" t="s">
        <v>100</v>
      </c>
      <c r="N155" s="4" t="s">
        <v>1226</v>
      </c>
      <c r="O155" s="4" t="s">
        <v>1227</v>
      </c>
      <c r="P155" s="4" t="s">
        <v>233</v>
      </c>
    </row>
    <row r="156" spans="1:16" x14ac:dyDescent="0.35">
      <c r="A156" t="s">
        <v>12380</v>
      </c>
      <c r="B156" t="s">
        <v>3812</v>
      </c>
      <c r="C156" t="s">
        <v>16</v>
      </c>
      <c r="D156" s="6">
        <v>141039761.56688949</v>
      </c>
      <c r="E156" s="6">
        <v>-5358238.4331105351</v>
      </c>
      <c r="F156" s="6">
        <v>3.5299999713897705</v>
      </c>
      <c r="G156" s="6">
        <v>3.2699999809265137</v>
      </c>
      <c r="H156" s="6" t="e">
        <v>#N/A</v>
      </c>
      <c r="I156" s="6">
        <v>-0.56158812258972546</v>
      </c>
      <c r="J156" s="6">
        <v>0</v>
      </c>
      <c r="K156" s="6">
        <v>22.497978119137851</v>
      </c>
      <c r="L156" t="s">
        <v>17</v>
      </c>
      <c r="M156" t="s">
        <v>18</v>
      </c>
      <c r="N156" s="4" t="s">
        <v>3813</v>
      </c>
      <c r="O156" s="4" t="s">
        <v>3814</v>
      </c>
      <c r="P156" s="4" t="s">
        <v>233</v>
      </c>
    </row>
    <row r="157" spans="1:16" x14ac:dyDescent="0.35">
      <c r="A157" t="s">
        <v>9150</v>
      </c>
      <c r="B157" t="s">
        <v>3144</v>
      </c>
      <c r="C157" t="s">
        <v>16</v>
      </c>
      <c r="D157" s="6">
        <v>85082076.844203949</v>
      </c>
      <c r="E157" s="6">
        <v>5104076.844203949</v>
      </c>
      <c r="F157" s="6">
        <v>4.0900001525878906</v>
      </c>
      <c r="G157" s="6">
        <v>4.0100002288818359</v>
      </c>
      <c r="H157" s="6" t="e">
        <v>#N/A</v>
      </c>
      <c r="I157" s="6">
        <v>-0.7935819592804747</v>
      </c>
      <c r="J157" s="6">
        <v>1000000</v>
      </c>
      <c r="K157" s="6">
        <v>52.460317460317448</v>
      </c>
      <c r="L157" t="s">
        <v>17</v>
      </c>
      <c r="M157" t="s">
        <v>18</v>
      </c>
      <c r="N157" s="4" t="s">
        <v>3145</v>
      </c>
      <c r="O157" s="4" t="s">
        <v>3146</v>
      </c>
      <c r="P157" s="4" t="s">
        <v>233</v>
      </c>
    </row>
    <row r="158" spans="1:16" x14ac:dyDescent="0.35">
      <c r="A158" t="s">
        <v>11274</v>
      </c>
      <c r="B158" t="s">
        <v>4518</v>
      </c>
      <c r="C158" t="s">
        <v>16</v>
      </c>
      <c r="D158" s="6">
        <v>1839364606.0304871</v>
      </c>
      <c r="E158" s="6">
        <v>1353789606.0304871</v>
      </c>
      <c r="F158" s="6">
        <v>53.639999389648438</v>
      </c>
      <c r="G158" s="6">
        <v>53.189998626708984</v>
      </c>
      <c r="H158" s="6" t="e">
        <v>#N/A</v>
      </c>
      <c r="I158" s="6">
        <v>-0.22241082623584174</v>
      </c>
      <c r="J158" s="6">
        <v>0</v>
      </c>
      <c r="K158" s="6">
        <v>82.686542443064184</v>
      </c>
      <c r="L158" t="s">
        <v>17</v>
      </c>
      <c r="M158" t="s">
        <v>18</v>
      </c>
      <c r="N158" s="4" t="s">
        <v>4519</v>
      </c>
      <c r="O158" s="4" t="s">
        <v>4520</v>
      </c>
      <c r="P158" s="4" t="s">
        <v>233</v>
      </c>
    </row>
    <row r="159" spans="1:16" x14ac:dyDescent="0.35">
      <c r="A159" t="s">
        <v>8485</v>
      </c>
      <c r="B159" t="s">
        <v>3416</v>
      </c>
      <c r="C159" t="s">
        <v>16</v>
      </c>
      <c r="D159" s="6">
        <v>649327342.16451645</v>
      </c>
      <c r="E159" s="6">
        <v>210659342.16451645</v>
      </c>
      <c r="F159" s="6">
        <v>8.3500003814697266</v>
      </c>
      <c r="G159" s="6">
        <v>8.1899995803833008</v>
      </c>
      <c r="H159" s="6" t="e">
        <v>#N/A</v>
      </c>
      <c r="I159" s="6">
        <v>-0.58968604927241519</v>
      </c>
      <c r="J159" s="6">
        <v>0</v>
      </c>
      <c r="K159" s="6">
        <v>-16.831683168316847</v>
      </c>
      <c r="L159" t="s">
        <v>17</v>
      </c>
      <c r="M159" t="s">
        <v>18</v>
      </c>
      <c r="N159" s="4" t="s">
        <v>3417</v>
      </c>
      <c r="O159" s="4" t="s">
        <v>3418</v>
      </c>
      <c r="P159" s="4" t="s">
        <v>233</v>
      </c>
    </row>
    <row r="160" spans="1:16" x14ac:dyDescent="0.35">
      <c r="A160" t="s">
        <v>10726</v>
      </c>
      <c r="B160" t="s">
        <v>3514</v>
      </c>
      <c r="C160" t="s">
        <v>16</v>
      </c>
      <c r="D160" s="6">
        <v>968579943.03128803</v>
      </c>
      <c r="E160" s="6">
        <v>125521943.03128803</v>
      </c>
      <c r="F160" s="6">
        <v>9.5100002288818359</v>
      </c>
      <c r="G160" s="6">
        <v>9</v>
      </c>
      <c r="H160" s="6" t="e">
        <v>#N/A</v>
      </c>
      <c r="I160" s="6">
        <v>-0.67782649706783993</v>
      </c>
      <c r="J160" s="6">
        <v>43086000</v>
      </c>
      <c r="K160" s="6">
        <v>-1.6822429906542196</v>
      </c>
      <c r="L160" t="s">
        <v>17</v>
      </c>
      <c r="M160" t="s">
        <v>18</v>
      </c>
      <c r="N160" s="4" t="s">
        <v>3515</v>
      </c>
      <c r="O160" s="4" t="s">
        <v>3516</v>
      </c>
      <c r="P160" s="4" t="s">
        <v>233</v>
      </c>
    </row>
    <row r="161" spans="1:16" x14ac:dyDescent="0.35">
      <c r="A161" t="s">
        <v>12907</v>
      </c>
      <c r="B161" t="s">
        <v>3648</v>
      </c>
      <c r="C161" t="s">
        <v>16</v>
      </c>
      <c r="D161" s="6">
        <v>43820188.335688114</v>
      </c>
      <c r="E161" s="6">
        <v>-3816810.4143118858</v>
      </c>
      <c r="F161" s="6">
        <v>0.61710000038146973</v>
      </c>
      <c r="G161" s="6">
        <v>0.58259999752044678</v>
      </c>
      <c r="H161" s="6" t="e">
        <v>#N/A</v>
      </c>
      <c r="I161" s="6">
        <v>-0.84646628436489857</v>
      </c>
      <c r="J161" s="6">
        <v>631562</v>
      </c>
      <c r="K161" s="6">
        <v>31.884057971014499</v>
      </c>
      <c r="L161" t="s">
        <v>17</v>
      </c>
      <c r="M161" t="s">
        <v>18</v>
      </c>
      <c r="N161" s="4" t="s">
        <v>3649</v>
      </c>
      <c r="O161" s="4" t="s">
        <v>3650</v>
      </c>
      <c r="P161" s="4" t="s">
        <v>233</v>
      </c>
    </row>
    <row r="162" spans="1:16" x14ac:dyDescent="0.35">
      <c r="A162" t="s">
        <v>7826</v>
      </c>
      <c r="B162" t="s">
        <v>13394</v>
      </c>
      <c r="C162" t="s">
        <v>16</v>
      </c>
      <c r="D162" s="6">
        <v>7741625808</v>
      </c>
      <c r="E162" s="6">
        <v>6278850808</v>
      </c>
      <c r="F162" s="6">
        <v>42</v>
      </c>
      <c r="G162" s="6">
        <v>40.729999542236328</v>
      </c>
      <c r="H162" s="6" t="e">
        <v>#N/A</v>
      </c>
      <c r="I162" s="6">
        <v>0.37270409286531292</v>
      </c>
      <c r="J162" s="6">
        <v>742000</v>
      </c>
      <c r="K162" s="6">
        <v>-10.134785276073623</v>
      </c>
      <c r="L162" t="s">
        <v>17</v>
      </c>
      <c r="M162" t="s">
        <v>18</v>
      </c>
      <c r="N162" s="4" t="s">
        <v>4315</v>
      </c>
      <c r="O162" s="4" t="s">
        <v>4316</v>
      </c>
      <c r="P162" s="4" t="s">
        <v>233</v>
      </c>
    </row>
    <row r="163" spans="1:16" x14ac:dyDescent="0.35">
      <c r="A163" t="s">
        <v>7804</v>
      </c>
      <c r="B163" t="s">
        <v>5792</v>
      </c>
      <c r="C163" t="s">
        <v>16</v>
      </c>
      <c r="D163" s="6">
        <v>589978220.71381569</v>
      </c>
      <c r="E163" s="6">
        <v>270968220.71381569</v>
      </c>
      <c r="F163" s="6">
        <v>16.129999160766602</v>
      </c>
      <c r="G163" s="6">
        <v>15.239999771118164</v>
      </c>
      <c r="H163" s="6" t="e">
        <v>#N/A</v>
      </c>
      <c r="I163" s="6">
        <v>-0.31011980992171173</v>
      </c>
      <c r="J163" s="6" t="e">
        <v>#N/A</v>
      </c>
      <c r="K163" s="6" t="e">
        <v>#N/A</v>
      </c>
      <c r="L163" t="s">
        <v>17</v>
      </c>
      <c r="M163" t="s">
        <v>87</v>
      </c>
      <c r="N163" s="4" t="s">
        <v>5793</v>
      </c>
      <c r="O163" s="4" t="s">
        <v>5794</v>
      </c>
      <c r="P163" s="4" t="s">
        <v>233</v>
      </c>
    </row>
    <row r="164" spans="1:16" x14ac:dyDescent="0.35">
      <c r="A164" t="s">
        <v>8013</v>
      </c>
      <c r="B164" t="s">
        <v>2903</v>
      </c>
      <c r="C164" t="s">
        <v>16</v>
      </c>
      <c r="D164" s="6">
        <v>559379965.49443924</v>
      </c>
      <c r="E164" s="6">
        <v>536497965.49443924</v>
      </c>
      <c r="F164" s="6">
        <v>1.9099999666213989</v>
      </c>
      <c r="G164" s="6">
        <v>1.7000000476837158</v>
      </c>
      <c r="H164" s="6" t="e">
        <v>#N/A</v>
      </c>
      <c r="I164" s="6">
        <v>0.33460850117069807</v>
      </c>
      <c r="J164" s="6">
        <v>3963000</v>
      </c>
      <c r="K164" s="6">
        <v>-40.032871088937405</v>
      </c>
      <c r="L164" t="s">
        <v>17</v>
      </c>
      <c r="M164" t="s">
        <v>18</v>
      </c>
      <c r="N164" s="4" t="s">
        <v>2904</v>
      </c>
      <c r="O164" s="4" t="s">
        <v>2905</v>
      </c>
      <c r="P164" s="4" t="s">
        <v>233</v>
      </c>
    </row>
    <row r="165" spans="1:16" x14ac:dyDescent="0.35">
      <c r="A165" t="s">
        <v>11473</v>
      </c>
      <c r="B165" t="s">
        <v>1808</v>
      </c>
      <c r="C165" t="s">
        <v>16</v>
      </c>
      <c r="D165" s="6">
        <v>134839006.74743533</v>
      </c>
      <c r="E165" s="6">
        <v>-1393993.2525646687</v>
      </c>
      <c r="F165" s="6">
        <v>0.73100000619888306</v>
      </c>
      <c r="G165" s="6">
        <v>0.66350001096725464</v>
      </c>
      <c r="H165" s="6" t="e">
        <v>#N/A</v>
      </c>
      <c r="I165" s="6">
        <v>2.6611529399181322E-2</v>
      </c>
      <c r="J165" s="6">
        <v>93137000</v>
      </c>
      <c r="K165" s="6">
        <v>46.15384615384616</v>
      </c>
      <c r="L165" t="s">
        <v>17</v>
      </c>
      <c r="M165" t="s">
        <v>87</v>
      </c>
      <c r="N165" s="4" t="s">
        <v>1809</v>
      </c>
      <c r="O165" s="4" t="s">
        <v>1810</v>
      </c>
      <c r="P165" s="4" t="s">
        <v>233</v>
      </c>
    </row>
    <row r="166" spans="1:16" x14ac:dyDescent="0.35">
      <c r="A166" t="s">
        <v>10246</v>
      </c>
      <c r="B166" t="s">
        <v>4916</v>
      </c>
      <c r="C166" t="s">
        <v>16</v>
      </c>
      <c r="D166" s="6">
        <v>2447698200.5708022</v>
      </c>
      <c r="E166" s="6">
        <v>1959602200.5708027</v>
      </c>
      <c r="F166" s="6">
        <v>25.850000381469727</v>
      </c>
      <c r="G166" s="6">
        <v>25.5</v>
      </c>
      <c r="H166" s="6" t="e">
        <v>#N/A</v>
      </c>
      <c r="I166" s="6">
        <v>0.36295931853294072</v>
      </c>
      <c r="J166" s="6">
        <v>0</v>
      </c>
      <c r="K166" s="6">
        <v>-5.6338028169014134</v>
      </c>
      <c r="L166" t="s">
        <v>17</v>
      </c>
      <c r="M166" t="s">
        <v>87</v>
      </c>
      <c r="N166" s="4" t="s">
        <v>4917</v>
      </c>
      <c r="O166" s="4" t="s">
        <v>4918</v>
      </c>
      <c r="P166" s="4" t="s">
        <v>233</v>
      </c>
    </row>
    <row r="167" spans="1:16" x14ac:dyDescent="0.35">
      <c r="A167" t="s">
        <v>10251</v>
      </c>
      <c r="B167" t="s">
        <v>4923</v>
      </c>
      <c r="C167" t="s">
        <v>16</v>
      </c>
      <c r="D167" s="6">
        <v>208365419.93986195</v>
      </c>
      <c r="E167" s="6">
        <v>-71098580.060138047</v>
      </c>
      <c r="F167" s="6">
        <v>3.6800000667572021</v>
      </c>
      <c r="G167" s="6">
        <v>3.7000000476837158</v>
      </c>
      <c r="H167" s="6" t="e">
        <v>#N/A</v>
      </c>
      <c r="I167" s="6">
        <v>0.5315436572630472</v>
      </c>
      <c r="J167" s="6">
        <v>0</v>
      </c>
      <c r="K167" s="6">
        <v>-4.3859649122807056</v>
      </c>
      <c r="L167" t="s">
        <v>17</v>
      </c>
      <c r="M167" t="s">
        <v>18</v>
      </c>
      <c r="N167" s="4" t="s">
        <v>4924</v>
      </c>
      <c r="O167" s="4" t="s">
        <v>4925</v>
      </c>
      <c r="P167" s="4" t="s">
        <v>233</v>
      </c>
    </row>
    <row r="168" spans="1:16" x14ac:dyDescent="0.35">
      <c r="A168" t="s">
        <v>7499</v>
      </c>
      <c r="B168" t="s">
        <v>5330</v>
      </c>
      <c r="C168" t="s">
        <v>16</v>
      </c>
      <c r="D168" s="6">
        <v>114551280.87717474</v>
      </c>
      <c r="E168" s="6">
        <v>-125162719.12282526</v>
      </c>
      <c r="F168" s="6">
        <v>1.6200000047683716</v>
      </c>
      <c r="G168" s="6">
        <v>1.6100000143051147</v>
      </c>
      <c r="H168" s="6" t="e">
        <v>#N/A</v>
      </c>
      <c r="I168" s="6">
        <v>-0.33532218087554433</v>
      </c>
      <c r="J168" s="6">
        <v>0</v>
      </c>
      <c r="K168" s="6">
        <v>-59.420289855072468</v>
      </c>
      <c r="L168" t="s">
        <v>17</v>
      </c>
      <c r="M168" t="s">
        <v>87</v>
      </c>
      <c r="N168" s="4" t="s">
        <v>5331</v>
      </c>
      <c r="O168" s="4" t="s">
        <v>5332</v>
      </c>
      <c r="P168" s="4" t="s">
        <v>233</v>
      </c>
    </row>
    <row r="169" spans="1:16" x14ac:dyDescent="0.35">
      <c r="A169" t="s">
        <v>10412</v>
      </c>
      <c r="B169" t="s">
        <v>3878</v>
      </c>
      <c r="C169" t="s">
        <v>16</v>
      </c>
      <c r="D169" s="6">
        <v>1392046222.77688</v>
      </c>
      <c r="E169" s="6">
        <v>1178861222.77688</v>
      </c>
      <c r="F169" s="6">
        <v>19.280000686645508</v>
      </c>
      <c r="G169" s="6">
        <v>19.209999084472656</v>
      </c>
      <c r="H169" s="6" t="e">
        <v>#N/A</v>
      </c>
      <c r="I169" s="6">
        <v>-6.1636913806488614E-2</v>
      </c>
      <c r="J169" s="6">
        <v>384098000</v>
      </c>
      <c r="K169" s="6">
        <v>-22.745727504484908</v>
      </c>
      <c r="L169" t="s">
        <v>17</v>
      </c>
      <c r="M169" t="s">
        <v>18</v>
      </c>
      <c r="N169" s="4" t="s">
        <v>233</v>
      </c>
      <c r="O169" s="4" t="s">
        <v>3879</v>
      </c>
      <c r="P169" s="4" t="s">
        <v>13085</v>
      </c>
    </row>
    <row r="170" spans="1:16" x14ac:dyDescent="0.35">
      <c r="A170" t="s">
        <v>7859</v>
      </c>
      <c r="B170" t="s">
        <v>4108</v>
      </c>
      <c r="C170" t="s">
        <v>16</v>
      </c>
      <c r="D170" s="6">
        <v>356215235.52596569</v>
      </c>
      <c r="E170" s="6">
        <v>291835235.52596569</v>
      </c>
      <c r="F170" s="6">
        <v>4.0500001907348633</v>
      </c>
      <c r="G170" s="6">
        <v>3.9000000953674316</v>
      </c>
      <c r="H170" s="6" t="e">
        <v>#N/A</v>
      </c>
      <c r="I170" s="6">
        <v>1.2829667518507044</v>
      </c>
      <c r="J170" s="6">
        <v>0</v>
      </c>
      <c r="K170" s="6">
        <v>-62.962962962962962</v>
      </c>
      <c r="L170" t="s">
        <v>17</v>
      </c>
      <c r="M170" t="s">
        <v>87</v>
      </c>
      <c r="N170" s="4" t="s">
        <v>4109</v>
      </c>
      <c r="O170" s="4" t="s">
        <v>4110</v>
      </c>
      <c r="P170" s="4" t="s">
        <v>233</v>
      </c>
    </row>
    <row r="171" spans="1:16" x14ac:dyDescent="0.35">
      <c r="A171" t="s">
        <v>7763</v>
      </c>
      <c r="B171" t="s">
        <v>5358</v>
      </c>
      <c r="C171" t="s">
        <v>16</v>
      </c>
      <c r="D171" s="6">
        <v>474859467.04795361</v>
      </c>
      <c r="E171" s="6">
        <v>191120467.04795355</v>
      </c>
      <c r="F171" s="6">
        <v>12.689999580383301</v>
      </c>
      <c r="G171" s="6">
        <v>12.010000228881836</v>
      </c>
      <c r="H171" s="6" t="e">
        <v>#N/A</v>
      </c>
      <c r="I171" s="6">
        <v>-0.16307249457013695</v>
      </c>
      <c r="J171" s="6">
        <v>129013000</v>
      </c>
      <c r="K171" s="6">
        <v>93.377483443708613</v>
      </c>
      <c r="L171" t="s">
        <v>17</v>
      </c>
      <c r="M171" t="s">
        <v>18</v>
      </c>
      <c r="N171" s="4" t="s">
        <v>5359</v>
      </c>
      <c r="O171" s="4" t="s">
        <v>5360</v>
      </c>
      <c r="P171" s="4" t="s">
        <v>233</v>
      </c>
    </row>
    <row r="172" spans="1:16" x14ac:dyDescent="0.35">
      <c r="A172" t="s">
        <v>7769</v>
      </c>
      <c r="B172" t="s">
        <v>5349</v>
      </c>
      <c r="C172" t="s">
        <v>16</v>
      </c>
      <c r="D172" s="6">
        <v>395615614.53099436</v>
      </c>
      <c r="E172" s="6">
        <v>189022614.53099439</v>
      </c>
      <c r="F172" s="6">
        <v>7.9200000762939453</v>
      </c>
      <c r="G172" s="6">
        <v>7.5900001525878906</v>
      </c>
      <c r="H172" s="6" t="e">
        <v>#N/A</v>
      </c>
      <c r="I172" s="6">
        <v>-0.10883007979122106</v>
      </c>
      <c r="J172" s="6">
        <v>0</v>
      </c>
      <c r="K172" s="6">
        <v>1.5306122448979607</v>
      </c>
      <c r="L172" t="s">
        <v>17</v>
      </c>
      <c r="M172" t="s">
        <v>18</v>
      </c>
      <c r="N172" s="4" t="s">
        <v>5350</v>
      </c>
      <c r="O172" s="4" t="s">
        <v>5351</v>
      </c>
      <c r="P172" s="4" t="s">
        <v>233</v>
      </c>
    </row>
    <row r="173" spans="1:16" x14ac:dyDescent="0.35">
      <c r="A173" t="s">
        <v>8331</v>
      </c>
      <c r="B173" t="s">
        <v>3740</v>
      </c>
      <c r="C173" t="s">
        <v>16</v>
      </c>
      <c r="D173" s="6">
        <v>3542385419.6495819</v>
      </c>
      <c r="E173" s="6">
        <v>3398025419.6495819</v>
      </c>
      <c r="F173" s="6">
        <v>57.639999389648438</v>
      </c>
      <c r="G173" s="6">
        <v>56.389999389648438</v>
      </c>
      <c r="H173" s="6" t="e">
        <v>#N/A</v>
      </c>
      <c r="I173" s="6">
        <v>9.8877029671529559E-2</v>
      </c>
      <c r="J173" s="6">
        <v>112530000</v>
      </c>
      <c r="K173" s="6">
        <v>-33.230769230769234</v>
      </c>
      <c r="L173" t="s">
        <v>17</v>
      </c>
      <c r="M173" t="s">
        <v>18</v>
      </c>
      <c r="N173" s="4" t="s">
        <v>3741</v>
      </c>
      <c r="O173" s="4" t="s">
        <v>3742</v>
      </c>
      <c r="P173" s="4" t="s">
        <v>233</v>
      </c>
    </row>
    <row r="174" spans="1:16" x14ac:dyDescent="0.35">
      <c r="A174" t="s">
        <v>10429</v>
      </c>
      <c r="B174" t="s">
        <v>3874</v>
      </c>
      <c r="C174" t="s">
        <v>16</v>
      </c>
      <c r="D174" s="6">
        <v>3481539899.1294289</v>
      </c>
      <c r="E174" s="6">
        <v>3409080899.1294289</v>
      </c>
      <c r="F174" s="6">
        <v>37.189998626708984</v>
      </c>
      <c r="G174" s="6">
        <v>36.119998931884766</v>
      </c>
      <c r="H174" s="6" t="e">
        <v>#N/A</v>
      </c>
      <c r="I174" s="6">
        <v>1.3557330810668233</v>
      </c>
      <c r="J174" s="6">
        <v>0</v>
      </c>
      <c r="K174" s="6">
        <v>-18.439692319189053</v>
      </c>
      <c r="L174" t="s">
        <v>17</v>
      </c>
      <c r="M174" t="s">
        <v>18</v>
      </c>
      <c r="N174" s="4" t="s">
        <v>3875</v>
      </c>
      <c r="O174" s="4" t="s">
        <v>3876</v>
      </c>
      <c r="P174" s="4" t="s">
        <v>233</v>
      </c>
    </row>
    <row r="175" spans="1:16" x14ac:dyDescent="0.35">
      <c r="A175" t="s">
        <v>8417</v>
      </c>
      <c r="B175" t="s">
        <v>4160</v>
      </c>
      <c r="C175" t="s">
        <v>16</v>
      </c>
      <c r="D175" s="6">
        <v>3759504361.6525378</v>
      </c>
      <c r="E175" s="6">
        <v>3008792361.6525378</v>
      </c>
      <c r="F175" s="6">
        <v>49.439998626708984</v>
      </c>
      <c r="G175" s="6">
        <v>49.209999084472656</v>
      </c>
      <c r="H175" s="6" t="e">
        <v>#N/A</v>
      </c>
      <c r="I175" s="6">
        <v>1.2545705727701888</v>
      </c>
      <c r="J175" s="6">
        <v>0</v>
      </c>
      <c r="K175" s="6">
        <v>-59.574468085106382</v>
      </c>
      <c r="L175" t="s">
        <v>17</v>
      </c>
      <c r="M175" t="s">
        <v>18</v>
      </c>
      <c r="N175" s="4" t="s">
        <v>4161</v>
      </c>
      <c r="O175" s="4" t="s">
        <v>4162</v>
      </c>
      <c r="P175" s="4" t="s">
        <v>233</v>
      </c>
    </row>
    <row r="176" spans="1:16" x14ac:dyDescent="0.35">
      <c r="A176" t="s">
        <v>12945</v>
      </c>
      <c r="B176" t="s">
        <v>950</v>
      </c>
      <c r="C176" t="s">
        <v>16</v>
      </c>
      <c r="D176" s="6">
        <v>1636609259.377032</v>
      </c>
      <c r="E176" s="6">
        <v>1127208259.377032</v>
      </c>
      <c r="F176" s="6">
        <v>12.449999809265137</v>
      </c>
      <c r="G176" s="6">
        <v>12.479999542236328</v>
      </c>
      <c r="H176" s="6">
        <v>94.573959946712975</v>
      </c>
      <c r="I176" s="6">
        <v>-2.8783459602550354E-2</v>
      </c>
      <c r="J176" s="6">
        <v>260811000</v>
      </c>
      <c r="K176" s="6">
        <v>-68.397291666666661</v>
      </c>
      <c r="L176" t="s">
        <v>17</v>
      </c>
      <c r="M176" t="s">
        <v>18</v>
      </c>
      <c r="N176" s="4" t="s">
        <v>951</v>
      </c>
      <c r="O176" s="4" t="s">
        <v>952</v>
      </c>
      <c r="P176" s="4" t="s">
        <v>233</v>
      </c>
    </row>
    <row r="177" spans="1:16" x14ac:dyDescent="0.35">
      <c r="A177" t="s">
        <v>11313</v>
      </c>
      <c r="B177" t="s">
        <v>3793</v>
      </c>
      <c r="C177" t="s">
        <v>16</v>
      </c>
      <c r="D177" s="6">
        <v>2996448167.7586055</v>
      </c>
      <c r="E177" s="6">
        <v>1766943167.7586055</v>
      </c>
      <c r="F177" s="6">
        <v>20.819999694824219</v>
      </c>
      <c r="G177" s="6">
        <v>20.129999160766602</v>
      </c>
      <c r="H177" s="6" t="e">
        <v>#N/A</v>
      </c>
      <c r="I177" s="6">
        <v>0.12201798681518361</v>
      </c>
      <c r="J177" s="6">
        <v>0</v>
      </c>
      <c r="K177" s="6">
        <v>-196.77419354838707</v>
      </c>
      <c r="L177" t="s">
        <v>17</v>
      </c>
      <c r="M177" t="s">
        <v>18</v>
      </c>
      <c r="N177" s="4" t="s">
        <v>3794</v>
      </c>
      <c r="O177" s="4" t="s">
        <v>3795</v>
      </c>
      <c r="P177" s="4" t="s">
        <v>233</v>
      </c>
    </row>
    <row r="178" spans="1:16" x14ac:dyDescent="0.35">
      <c r="A178" t="s">
        <v>12500</v>
      </c>
      <c r="B178" t="s">
        <v>5576</v>
      </c>
      <c r="C178" t="s">
        <v>16</v>
      </c>
      <c r="D178" s="6">
        <v>160663282.60897824</v>
      </c>
      <c r="E178" s="6">
        <v>-22776717.391021758</v>
      </c>
      <c r="F178" s="6">
        <v>5.1599998474121094</v>
      </c>
      <c r="G178" s="6">
        <v>4.9099998474121094</v>
      </c>
      <c r="H178" s="6" t="e">
        <v>#N/A</v>
      </c>
      <c r="I178" s="6">
        <v>0.47272289642310827</v>
      </c>
      <c r="J178" s="6">
        <v>0</v>
      </c>
      <c r="K178" s="6">
        <v>-1.1235955056179703</v>
      </c>
      <c r="L178" t="s">
        <v>17</v>
      </c>
      <c r="M178" t="s">
        <v>18</v>
      </c>
      <c r="N178" s="4" t="s">
        <v>5577</v>
      </c>
      <c r="O178" s="4" t="s">
        <v>5578</v>
      </c>
      <c r="P178" s="4" t="s">
        <v>233</v>
      </c>
    </row>
    <row r="179" spans="1:16" x14ac:dyDescent="0.35">
      <c r="A179" t="s">
        <v>11694</v>
      </c>
      <c r="B179" t="s">
        <v>4235</v>
      </c>
      <c r="C179" t="s">
        <v>16</v>
      </c>
      <c r="D179" s="6">
        <v>143100635.00420806</v>
      </c>
      <c r="E179" s="6">
        <v>-122288364.99579194</v>
      </c>
      <c r="F179" s="6">
        <v>1.4800000190734863</v>
      </c>
      <c r="G179" s="6">
        <v>1.4099999666213989</v>
      </c>
      <c r="H179" s="6" t="e">
        <v>#N/A</v>
      </c>
      <c r="I179" s="6">
        <v>-0.66641386658216595</v>
      </c>
      <c r="J179" s="6">
        <v>70717000</v>
      </c>
      <c r="K179" s="6">
        <v>-8.6363636363636545</v>
      </c>
      <c r="L179" t="s">
        <v>17</v>
      </c>
      <c r="M179" t="s">
        <v>18</v>
      </c>
      <c r="N179" s="4" t="s">
        <v>233</v>
      </c>
      <c r="O179" s="4" t="s">
        <v>4236</v>
      </c>
      <c r="P179" s="4" t="s">
        <v>13086</v>
      </c>
    </row>
    <row r="180" spans="1:16" x14ac:dyDescent="0.35">
      <c r="A180" t="s">
        <v>8288</v>
      </c>
      <c r="B180" t="s">
        <v>5081</v>
      </c>
      <c r="C180" t="s">
        <v>16</v>
      </c>
      <c r="D180" s="6">
        <v>680697270.37033081</v>
      </c>
      <c r="E180" s="6">
        <v>131654270.37033081</v>
      </c>
      <c r="F180" s="6">
        <v>8.0399999618530273</v>
      </c>
      <c r="G180" s="6">
        <v>7.630000114440918</v>
      </c>
      <c r="H180" s="6" t="e">
        <v>#N/A</v>
      </c>
      <c r="I180" s="6">
        <v>-0.40050049100032881</v>
      </c>
      <c r="J180" s="6">
        <v>11758000</v>
      </c>
      <c r="K180" s="6">
        <v>-7.2164948453608231</v>
      </c>
      <c r="L180" t="s">
        <v>17</v>
      </c>
      <c r="M180" t="s">
        <v>18</v>
      </c>
      <c r="N180" s="4" t="s">
        <v>5082</v>
      </c>
      <c r="O180" s="4" t="s">
        <v>5083</v>
      </c>
      <c r="P180" s="4" t="s">
        <v>233</v>
      </c>
    </row>
    <row r="181" spans="1:16" x14ac:dyDescent="0.35">
      <c r="A181" t="s">
        <v>8289</v>
      </c>
      <c r="B181" t="s">
        <v>5130</v>
      </c>
      <c r="C181" t="s">
        <v>16</v>
      </c>
      <c r="D181" s="6">
        <v>156832384.79808331</v>
      </c>
      <c r="E181" s="6">
        <v>-342729615.20191658</v>
      </c>
      <c r="F181" s="6">
        <v>0.53680002689361572</v>
      </c>
      <c r="G181" s="6">
        <v>0.53100001811981201</v>
      </c>
      <c r="H181" s="6" t="e">
        <v>#N/A</v>
      </c>
      <c r="I181" s="6">
        <v>-0.72089112369545916</v>
      </c>
      <c r="J181" s="6">
        <v>130000</v>
      </c>
      <c r="K181" s="6">
        <v>-25.675675675675684</v>
      </c>
      <c r="L181" t="s">
        <v>17</v>
      </c>
      <c r="M181" t="s">
        <v>18</v>
      </c>
      <c r="N181" s="4" t="s">
        <v>5131</v>
      </c>
      <c r="O181" s="4" t="s">
        <v>5132</v>
      </c>
      <c r="P181" s="4" t="s">
        <v>233</v>
      </c>
    </row>
    <row r="182" spans="1:16" x14ac:dyDescent="0.35">
      <c r="A182" t="s">
        <v>9348</v>
      </c>
      <c r="B182" t="s">
        <v>1245</v>
      </c>
      <c r="C182" t="s">
        <v>16</v>
      </c>
      <c r="D182" s="6">
        <v>7419246442.0543509</v>
      </c>
      <c r="E182" s="6">
        <v>6422673442.0543509</v>
      </c>
      <c r="F182" s="6">
        <v>340.17001342773438</v>
      </c>
      <c r="G182" s="6">
        <v>326.51998901367188</v>
      </c>
      <c r="H182" s="6" t="e">
        <v>#N/A</v>
      </c>
      <c r="I182" s="6">
        <v>0.57051531216740758</v>
      </c>
      <c r="J182" s="6">
        <v>76813000</v>
      </c>
      <c r="K182" s="6">
        <v>-30.353430353430333</v>
      </c>
      <c r="L182" t="s">
        <v>17</v>
      </c>
      <c r="M182" t="s">
        <v>18</v>
      </c>
      <c r="N182" s="4" t="s">
        <v>1246</v>
      </c>
      <c r="O182" s="4" t="s">
        <v>1247</v>
      </c>
      <c r="P182" s="4" t="s">
        <v>233</v>
      </c>
    </row>
    <row r="183" spans="1:16" x14ac:dyDescent="0.35">
      <c r="A183" t="s">
        <v>12329</v>
      </c>
      <c r="B183" t="s">
        <v>5523</v>
      </c>
      <c r="C183" t="s">
        <v>16</v>
      </c>
      <c r="D183" s="6">
        <v>4259268893.5097885</v>
      </c>
      <c r="E183" s="6">
        <v>3909440893.5097885</v>
      </c>
      <c r="F183" s="6">
        <v>42.119998931884766</v>
      </c>
      <c r="G183" s="6">
        <v>40.790000915527344</v>
      </c>
      <c r="H183" s="6" t="e">
        <v>#N/A</v>
      </c>
      <c r="I183" s="6">
        <v>-0.1349470178065002</v>
      </c>
      <c r="J183" s="6">
        <v>0</v>
      </c>
      <c r="K183" s="6">
        <v>-30.491074898946174</v>
      </c>
      <c r="L183" t="s">
        <v>17</v>
      </c>
      <c r="M183" t="s">
        <v>18</v>
      </c>
      <c r="N183" s="4" t="s">
        <v>233</v>
      </c>
      <c r="O183" s="4" t="s">
        <v>5524</v>
      </c>
      <c r="P183" s="4" t="s">
        <v>13087</v>
      </c>
    </row>
    <row r="184" spans="1:16" x14ac:dyDescent="0.35">
      <c r="A184" t="s">
        <v>8220</v>
      </c>
      <c r="B184" t="s">
        <v>3404</v>
      </c>
      <c r="C184" t="s">
        <v>16</v>
      </c>
      <c r="D184" s="6">
        <v>356724501.75002766</v>
      </c>
      <c r="E184" s="6">
        <v>162218501.75002769</v>
      </c>
      <c r="F184" s="6">
        <v>7.1999998092651367</v>
      </c>
      <c r="G184" s="6">
        <v>7.3000001907348633</v>
      </c>
      <c r="H184" s="6" t="e">
        <v>#N/A</v>
      </c>
      <c r="I184" s="6">
        <v>-0.58425496301234203</v>
      </c>
      <c r="J184" s="6">
        <v>84327000</v>
      </c>
      <c r="K184" s="6">
        <v>15.886287625418063</v>
      </c>
      <c r="L184" t="s">
        <v>17</v>
      </c>
      <c r="M184" t="s">
        <v>18</v>
      </c>
      <c r="N184" s="4" t="s">
        <v>3405</v>
      </c>
      <c r="O184" s="4" t="s">
        <v>3406</v>
      </c>
      <c r="P184" s="4" t="s">
        <v>233</v>
      </c>
    </row>
    <row r="185" spans="1:16" x14ac:dyDescent="0.35">
      <c r="A185" t="s">
        <v>8008</v>
      </c>
      <c r="B185" t="s">
        <v>5157</v>
      </c>
      <c r="C185" t="s">
        <v>16</v>
      </c>
      <c r="D185" s="6">
        <v>360169929.38473219</v>
      </c>
      <c r="E185" s="6">
        <v>326993929.38473219</v>
      </c>
      <c r="F185" s="6">
        <v>8.5500001907348633</v>
      </c>
      <c r="G185" s="6">
        <v>8.1099996566772461</v>
      </c>
      <c r="H185" s="6" t="e">
        <v>#N/A</v>
      </c>
      <c r="I185" s="6">
        <v>5.1206242615330533</v>
      </c>
      <c r="J185" s="6">
        <v>0</v>
      </c>
      <c r="K185" s="6">
        <v>-101.53846153846153</v>
      </c>
      <c r="L185" t="s">
        <v>17</v>
      </c>
      <c r="M185" t="s">
        <v>18</v>
      </c>
      <c r="N185" s="4" t="s">
        <v>5158</v>
      </c>
      <c r="O185" s="4" t="s">
        <v>5159</v>
      </c>
      <c r="P185" s="4" t="s">
        <v>233</v>
      </c>
    </row>
    <row r="186" spans="1:16" x14ac:dyDescent="0.35">
      <c r="A186" t="s">
        <v>12576</v>
      </c>
      <c r="B186" t="s">
        <v>3842</v>
      </c>
      <c r="C186" t="s">
        <v>16</v>
      </c>
      <c r="D186" s="6">
        <v>1098139307.9999998</v>
      </c>
      <c r="E186" s="6">
        <v>54139307.999999762</v>
      </c>
      <c r="F186" s="6">
        <v>12</v>
      </c>
      <c r="G186" s="6">
        <v>11.720000267028809</v>
      </c>
      <c r="H186" s="6" t="e">
        <v>#N/A</v>
      </c>
      <c r="I186" s="6">
        <v>-0.27033013361161795</v>
      </c>
      <c r="J186" s="6">
        <v>263000000</v>
      </c>
      <c r="K186" s="6">
        <v>21.250000000000004</v>
      </c>
      <c r="L186" t="s">
        <v>17</v>
      </c>
      <c r="M186" t="s">
        <v>18</v>
      </c>
      <c r="N186" s="4" t="s">
        <v>3843</v>
      </c>
      <c r="O186" s="4" t="s">
        <v>3844</v>
      </c>
      <c r="P186" s="4" t="s">
        <v>233</v>
      </c>
    </row>
    <row r="187" spans="1:16" x14ac:dyDescent="0.35">
      <c r="A187" t="s">
        <v>8072</v>
      </c>
      <c r="B187" t="s">
        <v>3044</v>
      </c>
      <c r="C187" t="s">
        <v>16</v>
      </c>
      <c r="D187" s="6">
        <v>460362313.33188099</v>
      </c>
      <c r="E187" s="6">
        <v>474924313.33188099</v>
      </c>
      <c r="F187" s="6">
        <v>2.1099998950958252</v>
      </c>
      <c r="G187" s="6">
        <v>2.0799999237060547</v>
      </c>
      <c r="H187" s="6" t="e">
        <v>#N/A</v>
      </c>
      <c r="I187" s="6">
        <v>0.30152899310732884</v>
      </c>
      <c r="J187" s="6">
        <v>169879000</v>
      </c>
      <c r="K187" s="6">
        <v>28.125</v>
      </c>
      <c r="L187" t="s">
        <v>17</v>
      </c>
      <c r="M187" t="s">
        <v>18</v>
      </c>
      <c r="N187" s="4" t="s">
        <v>3045</v>
      </c>
      <c r="O187" s="4" t="s">
        <v>3046</v>
      </c>
      <c r="P187" s="4" t="s">
        <v>233</v>
      </c>
    </row>
    <row r="188" spans="1:16" x14ac:dyDescent="0.35">
      <c r="A188" t="s">
        <v>8476</v>
      </c>
      <c r="B188" t="s">
        <v>4529</v>
      </c>
      <c r="C188" t="s">
        <v>16</v>
      </c>
      <c r="D188" s="6">
        <v>264247836.37766457</v>
      </c>
      <c r="E188" s="6">
        <v>8595836.3776645362</v>
      </c>
      <c r="F188" s="6">
        <v>2.4600000381469727</v>
      </c>
      <c r="G188" s="6">
        <v>2.4500000476837158</v>
      </c>
      <c r="H188" s="6" t="e">
        <v>#N/A</v>
      </c>
      <c r="I188" s="6">
        <v>-0.80057380075122364</v>
      </c>
      <c r="J188" s="6">
        <v>43384000</v>
      </c>
      <c r="K188" s="6">
        <v>-6.3063063063062916</v>
      </c>
      <c r="L188" t="s">
        <v>17</v>
      </c>
      <c r="M188" t="s">
        <v>18</v>
      </c>
      <c r="N188" s="4" t="s">
        <v>4530</v>
      </c>
      <c r="O188" s="4" t="s">
        <v>4531</v>
      </c>
      <c r="P188" s="4" t="s">
        <v>233</v>
      </c>
    </row>
    <row r="189" spans="1:16" x14ac:dyDescent="0.35">
      <c r="A189" t="s">
        <v>8827</v>
      </c>
      <c r="B189" t="s">
        <v>3205</v>
      </c>
      <c r="C189" t="s">
        <v>16</v>
      </c>
      <c r="D189" s="6">
        <v>109858933.2153244</v>
      </c>
      <c r="E189" s="6">
        <v>94045933.215324402</v>
      </c>
      <c r="F189" s="6">
        <v>9.0200004577636719</v>
      </c>
      <c r="G189" s="6">
        <v>8.6599998474121094</v>
      </c>
      <c r="H189" s="6" t="e">
        <v>#N/A</v>
      </c>
      <c r="I189" s="6">
        <v>-0.60682179336944997</v>
      </c>
      <c r="J189" s="6">
        <v>0</v>
      </c>
      <c r="K189" s="6">
        <v>58.012533572077857</v>
      </c>
      <c r="L189" t="s">
        <v>17</v>
      </c>
      <c r="M189" t="s">
        <v>18</v>
      </c>
      <c r="N189" s="4" t="s">
        <v>3206</v>
      </c>
      <c r="O189" s="4" t="s">
        <v>3207</v>
      </c>
      <c r="P189" s="4" t="s">
        <v>233</v>
      </c>
    </row>
    <row r="190" spans="1:16" x14ac:dyDescent="0.35">
      <c r="A190" t="s">
        <v>9293</v>
      </c>
      <c r="B190" t="s">
        <v>1953</v>
      </c>
      <c r="C190" t="s">
        <v>16</v>
      </c>
      <c r="D190" s="6">
        <v>288714960.03078461</v>
      </c>
      <c r="E190" s="6">
        <v>233819960.03078461</v>
      </c>
      <c r="F190" s="6">
        <v>4.3400001525878906</v>
      </c>
      <c r="G190" s="6">
        <v>4.119999885559082</v>
      </c>
      <c r="H190" s="6" t="e">
        <v>#N/A</v>
      </c>
      <c r="I190" s="6">
        <v>1.3789601054993286</v>
      </c>
      <c r="J190" s="6">
        <v>689000</v>
      </c>
      <c r="K190" s="6">
        <v>-2.5869498962794961</v>
      </c>
      <c r="L190" t="s">
        <v>17</v>
      </c>
      <c r="M190" t="s">
        <v>18</v>
      </c>
      <c r="N190" s="4" t="s">
        <v>1954</v>
      </c>
      <c r="O190" s="4" t="s">
        <v>1955</v>
      </c>
      <c r="P190" s="4" t="s">
        <v>233</v>
      </c>
    </row>
    <row r="191" spans="1:16" x14ac:dyDescent="0.35">
      <c r="A191" t="s">
        <v>10701</v>
      </c>
      <c r="B191" t="s">
        <v>4041</v>
      </c>
      <c r="C191" t="s">
        <v>16</v>
      </c>
      <c r="D191" s="6">
        <v>2706372248.8257065</v>
      </c>
      <c r="E191" s="6">
        <v>2518161248.8257065</v>
      </c>
      <c r="F191" s="6">
        <v>45.369998931884766</v>
      </c>
      <c r="G191" s="6">
        <v>45.330001831054688</v>
      </c>
      <c r="H191" s="6" t="e">
        <v>#N/A</v>
      </c>
      <c r="I191" s="6">
        <v>0.1168742058043557</v>
      </c>
      <c r="J191" s="6">
        <v>330189000</v>
      </c>
      <c r="K191" s="6">
        <v>6.3711911357340831</v>
      </c>
      <c r="L191" t="s">
        <v>17</v>
      </c>
      <c r="M191" t="s">
        <v>18</v>
      </c>
      <c r="N191" s="4" t="s">
        <v>4042</v>
      </c>
      <c r="O191" s="4" t="s">
        <v>4043</v>
      </c>
      <c r="P191" s="4" t="s">
        <v>233</v>
      </c>
    </row>
    <row r="192" spans="1:16" x14ac:dyDescent="0.35">
      <c r="A192" t="s">
        <v>8110</v>
      </c>
      <c r="B192" t="s">
        <v>4714</v>
      </c>
      <c r="C192" t="s">
        <v>16</v>
      </c>
      <c r="D192" s="6">
        <v>337565345.01004928</v>
      </c>
      <c r="E192" s="6">
        <v>124501345.01004928</v>
      </c>
      <c r="F192" s="6">
        <v>4.940000057220459</v>
      </c>
      <c r="G192" s="6">
        <v>5.1100001335144043</v>
      </c>
      <c r="H192" s="6" t="e">
        <v>#N/A</v>
      </c>
      <c r="I192" s="6">
        <v>-0.70178082591450819</v>
      </c>
      <c r="J192" s="6">
        <v>0</v>
      </c>
      <c r="K192" s="6">
        <v>5.6034482758620454</v>
      </c>
      <c r="L192" t="s">
        <v>17</v>
      </c>
      <c r="M192" t="s">
        <v>18</v>
      </c>
      <c r="N192" s="4" t="s">
        <v>4715</v>
      </c>
      <c r="O192" s="4" t="s">
        <v>4716</v>
      </c>
      <c r="P192" s="4" t="s">
        <v>233</v>
      </c>
    </row>
    <row r="193" spans="1:16" x14ac:dyDescent="0.35">
      <c r="A193" t="s">
        <v>13342</v>
      </c>
      <c r="B193" t="s">
        <v>13034</v>
      </c>
      <c r="C193" t="s">
        <v>16</v>
      </c>
      <c r="D193" s="6">
        <v>502639025.88935852</v>
      </c>
      <c r="E193" s="6">
        <v>615353025.88935852</v>
      </c>
      <c r="F193" s="6">
        <v>11.319999694824219</v>
      </c>
      <c r="G193" s="6">
        <v>10.949999809265137</v>
      </c>
      <c r="H193" s="6" t="e">
        <v>#N/A</v>
      </c>
      <c r="I193" s="6">
        <v>-0.87913537177757983</v>
      </c>
      <c r="J193" s="6" t="e">
        <v>#N/A</v>
      </c>
      <c r="K193" s="6" t="e">
        <v>#N/A</v>
      </c>
      <c r="L193" t="s">
        <v>17</v>
      </c>
      <c r="M193" t="s">
        <v>87</v>
      </c>
      <c r="N193" s="4" t="s">
        <v>13035</v>
      </c>
      <c r="O193" s="4" t="s">
        <v>13036</v>
      </c>
      <c r="P193" s="4" t="s">
        <v>233</v>
      </c>
    </row>
    <row r="194" spans="1:16" x14ac:dyDescent="0.35">
      <c r="A194" t="s">
        <v>9844</v>
      </c>
      <c r="B194" t="s">
        <v>5761</v>
      </c>
      <c r="C194" t="s">
        <v>16</v>
      </c>
      <c r="D194" s="6">
        <v>89443165.555925116</v>
      </c>
      <c r="E194" s="6">
        <v>-139070834.44407487</v>
      </c>
      <c r="F194" s="6">
        <v>2.3900001049041748</v>
      </c>
      <c r="G194" s="6">
        <v>2.2999999523162842</v>
      </c>
      <c r="H194" s="6" t="e">
        <v>#N/A</v>
      </c>
      <c r="I194" s="6">
        <v>-0.78703205565357648</v>
      </c>
      <c r="J194" s="6">
        <v>55080000</v>
      </c>
      <c r="K194" s="6">
        <v>61.134775522299606</v>
      </c>
      <c r="L194" t="s">
        <v>17</v>
      </c>
      <c r="M194" t="s">
        <v>18</v>
      </c>
      <c r="N194" s="4" t="s">
        <v>5762</v>
      </c>
      <c r="O194" s="4" t="s">
        <v>5763</v>
      </c>
      <c r="P194" s="4" t="s">
        <v>233</v>
      </c>
    </row>
    <row r="195" spans="1:16" x14ac:dyDescent="0.35">
      <c r="A195" t="s">
        <v>8410</v>
      </c>
      <c r="B195" t="s">
        <v>4463</v>
      </c>
      <c r="C195" t="s">
        <v>16</v>
      </c>
      <c r="D195" s="6">
        <v>266332260.8263416</v>
      </c>
      <c r="E195" s="6">
        <v>-216849739.1736584</v>
      </c>
      <c r="F195" s="6">
        <v>7.2899999618530273</v>
      </c>
      <c r="G195" s="6">
        <v>7.119999885559082</v>
      </c>
      <c r="H195" s="6" t="e">
        <v>#N/A</v>
      </c>
      <c r="I195" s="6">
        <v>-0.32738019337705559</v>
      </c>
      <c r="J195" s="6">
        <v>35000000</v>
      </c>
      <c r="K195" s="6">
        <v>-82.783970677474841</v>
      </c>
      <c r="L195" t="s">
        <v>17</v>
      </c>
      <c r="M195" t="s">
        <v>18</v>
      </c>
      <c r="N195" s="4" t="s">
        <v>4464</v>
      </c>
      <c r="O195" s="4" t="s">
        <v>4465</v>
      </c>
      <c r="P195" s="4" t="s">
        <v>233</v>
      </c>
    </row>
    <row r="196" spans="1:16" x14ac:dyDescent="0.35">
      <c r="A196" t="s">
        <v>9846</v>
      </c>
      <c r="B196" t="s">
        <v>5722</v>
      </c>
      <c r="C196" t="s">
        <v>16</v>
      </c>
      <c r="D196" s="6">
        <v>126491351.75</v>
      </c>
      <c r="E196" s="6">
        <v>125225220.75</v>
      </c>
      <c r="F196" s="6">
        <v>4.25</v>
      </c>
      <c r="G196" s="6">
        <v>4.3499999046325684</v>
      </c>
      <c r="H196" s="6" t="e">
        <v>#N/A</v>
      </c>
      <c r="I196" s="6">
        <v>-0.31928309096958629</v>
      </c>
      <c r="J196" s="6">
        <v>0</v>
      </c>
      <c r="K196" s="6">
        <v>-16.666666666666682</v>
      </c>
      <c r="L196" t="s">
        <v>17</v>
      </c>
      <c r="M196" t="s">
        <v>87</v>
      </c>
      <c r="N196" s="4" t="s">
        <v>5723</v>
      </c>
      <c r="O196" s="4" t="s">
        <v>5724</v>
      </c>
      <c r="P196" s="4" t="s">
        <v>233</v>
      </c>
    </row>
    <row r="197" spans="1:16" x14ac:dyDescent="0.35">
      <c r="A197" t="s">
        <v>8411</v>
      </c>
      <c r="B197" t="s">
        <v>4489</v>
      </c>
      <c r="C197" t="s">
        <v>16</v>
      </c>
      <c r="D197" s="6">
        <v>86724268.831605688</v>
      </c>
      <c r="E197" s="6">
        <v>1908268.8316056877</v>
      </c>
      <c r="F197" s="6">
        <v>1.3500000238418579</v>
      </c>
      <c r="G197" s="6">
        <v>1.2799999713897705</v>
      </c>
      <c r="H197" s="6" t="e">
        <v>#N/A</v>
      </c>
      <c r="I197" s="6">
        <v>-0.7706502058956799</v>
      </c>
      <c r="J197" s="6">
        <v>0</v>
      </c>
      <c r="K197" s="6">
        <v>-6.5677162951294772</v>
      </c>
      <c r="L197" t="s">
        <v>17</v>
      </c>
      <c r="M197" t="s">
        <v>18</v>
      </c>
      <c r="N197" s="4" t="s">
        <v>4490</v>
      </c>
      <c r="O197" s="4" t="s">
        <v>4491</v>
      </c>
      <c r="P197" s="4" t="s">
        <v>233</v>
      </c>
    </row>
    <row r="198" spans="1:16" x14ac:dyDescent="0.35">
      <c r="A198" t="s">
        <v>8412</v>
      </c>
      <c r="B198" t="s">
        <v>4481</v>
      </c>
      <c r="C198" t="s">
        <v>16</v>
      </c>
      <c r="D198" s="6">
        <v>1313600761.7420673</v>
      </c>
      <c r="E198" s="6">
        <v>732320761.74206734</v>
      </c>
      <c r="F198" s="6">
        <v>17.309999465942383</v>
      </c>
      <c r="G198" s="6">
        <v>16.729999542236328</v>
      </c>
      <c r="H198" s="6" t="e">
        <v>#N/A</v>
      </c>
      <c r="I198" s="6">
        <v>0.84428980062837722</v>
      </c>
      <c r="J198" s="6">
        <v>54549000</v>
      </c>
      <c r="K198" s="6">
        <v>-8.6792452830188687</v>
      </c>
      <c r="L198" t="s">
        <v>17</v>
      </c>
      <c r="M198" t="s">
        <v>18</v>
      </c>
      <c r="N198" s="4" t="s">
        <v>4482</v>
      </c>
      <c r="O198" s="4" t="s">
        <v>4483</v>
      </c>
      <c r="P198" s="4" t="s">
        <v>233</v>
      </c>
    </row>
    <row r="199" spans="1:16" x14ac:dyDescent="0.35">
      <c r="A199" t="s">
        <v>13343</v>
      </c>
      <c r="B199" t="s">
        <v>5834</v>
      </c>
      <c r="C199" t="s">
        <v>16</v>
      </c>
      <c r="D199" s="6">
        <v>158451424.69504166</v>
      </c>
      <c r="E199" s="6">
        <v>316587424.69504166</v>
      </c>
      <c r="F199" s="6">
        <v>4.4200000762939453</v>
      </c>
      <c r="G199" s="6">
        <v>4.2899999618530273</v>
      </c>
      <c r="H199" s="6" t="e">
        <v>#N/A</v>
      </c>
      <c r="I199" s="6">
        <v>-0.97606014709914912</v>
      </c>
      <c r="J199" s="6">
        <v>0</v>
      </c>
      <c r="K199" s="6">
        <v>0</v>
      </c>
      <c r="L199" t="s">
        <v>17</v>
      </c>
      <c r="M199" t="s">
        <v>87</v>
      </c>
      <c r="N199" s="4" t="s">
        <v>5835</v>
      </c>
      <c r="O199" s="4" t="s">
        <v>5836</v>
      </c>
      <c r="P199" s="4" t="s">
        <v>233</v>
      </c>
    </row>
    <row r="200" spans="1:16" x14ac:dyDescent="0.35">
      <c r="A200" t="s">
        <v>8109</v>
      </c>
      <c r="B200" t="s">
        <v>789</v>
      </c>
      <c r="C200" t="s">
        <v>16</v>
      </c>
      <c r="D200" s="6">
        <v>1118230082.6972167</v>
      </c>
      <c r="E200" s="6">
        <v>857334082.69721675</v>
      </c>
      <c r="F200" s="6">
        <v>7.809999942779541</v>
      </c>
      <c r="G200" s="6">
        <v>7.5500001907348633</v>
      </c>
      <c r="H200" s="6" t="e">
        <v>#N/A</v>
      </c>
      <c r="I200" s="6">
        <v>-6.1135830033174021E-2</v>
      </c>
      <c r="J200" s="6">
        <v>220361000</v>
      </c>
      <c r="K200" s="6">
        <v>71.698113207547166</v>
      </c>
      <c r="L200" t="s">
        <v>17</v>
      </c>
      <c r="M200" t="s">
        <v>18</v>
      </c>
      <c r="N200" s="4" t="s">
        <v>790</v>
      </c>
      <c r="O200" s="4" t="s">
        <v>791</v>
      </c>
      <c r="P200" s="4" t="s">
        <v>233</v>
      </c>
    </row>
    <row r="201" spans="1:16" x14ac:dyDescent="0.35">
      <c r="A201" t="s">
        <v>8418</v>
      </c>
      <c r="B201" t="s">
        <v>4493</v>
      </c>
      <c r="C201" t="s">
        <v>16</v>
      </c>
      <c r="D201" s="6">
        <v>319780515</v>
      </c>
      <c r="E201" s="6">
        <v>9271515</v>
      </c>
      <c r="F201" s="6">
        <v>3</v>
      </c>
      <c r="G201" s="6">
        <v>3.0499999523162842</v>
      </c>
      <c r="H201" s="6" t="e">
        <v>#N/A</v>
      </c>
      <c r="I201" s="6">
        <v>-0.44661744402714665</v>
      </c>
      <c r="J201" s="6">
        <v>0</v>
      </c>
      <c r="K201" s="6">
        <v>44.736842105263165</v>
      </c>
      <c r="L201" t="s">
        <v>17</v>
      </c>
      <c r="M201" t="s">
        <v>18</v>
      </c>
      <c r="N201" s="4" t="s">
        <v>4494</v>
      </c>
      <c r="O201" s="4" t="s">
        <v>4495</v>
      </c>
      <c r="P201" s="4" t="s">
        <v>233</v>
      </c>
    </row>
    <row r="202" spans="1:16" x14ac:dyDescent="0.35">
      <c r="A202" t="s">
        <v>12082</v>
      </c>
      <c r="B202" t="s">
        <v>1415</v>
      </c>
      <c r="C202" t="s">
        <v>16</v>
      </c>
      <c r="D202" s="6">
        <v>684322124.07269657</v>
      </c>
      <c r="E202" s="6">
        <v>600942023.07269657</v>
      </c>
      <c r="F202" s="6">
        <v>15.050000190734863</v>
      </c>
      <c r="G202" s="6">
        <v>13.25</v>
      </c>
      <c r="H202" s="6" t="e">
        <v>#N/A</v>
      </c>
      <c r="I202" s="6">
        <v>2.7582727869994752</v>
      </c>
      <c r="J202" s="6">
        <v>23228046</v>
      </c>
      <c r="K202" s="6">
        <v>8.6206896551724199</v>
      </c>
      <c r="L202" t="s">
        <v>17</v>
      </c>
      <c r="M202" t="s">
        <v>18</v>
      </c>
      <c r="N202" s="4" t="s">
        <v>1416</v>
      </c>
      <c r="O202" s="4" t="s">
        <v>1417</v>
      </c>
      <c r="P202" s="4" t="s">
        <v>233</v>
      </c>
    </row>
    <row r="203" spans="1:16" x14ac:dyDescent="0.35">
      <c r="A203" t="s">
        <v>11066</v>
      </c>
      <c r="B203" t="s">
        <v>3995</v>
      </c>
      <c r="C203" t="s">
        <v>16</v>
      </c>
      <c r="D203" s="6">
        <v>132758548.42958154</v>
      </c>
      <c r="E203" s="6">
        <v>-230631451.57041854</v>
      </c>
      <c r="F203" s="6">
        <v>1.6100000143051147</v>
      </c>
      <c r="G203" s="6">
        <v>1.6000000238418579</v>
      </c>
      <c r="H203" s="6" t="e">
        <v>#N/A</v>
      </c>
      <c r="I203" s="6">
        <v>-0.66908085898797265</v>
      </c>
      <c r="J203" s="6">
        <v>160955000</v>
      </c>
      <c r="K203" s="6">
        <v>44.235184565767696</v>
      </c>
      <c r="L203" t="s">
        <v>17</v>
      </c>
      <c r="M203" t="s">
        <v>18</v>
      </c>
      <c r="N203" s="4" t="s">
        <v>3996</v>
      </c>
      <c r="O203" s="4" t="s">
        <v>3997</v>
      </c>
      <c r="P203" s="4" t="s">
        <v>233</v>
      </c>
    </row>
    <row r="204" spans="1:16" x14ac:dyDescent="0.35">
      <c r="A204" t="s">
        <v>10290</v>
      </c>
      <c r="B204" t="s">
        <v>2653</v>
      </c>
      <c r="C204" t="s">
        <v>16</v>
      </c>
      <c r="D204" s="6">
        <v>3178085181.5734692</v>
      </c>
      <c r="E204" s="6">
        <v>2662125181.5734692</v>
      </c>
      <c r="F204" s="6">
        <v>19.100000381469727</v>
      </c>
      <c r="G204" s="6">
        <v>18.290000915527344</v>
      </c>
      <c r="H204" s="6">
        <v>24.487179976243237</v>
      </c>
      <c r="I204" s="6">
        <v>-0.28559018766459399</v>
      </c>
      <c r="J204" s="6">
        <v>929236000</v>
      </c>
      <c r="K204" s="6" t="e">
        <v>#N/A</v>
      </c>
      <c r="L204" t="s">
        <v>17</v>
      </c>
      <c r="M204" t="s">
        <v>18</v>
      </c>
      <c r="N204" s="4" t="s">
        <v>2654</v>
      </c>
      <c r="O204" s="4" t="s">
        <v>2655</v>
      </c>
      <c r="P204" s="4" t="s">
        <v>233</v>
      </c>
    </row>
    <row r="205" spans="1:16" x14ac:dyDescent="0.35">
      <c r="A205" t="s">
        <v>9937</v>
      </c>
      <c r="B205" t="s">
        <v>4658</v>
      </c>
      <c r="C205" t="s">
        <v>16</v>
      </c>
      <c r="D205" s="6">
        <v>498403608.96115875</v>
      </c>
      <c r="E205" s="6">
        <v>495156608.96115875</v>
      </c>
      <c r="F205" s="6">
        <v>3.9600000381469727</v>
      </c>
      <c r="G205" s="6">
        <v>3.940000057220459</v>
      </c>
      <c r="H205" s="6" t="e">
        <v>#N/A</v>
      </c>
      <c r="I205" s="6">
        <v>2.3191552145361838E-2</v>
      </c>
      <c r="J205" s="6">
        <v>0</v>
      </c>
      <c r="K205" s="6">
        <v>-54.022988505747136</v>
      </c>
      <c r="L205" t="s">
        <v>17</v>
      </c>
      <c r="M205" t="s">
        <v>18</v>
      </c>
      <c r="N205" s="4" t="s">
        <v>4659</v>
      </c>
      <c r="O205" s="4" t="s">
        <v>4660</v>
      </c>
      <c r="P205" s="4" t="s">
        <v>233</v>
      </c>
    </row>
    <row r="206" spans="1:16" x14ac:dyDescent="0.35">
      <c r="A206" t="s">
        <v>7940</v>
      </c>
      <c r="B206" t="s">
        <v>4955</v>
      </c>
      <c r="C206" t="s">
        <v>16</v>
      </c>
      <c r="D206" s="6">
        <v>3258622206.819458</v>
      </c>
      <c r="E206" s="6">
        <v>2921600206.819458</v>
      </c>
      <c r="F206" s="6">
        <v>8.3400001525878906</v>
      </c>
      <c r="G206" s="6">
        <v>7.4499998092651367</v>
      </c>
      <c r="H206" s="6" t="e">
        <v>#N/A</v>
      </c>
      <c r="I206" s="6">
        <v>-0.23709451982197416</v>
      </c>
      <c r="J206" s="6">
        <v>65184000</v>
      </c>
      <c r="K206" s="6">
        <v>-6.1643835616438105</v>
      </c>
      <c r="L206" t="s">
        <v>17</v>
      </c>
      <c r="M206" t="s">
        <v>18</v>
      </c>
      <c r="N206" s="4" t="s">
        <v>4956</v>
      </c>
      <c r="O206" s="4" t="s">
        <v>4957</v>
      </c>
      <c r="P206" s="4" t="s">
        <v>233</v>
      </c>
    </row>
    <row r="207" spans="1:16" x14ac:dyDescent="0.35">
      <c r="A207" t="s">
        <v>10341</v>
      </c>
      <c r="B207" t="s">
        <v>5788</v>
      </c>
      <c r="C207" t="s">
        <v>16</v>
      </c>
      <c r="D207" s="6">
        <v>185725847.21557617</v>
      </c>
      <c r="E207" s="6">
        <v>-8771152.7844238281</v>
      </c>
      <c r="F207" s="6">
        <v>12.829999923706055</v>
      </c>
      <c r="G207" s="6">
        <v>12.460000038146973</v>
      </c>
      <c r="H207" s="6" t="e">
        <v>#N/A</v>
      </c>
      <c r="I207" s="6">
        <v>-0.26588907059595146</v>
      </c>
      <c r="J207" s="6" t="e">
        <v>#N/A</v>
      </c>
      <c r="K207" s="6" t="e">
        <v>#N/A</v>
      </c>
      <c r="L207" t="s">
        <v>17</v>
      </c>
      <c r="M207" t="s">
        <v>18</v>
      </c>
      <c r="N207" s="4" t="s">
        <v>5789</v>
      </c>
      <c r="O207" s="4" t="s">
        <v>5790</v>
      </c>
      <c r="P207" s="4" t="s">
        <v>233</v>
      </c>
    </row>
    <row r="208" spans="1:16" x14ac:dyDescent="0.35">
      <c r="A208" t="s">
        <v>7947</v>
      </c>
      <c r="B208" t="s">
        <v>4966</v>
      </c>
      <c r="C208" t="s">
        <v>16</v>
      </c>
      <c r="D208" s="6">
        <v>126110631.4511981</v>
      </c>
      <c r="E208" s="6">
        <v>-40459368.548801929</v>
      </c>
      <c r="F208" s="6">
        <v>3.4800000190734863</v>
      </c>
      <c r="G208" s="6">
        <v>3.4000000953674316</v>
      </c>
      <c r="H208" s="6" t="e">
        <v>#N/A</v>
      </c>
      <c r="I208" s="6">
        <v>-0.80438773832247512</v>
      </c>
      <c r="J208" s="6">
        <v>0</v>
      </c>
      <c r="K208" s="6">
        <v>-22.857142857142865</v>
      </c>
      <c r="L208" t="s">
        <v>17</v>
      </c>
      <c r="M208" t="s">
        <v>18</v>
      </c>
      <c r="N208" s="4" t="s">
        <v>4967</v>
      </c>
      <c r="O208" s="4" t="s">
        <v>4968</v>
      </c>
      <c r="P208" s="4" t="s">
        <v>233</v>
      </c>
    </row>
    <row r="209" spans="1:16" x14ac:dyDescent="0.35">
      <c r="A209" t="s">
        <v>8840</v>
      </c>
      <c r="B209" t="s">
        <v>4710</v>
      </c>
      <c r="C209" t="s">
        <v>16</v>
      </c>
      <c r="D209" s="6">
        <v>1111593941.7838612</v>
      </c>
      <c r="E209" s="6">
        <v>1086486941.7838612</v>
      </c>
      <c r="F209" s="6">
        <v>4.2600002288818359</v>
      </c>
      <c r="G209" s="6">
        <v>4.1599998474121094</v>
      </c>
      <c r="H209" s="6" t="e">
        <v>#N/A</v>
      </c>
      <c r="I209" s="6">
        <v>-0.22491365932153928</v>
      </c>
      <c r="J209" s="6">
        <v>276920000</v>
      </c>
      <c r="K209" s="6" t="e">
        <v>#N/A</v>
      </c>
      <c r="L209" t="s">
        <v>17</v>
      </c>
      <c r="M209" t="s">
        <v>100</v>
      </c>
      <c r="N209" s="4" t="s">
        <v>4711</v>
      </c>
      <c r="O209" s="4" t="s">
        <v>4712</v>
      </c>
      <c r="P209" s="4" t="s">
        <v>233</v>
      </c>
    </row>
    <row r="210" spans="1:16" x14ac:dyDescent="0.35">
      <c r="A210" t="s">
        <v>7399</v>
      </c>
      <c r="B210" t="s">
        <v>2919</v>
      </c>
      <c r="C210" t="s">
        <v>16</v>
      </c>
      <c r="D210" s="6">
        <v>142367916.24999997</v>
      </c>
      <c r="E210" s="6">
        <v>-48232536.470000029</v>
      </c>
      <c r="F210" s="6">
        <v>1.25</v>
      </c>
      <c r="G210" s="6">
        <v>1.190000057220459</v>
      </c>
      <c r="H210" s="6" t="e">
        <v>#N/A</v>
      </c>
      <c r="I210" s="6">
        <v>-0.81693464825233908</v>
      </c>
      <c r="J210" s="6">
        <v>13447000</v>
      </c>
      <c r="K210" s="6">
        <v>6.7796610169491585</v>
      </c>
      <c r="L210" t="s">
        <v>17</v>
      </c>
      <c r="M210" t="s">
        <v>18</v>
      </c>
      <c r="N210" s="4" t="s">
        <v>2920</v>
      </c>
      <c r="O210" s="4" t="s">
        <v>2921</v>
      </c>
      <c r="P210" s="4" t="s">
        <v>233</v>
      </c>
    </row>
    <row r="211" spans="1:16" x14ac:dyDescent="0.35">
      <c r="A211" t="s">
        <v>10635</v>
      </c>
      <c r="B211" t="s">
        <v>5228</v>
      </c>
      <c r="C211" t="s">
        <v>16</v>
      </c>
      <c r="D211" s="6">
        <v>432014913.23153853</v>
      </c>
      <c r="E211" s="6">
        <v>396472913.23153853</v>
      </c>
      <c r="F211" s="6">
        <v>3.5699999332427979</v>
      </c>
      <c r="G211" s="6">
        <v>3.5399999618530273</v>
      </c>
      <c r="H211" s="6" t="e">
        <v>#N/A</v>
      </c>
      <c r="I211" s="6">
        <v>-0.35014218657754836</v>
      </c>
      <c r="J211" s="6">
        <v>20409000</v>
      </c>
      <c r="K211" s="6">
        <v>-46.381773108251714</v>
      </c>
      <c r="L211" t="s">
        <v>17</v>
      </c>
      <c r="M211" t="s">
        <v>100</v>
      </c>
      <c r="N211" s="4" t="s">
        <v>5229</v>
      </c>
      <c r="O211" s="4" t="s">
        <v>5230</v>
      </c>
      <c r="P211" s="4" t="s">
        <v>233</v>
      </c>
    </row>
    <row r="212" spans="1:16" x14ac:dyDescent="0.35">
      <c r="A212" t="s">
        <v>12773</v>
      </c>
      <c r="B212" t="s">
        <v>893</v>
      </c>
      <c r="C212" t="s">
        <v>16</v>
      </c>
      <c r="D212" s="6">
        <v>81167895.234887108</v>
      </c>
      <c r="E212" s="6">
        <v>161954895.23488712</v>
      </c>
      <c r="F212" s="6">
        <v>3.4600000381469727</v>
      </c>
      <c r="G212" s="6">
        <v>3.1400001049041748</v>
      </c>
      <c r="H212" s="6" t="e">
        <v>#N/A</v>
      </c>
      <c r="I212" s="6">
        <v>-0.78533198427311035</v>
      </c>
      <c r="J212" s="6">
        <v>160428000</v>
      </c>
      <c r="K212" s="6">
        <v>32.091812774913379</v>
      </c>
      <c r="L212" t="s">
        <v>17</v>
      </c>
      <c r="M212" t="s">
        <v>18</v>
      </c>
      <c r="N212" s="4" t="s">
        <v>894</v>
      </c>
      <c r="O212" s="4" t="s">
        <v>895</v>
      </c>
      <c r="P212" s="4" t="s">
        <v>233</v>
      </c>
    </row>
    <row r="213" spans="1:16" x14ac:dyDescent="0.35">
      <c r="A213" t="s">
        <v>12679</v>
      </c>
      <c r="B213" t="s">
        <v>4986</v>
      </c>
      <c r="C213" t="s">
        <v>16</v>
      </c>
      <c r="D213" s="6">
        <v>89384728.661487564</v>
      </c>
      <c r="E213" s="6">
        <v>229877728.66148758</v>
      </c>
      <c r="F213" s="6">
        <v>3.6800000667572021</v>
      </c>
      <c r="G213" s="6">
        <v>3.7899999618530273</v>
      </c>
      <c r="H213" s="6" t="e">
        <v>#N/A</v>
      </c>
      <c r="I213" s="6">
        <v>-0.87433956269506186</v>
      </c>
      <c r="J213" s="6">
        <v>33491999.999999996</v>
      </c>
      <c r="K213" s="6">
        <v>53.318077803203657</v>
      </c>
      <c r="L213" t="s">
        <v>17</v>
      </c>
      <c r="M213" t="s">
        <v>18</v>
      </c>
      <c r="N213" s="4" t="s">
        <v>4987</v>
      </c>
      <c r="O213" s="4" t="s">
        <v>4988</v>
      </c>
      <c r="P213" s="4" t="s">
        <v>233</v>
      </c>
    </row>
    <row r="214" spans="1:16" x14ac:dyDescent="0.35">
      <c r="A214" t="s">
        <v>11067</v>
      </c>
      <c r="B214" t="s">
        <v>4426</v>
      </c>
      <c r="C214" t="s">
        <v>16</v>
      </c>
      <c r="D214" s="6">
        <v>41344757.996424079</v>
      </c>
      <c r="E214" s="6">
        <v>-49646242.003575936</v>
      </c>
      <c r="F214" s="6">
        <v>0.61900001764297485</v>
      </c>
      <c r="G214" s="6">
        <v>0.63660001754760742</v>
      </c>
      <c r="H214" s="6" t="e">
        <v>#N/A</v>
      </c>
      <c r="I214" s="6">
        <v>-0.69997822639689466</v>
      </c>
      <c r="J214" s="6">
        <v>18582000</v>
      </c>
      <c r="K214" s="6">
        <v>-10.606060606060627</v>
      </c>
      <c r="L214" t="s">
        <v>17</v>
      </c>
      <c r="M214" t="s">
        <v>18</v>
      </c>
      <c r="N214" s="4" t="s">
        <v>4427</v>
      </c>
      <c r="O214" s="4" t="s">
        <v>4428</v>
      </c>
      <c r="P214" s="4" t="s">
        <v>233</v>
      </c>
    </row>
    <row r="215" spans="1:16" x14ac:dyDescent="0.35">
      <c r="A215" t="s">
        <v>11554</v>
      </c>
      <c r="B215" t="s">
        <v>4281</v>
      </c>
      <c r="C215" t="s">
        <v>16</v>
      </c>
      <c r="D215" s="6">
        <v>1454239145.0315094</v>
      </c>
      <c r="E215" s="6">
        <v>1068033145.0315094</v>
      </c>
      <c r="F215" s="6">
        <v>11.010000228881836</v>
      </c>
      <c r="G215" s="6">
        <v>10.930000305175781</v>
      </c>
      <c r="H215" s="6" t="e">
        <v>#N/A</v>
      </c>
      <c r="I215" s="6">
        <v>0.17326027976952996</v>
      </c>
      <c r="J215" s="6">
        <v>0</v>
      </c>
      <c r="K215" s="6">
        <v>-46.231155778894482</v>
      </c>
      <c r="L215" t="s">
        <v>17</v>
      </c>
      <c r="M215" t="s">
        <v>18</v>
      </c>
      <c r="N215" s="4" t="s">
        <v>4282</v>
      </c>
      <c r="O215" s="4" t="s">
        <v>4283</v>
      </c>
      <c r="P215" s="4" t="s">
        <v>233</v>
      </c>
    </row>
    <row r="216" spans="1:16" x14ac:dyDescent="0.35">
      <c r="A216" t="s">
        <v>11073</v>
      </c>
      <c r="B216" t="s">
        <v>4430</v>
      </c>
      <c r="C216" t="s">
        <v>16</v>
      </c>
      <c r="D216" s="6">
        <v>3797615551.0074215</v>
      </c>
      <c r="E216" s="6">
        <v>2220427551.0074215</v>
      </c>
      <c r="F216" s="6">
        <v>31.829999923706055</v>
      </c>
      <c r="G216" s="6">
        <v>32.950000762939453</v>
      </c>
      <c r="H216" s="6" t="e">
        <v>#N/A</v>
      </c>
      <c r="I216" s="6">
        <v>1.1844520971568278</v>
      </c>
      <c r="J216" s="6">
        <v>10117000</v>
      </c>
      <c r="K216" s="6">
        <v>3.6789297658862981</v>
      </c>
      <c r="L216" t="s">
        <v>17</v>
      </c>
      <c r="M216" t="s">
        <v>18</v>
      </c>
      <c r="N216" s="4" t="s">
        <v>4431</v>
      </c>
      <c r="O216" s="4" t="s">
        <v>4432</v>
      </c>
      <c r="P216" s="4" t="s">
        <v>233</v>
      </c>
    </row>
    <row r="217" spans="1:16" x14ac:dyDescent="0.35">
      <c r="A217" t="s">
        <v>11075</v>
      </c>
      <c r="B217" t="s">
        <v>4422</v>
      </c>
      <c r="C217" t="s">
        <v>16</v>
      </c>
      <c r="D217" s="6">
        <v>10646453531.103666</v>
      </c>
      <c r="E217" s="6">
        <v>8493947531.1036663</v>
      </c>
      <c r="F217" s="6">
        <v>85.419998168945313</v>
      </c>
      <c r="G217" s="6">
        <v>85</v>
      </c>
      <c r="H217" s="6" t="e">
        <v>#N/A</v>
      </c>
      <c r="I217" s="6">
        <v>0.1175760653147262</v>
      </c>
      <c r="J217" s="6">
        <v>0</v>
      </c>
      <c r="K217" s="6">
        <v>-37.757397011614302</v>
      </c>
      <c r="L217" t="s">
        <v>17</v>
      </c>
      <c r="M217" t="s">
        <v>18</v>
      </c>
      <c r="N217" s="4" t="s">
        <v>4423</v>
      </c>
      <c r="O217" s="4" t="s">
        <v>4424</v>
      </c>
      <c r="P217" s="4" t="s">
        <v>233</v>
      </c>
    </row>
    <row r="218" spans="1:16" x14ac:dyDescent="0.35">
      <c r="A218" t="s">
        <v>6536</v>
      </c>
      <c r="B218" t="s">
        <v>3474</v>
      </c>
      <c r="C218" t="s">
        <v>16</v>
      </c>
      <c r="D218" s="6">
        <v>1318917587.7334497</v>
      </c>
      <c r="E218" s="6">
        <v>1283696587.7334497</v>
      </c>
      <c r="F218" s="6">
        <v>21.440000534057617</v>
      </c>
      <c r="G218" s="6">
        <v>21.209999084472656</v>
      </c>
      <c r="H218" s="6" t="e">
        <v>#N/A</v>
      </c>
      <c r="I218" s="6">
        <v>1.59196150010309</v>
      </c>
      <c r="J218" s="6">
        <v>0</v>
      </c>
      <c r="K218" s="6">
        <v>11.201226850055161</v>
      </c>
      <c r="L218" t="s">
        <v>17</v>
      </c>
      <c r="M218" t="s">
        <v>27</v>
      </c>
      <c r="N218" s="4" t="s">
        <v>3475</v>
      </c>
      <c r="O218" s="4" t="s">
        <v>3476</v>
      </c>
      <c r="P218" s="4" t="s">
        <v>233</v>
      </c>
    </row>
    <row r="219" spans="1:16" x14ac:dyDescent="0.35">
      <c r="A219" t="s">
        <v>9403</v>
      </c>
      <c r="B219" t="s">
        <v>5021</v>
      </c>
      <c r="C219" t="s">
        <v>16</v>
      </c>
      <c r="D219" s="6">
        <v>112611947.74120188</v>
      </c>
      <c r="E219" s="6">
        <v>13000947.741201878</v>
      </c>
      <c r="F219" s="6">
        <v>2.1099998950958252</v>
      </c>
      <c r="G219" s="6">
        <v>2.0999999046325684</v>
      </c>
      <c r="H219" s="6" t="e">
        <v>#N/A</v>
      </c>
      <c r="I219" s="6">
        <v>-0.64377520783253273</v>
      </c>
      <c r="J219" s="6">
        <v>21049000</v>
      </c>
      <c r="K219" s="6">
        <v>50.545454545454547</v>
      </c>
      <c r="L219" t="s">
        <v>17</v>
      </c>
      <c r="M219" t="s">
        <v>18</v>
      </c>
      <c r="N219" s="4" t="s">
        <v>5022</v>
      </c>
      <c r="O219" s="4" t="s">
        <v>5023</v>
      </c>
      <c r="P219" s="4" t="s">
        <v>233</v>
      </c>
    </row>
    <row r="220" spans="1:16" x14ac:dyDescent="0.35">
      <c r="A220" t="s">
        <v>11270</v>
      </c>
      <c r="B220" t="s">
        <v>4395</v>
      </c>
      <c r="C220" t="s">
        <v>16</v>
      </c>
      <c r="D220" s="6">
        <v>226865449.2137661</v>
      </c>
      <c r="E220" s="6">
        <v>179322449.2137661</v>
      </c>
      <c r="F220" s="6">
        <v>8.6099996566772461</v>
      </c>
      <c r="G220" s="6">
        <v>8.6099996566772461</v>
      </c>
      <c r="H220" s="6" t="e">
        <v>#N/A</v>
      </c>
      <c r="I220" s="6">
        <v>-0.50648316232485824</v>
      </c>
      <c r="J220" s="6">
        <v>50143000</v>
      </c>
      <c r="K220" s="6">
        <v>-30.841121495327087</v>
      </c>
      <c r="L220" t="s">
        <v>17</v>
      </c>
      <c r="M220" t="s">
        <v>18</v>
      </c>
      <c r="N220" s="4" t="s">
        <v>4396</v>
      </c>
      <c r="O220" s="4" t="s">
        <v>4397</v>
      </c>
      <c r="P220" s="4" t="s">
        <v>233</v>
      </c>
    </row>
    <row r="221" spans="1:16" x14ac:dyDescent="0.35">
      <c r="A221" t="s">
        <v>7645</v>
      </c>
      <c r="B221" t="s">
        <v>2441</v>
      </c>
      <c r="C221" t="s">
        <v>16</v>
      </c>
      <c r="D221" s="6">
        <v>146347385.17756969</v>
      </c>
      <c r="E221" s="6">
        <v>114994385.17756969</v>
      </c>
      <c r="F221" s="6">
        <v>0.64099997282028198</v>
      </c>
      <c r="G221" s="6">
        <v>0.64670002460479736</v>
      </c>
      <c r="H221" s="6" t="e">
        <v>#N/A</v>
      </c>
      <c r="I221" s="6">
        <v>-0.40563491757420034</v>
      </c>
      <c r="J221" s="6">
        <v>8719000</v>
      </c>
      <c r="K221" s="6">
        <v>16.05011064523643</v>
      </c>
      <c r="L221" t="s">
        <v>17</v>
      </c>
      <c r="M221" t="s">
        <v>18</v>
      </c>
      <c r="N221" s="4" t="s">
        <v>2442</v>
      </c>
      <c r="O221" s="4" t="s">
        <v>2443</v>
      </c>
      <c r="P221" s="4" t="s">
        <v>233</v>
      </c>
    </row>
    <row r="222" spans="1:16" x14ac:dyDescent="0.35">
      <c r="A222" t="s">
        <v>8893</v>
      </c>
      <c r="B222" t="s">
        <v>2725</v>
      </c>
      <c r="C222" t="s">
        <v>16</v>
      </c>
      <c r="D222" s="6">
        <v>150632281.18558884</v>
      </c>
      <c r="E222" s="6">
        <v>-15630718.814411163</v>
      </c>
      <c r="F222" s="6">
        <v>2.4000000953674316</v>
      </c>
      <c r="G222" s="6">
        <v>2.4100000858306885</v>
      </c>
      <c r="H222" s="6" t="e">
        <v>#N/A</v>
      </c>
      <c r="I222" s="6">
        <v>-0.86533372544471177</v>
      </c>
      <c r="J222" s="6">
        <v>141329000</v>
      </c>
      <c r="K222" s="6" t="e">
        <v>#N/A</v>
      </c>
      <c r="L222" t="s">
        <v>17</v>
      </c>
      <c r="M222" t="s">
        <v>18</v>
      </c>
      <c r="N222" s="4" t="s">
        <v>2726</v>
      </c>
      <c r="O222" s="4" t="s">
        <v>2727</v>
      </c>
      <c r="P222" s="4" t="s">
        <v>233</v>
      </c>
    </row>
    <row r="223" spans="1:16" x14ac:dyDescent="0.35">
      <c r="A223" t="s">
        <v>12133</v>
      </c>
      <c r="B223" t="s">
        <v>104</v>
      </c>
      <c r="C223" t="s">
        <v>16</v>
      </c>
      <c r="D223" s="6">
        <v>266667870.97795141</v>
      </c>
      <c r="E223" s="6">
        <v>374023870.97795141</v>
      </c>
      <c r="F223" s="6">
        <v>1.6599999666213989</v>
      </c>
      <c r="G223" s="6">
        <v>1.6299999952316284</v>
      </c>
      <c r="H223" s="6" t="e">
        <v>#N/A</v>
      </c>
      <c r="I223" s="6">
        <v>-0.36802723495982836</v>
      </c>
      <c r="J223" s="6">
        <v>137737000</v>
      </c>
      <c r="K223" s="6">
        <v>81.25</v>
      </c>
      <c r="L223" t="s">
        <v>17</v>
      </c>
      <c r="M223" t="s">
        <v>18</v>
      </c>
      <c r="N223" s="4" t="s">
        <v>105</v>
      </c>
      <c r="O223" s="4" t="s">
        <v>106</v>
      </c>
      <c r="P223" s="4" t="s">
        <v>233</v>
      </c>
    </row>
    <row r="224" spans="1:16" x14ac:dyDescent="0.35">
      <c r="A224" t="s">
        <v>9408</v>
      </c>
      <c r="B224" t="s">
        <v>5153</v>
      </c>
      <c r="C224" t="s">
        <v>16</v>
      </c>
      <c r="D224" s="6">
        <v>443881847.56963611</v>
      </c>
      <c r="E224" s="6">
        <v>187390847.56963608</v>
      </c>
      <c r="F224" s="6">
        <v>1.5700000524520874</v>
      </c>
      <c r="G224" s="6">
        <v>1.5499999523162842</v>
      </c>
      <c r="H224" s="6" t="e">
        <v>#N/A</v>
      </c>
      <c r="I224" s="6">
        <v>-0.14171719539054928</v>
      </c>
      <c r="J224" s="6">
        <v>0</v>
      </c>
      <c r="K224" s="6">
        <v>58.29145728643217</v>
      </c>
      <c r="L224" t="s">
        <v>17</v>
      </c>
      <c r="M224" t="s">
        <v>18</v>
      </c>
      <c r="N224" s="4" t="s">
        <v>5154</v>
      </c>
      <c r="O224" s="4" t="s">
        <v>5155</v>
      </c>
      <c r="P224" s="4" t="s">
        <v>233</v>
      </c>
    </row>
    <row r="225" spans="1:16" x14ac:dyDescent="0.35">
      <c r="A225" t="s">
        <v>11450</v>
      </c>
      <c r="B225" t="s">
        <v>675</v>
      </c>
      <c r="C225" t="s">
        <v>16</v>
      </c>
      <c r="D225" s="6">
        <v>1476822708.5449905</v>
      </c>
      <c r="E225" s="6">
        <v>725306708.54499042</v>
      </c>
      <c r="F225" s="6">
        <v>22.260000228881836</v>
      </c>
      <c r="G225" s="6">
        <v>21.409999847412109</v>
      </c>
      <c r="H225" s="6" t="e">
        <v>#N/A</v>
      </c>
      <c r="I225" s="6">
        <v>-0.40697288332682025</v>
      </c>
      <c r="J225" s="6">
        <v>9977000</v>
      </c>
      <c r="K225" s="6">
        <v>2.6515151515151452</v>
      </c>
      <c r="L225" t="s">
        <v>17</v>
      </c>
      <c r="M225" t="s">
        <v>18</v>
      </c>
      <c r="N225" s="4" t="s">
        <v>676</v>
      </c>
      <c r="O225" s="4" t="s">
        <v>677</v>
      </c>
      <c r="P225" s="4" t="s">
        <v>233</v>
      </c>
    </row>
    <row r="226" spans="1:16" x14ac:dyDescent="0.35">
      <c r="A226" t="s">
        <v>7386</v>
      </c>
      <c r="B226" t="s">
        <v>3892</v>
      </c>
      <c r="C226" t="s">
        <v>16</v>
      </c>
      <c r="D226" s="6">
        <v>503307906.91197348</v>
      </c>
      <c r="E226" s="6">
        <v>467169906.91197348</v>
      </c>
      <c r="F226" s="6">
        <v>6.440000057220459</v>
      </c>
      <c r="G226" s="6">
        <v>6.2800002098083496</v>
      </c>
      <c r="H226" s="6" t="e">
        <v>#N/A</v>
      </c>
      <c r="I226" s="6">
        <v>-3.8702013154876203E-2</v>
      </c>
      <c r="J226" s="6">
        <v>13929000</v>
      </c>
      <c r="K226" s="6">
        <v>47.179910842820036</v>
      </c>
      <c r="L226" t="s">
        <v>17</v>
      </c>
      <c r="M226" t="s">
        <v>18</v>
      </c>
      <c r="N226" s="4" t="s">
        <v>233</v>
      </c>
      <c r="O226" s="4" t="s">
        <v>3893</v>
      </c>
      <c r="P226" s="4" t="s">
        <v>13088</v>
      </c>
    </row>
    <row r="227" spans="1:16" x14ac:dyDescent="0.35">
      <c r="A227" t="s">
        <v>10098</v>
      </c>
      <c r="B227" t="s">
        <v>4064</v>
      </c>
      <c r="C227" t="s">
        <v>16</v>
      </c>
      <c r="D227" s="6">
        <v>160609470.79906285</v>
      </c>
      <c r="E227" s="6">
        <v>-261953529.20093715</v>
      </c>
      <c r="F227" s="6">
        <v>1.6399999856948853</v>
      </c>
      <c r="G227" s="6">
        <v>1.5700000524520874</v>
      </c>
      <c r="H227" s="6" t="e">
        <v>#N/A</v>
      </c>
      <c r="I227" s="6">
        <v>-0.74751594083836892</v>
      </c>
      <c r="J227" s="6">
        <v>61508000</v>
      </c>
      <c r="K227" s="6">
        <v>-0.59171597633136153</v>
      </c>
      <c r="L227" t="s">
        <v>17</v>
      </c>
      <c r="M227" t="s">
        <v>18</v>
      </c>
      <c r="N227" s="4" t="s">
        <v>4065</v>
      </c>
      <c r="O227" s="4" t="s">
        <v>4066</v>
      </c>
      <c r="P227" s="4" t="s">
        <v>233</v>
      </c>
    </row>
    <row r="228" spans="1:16" x14ac:dyDescent="0.35">
      <c r="A228" t="s">
        <v>10395</v>
      </c>
      <c r="B228" t="s">
        <v>2828</v>
      </c>
      <c r="C228" t="s">
        <v>16</v>
      </c>
      <c r="D228" s="6">
        <v>743636659.81887817</v>
      </c>
      <c r="E228" s="6">
        <v>235868659.81887823</v>
      </c>
      <c r="F228" s="6">
        <v>13.819999694824219</v>
      </c>
      <c r="G228" s="6">
        <v>13.5</v>
      </c>
      <c r="H228" s="6" t="e">
        <v>#N/A</v>
      </c>
      <c r="I228" s="6">
        <v>-0.52944031403705116</v>
      </c>
      <c r="J228" s="6">
        <v>133350000.00000001</v>
      </c>
      <c r="K228" s="6">
        <v>-78.260869565217348</v>
      </c>
      <c r="L228" t="s">
        <v>17</v>
      </c>
      <c r="M228" t="s">
        <v>18</v>
      </c>
      <c r="N228" s="4" t="s">
        <v>233</v>
      </c>
      <c r="O228" s="4" t="s">
        <v>2829</v>
      </c>
      <c r="P228" s="4" t="s">
        <v>13090</v>
      </c>
    </row>
    <row r="229" spans="1:16" x14ac:dyDescent="0.35">
      <c r="A229" t="s">
        <v>10777</v>
      </c>
      <c r="B229" t="s">
        <v>3439</v>
      </c>
      <c r="C229" t="s">
        <v>16</v>
      </c>
      <c r="D229" s="6">
        <v>1663990667.4273303</v>
      </c>
      <c r="E229" s="6">
        <v>1388086667.4273303</v>
      </c>
      <c r="F229" s="6">
        <v>10.909999847412109</v>
      </c>
      <c r="G229" s="6">
        <v>10.189999580383301</v>
      </c>
      <c r="H229" s="6" t="e">
        <v>#N/A</v>
      </c>
      <c r="I229" s="6">
        <v>1.7824692254478141</v>
      </c>
      <c r="J229" s="6">
        <v>53610000</v>
      </c>
      <c r="K229" s="6">
        <v>-27.586206896551712</v>
      </c>
      <c r="L229" t="s">
        <v>17</v>
      </c>
      <c r="M229" t="s">
        <v>87</v>
      </c>
      <c r="N229" s="4" t="s">
        <v>233</v>
      </c>
      <c r="O229" s="4" t="s">
        <v>3440</v>
      </c>
      <c r="P229" s="4" t="s">
        <v>13089</v>
      </c>
    </row>
    <row r="230" spans="1:16" x14ac:dyDescent="0.35">
      <c r="A230" t="s">
        <v>6788</v>
      </c>
      <c r="B230" t="s">
        <v>4816</v>
      </c>
      <c r="C230" t="s">
        <v>16</v>
      </c>
      <c r="D230" s="6">
        <v>368634643.66064066</v>
      </c>
      <c r="E230" s="6">
        <v>-2837356.3393594027</v>
      </c>
      <c r="F230" s="6">
        <v>4.3400001525878906</v>
      </c>
      <c r="G230" s="6">
        <v>4.2300000190734863</v>
      </c>
      <c r="H230" s="6" t="e">
        <v>#N/A</v>
      </c>
      <c r="I230" s="6">
        <v>-0.3800728505356531</v>
      </c>
      <c r="J230" s="6">
        <v>0</v>
      </c>
      <c r="K230" s="6">
        <v>7.0866141732283348</v>
      </c>
      <c r="L230" t="s">
        <v>17</v>
      </c>
      <c r="M230" t="s">
        <v>87</v>
      </c>
      <c r="N230" s="4" t="s">
        <v>4817</v>
      </c>
      <c r="O230" s="4" t="s">
        <v>4818</v>
      </c>
      <c r="P230" s="4" t="s">
        <v>233</v>
      </c>
    </row>
    <row r="231" spans="1:16" x14ac:dyDescent="0.35">
      <c r="A231" t="s">
        <v>12551</v>
      </c>
      <c r="B231" t="s">
        <v>5804</v>
      </c>
      <c r="C231" t="s">
        <v>16</v>
      </c>
      <c r="D231" s="6">
        <v>237528777.47765777</v>
      </c>
      <c r="E231" s="6">
        <v>221156777.47765777</v>
      </c>
      <c r="F231" s="6">
        <v>5.0300002098083496</v>
      </c>
      <c r="G231" s="6">
        <v>4.8299999237060547</v>
      </c>
      <c r="H231" s="6" t="e">
        <v>#N/A</v>
      </c>
      <c r="I231" s="6">
        <v>-0.78771083627582339</v>
      </c>
      <c r="J231" s="6">
        <v>0</v>
      </c>
      <c r="K231" s="6">
        <v>-3.2819825853985281</v>
      </c>
      <c r="L231" t="s">
        <v>17</v>
      </c>
      <c r="M231" t="s">
        <v>87</v>
      </c>
      <c r="N231" s="4" t="s">
        <v>5805</v>
      </c>
      <c r="O231" s="4" t="s">
        <v>5806</v>
      </c>
      <c r="P231" s="4" t="s">
        <v>233</v>
      </c>
    </row>
    <row r="232" spans="1:16" x14ac:dyDescent="0.35">
      <c r="A232" t="s">
        <v>9298</v>
      </c>
      <c r="B232" t="s">
        <v>4025</v>
      </c>
      <c r="C232" t="s">
        <v>16</v>
      </c>
      <c r="D232" s="6">
        <v>299831079.13226116</v>
      </c>
      <c r="E232" s="6">
        <v>100791079.13226119</v>
      </c>
      <c r="F232" s="6">
        <v>1.4299999475479126</v>
      </c>
      <c r="G232" s="6">
        <v>1.3600000143051147</v>
      </c>
      <c r="H232" s="6" t="e">
        <v>#N/A</v>
      </c>
      <c r="I232" s="6">
        <v>-0.7107121772785151</v>
      </c>
      <c r="J232" s="6">
        <v>43000</v>
      </c>
      <c r="K232" s="6">
        <v>30.357142857142872</v>
      </c>
      <c r="L232" t="s">
        <v>17</v>
      </c>
      <c r="M232" t="s">
        <v>18</v>
      </c>
      <c r="N232" s="4" t="s">
        <v>4026</v>
      </c>
      <c r="O232" s="4" t="s">
        <v>4027</v>
      </c>
      <c r="P232" s="4" t="s">
        <v>233</v>
      </c>
    </row>
    <row r="233" spans="1:16" x14ac:dyDescent="0.35">
      <c r="A233" t="s">
        <v>10571</v>
      </c>
      <c r="B233" t="s">
        <v>4774</v>
      </c>
      <c r="C233" t="s">
        <v>16</v>
      </c>
      <c r="D233" s="6">
        <v>575870914.76085758</v>
      </c>
      <c r="E233" s="6">
        <v>238914.76085758209</v>
      </c>
      <c r="F233" s="6">
        <v>9.8900003433227539</v>
      </c>
      <c r="G233" s="6">
        <v>9.6000003814697266</v>
      </c>
      <c r="H233" s="6" t="e">
        <v>#N/A</v>
      </c>
      <c r="I233" s="6">
        <v>-0.47909108617470675</v>
      </c>
      <c r="J233" s="6">
        <v>0</v>
      </c>
      <c r="K233" s="6">
        <v>24.064171122994651</v>
      </c>
      <c r="L233" t="s">
        <v>17</v>
      </c>
      <c r="M233" t="s">
        <v>18</v>
      </c>
      <c r="N233" s="4" t="s">
        <v>4775</v>
      </c>
      <c r="O233" s="4" t="s">
        <v>4776</v>
      </c>
      <c r="P233" s="4" t="s">
        <v>233</v>
      </c>
    </row>
    <row r="234" spans="1:16" x14ac:dyDescent="0.35">
      <c r="A234" t="s">
        <v>6891</v>
      </c>
      <c r="B234" t="s">
        <v>2669</v>
      </c>
      <c r="C234" t="s">
        <v>16</v>
      </c>
      <c r="D234" s="6">
        <v>136954636.48745346</v>
      </c>
      <c r="E234" s="6">
        <v>126599636.48745346</v>
      </c>
      <c r="F234" s="6">
        <v>2.7899999618530273</v>
      </c>
      <c r="G234" s="6">
        <v>2.7100000381469727</v>
      </c>
      <c r="H234" s="6">
        <v>5.8124999205271406</v>
      </c>
      <c r="I234" s="6">
        <v>-0.56033203641019136</v>
      </c>
      <c r="J234" s="6">
        <v>243591000</v>
      </c>
      <c r="K234" s="6">
        <v>517.22045057092896</v>
      </c>
      <c r="L234" t="s">
        <v>17</v>
      </c>
      <c r="M234" t="s">
        <v>18</v>
      </c>
      <c r="N234" s="4" t="s">
        <v>2670</v>
      </c>
      <c r="O234" s="4" t="s">
        <v>2671</v>
      </c>
      <c r="P234" s="4" t="s">
        <v>233</v>
      </c>
    </row>
    <row r="235" spans="1:16" x14ac:dyDescent="0.35">
      <c r="A235" t="s">
        <v>9529</v>
      </c>
      <c r="B235" t="s">
        <v>4503</v>
      </c>
      <c r="C235" t="s">
        <v>16</v>
      </c>
      <c r="D235" s="6">
        <v>202612090.67979813</v>
      </c>
      <c r="E235" s="6">
        <v>115085090.67979813</v>
      </c>
      <c r="F235" s="6">
        <v>5.3299999237060547</v>
      </c>
      <c r="G235" s="6">
        <v>5.2600002288818359</v>
      </c>
      <c r="H235" s="6" t="e">
        <v>#N/A</v>
      </c>
      <c r="I235" s="6">
        <v>-0.25602226653870985</v>
      </c>
      <c r="J235" s="6">
        <v>2760000</v>
      </c>
      <c r="K235" s="6">
        <v>33.928571428571438</v>
      </c>
      <c r="L235" t="s">
        <v>17</v>
      </c>
      <c r="M235" t="s">
        <v>27</v>
      </c>
      <c r="N235" s="4" t="s">
        <v>4504</v>
      </c>
      <c r="O235" s="4" t="s">
        <v>4505</v>
      </c>
      <c r="P235" s="4" t="s">
        <v>233</v>
      </c>
    </row>
    <row r="236" spans="1:16" x14ac:dyDescent="0.35">
      <c r="A236" t="s">
        <v>7364</v>
      </c>
      <c r="B236" t="s">
        <v>3387</v>
      </c>
      <c r="C236" t="s">
        <v>16</v>
      </c>
      <c r="D236" s="6">
        <v>1366093766.2735748</v>
      </c>
      <c r="E236" s="6">
        <v>1107686766.2735748</v>
      </c>
      <c r="F236" s="6">
        <v>23.270000457763672</v>
      </c>
      <c r="G236" s="6">
        <v>21.629999160766602</v>
      </c>
      <c r="H236" s="6" t="e">
        <v>#N/A</v>
      </c>
      <c r="I236" s="6">
        <v>3.2296985534783662E-2</v>
      </c>
      <c r="J236" s="6">
        <v>0</v>
      </c>
      <c r="K236" s="6">
        <v>90.178522123963617</v>
      </c>
      <c r="L236" t="s">
        <v>17</v>
      </c>
      <c r="M236" t="s">
        <v>18</v>
      </c>
      <c r="N236" s="4" t="s">
        <v>3388</v>
      </c>
      <c r="O236" s="4" t="s">
        <v>3389</v>
      </c>
      <c r="P236" s="4" t="s">
        <v>233</v>
      </c>
    </row>
    <row r="237" spans="1:16" x14ac:dyDescent="0.35">
      <c r="A237" t="s">
        <v>9323</v>
      </c>
      <c r="B237" t="s">
        <v>5127</v>
      </c>
      <c r="C237" t="s">
        <v>16</v>
      </c>
      <c r="D237" s="6">
        <v>94920518.132968664</v>
      </c>
      <c r="E237" s="6">
        <v>-75519481.867031336</v>
      </c>
      <c r="F237" s="6">
        <v>1.4099999666213989</v>
      </c>
      <c r="G237" s="6">
        <v>1.3899999856948853</v>
      </c>
      <c r="H237" s="6" t="e">
        <v>#N/A</v>
      </c>
      <c r="I237" s="6">
        <v>-0.6640806719795046</v>
      </c>
      <c r="J237" s="6">
        <v>0</v>
      </c>
      <c r="K237" s="6">
        <v>89.518647571105504</v>
      </c>
      <c r="L237" t="s">
        <v>17</v>
      </c>
      <c r="M237" t="s">
        <v>18</v>
      </c>
      <c r="N237" s="4" t="s">
        <v>233</v>
      </c>
      <c r="O237" s="4" t="s">
        <v>5128</v>
      </c>
      <c r="P237" s="4" t="s">
        <v>13091</v>
      </c>
    </row>
    <row r="238" spans="1:16" x14ac:dyDescent="0.35">
      <c r="A238" t="s">
        <v>12105</v>
      </c>
      <c r="B238" t="s">
        <v>2377</v>
      </c>
      <c r="C238" t="s">
        <v>16</v>
      </c>
      <c r="D238" s="6">
        <v>1686557811.580116</v>
      </c>
      <c r="E238" s="6">
        <v>1325172811.580116</v>
      </c>
      <c r="F238" s="6">
        <v>2.7899999618530273</v>
      </c>
      <c r="G238" s="6">
        <v>2.7300000190734863</v>
      </c>
      <c r="H238" s="6" t="e">
        <v>#N/A</v>
      </c>
      <c r="I238" s="6">
        <v>0.17669052413544617</v>
      </c>
      <c r="J238" s="6">
        <v>29480000</v>
      </c>
      <c r="K238" s="6">
        <v>5.8823529411764603</v>
      </c>
      <c r="L238" t="s">
        <v>17</v>
      </c>
      <c r="M238" t="s">
        <v>18</v>
      </c>
      <c r="N238" s="4" t="s">
        <v>2378</v>
      </c>
      <c r="O238" s="4" t="s">
        <v>2379</v>
      </c>
      <c r="P238" s="4" t="s">
        <v>233</v>
      </c>
    </row>
    <row r="239" spans="1:16" x14ac:dyDescent="0.35">
      <c r="A239" t="s">
        <v>12652</v>
      </c>
      <c r="B239" t="s">
        <v>3256</v>
      </c>
      <c r="C239" t="s">
        <v>16</v>
      </c>
      <c r="D239" s="6">
        <v>461069805.60970688</v>
      </c>
      <c r="E239" s="6">
        <v>331505805.60970688</v>
      </c>
      <c r="F239" s="6">
        <v>9.3299999237060547</v>
      </c>
      <c r="G239" s="6">
        <v>9.4099998474121094</v>
      </c>
      <c r="H239" s="6" t="e">
        <v>#N/A</v>
      </c>
      <c r="I239" s="6">
        <v>-0.41746740011924532</v>
      </c>
      <c r="J239" s="6">
        <v>0</v>
      </c>
      <c r="K239" s="6">
        <v>-18.954248366013061</v>
      </c>
      <c r="L239" t="s">
        <v>17</v>
      </c>
      <c r="M239" t="s">
        <v>18</v>
      </c>
      <c r="N239" s="4" t="s">
        <v>3257</v>
      </c>
      <c r="O239" s="4" t="s">
        <v>3258</v>
      </c>
      <c r="P239" s="4" t="s">
        <v>233</v>
      </c>
    </row>
    <row r="240" spans="1:16" x14ac:dyDescent="0.35">
      <c r="A240" t="s">
        <v>9033</v>
      </c>
      <c r="B240" t="s">
        <v>5103</v>
      </c>
      <c r="C240" t="s">
        <v>16</v>
      </c>
      <c r="D240" s="6">
        <v>678722022.9526062</v>
      </c>
      <c r="E240" s="6">
        <v>494825022.9526062</v>
      </c>
      <c r="F240" s="6">
        <v>24.680000305175781</v>
      </c>
      <c r="G240" s="6">
        <v>24.680000305175781</v>
      </c>
      <c r="H240" s="6" t="e">
        <v>#N/A</v>
      </c>
      <c r="I240" s="6">
        <v>0.25022233099650859</v>
      </c>
      <c r="J240" s="6">
        <v>0</v>
      </c>
      <c r="K240" s="6">
        <v>-19.021739130434781</v>
      </c>
      <c r="L240" t="s">
        <v>17</v>
      </c>
      <c r="M240" t="s">
        <v>18</v>
      </c>
      <c r="N240" s="4" t="s">
        <v>5104</v>
      </c>
      <c r="O240" s="4" t="s">
        <v>5105</v>
      </c>
      <c r="P240" s="4" t="s">
        <v>233</v>
      </c>
    </row>
    <row r="241" spans="1:16" x14ac:dyDescent="0.35">
      <c r="A241" t="s">
        <v>9375</v>
      </c>
      <c r="B241" t="s">
        <v>4598</v>
      </c>
      <c r="C241" t="s">
        <v>16</v>
      </c>
      <c r="D241" s="6">
        <v>859873278.86003494</v>
      </c>
      <c r="E241" s="6">
        <v>622131278.86003494</v>
      </c>
      <c r="F241" s="6">
        <v>10.399999618530273</v>
      </c>
      <c r="G241" s="6">
        <v>9.9200000762939453</v>
      </c>
      <c r="H241" s="6" t="e">
        <v>#N/A</v>
      </c>
      <c r="I241" s="6">
        <v>-0.55551689649101799</v>
      </c>
      <c r="J241" s="6">
        <v>10129000</v>
      </c>
      <c r="K241" s="6">
        <v>-234.15496708258851</v>
      </c>
      <c r="L241" t="s">
        <v>17</v>
      </c>
      <c r="M241" t="s">
        <v>18</v>
      </c>
      <c r="N241" s="4" t="s">
        <v>4599</v>
      </c>
      <c r="O241" s="4" t="s">
        <v>4600</v>
      </c>
      <c r="P241" s="4" t="s">
        <v>233</v>
      </c>
    </row>
    <row r="242" spans="1:16" x14ac:dyDescent="0.35">
      <c r="A242" t="s">
        <v>7678</v>
      </c>
      <c r="B242" t="s">
        <v>1531</v>
      </c>
      <c r="C242" t="s">
        <v>16</v>
      </c>
      <c r="D242" s="6">
        <v>204790244.266305</v>
      </c>
      <c r="E242" s="6">
        <v>-58839755.73369506</v>
      </c>
      <c r="F242" s="6">
        <v>3.0299999713897705</v>
      </c>
      <c r="G242" s="6">
        <v>3.0999999046325684</v>
      </c>
      <c r="H242" s="6" t="e">
        <v>#N/A</v>
      </c>
      <c r="I242" s="6">
        <v>-0.63393327205947703</v>
      </c>
      <c r="J242" s="6" t="e">
        <v>#N/A</v>
      </c>
      <c r="K242" s="6">
        <v>-26.515888888888906</v>
      </c>
      <c r="L242" t="s">
        <v>17</v>
      </c>
      <c r="M242" t="s">
        <v>18</v>
      </c>
      <c r="N242" s="4" t="s">
        <v>1532</v>
      </c>
      <c r="O242" s="4" t="s">
        <v>1533</v>
      </c>
      <c r="P242" s="4" t="s">
        <v>233</v>
      </c>
    </row>
    <row r="243" spans="1:16" x14ac:dyDescent="0.35">
      <c r="A243" t="s">
        <v>11072</v>
      </c>
      <c r="B243" t="s">
        <v>4330</v>
      </c>
      <c r="C243" t="s">
        <v>16</v>
      </c>
      <c r="D243" s="6">
        <v>1077344573.0234144</v>
      </c>
      <c r="E243" s="6">
        <v>785510573.02341437</v>
      </c>
      <c r="F243" s="6">
        <v>22.049999237060547</v>
      </c>
      <c r="G243" s="6">
        <v>20.979999542236328</v>
      </c>
      <c r="H243" s="6" t="e">
        <v>#N/A</v>
      </c>
      <c r="I243" s="6">
        <v>0.32569036999686918</v>
      </c>
      <c r="J243" s="6">
        <v>0</v>
      </c>
      <c r="K243" s="6" t="e">
        <v>#N/A</v>
      </c>
      <c r="L243" t="s">
        <v>17</v>
      </c>
      <c r="M243" t="s">
        <v>87</v>
      </c>
      <c r="N243" s="4" t="s">
        <v>4331</v>
      </c>
      <c r="O243" s="4" t="s">
        <v>4332</v>
      </c>
      <c r="P243" s="4" t="s">
        <v>233</v>
      </c>
    </row>
    <row r="244" spans="1:16" x14ac:dyDescent="0.35">
      <c r="A244" t="s">
        <v>6723</v>
      </c>
      <c r="B244" t="s">
        <v>2401</v>
      </c>
      <c r="C244" t="s">
        <v>16</v>
      </c>
      <c r="D244" s="6">
        <v>112097403.07946205</v>
      </c>
      <c r="E244" s="6">
        <v>-36880596.920537949</v>
      </c>
      <c r="F244" s="6">
        <v>2.3299999237060547</v>
      </c>
      <c r="G244" s="6">
        <v>2.2999999523162842</v>
      </c>
      <c r="H244" s="6" t="e">
        <v>#N/A</v>
      </c>
      <c r="I244" s="6">
        <v>-0.90585577094317249</v>
      </c>
      <c r="J244" s="6">
        <v>0</v>
      </c>
      <c r="K244" s="6">
        <v>83.842794759825324</v>
      </c>
      <c r="L244" t="s">
        <v>17</v>
      </c>
      <c r="M244" t="s">
        <v>87</v>
      </c>
      <c r="N244" s="4" t="s">
        <v>2402</v>
      </c>
      <c r="O244" s="4" t="s">
        <v>2403</v>
      </c>
      <c r="P244" s="4" t="s">
        <v>233</v>
      </c>
    </row>
    <row r="245" spans="1:16" x14ac:dyDescent="0.35">
      <c r="A245" t="s">
        <v>9745</v>
      </c>
      <c r="B245" t="s">
        <v>2171</v>
      </c>
      <c r="C245" t="s">
        <v>16</v>
      </c>
      <c r="D245" s="6">
        <v>1627529465.1058581</v>
      </c>
      <c r="E245" s="6">
        <v>1326175465.1058581</v>
      </c>
      <c r="F245" s="6">
        <v>5.3400001525878906</v>
      </c>
      <c r="G245" s="6">
        <v>5.2100000381469727</v>
      </c>
      <c r="H245" s="6" t="e">
        <v>#N/A</v>
      </c>
      <c r="I245" s="6">
        <v>-0.46240321406831342</v>
      </c>
      <c r="J245" s="6">
        <v>90858000</v>
      </c>
      <c r="K245" s="6">
        <v>28.019323671497581</v>
      </c>
      <c r="L245" t="s">
        <v>17</v>
      </c>
      <c r="M245" t="s">
        <v>18</v>
      </c>
      <c r="N245" s="4" t="s">
        <v>2172</v>
      </c>
      <c r="O245" s="4" t="s">
        <v>2173</v>
      </c>
      <c r="P245" s="4" t="s">
        <v>233</v>
      </c>
    </row>
    <row r="246" spans="1:16" x14ac:dyDescent="0.35">
      <c r="A246" t="s">
        <v>7420</v>
      </c>
      <c r="B246" t="s">
        <v>4096</v>
      </c>
      <c r="C246" t="s">
        <v>16</v>
      </c>
      <c r="D246" s="6">
        <v>62983759.231943965</v>
      </c>
      <c r="E246" s="6">
        <v>-33912240.768056035</v>
      </c>
      <c r="F246" s="6">
        <v>0.54129999876022339</v>
      </c>
      <c r="G246" s="6">
        <v>0.57999998331069946</v>
      </c>
      <c r="H246" s="6" t="e">
        <v>#N/A</v>
      </c>
      <c r="I246" s="6">
        <v>-0.80718206918886626</v>
      </c>
      <c r="J246" s="6">
        <v>10449000</v>
      </c>
      <c r="K246" s="6">
        <v>-12.406349138366165</v>
      </c>
      <c r="L246" t="s">
        <v>17</v>
      </c>
      <c r="M246" t="s">
        <v>18</v>
      </c>
      <c r="N246" s="4" t="s">
        <v>4097</v>
      </c>
      <c r="O246" s="4" t="s">
        <v>4098</v>
      </c>
      <c r="P246" s="4" t="s">
        <v>233</v>
      </c>
    </row>
    <row r="247" spans="1:16" x14ac:dyDescent="0.35">
      <c r="A247" t="s">
        <v>7437</v>
      </c>
      <c r="B247" t="s">
        <v>2808</v>
      </c>
      <c r="C247" t="s">
        <v>16</v>
      </c>
      <c r="D247" s="6">
        <v>74670151.823013067</v>
      </c>
      <c r="E247" s="6">
        <v>-11393848.176986933</v>
      </c>
      <c r="F247" s="6">
        <v>1.1399999856948853</v>
      </c>
      <c r="G247" s="6">
        <v>1.1200000047683716</v>
      </c>
      <c r="H247" s="6" t="e">
        <v>#N/A</v>
      </c>
      <c r="I247" s="6">
        <v>-0.30839258260039182</v>
      </c>
      <c r="J247" s="6">
        <v>0</v>
      </c>
      <c r="K247" s="6">
        <v>32.704402515723274</v>
      </c>
      <c r="L247" t="s">
        <v>17</v>
      </c>
      <c r="M247" t="s">
        <v>18</v>
      </c>
      <c r="N247" s="4" t="s">
        <v>2809</v>
      </c>
      <c r="O247" s="4" t="s">
        <v>2810</v>
      </c>
      <c r="P247" s="4" t="s">
        <v>233</v>
      </c>
    </row>
    <row r="248" spans="1:16" x14ac:dyDescent="0.35">
      <c r="A248" t="s">
        <v>8745</v>
      </c>
      <c r="B248" t="s">
        <v>3391</v>
      </c>
      <c r="C248" t="s">
        <v>16</v>
      </c>
      <c r="D248" s="6">
        <v>2743248706.3545861</v>
      </c>
      <c r="E248" s="6">
        <v>3356779706.3545861</v>
      </c>
      <c r="F248" s="6">
        <v>3.2400000095367432</v>
      </c>
      <c r="G248" s="6">
        <v>3.0699999332427979</v>
      </c>
      <c r="H248" s="6" t="e">
        <v>#N/A</v>
      </c>
      <c r="I248" s="6">
        <v>-0.31574476773279947</v>
      </c>
      <c r="J248" s="6">
        <v>7332000</v>
      </c>
      <c r="K248" s="6">
        <v>17.165118278297719</v>
      </c>
      <c r="L248" t="s">
        <v>17</v>
      </c>
      <c r="M248" t="s">
        <v>18</v>
      </c>
      <c r="N248" s="4" t="s">
        <v>3392</v>
      </c>
      <c r="O248" s="4" t="s">
        <v>3393</v>
      </c>
      <c r="P248" s="4" t="s">
        <v>233</v>
      </c>
    </row>
    <row r="249" spans="1:16" x14ac:dyDescent="0.35">
      <c r="A249" t="s">
        <v>13344</v>
      </c>
      <c r="B249" t="s">
        <v>5830</v>
      </c>
      <c r="C249" t="s">
        <v>16</v>
      </c>
      <c r="D249" s="6">
        <v>719374497.71053791</v>
      </c>
      <c r="E249" s="6">
        <v>856868497.71053791</v>
      </c>
      <c r="F249" s="6">
        <v>13.220000267028809</v>
      </c>
      <c r="G249" s="6">
        <v>12.819999694824219</v>
      </c>
      <c r="H249" s="6" t="e">
        <v>#N/A</v>
      </c>
      <c r="I249" s="6">
        <v>-0.74644885206096556</v>
      </c>
      <c r="J249" s="6" t="e">
        <v>#N/A</v>
      </c>
      <c r="K249" s="6" t="e">
        <v>#N/A</v>
      </c>
      <c r="L249" t="s">
        <v>17</v>
      </c>
      <c r="M249" t="s">
        <v>18</v>
      </c>
      <c r="N249" s="4" t="s">
        <v>5831</v>
      </c>
      <c r="O249" s="4" t="s">
        <v>5832</v>
      </c>
      <c r="P249" s="4" t="s">
        <v>233</v>
      </c>
    </row>
    <row r="250" spans="1:16" x14ac:dyDescent="0.35">
      <c r="A250" t="s">
        <v>9393</v>
      </c>
      <c r="B250" t="s">
        <v>1141</v>
      </c>
      <c r="C250" t="s">
        <v>16</v>
      </c>
      <c r="D250" s="6">
        <v>740058515.07529163</v>
      </c>
      <c r="E250" s="6">
        <v>619283515.07529163</v>
      </c>
      <c r="F250" s="6">
        <v>8.6999998092651367</v>
      </c>
      <c r="G250" s="6">
        <v>8</v>
      </c>
      <c r="H250" s="6" t="e">
        <v>#N/A</v>
      </c>
      <c r="I250" s="6">
        <v>0.41558954023565331</v>
      </c>
      <c r="J250" s="6">
        <v>0</v>
      </c>
      <c r="K250" s="6">
        <v>-1.8518518518518534</v>
      </c>
      <c r="L250" t="s">
        <v>17</v>
      </c>
      <c r="M250" t="s">
        <v>18</v>
      </c>
      <c r="N250" s="4" t="s">
        <v>1142</v>
      </c>
      <c r="O250" s="4" t="s">
        <v>1143</v>
      </c>
      <c r="P250" s="4" t="s">
        <v>233</v>
      </c>
    </row>
    <row r="251" spans="1:16" x14ac:dyDescent="0.35">
      <c r="A251" t="s">
        <v>9591</v>
      </c>
      <c r="B251" t="s">
        <v>5165</v>
      </c>
      <c r="C251" t="s">
        <v>16</v>
      </c>
      <c r="D251" s="6">
        <v>116812962.77568913</v>
      </c>
      <c r="E251" s="6">
        <v>-228483037.22431087</v>
      </c>
      <c r="F251" s="6">
        <v>1.2899999618530273</v>
      </c>
      <c r="G251" s="6">
        <v>1.2400000095367432</v>
      </c>
      <c r="H251" s="6" t="e">
        <v>#N/A</v>
      </c>
      <c r="I251" s="6">
        <v>-0.81822721732833092</v>
      </c>
      <c r="J251" s="6">
        <v>34477000</v>
      </c>
      <c r="K251" s="6">
        <v>15.853658536585368</v>
      </c>
      <c r="L251" t="s">
        <v>17</v>
      </c>
      <c r="M251" t="s">
        <v>18</v>
      </c>
      <c r="N251" s="4" t="s">
        <v>5166</v>
      </c>
      <c r="O251" s="4" t="s">
        <v>5167</v>
      </c>
      <c r="P251" s="4" t="s">
        <v>233</v>
      </c>
    </row>
    <row r="252" spans="1:16" x14ac:dyDescent="0.35">
      <c r="A252" t="s">
        <v>13345</v>
      </c>
      <c r="B252" t="s">
        <v>5826</v>
      </c>
      <c r="C252" t="s">
        <v>16</v>
      </c>
      <c r="D252" s="6">
        <v>301425125.65727991</v>
      </c>
      <c r="E252" s="6">
        <v>374211383.65727991</v>
      </c>
      <c r="F252" s="6">
        <v>9.0200004577636719</v>
      </c>
      <c r="G252" s="6">
        <v>9.2100000381469727</v>
      </c>
      <c r="H252" s="6" t="e">
        <v>#N/A</v>
      </c>
      <c r="I252" s="6">
        <v>-0.9012015404936744</v>
      </c>
      <c r="J252" s="6" t="e">
        <v>#N/A</v>
      </c>
      <c r="K252" s="6">
        <v>18.404907975460116</v>
      </c>
      <c r="L252" t="s">
        <v>17</v>
      </c>
      <c r="M252" t="s">
        <v>87</v>
      </c>
      <c r="N252" s="4" t="s">
        <v>5827</v>
      </c>
      <c r="O252" s="4" t="s">
        <v>5828</v>
      </c>
      <c r="P252" s="4" t="s">
        <v>233</v>
      </c>
    </row>
    <row r="253" spans="1:16" x14ac:dyDescent="0.35">
      <c r="A253" t="s">
        <v>13346</v>
      </c>
      <c r="B253" t="s">
        <v>5822</v>
      </c>
      <c r="C253" t="s">
        <v>16</v>
      </c>
      <c r="D253" s="6">
        <v>301313378.36420155</v>
      </c>
      <c r="E253" s="6">
        <v>515099378.36420155</v>
      </c>
      <c r="F253" s="6">
        <v>7.2100000381469727</v>
      </c>
      <c r="G253" s="6">
        <v>7.7199997901916504</v>
      </c>
      <c r="H253" s="6" t="e">
        <v>#N/A</v>
      </c>
      <c r="I253" s="6">
        <v>-0.8910535267913523</v>
      </c>
      <c r="J253" s="6">
        <v>50000000</v>
      </c>
      <c r="K253" s="6">
        <v>69.706840390879478</v>
      </c>
      <c r="L253" t="s">
        <v>17</v>
      </c>
      <c r="M253" t="s">
        <v>18</v>
      </c>
      <c r="N253" s="4" t="s">
        <v>5823</v>
      </c>
      <c r="O253" s="4" t="s">
        <v>5824</v>
      </c>
      <c r="P253" s="4" t="s">
        <v>233</v>
      </c>
    </row>
    <row r="254" spans="1:16" x14ac:dyDescent="0.35">
      <c r="A254" t="s">
        <v>8588</v>
      </c>
      <c r="B254" t="s">
        <v>1886</v>
      </c>
      <c r="C254" t="s">
        <v>16</v>
      </c>
      <c r="D254" s="6">
        <v>2765058038.7544861</v>
      </c>
      <c r="E254" s="6">
        <v>2760787038.7544861</v>
      </c>
      <c r="F254" s="6">
        <v>56.020000457763672</v>
      </c>
      <c r="G254" s="6">
        <v>56.5</v>
      </c>
      <c r="H254" s="6">
        <v>933.66667429606127</v>
      </c>
      <c r="I254" s="6">
        <v>0.18082025617956132</v>
      </c>
      <c r="J254" s="6">
        <v>226844000</v>
      </c>
      <c r="K254" s="6" t="e">
        <v>#N/A</v>
      </c>
      <c r="L254" t="s">
        <v>17</v>
      </c>
      <c r="M254" t="s">
        <v>18</v>
      </c>
      <c r="N254" s="4" t="s">
        <v>1887</v>
      </c>
      <c r="O254" s="4" t="s">
        <v>1888</v>
      </c>
      <c r="P254" s="4" t="s">
        <v>233</v>
      </c>
    </row>
    <row r="255" spans="1:16" x14ac:dyDescent="0.35">
      <c r="A255" t="s">
        <v>8335</v>
      </c>
      <c r="B255" t="s">
        <v>5633</v>
      </c>
      <c r="C255" t="s">
        <v>16</v>
      </c>
      <c r="D255" s="6">
        <v>200651138</v>
      </c>
      <c r="E255" s="6">
        <v>-519105862.00000012</v>
      </c>
      <c r="F255" s="6">
        <v>2</v>
      </c>
      <c r="G255" s="6">
        <v>2.0199999809265137</v>
      </c>
      <c r="H255" s="6" t="e">
        <v>#N/A</v>
      </c>
      <c r="I255" s="6">
        <v>-0.74097863190059288</v>
      </c>
      <c r="J255" s="6">
        <v>0</v>
      </c>
      <c r="K255" s="6">
        <v>74.253200568990039</v>
      </c>
      <c r="L255" t="s">
        <v>17</v>
      </c>
      <c r="M255" t="s">
        <v>18</v>
      </c>
      <c r="N255" s="4" t="s">
        <v>5634</v>
      </c>
      <c r="O255" s="4" t="s">
        <v>5635</v>
      </c>
      <c r="P255" s="4" t="s">
        <v>233</v>
      </c>
    </row>
    <row r="256" spans="1:16" x14ac:dyDescent="0.35">
      <c r="A256" t="s">
        <v>8501</v>
      </c>
      <c r="B256" t="s">
        <v>4610</v>
      </c>
      <c r="C256" t="s">
        <v>16</v>
      </c>
      <c r="D256" s="6">
        <v>232943561.33405614</v>
      </c>
      <c r="E256" s="6">
        <v>15638561.334056169</v>
      </c>
      <c r="F256" s="6">
        <v>3.2999999523162842</v>
      </c>
      <c r="G256" s="6">
        <v>3.2100000381469727</v>
      </c>
      <c r="H256" s="6" t="e">
        <v>#N/A</v>
      </c>
      <c r="I256" s="6">
        <v>-0.51087693046087845</v>
      </c>
      <c r="J256" s="6">
        <v>33668000</v>
      </c>
      <c r="K256" s="6">
        <v>38.238365374858013</v>
      </c>
      <c r="L256" t="s">
        <v>17</v>
      </c>
      <c r="M256" t="s">
        <v>18</v>
      </c>
      <c r="N256" s="4" t="s">
        <v>4611</v>
      </c>
      <c r="O256" s="4" t="s">
        <v>4612</v>
      </c>
      <c r="P256" s="4" t="s">
        <v>233</v>
      </c>
    </row>
    <row r="257" spans="1:16" x14ac:dyDescent="0.35">
      <c r="A257" t="s">
        <v>8278</v>
      </c>
      <c r="B257" t="s">
        <v>5749</v>
      </c>
      <c r="C257" t="s">
        <v>16</v>
      </c>
      <c r="D257" s="6">
        <v>84956031.772075653</v>
      </c>
      <c r="E257" s="6">
        <v>-84785968.227924347</v>
      </c>
      <c r="F257" s="6">
        <v>3.1500000953674316</v>
      </c>
      <c r="G257" s="6">
        <v>3.0699999332427979</v>
      </c>
      <c r="H257" s="6" t="e">
        <v>#N/A</v>
      </c>
      <c r="I257" s="6">
        <v>-0.77294895988615098</v>
      </c>
      <c r="J257" s="6">
        <v>0</v>
      </c>
      <c r="K257" s="6">
        <v>20.768442767971088</v>
      </c>
      <c r="L257" t="s">
        <v>17</v>
      </c>
      <c r="M257" t="s">
        <v>87</v>
      </c>
      <c r="N257" s="4" t="s">
        <v>5750</v>
      </c>
      <c r="O257" s="4" t="s">
        <v>5751</v>
      </c>
      <c r="P257" s="4" t="s">
        <v>233</v>
      </c>
    </row>
    <row r="258" spans="1:16" x14ac:dyDescent="0.35">
      <c r="A258" t="s">
        <v>10081</v>
      </c>
      <c r="B258" t="s">
        <v>3306</v>
      </c>
      <c r="C258" t="s">
        <v>16</v>
      </c>
      <c r="D258" s="6">
        <v>412062183.8412838</v>
      </c>
      <c r="E258" s="6">
        <v>391160183.8412838</v>
      </c>
      <c r="F258" s="6">
        <v>7.7199997901916504</v>
      </c>
      <c r="G258" s="6">
        <v>7.440000057220459</v>
      </c>
      <c r="H258" s="6" t="e">
        <v>#N/A</v>
      </c>
      <c r="I258" s="6">
        <v>0.26269525371434166</v>
      </c>
      <c r="J258" s="6">
        <v>24786000</v>
      </c>
      <c r="K258" s="6">
        <v>-79.704387279783901</v>
      </c>
      <c r="L258" t="s">
        <v>17</v>
      </c>
      <c r="M258" t="s">
        <v>87</v>
      </c>
      <c r="N258" s="4" t="s">
        <v>3307</v>
      </c>
      <c r="O258" s="4" t="s">
        <v>3308</v>
      </c>
      <c r="P258" s="4" t="s">
        <v>233</v>
      </c>
    </row>
    <row r="259" spans="1:16" x14ac:dyDescent="0.35">
      <c r="A259" t="s">
        <v>7583</v>
      </c>
      <c r="B259" t="s">
        <v>5387</v>
      </c>
      <c r="C259" t="s">
        <v>16</v>
      </c>
      <c r="D259" s="6">
        <v>290585064.17703426</v>
      </c>
      <c r="E259" s="6">
        <v>297006447.17703426</v>
      </c>
      <c r="F259" s="6">
        <v>1.6599999666213989</v>
      </c>
      <c r="G259" s="6">
        <v>1.5099999904632568</v>
      </c>
      <c r="H259" s="6">
        <v>61.148560305794369</v>
      </c>
      <c r="I259" s="6">
        <v>-0.63415835615603333</v>
      </c>
      <c r="J259" s="6">
        <v>0</v>
      </c>
      <c r="K259" s="6">
        <v>87.217214582515297</v>
      </c>
      <c r="L259" t="s">
        <v>17</v>
      </c>
      <c r="M259" t="s">
        <v>18</v>
      </c>
      <c r="N259" s="4" t="s">
        <v>5388</v>
      </c>
      <c r="O259" s="4" t="s">
        <v>5389</v>
      </c>
      <c r="P259" s="4" t="s">
        <v>233</v>
      </c>
    </row>
    <row r="260" spans="1:16" x14ac:dyDescent="0.35">
      <c r="A260" t="s">
        <v>12898</v>
      </c>
      <c r="B260" t="s">
        <v>2086</v>
      </c>
      <c r="C260" t="s">
        <v>16</v>
      </c>
      <c r="D260" s="6">
        <v>366745127.42431641</v>
      </c>
      <c r="E260" s="6">
        <v>306097127.42431641</v>
      </c>
      <c r="F260" s="6">
        <v>20.819999694824219</v>
      </c>
      <c r="G260" s="6">
        <v>20.270000457763672</v>
      </c>
      <c r="H260" s="6">
        <v>107.89241692918185</v>
      </c>
      <c r="I260" s="6">
        <v>0.71811160832884746</v>
      </c>
      <c r="J260" s="6">
        <v>157474000</v>
      </c>
      <c r="K260" s="6" t="e">
        <v>#N/A</v>
      </c>
      <c r="L260" t="s">
        <v>17</v>
      </c>
      <c r="M260" t="s">
        <v>18</v>
      </c>
      <c r="N260" s="4" t="s">
        <v>2087</v>
      </c>
      <c r="O260" s="4" t="s">
        <v>2088</v>
      </c>
      <c r="P260" s="4" t="s">
        <v>233</v>
      </c>
    </row>
    <row r="261" spans="1:16" x14ac:dyDescent="0.35">
      <c r="A261" t="s">
        <v>10700</v>
      </c>
      <c r="B261" t="s">
        <v>1280</v>
      </c>
      <c r="C261" t="s">
        <v>16</v>
      </c>
      <c r="D261" s="6">
        <v>14240656318.616112</v>
      </c>
      <c r="E261" s="6">
        <v>13772616318.616112</v>
      </c>
      <c r="F261" s="6">
        <v>79.599998474121094</v>
      </c>
      <c r="G261" s="6">
        <v>78.569999694824219</v>
      </c>
      <c r="H261" s="6" t="e">
        <v>#N/A</v>
      </c>
      <c r="I261" s="6">
        <v>1.8550912269900368</v>
      </c>
      <c r="J261" s="6">
        <v>342958000</v>
      </c>
      <c r="K261" s="6">
        <v>-5.3130929791271218</v>
      </c>
      <c r="L261" t="s">
        <v>17</v>
      </c>
      <c r="M261" t="s">
        <v>18</v>
      </c>
      <c r="N261" s="4" t="s">
        <v>1281</v>
      </c>
      <c r="O261" s="4" t="s">
        <v>1282</v>
      </c>
      <c r="P261" s="4" t="s">
        <v>233</v>
      </c>
    </row>
    <row r="262" spans="1:16" x14ac:dyDescent="0.35">
      <c r="A262" t="s">
        <v>8352</v>
      </c>
      <c r="B262" t="s">
        <v>2657</v>
      </c>
      <c r="C262" t="s">
        <v>16</v>
      </c>
      <c r="D262" s="6">
        <v>270599674.68442154</v>
      </c>
      <c r="E262" s="6">
        <v>220013674.68442154</v>
      </c>
      <c r="F262" s="6">
        <v>6.0799999237060547</v>
      </c>
      <c r="G262" s="6">
        <v>5.6500000953674316</v>
      </c>
      <c r="H262" s="6" t="e">
        <v>#N/A</v>
      </c>
      <c r="I262" s="6">
        <v>-0.48641571151774621</v>
      </c>
      <c r="J262" s="6">
        <v>10000000</v>
      </c>
      <c r="K262" s="6">
        <v>21.03960396041111</v>
      </c>
      <c r="L262" t="s">
        <v>17</v>
      </c>
      <c r="M262" t="s">
        <v>18</v>
      </c>
      <c r="N262" s="4" t="s">
        <v>2658</v>
      </c>
      <c r="O262" s="4" t="s">
        <v>2659</v>
      </c>
      <c r="P262" s="4" t="s">
        <v>233</v>
      </c>
    </row>
    <row r="263" spans="1:16" x14ac:dyDescent="0.35">
      <c r="A263" t="s">
        <v>11377</v>
      </c>
      <c r="B263" t="s">
        <v>5519</v>
      </c>
      <c r="C263" t="s">
        <v>16</v>
      </c>
      <c r="D263" s="6">
        <v>39766800.072571516</v>
      </c>
      <c r="E263" s="6">
        <v>-50536199.927428484</v>
      </c>
      <c r="F263" s="6">
        <v>1.2200000286102295</v>
      </c>
      <c r="G263" s="6">
        <v>1.2300000190734863</v>
      </c>
      <c r="H263" s="6" t="e">
        <v>#N/A</v>
      </c>
      <c r="I263" s="6">
        <v>-0.90869689621131144</v>
      </c>
      <c r="J263" s="6">
        <v>0</v>
      </c>
      <c r="K263" s="6">
        <v>25.31386846776423</v>
      </c>
      <c r="L263" t="s">
        <v>17</v>
      </c>
      <c r="M263" t="s">
        <v>18</v>
      </c>
      <c r="N263" s="4" t="s">
        <v>5520</v>
      </c>
      <c r="O263" s="4" t="s">
        <v>5521</v>
      </c>
      <c r="P263" s="4" t="s">
        <v>233</v>
      </c>
    </row>
    <row r="264" spans="1:16" x14ac:dyDescent="0.35">
      <c r="A264" t="s">
        <v>8063</v>
      </c>
      <c r="B264" t="s">
        <v>4650</v>
      </c>
      <c r="C264" t="s">
        <v>16</v>
      </c>
      <c r="D264" s="6">
        <v>1591666184.2389908</v>
      </c>
      <c r="E264" s="6">
        <v>1182153184.2389908</v>
      </c>
      <c r="F264" s="6">
        <v>85.400001525878906</v>
      </c>
      <c r="G264" s="6">
        <v>81.269996643066406</v>
      </c>
      <c r="H264" s="6" t="e">
        <v>#N/A</v>
      </c>
      <c r="I264" s="6">
        <v>0.90926810169076444</v>
      </c>
      <c r="J264" s="6">
        <v>1605000</v>
      </c>
      <c r="K264" s="6">
        <v>69.481481481481509</v>
      </c>
      <c r="L264" t="s">
        <v>17</v>
      </c>
      <c r="M264" t="s">
        <v>18</v>
      </c>
      <c r="N264" s="4" t="s">
        <v>4651</v>
      </c>
      <c r="O264" s="4" t="s">
        <v>4652</v>
      </c>
      <c r="P264" s="4" t="s">
        <v>233</v>
      </c>
    </row>
    <row r="265" spans="1:16" x14ac:dyDescent="0.35">
      <c r="A265" t="s">
        <v>12904</v>
      </c>
      <c r="B265" t="s">
        <v>869</v>
      </c>
      <c r="C265" t="s">
        <v>16</v>
      </c>
      <c r="D265" s="6">
        <v>251237142.43940559</v>
      </c>
      <c r="E265" s="6">
        <v>100734142.43940556</v>
      </c>
      <c r="F265" s="6">
        <v>0.69499999284744263</v>
      </c>
      <c r="G265" s="6">
        <v>0.69679999351501465</v>
      </c>
      <c r="H265" s="6" t="e">
        <v>#N/A</v>
      </c>
      <c r="I265" s="6">
        <v>-0.76105099741658577</v>
      </c>
      <c r="J265" s="6">
        <v>5229000</v>
      </c>
      <c r="K265" s="6">
        <v>1.3157894736842117</v>
      </c>
      <c r="L265" t="s">
        <v>17</v>
      </c>
      <c r="M265" t="s">
        <v>18</v>
      </c>
      <c r="N265" s="4" t="s">
        <v>870</v>
      </c>
      <c r="O265" s="4" t="s">
        <v>871</v>
      </c>
      <c r="P265" s="4" t="s">
        <v>233</v>
      </c>
    </row>
    <row r="266" spans="1:16" x14ac:dyDescent="0.35">
      <c r="A266" t="s">
        <v>11074</v>
      </c>
      <c r="B266" t="s">
        <v>3019</v>
      </c>
      <c r="C266" t="s">
        <v>16</v>
      </c>
      <c r="D266" s="6">
        <v>351308906.95665741</v>
      </c>
      <c r="E266" s="6">
        <v>225434906.95665741</v>
      </c>
      <c r="F266" s="6">
        <v>18.569999694824219</v>
      </c>
      <c r="G266" s="6">
        <v>17.309999465942383</v>
      </c>
      <c r="H266" s="6" t="e">
        <v>#N/A</v>
      </c>
      <c r="I266" s="6">
        <v>-0.36194665829789219</v>
      </c>
      <c r="J266" s="6">
        <v>925000</v>
      </c>
      <c r="K266" s="6">
        <v>98.68218650986465</v>
      </c>
      <c r="L266" t="s">
        <v>17</v>
      </c>
      <c r="M266" t="s">
        <v>18</v>
      </c>
      <c r="N266" s="4" t="s">
        <v>3020</v>
      </c>
      <c r="O266" s="4" t="s">
        <v>3021</v>
      </c>
      <c r="P266" s="4" t="s">
        <v>233</v>
      </c>
    </row>
    <row r="267" spans="1:16" x14ac:dyDescent="0.35">
      <c r="A267" t="s">
        <v>11545</v>
      </c>
      <c r="B267" t="s">
        <v>4590</v>
      </c>
      <c r="C267" t="s">
        <v>16</v>
      </c>
      <c r="D267" s="6">
        <v>327909294.48622918</v>
      </c>
      <c r="E267" s="6">
        <v>233239294.48622918</v>
      </c>
      <c r="F267" s="6">
        <v>1.6000000238418579</v>
      </c>
      <c r="G267" s="6">
        <v>1.6000000238418579</v>
      </c>
      <c r="H267" s="6" t="e">
        <v>#N/A</v>
      </c>
      <c r="I267" s="6">
        <v>-5.3112854319119052E-2</v>
      </c>
      <c r="J267" s="6">
        <v>9915000</v>
      </c>
      <c r="K267" s="6">
        <v>97.517868217054257</v>
      </c>
      <c r="L267" t="s">
        <v>17</v>
      </c>
      <c r="M267" t="s">
        <v>18</v>
      </c>
      <c r="N267" s="4" t="s">
        <v>4591</v>
      </c>
      <c r="O267" s="4" t="s">
        <v>4592</v>
      </c>
      <c r="P267" s="4" t="s">
        <v>233</v>
      </c>
    </row>
    <row r="268" spans="1:16" x14ac:dyDescent="0.35">
      <c r="A268" t="s">
        <v>9265</v>
      </c>
      <c r="B268" t="s">
        <v>4003</v>
      </c>
      <c r="C268" t="s">
        <v>16</v>
      </c>
      <c r="D268" s="6">
        <v>202434480.16743562</v>
      </c>
      <c r="E268" s="6">
        <v>171795480.16743562</v>
      </c>
      <c r="F268" s="6">
        <v>9.130000114440918</v>
      </c>
      <c r="G268" s="6">
        <v>8.5</v>
      </c>
      <c r="H268" s="6" t="e">
        <v>#N/A</v>
      </c>
      <c r="I268" s="6">
        <v>-0.26250042714777877</v>
      </c>
      <c r="J268" s="6">
        <v>42000</v>
      </c>
      <c r="K268" s="6">
        <v>-42.721368749885222</v>
      </c>
      <c r="L268" t="s">
        <v>17</v>
      </c>
      <c r="M268" t="s">
        <v>18</v>
      </c>
      <c r="N268" s="4" t="s">
        <v>4004</v>
      </c>
      <c r="O268" s="4" t="s">
        <v>4005</v>
      </c>
      <c r="P268" s="4" t="s">
        <v>233</v>
      </c>
    </row>
    <row r="269" spans="1:16" x14ac:dyDescent="0.35">
      <c r="A269" t="s">
        <v>8438</v>
      </c>
      <c r="B269" t="s">
        <v>3213</v>
      </c>
      <c r="C269" t="s">
        <v>16</v>
      </c>
      <c r="D269" s="6">
        <v>192024991.33038729</v>
      </c>
      <c r="E269" s="6">
        <v>160111991.33038729</v>
      </c>
      <c r="F269" s="6">
        <v>0.6600000262260437</v>
      </c>
      <c r="G269" s="6">
        <v>0.67799997329711914</v>
      </c>
      <c r="H269" s="6" t="e">
        <v>#N/A</v>
      </c>
      <c r="I269" s="6">
        <v>4.0895196801642442E-2</v>
      </c>
      <c r="J269" s="6">
        <v>9327000</v>
      </c>
      <c r="K269" s="6">
        <v>50.068290975996575</v>
      </c>
      <c r="L269" t="s">
        <v>17</v>
      </c>
      <c r="M269" t="s">
        <v>18</v>
      </c>
      <c r="N269" s="4" t="s">
        <v>3214</v>
      </c>
      <c r="O269" s="4" t="s">
        <v>3215</v>
      </c>
      <c r="P269" s="4" t="s">
        <v>233</v>
      </c>
    </row>
    <row r="270" spans="1:16" x14ac:dyDescent="0.35">
      <c r="A270" t="s">
        <v>8326</v>
      </c>
      <c r="B270" t="s">
        <v>5757</v>
      </c>
      <c r="C270" t="s">
        <v>16</v>
      </c>
      <c r="D270" s="6">
        <v>114836491.62544917</v>
      </c>
      <c r="E270" s="6">
        <v>-197614508.37455076</v>
      </c>
      <c r="F270" s="6">
        <v>2.6600000858306885</v>
      </c>
      <c r="G270" s="6">
        <v>2.9000000953674316</v>
      </c>
      <c r="H270" s="6" t="e">
        <v>#N/A</v>
      </c>
      <c r="I270" s="6">
        <v>-0.91053624275891676</v>
      </c>
      <c r="J270" s="6" t="e">
        <v>#N/A</v>
      </c>
      <c r="K270" s="6" t="e">
        <v>#N/A</v>
      </c>
      <c r="L270" t="s">
        <v>17</v>
      </c>
      <c r="M270" t="s">
        <v>18</v>
      </c>
      <c r="N270" s="4" t="s">
        <v>5758</v>
      </c>
      <c r="O270" s="4" t="s">
        <v>5759</v>
      </c>
      <c r="P270" s="4" t="s">
        <v>233</v>
      </c>
    </row>
    <row r="271" spans="1:16" x14ac:dyDescent="0.35">
      <c r="A271" t="s">
        <v>8108</v>
      </c>
      <c r="B271" t="s">
        <v>3431</v>
      </c>
      <c r="C271" t="s">
        <v>16</v>
      </c>
      <c r="D271" s="6">
        <v>491423202.692379</v>
      </c>
      <c r="E271" s="6">
        <v>77800202.692379057</v>
      </c>
      <c r="F271" s="6">
        <v>16.149999618530273</v>
      </c>
      <c r="G271" s="6">
        <v>12.550000190734863</v>
      </c>
      <c r="H271" s="6" t="e">
        <v>#N/A</v>
      </c>
      <c r="I271" s="6">
        <v>-0.2992742487644684</v>
      </c>
      <c r="J271" s="6">
        <v>57172000</v>
      </c>
      <c r="K271" s="6">
        <v>-12.177121771217699</v>
      </c>
      <c r="L271" t="s">
        <v>17</v>
      </c>
      <c r="M271" t="s">
        <v>18</v>
      </c>
      <c r="N271" s="4" t="s">
        <v>3432</v>
      </c>
      <c r="O271" s="4" t="s">
        <v>3433</v>
      </c>
      <c r="P271" s="4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739C-3C17-4FA2-BCDD-91D75F5D606F}">
  <sheetPr codeName="Sheet5"/>
  <dimension ref="A1:P138"/>
  <sheetViews>
    <sheetView showGridLines="0" zoomScale="91" zoomScaleNormal="91" workbookViewId="0">
      <selection activeCell="A2" sqref="A2"/>
    </sheetView>
  </sheetViews>
  <sheetFormatPr defaultRowHeight="14.5" x14ac:dyDescent="0.35"/>
  <cols>
    <col min="1" max="1" width="20.26953125" bestFit="1" customWidth="1"/>
    <col min="2" max="2" width="31.1796875" bestFit="1" customWidth="1"/>
    <col min="3" max="3" width="17.26953125" customWidth="1"/>
    <col min="4" max="11" width="22.1796875" style="6" customWidth="1"/>
    <col min="12" max="13" width="31.1796875" bestFit="1" customWidth="1"/>
    <col min="14" max="16" width="31.1796875" style="4" bestFit="1" customWidth="1"/>
  </cols>
  <sheetData>
    <row r="1" spans="1:16" x14ac:dyDescent="0.35">
      <c r="A1" s="2" t="str">
        <f>_xll.BQL("filter(holdings('XBI US Equity'), company_is_private == 'false')", "name().value, crncy().value, cur_mkt_cap().value, curr_entp_val().value, px_last().value, px_open().value, pe_ratio().value, ann_total_return().value, sales_rev_turn().value, eps_growth().value, gics_sector_name().value, gics_industry_name().value, " &amp; "id_cusip().value, id_sedol1().value, id_cins().value","cols=16;rows=138")</f>
        <v>ID</v>
      </c>
      <c r="B1" s="1" t="s">
        <v>0</v>
      </c>
      <c r="C1" s="1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1" t="s">
        <v>10</v>
      </c>
      <c r="M1" s="1" t="s">
        <v>11</v>
      </c>
      <c r="N1" s="3" t="s">
        <v>12</v>
      </c>
      <c r="O1" s="3" t="s">
        <v>13</v>
      </c>
      <c r="P1" s="3" t="s">
        <v>13080</v>
      </c>
    </row>
    <row r="2" spans="1:16" x14ac:dyDescent="0.35">
      <c r="A2" t="s">
        <v>3552</v>
      </c>
      <c r="B2" t="s">
        <v>3553</v>
      </c>
      <c r="C2" t="s">
        <v>16</v>
      </c>
      <c r="D2" s="6">
        <v>2230157724.4327698</v>
      </c>
      <c r="E2" s="6">
        <v>1657776724.4327698</v>
      </c>
      <c r="F2" s="6">
        <v>37.419998168945313</v>
      </c>
      <c r="G2" s="6">
        <v>36.430000305175781</v>
      </c>
      <c r="H2" s="6">
        <v>14.067668484565909</v>
      </c>
      <c r="I2" s="6">
        <v>0.32171837264933423</v>
      </c>
      <c r="J2" s="6">
        <v>323795000</v>
      </c>
      <c r="K2" s="6" t="e">
        <v>#N/A</v>
      </c>
      <c r="L2" t="s">
        <v>17</v>
      </c>
      <c r="M2" t="s">
        <v>18</v>
      </c>
      <c r="N2" s="4" t="s">
        <v>3554</v>
      </c>
      <c r="O2" s="4" t="s">
        <v>3555</v>
      </c>
      <c r="P2" s="4" t="s">
        <v>233</v>
      </c>
    </row>
    <row r="3" spans="1:16" x14ac:dyDescent="0.35">
      <c r="A3" t="s">
        <v>3415</v>
      </c>
      <c r="B3" t="s">
        <v>3416</v>
      </c>
      <c r="C3" t="s">
        <v>16</v>
      </c>
      <c r="D3" s="6">
        <v>649327342.16451645</v>
      </c>
      <c r="E3" s="6">
        <v>210659342.16451645</v>
      </c>
      <c r="F3" s="6">
        <v>8.3500003814697266</v>
      </c>
      <c r="G3" s="6">
        <v>8.1899995803833008</v>
      </c>
      <c r="H3" s="6" t="e">
        <v>#N/A</v>
      </c>
      <c r="I3" s="6">
        <v>-0.58968604927241519</v>
      </c>
      <c r="J3" s="6">
        <v>0</v>
      </c>
      <c r="K3" s="6">
        <v>-16.831683168316847</v>
      </c>
      <c r="L3" t="s">
        <v>17</v>
      </c>
      <c r="M3" t="s">
        <v>18</v>
      </c>
      <c r="N3" s="4" t="s">
        <v>3417</v>
      </c>
      <c r="O3" s="4" t="s">
        <v>3418</v>
      </c>
      <c r="P3" s="4" t="s">
        <v>233</v>
      </c>
    </row>
    <row r="4" spans="1:16" x14ac:dyDescent="0.35">
      <c r="A4" t="s">
        <v>1089</v>
      </c>
      <c r="B4" t="s">
        <v>1090</v>
      </c>
      <c r="C4" t="s">
        <v>16</v>
      </c>
      <c r="D4" s="6">
        <v>513124255.88873863</v>
      </c>
      <c r="E4" s="6">
        <v>1039224255.8887386</v>
      </c>
      <c r="F4" s="6">
        <v>9.4700002670288086</v>
      </c>
      <c r="G4" s="6">
        <v>9.3999996185302734</v>
      </c>
      <c r="H4" s="6" t="e">
        <v>#N/A</v>
      </c>
      <c r="I4" s="6">
        <v>4.2372985222468529</v>
      </c>
      <c r="J4" s="6">
        <v>1125500000</v>
      </c>
      <c r="K4" s="6">
        <v>74.424552429667514</v>
      </c>
      <c r="L4" t="s">
        <v>17</v>
      </c>
      <c r="M4" t="s">
        <v>18</v>
      </c>
      <c r="N4" s="4" t="s">
        <v>1091</v>
      </c>
      <c r="O4" s="4" t="s">
        <v>1092</v>
      </c>
      <c r="P4" s="4" t="s">
        <v>233</v>
      </c>
    </row>
    <row r="5" spans="1:16" x14ac:dyDescent="0.35">
      <c r="A5" t="s">
        <v>3390</v>
      </c>
      <c r="B5" t="s">
        <v>3391</v>
      </c>
      <c r="C5" t="s">
        <v>16</v>
      </c>
      <c r="D5" s="6">
        <v>2743248706.3545861</v>
      </c>
      <c r="E5" s="6">
        <v>3356779706.3545861</v>
      </c>
      <c r="F5" s="6">
        <v>3.2400000095367432</v>
      </c>
      <c r="G5" s="6">
        <v>3.0699999332427979</v>
      </c>
      <c r="H5" s="6" t="e">
        <v>#N/A</v>
      </c>
      <c r="I5" s="6">
        <v>-0.31574476773279947</v>
      </c>
      <c r="J5" s="6">
        <v>7332000</v>
      </c>
      <c r="K5" s="6">
        <v>17.165118278297719</v>
      </c>
      <c r="L5" t="s">
        <v>17</v>
      </c>
      <c r="M5" t="s">
        <v>18</v>
      </c>
      <c r="N5" s="4" t="s">
        <v>3392</v>
      </c>
      <c r="O5" s="4" t="s">
        <v>3393</v>
      </c>
      <c r="P5" s="4" t="s">
        <v>233</v>
      </c>
    </row>
    <row r="6" spans="1:16" x14ac:dyDescent="0.35">
      <c r="A6" t="s">
        <v>3916</v>
      </c>
      <c r="B6" t="s">
        <v>3917</v>
      </c>
      <c r="C6" t="s">
        <v>16</v>
      </c>
      <c r="D6" s="6">
        <v>681026171.42420769</v>
      </c>
      <c r="E6" s="6">
        <v>400214171.42420769</v>
      </c>
      <c r="F6" s="6">
        <v>23.010000228881836</v>
      </c>
      <c r="G6" s="6">
        <v>22.760000228881836</v>
      </c>
      <c r="H6" s="6" t="e">
        <v>#N/A</v>
      </c>
      <c r="I6" s="6">
        <v>-9.4447493078575473E-3</v>
      </c>
      <c r="J6" s="6">
        <v>5366000</v>
      </c>
      <c r="K6" s="6">
        <v>85.78503885574338</v>
      </c>
      <c r="L6" t="s">
        <v>17</v>
      </c>
      <c r="M6" t="s">
        <v>18</v>
      </c>
      <c r="N6" s="4" t="s">
        <v>3918</v>
      </c>
      <c r="O6" s="4" t="s">
        <v>3919</v>
      </c>
      <c r="P6" s="4" t="s">
        <v>233</v>
      </c>
    </row>
    <row r="7" spans="1:16" x14ac:dyDescent="0.35">
      <c r="A7" t="s">
        <v>4589</v>
      </c>
      <c r="B7" t="s">
        <v>4590</v>
      </c>
      <c r="C7" t="s">
        <v>16</v>
      </c>
      <c r="D7" s="6">
        <v>327909294.48622918</v>
      </c>
      <c r="E7" s="6">
        <v>233239294.48622918</v>
      </c>
      <c r="F7" s="6">
        <v>1.6000000238418579</v>
      </c>
      <c r="G7" s="6">
        <v>1.6000000238418579</v>
      </c>
      <c r="H7" s="6" t="e">
        <v>#N/A</v>
      </c>
      <c r="I7" s="6">
        <v>-5.3112854319119052E-2</v>
      </c>
      <c r="J7" s="6">
        <v>9915000</v>
      </c>
      <c r="K7" s="6">
        <v>97.517868217054257</v>
      </c>
      <c r="L7" t="s">
        <v>17</v>
      </c>
      <c r="M7" t="s">
        <v>18</v>
      </c>
      <c r="N7" s="4" t="s">
        <v>4591</v>
      </c>
      <c r="O7" s="4" t="s">
        <v>4592</v>
      </c>
      <c r="P7" s="4" t="s">
        <v>233</v>
      </c>
    </row>
    <row r="8" spans="1:16" x14ac:dyDescent="0.35">
      <c r="A8" t="s">
        <v>2975</v>
      </c>
      <c r="B8" t="s">
        <v>2976</v>
      </c>
      <c r="C8" t="s">
        <v>16</v>
      </c>
      <c r="D8" s="6">
        <v>4010511587.4212341</v>
      </c>
      <c r="E8" s="6">
        <v>3422984587.4212341</v>
      </c>
      <c r="F8" s="6">
        <v>43.430000305175781</v>
      </c>
      <c r="G8" s="6">
        <v>42.869998931884766</v>
      </c>
      <c r="H8" s="6" t="e">
        <v>#N/A</v>
      </c>
      <c r="I8" s="6">
        <v>-7.063079096347169E-2</v>
      </c>
      <c r="J8" s="6">
        <v>522745000</v>
      </c>
      <c r="K8" s="6">
        <v>27.870680044593104</v>
      </c>
      <c r="L8" t="s">
        <v>17</v>
      </c>
      <c r="M8" t="s">
        <v>18</v>
      </c>
      <c r="N8" s="4" t="s">
        <v>2977</v>
      </c>
      <c r="O8" s="4" t="s">
        <v>2978</v>
      </c>
      <c r="P8" s="4" t="s">
        <v>233</v>
      </c>
    </row>
    <row r="9" spans="1:16" x14ac:dyDescent="0.35">
      <c r="A9" t="s">
        <v>1763</v>
      </c>
      <c r="B9" t="s">
        <v>1764</v>
      </c>
      <c r="C9" t="s">
        <v>16</v>
      </c>
      <c r="D9" s="6">
        <v>1818623918.0696361</v>
      </c>
      <c r="E9" s="6">
        <v>1534640918.0696361</v>
      </c>
      <c r="F9" s="6">
        <v>8.7799997329711914</v>
      </c>
      <c r="G9" s="6">
        <v>8.9099998474121094</v>
      </c>
      <c r="H9" s="6" t="e">
        <v>#N/A</v>
      </c>
      <c r="I9" s="6">
        <v>0.47406233634728268</v>
      </c>
      <c r="J9" s="6">
        <v>412579000</v>
      </c>
      <c r="K9" s="6">
        <v>51.199999999999996</v>
      </c>
      <c r="L9" t="s">
        <v>17</v>
      </c>
      <c r="M9" t="s">
        <v>18</v>
      </c>
      <c r="N9" s="4" t="s">
        <v>1765</v>
      </c>
      <c r="O9" s="4" t="s">
        <v>1766</v>
      </c>
      <c r="P9" s="4" t="s">
        <v>233</v>
      </c>
    </row>
    <row r="10" spans="1:16" x14ac:dyDescent="0.35">
      <c r="A10" t="s">
        <v>4179</v>
      </c>
      <c r="B10" t="s">
        <v>4180</v>
      </c>
      <c r="C10" t="s">
        <v>16</v>
      </c>
      <c r="D10" s="6">
        <v>2434792457.6393433</v>
      </c>
      <c r="E10" s="6">
        <v>2467999457.6393433</v>
      </c>
      <c r="F10" s="6">
        <v>50.720001220703125</v>
      </c>
      <c r="G10" s="6">
        <v>49.340000152587891</v>
      </c>
      <c r="H10" s="6" t="e">
        <v>#N/A</v>
      </c>
      <c r="I10" s="6">
        <v>0.69218038748375976</v>
      </c>
      <c r="J10" s="6">
        <v>307028000</v>
      </c>
      <c r="K10" s="6">
        <v>51.574113503956141</v>
      </c>
      <c r="L10" t="s">
        <v>17</v>
      </c>
      <c r="M10" t="s">
        <v>18</v>
      </c>
      <c r="N10" s="4" t="s">
        <v>4181</v>
      </c>
      <c r="O10" s="4" t="s">
        <v>4182</v>
      </c>
      <c r="P10" s="4" t="s">
        <v>233</v>
      </c>
    </row>
    <row r="11" spans="1:16" x14ac:dyDescent="0.35">
      <c r="A11" t="s">
        <v>4657</v>
      </c>
      <c r="B11" t="s">
        <v>4658</v>
      </c>
      <c r="C11" t="s">
        <v>16</v>
      </c>
      <c r="D11" s="6">
        <v>498403608.96115875</v>
      </c>
      <c r="E11" s="6">
        <v>495156608.96115875</v>
      </c>
      <c r="F11" s="6">
        <v>3.9600000381469727</v>
      </c>
      <c r="G11" s="6">
        <v>3.940000057220459</v>
      </c>
      <c r="H11" s="6" t="e">
        <v>#N/A</v>
      </c>
      <c r="I11" s="6">
        <v>2.3191552145361838E-2</v>
      </c>
      <c r="J11" s="6">
        <v>0</v>
      </c>
      <c r="K11" s="6">
        <v>-54.022988505747136</v>
      </c>
      <c r="L11" t="s">
        <v>17</v>
      </c>
      <c r="M11" t="s">
        <v>18</v>
      </c>
      <c r="N11" s="4" t="s">
        <v>4659</v>
      </c>
      <c r="O11" s="4" t="s">
        <v>4660</v>
      </c>
      <c r="P11" s="4" t="s">
        <v>233</v>
      </c>
    </row>
    <row r="12" spans="1:16" x14ac:dyDescent="0.35">
      <c r="A12" t="s">
        <v>4302</v>
      </c>
      <c r="B12" t="s">
        <v>4303</v>
      </c>
      <c r="C12" t="s">
        <v>16</v>
      </c>
      <c r="D12" s="6">
        <v>1546159051.5748968</v>
      </c>
      <c r="E12" s="6">
        <v>1423776051.5748968</v>
      </c>
      <c r="F12" s="6">
        <v>13.210000038146973</v>
      </c>
      <c r="G12" s="6">
        <v>11.199999809265137</v>
      </c>
      <c r="H12" s="6" t="e">
        <v>#N/A</v>
      </c>
      <c r="I12" s="6">
        <v>0.97092177518728628</v>
      </c>
      <c r="J12" s="6">
        <v>138708000</v>
      </c>
      <c r="K12" s="6">
        <v>59.12761431994857</v>
      </c>
      <c r="L12" t="s">
        <v>17</v>
      </c>
      <c r="M12" t="s">
        <v>18</v>
      </c>
      <c r="N12" s="4" t="s">
        <v>4304</v>
      </c>
      <c r="O12" s="4" t="s">
        <v>4305</v>
      </c>
      <c r="P12" s="4" t="s">
        <v>233</v>
      </c>
    </row>
    <row r="13" spans="1:16" x14ac:dyDescent="0.35">
      <c r="A13" t="s">
        <v>4458</v>
      </c>
      <c r="B13" t="s">
        <v>4459</v>
      </c>
      <c r="C13" t="s">
        <v>16</v>
      </c>
      <c r="D13" s="6">
        <v>629359920.48371172</v>
      </c>
      <c r="E13" s="6">
        <v>-160434079.51628816</v>
      </c>
      <c r="F13" s="6">
        <v>3.7599999904632568</v>
      </c>
      <c r="G13" s="6">
        <v>3.630000114440918</v>
      </c>
      <c r="H13" s="6" t="e">
        <v>#N/A</v>
      </c>
      <c r="I13" s="6">
        <v>-0.60195338388868747</v>
      </c>
      <c r="J13" s="6">
        <v>10007000</v>
      </c>
      <c r="K13" s="6">
        <v>2.9739776951672892</v>
      </c>
      <c r="L13" t="s">
        <v>17</v>
      </c>
      <c r="M13" t="s">
        <v>18</v>
      </c>
      <c r="N13" s="4" t="s">
        <v>4460</v>
      </c>
      <c r="O13" s="4" t="s">
        <v>4461</v>
      </c>
      <c r="P13" s="4" t="s">
        <v>233</v>
      </c>
    </row>
    <row r="14" spans="1:16" x14ac:dyDescent="0.35">
      <c r="A14" t="s">
        <v>3104</v>
      </c>
      <c r="B14" t="s">
        <v>3105</v>
      </c>
      <c r="C14" t="s">
        <v>16</v>
      </c>
      <c r="D14" s="6">
        <v>1285067500.0567245</v>
      </c>
      <c r="E14" s="6">
        <v>1074179500.0567245</v>
      </c>
      <c r="F14" s="6">
        <v>23.959999084472656</v>
      </c>
      <c r="G14" s="6">
        <v>22.350000381469727</v>
      </c>
      <c r="H14" s="6" t="e">
        <v>#N/A</v>
      </c>
      <c r="I14" s="6">
        <v>1.6346736853375656</v>
      </c>
      <c r="J14" s="6">
        <v>312775000</v>
      </c>
      <c r="K14" s="6">
        <v>-61.676646706586823</v>
      </c>
      <c r="L14" t="s">
        <v>17</v>
      </c>
      <c r="M14" t="s">
        <v>18</v>
      </c>
      <c r="N14" s="4" t="s">
        <v>3106</v>
      </c>
      <c r="O14" s="4" t="s">
        <v>3107</v>
      </c>
      <c r="P14" s="4" t="s">
        <v>233</v>
      </c>
    </row>
    <row r="15" spans="1:16" x14ac:dyDescent="0.35">
      <c r="A15" t="s">
        <v>1414</v>
      </c>
      <c r="B15" t="s">
        <v>1415</v>
      </c>
      <c r="C15" t="s">
        <v>16</v>
      </c>
      <c r="D15" s="6">
        <v>684322124.07269657</v>
      </c>
      <c r="E15" s="6">
        <v>600942023.07269657</v>
      </c>
      <c r="F15" s="6">
        <v>15.050000190734863</v>
      </c>
      <c r="G15" s="6">
        <v>13.25</v>
      </c>
      <c r="H15" s="6" t="e">
        <v>#N/A</v>
      </c>
      <c r="I15" s="6">
        <v>2.7582727869994752</v>
      </c>
      <c r="J15" s="6">
        <v>23228046</v>
      </c>
      <c r="K15" s="6">
        <v>8.6206896551724199</v>
      </c>
      <c r="L15" t="s">
        <v>17</v>
      </c>
      <c r="M15" t="s">
        <v>18</v>
      </c>
      <c r="N15" s="4" t="s">
        <v>1416</v>
      </c>
      <c r="O15" s="4" t="s">
        <v>1417</v>
      </c>
      <c r="P15" s="4" t="s">
        <v>233</v>
      </c>
    </row>
    <row r="16" spans="1:16" x14ac:dyDescent="0.35">
      <c r="A16" t="s">
        <v>4649</v>
      </c>
      <c r="B16" t="s">
        <v>4650</v>
      </c>
      <c r="C16" t="s">
        <v>16</v>
      </c>
      <c r="D16" s="6">
        <v>1591666184.2389908</v>
      </c>
      <c r="E16" s="6">
        <v>1182153184.2389908</v>
      </c>
      <c r="F16" s="6">
        <v>85.400001525878906</v>
      </c>
      <c r="G16" s="6">
        <v>81.269996643066406</v>
      </c>
      <c r="H16" s="6" t="e">
        <v>#N/A</v>
      </c>
      <c r="I16" s="6">
        <v>0.90926810169076444</v>
      </c>
      <c r="J16" s="6">
        <v>1605000</v>
      </c>
      <c r="K16" s="6">
        <v>69.481481481481509</v>
      </c>
      <c r="L16" t="s">
        <v>17</v>
      </c>
      <c r="M16" t="s">
        <v>18</v>
      </c>
      <c r="N16" s="4" t="s">
        <v>4651</v>
      </c>
      <c r="O16" s="4" t="s">
        <v>4652</v>
      </c>
      <c r="P16" s="4" t="s">
        <v>233</v>
      </c>
    </row>
    <row r="17" spans="1:16" x14ac:dyDescent="0.35">
      <c r="A17" t="s">
        <v>5080</v>
      </c>
      <c r="B17" t="s">
        <v>5081</v>
      </c>
      <c r="C17" t="s">
        <v>16</v>
      </c>
      <c r="D17" s="6">
        <v>680697270.37033081</v>
      </c>
      <c r="E17" s="6">
        <v>131654270.37033081</v>
      </c>
      <c r="F17" s="6">
        <v>8.0399999618530273</v>
      </c>
      <c r="G17" s="6">
        <v>7.630000114440918</v>
      </c>
      <c r="H17" s="6" t="e">
        <v>#N/A</v>
      </c>
      <c r="I17" s="6">
        <v>-0.40050049100032881</v>
      </c>
      <c r="J17" s="6">
        <v>11758000</v>
      </c>
      <c r="K17" s="6">
        <v>-7.2164948453608231</v>
      </c>
      <c r="L17" t="s">
        <v>17</v>
      </c>
      <c r="M17" t="s">
        <v>18</v>
      </c>
      <c r="N17" s="4" t="s">
        <v>5082</v>
      </c>
      <c r="O17" s="4" t="s">
        <v>5083</v>
      </c>
      <c r="P17" s="4" t="s">
        <v>233</v>
      </c>
    </row>
    <row r="18" spans="1:16" x14ac:dyDescent="0.35">
      <c r="A18" t="s">
        <v>3931</v>
      </c>
      <c r="B18" t="s">
        <v>3932</v>
      </c>
      <c r="C18" t="s">
        <v>16</v>
      </c>
      <c r="D18" s="6">
        <v>1062033827.0521193</v>
      </c>
      <c r="E18" s="6">
        <v>717234827.05211926</v>
      </c>
      <c r="F18" s="6">
        <v>13.789999961853027</v>
      </c>
      <c r="G18" s="6">
        <v>12.359999656677246</v>
      </c>
      <c r="H18" s="6" t="e">
        <v>#N/A</v>
      </c>
      <c r="I18" s="6">
        <v>0.73198286949123426</v>
      </c>
      <c r="J18" s="6">
        <v>0</v>
      </c>
      <c r="K18" s="6">
        <v>2.8423539995142013</v>
      </c>
      <c r="L18" t="s">
        <v>17</v>
      </c>
      <c r="M18" t="s">
        <v>18</v>
      </c>
      <c r="N18" s="4" t="s">
        <v>3933</v>
      </c>
      <c r="O18" s="4" t="s">
        <v>3934</v>
      </c>
      <c r="P18" s="4" t="s">
        <v>233</v>
      </c>
    </row>
    <row r="19" spans="1:16" x14ac:dyDescent="0.35">
      <c r="A19" t="s">
        <v>2958</v>
      </c>
      <c r="B19" t="s">
        <v>2959</v>
      </c>
      <c r="C19" t="s">
        <v>16</v>
      </c>
      <c r="D19" s="6">
        <v>1135108478.5471535</v>
      </c>
      <c r="E19" s="6">
        <v>385507478.54715347</v>
      </c>
      <c r="F19" s="6">
        <v>16.219999313354492</v>
      </c>
      <c r="G19" s="6">
        <v>15.819999694824219</v>
      </c>
      <c r="H19" s="6" t="e">
        <v>#N/A</v>
      </c>
      <c r="I19" s="6">
        <v>-0.20865907381640136</v>
      </c>
      <c r="J19" s="6">
        <v>85164000</v>
      </c>
      <c r="K19" s="6">
        <v>-60.80402010050252</v>
      </c>
      <c r="L19" t="s">
        <v>17</v>
      </c>
      <c r="M19" t="s">
        <v>18</v>
      </c>
      <c r="N19" s="4" t="s">
        <v>2960</v>
      </c>
      <c r="O19" s="4" t="s">
        <v>2961</v>
      </c>
      <c r="P19" s="4" t="s">
        <v>233</v>
      </c>
    </row>
    <row r="20" spans="1:16" x14ac:dyDescent="0.35">
      <c r="A20" t="s">
        <v>3100</v>
      </c>
      <c r="B20" t="s">
        <v>3101</v>
      </c>
      <c r="C20" t="s">
        <v>16</v>
      </c>
      <c r="D20" s="6">
        <v>1290855726.3236332</v>
      </c>
      <c r="E20" s="6">
        <v>1204945726.3236332</v>
      </c>
      <c r="F20" s="6">
        <v>5.4499998092651367</v>
      </c>
      <c r="G20" s="6">
        <v>5.429999828338623</v>
      </c>
      <c r="H20" s="6" t="e">
        <v>#N/A</v>
      </c>
      <c r="I20" s="6">
        <v>-0.43898897460715536</v>
      </c>
      <c r="J20" s="6">
        <v>251849000</v>
      </c>
      <c r="K20" s="6">
        <v>-150</v>
      </c>
      <c r="L20" t="s">
        <v>17</v>
      </c>
      <c r="M20" t="s">
        <v>18</v>
      </c>
      <c r="N20" s="4" t="s">
        <v>3102</v>
      </c>
      <c r="O20" s="4" t="s">
        <v>3103</v>
      </c>
      <c r="P20" s="4" t="s">
        <v>233</v>
      </c>
    </row>
    <row r="21" spans="1:16" x14ac:dyDescent="0.35">
      <c r="A21" t="s">
        <v>5024</v>
      </c>
      <c r="B21" t="s">
        <v>5025</v>
      </c>
      <c r="C21" t="s">
        <v>16</v>
      </c>
      <c r="D21" s="6">
        <v>1223265557.7609425</v>
      </c>
      <c r="E21" s="6">
        <v>667497557.76094246</v>
      </c>
      <c r="F21" s="6">
        <v>12.130000114440918</v>
      </c>
      <c r="G21" s="6">
        <v>11.689999580383301</v>
      </c>
      <c r="H21" s="6" t="e">
        <v>#N/A</v>
      </c>
      <c r="I21" s="6">
        <v>-0.22733455089969778</v>
      </c>
      <c r="J21" s="6" t="e">
        <v>#N/A</v>
      </c>
      <c r="K21" s="6">
        <v>55.535467158878291</v>
      </c>
      <c r="L21" t="s">
        <v>17</v>
      </c>
      <c r="M21" t="s">
        <v>18</v>
      </c>
      <c r="N21" s="4" t="s">
        <v>5026</v>
      </c>
      <c r="O21" s="4" t="s">
        <v>5027</v>
      </c>
      <c r="P21" s="4" t="s">
        <v>233</v>
      </c>
    </row>
    <row r="22" spans="1:16" x14ac:dyDescent="0.35">
      <c r="A22" t="s">
        <v>3403</v>
      </c>
      <c r="B22" t="s">
        <v>3404</v>
      </c>
      <c r="C22" t="s">
        <v>16</v>
      </c>
      <c r="D22" s="6">
        <v>356724501.75002766</v>
      </c>
      <c r="E22" s="6">
        <v>162218501.75002769</v>
      </c>
      <c r="F22" s="6">
        <v>7.1999998092651367</v>
      </c>
      <c r="G22" s="6">
        <v>7.3000001907348633</v>
      </c>
      <c r="H22" s="6" t="e">
        <v>#N/A</v>
      </c>
      <c r="I22" s="6">
        <v>-0.58425496301234203</v>
      </c>
      <c r="J22" s="6">
        <v>84327000</v>
      </c>
      <c r="K22" s="6">
        <v>15.886287625418063</v>
      </c>
      <c r="L22" t="s">
        <v>17</v>
      </c>
      <c r="M22" t="s">
        <v>18</v>
      </c>
      <c r="N22" s="4" t="s">
        <v>3405</v>
      </c>
      <c r="O22" s="4" t="s">
        <v>3406</v>
      </c>
      <c r="P22" s="4" t="s">
        <v>233</v>
      </c>
    </row>
    <row r="23" spans="1:16" x14ac:dyDescent="0.35">
      <c r="A23" t="s">
        <v>3990</v>
      </c>
      <c r="B23" t="s">
        <v>3991</v>
      </c>
      <c r="C23" t="s">
        <v>16</v>
      </c>
      <c r="D23" s="6">
        <v>265599212.99144554</v>
      </c>
      <c r="E23" s="6">
        <v>198552212.99144554</v>
      </c>
      <c r="F23" s="6">
        <v>5.929999828338623</v>
      </c>
      <c r="G23" s="6">
        <v>5.6700000762939453</v>
      </c>
      <c r="H23" s="6" t="e">
        <v>#N/A</v>
      </c>
      <c r="I23" s="6">
        <v>-0.58604827778729685</v>
      </c>
      <c r="J23" s="6">
        <v>84553000</v>
      </c>
      <c r="K23" s="6">
        <v>-21.757364629485586</v>
      </c>
      <c r="L23" t="s">
        <v>17</v>
      </c>
      <c r="M23" t="s">
        <v>18</v>
      </c>
      <c r="N23" s="4" t="s">
        <v>3992</v>
      </c>
      <c r="O23" s="4" t="s">
        <v>3993</v>
      </c>
      <c r="P23" s="4" t="s">
        <v>233</v>
      </c>
    </row>
    <row r="24" spans="1:16" x14ac:dyDescent="0.35">
      <c r="A24" t="s">
        <v>4230</v>
      </c>
      <c r="B24" t="s">
        <v>4231</v>
      </c>
      <c r="C24" t="s">
        <v>16</v>
      </c>
      <c r="D24" s="6">
        <v>1254630245.9175491</v>
      </c>
      <c r="E24" s="6">
        <v>186991245.91754925</v>
      </c>
      <c r="F24" s="6">
        <v>9.1099996566772461</v>
      </c>
      <c r="G24" s="6">
        <v>8.9099998474121094</v>
      </c>
      <c r="H24" s="6" t="e">
        <v>#N/A</v>
      </c>
      <c r="I24" s="6">
        <v>-6.4510861217391913E-2</v>
      </c>
      <c r="J24" s="6">
        <v>78618000</v>
      </c>
      <c r="K24" s="6">
        <v>12.694877505567934</v>
      </c>
      <c r="L24" t="s">
        <v>17</v>
      </c>
      <c r="M24" t="s">
        <v>18</v>
      </c>
      <c r="N24" s="4" t="s">
        <v>4232</v>
      </c>
      <c r="O24" s="4" t="s">
        <v>4233</v>
      </c>
      <c r="P24" s="4" t="s">
        <v>233</v>
      </c>
    </row>
    <row r="25" spans="1:16" x14ac:dyDescent="0.35">
      <c r="A25" t="s">
        <v>3513</v>
      </c>
      <c r="B25" t="s">
        <v>3514</v>
      </c>
      <c r="C25" t="s">
        <v>16</v>
      </c>
      <c r="D25" s="6">
        <v>968579943.03128803</v>
      </c>
      <c r="E25" s="6">
        <v>125521943.03128803</v>
      </c>
      <c r="F25" s="6">
        <v>9.5100002288818359</v>
      </c>
      <c r="G25" s="6">
        <v>9.0100002288818359</v>
      </c>
      <c r="H25" s="6" t="e">
        <v>#N/A</v>
      </c>
      <c r="I25" s="6">
        <v>-0.67782649706783993</v>
      </c>
      <c r="J25" s="6">
        <v>43086000</v>
      </c>
      <c r="K25" s="6">
        <v>-1.6822429906542196</v>
      </c>
      <c r="L25" t="s">
        <v>17</v>
      </c>
      <c r="M25" t="s">
        <v>18</v>
      </c>
      <c r="N25" s="4" t="s">
        <v>3515</v>
      </c>
      <c r="O25" s="4" t="s">
        <v>3516</v>
      </c>
      <c r="P25" s="4" t="s">
        <v>233</v>
      </c>
    </row>
    <row r="26" spans="1:16" x14ac:dyDescent="0.35">
      <c r="A26" t="s">
        <v>3841</v>
      </c>
      <c r="B26" t="s">
        <v>3842</v>
      </c>
      <c r="C26" t="s">
        <v>16</v>
      </c>
      <c r="D26" s="6">
        <v>1098139307.9999998</v>
      </c>
      <c r="E26" s="6">
        <v>54139307.999999762</v>
      </c>
      <c r="F26" s="6">
        <v>12</v>
      </c>
      <c r="G26" s="6">
        <v>11.720000267028809</v>
      </c>
      <c r="H26" s="6" t="e">
        <v>#N/A</v>
      </c>
      <c r="I26" s="6">
        <v>-0.27033013361161795</v>
      </c>
      <c r="J26" s="6">
        <v>263000000</v>
      </c>
      <c r="K26" s="6">
        <v>21.250000000000004</v>
      </c>
      <c r="L26" t="s">
        <v>17</v>
      </c>
      <c r="M26" t="s">
        <v>18</v>
      </c>
      <c r="N26" s="4" t="s">
        <v>3843</v>
      </c>
      <c r="O26" s="4" t="s">
        <v>3844</v>
      </c>
      <c r="P26" s="4" t="s">
        <v>233</v>
      </c>
    </row>
    <row r="27" spans="1:16" x14ac:dyDescent="0.35">
      <c r="A27" t="s">
        <v>3320</v>
      </c>
      <c r="B27" t="s">
        <v>3321</v>
      </c>
      <c r="C27" t="s">
        <v>16</v>
      </c>
      <c r="D27" s="6">
        <v>6578735628.1876221</v>
      </c>
      <c r="E27" s="6">
        <v>6369182628.1876221</v>
      </c>
      <c r="F27" s="6">
        <v>103.55999755859375</v>
      </c>
      <c r="G27" s="6">
        <v>99.330001831054688</v>
      </c>
      <c r="H27" s="6" t="e">
        <v>#N/A</v>
      </c>
      <c r="I27" s="6">
        <v>0.33451323265165112</v>
      </c>
      <c r="J27" s="6">
        <v>434414000</v>
      </c>
      <c r="K27" s="6">
        <v>77.584330794341682</v>
      </c>
      <c r="L27" t="s">
        <v>17</v>
      </c>
      <c r="M27" t="s">
        <v>18</v>
      </c>
      <c r="N27" s="4" t="s">
        <v>3322</v>
      </c>
      <c r="O27" s="4" t="s">
        <v>3323</v>
      </c>
      <c r="P27" s="4" t="s">
        <v>233</v>
      </c>
    </row>
    <row r="28" spans="1:16" x14ac:dyDescent="0.35">
      <c r="A28" t="s">
        <v>3430</v>
      </c>
      <c r="B28" t="s">
        <v>3431</v>
      </c>
      <c r="C28" t="s">
        <v>16</v>
      </c>
      <c r="D28" s="6">
        <v>491423202.692379</v>
      </c>
      <c r="E28" s="6">
        <v>77800202.692379057</v>
      </c>
      <c r="F28" s="6">
        <v>16.149999618530273</v>
      </c>
      <c r="G28" s="6">
        <v>12.550000190734863</v>
      </c>
      <c r="H28" s="6" t="e">
        <v>#N/A</v>
      </c>
      <c r="I28" s="6">
        <v>-0.2992742487644684</v>
      </c>
      <c r="J28" s="6">
        <v>57172000</v>
      </c>
      <c r="K28" s="6">
        <v>-12.177121771217699</v>
      </c>
      <c r="L28" t="s">
        <v>17</v>
      </c>
      <c r="M28" t="s">
        <v>18</v>
      </c>
      <c r="N28" s="4" t="s">
        <v>3432</v>
      </c>
      <c r="O28" s="4" t="s">
        <v>3433</v>
      </c>
      <c r="P28" s="4" t="s">
        <v>233</v>
      </c>
    </row>
    <row r="29" spans="1:16" x14ac:dyDescent="0.35">
      <c r="A29" t="s">
        <v>5522</v>
      </c>
      <c r="B29" t="s">
        <v>5523</v>
      </c>
      <c r="C29" t="s">
        <v>16</v>
      </c>
      <c r="D29" s="6">
        <v>4259268893.5097885</v>
      </c>
      <c r="E29" s="6">
        <v>3909440893.5097885</v>
      </c>
      <c r="F29" s="6">
        <v>42.119998931884766</v>
      </c>
      <c r="G29" s="6">
        <v>40.790000915527344</v>
      </c>
      <c r="H29" s="6" t="e">
        <v>#N/A</v>
      </c>
      <c r="I29" s="6">
        <v>-0.1349470178065002</v>
      </c>
      <c r="J29" s="6">
        <v>0</v>
      </c>
      <c r="K29" s="6">
        <v>-30.491074898946174</v>
      </c>
      <c r="L29" t="s">
        <v>17</v>
      </c>
      <c r="M29" t="s">
        <v>18</v>
      </c>
      <c r="N29" s="4" t="s">
        <v>233</v>
      </c>
      <c r="O29" s="4" t="s">
        <v>5524</v>
      </c>
      <c r="P29" s="4" t="s">
        <v>13087</v>
      </c>
    </row>
    <row r="30" spans="1:16" x14ac:dyDescent="0.35">
      <c r="A30" t="s">
        <v>2376</v>
      </c>
      <c r="B30" t="s">
        <v>2377</v>
      </c>
      <c r="C30" t="s">
        <v>16</v>
      </c>
      <c r="D30" s="6">
        <v>1686557811.580116</v>
      </c>
      <c r="E30" s="6">
        <v>1325172811.580116</v>
      </c>
      <c r="F30" s="6">
        <v>2.7899999618530273</v>
      </c>
      <c r="G30" s="6">
        <v>2.7300000190734863</v>
      </c>
      <c r="H30" s="6" t="e">
        <v>#N/A</v>
      </c>
      <c r="I30" s="6">
        <v>0.17669052413544617</v>
      </c>
      <c r="J30" s="6">
        <v>29480000</v>
      </c>
      <c r="K30" s="6">
        <v>5.8823529411764603</v>
      </c>
      <c r="L30" t="s">
        <v>17</v>
      </c>
      <c r="M30" t="s">
        <v>18</v>
      </c>
      <c r="N30" s="4" t="s">
        <v>2378</v>
      </c>
      <c r="O30" s="4" t="s">
        <v>2379</v>
      </c>
      <c r="P30" s="4" t="s">
        <v>233</v>
      </c>
    </row>
    <row r="31" spans="1:16" x14ac:dyDescent="0.35">
      <c r="A31" t="s">
        <v>2463</v>
      </c>
      <c r="B31" t="s">
        <v>2464</v>
      </c>
      <c r="C31" t="s">
        <v>16</v>
      </c>
      <c r="D31" s="6">
        <v>16551508538.078367</v>
      </c>
      <c r="E31" s="6">
        <v>12345608538.078367</v>
      </c>
      <c r="F31" s="6">
        <v>370.739990234375</v>
      </c>
      <c r="G31" s="6">
        <v>352.6099853515625</v>
      </c>
      <c r="H31" s="6">
        <v>16.281949505242647</v>
      </c>
      <c r="I31" s="6">
        <v>0.71188136414172809</v>
      </c>
      <c r="J31" s="6">
        <v>2756200000</v>
      </c>
      <c r="K31" s="6">
        <v>25.93167701863355</v>
      </c>
      <c r="L31" t="s">
        <v>17</v>
      </c>
      <c r="M31" t="s">
        <v>18</v>
      </c>
      <c r="N31" s="4" t="s">
        <v>2465</v>
      </c>
      <c r="O31" s="4" t="s">
        <v>2466</v>
      </c>
      <c r="P31" s="4" t="s">
        <v>233</v>
      </c>
    </row>
    <row r="32" spans="1:16" x14ac:dyDescent="0.35">
      <c r="A32" t="s">
        <v>5447</v>
      </c>
      <c r="B32" t="s">
        <v>5448</v>
      </c>
      <c r="C32" t="s">
        <v>16</v>
      </c>
      <c r="D32" s="6">
        <v>3423737656.789742</v>
      </c>
      <c r="E32" s="6">
        <v>2812387656.789742</v>
      </c>
      <c r="F32" s="6">
        <v>63.314998626708984</v>
      </c>
      <c r="G32" s="6">
        <v>61.330001831054688</v>
      </c>
      <c r="H32" s="6" t="e">
        <v>#N/A</v>
      </c>
      <c r="I32" s="6">
        <v>-1.9383705404179552E-2</v>
      </c>
      <c r="J32" s="6">
        <v>155818000</v>
      </c>
      <c r="K32" s="6">
        <v>72.117744544540997</v>
      </c>
      <c r="L32" t="s">
        <v>17</v>
      </c>
      <c r="M32" t="s">
        <v>18</v>
      </c>
      <c r="N32" s="4" t="s">
        <v>5449</v>
      </c>
      <c r="O32" s="4" t="s">
        <v>5450</v>
      </c>
      <c r="P32" s="4" t="s">
        <v>233</v>
      </c>
    </row>
    <row r="33" spans="1:16" x14ac:dyDescent="0.35">
      <c r="A33" t="s">
        <v>2170</v>
      </c>
      <c r="B33" t="s">
        <v>2171</v>
      </c>
      <c r="C33" t="s">
        <v>16</v>
      </c>
      <c r="D33" s="6">
        <v>1627529465.1058581</v>
      </c>
      <c r="E33" s="6">
        <v>1326175465.1058581</v>
      </c>
      <c r="F33" s="6">
        <v>5.3400001525878906</v>
      </c>
      <c r="G33" s="6">
        <v>5.2100000381469727</v>
      </c>
      <c r="H33" s="6" t="e">
        <v>#N/A</v>
      </c>
      <c r="I33" s="6">
        <v>-0.46240321406831342</v>
      </c>
      <c r="J33" s="6">
        <v>90858000</v>
      </c>
      <c r="K33" s="6">
        <v>28.019323671497581</v>
      </c>
      <c r="L33" t="s">
        <v>17</v>
      </c>
      <c r="M33" t="s">
        <v>18</v>
      </c>
      <c r="N33" s="4" t="s">
        <v>2172</v>
      </c>
      <c r="O33" s="4" t="s">
        <v>2173</v>
      </c>
      <c r="P33" s="4" t="s">
        <v>233</v>
      </c>
    </row>
    <row r="34" spans="1:16" x14ac:dyDescent="0.35">
      <c r="A34" t="s">
        <v>4713</v>
      </c>
      <c r="B34" t="s">
        <v>4714</v>
      </c>
      <c r="C34" t="s">
        <v>16</v>
      </c>
      <c r="D34" s="6">
        <v>337565345.01004928</v>
      </c>
      <c r="E34" s="6">
        <v>124501345.01004928</v>
      </c>
      <c r="F34" s="6">
        <v>4.940000057220459</v>
      </c>
      <c r="G34" s="6">
        <v>5.1100001335144043</v>
      </c>
      <c r="H34" s="6" t="e">
        <v>#N/A</v>
      </c>
      <c r="I34" s="6">
        <v>-0.70178082591450819</v>
      </c>
      <c r="J34" s="6">
        <v>0</v>
      </c>
      <c r="K34" s="6">
        <v>5.6034482758620454</v>
      </c>
      <c r="L34" t="s">
        <v>17</v>
      </c>
      <c r="M34" t="s">
        <v>18</v>
      </c>
      <c r="N34" s="4" t="s">
        <v>4715</v>
      </c>
      <c r="O34" s="4" t="s">
        <v>4716</v>
      </c>
      <c r="P34" s="4" t="s">
        <v>233</v>
      </c>
    </row>
    <row r="35" spans="1:16" x14ac:dyDescent="0.35">
      <c r="A35" t="s">
        <v>3739</v>
      </c>
      <c r="B35" t="s">
        <v>3740</v>
      </c>
      <c r="C35" t="s">
        <v>16</v>
      </c>
      <c r="D35" s="6">
        <v>3542385419.6495819</v>
      </c>
      <c r="E35" s="6">
        <v>3398025419.6495819</v>
      </c>
      <c r="F35" s="6">
        <v>57.639999389648438</v>
      </c>
      <c r="G35" s="6">
        <v>56.389999389648438</v>
      </c>
      <c r="H35" s="6" t="e">
        <v>#N/A</v>
      </c>
      <c r="I35" s="6">
        <v>9.8877029671529559E-2</v>
      </c>
      <c r="J35" s="6">
        <v>112530000</v>
      </c>
      <c r="K35" s="6">
        <v>-33.230769230769234</v>
      </c>
      <c r="L35" t="s">
        <v>17</v>
      </c>
      <c r="M35" t="s">
        <v>18</v>
      </c>
      <c r="N35" s="4" t="s">
        <v>3741</v>
      </c>
      <c r="O35" s="4" t="s">
        <v>3742</v>
      </c>
      <c r="P35" s="4" t="s">
        <v>233</v>
      </c>
    </row>
    <row r="36" spans="1:16" x14ac:dyDescent="0.35">
      <c r="A36" t="s">
        <v>546</v>
      </c>
      <c r="B36" t="s">
        <v>547</v>
      </c>
      <c r="C36" t="s">
        <v>16</v>
      </c>
      <c r="D36" s="6">
        <v>10489012533.297729</v>
      </c>
      <c r="E36" s="6">
        <v>10683469533.297729</v>
      </c>
      <c r="F36" s="6">
        <v>109.80999755859375</v>
      </c>
      <c r="G36" s="6">
        <v>109</v>
      </c>
      <c r="H36" s="6">
        <v>82.241373349775429</v>
      </c>
      <c r="I36" s="6">
        <v>-0.13717879217107176</v>
      </c>
      <c r="J36" s="6">
        <v>1640348000</v>
      </c>
      <c r="K36" s="6" t="e">
        <v>#N/A</v>
      </c>
      <c r="L36" t="s">
        <v>17</v>
      </c>
      <c r="M36" t="s">
        <v>18</v>
      </c>
      <c r="N36" s="4" t="s">
        <v>548</v>
      </c>
      <c r="O36" s="4" t="s">
        <v>549</v>
      </c>
      <c r="P36" s="4" t="s">
        <v>233</v>
      </c>
    </row>
    <row r="37" spans="1:16" x14ac:dyDescent="0.35">
      <c r="A37" t="s">
        <v>5659</v>
      </c>
      <c r="B37" t="s">
        <v>5660</v>
      </c>
      <c r="C37" t="s">
        <v>16</v>
      </c>
      <c r="D37" s="6">
        <v>2077218528.9999998</v>
      </c>
      <c r="E37" s="6">
        <v>1335563528.9999998</v>
      </c>
      <c r="F37" s="6">
        <v>35.5</v>
      </c>
      <c r="G37" s="6">
        <v>33.810001373291016</v>
      </c>
      <c r="H37" s="6" t="e">
        <v>#N/A</v>
      </c>
      <c r="I37" s="6">
        <v>-2.8084149345652953E-4</v>
      </c>
      <c r="J37" s="6" t="e">
        <v>#N/A</v>
      </c>
      <c r="K37" s="6" t="e">
        <v>#N/A</v>
      </c>
      <c r="L37" t="s">
        <v>17</v>
      </c>
      <c r="M37" t="s">
        <v>18</v>
      </c>
      <c r="N37" s="4" t="s">
        <v>5661</v>
      </c>
      <c r="O37" s="4" t="s">
        <v>5662</v>
      </c>
      <c r="P37" s="4" t="s">
        <v>233</v>
      </c>
    </row>
    <row r="38" spans="1:16" x14ac:dyDescent="0.35">
      <c r="A38" t="s">
        <v>4803</v>
      </c>
      <c r="B38" t="s">
        <v>4804</v>
      </c>
      <c r="C38" t="s">
        <v>16</v>
      </c>
      <c r="D38" s="6">
        <v>634083625.59667754</v>
      </c>
      <c r="E38" s="6">
        <v>531160625.59667754</v>
      </c>
      <c r="F38" s="6">
        <v>2.8399999141693115</v>
      </c>
      <c r="G38" s="6">
        <v>2.690000057220459</v>
      </c>
      <c r="H38" s="6" t="e">
        <v>#N/A</v>
      </c>
      <c r="I38" s="6">
        <v>-0.54822396099347537</v>
      </c>
      <c r="J38" s="6">
        <v>0</v>
      </c>
      <c r="K38" s="6">
        <v>2.7777777777777803</v>
      </c>
      <c r="L38" t="s">
        <v>17</v>
      </c>
      <c r="M38" t="s">
        <v>18</v>
      </c>
      <c r="N38" s="4" t="s">
        <v>4805</v>
      </c>
      <c r="O38" s="4" t="s">
        <v>4806</v>
      </c>
      <c r="P38" s="4" t="s">
        <v>233</v>
      </c>
    </row>
    <row r="39" spans="1:16" x14ac:dyDescent="0.35">
      <c r="A39" t="s">
        <v>4163</v>
      </c>
      <c r="B39" t="s">
        <v>4164</v>
      </c>
      <c r="C39" t="s">
        <v>16</v>
      </c>
      <c r="D39" s="6">
        <v>6038224318.0877762</v>
      </c>
      <c r="E39" s="6">
        <v>7513179318.0877762</v>
      </c>
      <c r="F39" s="6">
        <v>31.950000762939453</v>
      </c>
      <c r="G39" s="6">
        <v>30.5</v>
      </c>
      <c r="H39" s="6" t="e">
        <v>#N/A</v>
      </c>
      <c r="I39" s="6">
        <v>-0.10351843693204577</v>
      </c>
      <c r="J39" s="6">
        <v>217765000</v>
      </c>
      <c r="K39" s="6">
        <v>38.205128205128197</v>
      </c>
      <c r="L39" t="s">
        <v>17</v>
      </c>
      <c r="M39" t="s">
        <v>18</v>
      </c>
      <c r="N39" s="4" t="s">
        <v>4165</v>
      </c>
      <c r="O39" s="4" t="s">
        <v>4166</v>
      </c>
      <c r="P39" s="4" t="s">
        <v>233</v>
      </c>
    </row>
    <row r="40" spans="1:16" x14ac:dyDescent="0.35">
      <c r="A40" t="s">
        <v>5001</v>
      </c>
      <c r="B40" t="s">
        <v>5002</v>
      </c>
      <c r="C40" t="s">
        <v>16</v>
      </c>
      <c r="D40" s="6">
        <v>339251718.56174475</v>
      </c>
      <c r="E40" s="6">
        <v>57617718.561744809</v>
      </c>
      <c r="F40" s="6">
        <v>13.229999542236328</v>
      </c>
      <c r="G40" s="6">
        <v>12.659999847412109</v>
      </c>
      <c r="H40" s="6" t="e">
        <v>#N/A</v>
      </c>
      <c r="I40" s="6">
        <v>-0.64353997931613116</v>
      </c>
      <c r="J40" s="6">
        <v>0</v>
      </c>
      <c r="K40" s="6">
        <v>99.078310890312466</v>
      </c>
      <c r="L40" t="s">
        <v>17</v>
      </c>
      <c r="M40" t="s">
        <v>18</v>
      </c>
      <c r="N40" s="4" t="s">
        <v>5003</v>
      </c>
      <c r="O40" s="4" t="s">
        <v>5004</v>
      </c>
      <c r="P40" s="4" t="s">
        <v>233</v>
      </c>
    </row>
    <row r="41" spans="1:16" x14ac:dyDescent="0.35">
      <c r="A41" t="s">
        <v>864</v>
      </c>
      <c r="B41" t="s">
        <v>865</v>
      </c>
      <c r="C41" t="s">
        <v>16</v>
      </c>
      <c r="D41" s="6">
        <v>9180111346.4673996</v>
      </c>
      <c r="E41" s="6">
        <v>8284669346.4673996</v>
      </c>
      <c r="F41" s="6">
        <v>32.799999237060547</v>
      </c>
      <c r="G41" s="6">
        <v>33.200000762939453</v>
      </c>
      <c r="H41" s="6">
        <v>16.501956959605195</v>
      </c>
      <c r="I41" s="6">
        <v>0.60654360876808955</v>
      </c>
      <c r="J41" s="6">
        <v>2168701000</v>
      </c>
      <c r="K41" s="6">
        <v>176.92307692307691</v>
      </c>
      <c r="L41" t="s">
        <v>17</v>
      </c>
      <c r="M41" t="s">
        <v>18</v>
      </c>
      <c r="N41" s="4" t="s">
        <v>866</v>
      </c>
      <c r="O41" s="4" t="s">
        <v>867</v>
      </c>
      <c r="P41" s="4" t="s">
        <v>233</v>
      </c>
    </row>
    <row r="42" spans="1:16" x14ac:dyDescent="0.35">
      <c r="A42" t="s">
        <v>5737</v>
      </c>
      <c r="B42" t="s">
        <v>5738</v>
      </c>
      <c r="C42" t="s">
        <v>16</v>
      </c>
      <c r="D42" s="6">
        <v>906453618.04555321</v>
      </c>
      <c r="E42" s="6">
        <v>623811618.04555321</v>
      </c>
      <c r="F42" s="6">
        <v>26.899999618530273</v>
      </c>
      <c r="G42" s="6">
        <v>26.319999694824219</v>
      </c>
      <c r="H42" s="6" t="e">
        <v>#N/A</v>
      </c>
      <c r="I42" s="6">
        <v>0.27826497470962619</v>
      </c>
      <c r="J42" s="6">
        <v>0</v>
      </c>
      <c r="K42" s="6" t="e">
        <v>#N/A</v>
      </c>
      <c r="L42" t="s">
        <v>17</v>
      </c>
      <c r="M42" t="s">
        <v>18</v>
      </c>
      <c r="N42" s="4" t="s">
        <v>5739</v>
      </c>
      <c r="O42" s="4" t="s">
        <v>5740</v>
      </c>
      <c r="P42" s="4" t="s">
        <v>233</v>
      </c>
    </row>
    <row r="43" spans="1:16" x14ac:dyDescent="0.35">
      <c r="A43" t="s">
        <v>4532</v>
      </c>
      <c r="B43" t="s">
        <v>4533</v>
      </c>
      <c r="C43" t="s">
        <v>16</v>
      </c>
      <c r="D43" s="6">
        <v>2276499479.9239659</v>
      </c>
      <c r="E43" s="6">
        <v>1453725479.9239659</v>
      </c>
      <c r="F43" s="6">
        <v>35.150001525878906</v>
      </c>
      <c r="G43" s="6">
        <v>33.560001373291016</v>
      </c>
      <c r="H43" s="6" t="e">
        <v>#N/A</v>
      </c>
      <c r="I43" s="6">
        <v>-3.4512934886469226E-2</v>
      </c>
      <c r="J43" s="6">
        <v>87563000</v>
      </c>
      <c r="K43" s="6">
        <v>18.623797909407678</v>
      </c>
      <c r="L43" t="s">
        <v>17</v>
      </c>
      <c r="M43" t="s">
        <v>18</v>
      </c>
      <c r="N43" s="4" t="s">
        <v>4534</v>
      </c>
      <c r="O43" s="4" t="s">
        <v>4535</v>
      </c>
      <c r="P43" s="4" t="s">
        <v>233</v>
      </c>
    </row>
    <row r="44" spans="1:16" x14ac:dyDescent="0.35">
      <c r="A44" t="s">
        <v>4421</v>
      </c>
      <c r="B44" t="s">
        <v>4422</v>
      </c>
      <c r="C44" t="s">
        <v>16</v>
      </c>
      <c r="D44" s="6">
        <v>10646453531.103666</v>
      </c>
      <c r="E44" s="6">
        <v>8493947531.1036663</v>
      </c>
      <c r="F44" s="6">
        <v>85.419998168945313</v>
      </c>
      <c r="G44" s="6">
        <v>85</v>
      </c>
      <c r="H44" s="6" t="e">
        <v>#N/A</v>
      </c>
      <c r="I44" s="6">
        <v>0.1175760653147262</v>
      </c>
      <c r="J44" s="6">
        <v>0</v>
      </c>
      <c r="K44" s="6">
        <v>-37.757397011614302</v>
      </c>
      <c r="L44" t="s">
        <v>17</v>
      </c>
      <c r="M44" t="s">
        <v>18</v>
      </c>
      <c r="N44" s="4" t="s">
        <v>4423</v>
      </c>
      <c r="O44" s="4" t="s">
        <v>4424</v>
      </c>
      <c r="P44" s="4" t="s">
        <v>233</v>
      </c>
    </row>
    <row r="45" spans="1:16" x14ac:dyDescent="0.35">
      <c r="A45" t="s">
        <v>2444</v>
      </c>
      <c r="B45" t="s">
        <v>2445</v>
      </c>
      <c r="C45" t="s">
        <v>16</v>
      </c>
      <c r="D45" s="6">
        <v>5420384018</v>
      </c>
      <c r="E45" s="6" t="e">
        <v>#N/A</v>
      </c>
      <c r="F45" s="6">
        <v>33.5</v>
      </c>
      <c r="G45" s="6">
        <v>32.389999389648438</v>
      </c>
      <c r="H45" s="6">
        <v>15.199499097104383</v>
      </c>
      <c r="I45" s="6">
        <v>0.17409791043627365</v>
      </c>
      <c r="J45" s="6">
        <v>1557632000</v>
      </c>
      <c r="K45" s="6">
        <v>-27.959795802841651</v>
      </c>
      <c r="L45" t="s">
        <v>17</v>
      </c>
      <c r="M45" t="s">
        <v>18</v>
      </c>
      <c r="N45" s="4" t="s">
        <v>233</v>
      </c>
      <c r="O45" s="4" t="s">
        <v>2446</v>
      </c>
      <c r="P45" s="4" t="s">
        <v>13109</v>
      </c>
    </row>
    <row r="46" spans="1:16" x14ac:dyDescent="0.35">
      <c r="A46" t="s">
        <v>4253</v>
      </c>
      <c r="B46" t="s">
        <v>4254</v>
      </c>
      <c r="C46" t="s">
        <v>16</v>
      </c>
      <c r="D46" s="6">
        <v>2365756738.1197281</v>
      </c>
      <c r="E46" s="6">
        <v>1602064738.1197281</v>
      </c>
      <c r="F46" s="6">
        <v>28.569999694824219</v>
      </c>
      <c r="G46" s="6">
        <v>26.360000610351563</v>
      </c>
      <c r="H46" s="6" t="e">
        <v>#N/A</v>
      </c>
      <c r="I46" s="6">
        <v>-0.14424565317319271</v>
      </c>
      <c r="J46" s="6">
        <v>349643000</v>
      </c>
      <c r="K46" s="6">
        <v>57.821585944268207</v>
      </c>
      <c r="L46" t="s">
        <v>17</v>
      </c>
      <c r="M46" t="s">
        <v>18</v>
      </c>
      <c r="N46" s="4" t="s">
        <v>4255</v>
      </c>
      <c r="O46" s="4" t="s">
        <v>4256</v>
      </c>
      <c r="P46" s="4" t="s">
        <v>233</v>
      </c>
    </row>
    <row r="47" spans="1:16" x14ac:dyDescent="0.35">
      <c r="A47" t="s">
        <v>4087</v>
      </c>
      <c r="B47" t="s">
        <v>4088</v>
      </c>
      <c r="C47" t="s">
        <v>16</v>
      </c>
      <c r="D47" s="6">
        <v>429605504.44029331</v>
      </c>
      <c r="E47" s="6">
        <v>221849504.44029331</v>
      </c>
      <c r="F47" s="6">
        <v>15.859999656677246</v>
      </c>
      <c r="G47" s="6">
        <v>15.710000038146973</v>
      </c>
      <c r="H47" s="6" t="e">
        <v>#N/A</v>
      </c>
      <c r="I47" s="6">
        <v>-0.61792739147527875</v>
      </c>
      <c r="J47" s="6">
        <v>160399000</v>
      </c>
      <c r="K47" s="6" t="e">
        <v>#N/A</v>
      </c>
      <c r="L47" t="s">
        <v>17</v>
      </c>
      <c r="M47" t="s">
        <v>18</v>
      </c>
      <c r="N47" s="4" t="s">
        <v>4089</v>
      </c>
      <c r="O47" s="4" t="s">
        <v>4090</v>
      </c>
      <c r="P47" s="4" t="s">
        <v>233</v>
      </c>
    </row>
    <row r="48" spans="1:16" x14ac:dyDescent="0.35">
      <c r="A48" t="s">
        <v>5333</v>
      </c>
      <c r="B48" t="s">
        <v>5334</v>
      </c>
      <c r="C48" t="s">
        <v>16</v>
      </c>
      <c r="D48" s="6">
        <v>7449456042.1027308</v>
      </c>
      <c r="E48" s="6">
        <v>2749760042.1027317</v>
      </c>
      <c r="F48" s="6">
        <v>10.439999580383301</v>
      </c>
      <c r="G48" s="6">
        <v>10.350000381469727</v>
      </c>
      <c r="H48" s="6" t="e">
        <v>#N/A</v>
      </c>
      <c r="I48" s="6">
        <v>-3.945253377532254E-2</v>
      </c>
      <c r="J48" s="6">
        <v>97555000</v>
      </c>
      <c r="K48" s="6" t="e">
        <v>#N/A</v>
      </c>
      <c r="L48" t="s">
        <v>17</v>
      </c>
      <c r="M48" t="s">
        <v>18</v>
      </c>
      <c r="N48" s="4" t="s">
        <v>233</v>
      </c>
      <c r="O48" s="4" t="s">
        <v>5335</v>
      </c>
      <c r="P48" s="4" t="s">
        <v>13169</v>
      </c>
    </row>
    <row r="49" spans="1:16" x14ac:dyDescent="0.35">
      <c r="A49" t="s">
        <v>844</v>
      </c>
      <c r="B49" t="s">
        <v>845</v>
      </c>
      <c r="C49" t="s">
        <v>16</v>
      </c>
      <c r="D49" s="6">
        <v>9316740617.8604012</v>
      </c>
      <c r="E49" s="6">
        <v>11076702617.860401</v>
      </c>
      <c r="F49" s="6">
        <v>50.340000152587891</v>
      </c>
      <c r="G49" s="6">
        <v>50.380001068115234</v>
      </c>
      <c r="H49" s="6" t="e">
        <v>#N/A</v>
      </c>
      <c r="I49" s="6">
        <v>-0.18877657509573675</v>
      </c>
      <c r="J49" s="6">
        <v>2692328000</v>
      </c>
      <c r="K49" s="6">
        <v>26.211130767120437</v>
      </c>
      <c r="L49" t="s">
        <v>17</v>
      </c>
      <c r="M49" t="s">
        <v>18</v>
      </c>
      <c r="N49" s="4" t="s">
        <v>846</v>
      </c>
      <c r="O49" s="4" t="s">
        <v>847</v>
      </c>
      <c r="P49" s="4" t="s">
        <v>233</v>
      </c>
    </row>
    <row r="50" spans="1:16" x14ac:dyDescent="0.35">
      <c r="A50" t="s">
        <v>2408</v>
      </c>
      <c r="B50" t="s">
        <v>2409</v>
      </c>
      <c r="C50" t="s">
        <v>16</v>
      </c>
      <c r="D50" s="6">
        <v>12551797550.082642</v>
      </c>
      <c r="E50" s="6">
        <v>12224040550.082642</v>
      </c>
      <c r="F50" s="6">
        <v>65.860000610351563</v>
      </c>
      <c r="G50" s="6">
        <v>63.159999847412109</v>
      </c>
      <c r="H50" s="6">
        <v>31.48477062171262</v>
      </c>
      <c r="I50" s="6">
        <v>-0.2525228123412192</v>
      </c>
      <c r="J50" s="6">
        <v>2752809000</v>
      </c>
      <c r="K50" s="6">
        <v>117.94871794871796</v>
      </c>
      <c r="L50" t="s">
        <v>17</v>
      </c>
      <c r="M50" t="s">
        <v>18</v>
      </c>
      <c r="N50" s="4" t="s">
        <v>2410</v>
      </c>
      <c r="O50" s="4" t="s">
        <v>2411</v>
      </c>
      <c r="P50" s="4" t="s">
        <v>233</v>
      </c>
    </row>
    <row r="51" spans="1:16" x14ac:dyDescent="0.35">
      <c r="A51" t="s">
        <v>3255</v>
      </c>
      <c r="B51" t="s">
        <v>3256</v>
      </c>
      <c r="C51" t="s">
        <v>16</v>
      </c>
      <c r="D51" s="6">
        <v>461069805.60970688</v>
      </c>
      <c r="E51" s="6">
        <v>331505805.60970688</v>
      </c>
      <c r="F51" s="6">
        <v>9.3299999237060547</v>
      </c>
      <c r="G51" s="6">
        <v>9.4099998474121094</v>
      </c>
      <c r="H51" s="6" t="e">
        <v>#N/A</v>
      </c>
      <c r="I51" s="6">
        <v>-0.41746740011924532</v>
      </c>
      <c r="J51" s="6">
        <v>0</v>
      </c>
      <c r="K51" s="6">
        <v>-18.954248366013061</v>
      </c>
      <c r="L51" t="s">
        <v>17</v>
      </c>
      <c r="M51" t="s">
        <v>18</v>
      </c>
      <c r="N51" s="4" t="s">
        <v>3257</v>
      </c>
      <c r="O51" s="4" t="s">
        <v>3258</v>
      </c>
      <c r="P51" s="4" t="s">
        <v>233</v>
      </c>
    </row>
    <row r="52" spans="1:16" x14ac:dyDescent="0.35">
      <c r="A52" t="s">
        <v>4954</v>
      </c>
      <c r="B52" t="s">
        <v>4955</v>
      </c>
      <c r="C52" t="s">
        <v>16</v>
      </c>
      <c r="D52" s="6">
        <v>3258622206.819458</v>
      </c>
      <c r="E52" s="6">
        <v>2921600206.819458</v>
      </c>
      <c r="F52" s="6">
        <v>8.3400001525878906</v>
      </c>
      <c r="G52" s="6">
        <v>7.429999828338623</v>
      </c>
      <c r="H52" s="6" t="e">
        <v>#N/A</v>
      </c>
      <c r="I52" s="6">
        <v>-0.23709451982197416</v>
      </c>
      <c r="J52" s="6">
        <v>65184000</v>
      </c>
      <c r="K52" s="6">
        <v>-6.1643835616438105</v>
      </c>
      <c r="L52" t="s">
        <v>17</v>
      </c>
      <c r="M52" t="s">
        <v>18</v>
      </c>
      <c r="N52" s="4" t="s">
        <v>4956</v>
      </c>
      <c r="O52" s="4" t="s">
        <v>4957</v>
      </c>
      <c r="P52" s="4" t="s">
        <v>233</v>
      </c>
    </row>
    <row r="53" spans="1:16" x14ac:dyDescent="0.35">
      <c r="A53" t="s">
        <v>4492</v>
      </c>
      <c r="B53" t="s">
        <v>4493</v>
      </c>
      <c r="C53" t="s">
        <v>16</v>
      </c>
      <c r="D53" s="6">
        <v>319780515</v>
      </c>
      <c r="E53" s="6">
        <v>9271515</v>
      </c>
      <c r="F53" s="6">
        <v>3</v>
      </c>
      <c r="G53" s="6">
        <v>3.0499999523162842</v>
      </c>
      <c r="H53" s="6" t="e">
        <v>#N/A</v>
      </c>
      <c r="I53" s="6">
        <v>-0.44661744402714665</v>
      </c>
      <c r="J53" s="6">
        <v>0</v>
      </c>
      <c r="K53" s="6">
        <v>44.736842105263165</v>
      </c>
      <c r="L53" t="s">
        <v>17</v>
      </c>
      <c r="M53" t="s">
        <v>18</v>
      </c>
      <c r="N53" s="4" t="s">
        <v>4494</v>
      </c>
      <c r="O53" s="4" t="s">
        <v>4495</v>
      </c>
      <c r="P53" s="4" t="s">
        <v>233</v>
      </c>
    </row>
    <row r="54" spans="1:16" x14ac:dyDescent="0.35">
      <c r="A54" t="s">
        <v>3366</v>
      </c>
      <c r="B54" t="s">
        <v>3367</v>
      </c>
      <c r="C54" t="s">
        <v>16</v>
      </c>
      <c r="D54" s="6">
        <v>22700978908.304443</v>
      </c>
      <c r="E54" s="6">
        <v>22254377908.304443</v>
      </c>
      <c r="F54" s="6">
        <v>171.94999694824219</v>
      </c>
      <c r="G54" s="6">
        <v>166.88999938964844</v>
      </c>
      <c r="H54" s="6" t="e">
        <v>#N/A</v>
      </c>
      <c r="I54" s="6">
        <v>1.4170035731778614</v>
      </c>
      <c r="J54" s="6">
        <v>1531955000</v>
      </c>
      <c r="K54" s="6">
        <v>60.717363317632042</v>
      </c>
      <c r="L54" t="s">
        <v>17</v>
      </c>
      <c r="M54" t="s">
        <v>18</v>
      </c>
      <c r="N54" s="4" t="s">
        <v>3368</v>
      </c>
      <c r="O54" s="4" t="s">
        <v>3369</v>
      </c>
      <c r="P54" s="4" t="s">
        <v>233</v>
      </c>
    </row>
    <row r="55" spans="1:16" x14ac:dyDescent="0.35">
      <c r="A55" t="s">
        <v>3449</v>
      </c>
      <c r="B55" t="s">
        <v>3450</v>
      </c>
      <c r="C55" t="s">
        <v>16</v>
      </c>
      <c r="D55" s="6">
        <v>3546444943.1413021</v>
      </c>
      <c r="E55" s="6">
        <v>3620028943.1413021</v>
      </c>
      <c r="F55" s="6">
        <v>28.510000228881836</v>
      </c>
      <c r="G55" s="6">
        <v>27.819999694824219</v>
      </c>
      <c r="H55" s="6" t="e">
        <v>#N/A</v>
      </c>
      <c r="I55" s="6">
        <v>-0.57819181436315037</v>
      </c>
      <c r="J55" s="6">
        <v>715217000</v>
      </c>
      <c r="K55" s="6">
        <v>61.333333333333336</v>
      </c>
      <c r="L55" t="s">
        <v>17</v>
      </c>
      <c r="M55" t="s">
        <v>18</v>
      </c>
      <c r="N55" s="4" t="s">
        <v>3451</v>
      </c>
      <c r="O55" s="4" t="s">
        <v>3452</v>
      </c>
      <c r="P55" s="4" t="s">
        <v>233</v>
      </c>
    </row>
    <row r="56" spans="1:16" x14ac:dyDescent="0.35">
      <c r="A56" t="s">
        <v>740</v>
      </c>
      <c r="B56" t="s">
        <v>741</v>
      </c>
      <c r="C56" t="s">
        <v>16</v>
      </c>
      <c r="D56" s="6">
        <v>4977840679.2150879</v>
      </c>
      <c r="E56" s="6">
        <v>4755774679.2150879</v>
      </c>
      <c r="F56" s="6">
        <v>42.180000305175781</v>
      </c>
      <c r="G56" s="6">
        <v>40.650001525878906</v>
      </c>
      <c r="H56" s="6" t="e">
        <v>#N/A</v>
      </c>
      <c r="I56" s="6">
        <v>-0.46717759273973469</v>
      </c>
      <c r="J56" s="6">
        <v>3219000</v>
      </c>
      <c r="K56" s="6">
        <v>2.5362318840579809</v>
      </c>
      <c r="L56" t="s">
        <v>17</v>
      </c>
      <c r="M56" t="s">
        <v>18</v>
      </c>
      <c r="N56" s="4" t="s">
        <v>742</v>
      </c>
      <c r="O56" s="4" t="s">
        <v>743</v>
      </c>
      <c r="P56" s="4" t="s">
        <v>233</v>
      </c>
    </row>
    <row r="57" spans="1:16" x14ac:dyDescent="0.35">
      <c r="A57" t="s">
        <v>311</v>
      </c>
      <c r="B57" t="s">
        <v>312</v>
      </c>
      <c r="C57" t="s">
        <v>16</v>
      </c>
      <c r="D57" s="6">
        <v>116712277371.66809</v>
      </c>
      <c r="E57" s="6">
        <v>112253577371.66809</v>
      </c>
      <c r="F57" s="6">
        <v>453.20001220703125</v>
      </c>
      <c r="G57" s="6">
        <v>451.82998657226563</v>
      </c>
      <c r="H57" s="6">
        <v>40.057694056367438</v>
      </c>
      <c r="I57" s="6">
        <v>8.2602147283281857E-2</v>
      </c>
      <c r="J57" s="6">
        <v>11020100000</v>
      </c>
      <c r="K57" s="6" t="e">
        <v>#N/A</v>
      </c>
      <c r="L57" t="s">
        <v>17</v>
      </c>
      <c r="M57" t="s">
        <v>18</v>
      </c>
      <c r="N57" s="4" t="s">
        <v>313</v>
      </c>
      <c r="O57" s="4" t="s">
        <v>314</v>
      </c>
      <c r="P57" s="4" t="s">
        <v>233</v>
      </c>
    </row>
    <row r="58" spans="1:16" x14ac:dyDescent="0.35">
      <c r="A58" t="s">
        <v>4769</v>
      </c>
      <c r="B58" t="s">
        <v>4770</v>
      </c>
      <c r="C58" t="s">
        <v>16</v>
      </c>
      <c r="D58" s="6">
        <v>82239755.013979375</v>
      </c>
      <c r="E58" s="6">
        <v>84564755.013979375</v>
      </c>
      <c r="F58" s="6">
        <v>0.33799999952316284</v>
      </c>
      <c r="G58" s="6">
        <v>0.3425000011920929</v>
      </c>
      <c r="H58" s="6" t="e">
        <v>#N/A</v>
      </c>
      <c r="I58" s="6">
        <v>-0.79426220227187161</v>
      </c>
      <c r="J58" s="6">
        <v>55152000</v>
      </c>
      <c r="K58" s="6">
        <v>5.0354932211091903</v>
      </c>
      <c r="L58" t="s">
        <v>17</v>
      </c>
      <c r="M58" t="s">
        <v>87</v>
      </c>
      <c r="N58" s="4" t="s">
        <v>4771</v>
      </c>
      <c r="O58" s="4" t="s">
        <v>4772</v>
      </c>
      <c r="P58" s="4" t="s">
        <v>233</v>
      </c>
    </row>
    <row r="59" spans="1:16" x14ac:dyDescent="0.35">
      <c r="A59" t="s">
        <v>267</v>
      </c>
      <c r="B59" t="s">
        <v>268</v>
      </c>
      <c r="C59" t="s">
        <v>16</v>
      </c>
      <c r="D59" s="6">
        <v>471952096</v>
      </c>
      <c r="E59" s="6">
        <v>279064096</v>
      </c>
      <c r="F59" s="6">
        <v>2.75</v>
      </c>
      <c r="G59" s="6">
        <v>2.690000057220459</v>
      </c>
      <c r="H59" s="6" t="e">
        <v>#N/A</v>
      </c>
      <c r="I59" s="6">
        <v>-0.44910087693506739</v>
      </c>
      <c r="J59" s="6">
        <v>0</v>
      </c>
      <c r="K59" s="6">
        <v>-38.709677419354797</v>
      </c>
      <c r="L59" t="s">
        <v>17</v>
      </c>
      <c r="M59" t="s">
        <v>18</v>
      </c>
      <c r="N59" s="4" t="s">
        <v>269</v>
      </c>
      <c r="O59" s="4" t="s">
        <v>270</v>
      </c>
      <c r="P59" s="4" t="s">
        <v>233</v>
      </c>
    </row>
    <row r="60" spans="1:16" x14ac:dyDescent="0.35">
      <c r="A60" t="s">
        <v>179</v>
      </c>
      <c r="B60" t="s">
        <v>180</v>
      </c>
      <c r="C60" t="s">
        <v>16</v>
      </c>
      <c r="D60" s="6">
        <v>11683259324.2871</v>
      </c>
      <c r="E60" s="6">
        <v>11102859324.2871</v>
      </c>
      <c r="F60" s="6">
        <v>117.18000030517578</v>
      </c>
      <c r="G60" s="6">
        <v>115.88999938964844</v>
      </c>
      <c r="H60" s="6">
        <v>24.7107745567119</v>
      </c>
      <c r="I60" s="6">
        <v>-0.10132405860384452</v>
      </c>
      <c r="J60" s="6">
        <v>2355300000</v>
      </c>
      <c r="K60" s="6">
        <v>32.812499999999993</v>
      </c>
      <c r="L60" t="s">
        <v>17</v>
      </c>
      <c r="M60" t="s">
        <v>18</v>
      </c>
      <c r="N60" s="4" t="s">
        <v>181</v>
      </c>
      <c r="O60" s="4" t="s">
        <v>182</v>
      </c>
      <c r="P60" s="4" t="s">
        <v>233</v>
      </c>
    </row>
    <row r="61" spans="1:16" x14ac:dyDescent="0.35">
      <c r="A61" t="s">
        <v>4159</v>
      </c>
      <c r="B61" t="s">
        <v>4160</v>
      </c>
      <c r="C61" t="s">
        <v>16</v>
      </c>
      <c r="D61" s="6">
        <v>3759504361.6525378</v>
      </c>
      <c r="E61" s="6">
        <v>3008792361.6525378</v>
      </c>
      <c r="F61" s="6">
        <v>49.439998626708984</v>
      </c>
      <c r="G61" s="6">
        <v>49.209999084472656</v>
      </c>
      <c r="H61" s="6" t="e">
        <v>#N/A</v>
      </c>
      <c r="I61" s="6">
        <v>1.2545705727701888</v>
      </c>
      <c r="J61" s="6">
        <v>0</v>
      </c>
      <c r="K61" s="6">
        <v>-59.574468085106382</v>
      </c>
      <c r="L61" t="s">
        <v>17</v>
      </c>
      <c r="M61" t="s">
        <v>18</v>
      </c>
      <c r="N61" s="4" t="s">
        <v>4161</v>
      </c>
      <c r="O61" s="4" t="s">
        <v>4162</v>
      </c>
      <c r="P61" s="4" t="s">
        <v>233</v>
      </c>
    </row>
    <row r="62" spans="1:16" x14ac:dyDescent="0.35">
      <c r="A62" t="s">
        <v>5711</v>
      </c>
      <c r="B62" t="s">
        <v>5712</v>
      </c>
      <c r="C62" t="s">
        <v>16</v>
      </c>
      <c r="D62" s="6">
        <v>165239535.97940847</v>
      </c>
      <c r="E62" s="6">
        <v>-200951464.02059159</v>
      </c>
      <c r="F62" s="6">
        <v>3.5899999141693115</v>
      </c>
      <c r="G62" s="6">
        <v>3.4000000953674316</v>
      </c>
      <c r="H62" s="6" t="e">
        <v>#N/A</v>
      </c>
      <c r="I62" s="6">
        <v>-0.8377727897254782</v>
      </c>
      <c r="J62" s="6">
        <v>0</v>
      </c>
      <c r="K62" s="6">
        <v>-114.95448634590376</v>
      </c>
      <c r="L62" t="s">
        <v>17</v>
      </c>
      <c r="M62" t="s">
        <v>18</v>
      </c>
      <c r="N62" s="4" t="s">
        <v>5713</v>
      </c>
      <c r="O62" s="4" t="s">
        <v>5714</v>
      </c>
      <c r="P62" s="4" t="s">
        <v>233</v>
      </c>
    </row>
    <row r="63" spans="1:16" x14ac:dyDescent="0.35">
      <c r="A63" t="s">
        <v>3720</v>
      </c>
      <c r="B63" t="s">
        <v>3721</v>
      </c>
      <c r="C63" t="s">
        <v>16</v>
      </c>
      <c r="D63" s="6">
        <v>460777784.29447937</v>
      </c>
      <c r="E63" s="6">
        <v>293914184.29447937</v>
      </c>
      <c r="F63" s="6">
        <v>12.409999847412109</v>
      </c>
      <c r="G63" s="6">
        <v>11.930000305175781</v>
      </c>
      <c r="H63" s="6" t="e">
        <v>#N/A</v>
      </c>
      <c r="I63" s="6">
        <v>-0.22238231158871047</v>
      </c>
      <c r="J63" s="6">
        <v>0</v>
      </c>
      <c r="K63" s="6">
        <v>4.3956043956043995</v>
      </c>
      <c r="L63" t="s">
        <v>17</v>
      </c>
      <c r="M63" t="s">
        <v>18</v>
      </c>
      <c r="N63" s="4" t="s">
        <v>3722</v>
      </c>
      <c r="O63" s="4" t="s">
        <v>3723</v>
      </c>
      <c r="P63" s="4" t="s">
        <v>233</v>
      </c>
    </row>
    <row r="64" spans="1:16" x14ac:dyDescent="0.35">
      <c r="A64" t="s">
        <v>5152</v>
      </c>
      <c r="B64" t="s">
        <v>5153</v>
      </c>
      <c r="C64" t="s">
        <v>16</v>
      </c>
      <c r="D64" s="6">
        <v>443881847.56963611</v>
      </c>
      <c r="E64" s="6">
        <v>187390847.56963608</v>
      </c>
      <c r="F64" s="6">
        <v>1.5700000524520874</v>
      </c>
      <c r="G64" s="6">
        <v>1.5499999523162842</v>
      </c>
      <c r="H64" s="6" t="e">
        <v>#N/A</v>
      </c>
      <c r="I64" s="6">
        <v>-0.14171719539054928</v>
      </c>
      <c r="J64" s="6">
        <v>0</v>
      </c>
      <c r="K64" s="6">
        <v>58.29145728643217</v>
      </c>
      <c r="L64" t="s">
        <v>17</v>
      </c>
      <c r="M64" t="s">
        <v>18</v>
      </c>
      <c r="N64" s="4" t="s">
        <v>5154</v>
      </c>
      <c r="O64" s="4" t="s">
        <v>5155</v>
      </c>
      <c r="P64" s="4" t="s">
        <v>233</v>
      </c>
    </row>
    <row r="65" spans="1:16" x14ac:dyDescent="0.35">
      <c r="A65" t="s">
        <v>4147</v>
      </c>
      <c r="B65" t="s">
        <v>4148</v>
      </c>
      <c r="C65" t="s">
        <v>16</v>
      </c>
      <c r="D65" s="6">
        <v>543441196.14317894</v>
      </c>
      <c r="E65" s="6">
        <v>277339196.14317894</v>
      </c>
      <c r="F65" s="6">
        <v>10.260000228881836</v>
      </c>
      <c r="G65" s="6">
        <v>10.029999732971191</v>
      </c>
      <c r="H65" s="6" t="e">
        <v>#N/A</v>
      </c>
      <c r="I65" s="6">
        <v>1.056176201139051</v>
      </c>
      <c r="J65" s="6">
        <v>16742000</v>
      </c>
      <c r="K65" s="6">
        <v>13.259171292497113</v>
      </c>
      <c r="L65" t="s">
        <v>17</v>
      </c>
      <c r="M65" t="s">
        <v>18</v>
      </c>
      <c r="N65" s="4" t="s">
        <v>4149</v>
      </c>
      <c r="O65" s="4" t="s">
        <v>4150</v>
      </c>
      <c r="P65" s="4" t="s">
        <v>233</v>
      </c>
    </row>
    <row r="66" spans="1:16" x14ac:dyDescent="0.35">
      <c r="A66" t="s">
        <v>4024</v>
      </c>
      <c r="B66" t="s">
        <v>4025</v>
      </c>
      <c r="C66" t="s">
        <v>16</v>
      </c>
      <c r="D66" s="6">
        <v>299831079.13226116</v>
      </c>
      <c r="E66" s="6">
        <v>100791079.13226119</v>
      </c>
      <c r="F66" s="6">
        <v>1.4299999475479126</v>
      </c>
      <c r="G66" s="6">
        <v>1.3600000143051147</v>
      </c>
      <c r="H66" s="6" t="e">
        <v>#N/A</v>
      </c>
      <c r="I66" s="6">
        <v>-0.7107121772785151</v>
      </c>
      <c r="J66" s="6">
        <v>43000</v>
      </c>
      <c r="K66" s="6">
        <v>30.357142857142872</v>
      </c>
      <c r="L66" t="s">
        <v>17</v>
      </c>
      <c r="M66" t="s">
        <v>18</v>
      </c>
      <c r="N66" s="4" t="s">
        <v>4026</v>
      </c>
      <c r="O66" s="4" t="s">
        <v>4027</v>
      </c>
      <c r="P66" s="4" t="s">
        <v>233</v>
      </c>
    </row>
    <row r="67" spans="1:16" x14ac:dyDescent="0.35">
      <c r="A67" t="s">
        <v>4597</v>
      </c>
      <c r="B67" t="s">
        <v>4598</v>
      </c>
      <c r="C67" t="s">
        <v>16</v>
      </c>
      <c r="D67" s="6">
        <v>859873278.86003494</v>
      </c>
      <c r="E67" s="6">
        <v>622131278.86003494</v>
      </c>
      <c r="F67" s="6">
        <v>10.399999618530273</v>
      </c>
      <c r="G67" s="6">
        <v>10</v>
      </c>
      <c r="H67" s="6" t="e">
        <v>#N/A</v>
      </c>
      <c r="I67" s="6">
        <v>-0.55551689649101799</v>
      </c>
      <c r="J67" s="6">
        <v>10129000</v>
      </c>
      <c r="K67" s="6">
        <v>-234.15496708258851</v>
      </c>
      <c r="L67" t="s">
        <v>17</v>
      </c>
      <c r="M67" t="s">
        <v>18</v>
      </c>
      <c r="N67" s="4" t="s">
        <v>4599</v>
      </c>
      <c r="O67" s="4" t="s">
        <v>4600</v>
      </c>
      <c r="P67" s="4" t="s">
        <v>233</v>
      </c>
    </row>
    <row r="68" spans="1:16" x14ac:dyDescent="0.35">
      <c r="A68" t="s">
        <v>1301</v>
      </c>
      <c r="B68" t="s">
        <v>1302</v>
      </c>
      <c r="C68" t="s">
        <v>16</v>
      </c>
      <c r="D68" s="6">
        <v>235770962.10509422</v>
      </c>
      <c r="E68" s="6">
        <v>224296962.10509422</v>
      </c>
      <c r="F68" s="6">
        <v>1.1299999952316284</v>
      </c>
      <c r="G68" s="6">
        <v>1.1100000143051147</v>
      </c>
      <c r="H68" s="6" t="e">
        <v>#N/A</v>
      </c>
      <c r="I68" s="6">
        <v>0.40242663045755722</v>
      </c>
      <c r="J68" s="6">
        <v>52291000</v>
      </c>
      <c r="K68" s="6">
        <v>48.611111111111114</v>
      </c>
      <c r="L68" t="s">
        <v>17</v>
      </c>
      <c r="M68" t="s">
        <v>18</v>
      </c>
      <c r="N68" s="4" t="s">
        <v>1303</v>
      </c>
      <c r="O68" s="4" t="s">
        <v>1304</v>
      </c>
      <c r="P68" s="4" t="s">
        <v>233</v>
      </c>
    </row>
    <row r="69" spans="1:16" x14ac:dyDescent="0.35">
      <c r="A69" t="s">
        <v>5799</v>
      </c>
      <c r="B69" t="s">
        <v>5800</v>
      </c>
      <c r="C69" t="s">
        <v>16</v>
      </c>
      <c r="D69" s="6">
        <v>1319166252.3222198</v>
      </c>
      <c r="E69" s="6">
        <v>1306286252.3222198</v>
      </c>
      <c r="F69" s="6">
        <v>39.259998321533203</v>
      </c>
      <c r="G69" s="6">
        <v>32.330001831054688</v>
      </c>
      <c r="H69" s="6" t="e">
        <v>#N/A</v>
      </c>
      <c r="I69" s="6">
        <v>3.8202637140875586</v>
      </c>
      <c r="J69" s="6">
        <v>93105000</v>
      </c>
      <c r="K69" s="6" t="e">
        <v>#N/A</v>
      </c>
      <c r="L69" t="s">
        <v>17</v>
      </c>
      <c r="M69" t="s">
        <v>18</v>
      </c>
      <c r="N69" s="4" t="s">
        <v>5801</v>
      </c>
      <c r="O69" s="4" t="s">
        <v>5802</v>
      </c>
      <c r="P69" s="4" t="s">
        <v>233</v>
      </c>
    </row>
    <row r="70" spans="1:16" x14ac:dyDescent="0.35">
      <c r="A70" t="s">
        <v>4480</v>
      </c>
      <c r="B70" t="s">
        <v>4481</v>
      </c>
      <c r="C70" t="s">
        <v>16</v>
      </c>
      <c r="D70" s="6">
        <v>1313600761.7420673</v>
      </c>
      <c r="E70" s="6">
        <v>732320761.74206734</v>
      </c>
      <c r="F70" s="6">
        <v>17.309999465942383</v>
      </c>
      <c r="G70" s="6">
        <v>16.770000457763672</v>
      </c>
      <c r="H70" s="6" t="e">
        <v>#N/A</v>
      </c>
      <c r="I70" s="6">
        <v>0.84428980062837722</v>
      </c>
      <c r="J70" s="6">
        <v>54549000</v>
      </c>
      <c r="K70" s="6">
        <v>-8.6792452830188687</v>
      </c>
      <c r="L70" t="s">
        <v>17</v>
      </c>
      <c r="M70" t="s">
        <v>18</v>
      </c>
      <c r="N70" s="4" t="s">
        <v>4482</v>
      </c>
      <c r="O70" s="4" t="s">
        <v>4483</v>
      </c>
      <c r="P70" s="4" t="s">
        <v>233</v>
      </c>
    </row>
    <row r="71" spans="1:16" x14ac:dyDescent="0.35">
      <c r="A71" t="s">
        <v>2547</v>
      </c>
      <c r="B71" t="s">
        <v>2548</v>
      </c>
      <c r="C71" t="s">
        <v>16</v>
      </c>
      <c r="D71" s="6">
        <v>1544355054.4997897</v>
      </c>
      <c r="E71" s="6">
        <v>1535306054.4997897</v>
      </c>
      <c r="F71" s="6">
        <v>5.5999999046325684</v>
      </c>
      <c r="G71" s="6">
        <v>5.5399999618530273</v>
      </c>
      <c r="H71" s="6">
        <v>51.608621447369046</v>
      </c>
      <c r="I71" s="6">
        <v>0.52412479800160883</v>
      </c>
      <c r="J71" s="6">
        <v>267200000</v>
      </c>
      <c r="K71" s="6" t="e">
        <v>#N/A</v>
      </c>
      <c r="L71" t="s">
        <v>17</v>
      </c>
      <c r="M71" t="s">
        <v>18</v>
      </c>
      <c r="N71" s="4" t="s">
        <v>2549</v>
      </c>
      <c r="O71" s="4" t="s">
        <v>2550</v>
      </c>
      <c r="P71" s="4" t="s">
        <v>233</v>
      </c>
    </row>
    <row r="72" spans="1:16" x14ac:dyDescent="0.35">
      <c r="A72" t="s">
        <v>3584</v>
      </c>
      <c r="B72" t="s">
        <v>3585</v>
      </c>
      <c r="C72" t="s">
        <v>16</v>
      </c>
      <c r="D72" s="6">
        <v>3714034658.7592692</v>
      </c>
      <c r="E72" s="6">
        <v>2033901658.7592692</v>
      </c>
      <c r="F72" s="6">
        <v>43.299999237060547</v>
      </c>
      <c r="G72" s="6">
        <v>40.669998168945313</v>
      </c>
      <c r="H72" s="6" t="e">
        <v>#N/A</v>
      </c>
      <c r="I72" s="6">
        <v>-0.43266233508613128</v>
      </c>
      <c r="J72" s="6">
        <v>37314000</v>
      </c>
      <c r="K72" s="6">
        <v>-123.71134020618557</v>
      </c>
      <c r="L72" t="s">
        <v>17</v>
      </c>
      <c r="M72" t="s">
        <v>18</v>
      </c>
      <c r="N72" s="4" t="s">
        <v>233</v>
      </c>
      <c r="O72" s="4" t="s">
        <v>3586</v>
      </c>
      <c r="P72" s="4" t="s">
        <v>13134</v>
      </c>
    </row>
    <row r="73" spans="1:16" x14ac:dyDescent="0.35">
      <c r="A73" t="s">
        <v>2938</v>
      </c>
      <c r="B73" t="s">
        <v>2939</v>
      </c>
      <c r="C73" t="s">
        <v>16</v>
      </c>
      <c r="D73" s="6">
        <v>3129435101.7985344</v>
      </c>
      <c r="E73" s="6">
        <v>2875050101.7985344</v>
      </c>
      <c r="F73" s="6">
        <v>40.380001068115234</v>
      </c>
      <c r="G73" s="6">
        <v>40.009998321533203</v>
      </c>
      <c r="H73" s="6">
        <v>70.079227129433505</v>
      </c>
      <c r="I73" s="6">
        <v>0.52087639325873281</v>
      </c>
      <c r="J73" s="6">
        <v>425331000</v>
      </c>
      <c r="K73" s="6">
        <v>79.710144927536234</v>
      </c>
      <c r="L73" t="s">
        <v>17</v>
      </c>
      <c r="M73" t="s">
        <v>18</v>
      </c>
      <c r="N73" s="4" t="s">
        <v>2940</v>
      </c>
      <c r="O73" s="4" t="s">
        <v>2941</v>
      </c>
      <c r="P73" s="4" t="s">
        <v>233</v>
      </c>
    </row>
    <row r="74" spans="1:16" x14ac:dyDescent="0.35">
      <c r="A74" t="s">
        <v>4214</v>
      </c>
      <c r="B74" t="s">
        <v>4215</v>
      </c>
      <c r="C74" t="s">
        <v>16</v>
      </c>
      <c r="D74" s="6">
        <v>4409625879.0362854</v>
      </c>
      <c r="E74" s="6">
        <v>3918412879.0362854</v>
      </c>
      <c r="F74" s="6">
        <v>59.279998779296875</v>
      </c>
      <c r="G74" s="6">
        <v>57.505001068115234</v>
      </c>
      <c r="H74" s="6" t="e">
        <v>#N/A</v>
      </c>
      <c r="I74" s="6">
        <v>0.29032054438719213</v>
      </c>
      <c r="J74" s="6">
        <v>135487000</v>
      </c>
      <c r="K74" s="6">
        <v>20.536137936702207</v>
      </c>
      <c r="L74" t="s">
        <v>17</v>
      </c>
      <c r="M74" t="s">
        <v>18</v>
      </c>
      <c r="N74" s="4" t="s">
        <v>4216</v>
      </c>
      <c r="O74" s="4" t="s">
        <v>4217</v>
      </c>
      <c r="P74" s="4" t="s">
        <v>233</v>
      </c>
    </row>
    <row r="75" spans="1:16" x14ac:dyDescent="0.35">
      <c r="A75" t="s">
        <v>4374</v>
      </c>
      <c r="B75" t="s">
        <v>4375</v>
      </c>
      <c r="C75" t="s">
        <v>16</v>
      </c>
      <c r="D75" s="6">
        <v>413175564.07382482</v>
      </c>
      <c r="E75" s="6">
        <v>-98222435.926175117</v>
      </c>
      <c r="F75" s="6">
        <v>10.199999809265137</v>
      </c>
      <c r="G75" s="6">
        <v>10.25</v>
      </c>
      <c r="H75" s="6" t="e">
        <v>#N/A</v>
      </c>
      <c r="I75" s="6">
        <v>-0.82130362631813858</v>
      </c>
      <c r="J75" s="6">
        <v>651000</v>
      </c>
      <c r="K75" s="6">
        <v>-5.2525252525252482</v>
      </c>
      <c r="L75" t="s">
        <v>17</v>
      </c>
      <c r="M75" t="s">
        <v>18</v>
      </c>
      <c r="N75" s="4" t="s">
        <v>4376</v>
      </c>
      <c r="O75" s="4" t="s">
        <v>4377</v>
      </c>
      <c r="P75" s="4" t="s">
        <v>233</v>
      </c>
    </row>
    <row r="76" spans="1:16" x14ac:dyDescent="0.35">
      <c r="A76" t="s">
        <v>4773</v>
      </c>
      <c r="B76" t="s">
        <v>4774</v>
      </c>
      <c r="C76" t="s">
        <v>16</v>
      </c>
      <c r="D76" s="6">
        <v>575870914.76085758</v>
      </c>
      <c r="E76" s="6">
        <v>238914.76085758209</v>
      </c>
      <c r="F76" s="6">
        <v>9.8900003433227539</v>
      </c>
      <c r="G76" s="6">
        <v>9.6000003814697266</v>
      </c>
      <c r="H76" s="6" t="e">
        <v>#N/A</v>
      </c>
      <c r="I76" s="6">
        <v>-0.47909108617470675</v>
      </c>
      <c r="J76" s="6">
        <v>0</v>
      </c>
      <c r="K76" s="6">
        <v>24.064171122994651</v>
      </c>
      <c r="L76" t="s">
        <v>17</v>
      </c>
      <c r="M76" t="s">
        <v>18</v>
      </c>
      <c r="N76" s="4" t="s">
        <v>4775</v>
      </c>
      <c r="O76" s="4" t="s">
        <v>4776</v>
      </c>
      <c r="P76" s="4" t="s">
        <v>233</v>
      </c>
    </row>
    <row r="77" spans="1:16" x14ac:dyDescent="0.35">
      <c r="A77" t="s">
        <v>3792</v>
      </c>
      <c r="B77" t="s">
        <v>3793</v>
      </c>
      <c r="C77" t="s">
        <v>16</v>
      </c>
      <c r="D77" s="6">
        <v>2996448167.7586055</v>
      </c>
      <c r="E77" s="6">
        <v>1766943167.7586055</v>
      </c>
      <c r="F77" s="6">
        <v>20.819999694824219</v>
      </c>
      <c r="G77" s="6">
        <v>20.129999160766602</v>
      </c>
      <c r="H77" s="6" t="e">
        <v>#N/A</v>
      </c>
      <c r="I77" s="6">
        <v>0.12201798681518361</v>
      </c>
      <c r="J77" s="6">
        <v>0</v>
      </c>
      <c r="K77" s="6">
        <v>-196.77419354838707</v>
      </c>
      <c r="L77" t="s">
        <v>17</v>
      </c>
      <c r="M77" t="s">
        <v>18</v>
      </c>
      <c r="N77" s="4" t="s">
        <v>3794</v>
      </c>
      <c r="O77" s="4" t="s">
        <v>3795</v>
      </c>
      <c r="P77" s="4" t="s">
        <v>233</v>
      </c>
    </row>
    <row r="78" spans="1:16" x14ac:dyDescent="0.35">
      <c r="A78" t="s">
        <v>4717</v>
      </c>
      <c r="B78" t="s">
        <v>4718</v>
      </c>
      <c r="C78" t="s">
        <v>16</v>
      </c>
      <c r="D78" s="6">
        <v>1130267085.371995</v>
      </c>
      <c r="E78" s="6">
        <v>925745085.37199497</v>
      </c>
      <c r="F78" s="6">
        <v>11.630000114440918</v>
      </c>
      <c r="G78" s="6">
        <v>11.359999656677246</v>
      </c>
      <c r="H78" s="6" t="e">
        <v>#N/A</v>
      </c>
      <c r="I78" s="6">
        <v>0.55709103357146494</v>
      </c>
      <c r="J78" s="6">
        <v>2568000</v>
      </c>
      <c r="K78" s="6" t="e">
        <v>#N/A</v>
      </c>
      <c r="L78" t="s">
        <v>17</v>
      </c>
      <c r="M78" t="s">
        <v>18</v>
      </c>
      <c r="N78" s="4" t="s">
        <v>4719</v>
      </c>
      <c r="O78" s="4" t="s">
        <v>4720</v>
      </c>
      <c r="P78" s="4" t="s">
        <v>233</v>
      </c>
    </row>
    <row r="79" spans="1:16" x14ac:dyDescent="0.35">
      <c r="A79" t="s">
        <v>4351</v>
      </c>
      <c r="B79" t="s">
        <v>4352</v>
      </c>
      <c r="C79" t="s">
        <v>16</v>
      </c>
      <c r="D79" s="6">
        <v>666857664.04042244</v>
      </c>
      <c r="E79" s="6">
        <v>394488664.04042244</v>
      </c>
      <c r="F79" s="6">
        <v>9.4499998092651367</v>
      </c>
      <c r="G79" s="6">
        <v>9.4700002670288086</v>
      </c>
      <c r="H79" s="6" t="e">
        <v>#N/A</v>
      </c>
      <c r="I79" s="6">
        <v>-0.21198583884658806</v>
      </c>
      <c r="J79" s="6">
        <v>0</v>
      </c>
      <c r="K79" s="6">
        <v>9.5477386934673323</v>
      </c>
      <c r="L79" t="s">
        <v>17</v>
      </c>
      <c r="M79" t="s">
        <v>18</v>
      </c>
      <c r="N79" s="4" t="s">
        <v>4353</v>
      </c>
      <c r="O79" s="4" t="s">
        <v>4354</v>
      </c>
      <c r="P79" s="4" t="s">
        <v>233</v>
      </c>
    </row>
    <row r="80" spans="1:16" x14ac:dyDescent="0.35">
      <c r="A80" t="s">
        <v>5231</v>
      </c>
      <c r="B80" t="s">
        <v>5232</v>
      </c>
      <c r="C80" t="s">
        <v>16</v>
      </c>
      <c r="D80" s="6">
        <v>5772309741.3753586</v>
      </c>
      <c r="E80" s="6">
        <v>5052404741.3753586</v>
      </c>
      <c r="F80" s="6">
        <v>81.239997863769531</v>
      </c>
      <c r="G80" s="6">
        <v>81.279998779296875</v>
      </c>
      <c r="H80" s="6" t="e">
        <v>#N/A</v>
      </c>
      <c r="I80" s="6">
        <v>-2.7573650297687324E-2</v>
      </c>
      <c r="J80" s="6">
        <v>0</v>
      </c>
      <c r="K80" s="6">
        <v>-31.515151515151516</v>
      </c>
      <c r="L80" t="s">
        <v>17</v>
      </c>
      <c r="M80" t="s">
        <v>18</v>
      </c>
      <c r="N80" s="4" t="s">
        <v>5233</v>
      </c>
      <c r="O80" s="4" t="s">
        <v>5234</v>
      </c>
      <c r="P80" s="4" t="s">
        <v>233</v>
      </c>
    </row>
    <row r="81" spans="1:16" x14ac:dyDescent="0.35">
      <c r="A81" t="s">
        <v>5016</v>
      </c>
      <c r="B81" t="s">
        <v>5017</v>
      </c>
      <c r="C81" t="s">
        <v>16</v>
      </c>
      <c r="D81" s="6">
        <v>2187811432.8383441</v>
      </c>
      <c r="E81" s="6">
        <v>2080792432.8383441</v>
      </c>
      <c r="F81" s="6">
        <v>34.549999237060547</v>
      </c>
      <c r="G81" s="6">
        <v>33.220001220703125</v>
      </c>
      <c r="H81" s="6" t="e">
        <v>#N/A</v>
      </c>
      <c r="I81" s="6">
        <v>-0.22979009975120701</v>
      </c>
      <c r="J81" s="6">
        <v>0</v>
      </c>
      <c r="K81" s="6">
        <v>32.835820895522389</v>
      </c>
      <c r="L81" t="s">
        <v>17</v>
      </c>
      <c r="M81" t="s">
        <v>18</v>
      </c>
      <c r="N81" s="4" t="s">
        <v>5018</v>
      </c>
      <c r="O81" s="4" t="s">
        <v>5019</v>
      </c>
      <c r="P81" s="4" t="s">
        <v>233</v>
      </c>
    </row>
    <row r="82" spans="1:16" x14ac:dyDescent="0.35">
      <c r="A82" t="s">
        <v>658</v>
      </c>
      <c r="B82" t="s">
        <v>659</v>
      </c>
      <c r="C82" t="s">
        <v>16</v>
      </c>
      <c r="D82" s="6">
        <v>13362856958.089449</v>
      </c>
      <c r="E82" s="6">
        <v>11265101958.089449</v>
      </c>
      <c r="F82" s="6">
        <v>69.050003051757813</v>
      </c>
      <c r="G82" s="6">
        <v>66.300003051757813</v>
      </c>
      <c r="H82" s="6" t="e">
        <v>#N/A</v>
      </c>
      <c r="I82" s="6">
        <v>0.19323287932161581</v>
      </c>
      <c r="J82" s="6">
        <v>4241216999.9999995</v>
      </c>
      <c r="K82" s="6">
        <v>-94.007490636704105</v>
      </c>
      <c r="L82" t="s">
        <v>17</v>
      </c>
      <c r="M82" t="s">
        <v>18</v>
      </c>
      <c r="N82" s="4" t="s">
        <v>660</v>
      </c>
      <c r="O82" s="4" t="s">
        <v>661</v>
      </c>
      <c r="P82" s="4" t="s">
        <v>233</v>
      </c>
    </row>
    <row r="83" spans="1:16" x14ac:dyDescent="0.35">
      <c r="A83" t="s">
        <v>2716</v>
      </c>
      <c r="B83" t="s">
        <v>2717</v>
      </c>
      <c r="C83" t="s">
        <v>16</v>
      </c>
      <c r="D83" s="6">
        <v>3744421643.5902901</v>
      </c>
      <c r="E83" s="6">
        <v>3769098643.5902901</v>
      </c>
      <c r="F83" s="6">
        <v>15.840000152587891</v>
      </c>
      <c r="G83" s="6">
        <v>15.539999961853027</v>
      </c>
      <c r="H83" s="6">
        <v>42.583850807555116</v>
      </c>
      <c r="I83" s="6">
        <v>1.8926687686614474</v>
      </c>
      <c r="J83" s="6">
        <v>382808677</v>
      </c>
      <c r="K83" s="6" t="e">
        <v>#N/A</v>
      </c>
      <c r="L83" t="s">
        <v>17</v>
      </c>
      <c r="M83" t="s">
        <v>18</v>
      </c>
      <c r="N83" s="4" t="s">
        <v>2718</v>
      </c>
      <c r="O83" s="4" t="s">
        <v>2719</v>
      </c>
      <c r="P83" s="4" t="s">
        <v>233</v>
      </c>
    </row>
    <row r="84" spans="1:16" x14ac:dyDescent="0.35">
      <c r="A84" t="s">
        <v>4585</v>
      </c>
      <c r="B84" t="s">
        <v>4586</v>
      </c>
      <c r="C84" t="s">
        <v>16</v>
      </c>
      <c r="D84" s="6">
        <v>14431859992.168686</v>
      </c>
      <c r="E84" s="6">
        <v>13952638992.168686</v>
      </c>
      <c r="F84" s="6">
        <v>19.569999694824219</v>
      </c>
      <c r="G84" s="6">
        <v>18.700000762939453</v>
      </c>
      <c r="H84" s="6" t="e">
        <v>#N/A</v>
      </c>
      <c r="I84" s="6">
        <v>3.1742046381130153</v>
      </c>
      <c r="J84" s="6">
        <v>0</v>
      </c>
      <c r="K84" s="6">
        <v>81.81496774193549</v>
      </c>
      <c r="L84" t="s">
        <v>17</v>
      </c>
      <c r="M84" t="s">
        <v>18</v>
      </c>
      <c r="N84" s="4" t="s">
        <v>4587</v>
      </c>
      <c r="O84" s="4" t="s">
        <v>4588</v>
      </c>
      <c r="P84" s="4" t="s">
        <v>233</v>
      </c>
    </row>
    <row r="85" spans="1:16" x14ac:dyDescent="0.35">
      <c r="A85" t="s">
        <v>4139</v>
      </c>
      <c r="B85" t="s">
        <v>4140</v>
      </c>
      <c r="C85" t="s">
        <v>16</v>
      </c>
      <c r="D85" s="6">
        <v>3264722210.6259251</v>
      </c>
      <c r="E85" s="6">
        <v>2629495210.6259251</v>
      </c>
      <c r="F85" s="6">
        <v>19.219999313354492</v>
      </c>
      <c r="G85" s="6">
        <v>19.079999923706055</v>
      </c>
      <c r="H85" s="6" t="e">
        <v>#N/A</v>
      </c>
      <c r="I85" s="6">
        <v>-0.47522534266267735</v>
      </c>
      <c r="J85" s="6">
        <v>0</v>
      </c>
      <c r="K85" s="6">
        <v>-42.391304347826107</v>
      </c>
      <c r="L85" t="s">
        <v>17</v>
      </c>
      <c r="M85" t="s">
        <v>18</v>
      </c>
      <c r="N85" s="4" t="s">
        <v>4141</v>
      </c>
      <c r="O85" s="4" t="s">
        <v>4142</v>
      </c>
      <c r="P85" s="4" t="s">
        <v>233</v>
      </c>
    </row>
    <row r="86" spans="1:16" x14ac:dyDescent="0.35">
      <c r="A86" t="s">
        <v>3354</v>
      </c>
      <c r="B86" t="s">
        <v>3355</v>
      </c>
      <c r="C86" t="s">
        <v>16</v>
      </c>
      <c r="D86" s="6">
        <v>394475177.89323235</v>
      </c>
      <c r="E86" s="6">
        <v>151154177.89323229</v>
      </c>
      <c r="F86" s="6">
        <v>6.9899997711181641</v>
      </c>
      <c r="G86" s="6">
        <v>6.7100000381469727</v>
      </c>
      <c r="H86" s="6" t="e">
        <v>#N/A</v>
      </c>
      <c r="I86" s="6">
        <v>-0.53240504756122231</v>
      </c>
      <c r="J86" s="6">
        <v>0</v>
      </c>
      <c r="K86" s="6">
        <v>4.9604545454545628</v>
      </c>
      <c r="L86" t="s">
        <v>17</v>
      </c>
      <c r="M86" t="s">
        <v>18</v>
      </c>
      <c r="N86" s="4" t="s">
        <v>3356</v>
      </c>
      <c r="O86" s="4" t="s">
        <v>3357</v>
      </c>
      <c r="P86" s="4" t="s">
        <v>233</v>
      </c>
    </row>
    <row r="87" spans="1:16" x14ac:dyDescent="0.35">
      <c r="A87" t="s">
        <v>3386</v>
      </c>
      <c r="B87" t="s">
        <v>3387</v>
      </c>
      <c r="C87" t="s">
        <v>16</v>
      </c>
      <c r="D87" s="6">
        <v>1366093766.2735748</v>
      </c>
      <c r="E87" s="6">
        <v>1107686766.2735748</v>
      </c>
      <c r="F87" s="6">
        <v>23.270000457763672</v>
      </c>
      <c r="G87" s="6">
        <v>21.629999160766602</v>
      </c>
      <c r="H87" s="6" t="e">
        <v>#N/A</v>
      </c>
      <c r="I87" s="6">
        <v>3.2296985534783662E-2</v>
      </c>
      <c r="J87" s="6">
        <v>0</v>
      </c>
      <c r="K87" s="6">
        <v>90.178522123963617</v>
      </c>
      <c r="L87" t="s">
        <v>17</v>
      </c>
      <c r="M87" t="s">
        <v>18</v>
      </c>
      <c r="N87" s="4" t="s">
        <v>3388</v>
      </c>
      <c r="O87" s="4" t="s">
        <v>3389</v>
      </c>
      <c r="P87" s="4" t="s">
        <v>233</v>
      </c>
    </row>
    <row r="88" spans="1:16" x14ac:dyDescent="0.35">
      <c r="A88" t="s">
        <v>3873</v>
      </c>
      <c r="B88" t="s">
        <v>3874</v>
      </c>
      <c r="C88" t="s">
        <v>16</v>
      </c>
      <c r="D88" s="6">
        <v>3481539899.1294289</v>
      </c>
      <c r="E88" s="6">
        <v>3409080899.1294289</v>
      </c>
      <c r="F88" s="6">
        <v>37.189998626708984</v>
      </c>
      <c r="G88" s="6">
        <v>36.119998931884766</v>
      </c>
      <c r="H88" s="6" t="e">
        <v>#N/A</v>
      </c>
      <c r="I88" s="6">
        <v>1.3557330810668233</v>
      </c>
      <c r="J88" s="6">
        <v>0</v>
      </c>
      <c r="K88" s="6">
        <v>-18.439692319189053</v>
      </c>
      <c r="L88" t="s">
        <v>17</v>
      </c>
      <c r="M88" t="s">
        <v>18</v>
      </c>
      <c r="N88" s="4" t="s">
        <v>3875</v>
      </c>
      <c r="O88" s="4" t="s">
        <v>3876</v>
      </c>
      <c r="P88" s="4" t="s">
        <v>233</v>
      </c>
    </row>
    <row r="89" spans="1:16" x14ac:dyDescent="0.35">
      <c r="A89" t="s">
        <v>1877</v>
      </c>
      <c r="B89" t="s">
        <v>1878</v>
      </c>
      <c r="C89" t="s">
        <v>16</v>
      </c>
      <c r="D89" s="6">
        <v>1191651174.5908737</v>
      </c>
      <c r="E89" s="6">
        <v>1234851174.5908737</v>
      </c>
      <c r="F89" s="6">
        <v>13.090000152587891</v>
      </c>
      <c r="G89" s="6">
        <v>12.850000381469727</v>
      </c>
      <c r="H89" s="6" t="e">
        <v>#N/A</v>
      </c>
      <c r="I89" s="6">
        <v>-0.43122549804849808</v>
      </c>
      <c r="J89" s="6">
        <v>823600000</v>
      </c>
      <c r="K89" s="6">
        <v>61.30952380952381</v>
      </c>
      <c r="L89" t="s">
        <v>17</v>
      </c>
      <c r="M89" t="s">
        <v>18</v>
      </c>
      <c r="N89" s="4" t="s">
        <v>1879</v>
      </c>
      <c r="O89" s="4" t="s">
        <v>1880</v>
      </c>
      <c r="P89" s="4" t="s">
        <v>233</v>
      </c>
    </row>
    <row r="90" spans="1:16" x14ac:dyDescent="0.35">
      <c r="A90" t="s">
        <v>5137</v>
      </c>
      <c r="B90" t="s">
        <v>5138</v>
      </c>
      <c r="C90" t="s">
        <v>16</v>
      </c>
      <c r="D90" s="6">
        <v>387665825.8845616</v>
      </c>
      <c r="E90" s="6">
        <v>201291825.88456157</v>
      </c>
      <c r="F90" s="6">
        <v>6.309999942779541</v>
      </c>
      <c r="G90" s="6">
        <v>6.070000171661377</v>
      </c>
      <c r="H90" s="6" t="e">
        <v>#N/A</v>
      </c>
      <c r="I90" s="6">
        <v>0.35295626205688313</v>
      </c>
      <c r="J90" s="6">
        <v>0</v>
      </c>
      <c r="K90" s="6">
        <v>-14.347826086956525</v>
      </c>
      <c r="L90" t="s">
        <v>17</v>
      </c>
      <c r="M90" t="s">
        <v>18</v>
      </c>
      <c r="N90" s="4" t="s">
        <v>5139</v>
      </c>
      <c r="O90" s="4" t="s">
        <v>5140</v>
      </c>
      <c r="P90" s="4" t="s">
        <v>233</v>
      </c>
    </row>
    <row r="91" spans="1:16" x14ac:dyDescent="0.35">
      <c r="A91" t="s">
        <v>1715</v>
      </c>
      <c r="B91" t="s">
        <v>1716</v>
      </c>
      <c r="C91" t="s">
        <v>16</v>
      </c>
      <c r="D91" s="6">
        <v>2853595189.1426778</v>
      </c>
      <c r="E91" s="6">
        <v>3048496189.1426778</v>
      </c>
      <c r="F91" s="6">
        <v>9.5500001907348633</v>
      </c>
      <c r="G91" s="6">
        <v>9.380000114440918</v>
      </c>
      <c r="H91" s="6" t="e">
        <v>#N/A</v>
      </c>
      <c r="I91" s="6">
        <v>-0.30576952132909685</v>
      </c>
      <c r="J91" s="6">
        <v>493671000</v>
      </c>
      <c r="K91" s="6">
        <v>42.428755115933136</v>
      </c>
      <c r="L91" t="s">
        <v>17</v>
      </c>
      <c r="M91" t="s">
        <v>18</v>
      </c>
      <c r="N91" s="4" t="s">
        <v>1717</v>
      </c>
      <c r="O91" s="4" t="s">
        <v>1718</v>
      </c>
      <c r="P91" s="4" t="s">
        <v>233</v>
      </c>
    </row>
    <row r="92" spans="1:16" x14ac:dyDescent="0.35">
      <c r="A92" t="s">
        <v>3043</v>
      </c>
      <c r="B92" t="s">
        <v>3044</v>
      </c>
      <c r="C92" t="s">
        <v>16</v>
      </c>
      <c r="D92" s="6">
        <v>460362313.33188099</v>
      </c>
      <c r="E92" s="6">
        <v>474924313.33188099</v>
      </c>
      <c r="F92" s="6">
        <v>2.1099998950958252</v>
      </c>
      <c r="G92" s="6">
        <v>2.0799999237060547</v>
      </c>
      <c r="H92" s="6" t="e">
        <v>#N/A</v>
      </c>
      <c r="I92" s="6">
        <v>0.30152899310732884</v>
      </c>
      <c r="J92" s="6">
        <v>169879000</v>
      </c>
      <c r="K92" s="6">
        <v>28.125</v>
      </c>
      <c r="L92" t="s">
        <v>17</v>
      </c>
      <c r="M92" t="s">
        <v>18</v>
      </c>
      <c r="N92" s="4" t="s">
        <v>3045</v>
      </c>
      <c r="O92" s="4" t="s">
        <v>3046</v>
      </c>
      <c r="P92" s="4" t="s">
        <v>233</v>
      </c>
    </row>
    <row r="93" spans="1:16" x14ac:dyDescent="0.35">
      <c r="A93" t="s">
        <v>1885</v>
      </c>
      <c r="B93" t="s">
        <v>1886</v>
      </c>
      <c r="C93" t="s">
        <v>16</v>
      </c>
      <c r="D93" s="6">
        <v>2765058038.7544861</v>
      </c>
      <c r="E93" s="6">
        <v>2760787038.7544861</v>
      </c>
      <c r="F93" s="6">
        <v>56.020000457763672</v>
      </c>
      <c r="G93" s="6">
        <v>56.5</v>
      </c>
      <c r="H93" s="6">
        <v>933.66667429606127</v>
      </c>
      <c r="I93" s="6">
        <v>0.18082025617956132</v>
      </c>
      <c r="J93" s="6">
        <v>226844000</v>
      </c>
      <c r="K93" s="6" t="e">
        <v>#N/A</v>
      </c>
      <c r="L93" t="s">
        <v>17</v>
      </c>
      <c r="M93" t="s">
        <v>18</v>
      </c>
      <c r="N93" s="4" t="s">
        <v>1887</v>
      </c>
      <c r="O93" s="4" t="s">
        <v>1888</v>
      </c>
      <c r="P93" s="4" t="s">
        <v>233</v>
      </c>
    </row>
    <row r="94" spans="1:16" x14ac:dyDescent="0.35">
      <c r="A94" t="s">
        <v>949</v>
      </c>
      <c r="B94" t="s">
        <v>950</v>
      </c>
      <c r="C94" t="s">
        <v>16</v>
      </c>
      <c r="D94" s="6">
        <v>1636609259.377032</v>
      </c>
      <c r="E94" s="6">
        <v>1127208259.377032</v>
      </c>
      <c r="F94" s="6">
        <v>12.449999809265137</v>
      </c>
      <c r="G94" s="6">
        <v>12.479999542236328</v>
      </c>
      <c r="H94" s="6">
        <v>94.573959946712975</v>
      </c>
      <c r="I94" s="6">
        <v>-2.8783459602550354E-2</v>
      </c>
      <c r="J94" s="6">
        <v>260811000</v>
      </c>
      <c r="K94" s="6">
        <v>-68.397291666666661</v>
      </c>
      <c r="L94" t="s">
        <v>17</v>
      </c>
      <c r="M94" t="s">
        <v>18</v>
      </c>
      <c r="N94" s="4" t="s">
        <v>951</v>
      </c>
      <c r="O94" s="4" t="s">
        <v>952</v>
      </c>
      <c r="P94" s="4" t="s">
        <v>233</v>
      </c>
    </row>
    <row r="95" spans="1:16" x14ac:dyDescent="0.35">
      <c r="A95" t="s">
        <v>4314</v>
      </c>
      <c r="B95" t="s">
        <v>13394</v>
      </c>
      <c r="C95" t="s">
        <v>16</v>
      </c>
      <c r="D95" s="6">
        <v>7741625808</v>
      </c>
      <c r="E95" s="6">
        <v>6278850808</v>
      </c>
      <c r="F95" s="6">
        <v>42</v>
      </c>
      <c r="G95" s="6">
        <v>40.729999542236328</v>
      </c>
      <c r="H95" s="6" t="e">
        <v>#N/A</v>
      </c>
      <c r="I95" s="6">
        <v>0.37270409286531292</v>
      </c>
      <c r="J95" s="6">
        <v>742000</v>
      </c>
      <c r="K95" s="6">
        <v>-10.134785276073623</v>
      </c>
      <c r="L95" t="s">
        <v>17</v>
      </c>
      <c r="M95" t="s">
        <v>18</v>
      </c>
      <c r="N95" s="4" t="s">
        <v>4315</v>
      </c>
      <c r="O95" s="4" t="s">
        <v>4316</v>
      </c>
      <c r="P95" s="4" t="s">
        <v>233</v>
      </c>
    </row>
    <row r="96" spans="1:16" x14ac:dyDescent="0.35">
      <c r="A96" t="s">
        <v>1948</v>
      </c>
      <c r="B96" t="s">
        <v>1949</v>
      </c>
      <c r="C96" t="s">
        <v>16</v>
      </c>
      <c r="D96" s="6">
        <v>4810058761.2183886</v>
      </c>
      <c r="E96" s="6">
        <v>4722825761.2183886</v>
      </c>
      <c r="F96" s="6">
        <v>30.899999618530273</v>
      </c>
      <c r="G96" s="6">
        <v>30.510000228881836</v>
      </c>
      <c r="H96" s="6" t="e">
        <v>#N/A</v>
      </c>
      <c r="I96" s="6">
        <v>1.0316238204322299</v>
      </c>
      <c r="J96" s="6">
        <v>264790000</v>
      </c>
      <c r="K96" s="6">
        <v>57.142857142857146</v>
      </c>
      <c r="L96" t="s">
        <v>17</v>
      </c>
      <c r="M96" t="s">
        <v>18</v>
      </c>
      <c r="N96" s="4" t="s">
        <v>1950</v>
      </c>
      <c r="O96" s="4" t="s">
        <v>1951</v>
      </c>
      <c r="P96" s="4" t="s">
        <v>233</v>
      </c>
    </row>
    <row r="97" spans="1:16" x14ac:dyDescent="0.35">
      <c r="A97" t="s">
        <v>4040</v>
      </c>
      <c r="B97" t="s">
        <v>4041</v>
      </c>
      <c r="C97" t="s">
        <v>16</v>
      </c>
      <c r="D97" s="6">
        <v>2706372248.8257065</v>
      </c>
      <c r="E97" s="6">
        <v>2518161248.8257065</v>
      </c>
      <c r="F97" s="6">
        <v>45.369998931884766</v>
      </c>
      <c r="G97" s="6">
        <v>45.330001831054688</v>
      </c>
      <c r="H97" s="6" t="e">
        <v>#N/A</v>
      </c>
      <c r="I97" s="6">
        <v>0.1168742058043557</v>
      </c>
      <c r="J97" s="6">
        <v>330189000</v>
      </c>
      <c r="K97" s="6">
        <v>6.3711911357340831</v>
      </c>
      <c r="L97" t="s">
        <v>17</v>
      </c>
      <c r="M97" t="s">
        <v>18</v>
      </c>
      <c r="N97" s="4" t="s">
        <v>4042</v>
      </c>
      <c r="O97" s="4" t="s">
        <v>4043</v>
      </c>
      <c r="P97" s="4" t="s">
        <v>233</v>
      </c>
    </row>
    <row r="98" spans="1:16" x14ac:dyDescent="0.35">
      <c r="A98" t="s">
        <v>3108</v>
      </c>
      <c r="B98" t="s">
        <v>3109</v>
      </c>
      <c r="C98" t="s">
        <v>16</v>
      </c>
      <c r="D98" s="6">
        <v>2166650958</v>
      </c>
      <c r="E98" s="6">
        <v>1884958958</v>
      </c>
      <c r="F98" s="6">
        <v>50.25</v>
      </c>
      <c r="G98" s="6">
        <v>48.5</v>
      </c>
      <c r="H98" s="6" t="e">
        <v>#N/A</v>
      </c>
      <c r="I98" s="6">
        <v>4.6526547931087459E-2</v>
      </c>
      <c r="J98" s="6">
        <v>0</v>
      </c>
      <c r="K98" s="6">
        <v>-2.9782919254658249</v>
      </c>
      <c r="L98" t="s">
        <v>17</v>
      </c>
      <c r="M98" t="s">
        <v>18</v>
      </c>
      <c r="N98" s="4" t="s">
        <v>3110</v>
      </c>
      <c r="O98" s="4" t="s">
        <v>3111</v>
      </c>
      <c r="P98" s="4" t="s">
        <v>233</v>
      </c>
    </row>
    <row r="99" spans="1:16" x14ac:dyDescent="0.35">
      <c r="A99" t="s">
        <v>5052</v>
      </c>
      <c r="B99" t="s">
        <v>5053</v>
      </c>
      <c r="C99" t="s">
        <v>16</v>
      </c>
      <c r="D99" s="6">
        <v>2151245761.5016174</v>
      </c>
      <c r="E99" s="6">
        <v>1516645761.5016174</v>
      </c>
      <c r="F99" s="6">
        <v>36.779998779296875</v>
      </c>
      <c r="G99" s="6">
        <v>35.450000762939453</v>
      </c>
      <c r="H99" s="6" t="e">
        <v>#N/A</v>
      </c>
      <c r="I99" s="6">
        <v>3.254863037166051</v>
      </c>
      <c r="J99" s="6">
        <v>13049000</v>
      </c>
      <c r="K99" s="6">
        <v>20.945945945945951</v>
      </c>
      <c r="L99" t="s">
        <v>17</v>
      </c>
      <c r="M99" t="s">
        <v>18</v>
      </c>
      <c r="N99" s="4" t="s">
        <v>5054</v>
      </c>
      <c r="O99" s="4" t="s">
        <v>5055</v>
      </c>
      <c r="P99" s="4" t="s">
        <v>233</v>
      </c>
    </row>
    <row r="100" spans="1:16" x14ac:dyDescent="0.35">
      <c r="A100" t="s">
        <v>4517</v>
      </c>
      <c r="B100" t="s">
        <v>4518</v>
      </c>
      <c r="C100" t="s">
        <v>16</v>
      </c>
      <c r="D100" s="6">
        <v>1839364606.0304871</v>
      </c>
      <c r="E100" s="6">
        <v>1353789606.0304871</v>
      </c>
      <c r="F100" s="6">
        <v>53.639999389648438</v>
      </c>
      <c r="G100" s="6">
        <v>53.189998626708984</v>
      </c>
      <c r="H100" s="6" t="e">
        <v>#N/A</v>
      </c>
      <c r="I100" s="6">
        <v>-0.22241082623584174</v>
      </c>
      <c r="J100" s="6">
        <v>0</v>
      </c>
      <c r="K100" s="6">
        <v>82.686542443064184</v>
      </c>
      <c r="L100" t="s">
        <v>17</v>
      </c>
      <c r="M100" t="s">
        <v>18</v>
      </c>
      <c r="N100" s="4" t="s">
        <v>4519</v>
      </c>
      <c r="O100" s="4" t="s">
        <v>4520</v>
      </c>
      <c r="P100" s="4" t="s">
        <v>233</v>
      </c>
    </row>
    <row r="101" spans="1:16" x14ac:dyDescent="0.35">
      <c r="A101" t="s">
        <v>994</v>
      </c>
      <c r="B101" t="s">
        <v>995</v>
      </c>
      <c r="C101" t="s">
        <v>16</v>
      </c>
      <c r="D101" s="6">
        <v>2707507088.1984096</v>
      </c>
      <c r="E101" s="6">
        <v>2268458088.1984096</v>
      </c>
      <c r="F101" s="6">
        <v>22.700000762939453</v>
      </c>
      <c r="G101" s="6">
        <v>22.399999618530273</v>
      </c>
      <c r="H101" s="6">
        <v>19.237288782152081</v>
      </c>
      <c r="I101" s="6">
        <v>0.66190845937601428</v>
      </c>
      <c r="J101" s="6">
        <v>460482000</v>
      </c>
      <c r="K101" s="6">
        <v>111.86440677966098</v>
      </c>
      <c r="L101" t="s">
        <v>17</v>
      </c>
      <c r="M101" t="s">
        <v>18</v>
      </c>
      <c r="N101" s="4" t="s">
        <v>996</v>
      </c>
      <c r="O101" s="4" t="s">
        <v>997</v>
      </c>
      <c r="P101" s="4" t="s">
        <v>233</v>
      </c>
    </row>
    <row r="102" spans="1:16" x14ac:dyDescent="0.35">
      <c r="A102" t="s">
        <v>151</v>
      </c>
      <c r="B102" t="s">
        <v>152</v>
      </c>
      <c r="C102" t="s">
        <v>16</v>
      </c>
      <c r="D102" s="6">
        <v>1254248490.7988548</v>
      </c>
      <c r="E102" s="6">
        <v>578025490.79885483</v>
      </c>
      <c r="F102" s="6">
        <v>7.8299999237060547</v>
      </c>
      <c r="G102" s="6">
        <v>7.940000057220459</v>
      </c>
      <c r="H102" s="6" t="e">
        <v>#N/A</v>
      </c>
      <c r="I102" s="6">
        <v>0.88347710363936449</v>
      </c>
      <c r="J102" s="6">
        <v>885193000</v>
      </c>
      <c r="K102" s="6">
        <v>65.714285714285722</v>
      </c>
      <c r="L102" t="s">
        <v>17</v>
      </c>
      <c r="M102" t="s">
        <v>18</v>
      </c>
      <c r="N102" s="4" t="s">
        <v>153</v>
      </c>
      <c r="O102" s="4" t="s">
        <v>154</v>
      </c>
      <c r="P102" s="4" t="s">
        <v>233</v>
      </c>
    </row>
    <row r="103" spans="1:16" x14ac:dyDescent="0.35">
      <c r="A103" t="s">
        <v>896</v>
      </c>
      <c r="B103" t="s">
        <v>897</v>
      </c>
      <c r="C103" t="s">
        <v>16</v>
      </c>
      <c r="D103" s="6">
        <v>7393161047.6531982</v>
      </c>
      <c r="E103" s="6">
        <v>8231009047.6531982</v>
      </c>
      <c r="F103" s="6">
        <v>58.110000610351563</v>
      </c>
      <c r="G103" s="6">
        <v>56.709999084472656</v>
      </c>
      <c r="H103" s="6">
        <v>19.172997652570359</v>
      </c>
      <c r="I103" s="6">
        <v>0.62602008164722367</v>
      </c>
      <c r="J103" s="6">
        <v>947355000</v>
      </c>
      <c r="K103" s="6">
        <v>61.256544502617814</v>
      </c>
      <c r="L103" t="s">
        <v>17</v>
      </c>
      <c r="M103" t="s">
        <v>18</v>
      </c>
      <c r="N103" s="4" t="s">
        <v>898</v>
      </c>
      <c r="O103" s="4" t="s">
        <v>899</v>
      </c>
      <c r="P103" s="4" t="s">
        <v>233</v>
      </c>
    </row>
    <row r="104" spans="1:16" x14ac:dyDescent="0.35">
      <c r="A104" t="s">
        <v>2612</v>
      </c>
      <c r="B104" t="s">
        <v>2613</v>
      </c>
      <c r="C104" t="s">
        <v>16</v>
      </c>
      <c r="D104" s="6">
        <v>341058082338.99994</v>
      </c>
      <c r="E104" s="6" t="e">
        <v>#N/A</v>
      </c>
      <c r="F104" s="6">
        <v>193</v>
      </c>
      <c r="G104" s="6">
        <v>190.5</v>
      </c>
      <c r="H104" s="6">
        <v>25.018387866937438</v>
      </c>
      <c r="I104" s="6">
        <v>0.15587472558907622</v>
      </c>
      <c r="J104" s="6">
        <v>56334000000</v>
      </c>
      <c r="K104" s="6">
        <v>-12.132352941176473</v>
      </c>
      <c r="L104" t="s">
        <v>17</v>
      </c>
      <c r="M104" t="s">
        <v>18</v>
      </c>
      <c r="N104" s="4" t="s">
        <v>2614</v>
      </c>
      <c r="O104" s="4" t="s">
        <v>2615</v>
      </c>
      <c r="P104" s="4" t="s">
        <v>233</v>
      </c>
    </row>
    <row r="105" spans="1:16" x14ac:dyDescent="0.35">
      <c r="A105" t="s">
        <v>4561</v>
      </c>
      <c r="B105" t="s">
        <v>4562</v>
      </c>
      <c r="C105" t="s">
        <v>16</v>
      </c>
      <c r="D105" s="6">
        <v>1416582143.1241264</v>
      </c>
      <c r="E105" s="6">
        <v>717766143.12412643</v>
      </c>
      <c r="F105" s="6">
        <v>13.920000076293945</v>
      </c>
      <c r="G105" s="6">
        <v>13.100000381469727</v>
      </c>
      <c r="H105" s="6" t="e">
        <v>#N/A</v>
      </c>
      <c r="I105" s="6">
        <v>-0.42652316575963167</v>
      </c>
      <c r="J105" s="6">
        <v>0</v>
      </c>
      <c r="K105" s="6">
        <v>0.85878296448187685</v>
      </c>
      <c r="L105" t="s">
        <v>17</v>
      </c>
      <c r="M105" t="s">
        <v>18</v>
      </c>
      <c r="N105" s="4" t="s">
        <v>4563</v>
      </c>
      <c r="O105" s="4" t="s">
        <v>4564</v>
      </c>
      <c r="P105" s="4" t="s">
        <v>233</v>
      </c>
    </row>
    <row r="106" spans="1:16" x14ac:dyDescent="0.35">
      <c r="A106" t="s">
        <v>2767</v>
      </c>
      <c r="B106" t="s">
        <v>2768</v>
      </c>
      <c r="C106" t="s">
        <v>16</v>
      </c>
      <c r="D106" s="6">
        <v>3773733270.5267253</v>
      </c>
      <c r="E106" s="6">
        <v>3160581270.5267253</v>
      </c>
      <c r="F106" s="6">
        <v>48.930000305175781</v>
      </c>
      <c r="G106" s="6">
        <v>47.639999389648438</v>
      </c>
      <c r="H106" s="6" t="e">
        <v>#N/A</v>
      </c>
      <c r="I106" s="6">
        <v>0.88445723508558483</v>
      </c>
      <c r="J106" s="6">
        <v>900664000</v>
      </c>
      <c r="K106" s="6">
        <v>31.32947976878614</v>
      </c>
      <c r="L106" t="s">
        <v>17</v>
      </c>
      <c r="M106" t="s">
        <v>18</v>
      </c>
      <c r="N106" s="4" t="s">
        <v>2769</v>
      </c>
      <c r="O106" s="4" t="s">
        <v>2770</v>
      </c>
      <c r="P106" s="4" t="s">
        <v>233</v>
      </c>
    </row>
    <row r="107" spans="1:16" x14ac:dyDescent="0.35">
      <c r="A107" t="s">
        <v>183</v>
      </c>
      <c r="B107" t="s">
        <v>184</v>
      </c>
      <c r="C107" t="s">
        <v>16</v>
      </c>
      <c r="D107" s="6">
        <v>158604403936.04422</v>
      </c>
      <c r="E107" s="6">
        <v>206730403936.04422</v>
      </c>
      <c r="F107" s="6">
        <v>295.05999755859375</v>
      </c>
      <c r="G107" s="6">
        <v>293.82000732421875</v>
      </c>
      <c r="H107" s="6">
        <v>32.117100778925554</v>
      </c>
      <c r="I107" s="6">
        <v>3.2457178820714416E-2</v>
      </c>
      <c r="J107" s="6">
        <v>33424000000</v>
      </c>
      <c r="K107" s="6">
        <v>-39.331210191082803</v>
      </c>
      <c r="L107" t="s">
        <v>17</v>
      </c>
      <c r="M107" t="s">
        <v>18</v>
      </c>
      <c r="N107" s="4" t="s">
        <v>185</v>
      </c>
      <c r="O107" s="4" t="s">
        <v>186</v>
      </c>
      <c r="P107" s="4" t="s">
        <v>233</v>
      </c>
    </row>
    <row r="108" spans="1:16" x14ac:dyDescent="0.35">
      <c r="A108" t="s">
        <v>674</v>
      </c>
      <c r="B108" t="s">
        <v>675</v>
      </c>
      <c r="C108" t="s">
        <v>16</v>
      </c>
      <c r="D108" s="6">
        <v>1476822708.5449905</v>
      </c>
      <c r="E108" s="6">
        <v>725306708.54499042</v>
      </c>
      <c r="F108" s="6">
        <v>22.260000228881836</v>
      </c>
      <c r="G108" s="6">
        <v>21.409999847412109</v>
      </c>
      <c r="H108" s="6" t="e">
        <v>#N/A</v>
      </c>
      <c r="I108" s="6">
        <v>-0.40697288332682025</v>
      </c>
      <c r="J108" s="6">
        <v>9977000</v>
      </c>
      <c r="K108" s="6">
        <v>2.6515151515151452</v>
      </c>
      <c r="L108" t="s">
        <v>17</v>
      </c>
      <c r="M108" t="s">
        <v>18</v>
      </c>
      <c r="N108" s="4" t="s">
        <v>676</v>
      </c>
      <c r="O108" s="4" t="s">
        <v>677</v>
      </c>
      <c r="P108" s="4" t="s">
        <v>233</v>
      </c>
    </row>
    <row r="109" spans="1:16" x14ac:dyDescent="0.35">
      <c r="A109" t="s">
        <v>5102</v>
      </c>
      <c r="B109" t="s">
        <v>5103</v>
      </c>
      <c r="C109" t="s">
        <v>16</v>
      </c>
      <c r="D109" s="6">
        <v>683122161.4763031</v>
      </c>
      <c r="E109" s="6">
        <v>499225161.4763031</v>
      </c>
      <c r="F109" s="6">
        <v>24.840000152587891</v>
      </c>
      <c r="G109" s="6">
        <v>24.450000762939453</v>
      </c>
      <c r="H109" s="6" t="e">
        <v>#N/A</v>
      </c>
      <c r="I109" s="6">
        <v>0.26993823073592438</v>
      </c>
      <c r="J109" s="6">
        <v>0</v>
      </c>
      <c r="K109" s="6">
        <v>-19.021739130434781</v>
      </c>
      <c r="L109" t="s">
        <v>17</v>
      </c>
      <c r="M109" t="s">
        <v>18</v>
      </c>
      <c r="N109" s="4" t="s">
        <v>5104</v>
      </c>
      <c r="O109" s="4" t="s">
        <v>5105</v>
      </c>
      <c r="P109" s="4" t="s">
        <v>233</v>
      </c>
    </row>
    <row r="110" spans="1:16" x14ac:dyDescent="0.35">
      <c r="A110" t="s">
        <v>1279</v>
      </c>
      <c r="B110" t="s">
        <v>1280</v>
      </c>
      <c r="C110" t="s">
        <v>16</v>
      </c>
      <c r="D110" s="6">
        <v>14240656318.616112</v>
      </c>
      <c r="E110" s="6">
        <v>13772616318.616112</v>
      </c>
      <c r="F110" s="6">
        <v>79.599998474121094</v>
      </c>
      <c r="G110" s="6">
        <v>78.569999694824219</v>
      </c>
      <c r="H110" s="6" t="e">
        <v>#N/A</v>
      </c>
      <c r="I110" s="6">
        <v>1.8550912269900368</v>
      </c>
      <c r="J110" s="6">
        <v>342958000</v>
      </c>
      <c r="K110" s="6">
        <v>-5.3130929791271218</v>
      </c>
      <c r="L110" t="s">
        <v>17</v>
      </c>
      <c r="M110" t="s">
        <v>18</v>
      </c>
      <c r="N110" s="4" t="s">
        <v>1281</v>
      </c>
      <c r="O110" s="4" t="s">
        <v>1282</v>
      </c>
      <c r="P110" s="4" t="s">
        <v>233</v>
      </c>
    </row>
    <row r="111" spans="1:16" x14ac:dyDescent="0.35">
      <c r="A111" t="s">
        <v>115</v>
      </c>
      <c r="B111" t="s">
        <v>116</v>
      </c>
      <c r="C111" t="s">
        <v>16</v>
      </c>
      <c r="D111" s="6">
        <v>72576281791.084244</v>
      </c>
      <c r="E111" s="6">
        <v>57602481791.084244</v>
      </c>
      <c r="F111" s="6">
        <v>663.8599853515625</v>
      </c>
      <c r="G111" s="6">
        <v>659.96002197265625</v>
      </c>
      <c r="H111" s="6">
        <v>16.954236568520326</v>
      </c>
      <c r="I111" s="6">
        <v>-0.29834990991569221</v>
      </c>
      <c r="J111" s="6">
        <v>14202000000</v>
      </c>
      <c r="K111" s="6">
        <v>10.391363022941974</v>
      </c>
      <c r="L111" t="s">
        <v>17</v>
      </c>
      <c r="M111" t="s">
        <v>18</v>
      </c>
      <c r="N111" s="4" t="s">
        <v>117</v>
      </c>
      <c r="O111" s="4" t="s">
        <v>118</v>
      </c>
      <c r="P111" s="4" t="s">
        <v>233</v>
      </c>
    </row>
    <row r="112" spans="1:16" x14ac:dyDescent="0.35">
      <c r="A112" t="s">
        <v>5733</v>
      </c>
      <c r="B112" t="s">
        <v>5734</v>
      </c>
      <c r="C112" t="s">
        <v>16</v>
      </c>
      <c r="D112" s="6">
        <v>2129060024</v>
      </c>
      <c r="E112" s="6">
        <v>1588646024</v>
      </c>
      <c r="F112" s="6">
        <v>28</v>
      </c>
      <c r="G112" s="6">
        <v>27.090000152587891</v>
      </c>
      <c r="H112" s="6" t="e">
        <v>#N/A</v>
      </c>
      <c r="I112" s="6">
        <v>-0.35907303389627732</v>
      </c>
      <c r="J112" s="6">
        <v>684000</v>
      </c>
      <c r="K112" s="6">
        <v>9.7724852672221019</v>
      </c>
      <c r="L112" t="s">
        <v>17</v>
      </c>
      <c r="M112" t="s">
        <v>18</v>
      </c>
      <c r="N112" s="4" t="s">
        <v>5735</v>
      </c>
      <c r="O112" s="4" t="s">
        <v>5736</v>
      </c>
      <c r="P112" s="4" t="s">
        <v>233</v>
      </c>
    </row>
    <row r="113" spans="1:16" x14ac:dyDescent="0.35">
      <c r="A113" t="s">
        <v>2827</v>
      </c>
      <c r="B113" t="s">
        <v>2828</v>
      </c>
      <c r="C113" t="s">
        <v>16</v>
      </c>
      <c r="D113" s="6">
        <v>743636659.81887817</v>
      </c>
      <c r="E113" s="6">
        <v>235868659.81887823</v>
      </c>
      <c r="F113" s="6">
        <v>13.819999694824219</v>
      </c>
      <c r="G113" s="6">
        <v>13.5</v>
      </c>
      <c r="H113" s="6" t="e">
        <v>#N/A</v>
      </c>
      <c r="I113" s="6">
        <v>-0.52944031403705116</v>
      </c>
      <c r="J113" s="6">
        <v>133350000.00000001</v>
      </c>
      <c r="K113" s="6">
        <v>-78.260869565217348</v>
      </c>
      <c r="L113" t="s">
        <v>17</v>
      </c>
      <c r="M113" t="s">
        <v>18</v>
      </c>
      <c r="N113" s="4" t="s">
        <v>233</v>
      </c>
      <c r="O113" s="4" t="s">
        <v>2829</v>
      </c>
      <c r="P113" s="4" t="s">
        <v>13090</v>
      </c>
    </row>
    <row r="114" spans="1:16" x14ac:dyDescent="0.35">
      <c r="A114" t="s">
        <v>3054</v>
      </c>
      <c r="B114" t="s">
        <v>3055</v>
      </c>
      <c r="C114" t="s">
        <v>16</v>
      </c>
      <c r="D114" s="6">
        <v>1383846635.6989229</v>
      </c>
      <c r="E114" s="6">
        <v>779826635.69892287</v>
      </c>
      <c r="F114" s="6">
        <v>17.469999313354492</v>
      </c>
      <c r="G114" s="6">
        <v>17.430000305175781</v>
      </c>
      <c r="H114" s="6" t="e">
        <v>#N/A</v>
      </c>
      <c r="I114" s="6">
        <v>-0.11200782529144271</v>
      </c>
      <c r="J114" s="6">
        <v>302000</v>
      </c>
      <c r="K114" s="6">
        <v>15.490196078431371</v>
      </c>
      <c r="L114" t="s">
        <v>17</v>
      </c>
      <c r="M114" t="s">
        <v>18</v>
      </c>
      <c r="N114" s="4" t="s">
        <v>3056</v>
      </c>
      <c r="O114" s="4" t="s">
        <v>3057</v>
      </c>
      <c r="P114" s="4" t="s">
        <v>233</v>
      </c>
    </row>
    <row r="115" spans="1:16" x14ac:dyDescent="0.35">
      <c r="A115" t="s">
        <v>4429</v>
      </c>
      <c r="B115" t="s">
        <v>4430</v>
      </c>
      <c r="C115" t="s">
        <v>16</v>
      </c>
      <c r="D115" s="6">
        <v>3797615551.0074215</v>
      </c>
      <c r="E115" s="6">
        <v>2220427551.0074215</v>
      </c>
      <c r="F115" s="6">
        <v>31.829999923706055</v>
      </c>
      <c r="G115" s="6">
        <v>32.950000762939453</v>
      </c>
      <c r="H115" s="6" t="e">
        <v>#N/A</v>
      </c>
      <c r="I115" s="6">
        <v>1.1844520971568278</v>
      </c>
      <c r="J115" s="6">
        <v>10117000</v>
      </c>
      <c r="K115" s="6">
        <v>3.6789297658862981</v>
      </c>
      <c r="L115" t="s">
        <v>17</v>
      </c>
      <c r="M115" t="s">
        <v>18</v>
      </c>
      <c r="N115" s="4" t="s">
        <v>4431</v>
      </c>
      <c r="O115" s="4" t="s">
        <v>4432</v>
      </c>
      <c r="P115" s="4" t="s">
        <v>233</v>
      </c>
    </row>
    <row r="116" spans="1:16" x14ac:dyDescent="0.35">
      <c r="A116" t="s">
        <v>3150</v>
      </c>
      <c r="B116" t="s">
        <v>3151</v>
      </c>
      <c r="C116" t="s">
        <v>16</v>
      </c>
      <c r="D116" s="6">
        <v>3267314744.8723145</v>
      </c>
      <c r="E116" s="6">
        <v>2365821744.8723145</v>
      </c>
      <c r="F116" s="6">
        <v>29.319999694824219</v>
      </c>
      <c r="G116" s="6">
        <v>29.450000762939453</v>
      </c>
      <c r="H116" s="6" t="e">
        <v>#N/A</v>
      </c>
      <c r="I116" s="6">
        <v>-7.5608642944353655E-2</v>
      </c>
      <c r="J116" s="6">
        <v>0</v>
      </c>
      <c r="K116" s="6">
        <v>-10.989010989010987</v>
      </c>
      <c r="L116" t="s">
        <v>17</v>
      </c>
      <c r="M116" t="s">
        <v>18</v>
      </c>
      <c r="N116" s="4" t="s">
        <v>3152</v>
      </c>
      <c r="O116" s="4" t="s">
        <v>3153</v>
      </c>
      <c r="P116" s="4" t="s">
        <v>233</v>
      </c>
    </row>
    <row r="117" spans="1:16" x14ac:dyDescent="0.35">
      <c r="A117" t="s">
        <v>1002</v>
      </c>
      <c r="B117" t="s">
        <v>1003</v>
      </c>
      <c r="C117" t="s">
        <v>16</v>
      </c>
      <c r="D117" s="6">
        <v>34303763583.188141</v>
      </c>
      <c r="E117" s="6">
        <v>32825356583.188141</v>
      </c>
      <c r="F117" s="6">
        <v>265.95999145507813</v>
      </c>
      <c r="G117" s="6">
        <v>265.92999267578125</v>
      </c>
      <c r="H117" s="6" t="e">
        <v>#N/A</v>
      </c>
      <c r="I117" s="6">
        <v>0.56863203738533397</v>
      </c>
      <c r="J117" s="6">
        <v>2094795000</v>
      </c>
      <c r="K117" s="6">
        <v>36.253041362530404</v>
      </c>
      <c r="L117" t="s">
        <v>17</v>
      </c>
      <c r="M117" t="s">
        <v>18</v>
      </c>
      <c r="N117" s="4" t="s">
        <v>1004</v>
      </c>
      <c r="O117" s="4" t="s">
        <v>1005</v>
      </c>
      <c r="P117" s="4" t="s">
        <v>233</v>
      </c>
    </row>
    <row r="118" spans="1:16" x14ac:dyDescent="0.35">
      <c r="A118" t="s">
        <v>3235</v>
      </c>
      <c r="B118" t="s">
        <v>3236</v>
      </c>
      <c r="C118" t="s">
        <v>16</v>
      </c>
      <c r="D118" s="6">
        <v>1028562547.3057059</v>
      </c>
      <c r="E118" s="6">
        <v>818542547.3057059</v>
      </c>
      <c r="F118" s="6">
        <v>9.8599996566772461</v>
      </c>
      <c r="G118" s="6">
        <v>9.6899995803833008</v>
      </c>
      <c r="H118" s="6" t="e">
        <v>#N/A</v>
      </c>
      <c r="I118" s="6">
        <v>-0.67022298835030636</v>
      </c>
      <c r="J118" s="6">
        <v>0</v>
      </c>
      <c r="K118" s="6">
        <v>14.596273291925458</v>
      </c>
      <c r="L118" t="s">
        <v>17</v>
      </c>
      <c r="M118" t="s">
        <v>18</v>
      </c>
      <c r="N118" s="4" t="s">
        <v>3237</v>
      </c>
      <c r="O118" s="4" t="s">
        <v>3238</v>
      </c>
      <c r="P118" s="4" t="s">
        <v>233</v>
      </c>
    </row>
    <row r="119" spans="1:16" x14ac:dyDescent="0.35">
      <c r="A119" t="s">
        <v>1775</v>
      </c>
      <c r="B119" t="s">
        <v>1776</v>
      </c>
      <c r="C119" t="s">
        <v>16</v>
      </c>
      <c r="D119" s="6">
        <v>1204958918.5722342</v>
      </c>
      <c r="E119" s="6">
        <v>1135175918.5722342</v>
      </c>
      <c r="F119" s="6">
        <v>8.1999998092651367</v>
      </c>
      <c r="G119" s="6">
        <v>8</v>
      </c>
      <c r="H119" s="6">
        <v>15.242315287791902</v>
      </c>
      <c r="I119" s="6">
        <v>-1.2015495693673661E-2</v>
      </c>
      <c r="J119" s="6">
        <v>342805000</v>
      </c>
      <c r="K119" s="6" t="e">
        <v>#N/A</v>
      </c>
      <c r="L119" t="s">
        <v>17</v>
      </c>
      <c r="M119" t="s">
        <v>18</v>
      </c>
      <c r="N119" s="4" t="s">
        <v>1777</v>
      </c>
      <c r="O119" s="4" t="s">
        <v>1778</v>
      </c>
      <c r="P119" s="4" t="s">
        <v>233</v>
      </c>
    </row>
    <row r="120" spans="1:16" x14ac:dyDescent="0.35">
      <c r="A120" t="s">
        <v>3849</v>
      </c>
      <c r="B120" t="s">
        <v>3850</v>
      </c>
      <c r="C120" t="s">
        <v>16</v>
      </c>
      <c r="D120" s="6">
        <v>899158511.98402488</v>
      </c>
      <c r="E120" s="6">
        <v>682039511.98402488</v>
      </c>
      <c r="F120" s="6">
        <v>8.1400003433227539</v>
      </c>
      <c r="G120" s="6">
        <v>8.2399997711181641</v>
      </c>
      <c r="H120" s="6" t="e">
        <v>#N/A</v>
      </c>
      <c r="I120" s="6">
        <v>0.40456433272978387</v>
      </c>
      <c r="J120" s="6">
        <v>0</v>
      </c>
      <c r="K120" s="6">
        <v>-5.9829059829059883</v>
      </c>
      <c r="L120" t="s">
        <v>17</v>
      </c>
      <c r="M120" t="s">
        <v>18</v>
      </c>
      <c r="N120" s="4" t="s">
        <v>3851</v>
      </c>
      <c r="O120" s="4" t="s">
        <v>3852</v>
      </c>
      <c r="P120" s="4" t="s">
        <v>233</v>
      </c>
    </row>
    <row r="121" spans="1:16" x14ac:dyDescent="0.35">
      <c r="A121" t="s">
        <v>2324</v>
      </c>
      <c r="B121" t="s">
        <v>2325</v>
      </c>
      <c r="C121" t="s">
        <v>16</v>
      </c>
      <c r="D121" s="6">
        <v>2015927340.694416</v>
      </c>
      <c r="E121" s="6">
        <v>2140922340.694416</v>
      </c>
      <c r="F121" s="6">
        <v>23.200000762939453</v>
      </c>
      <c r="G121" s="6">
        <v>23.530000686645508</v>
      </c>
      <c r="H121" s="6" t="e">
        <v>#N/A</v>
      </c>
      <c r="I121" s="6">
        <v>1.6116324279419838</v>
      </c>
      <c r="J121" s="6">
        <v>203447000</v>
      </c>
      <c r="K121" s="6">
        <v>1.2195869565217383</v>
      </c>
      <c r="L121" t="s">
        <v>17</v>
      </c>
      <c r="M121" t="s">
        <v>18</v>
      </c>
      <c r="N121" s="4" t="s">
        <v>2326</v>
      </c>
      <c r="O121" s="4" t="s">
        <v>2327</v>
      </c>
      <c r="P121" s="4" t="s">
        <v>233</v>
      </c>
    </row>
    <row r="122" spans="1:16" x14ac:dyDescent="0.35">
      <c r="A122" t="s">
        <v>1719</v>
      </c>
      <c r="B122" t="s">
        <v>1720</v>
      </c>
      <c r="C122" t="s">
        <v>16</v>
      </c>
      <c r="D122" s="6">
        <v>310455081.87689787</v>
      </c>
      <c r="E122" s="6">
        <v>837116081.87689781</v>
      </c>
      <c r="F122" s="6">
        <v>1.940000057220459</v>
      </c>
      <c r="G122" s="6">
        <v>1.809999942779541</v>
      </c>
      <c r="H122" s="6">
        <v>74.295345328602139</v>
      </c>
      <c r="I122" s="6">
        <v>-0.87306429190749602</v>
      </c>
      <c r="J122" s="6">
        <v>378418000</v>
      </c>
      <c r="K122" s="6">
        <v>99.509803921568633</v>
      </c>
      <c r="L122" t="s">
        <v>17</v>
      </c>
      <c r="M122" t="s">
        <v>18</v>
      </c>
      <c r="N122" s="4" t="s">
        <v>1721</v>
      </c>
      <c r="O122" s="4" t="s">
        <v>1722</v>
      </c>
      <c r="P122" s="4" t="s">
        <v>233</v>
      </c>
    </row>
    <row r="123" spans="1:16" x14ac:dyDescent="0.35">
      <c r="A123" t="s">
        <v>1244</v>
      </c>
      <c r="B123" t="s">
        <v>1245</v>
      </c>
      <c r="C123" t="s">
        <v>16</v>
      </c>
      <c r="D123" s="6">
        <v>7419246442.0543509</v>
      </c>
      <c r="E123" s="6">
        <v>6422673442.0543509</v>
      </c>
      <c r="F123" s="6">
        <v>340.17001342773438</v>
      </c>
      <c r="G123" s="6">
        <v>326.51998901367188</v>
      </c>
      <c r="H123" s="6" t="e">
        <v>#N/A</v>
      </c>
      <c r="I123" s="6">
        <v>0.57051531216740758</v>
      </c>
      <c r="J123" s="6">
        <v>76813000</v>
      </c>
      <c r="K123" s="6">
        <v>-30.353430353430333</v>
      </c>
      <c r="L123" t="s">
        <v>17</v>
      </c>
      <c r="M123" t="s">
        <v>18</v>
      </c>
      <c r="N123" s="4" t="s">
        <v>1246</v>
      </c>
      <c r="O123" s="4" t="s">
        <v>1247</v>
      </c>
      <c r="P123" s="4" t="s">
        <v>233</v>
      </c>
    </row>
    <row r="124" spans="1:16" x14ac:dyDescent="0.35">
      <c r="A124" t="s">
        <v>65</v>
      </c>
      <c r="B124" t="s">
        <v>66</v>
      </c>
      <c r="C124" t="s">
        <v>16</v>
      </c>
      <c r="D124" s="6">
        <v>4869552355.173214</v>
      </c>
      <c r="E124" s="6">
        <v>3832930355.173214</v>
      </c>
      <c r="F124" s="6">
        <v>30.840000152587891</v>
      </c>
      <c r="G124" s="6">
        <v>31.170000076293945</v>
      </c>
      <c r="H124" s="6" t="e">
        <v>#N/A</v>
      </c>
      <c r="I124" s="6">
        <v>-0.3870309192969088</v>
      </c>
      <c r="J124" s="6">
        <v>803561000</v>
      </c>
      <c r="K124" s="6">
        <v>14.982578397212547</v>
      </c>
      <c r="L124" t="s">
        <v>17</v>
      </c>
      <c r="M124" t="s">
        <v>18</v>
      </c>
      <c r="N124" s="4" t="s">
        <v>67</v>
      </c>
      <c r="O124" s="4" t="s">
        <v>68</v>
      </c>
      <c r="P124" s="4" t="s">
        <v>233</v>
      </c>
    </row>
    <row r="125" spans="1:16" x14ac:dyDescent="0.35">
      <c r="A125" t="s">
        <v>760</v>
      </c>
      <c r="B125" t="s">
        <v>761</v>
      </c>
      <c r="C125" t="s">
        <v>16</v>
      </c>
      <c r="D125" s="6">
        <v>128751722644.02873</v>
      </c>
      <c r="E125" s="6" t="e">
        <v>#N/A</v>
      </c>
      <c r="F125" s="6">
        <v>103.30999755859375</v>
      </c>
      <c r="G125" s="6">
        <v>101.73500061035156</v>
      </c>
      <c r="H125" s="6">
        <v>16.960056702931698</v>
      </c>
      <c r="I125" s="6">
        <v>0.44237975116202533</v>
      </c>
      <c r="J125" s="6">
        <v>28754000000</v>
      </c>
      <c r="K125" s="6">
        <v>-91.629955947136565</v>
      </c>
      <c r="L125" t="s">
        <v>17</v>
      </c>
      <c r="M125" t="s">
        <v>18</v>
      </c>
      <c r="N125" s="4" t="s">
        <v>762</v>
      </c>
      <c r="O125" s="4" t="s">
        <v>763</v>
      </c>
      <c r="P125" s="4" t="s">
        <v>233</v>
      </c>
    </row>
    <row r="126" spans="1:16" x14ac:dyDescent="0.35">
      <c r="A126" t="s">
        <v>4280</v>
      </c>
      <c r="B126" t="s">
        <v>4281</v>
      </c>
      <c r="C126" t="s">
        <v>16</v>
      </c>
      <c r="D126" s="6">
        <v>1454239145.0315094</v>
      </c>
      <c r="E126" s="6">
        <v>1068033145.0315094</v>
      </c>
      <c r="F126" s="6">
        <v>11.010000228881836</v>
      </c>
      <c r="G126" s="6">
        <v>10.930000305175781</v>
      </c>
      <c r="H126" s="6" t="e">
        <v>#N/A</v>
      </c>
      <c r="I126" s="6">
        <v>0.17326027976952996</v>
      </c>
      <c r="J126" s="6">
        <v>0</v>
      </c>
      <c r="K126" s="6">
        <v>-46.231155778894482</v>
      </c>
      <c r="L126" t="s">
        <v>17</v>
      </c>
      <c r="M126" t="s">
        <v>18</v>
      </c>
      <c r="N126" s="4" t="s">
        <v>4282</v>
      </c>
      <c r="O126" s="4" t="s">
        <v>4283</v>
      </c>
      <c r="P126" s="4" t="s">
        <v>233</v>
      </c>
    </row>
    <row r="127" spans="1:16" x14ac:dyDescent="0.35">
      <c r="A127" t="s">
        <v>2558</v>
      </c>
      <c r="B127" t="s">
        <v>2559</v>
      </c>
      <c r="C127" t="s">
        <v>16</v>
      </c>
      <c r="D127" s="6">
        <v>2341641882.78791</v>
      </c>
      <c r="E127" s="6">
        <v>1908048882.78791</v>
      </c>
      <c r="F127" s="6">
        <v>18.569999694824219</v>
      </c>
      <c r="G127" s="6">
        <v>18.350000381469727</v>
      </c>
      <c r="H127" s="6" t="e">
        <v>#N/A</v>
      </c>
      <c r="I127" s="6">
        <v>-0.42349527890365002</v>
      </c>
      <c r="J127" s="6">
        <v>2500000</v>
      </c>
      <c r="K127" s="6">
        <v>-86.841601447636251</v>
      </c>
      <c r="L127" t="s">
        <v>17</v>
      </c>
      <c r="M127" t="s">
        <v>18</v>
      </c>
      <c r="N127" s="4" t="s">
        <v>2560</v>
      </c>
      <c r="O127" s="4" t="s">
        <v>2561</v>
      </c>
      <c r="P127" s="4" t="s">
        <v>233</v>
      </c>
    </row>
    <row r="128" spans="1:16" x14ac:dyDescent="0.35">
      <c r="A128" t="s">
        <v>3062</v>
      </c>
      <c r="B128" t="s">
        <v>3063</v>
      </c>
      <c r="C128" t="s">
        <v>16</v>
      </c>
      <c r="D128" s="6">
        <v>1268415021.194768</v>
      </c>
      <c r="E128" s="6">
        <v>879662021.19476795</v>
      </c>
      <c r="F128" s="6">
        <v>14.859999656677246</v>
      </c>
      <c r="G128" s="6">
        <v>14.770000457763672</v>
      </c>
      <c r="H128" s="6" t="e">
        <v>#N/A</v>
      </c>
      <c r="I128" s="6">
        <v>-0.34432815949666062</v>
      </c>
      <c r="J128" s="6">
        <v>16000000</v>
      </c>
      <c r="K128" s="6">
        <v>-40.697674418604642</v>
      </c>
      <c r="L128" t="s">
        <v>17</v>
      </c>
      <c r="M128" t="s">
        <v>18</v>
      </c>
      <c r="N128" s="4" t="s">
        <v>3064</v>
      </c>
      <c r="O128" s="4" t="s">
        <v>3065</v>
      </c>
      <c r="P128" s="4" t="s">
        <v>233</v>
      </c>
    </row>
    <row r="129" spans="1:16" x14ac:dyDescent="0.35">
      <c r="A129" t="s">
        <v>2348</v>
      </c>
      <c r="B129" t="s">
        <v>2349</v>
      </c>
      <c r="C129" t="s">
        <v>16</v>
      </c>
      <c r="D129" s="6">
        <v>627217466.50719881</v>
      </c>
      <c r="E129" s="6">
        <v>497905466.50719881</v>
      </c>
      <c r="F129" s="6">
        <v>3.309999942779541</v>
      </c>
      <c r="G129" s="6">
        <v>3.2699999809265137</v>
      </c>
      <c r="H129" s="6" t="e">
        <v>#N/A</v>
      </c>
      <c r="I129" s="6">
        <v>0.15286070849748068</v>
      </c>
      <c r="J129" s="6">
        <v>6742000</v>
      </c>
      <c r="K129" s="6">
        <v>7.9047044684423406</v>
      </c>
      <c r="L129" t="s">
        <v>17</v>
      </c>
      <c r="M129" t="s">
        <v>18</v>
      </c>
      <c r="N129" s="4" t="s">
        <v>2350</v>
      </c>
      <c r="O129" s="4" t="s">
        <v>2351</v>
      </c>
      <c r="P129" s="4" t="s">
        <v>233</v>
      </c>
    </row>
    <row r="130" spans="1:16" x14ac:dyDescent="0.35">
      <c r="A130" t="s">
        <v>4119</v>
      </c>
      <c r="B130" t="s">
        <v>4120</v>
      </c>
      <c r="C130" t="s">
        <v>16</v>
      </c>
      <c r="D130" s="6">
        <v>1897178053.9922295</v>
      </c>
      <c r="E130" s="6">
        <v>995945053.99222946</v>
      </c>
      <c r="F130" s="6">
        <v>21.950000762939453</v>
      </c>
      <c r="G130" s="6">
        <v>21.030000686645508</v>
      </c>
      <c r="H130" s="6" t="e">
        <v>#N/A</v>
      </c>
      <c r="I130" s="6">
        <v>-0.52678481690066392</v>
      </c>
      <c r="J130" s="6">
        <v>3923000</v>
      </c>
      <c r="K130" s="6">
        <v>-19.487179487179496</v>
      </c>
      <c r="L130" t="s">
        <v>17</v>
      </c>
      <c r="M130" t="s">
        <v>18</v>
      </c>
      <c r="N130" s="4" t="s">
        <v>4121</v>
      </c>
      <c r="O130" s="4" t="s">
        <v>4122</v>
      </c>
      <c r="P130" s="4" t="s">
        <v>233</v>
      </c>
    </row>
    <row r="131" spans="1:16" x14ac:dyDescent="0.35">
      <c r="A131" t="s">
        <v>94</v>
      </c>
      <c r="B131" t="s">
        <v>95</v>
      </c>
      <c r="C131" t="s">
        <v>16</v>
      </c>
      <c r="D131" s="6">
        <v>19443330468.919682</v>
      </c>
      <c r="E131" s="6">
        <v>23698630468.919682</v>
      </c>
      <c r="F131" s="6">
        <v>133.42999267578125</v>
      </c>
      <c r="G131" s="6">
        <v>136.7550048828125</v>
      </c>
      <c r="H131" s="6">
        <v>10.762005583352778</v>
      </c>
      <c r="I131" s="6">
        <v>-0.45390485021648308</v>
      </c>
      <c r="J131" s="6">
        <v>9675900000</v>
      </c>
      <c r="K131" s="6">
        <v>39.775561097256876</v>
      </c>
      <c r="L131" t="s">
        <v>17</v>
      </c>
      <c r="M131" t="s">
        <v>18</v>
      </c>
      <c r="N131" s="4" t="s">
        <v>96</v>
      </c>
      <c r="O131" s="4" t="s">
        <v>97</v>
      </c>
      <c r="P131" s="4" t="s">
        <v>233</v>
      </c>
    </row>
    <row r="132" spans="1:16" x14ac:dyDescent="0.35">
      <c r="A132" t="s">
        <v>3935</v>
      </c>
      <c r="B132" t="s">
        <v>3936</v>
      </c>
      <c r="C132" t="s">
        <v>16</v>
      </c>
      <c r="D132" s="6">
        <v>3265291761.7661667</v>
      </c>
      <c r="E132" s="6">
        <v>2455162761.7661667</v>
      </c>
      <c r="F132" s="6">
        <v>35.209999084472656</v>
      </c>
      <c r="G132" s="6">
        <v>34.069999694824219</v>
      </c>
      <c r="H132" s="6" t="e">
        <v>#N/A</v>
      </c>
      <c r="I132" s="6">
        <v>-0.10380221999629979</v>
      </c>
      <c r="J132" s="6">
        <v>1039000</v>
      </c>
      <c r="K132" s="6">
        <v>-2.4725274725274811</v>
      </c>
      <c r="L132" t="s">
        <v>17</v>
      </c>
      <c r="M132" t="s">
        <v>18</v>
      </c>
      <c r="N132" s="4" t="s">
        <v>3937</v>
      </c>
      <c r="O132" s="4" t="s">
        <v>3938</v>
      </c>
      <c r="P132" s="4" t="s">
        <v>233</v>
      </c>
    </row>
    <row r="133" spans="1:16" x14ac:dyDescent="0.35">
      <c r="A133" t="s">
        <v>4048</v>
      </c>
      <c r="B133" t="s">
        <v>4049</v>
      </c>
      <c r="C133" t="s">
        <v>16</v>
      </c>
      <c r="D133" s="6">
        <v>11750411800.166462</v>
      </c>
      <c r="E133" s="6">
        <v>6208411800.1664619</v>
      </c>
      <c r="F133" s="6">
        <v>30.534999847412109</v>
      </c>
      <c r="G133" s="6">
        <v>30.969999313354492</v>
      </c>
      <c r="H133" s="6" t="e">
        <v>#N/A</v>
      </c>
      <c r="I133" s="6">
        <v>-0.65590584712915279</v>
      </c>
      <c r="J133" s="6">
        <v>5081000000</v>
      </c>
      <c r="K133" s="6">
        <v>36.542669584245068</v>
      </c>
      <c r="L133" t="s">
        <v>17</v>
      </c>
      <c r="M133" t="s">
        <v>18</v>
      </c>
      <c r="N133" s="4" t="s">
        <v>4050</v>
      </c>
      <c r="O133" s="4" t="s">
        <v>4051</v>
      </c>
      <c r="P133" s="4" t="s">
        <v>233</v>
      </c>
    </row>
    <row r="134" spans="1:16" x14ac:dyDescent="0.35">
      <c r="A134" t="s">
        <v>1693</v>
      </c>
      <c r="B134" t="s">
        <v>1694</v>
      </c>
      <c r="C134" t="s">
        <v>16</v>
      </c>
      <c r="D134" s="6">
        <v>442395152.57745981</v>
      </c>
      <c r="E134" s="6">
        <v>304788152.57745981</v>
      </c>
      <c r="F134" s="6">
        <v>6.2199997901916504</v>
      </c>
      <c r="G134" s="6">
        <v>6.2199997901916504</v>
      </c>
      <c r="H134" s="6" t="e">
        <v>#N/A</v>
      </c>
      <c r="I134" s="6">
        <v>-0.40108252603094285</v>
      </c>
      <c r="J134" s="6">
        <v>52000</v>
      </c>
      <c r="K134" s="6">
        <v>-0.64935064935066444</v>
      </c>
      <c r="L134" t="s">
        <v>17</v>
      </c>
      <c r="M134" t="s">
        <v>18</v>
      </c>
      <c r="N134" s="4" t="s">
        <v>1695</v>
      </c>
      <c r="O134" s="4" t="s">
        <v>1696</v>
      </c>
      <c r="P134" s="4" t="s">
        <v>233</v>
      </c>
    </row>
    <row r="135" spans="1:16" x14ac:dyDescent="0.35">
      <c r="A135" t="s">
        <v>1140</v>
      </c>
      <c r="B135" t="s">
        <v>1141</v>
      </c>
      <c r="C135" t="s">
        <v>16</v>
      </c>
      <c r="D135" s="6">
        <v>740058515.07529163</v>
      </c>
      <c r="E135" s="6">
        <v>619283515.07529163</v>
      </c>
      <c r="F135" s="6">
        <v>8.6999998092651367</v>
      </c>
      <c r="G135" s="6">
        <v>8.0500001907348633</v>
      </c>
      <c r="H135" s="6" t="e">
        <v>#N/A</v>
      </c>
      <c r="I135" s="6">
        <v>0.41558954023565331</v>
      </c>
      <c r="J135" s="6">
        <v>0</v>
      </c>
      <c r="K135" s="6">
        <v>-1.8518518518518534</v>
      </c>
      <c r="L135" t="s">
        <v>17</v>
      </c>
      <c r="M135" t="s">
        <v>18</v>
      </c>
      <c r="N135" s="4" t="s">
        <v>1142</v>
      </c>
      <c r="O135" s="4" t="s">
        <v>1143</v>
      </c>
      <c r="P135" s="4" t="s">
        <v>233</v>
      </c>
    </row>
    <row r="136" spans="1:16" x14ac:dyDescent="0.35">
      <c r="A136" t="s">
        <v>2652</v>
      </c>
      <c r="B136" t="s">
        <v>2653</v>
      </c>
      <c r="C136" t="s">
        <v>16</v>
      </c>
      <c r="D136" s="6">
        <v>3178085181.5734692</v>
      </c>
      <c r="E136" s="6">
        <v>2662125181.5734692</v>
      </c>
      <c r="F136" s="6">
        <v>19.100000381469727</v>
      </c>
      <c r="G136" s="6">
        <v>18.290000915527344</v>
      </c>
      <c r="H136" s="6">
        <v>24.487179976243237</v>
      </c>
      <c r="I136" s="6">
        <v>-0.28559018766459399</v>
      </c>
      <c r="J136" s="6">
        <v>929236000</v>
      </c>
      <c r="K136" s="6" t="e">
        <v>#N/A</v>
      </c>
      <c r="L136" t="s">
        <v>17</v>
      </c>
      <c r="M136" t="s">
        <v>18</v>
      </c>
      <c r="N136" s="4" t="s">
        <v>2654</v>
      </c>
      <c r="O136" s="4" t="s">
        <v>2655</v>
      </c>
      <c r="P136" s="4" t="s">
        <v>233</v>
      </c>
    </row>
    <row r="137" spans="1:16" x14ac:dyDescent="0.35">
      <c r="A137" t="s">
        <v>3712</v>
      </c>
      <c r="B137" t="s">
        <v>3713</v>
      </c>
      <c r="C137" t="s">
        <v>16</v>
      </c>
      <c r="D137" s="6">
        <v>4352046334.0085449</v>
      </c>
      <c r="E137" s="6">
        <v>3771198334.0085449</v>
      </c>
      <c r="F137" s="6">
        <v>151.32000732421875</v>
      </c>
      <c r="G137" s="6">
        <v>146.97999572753906</v>
      </c>
      <c r="H137" s="6">
        <v>54.584887693445467</v>
      </c>
      <c r="I137" s="6">
        <v>0.30488197966984965</v>
      </c>
      <c r="J137" s="6">
        <v>241518000</v>
      </c>
      <c r="K137" s="6" t="e">
        <v>#N/A</v>
      </c>
      <c r="L137" t="s">
        <v>17</v>
      </c>
      <c r="M137" t="s">
        <v>18</v>
      </c>
      <c r="N137" s="4" t="s">
        <v>3714</v>
      </c>
      <c r="O137" s="4" t="s">
        <v>3715</v>
      </c>
      <c r="P137" s="4" t="s">
        <v>233</v>
      </c>
    </row>
    <row r="138" spans="1:16" x14ac:dyDescent="0.35">
      <c r="A138" t="s">
        <v>2891</v>
      </c>
      <c r="B138" t="s">
        <v>2892</v>
      </c>
      <c r="C138" t="s">
        <v>16</v>
      </c>
      <c r="D138" s="6">
        <v>1871160776.2690544</v>
      </c>
      <c r="E138" s="6">
        <v>271348776.26905417</v>
      </c>
      <c r="F138" s="6">
        <v>32.810001373291016</v>
      </c>
      <c r="G138" s="6">
        <v>32</v>
      </c>
      <c r="H138" s="6" t="e">
        <v>#N/A</v>
      </c>
      <c r="I138" s="6">
        <v>0.26695281591725006</v>
      </c>
      <c r="J138" s="6">
        <v>32871000</v>
      </c>
      <c r="K138" s="6" t="e">
        <v>#N/A</v>
      </c>
      <c r="L138" t="s">
        <v>17</v>
      </c>
      <c r="M138" t="s">
        <v>18</v>
      </c>
      <c r="N138" s="4" t="s">
        <v>2893</v>
      </c>
      <c r="O138" s="4" t="s">
        <v>2894</v>
      </c>
      <c r="P138" s="4" t="s">
        <v>233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57E8FB-0536-4241-B0BA-CCC76BA09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989672-1176-402E-B2C7-A2D71D7BD67F}">
  <ds:schemaRefs>
    <ds:schemaRef ds:uri="http://purl.org/dc/terms/"/>
    <ds:schemaRef ds:uri="http://schemas.microsoft.com/office/infopath/2007/PartnerControls"/>
    <ds:schemaRef ds:uri="923e1776-a5c4-499c-83fd-0b7c46984e57"/>
    <ds:schemaRef ds:uri="http://www.w3.org/XML/1998/namespace"/>
    <ds:schemaRef ds:uri="8996a84b-be9f-47e4-9a4a-7b6b99f407db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860AE77-D534-4E1E-9127-BAC7FD2CD9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USD</vt:lpstr>
      <vt:lpstr>CAD</vt:lpstr>
      <vt:lpstr>RTY</vt:lpstr>
      <vt:lpstr>RGUSHSBT</vt:lpstr>
      <vt:lpstr>XBI</vt:lpstr>
      <vt:lpstr>CAD!StartSpot</vt:lpstr>
      <vt:lpstr>RGUSHSBT!StartSpot</vt:lpstr>
      <vt:lpstr>RTY!StartSpot</vt:lpstr>
      <vt:lpstr>USD!StartSpot</vt:lpstr>
      <vt:lpstr>XBI!StartSpot</vt:lpstr>
    </vt:vector>
  </TitlesOfParts>
  <Manager/>
  <Company>ALILxAllostery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Kafafian</dc:creator>
  <cp:keywords/>
  <dc:description/>
  <cp:lastModifiedBy>Lee Kafafian</cp:lastModifiedBy>
  <cp:revision/>
  <dcterms:created xsi:type="dcterms:W3CDTF">2024-06-03T19:56:55Z</dcterms:created>
  <dcterms:modified xsi:type="dcterms:W3CDTF">2025-02-12T21:57:27Z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2024-06-03T20:47:29Z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f89a91f8-8043-4b2a-a3f2-379c20fc2a15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